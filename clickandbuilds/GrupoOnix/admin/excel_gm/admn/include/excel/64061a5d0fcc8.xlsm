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embeddings/oleObject2.bin" ContentType="application/vnd.openxmlformats-officedocument.oleObject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melia\Desktop\GONIX\2020\GASTOS MEDICOS\"/>
    </mc:Choice>
  </mc:AlternateContent>
  <workbookProtection workbookPassword="B687" lockStructure="1"/>
  <bookViews>
    <workbookView xWindow="0" yWindow="0" windowWidth="19200" windowHeight="7050" tabRatio="617" firstSheet="10" activeTab="10"/>
  </bookViews>
  <sheets>
    <sheet name="FACTORES" sheetId="1" state="hidden" r:id="rId1"/>
    <sheet name="TITULAR" sheetId="2" state="hidden" r:id="rId2"/>
    <sheet name="CONYUGE" sheetId="11" state="hidden" r:id="rId3"/>
    <sheet name="DEPENDIENTE" sheetId="10" state="hidden" r:id="rId4"/>
    <sheet name="VALORES" sheetId="4" state="hidden" r:id="rId5"/>
    <sheet name="CuadroEspecificacionesTARIFARIO" sheetId="12" state="hidden" r:id="rId6"/>
    <sheet name="COTIZACION" sheetId="13" state="hidden" r:id="rId7"/>
    <sheet name="IMPRESION" sheetId="16" state="hidden" r:id="rId8"/>
    <sheet name="TARIFARIO" sheetId="15" state="hidden" r:id="rId9"/>
    <sheet name="Instrucciones" sheetId="19" state="hidden" r:id="rId10"/>
    <sheet name="Cotizador" sheetId="18" r:id="rId11"/>
    <sheet name="CAMBIOS" sheetId="20" state="hidden" r:id="rId12"/>
  </sheets>
  <externalReferences>
    <externalReference r:id="rId13"/>
  </externalReferences>
  <definedNames>
    <definedName name="_xlnm._FilterDatabase" localSheetId="6" hidden="1">COTIZACION!$C$315:$G$347</definedName>
    <definedName name="a">[1]COBERTURAS!$G$20</definedName>
    <definedName name="ADIC">TITULAR!$G$20</definedName>
    <definedName name="_xlnm.Print_Area" localSheetId="2">TARIFARIO!$E$2:$H$32</definedName>
    <definedName name="_xlnm.Print_Area" localSheetId="6">COTIZACION!$B$2:$I$39</definedName>
    <definedName name="_xlnm.Print_Area" localSheetId="10">Cotizador!$A$1:$K$34</definedName>
    <definedName name="_xlnm.Print_Area" localSheetId="5">CuadroEspecificacionesTARIFARIO!$A$1:$K$65</definedName>
    <definedName name="_xlnm.Print_Area" localSheetId="3">TARIFARIO!$I$2:$M$32</definedName>
    <definedName name="_xlnm.Print_Area" localSheetId="0">FACTORES!$A$1:$O$52</definedName>
    <definedName name="_xlnm.Print_Area" localSheetId="7">IMPRESION!$A$1:$L$107</definedName>
    <definedName name="_xlnm.Print_Area" localSheetId="9">Instrucciones!$A$1:$J$45</definedName>
    <definedName name="_xlnm.Print_Area" localSheetId="8">TARIFARIO!$A$1:$M$95</definedName>
    <definedName name="_xlnm.Print_Area" localSheetId="1">TARIFARIO!$A$2:$D$32</definedName>
    <definedName name="Base" localSheetId="7">IMPRESION!#REF!</definedName>
    <definedName name="Base">COTIZACION!$G$256</definedName>
    <definedName name="BÁSICAS">FACTORES!$B$39:$C$52</definedName>
    <definedName name="CVISION">TITULAR!$G$12</definedName>
    <definedName name="DEDXACC">TITULAR!$G$7</definedName>
    <definedName name="DENTAL">TITULAR!$G$19</definedName>
    <definedName name="DER">TITULAR!$I$25</definedName>
    <definedName name="DESC">COTIZACION!$J$27</definedName>
    <definedName name="EDUCA">TITULAR!$G$22</definedName>
    <definedName name="ENFGVES">TITULAR!$G$11</definedName>
    <definedName name="IKE">TITULAR!$G$21</definedName>
    <definedName name="IVA">COTIZACION!$D$26</definedName>
    <definedName name="PARTO">TITULAR!$G$18</definedName>
    <definedName name="RENOVADA">COTIZACION!$C$257:$C$260</definedName>
    <definedName name="RMES">FACTORES!$Q$4</definedName>
    <definedName name="RSEM">FACTORES!$Q$2</definedName>
    <definedName name="RTRIM">FACTORES!$Q$3</definedName>
    <definedName name="zona">Instrucciones!$B$33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58" i="16" l="1"/>
  <c r="O20" i="1"/>
  <c r="G22" i="2" l="1"/>
  <c r="N4" i="2"/>
  <c r="F19" i="2" s="1"/>
  <c r="G19" i="2" s="1"/>
  <c r="R4" i="2"/>
  <c r="G23" i="2" s="1"/>
  <c r="O13" i="2"/>
  <c r="M14" i="2" s="1"/>
  <c r="G20" i="2" s="1"/>
  <c r="N8" i="2"/>
  <c r="C86" i="16" l="1"/>
  <c r="B45" i="13" l="1"/>
  <c r="N45" i="1" l="1"/>
  <c r="N44" i="1"/>
  <c r="N43" i="1"/>
  <c r="N42" i="1"/>
  <c r="N41" i="1"/>
  <c r="N40" i="1"/>
  <c r="N39" i="1"/>
  <c r="N38" i="1"/>
  <c r="N37" i="1"/>
  <c r="N36" i="1"/>
  <c r="N35" i="1"/>
  <c r="N34" i="1"/>
  <c r="P13" i="1" l="1"/>
  <c r="P12" i="1"/>
  <c r="P11" i="1"/>
  <c r="P10" i="1"/>
  <c r="P9" i="1"/>
  <c r="N46" i="1" l="1"/>
  <c r="F21" i="2" l="1"/>
  <c r="G21" i="2" s="1"/>
  <c r="G338" i="1"/>
  <c r="K19" i="2" l="1"/>
  <c r="K21" i="2"/>
  <c r="H85" i="16"/>
  <c r="H84" i="16"/>
  <c r="H83" i="16"/>
  <c r="H82" i="16"/>
  <c r="H81" i="16"/>
  <c r="H80" i="16"/>
  <c r="H79" i="16" l="1"/>
  <c r="H78" i="16"/>
  <c r="A8" i="13" l="1"/>
  <c r="S8" i="1" l="1"/>
  <c r="B445" i="1"/>
  <c r="B444" i="1"/>
  <c r="B443" i="1"/>
  <c r="B442" i="1"/>
  <c r="B441" i="1"/>
  <c r="B440" i="1"/>
  <c r="B439" i="1"/>
  <c r="B438" i="1"/>
  <c r="B437" i="1"/>
  <c r="B436" i="1"/>
  <c r="B435" i="1"/>
  <c r="B434" i="1"/>
  <c r="B433" i="1"/>
  <c r="B432" i="1"/>
  <c r="B431" i="1"/>
  <c r="B430" i="1"/>
  <c r="B429" i="1"/>
  <c r="B428" i="1"/>
  <c r="B427" i="1"/>
  <c r="B426" i="1"/>
  <c r="B425" i="1"/>
  <c r="B424" i="1"/>
  <c r="B423" i="1"/>
  <c r="B422" i="1"/>
  <c r="B421" i="1"/>
  <c r="B420" i="1"/>
  <c r="B419" i="1"/>
  <c r="B418" i="1"/>
  <c r="B417" i="1"/>
  <c r="B416" i="1"/>
  <c r="B415" i="1"/>
  <c r="B414" i="1"/>
  <c r="B413" i="1"/>
  <c r="B412" i="1"/>
  <c r="B411" i="1"/>
  <c r="B410" i="1"/>
  <c r="B409" i="1"/>
  <c r="B408" i="1"/>
  <c r="B407" i="1"/>
  <c r="B406" i="1"/>
  <c r="B405" i="1"/>
  <c r="B404" i="1"/>
  <c r="B403" i="1"/>
  <c r="B402" i="1"/>
  <c r="B401" i="1"/>
  <c r="B400" i="1"/>
  <c r="B399" i="1"/>
  <c r="B398" i="1"/>
  <c r="B397" i="1"/>
  <c r="B396" i="1"/>
  <c r="B395" i="1"/>
  <c r="B394" i="1"/>
  <c r="B393" i="1"/>
  <c r="B392" i="1"/>
  <c r="B391" i="1"/>
  <c r="B390" i="1"/>
  <c r="B389" i="1"/>
  <c r="B388" i="1"/>
  <c r="B387" i="1"/>
  <c r="B386" i="1"/>
  <c r="B385" i="1"/>
  <c r="B384" i="1"/>
  <c r="B383" i="1"/>
  <c r="B382" i="1"/>
  <c r="B381" i="1"/>
  <c r="B380" i="1"/>
  <c r="B379" i="1"/>
  <c r="B378" i="1"/>
  <c r="B377" i="1"/>
  <c r="B376" i="1"/>
  <c r="B375" i="1"/>
  <c r="B374" i="1"/>
  <c r="B373" i="1"/>
  <c r="B372" i="1"/>
  <c r="B371" i="1"/>
  <c r="B370" i="1"/>
  <c r="B369" i="1"/>
  <c r="B368" i="1"/>
  <c r="B367" i="1"/>
  <c r="B366" i="1"/>
  <c r="B365" i="1"/>
  <c r="B364" i="1"/>
  <c r="B363" i="1"/>
  <c r="B362" i="1"/>
  <c r="B361" i="1"/>
  <c r="B360" i="1"/>
  <c r="B359" i="1"/>
  <c r="B358" i="1"/>
  <c r="B357" i="1"/>
  <c r="B356" i="1"/>
  <c r="B355" i="1"/>
  <c r="B354" i="1"/>
  <c r="B353" i="1"/>
  <c r="B352" i="1"/>
  <c r="B351" i="1"/>
  <c r="B350" i="1"/>
  <c r="B349" i="1"/>
  <c r="B348" i="1"/>
  <c r="B347" i="1"/>
  <c r="B346" i="1"/>
  <c r="B345" i="1"/>
  <c r="B338" i="1"/>
  <c r="B337" i="1"/>
  <c r="B336" i="1"/>
  <c r="B335" i="1"/>
  <c r="B334" i="1"/>
  <c r="B333" i="1"/>
  <c r="B332" i="1"/>
  <c r="B331" i="1"/>
  <c r="B330" i="1"/>
  <c r="B329" i="1"/>
  <c r="B328" i="1"/>
  <c r="B327" i="1"/>
  <c r="B326" i="1"/>
  <c r="B325" i="1"/>
  <c r="B324" i="1"/>
  <c r="B323" i="1"/>
  <c r="B322" i="1"/>
  <c r="B321" i="1"/>
  <c r="B320" i="1"/>
  <c r="B319" i="1"/>
  <c r="B318" i="1"/>
  <c r="B317" i="1"/>
  <c r="B316" i="1"/>
  <c r="B315" i="1"/>
  <c r="B314" i="1"/>
  <c r="B313" i="1"/>
  <c r="B312" i="1"/>
  <c r="B311" i="1"/>
  <c r="B310" i="1"/>
  <c r="B309" i="1"/>
  <c r="B308" i="1"/>
  <c r="B307" i="1"/>
  <c r="B306" i="1"/>
  <c r="B305" i="1"/>
  <c r="B304" i="1"/>
  <c r="B303" i="1"/>
  <c r="B302" i="1"/>
  <c r="B301" i="1"/>
  <c r="B300" i="1"/>
  <c r="B299" i="1"/>
  <c r="B298" i="1"/>
  <c r="B297" i="1"/>
  <c r="B296" i="1"/>
  <c r="B295" i="1"/>
  <c r="B294" i="1"/>
  <c r="B293" i="1"/>
  <c r="B292" i="1"/>
  <c r="B291" i="1"/>
  <c r="B290" i="1"/>
  <c r="B289" i="1"/>
  <c r="B288" i="1"/>
  <c r="B287" i="1"/>
  <c r="B286" i="1"/>
  <c r="B285" i="1"/>
  <c r="B284" i="1"/>
  <c r="B283" i="1"/>
  <c r="B282" i="1"/>
  <c r="B281" i="1"/>
  <c r="B280" i="1"/>
  <c r="B279" i="1"/>
  <c r="B278" i="1"/>
  <c r="B277" i="1"/>
  <c r="B276" i="1"/>
  <c r="B275" i="1"/>
  <c r="B274" i="1"/>
  <c r="B273" i="1"/>
  <c r="B272" i="1"/>
  <c r="B271" i="1"/>
  <c r="B270" i="1"/>
  <c r="B269" i="1"/>
  <c r="B268" i="1"/>
  <c r="B267" i="1"/>
  <c r="B266" i="1"/>
  <c r="B265" i="1"/>
  <c r="B264" i="1"/>
  <c r="B263" i="1"/>
  <c r="B262" i="1"/>
  <c r="B261" i="1"/>
  <c r="B260" i="1"/>
  <c r="B259" i="1"/>
  <c r="B258" i="1"/>
  <c r="B257" i="1"/>
  <c r="B256" i="1"/>
  <c r="B255" i="1"/>
  <c r="B254" i="1"/>
  <c r="B253" i="1"/>
  <c r="B252" i="1"/>
  <c r="B251" i="1"/>
  <c r="B250" i="1"/>
  <c r="B249" i="1"/>
  <c r="B248" i="1"/>
  <c r="B247" i="1"/>
  <c r="B246" i="1"/>
  <c r="B245" i="1"/>
  <c r="B244" i="1"/>
  <c r="B243" i="1"/>
  <c r="B242" i="1"/>
  <c r="B241" i="1"/>
  <c r="B240" i="1"/>
  <c r="B239" i="1"/>
  <c r="B238" i="1"/>
  <c r="M134" i="1"/>
  <c r="M135" i="1" s="1"/>
  <c r="M136" i="1" s="1"/>
  <c r="M137" i="1" s="1"/>
  <c r="M138" i="1" s="1"/>
  <c r="M139" i="1" s="1"/>
  <c r="M140" i="1" s="1"/>
  <c r="M141" i="1" s="1"/>
  <c r="M142" i="1" s="1"/>
  <c r="M143" i="1" s="1"/>
  <c r="M144" i="1" s="1"/>
  <c r="M145" i="1" s="1"/>
  <c r="M146" i="1" s="1"/>
  <c r="M147" i="1" s="1"/>
  <c r="M148" i="1" s="1"/>
  <c r="M149" i="1" s="1"/>
  <c r="M150" i="1" s="1"/>
  <c r="M151" i="1" s="1"/>
  <c r="M152" i="1" s="1"/>
  <c r="M153" i="1" s="1"/>
  <c r="M154" i="1" s="1"/>
  <c r="M155" i="1" s="1"/>
  <c r="M156" i="1" s="1"/>
  <c r="M157" i="1" s="1"/>
  <c r="M158" i="1" s="1"/>
  <c r="M159" i="1" s="1"/>
  <c r="M160" i="1" s="1"/>
  <c r="M161" i="1" s="1"/>
  <c r="M162" i="1" s="1"/>
  <c r="M163" i="1" s="1"/>
  <c r="M164" i="1" s="1"/>
  <c r="M165" i="1" s="1"/>
  <c r="M166" i="1" s="1"/>
  <c r="M167" i="1" s="1"/>
  <c r="M168" i="1" s="1"/>
  <c r="M169" i="1" s="1"/>
  <c r="M170" i="1" s="1"/>
  <c r="M171" i="1" s="1"/>
  <c r="M172" i="1" s="1"/>
  <c r="M173" i="1" s="1"/>
  <c r="M174" i="1" s="1"/>
  <c r="M175" i="1" s="1"/>
  <c r="M176" i="1" s="1"/>
  <c r="M177" i="1" s="1"/>
  <c r="M178" i="1" s="1"/>
  <c r="M179" i="1" s="1"/>
  <c r="M180" i="1" s="1"/>
  <c r="M181" i="1" s="1"/>
  <c r="M182" i="1" s="1"/>
  <c r="M183" i="1" s="1"/>
  <c r="M184" i="1" s="1"/>
  <c r="M185" i="1" s="1"/>
  <c r="M186" i="1" s="1"/>
  <c r="M187" i="1" s="1"/>
  <c r="M188" i="1" s="1"/>
  <c r="M189" i="1" s="1"/>
  <c r="M190" i="1" s="1"/>
  <c r="M191" i="1" s="1"/>
  <c r="M192" i="1" s="1"/>
  <c r="M193" i="1" s="1"/>
  <c r="M194" i="1" s="1"/>
  <c r="M195" i="1" s="1"/>
  <c r="M196" i="1" s="1"/>
  <c r="M197" i="1" s="1"/>
  <c r="M198" i="1" s="1"/>
  <c r="M199" i="1" s="1"/>
  <c r="M200" i="1" s="1"/>
  <c r="M201" i="1" s="1"/>
  <c r="M202" i="1" s="1"/>
  <c r="M203" i="1" s="1"/>
  <c r="M204" i="1" s="1"/>
  <c r="M205" i="1" s="1"/>
  <c r="M206" i="1" s="1"/>
  <c r="M207" i="1" s="1"/>
  <c r="M208" i="1" s="1"/>
  <c r="M209" i="1" s="1"/>
  <c r="M210" i="1" s="1"/>
  <c r="M211" i="1" s="1"/>
  <c r="M212" i="1" s="1"/>
  <c r="M213" i="1" s="1"/>
  <c r="M214" i="1" s="1"/>
  <c r="M215" i="1" s="1"/>
  <c r="M216" i="1" s="1"/>
  <c r="M217" i="1" s="1"/>
  <c r="M218" i="1" s="1"/>
  <c r="M219" i="1" s="1"/>
  <c r="M220" i="1" s="1"/>
  <c r="M221" i="1" s="1"/>
  <c r="M222" i="1" s="1"/>
  <c r="M223" i="1" s="1"/>
  <c r="M224" i="1" s="1"/>
  <c r="M225" i="1" s="1"/>
  <c r="M226" i="1" s="1"/>
  <c r="M227" i="1" s="1"/>
  <c r="M228" i="1" s="1"/>
  <c r="M229" i="1" s="1"/>
  <c r="M230" i="1" s="1"/>
  <c r="M231" i="1" s="1"/>
  <c r="M232" i="1" s="1"/>
  <c r="E7" i="13" l="1"/>
  <c r="C105" i="16" l="1"/>
  <c r="A7" i="13"/>
  <c r="A37" i="1" l="1"/>
  <c r="F30" i="13"/>
  <c r="E11" i="13"/>
  <c r="F31" i="13"/>
  <c r="E15" i="13" l="1"/>
  <c r="F23" i="13" l="1"/>
  <c r="S9" i="1" l="1"/>
  <c r="T9" i="1" l="1"/>
  <c r="T8" i="1"/>
  <c r="T5" i="1" l="1"/>
  <c r="S5" i="1"/>
  <c r="E17" i="13" l="1"/>
  <c r="E12" i="2"/>
  <c r="G12" i="2" s="1"/>
  <c r="A37" i="13"/>
  <c r="A36" i="13"/>
  <c r="A35" i="13"/>
  <c r="A34" i="13"/>
  <c r="A33" i="13"/>
  <c r="A32" i="13"/>
  <c r="A31" i="13"/>
  <c r="A30" i="13"/>
  <c r="E11" i="2"/>
  <c r="G11" i="2" l="1"/>
  <c r="I66" i="16"/>
  <c r="J66" i="16" s="1"/>
  <c r="E19" i="13"/>
  <c r="D7" i="15"/>
  <c r="F37" i="13" l="1"/>
  <c r="F36" i="13"/>
  <c r="F35" i="13"/>
  <c r="F34" i="13"/>
  <c r="F33" i="13"/>
  <c r="F32" i="13"/>
  <c r="D260" i="13" l="1"/>
  <c r="G347" i="13" l="1"/>
  <c r="G346" i="13"/>
  <c r="G345" i="13"/>
  <c r="G344" i="13"/>
  <c r="G343" i="13"/>
  <c r="G342" i="13"/>
  <c r="G341" i="13"/>
  <c r="G340" i="13"/>
  <c r="G339" i="13"/>
  <c r="G338" i="13"/>
  <c r="G337" i="13"/>
  <c r="G336" i="13"/>
  <c r="G335" i="13"/>
  <c r="G334" i="13"/>
  <c r="G333" i="13"/>
  <c r="G332" i="13"/>
  <c r="G331" i="13"/>
  <c r="G330" i="13"/>
  <c r="G329" i="13"/>
  <c r="G328" i="13"/>
  <c r="G327" i="13"/>
  <c r="G326" i="13"/>
  <c r="G325" i="13"/>
  <c r="G324" i="13"/>
  <c r="G323" i="13"/>
  <c r="G322" i="13"/>
  <c r="G321" i="13"/>
  <c r="G320" i="13"/>
  <c r="G319" i="13"/>
  <c r="G318" i="13"/>
  <c r="G317" i="13"/>
  <c r="G316" i="13"/>
  <c r="B95" i="15" l="1"/>
  <c r="J41" i="16"/>
  <c r="F10" i="2" l="1"/>
  <c r="H7" i="2" l="1"/>
  <c r="A16" i="13"/>
  <c r="G18" i="2" s="1"/>
  <c r="F11" i="15" l="1"/>
  <c r="F10" i="15"/>
  <c r="K10" i="15"/>
  <c r="F12" i="15"/>
  <c r="I67" i="16"/>
  <c r="I65" i="16"/>
  <c r="I64" i="16"/>
  <c r="I63" i="16"/>
  <c r="G14" i="11" l="1"/>
  <c r="E5" i="11" l="1"/>
  <c r="E5" i="10" l="1"/>
  <c r="E90" i="16" l="1"/>
  <c r="C98" i="16"/>
  <c r="C97" i="16"/>
  <c r="E92" i="16"/>
  <c r="E20" i="13"/>
  <c r="B9" i="16" l="1"/>
  <c r="I7" i="19"/>
  <c r="D14" i="13"/>
  <c r="B7" i="16"/>
  <c r="F22" i="13"/>
  <c r="A15" i="13"/>
  <c r="G36" i="1" l="1"/>
  <c r="G16" i="2"/>
  <c r="K228" i="13"/>
  <c r="L7" i="15"/>
  <c r="B80" i="15"/>
  <c r="B81" i="15" s="1"/>
  <c r="B82" i="15" s="1"/>
  <c r="B83" i="15" s="1"/>
  <c r="B84" i="15" s="1"/>
  <c r="B85" i="15" s="1"/>
  <c r="B86" i="15" s="1"/>
  <c r="B87" i="15" s="1"/>
  <c r="B88" i="15" s="1"/>
  <c r="B89" i="15" s="1"/>
  <c r="B90" i="15" s="1"/>
  <c r="J24" i="15"/>
  <c r="J25" i="15" s="1"/>
  <c r="J26" i="15" s="1"/>
  <c r="J27" i="15" s="1"/>
  <c r="J28" i="15" s="1"/>
  <c r="J29" i="15" s="1"/>
  <c r="J30" i="15" s="1"/>
  <c r="J31" i="15" s="1"/>
  <c r="J32" i="15" s="1"/>
  <c r="J33" i="15" s="1"/>
  <c r="J34" i="15" s="1"/>
  <c r="J35" i="15" s="1"/>
  <c r="J36" i="15" s="1"/>
  <c r="J37" i="15" s="1"/>
  <c r="J38" i="15" s="1"/>
  <c r="J39" i="15" s="1"/>
  <c r="J40" i="15" s="1"/>
  <c r="J41" i="15" s="1"/>
  <c r="F23" i="15"/>
  <c r="F24" i="15" s="1"/>
  <c r="F25" i="15" s="1"/>
  <c r="F26" i="15" s="1"/>
  <c r="F27" i="15" s="1"/>
  <c r="F28" i="15" s="1"/>
  <c r="F29" i="15" s="1"/>
  <c r="F30" i="15" s="1"/>
  <c r="F31" i="15" s="1"/>
  <c r="F32" i="15" s="1"/>
  <c r="F33" i="15" s="1"/>
  <c r="F34" i="15" s="1"/>
  <c r="F35" i="15" s="1"/>
  <c r="F36" i="15" s="1"/>
  <c r="F37" i="15" s="1"/>
  <c r="F38" i="15" s="1"/>
  <c r="F39" i="15" s="1"/>
  <c r="F40" i="15" s="1"/>
  <c r="F41" i="15" s="1"/>
  <c r="F42" i="15" s="1"/>
  <c r="F43" i="15" s="1"/>
  <c r="F44" i="15" s="1"/>
  <c r="F45" i="15" s="1"/>
  <c r="F46" i="15" s="1"/>
  <c r="F47" i="15" s="1"/>
  <c r="F48" i="15" s="1"/>
  <c r="F49" i="15" s="1"/>
  <c r="F50" i="15" s="1"/>
  <c r="F51" i="15" s="1"/>
  <c r="F52" i="15" s="1"/>
  <c r="F53" i="15" s="1"/>
  <c r="F54" i="15" s="1"/>
  <c r="F55" i="15" s="1"/>
  <c r="F56" i="15" s="1"/>
  <c r="F57" i="15" s="1"/>
  <c r="F58" i="15" s="1"/>
  <c r="F59" i="15" s="1"/>
  <c r="F60" i="15" s="1"/>
  <c r="F61" i="15" s="1"/>
  <c r="F62" i="15" s="1"/>
  <c r="F63" i="15" s="1"/>
  <c r="F64" i="15" s="1"/>
  <c r="F65" i="15" s="1"/>
  <c r="F66" i="15" s="1"/>
  <c r="F67" i="15" s="1"/>
  <c r="F68" i="15" s="1"/>
  <c r="B23" i="15"/>
  <c r="B24" i="15" s="1"/>
  <c r="B25" i="15" s="1"/>
  <c r="B26" i="15" s="1"/>
  <c r="B27" i="15" s="1"/>
  <c r="B28" i="15" s="1"/>
  <c r="B29" i="15" s="1"/>
  <c r="B30" i="15" s="1"/>
  <c r="B31" i="15" s="1"/>
  <c r="B32" i="15" s="1"/>
  <c r="B33" i="15" s="1"/>
  <c r="B34" i="15" s="1"/>
  <c r="B35" i="15" s="1"/>
  <c r="B36" i="15" s="1"/>
  <c r="B37" i="15" s="1"/>
  <c r="B38" i="15" s="1"/>
  <c r="B39" i="15" s="1"/>
  <c r="B40" i="15" s="1"/>
  <c r="B41" i="15" s="1"/>
  <c r="B42" i="15" s="1"/>
  <c r="B43" i="15" s="1"/>
  <c r="B44" i="15" s="1"/>
  <c r="B45" i="15" s="1"/>
  <c r="B46" i="15" s="1"/>
  <c r="B47" i="15" s="1"/>
  <c r="B48" i="15" s="1"/>
  <c r="B49" i="15" s="1"/>
  <c r="B50" i="15" s="1"/>
  <c r="B51" i="15" s="1"/>
  <c r="B52" i="15" s="1"/>
  <c r="B53" i="15" s="1"/>
  <c r="B54" i="15" s="1"/>
  <c r="B55" i="15" s="1"/>
  <c r="B56" i="15" s="1"/>
  <c r="B57" i="15" s="1"/>
  <c r="B58" i="15" s="1"/>
  <c r="B59" i="15" s="1"/>
  <c r="B60" i="15" s="1"/>
  <c r="B61" i="15" s="1"/>
  <c r="B62" i="15" s="1"/>
  <c r="B63" i="15" s="1"/>
  <c r="B64" i="15" s="1"/>
  <c r="B65" i="15" s="1"/>
  <c r="B66" i="15" s="1"/>
  <c r="B67" i="15" s="1"/>
  <c r="B68" i="15" s="1"/>
  <c r="H256" i="13"/>
  <c r="B22" i="10"/>
  <c r="B23" i="10" s="1"/>
  <c r="B24" i="10" s="1"/>
  <c r="B25" i="10" s="1"/>
  <c r="B26" i="10" s="1"/>
  <c r="B27" i="10" s="1"/>
  <c r="B28" i="10" s="1"/>
  <c r="B29" i="10" s="1"/>
  <c r="B30" i="10" s="1"/>
  <c r="B31" i="10" s="1"/>
  <c r="B32" i="10" s="1"/>
  <c r="B33" i="10" s="1"/>
  <c r="B34" i="10" s="1"/>
  <c r="B35" i="10" s="1"/>
  <c r="B36" i="10" s="1"/>
  <c r="B37" i="10" s="1"/>
  <c r="B38" i="10" s="1"/>
  <c r="B39" i="10" s="1"/>
  <c r="B40" i="10" s="1"/>
  <c r="B41" i="10" s="1"/>
  <c r="B42" i="10" s="1"/>
  <c r="B43" i="10" s="1"/>
  <c r="B44" i="10" s="1"/>
  <c r="B45" i="10" s="1"/>
  <c r="B22" i="11"/>
  <c r="B28" i="2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B108" i="2" s="1"/>
  <c r="B109" i="2" s="1"/>
  <c r="B110" i="2" s="1"/>
  <c r="B111" i="2" s="1"/>
  <c r="B112" i="2" s="1"/>
  <c r="B113" i="2" s="1"/>
  <c r="B114" i="2" s="1"/>
  <c r="B115" i="2" s="1"/>
  <c r="B116" i="2" s="1"/>
  <c r="B117" i="2" s="1"/>
  <c r="B118" i="2" s="1"/>
  <c r="B119" i="2" s="1"/>
  <c r="B120" i="2" s="1"/>
  <c r="B121" i="2" s="1"/>
  <c r="B122" i="2" s="1"/>
  <c r="B123" i="2" s="1"/>
  <c r="B124" i="2" s="1"/>
  <c r="B125" i="2" s="1"/>
  <c r="B126" i="2" s="1"/>
  <c r="B127" i="2" s="1"/>
  <c r="A134" i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41" i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B37" i="13"/>
  <c r="B36" i="13"/>
  <c r="B35" i="13"/>
  <c r="B34" i="13"/>
  <c r="B33" i="13"/>
  <c r="J81" i="16" s="1"/>
  <c r="B32" i="13"/>
  <c r="B31" i="13"/>
  <c r="J79" i="16" s="1"/>
  <c r="N55" i="1"/>
  <c r="N54" i="1"/>
  <c r="N53" i="1"/>
  <c r="N52" i="1"/>
  <c r="N51" i="1"/>
  <c r="N50" i="1"/>
  <c r="N49" i="1"/>
  <c r="N48" i="1"/>
  <c r="N47" i="1"/>
  <c r="C96" i="16"/>
  <c r="E5" i="2"/>
  <c r="G5" i="2" s="1"/>
  <c r="A81" i="16"/>
  <c r="C81" i="16"/>
  <c r="E7" i="2"/>
  <c r="E6" i="2"/>
  <c r="A78" i="16"/>
  <c r="A79" i="16"/>
  <c r="I79" i="16"/>
  <c r="A80" i="16"/>
  <c r="C80" i="16"/>
  <c r="P4" i="1"/>
  <c r="Q4" i="1" s="1"/>
  <c r="P3" i="1"/>
  <c r="Q3" i="1" s="1"/>
  <c r="P2" i="1"/>
  <c r="Q2" i="1" s="1"/>
  <c r="I78" i="16"/>
  <c r="E8" i="2"/>
  <c r="G8" i="2" s="1"/>
  <c r="E14" i="2"/>
  <c r="G14" i="2" s="1"/>
  <c r="G11" i="11" s="1"/>
  <c r="E15" i="2"/>
  <c r="E9" i="2"/>
  <c r="I22" i="16" s="1"/>
  <c r="I24" i="2"/>
  <c r="E8" i="11"/>
  <c r="I18" i="11"/>
  <c r="I80" i="16"/>
  <c r="E8" i="10"/>
  <c r="G13" i="10"/>
  <c r="I18" i="10" s="1"/>
  <c r="I81" i="16"/>
  <c r="C82" i="16"/>
  <c r="C83" i="16"/>
  <c r="C84" i="16"/>
  <c r="C85" i="16"/>
  <c r="K87" i="16"/>
  <c r="K25" i="2"/>
  <c r="F15" i="2"/>
  <c r="I15" i="2" s="1"/>
  <c r="H15" i="15"/>
  <c r="E7" i="10"/>
  <c r="L17" i="15" s="1"/>
  <c r="L15" i="15"/>
  <c r="A267" i="13"/>
  <c r="A268" i="13" s="1"/>
  <c r="A269" i="13" s="1"/>
  <c r="A270" i="13" s="1"/>
  <c r="A271" i="13" s="1"/>
  <c r="A272" i="13" s="1"/>
  <c r="A273" i="13" s="1"/>
  <c r="A274" i="13" s="1"/>
  <c r="A275" i="13" s="1"/>
  <c r="A276" i="13" s="1"/>
  <c r="A277" i="13" s="1"/>
  <c r="A278" i="13" s="1"/>
  <c r="A279" i="13" s="1"/>
  <c r="A280" i="13" s="1"/>
  <c r="A281" i="13" s="1"/>
  <c r="A282" i="13" s="1"/>
  <c r="A283" i="13" s="1"/>
  <c r="A284" i="13" s="1"/>
  <c r="A285" i="13" s="1"/>
  <c r="A286" i="13" s="1"/>
  <c r="A287" i="13" s="1"/>
  <c r="A288" i="13" s="1"/>
  <c r="A289" i="13" s="1"/>
  <c r="A290" i="13" s="1"/>
  <c r="A291" i="13" s="1"/>
  <c r="A292" i="13" s="1"/>
  <c r="A293" i="13" s="1"/>
  <c r="A294" i="13" s="1"/>
  <c r="A295" i="13" s="1"/>
  <c r="A296" i="13" s="1"/>
  <c r="A297" i="13" s="1"/>
  <c r="A298" i="13" s="1"/>
  <c r="A299" i="13" s="1"/>
  <c r="A300" i="13" s="1"/>
  <c r="A301" i="13" s="1"/>
  <c r="A302" i="13" s="1"/>
  <c r="A303" i="13" s="1"/>
  <c r="A304" i="13" s="1"/>
  <c r="A305" i="13" s="1"/>
  <c r="A306" i="13" s="1"/>
  <c r="A307" i="13" s="1"/>
  <c r="A308" i="13" s="1"/>
  <c r="A309" i="13" s="1"/>
  <c r="A310" i="13" s="1"/>
  <c r="A311" i="13" s="1"/>
  <c r="A312" i="13" s="1"/>
  <c r="A313" i="13" s="1"/>
  <c r="A314" i="13" s="1"/>
  <c r="A315" i="13" s="1"/>
  <c r="A316" i="13" s="1"/>
  <c r="A317" i="13" s="1"/>
  <c r="A318" i="13" s="1"/>
  <c r="A319" i="13" s="1"/>
  <c r="A320" i="13" s="1"/>
  <c r="A321" i="13" s="1"/>
  <c r="A322" i="13" s="1"/>
  <c r="A323" i="13" s="1"/>
  <c r="A324" i="13" s="1"/>
  <c r="A325" i="13" s="1"/>
  <c r="A326" i="13" s="1"/>
  <c r="A327" i="13" s="1"/>
  <c r="A328" i="13" s="1"/>
  <c r="A329" i="13" s="1"/>
  <c r="A330" i="13" s="1"/>
  <c r="A331" i="13" s="1"/>
  <c r="A332" i="13" s="1"/>
  <c r="A333" i="13" s="1"/>
  <c r="A334" i="13" s="1"/>
  <c r="A335" i="13" s="1"/>
  <c r="A336" i="13" s="1"/>
  <c r="A337" i="13" s="1"/>
  <c r="A338" i="13" s="1"/>
  <c r="A339" i="13" s="1"/>
  <c r="A340" i="13" s="1"/>
  <c r="A341" i="13" s="1"/>
  <c r="A342" i="13" s="1"/>
  <c r="A343" i="13" s="1"/>
  <c r="A344" i="13" s="1"/>
  <c r="A345" i="13" s="1"/>
  <c r="A346" i="13" s="1"/>
  <c r="A347" i="13" s="1"/>
  <c r="A348" i="13" s="1"/>
  <c r="A349" i="13" s="1"/>
  <c r="A350" i="13" s="1"/>
  <c r="A351" i="13" s="1"/>
  <c r="A352" i="13" s="1"/>
  <c r="A353" i="13" s="1"/>
  <c r="A354" i="13" s="1"/>
  <c r="A355" i="13" s="1"/>
  <c r="A356" i="13" s="1"/>
  <c r="A357" i="13" s="1"/>
  <c r="A358" i="13" s="1"/>
  <c r="A359" i="13" s="1"/>
  <c r="A360" i="13" s="1"/>
  <c r="A361" i="13" s="1"/>
  <c r="A362" i="13" s="1"/>
  <c r="A363" i="13" s="1"/>
  <c r="A364" i="13" s="1"/>
  <c r="A365" i="13" s="1"/>
  <c r="A366" i="13" s="1"/>
  <c r="K19" i="11"/>
  <c r="N19" i="11"/>
  <c r="E17" i="2"/>
  <c r="I82" i="16"/>
  <c r="A82" i="16"/>
  <c r="I83" i="16"/>
  <c r="A83" i="16"/>
  <c r="I84" i="16"/>
  <c r="A84" i="16"/>
  <c r="E9" i="11"/>
  <c r="F12" i="11"/>
  <c r="I12" i="11" s="1"/>
  <c r="E3" i="11"/>
  <c r="F3" i="11" s="1"/>
  <c r="E6" i="11"/>
  <c r="H16" i="15" s="1"/>
  <c r="E7" i="11"/>
  <c r="H17" i="15" s="1"/>
  <c r="E11" i="11"/>
  <c r="E12" i="11"/>
  <c r="E14" i="11"/>
  <c r="D269" i="13"/>
  <c r="E3" i="2"/>
  <c r="I2" i="2" s="1"/>
  <c r="H49" i="12"/>
  <c r="H47" i="12"/>
  <c r="H70" i="12"/>
  <c r="H69" i="12"/>
  <c r="H68" i="12"/>
  <c r="H67" i="12"/>
  <c r="H66" i="12"/>
  <c r="H63" i="12"/>
  <c r="H62" i="12"/>
  <c r="H61" i="12"/>
  <c r="H60" i="12"/>
  <c r="H58" i="12"/>
  <c r="H57" i="12"/>
  <c r="H55" i="12"/>
  <c r="H54" i="12"/>
  <c r="H35" i="12"/>
  <c r="H34" i="12"/>
  <c r="H32" i="12"/>
  <c r="H31" i="12"/>
  <c r="H30" i="12"/>
  <c r="H29" i="12"/>
  <c r="B70" i="12"/>
  <c r="B69" i="12"/>
  <c r="B68" i="12"/>
  <c r="B67" i="12"/>
  <c r="B66" i="12"/>
  <c r="B65" i="12"/>
  <c r="B64" i="12"/>
  <c r="B63" i="12"/>
  <c r="B62" i="12"/>
  <c r="B61" i="12"/>
  <c r="B59" i="12"/>
  <c r="B58" i="12"/>
  <c r="B56" i="12"/>
  <c r="B55" i="12"/>
  <c r="B50" i="12"/>
  <c r="B49" i="12"/>
  <c r="B47" i="12"/>
  <c r="B45" i="12"/>
  <c r="B43" i="12"/>
  <c r="B41" i="12"/>
  <c r="B40" i="12"/>
  <c r="B39" i="12"/>
  <c r="B38" i="12"/>
  <c r="B37" i="12"/>
  <c r="B36" i="12"/>
  <c r="B35" i="12"/>
  <c r="B33" i="12"/>
  <c r="B32" i="12"/>
  <c r="B31" i="12"/>
  <c r="B30" i="12"/>
  <c r="B29" i="12"/>
  <c r="B26" i="12"/>
  <c r="B25" i="12"/>
  <c r="C70" i="12"/>
  <c r="C69" i="12"/>
  <c r="C68" i="12"/>
  <c r="C67" i="12"/>
  <c r="C66" i="12"/>
  <c r="C65" i="12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H46" i="12"/>
  <c r="H44" i="12"/>
  <c r="H40" i="12"/>
  <c r="H39" i="12"/>
  <c r="H38" i="12"/>
  <c r="H37" i="12"/>
  <c r="H36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6" i="12"/>
  <c r="C25" i="12"/>
  <c r="I22" i="12"/>
  <c r="I26" i="12"/>
  <c r="J10" i="12"/>
  <c r="H65" i="12"/>
  <c r="H26" i="12"/>
  <c r="H64" i="12"/>
  <c r="K19" i="10"/>
  <c r="F11" i="10"/>
  <c r="I11" i="10" s="1"/>
  <c r="E3" i="10"/>
  <c r="F3" i="10" s="1"/>
  <c r="E13" i="10"/>
  <c r="E11" i="10"/>
  <c r="E10" i="10"/>
  <c r="E6" i="10"/>
  <c r="L16" i="15" s="1"/>
  <c r="C95" i="16"/>
  <c r="C79" i="16"/>
  <c r="C78" i="16"/>
  <c r="J85" i="16"/>
  <c r="J84" i="16"/>
  <c r="J83" i="16"/>
  <c r="J82" i="16"/>
  <c r="J80" i="16"/>
  <c r="J78" i="16"/>
  <c r="A85" i="16"/>
  <c r="I85" i="16"/>
  <c r="K6" i="16"/>
  <c r="A226" i="16"/>
  <c r="E10" i="2"/>
  <c r="A17" i="4"/>
  <c r="A18" i="4" s="1"/>
  <c r="A19" i="4" s="1"/>
  <c r="A20" i="4" s="1"/>
  <c r="A21" i="4" s="1"/>
  <c r="A22" i="4" s="1"/>
  <c r="A23" i="4" s="1"/>
  <c r="A24" i="4" s="1"/>
  <c r="I23" i="16" l="1"/>
  <c r="G6" i="2"/>
  <c r="G6" i="11" s="1"/>
  <c r="G7" i="2"/>
  <c r="G10" i="2"/>
  <c r="A105" i="16"/>
  <c r="G37" i="1"/>
  <c r="H36" i="1"/>
  <c r="B23" i="1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B61" i="11" s="1"/>
  <c r="B62" i="11" s="1"/>
  <c r="B63" i="11" s="1"/>
  <c r="B64" i="11" s="1"/>
  <c r="B65" i="11" s="1"/>
  <c r="B66" i="11" s="1"/>
  <c r="B67" i="11" s="1"/>
  <c r="B68" i="11" s="1"/>
  <c r="B69" i="11" s="1"/>
  <c r="B70" i="11" s="1"/>
  <c r="B71" i="11" s="1"/>
  <c r="B72" i="11" s="1"/>
  <c r="B73" i="11" s="1"/>
  <c r="B74" i="11" s="1"/>
  <c r="B75" i="11" s="1"/>
  <c r="B76" i="11" s="1"/>
  <c r="B77" i="11" s="1"/>
  <c r="B78" i="11" s="1"/>
  <c r="B79" i="11" s="1"/>
  <c r="B80" i="11" s="1"/>
  <c r="B81" i="11" s="1"/>
  <c r="B82" i="11" s="1"/>
  <c r="B83" i="11" s="1"/>
  <c r="B84" i="11" s="1"/>
  <c r="B85" i="11" s="1"/>
  <c r="B86" i="11" s="1"/>
  <c r="B87" i="11" s="1"/>
  <c r="B88" i="11" s="1"/>
  <c r="B89" i="11" s="1"/>
  <c r="B90" i="11" s="1"/>
  <c r="B91" i="11" s="1"/>
  <c r="B92" i="11" s="1"/>
  <c r="B93" i="11" s="1"/>
  <c r="B94" i="11" s="1"/>
  <c r="B95" i="11" s="1"/>
  <c r="B96" i="11" s="1"/>
  <c r="B97" i="11" s="1"/>
  <c r="B98" i="11" s="1"/>
  <c r="B99" i="11" s="1"/>
  <c r="B100" i="11" s="1"/>
  <c r="B101" i="11" s="1"/>
  <c r="B102" i="11" s="1"/>
  <c r="B103" i="11" s="1"/>
  <c r="B104" i="11" s="1"/>
  <c r="B105" i="11" s="1"/>
  <c r="B106" i="11" s="1"/>
  <c r="B107" i="11" s="1"/>
  <c r="B108" i="11" s="1"/>
  <c r="B109" i="11" s="1"/>
  <c r="B110" i="11" s="1"/>
  <c r="B111" i="11" s="1"/>
  <c r="B112" i="11" s="1"/>
  <c r="B113" i="11" s="1"/>
  <c r="B114" i="11" s="1"/>
  <c r="B115" i="11" s="1"/>
  <c r="B116" i="11" s="1"/>
  <c r="B117" i="11" s="1"/>
  <c r="B118" i="11" s="1"/>
  <c r="B119" i="11" s="1"/>
  <c r="B120" i="11" s="1"/>
  <c r="B121" i="11" s="1"/>
  <c r="G7" i="10"/>
  <c r="G7" i="11"/>
  <c r="G15" i="2"/>
  <c r="G12" i="11" s="1"/>
  <c r="H42" i="12"/>
  <c r="G5" i="10"/>
  <c r="G5" i="11"/>
  <c r="H25" i="12"/>
  <c r="G9" i="2"/>
  <c r="H17" i="12"/>
  <c r="K11" i="15"/>
  <c r="D15" i="15"/>
  <c r="D71" i="15" s="1"/>
  <c r="H19" i="12"/>
  <c r="I17" i="16" s="1"/>
  <c r="C23" i="16"/>
  <c r="H22" i="12"/>
  <c r="I19" i="16" s="1"/>
  <c r="J19" i="16" s="1"/>
  <c r="D16" i="15"/>
  <c r="D72" i="15" s="1"/>
  <c r="I2" i="10"/>
  <c r="D17" i="15"/>
  <c r="D73" i="15" s="1"/>
  <c r="G10" i="10"/>
  <c r="J12" i="12"/>
  <c r="F3" i="2"/>
  <c r="I2" i="11"/>
  <c r="I37" i="16" l="1"/>
  <c r="K84" i="16" s="1"/>
  <c r="B231" i="1"/>
  <c r="B227" i="1"/>
  <c r="B223" i="1"/>
  <c r="B219" i="1"/>
  <c r="B215" i="1"/>
  <c r="B211" i="1"/>
  <c r="B207" i="1"/>
  <c r="B203" i="1"/>
  <c r="B199" i="1"/>
  <c r="B195" i="1"/>
  <c r="B191" i="1"/>
  <c r="B187" i="1"/>
  <c r="B183" i="1"/>
  <c r="B179" i="1"/>
  <c r="B175" i="1"/>
  <c r="B171" i="1"/>
  <c r="B167" i="1"/>
  <c r="B163" i="1"/>
  <c r="B159" i="1"/>
  <c r="B155" i="1"/>
  <c r="B151" i="1"/>
  <c r="B147" i="1"/>
  <c r="B143" i="1"/>
  <c r="B139" i="1"/>
  <c r="B135" i="1"/>
  <c r="B230" i="1"/>
  <c r="B225" i="1"/>
  <c r="B220" i="1"/>
  <c r="B214" i="1"/>
  <c r="B209" i="1"/>
  <c r="B204" i="1"/>
  <c r="B198" i="1"/>
  <c r="B193" i="1"/>
  <c r="B188" i="1"/>
  <c r="B182" i="1"/>
  <c r="B177" i="1"/>
  <c r="B172" i="1"/>
  <c r="B166" i="1"/>
  <c r="B161" i="1"/>
  <c r="B156" i="1"/>
  <c r="B150" i="1"/>
  <c r="B145" i="1"/>
  <c r="B140" i="1"/>
  <c r="B134" i="1"/>
  <c r="B229" i="1"/>
  <c r="B224" i="1"/>
  <c r="B218" i="1"/>
  <c r="B213" i="1"/>
  <c r="B208" i="1"/>
  <c r="B202" i="1"/>
  <c r="B197" i="1"/>
  <c r="B192" i="1"/>
  <c r="B186" i="1"/>
  <c r="B181" i="1"/>
  <c r="B176" i="1"/>
  <c r="B170" i="1"/>
  <c r="B165" i="1"/>
  <c r="B160" i="1"/>
  <c r="B154" i="1"/>
  <c r="B149" i="1"/>
  <c r="B144" i="1"/>
  <c r="B138" i="1"/>
  <c r="B133" i="1"/>
  <c r="B228" i="1"/>
  <c r="B222" i="1"/>
  <c r="B217" i="1"/>
  <c r="B232" i="1"/>
  <c r="B212" i="1"/>
  <c r="B201" i="1"/>
  <c r="B190" i="1"/>
  <c r="B180" i="1"/>
  <c r="B169" i="1"/>
  <c r="B158" i="1"/>
  <c r="B148" i="1"/>
  <c r="B137" i="1"/>
  <c r="B226" i="1"/>
  <c r="B200" i="1"/>
  <c r="B178" i="1"/>
  <c r="B157" i="1"/>
  <c r="B136" i="1"/>
  <c r="B206" i="1"/>
  <c r="B196" i="1"/>
  <c r="B174" i="1"/>
  <c r="B153" i="1"/>
  <c r="B132" i="1"/>
  <c r="B216" i="1"/>
  <c r="B205" i="1"/>
  <c r="B194" i="1"/>
  <c r="B184" i="1"/>
  <c r="B173" i="1"/>
  <c r="B162" i="1"/>
  <c r="B152" i="1"/>
  <c r="B141" i="1"/>
  <c r="B210" i="1"/>
  <c r="B189" i="1"/>
  <c r="B168" i="1"/>
  <c r="B146" i="1"/>
  <c r="B221" i="1"/>
  <c r="B185" i="1"/>
  <c r="B164" i="1"/>
  <c r="B142" i="1"/>
  <c r="B12" i="13"/>
  <c r="G8" i="11"/>
  <c r="H12" i="11" s="1"/>
  <c r="G8" i="10"/>
  <c r="G6" i="10"/>
  <c r="I17" i="12"/>
  <c r="I15" i="16"/>
  <c r="J15" i="16" s="1"/>
  <c r="J58" i="16"/>
  <c r="I49" i="16"/>
  <c r="J49" i="16" s="1"/>
  <c r="I34" i="16"/>
  <c r="J34" i="16" s="1"/>
  <c r="I57" i="16"/>
  <c r="J57" i="16" s="1"/>
  <c r="I35" i="16"/>
  <c r="J35" i="16" s="1"/>
  <c r="G11" i="10"/>
  <c r="K82" i="16" l="1"/>
  <c r="K83" i="16"/>
  <c r="J37" i="16"/>
  <c r="K85" i="16"/>
  <c r="F164" i="1"/>
  <c r="D164" i="1"/>
  <c r="E164" i="1"/>
  <c r="C164" i="1"/>
  <c r="F168" i="1"/>
  <c r="D168" i="1"/>
  <c r="C168" i="1"/>
  <c r="E168" i="1"/>
  <c r="F152" i="1"/>
  <c r="D152" i="1"/>
  <c r="E152" i="1"/>
  <c r="C152" i="1"/>
  <c r="F194" i="1"/>
  <c r="D194" i="1"/>
  <c r="E194" i="1"/>
  <c r="C194" i="1"/>
  <c r="E153" i="1"/>
  <c r="C153" i="1"/>
  <c r="F153" i="1"/>
  <c r="D153" i="1"/>
  <c r="F136" i="1"/>
  <c r="D136" i="1"/>
  <c r="E136" i="1"/>
  <c r="C136" i="1"/>
  <c r="F226" i="1"/>
  <c r="D226" i="1"/>
  <c r="E226" i="1"/>
  <c r="C226" i="1"/>
  <c r="E169" i="1"/>
  <c r="C169" i="1"/>
  <c r="F169" i="1"/>
  <c r="D169" i="1"/>
  <c r="F212" i="1"/>
  <c r="D212" i="1"/>
  <c r="E212" i="1"/>
  <c r="C212" i="1"/>
  <c r="F228" i="1"/>
  <c r="D228" i="1"/>
  <c r="E228" i="1"/>
  <c r="C228" i="1"/>
  <c r="E149" i="1"/>
  <c r="C149" i="1"/>
  <c r="D149" i="1"/>
  <c r="F149" i="1"/>
  <c r="F170" i="1"/>
  <c r="D170" i="1"/>
  <c r="E170" i="1"/>
  <c r="C170" i="1"/>
  <c r="F192" i="1"/>
  <c r="D192" i="1"/>
  <c r="E192" i="1"/>
  <c r="C192" i="1"/>
  <c r="E213" i="1"/>
  <c r="C213" i="1"/>
  <c r="F213" i="1"/>
  <c r="D213" i="1"/>
  <c r="F134" i="1"/>
  <c r="C41" i="1" s="1"/>
  <c r="E134" i="1"/>
  <c r="C134" i="1"/>
  <c r="D134" i="1"/>
  <c r="F156" i="1"/>
  <c r="E156" i="1"/>
  <c r="D156" i="1"/>
  <c r="C156" i="1"/>
  <c r="E177" i="1"/>
  <c r="C177" i="1"/>
  <c r="D177" i="1"/>
  <c r="F177" i="1"/>
  <c r="F198" i="1"/>
  <c r="D198" i="1"/>
  <c r="E198" i="1"/>
  <c r="C198" i="1"/>
  <c r="F220" i="1"/>
  <c r="D220" i="1"/>
  <c r="C220" i="1"/>
  <c r="E220" i="1"/>
  <c r="E139" i="1"/>
  <c r="C139" i="1"/>
  <c r="D139" i="1"/>
  <c r="F139" i="1"/>
  <c r="E155" i="1"/>
  <c r="C155" i="1"/>
  <c r="D155" i="1"/>
  <c r="F155" i="1"/>
  <c r="E171" i="1"/>
  <c r="C171" i="1"/>
  <c r="F171" i="1"/>
  <c r="D171" i="1"/>
  <c r="E187" i="1"/>
  <c r="C187" i="1"/>
  <c r="F187" i="1"/>
  <c r="D187" i="1"/>
  <c r="E203" i="1"/>
  <c r="C203" i="1"/>
  <c r="F203" i="1"/>
  <c r="D203" i="1"/>
  <c r="E219" i="1"/>
  <c r="C219" i="1"/>
  <c r="F219" i="1"/>
  <c r="D219" i="1"/>
  <c r="E185" i="1"/>
  <c r="C185" i="1"/>
  <c r="F185" i="1"/>
  <c r="D185" i="1"/>
  <c r="E189" i="1"/>
  <c r="C189" i="1"/>
  <c r="D189" i="1"/>
  <c r="F189" i="1"/>
  <c r="F162" i="1"/>
  <c r="E162" i="1"/>
  <c r="D162" i="1"/>
  <c r="C162" i="1"/>
  <c r="E205" i="1"/>
  <c r="C205" i="1"/>
  <c r="D205" i="1"/>
  <c r="F205" i="1"/>
  <c r="F174" i="1"/>
  <c r="D174" i="1"/>
  <c r="E174" i="1"/>
  <c r="C174" i="1"/>
  <c r="E157" i="1"/>
  <c r="C157" i="1"/>
  <c r="F157" i="1"/>
  <c r="D157" i="1"/>
  <c r="E137" i="1"/>
  <c r="C137" i="1"/>
  <c r="F137" i="1"/>
  <c r="D137" i="1"/>
  <c r="F180" i="1"/>
  <c r="D180" i="1"/>
  <c r="E180" i="1"/>
  <c r="C180" i="1"/>
  <c r="F232" i="1"/>
  <c r="D232" i="1"/>
  <c r="C232" i="1"/>
  <c r="E232" i="1"/>
  <c r="E133" i="1"/>
  <c r="C133" i="1"/>
  <c r="D133" i="1"/>
  <c r="F133" i="1"/>
  <c r="F154" i="1"/>
  <c r="E154" i="1"/>
  <c r="D154" i="1"/>
  <c r="C154" i="1"/>
  <c r="F176" i="1"/>
  <c r="D176" i="1"/>
  <c r="E176" i="1"/>
  <c r="C176" i="1"/>
  <c r="E197" i="1"/>
  <c r="C197" i="1"/>
  <c r="F197" i="1"/>
  <c r="D197" i="1"/>
  <c r="F218" i="1"/>
  <c r="D218" i="1"/>
  <c r="E218" i="1"/>
  <c r="C218" i="1"/>
  <c r="F140" i="1"/>
  <c r="E140" i="1"/>
  <c r="D140" i="1"/>
  <c r="C140" i="1"/>
  <c r="E161" i="1"/>
  <c r="C161" i="1"/>
  <c r="F161" i="1"/>
  <c r="D161" i="1"/>
  <c r="F182" i="1"/>
  <c r="D182" i="1"/>
  <c r="E182" i="1"/>
  <c r="C182" i="1"/>
  <c r="F204" i="1"/>
  <c r="D204" i="1"/>
  <c r="C204" i="1"/>
  <c r="E204" i="1"/>
  <c r="E225" i="1"/>
  <c r="C225" i="1"/>
  <c r="D225" i="1"/>
  <c r="F225" i="1"/>
  <c r="E143" i="1"/>
  <c r="C143" i="1"/>
  <c r="F143" i="1"/>
  <c r="D143" i="1"/>
  <c r="E159" i="1"/>
  <c r="C159" i="1"/>
  <c r="F159" i="1"/>
  <c r="D159" i="1"/>
  <c r="E175" i="1"/>
  <c r="C175" i="1"/>
  <c r="F175" i="1"/>
  <c r="D175" i="1"/>
  <c r="E191" i="1"/>
  <c r="C191" i="1"/>
  <c r="F191" i="1"/>
  <c r="D191" i="1"/>
  <c r="E207" i="1"/>
  <c r="C207" i="1"/>
  <c r="F207" i="1"/>
  <c r="D207" i="1"/>
  <c r="E223" i="1"/>
  <c r="C223" i="1"/>
  <c r="F223" i="1"/>
  <c r="D223" i="1"/>
  <c r="E221" i="1"/>
  <c r="C221" i="1"/>
  <c r="D221" i="1"/>
  <c r="F221" i="1"/>
  <c r="F210" i="1"/>
  <c r="D210" i="1"/>
  <c r="E210" i="1"/>
  <c r="C210" i="1"/>
  <c r="E173" i="1"/>
  <c r="C173" i="1"/>
  <c r="D173" i="1"/>
  <c r="F173" i="1"/>
  <c r="F216" i="1"/>
  <c r="D216" i="1"/>
  <c r="C216" i="1"/>
  <c r="E216" i="1"/>
  <c r="F196" i="1"/>
  <c r="D196" i="1"/>
  <c r="E196" i="1"/>
  <c r="C196" i="1"/>
  <c r="F178" i="1"/>
  <c r="D178" i="1"/>
  <c r="E178" i="1"/>
  <c r="C178" i="1"/>
  <c r="F148" i="1"/>
  <c r="E148" i="1"/>
  <c r="D148" i="1"/>
  <c r="C148" i="1"/>
  <c r="F190" i="1"/>
  <c r="D190" i="1"/>
  <c r="E190" i="1"/>
  <c r="C190" i="1"/>
  <c r="E217" i="1"/>
  <c r="C217" i="1"/>
  <c r="F217" i="1"/>
  <c r="D217" i="1"/>
  <c r="F138" i="1"/>
  <c r="E138" i="1"/>
  <c r="D138" i="1"/>
  <c r="C138" i="1"/>
  <c r="F160" i="1"/>
  <c r="E160" i="1"/>
  <c r="D160" i="1"/>
  <c r="C160" i="1"/>
  <c r="E181" i="1"/>
  <c r="C181" i="1"/>
  <c r="F181" i="1"/>
  <c r="D181" i="1"/>
  <c r="F202" i="1"/>
  <c r="D202" i="1"/>
  <c r="E202" i="1"/>
  <c r="C202" i="1"/>
  <c r="F224" i="1"/>
  <c r="D224" i="1"/>
  <c r="E224" i="1"/>
  <c r="C224" i="1"/>
  <c r="E145" i="1"/>
  <c r="C145" i="1"/>
  <c r="F145" i="1"/>
  <c r="D145" i="1"/>
  <c r="F166" i="1"/>
  <c r="D166" i="1"/>
  <c r="E166" i="1"/>
  <c r="C166" i="1"/>
  <c r="F188" i="1"/>
  <c r="D188" i="1"/>
  <c r="C188" i="1"/>
  <c r="E188" i="1"/>
  <c r="E209" i="1"/>
  <c r="C209" i="1"/>
  <c r="D209" i="1"/>
  <c r="F209" i="1"/>
  <c r="F230" i="1"/>
  <c r="D230" i="1"/>
  <c r="E230" i="1"/>
  <c r="C230" i="1"/>
  <c r="E147" i="1"/>
  <c r="C147" i="1"/>
  <c r="D147" i="1"/>
  <c r="F147" i="1"/>
  <c r="E163" i="1"/>
  <c r="C163" i="1"/>
  <c r="D163" i="1"/>
  <c r="F163" i="1"/>
  <c r="E179" i="1"/>
  <c r="C179" i="1"/>
  <c r="D179" i="1"/>
  <c r="F179" i="1"/>
  <c r="E195" i="1"/>
  <c r="C195" i="1"/>
  <c r="D195" i="1"/>
  <c r="F195" i="1"/>
  <c r="E211" i="1"/>
  <c r="C211" i="1"/>
  <c r="D211" i="1"/>
  <c r="F211" i="1"/>
  <c r="E227" i="1"/>
  <c r="C227" i="1"/>
  <c r="D227" i="1"/>
  <c r="F227" i="1"/>
  <c r="F142" i="1"/>
  <c r="E142" i="1"/>
  <c r="C142" i="1"/>
  <c r="D142" i="1"/>
  <c r="F146" i="1"/>
  <c r="E146" i="1"/>
  <c r="D146" i="1"/>
  <c r="C146" i="1"/>
  <c r="E141" i="1"/>
  <c r="C141" i="1"/>
  <c r="F141" i="1"/>
  <c r="D141" i="1"/>
  <c r="F184" i="1"/>
  <c r="D184" i="1"/>
  <c r="C184" i="1"/>
  <c r="E184" i="1"/>
  <c r="C132" i="1"/>
  <c r="D132" i="1"/>
  <c r="F132" i="1"/>
  <c r="E132" i="1"/>
  <c r="F206" i="1"/>
  <c r="D206" i="1"/>
  <c r="E206" i="1"/>
  <c r="C206" i="1"/>
  <c r="F200" i="1"/>
  <c r="D200" i="1"/>
  <c r="C200" i="1"/>
  <c r="E200" i="1"/>
  <c r="F158" i="1"/>
  <c r="E158" i="1"/>
  <c r="C158" i="1"/>
  <c r="D158" i="1"/>
  <c r="E201" i="1"/>
  <c r="C201" i="1"/>
  <c r="F201" i="1"/>
  <c r="D201" i="1"/>
  <c r="F222" i="1"/>
  <c r="D222" i="1"/>
  <c r="E222" i="1"/>
  <c r="C222" i="1"/>
  <c r="F144" i="1"/>
  <c r="D144" i="1"/>
  <c r="C144" i="1"/>
  <c r="E144" i="1"/>
  <c r="E165" i="1"/>
  <c r="C165" i="1"/>
  <c r="F165" i="1"/>
  <c r="D165" i="1"/>
  <c r="F186" i="1"/>
  <c r="D186" i="1"/>
  <c r="E186" i="1"/>
  <c r="C186" i="1"/>
  <c r="F208" i="1"/>
  <c r="D208" i="1"/>
  <c r="E208" i="1"/>
  <c r="C208" i="1"/>
  <c r="E229" i="1"/>
  <c r="C229" i="1"/>
  <c r="F229" i="1"/>
  <c r="D229" i="1"/>
  <c r="F150" i="1"/>
  <c r="E150" i="1"/>
  <c r="C150" i="1"/>
  <c r="D150" i="1"/>
  <c r="F172" i="1"/>
  <c r="D172" i="1"/>
  <c r="C172" i="1"/>
  <c r="E172" i="1"/>
  <c r="E193" i="1"/>
  <c r="C193" i="1"/>
  <c r="D193" i="1"/>
  <c r="F193" i="1"/>
  <c r="F214" i="1"/>
  <c r="D214" i="1"/>
  <c r="E214" i="1"/>
  <c r="C214" i="1"/>
  <c r="E135" i="1"/>
  <c r="C135" i="1"/>
  <c r="D135" i="1"/>
  <c r="F135" i="1"/>
  <c r="E151" i="1"/>
  <c r="C151" i="1"/>
  <c r="F151" i="1"/>
  <c r="D151" i="1"/>
  <c r="E167" i="1"/>
  <c r="C167" i="1"/>
  <c r="D167" i="1"/>
  <c r="F167" i="1"/>
  <c r="E183" i="1"/>
  <c r="C183" i="1"/>
  <c r="D183" i="1"/>
  <c r="F183" i="1"/>
  <c r="E199" i="1"/>
  <c r="C199" i="1"/>
  <c r="D199" i="1"/>
  <c r="F199" i="1"/>
  <c r="E215" i="1"/>
  <c r="C215" i="1"/>
  <c r="D215" i="1"/>
  <c r="F215" i="1"/>
  <c r="E231" i="1"/>
  <c r="C231" i="1"/>
  <c r="F231" i="1"/>
  <c r="D231" i="1"/>
  <c r="C94" i="1" l="1"/>
  <c r="E94" i="1" s="1"/>
  <c r="G94" i="1" s="1"/>
  <c r="E76" i="11" s="1"/>
  <c r="G76" i="11" s="1"/>
  <c r="I76" i="11" s="1"/>
  <c r="K76" i="11" s="1"/>
  <c r="H59" i="15" s="1"/>
  <c r="B99" i="1"/>
  <c r="D99" i="1" s="1"/>
  <c r="F99" i="1" s="1"/>
  <c r="D87" i="2" s="1"/>
  <c r="F87" i="2" s="1"/>
  <c r="H87" i="2" s="1"/>
  <c r="J87" i="2" s="1"/>
  <c r="C64" i="15" s="1"/>
  <c r="B119" i="1"/>
  <c r="D119" i="1" s="1"/>
  <c r="F119" i="1" s="1"/>
  <c r="D101" i="11" s="1"/>
  <c r="B115" i="1"/>
  <c r="G208" i="1" s="1"/>
  <c r="I208" i="1" s="1"/>
  <c r="C72" i="1"/>
  <c r="E72" i="1" s="1"/>
  <c r="G72" i="1" s="1"/>
  <c r="E60" i="2" s="1"/>
  <c r="G60" i="2" s="1"/>
  <c r="I60" i="2" s="1"/>
  <c r="K60" i="2" s="1"/>
  <c r="D37" i="15" s="1"/>
  <c r="B113" i="1"/>
  <c r="G206" i="1" s="1"/>
  <c r="I206" i="1" s="1"/>
  <c r="C52" i="1"/>
  <c r="H145" i="1" s="1"/>
  <c r="J145" i="1" s="1"/>
  <c r="B109" i="1"/>
  <c r="D109" i="1" s="1"/>
  <c r="F109" i="1" s="1"/>
  <c r="D91" i="11" s="1"/>
  <c r="C124" i="1"/>
  <c r="E124" i="1" s="1"/>
  <c r="G124" i="1" s="1"/>
  <c r="B103" i="1"/>
  <c r="G196" i="1" s="1"/>
  <c r="I196" i="1" s="1"/>
  <c r="C114" i="1"/>
  <c r="E114" i="1" s="1"/>
  <c r="G114" i="1" s="1"/>
  <c r="E96" i="11" s="1"/>
  <c r="C82" i="1"/>
  <c r="H175" i="1" s="1"/>
  <c r="J175" i="1" s="1"/>
  <c r="C50" i="1"/>
  <c r="E50" i="1" s="1"/>
  <c r="G50" i="1" s="1"/>
  <c r="E32" i="10" s="1"/>
  <c r="G32" i="10" s="1"/>
  <c r="I32" i="10" s="1"/>
  <c r="K32" i="10" s="1"/>
  <c r="L28" i="15" s="1"/>
  <c r="C68" i="1"/>
  <c r="E68" i="1" s="1"/>
  <c r="G68" i="1" s="1"/>
  <c r="E50" i="11" s="1"/>
  <c r="N50" i="11" s="1"/>
  <c r="B83" i="1"/>
  <c r="D83" i="1" s="1"/>
  <c r="F83" i="1" s="1"/>
  <c r="D71" i="2" s="1"/>
  <c r="F71" i="2" s="1"/>
  <c r="H71" i="2" s="1"/>
  <c r="J71" i="2" s="1"/>
  <c r="C48" i="15" s="1"/>
  <c r="B87" i="1"/>
  <c r="D87" i="1" s="1"/>
  <c r="F87" i="1" s="1"/>
  <c r="D69" i="11" s="1"/>
  <c r="C64" i="1"/>
  <c r="H157" i="1" s="1"/>
  <c r="J157" i="1" s="1"/>
  <c r="C60" i="1"/>
  <c r="E60" i="1" s="1"/>
  <c r="G60" i="1" s="1"/>
  <c r="E42" i="11" s="1"/>
  <c r="G42" i="11" s="1"/>
  <c r="I42" i="11" s="1"/>
  <c r="K42" i="11" s="1"/>
  <c r="H25" i="15" s="1"/>
  <c r="B59" i="1"/>
  <c r="D59" i="1" s="1"/>
  <c r="F59" i="1" s="1"/>
  <c r="D41" i="10" s="1"/>
  <c r="F41" i="10" s="1"/>
  <c r="H41" i="10" s="1"/>
  <c r="J41" i="10" s="1"/>
  <c r="K37" i="15" s="1"/>
  <c r="B71" i="1"/>
  <c r="D71" i="1" s="1"/>
  <c r="F71" i="1" s="1"/>
  <c r="D53" i="11" s="1"/>
  <c r="B121" i="1"/>
  <c r="G214" i="1" s="1"/>
  <c r="I214" i="1" s="1"/>
  <c r="C108" i="1"/>
  <c r="E108" i="1" s="1"/>
  <c r="G108" i="1" s="1"/>
  <c r="E90" i="11" s="1"/>
  <c r="C48" i="1"/>
  <c r="E48" i="1" s="1"/>
  <c r="G48" i="1" s="1"/>
  <c r="E36" i="2" s="1"/>
  <c r="G36" i="2" s="1"/>
  <c r="I36" i="2" s="1"/>
  <c r="K36" i="2" s="1"/>
  <c r="D82" i="15" s="1"/>
  <c r="B73" i="1"/>
  <c r="D73" i="1" s="1"/>
  <c r="F73" i="1" s="1"/>
  <c r="D55" i="11" s="1"/>
  <c r="C88" i="1"/>
  <c r="E88" i="1" s="1"/>
  <c r="G88" i="1" s="1"/>
  <c r="E76" i="2" s="1"/>
  <c r="G76" i="2" s="1"/>
  <c r="I76" i="2" s="1"/>
  <c r="K76" i="2" s="1"/>
  <c r="D53" i="15" s="1"/>
  <c r="B97" i="1"/>
  <c r="D97" i="1" s="1"/>
  <c r="F97" i="1" s="1"/>
  <c r="D85" i="2" s="1"/>
  <c r="F85" i="2" s="1"/>
  <c r="H85" i="2" s="1"/>
  <c r="J85" i="2" s="1"/>
  <c r="C62" i="15" s="1"/>
  <c r="B85" i="1"/>
  <c r="D85" i="1" s="1"/>
  <c r="F85" i="1" s="1"/>
  <c r="D73" i="2" s="1"/>
  <c r="F73" i="2" s="1"/>
  <c r="H73" i="2" s="1"/>
  <c r="J73" i="2" s="1"/>
  <c r="C50" i="15" s="1"/>
  <c r="B117" i="1"/>
  <c r="D117" i="1" s="1"/>
  <c r="F117" i="1" s="1"/>
  <c r="D105" i="2" s="1"/>
  <c r="F105" i="2" s="1"/>
  <c r="H105" i="2" s="1"/>
  <c r="J105" i="2" s="1"/>
  <c r="C98" i="1"/>
  <c r="E98" i="1" s="1"/>
  <c r="G98" i="1" s="1"/>
  <c r="E86" i="2" s="1"/>
  <c r="G86" i="2" s="1"/>
  <c r="I86" i="2" s="1"/>
  <c r="K86" i="2" s="1"/>
  <c r="D63" i="15" s="1"/>
  <c r="C66" i="1"/>
  <c r="H159" i="1" s="1"/>
  <c r="J159" i="1" s="1"/>
  <c r="B89" i="1"/>
  <c r="G182" i="1" s="1"/>
  <c r="I182" i="1" s="1"/>
  <c r="C104" i="1"/>
  <c r="E104" i="1" s="1"/>
  <c r="G104" i="1" s="1"/>
  <c r="E92" i="2" s="1"/>
  <c r="G92" i="2" s="1"/>
  <c r="I92" i="2" s="1"/>
  <c r="K92" i="2" s="1"/>
  <c r="C44" i="1"/>
  <c r="E44" i="1" s="1"/>
  <c r="G44" i="1" s="1"/>
  <c r="E26" i="11" s="1"/>
  <c r="B81" i="1"/>
  <c r="D81" i="1" s="1"/>
  <c r="F81" i="1" s="1"/>
  <c r="D63" i="11" s="1"/>
  <c r="C92" i="1"/>
  <c r="E92" i="1" s="1"/>
  <c r="G92" i="1" s="1"/>
  <c r="E80" i="2" s="1"/>
  <c r="G80" i="2" s="1"/>
  <c r="I80" i="2" s="1"/>
  <c r="K80" i="2" s="1"/>
  <c r="D57" i="15" s="1"/>
  <c r="C110" i="1"/>
  <c r="E110" i="1" s="1"/>
  <c r="G110" i="1" s="1"/>
  <c r="E98" i="2" s="1"/>
  <c r="G98" i="2" s="1"/>
  <c r="I98" i="2" s="1"/>
  <c r="K98" i="2" s="1"/>
  <c r="C78" i="1"/>
  <c r="E78" i="1" s="1"/>
  <c r="G78" i="1" s="1"/>
  <c r="E66" i="2" s="1"/>
  <c r="G66" i="2" s="1"/>
  <c r="I66" i="2" s="1"/>
  <c r="K66" i="2" s="1"/>
  <c r="D43" i="15" s="1"/>
  <c r="B105" i="1"/>
  <c r="D105" i="1" s="1"/>
  <c r="F105" i="1" s="1"/>
  <c r="D93" i="2" s="1"/>
  <c r="F93" i="2" s="1"/>
  <c r="H93" i="2" s="1"/>
  <c r="J93" i="2" s="1"/>
  <c r="C120" i="1"/>
  <c r="E120" i="1" s="1"/>
  <c r="G120" i="1" s="1"/>
  <c r="E102" i="11" s="1"/>
  <c r="B77" i="1"/>
  <c r="D77" i="1" s="1"/>
  <c r="F77" i="1" s="1"/>
  <c r="D59" i="11" s="1"/>
  <c r="C76" i="1"/>
  <c r="H169" i="1" s="1"/>
  <c r="J169" i="1" s="1"/>
  <c r="B43" i="1"/>
  <c r="D43" i="1" s="1"/>
  <c r="F43" i="1" s="1"/>
  <c r="D31" i="2" s="1"/>
  <c r="F31" i="2" s="1"/>
  <c r="H31" i="2" s="1"/>
  <c r="J31" i="2" s="1"/>
  <c r="B101" i="1"/>
  <c r="G194" i="1" s="1"/>
  <c r="I194" i="1" s="1"/>
  <c r="B47" i="1"/>
  <c r="D47" i="1" s="1"/>
  <c r="F47" i="1" s="1"/>
  <c r="D29" i="11" s="1"/>
  <c r="B61" i="1"/>
  <c r="D61" i="1" s="1"/>
  <c r="F61" i="1" s="1"/>
  <c r="D49" i="2" s="1"/>
  <c r="F49" i="2" s="1"/>
  <c r="H49" i="2" s="1"/>
  <c r="J49" i="2" s="1"/>
  <c r="C26" i="15" s="1"/>
  <c r="B69" i="1"/>
  <c r="D69" i="1" s="1"/>
  <c r="F69" i="1" s="1"/>
  <c r="D51" i="11" s="1"/>
  <c r="C58" i="1"/>
  <c r="H151" i="1" s="1"/>
  <c r="J151" i="1" s="1"/>
  <c r="B93" i="1"/>
  <c r="D93" i="1" s="1"/>
  <c r="F93" i="1" s="1"/>
  <c r="D75" i="11" s="1"/>
  <c r="B53" i="1"/>
  <c r="G146" i="1" s="1"/>
  <c r="I146" i="1" s="1"/>
  <c r="B67" i="1"/>
  <c r="B45" i="1"/>
  <c r="D45" i="1" s="1"/>
  <c r="F45" i="1" s="1"/>
  <c r="B55" i="1"/>
  <c r="G148" i="1" s="1"/>
  <c r="I148" i="1" s="1"/>
  <c r="B63" i="1"/>
  <c r="G156" i="1" s="1"/>
  <c r="I156" i="1" s="1"/>
  <c r="C57" i="1"/>
  <c r="E57" i="1" s="1"/>
  <c r="G57" i="1" s="1"/>
  <c r="E39" i="11" s="1"/>
  <c r="G39" i="11" s="1"/>
  <c r="I39" i="11" s="1"/>
  <c r="K39" i="11" s="1"/>
  <c r="H22" i="15" s="1"/>
  <c r="C65" i="1"/>
  <c r="E65" i="1" s="1"/>
  <c r="G65" i="1" s="1"/>
  <c r="C49" i="1"/>
  <c r="E49" i="1" s="1"/>
  <c r="G49" i="1" s="1"/>
  <c r="E31" i="11" s="1"/>
  <c r="E41" i="1"/>
  <c r="G41" i="1" s="1"/>
  <c r="E23" i="11" s="1"/>
  <c r="H134" i="1"/>
  <c r="J134" i="1" s="1"/>
  <c r="B57" i="1"/>
  <c r="B65" i="1"/>
  <c r="B49" i="1"/>
  <c r="B41" i="1"/>
  <c r="C122" i="1"/>
  <c r="C106" i="1"/>
  <c r="C90" i="1"/>
  <c r="C74" i="1"/>
  <c r="C42" i="1"/>
  <c r="C100" i="1"/>
  <c r="B79" i="1"/>
  <c r="B51" i="1"/>
  <c r="B107" i="1"/>
  <c r="B39" i="1"/>
  <c r="B91" i="1"/>
  <c r="C118" i="1"/>
  <c r="C102" i="1"/>
  <c r="C86" i="1"/>
  <c r="C70" i="1"/>
  <c r="C54" i="1"/>
  <c r="C116" i="1"/>
  <c r="B95" i="1"/>
  <c r="B123" i="1"/>
  <c r="C80" i="1"/>
  <c r="B111" i="1"/>
  <c r="C40" i="1"/>
  <c r="C112" i="1"/>
  <c r="C96" i="1"/>
  <c r="C62" i="1"/>
  <c r="C46" i="1"/>
  <c r="C84" i="1"/>
  <c r="C56" i="1"/>
  <c r="B75" i="1"/>
  <c r="C39" i="1"/>
  <c r="B122" i="1"/>
  <c r="B106" i="1"/>
  <c r="B90" i="1"/>
  <c r="B74" i="1"/>
  <c r="B58" i="1"/>
  <c r="B42" i="1"/>
  <c r="C121" i="1"/>
  <c r="B100" i="1"/>
  <c r="C79" i="1"/>
  <c r="C115" i="1"/>
  <c r="C93" i="1"/>
  <c r="B72" i="1"/>
  <c r="C51" i="1"/>
  <c r="B108" i="1"/>
  <c r="C107" i="1"/>
  <c r="C113" i="1"/>
  <c r="C91" i="1"/>
  <c r="B48" i="1"/>
  <c r="C53" i="1"/>
  <c r="B118" i="1"/>
  <c r="B102" i="1"/>
  <c r="B86" i="1"/>
  <c r="B70" i="1"/>
  <c r="B54" i="1"/>
  <c r="B116" i="1"/>
  <c r="C95" i="1"/>
  <c r="C73" i="1"/>
  <c r="B52" i="1"/>
  <c r="C109" i="1"/>
  <c r="B88" i="1"/>
  <c r="C67" i="1"/>
  <c r="C45" i="1"/>
  <c r="B124" i="1"/>
  <c r="C97" i="1"/>
  <c r="C55" i="1"/>
  <c r="C85" i="1"/>
  <c r="C103" i="1"/>
  <c r="C123" i="1"/>
  <c r="B80" i="1"/>
  <c r="C117" i="1"/>
  <c r="B114" i="1"/>
  <c r="B98" i="1"/>
  <c r="B82" i="1"/>
  <c r="B66" i="1"/>
  <c r="B50" i="1"/>
  <c r="C111" i="1"/>
  <c r="C89" i="1"/>
  <c r="B68" i="1"/>
  <c r="C47" i="1"/>
  <c r="B104" i="1"/>
  <c r="C83" i="1"/>
  <c r="C61" i="1"/>
  <c r="B40" i="1"/>
  <c r="C87" i="1"/>
  <c r="B44" i="1"/>
  <c r="B64" i="1"/>
  <c r="C81" i="1"/>
  <c r="B112" i="1"/>
  <c r="C69" i="1"/>
  <c r="B96" i="1"/>
  <c r="B92" i="1"/>
  <c r="B110" i="1"/>
  <c r="B94" i="1"/>
  <c r="B78" i="1"/>
  <c r="B62" i="1"/>
  <c r="B46" i="1"/>
  <c r="C105" i="1"/>
  <c r="B84" i="1"/>
  <c r="C63" i="1"/>
  <c r="B120" i="1"/>
  <c r="C99" i="1"/>
  <c r="C77" i="1"/>
  <c r="B56" i="1"/>
  <c r="C119" i="1"/>
  <c r="B76" i="1"/>
  <c r="C43" i="1"/>
  <c r="B60" i="1"/>
  <c r="C101" i="1"/>
  <c r="C59" i="1"/>
  <c r="C75" i="1"/>
  <c r="C71" i="1"/>
  <c r="D115" i="1" l="1"/>
  <c r="F115" i="1" s="1"/>
  <c r="D103" i="2" s="1"/>
  <c r="F103" i="2" s="1"/>
  <c r="H103" i="2" s="1"/>
  <c r="J103" i="2" s="1"/>
  <c r="G212" i="1"/>
  <c r="I212" i="1" s="1"/>
  <c r="E82" i="1"/>
  <c r="G82" i="1" s="1"/>
  <c r="E70" i="2" s="1"/>
  <c r="G70" i="2" s="1"/>
  <c r="I70" i="2" s="1"/>
  <c r="K70" i="2" s="1"/>
  <c r="D47" i="15" s="1"/>
  <c r="G192" i="1"/>
  <c r="I192" i="1" s="1"/>
  <c r="E64" i="1"/>
  <c r="G64" i="1" s="1"/>
  <c r="E46" i="11" s="1"/>
  <c r="G46" i="11" s="1"/>
  <c r="I46" i="11" s="1"/>
  <c r="K46" i="11" s="1"/>
  <c r="H29" i="15" s="1"/>
  <c r="D103" i="1"/>
  <c r="F103" i="1" s="1"/>
  <c r="D91" i="2" s="1"/>
  <c r="F91" i="2" s="1"/>
  <c r="H91" i="2" s="1"/>
  <c r="J91" i="2" s="1"/>
  <c r="C68" i="15" s="1"/>
  <c r="G164" i="1"/>
  <c r="I164" i="1" s="1"/>
  <c r="H161" i="1"/>
  <c r="J161" i="1" s="1"/>
  <c r="G210" i="1"/>
  <c r="I210" i="1" s="1"/>
  <c r="E66" i="1"/>
  <c r="G66" i="1" s="1"/>
  <c r="E48" i="11" s="1"/>
  <c r="N48" i="11" s="1"/>
  <c r="G176" i="1"/>
  <c r="I176" i="1" s="1"/>
  <c r="E52" i="1"/>
  <c r="G52" i="1" s="1"/>
  <c r="E40" i="2" s="1"/>
  <c r="G40" i="2" s="1"/>
  <c r="I40" i="2" s="1"/>
  <c r="K40" i="2" s="1"/>
  <c r="D86" i="15" s="1"/>
  <c r="G162" i="1"/>
  <c r="I162" i="1" s="1"/>
  <c r="G154" i="1"/>
  <c r="I154" i="1" s="1"/>
  <c r="G140" i="1"/>
  <c r="I140" i="1" s="1"/>
  <c r="D113" i="1"/>
  <c r="F113" i="1" s="1"/>
  <c r="D95" i="11" s="1"/>
  <c r="F95" i="11" s="1"/>
  <c r="H95" i="11" s="1"/>
  <c r="J95" i="11" s="1"/>
  <c r="H143" i="1"/>
  <c r="J143" i="1" s="1"/>
  <c r="D121" i="1"/>
  <c r="F121" i="1" s="1"/>
  <c r="D109" i="2" s="1"/>
  <c r="F109" i="2" s="1"/>
  <c r="H109" i="2" s="1"/>
  <c r="J109" i="2" s="1"/>
  <c r="H171" i="1"/>
  <c r="J171" i="1" s="1"/>
  <c r="H201" i="1"/>
  <c r="J201" i="1" s="1"/>
  <c r="H181" i="1"/>
  <c r="J181" i="1" s="1"/>
  <c r="H187" i="1"/>
  <c r="J187" i="1" s="1"/>
  <c r="H217" i="1"/>
  <c r="J217" i="1" s="1"/>
  <c r="E76" i="1"/>
  <c r="G76" i="1" s="1"/>
  <c r="E58" i="11" s="1"/>
  <c r="N58" i="11" s="1"/>
  <c r="H165" i="1"/>
  <c r="J165" i="1" s="1"/>
  <c r="H191" i="1"/>
  <c r="J191" i="1" s="1"/>
  <c r="G198" i="1"/>
  <c r="I198" i="1" s="1"/>
  <c r="G170" i="1"/>
  <c r="I170" i="1" s="1"/>
  <c r="G180" i="1"/>
  <c r="I180" i="1" s="1"/>
  <c r="G166" i="1"/>
  <c r="I166" i="1" s="1"/>
  <c r="G202" i="1"/>
  <c r="I202" i="1" s="1"/>
  <c r="H197" i="1"/>
  <c r="J197" i="1" s="1"/>
  <c r="G186" i="1"/>
  <c r="I186" i="1" s="1"/>
  <c r="H203" i="1"/>
  <c r="J203" i="1" s="1"/>
  <c r="H207" i="1"/>
  <c r="J207" i="1" s="1"/>
  <c r="D101" i="1"/>
  <c r="F101" i="1" s="1"/>
  <c r="D83" i="11" s="1"/>
  <c r="M83" i="11" s="1"/>
  <c r="H137" i="1"/>
  <c r="J137" i="1" s="1"/>
  <c r="H153" i="1"/>
  <c r="J153" i="1" s="1"/>
  <c r="D89" i="1"/>
  <c r="F89" i="1" s="1"/>
  <c r="D77" i="2" s="1"/>
  <c r="F77" i="2" s="1"/>
  <c r="H77" i="2" s="1"/>
  <c r="J77" i="2" s="1"/>
  <c r="C54" i="15" s="1"/>
  <c r="G178" i="1"/>
  <c r="I178" i="1" s="1"/>
  <c r="H213" i="1"/>
  <c r="J213" i="1" s="1"/>
  <c r="H185" i="1"/>
  <c r="J185" i="1" s="1"/>
  <c r="G152" i="1"/>
  <c r="I152" i="1" s="1"/>
  <c r="E58" i="1"/>
  <c r="G58" i="1" s="1"/>
  <c r="E40" i="11" s="1"/>
  <c r="G40" i="11" s="1"/>
  <c r="I40" i="11" s="1"/>
  <c r="K40" i="11" s="1"/>
  <c r="H23" i="15" s="1"/>
  <c r="G136" i="1"/>
  <c r="I136" i="1" s="1"/>
  <c r="H141" i="1"/>
  <c r="J141" i="1" s="1"/>
  <c r="G190" i="1"/>
  <c r="I190" i="1" s="1"/>
  <c r="G174" i="1"/>
  <c r="I174" i="1" s="1"/>
  <c r="D53" i="1"/>
  <c r="F53" i="1" s="1"/>
  <c r="D35" i="10" s="1"/>
  <c r="F35" i="10" s="1"/>
  <c r="H35" i="10" s="1"/>
  <c r="J35" i="10" s="1"/>
  <c r="K31" i="15" s="1"/>
  <c r="E108" i="2"/>
  <c r="G108" i="2" s="1"/>
  <c r="I108" i="2" s="1"/>
  <c r="K108" i="2" s="1"/>
  <c r="E32" i="11"/>
  <c r="G32" i="11" s="1"/>
  <c r="I32" i="11" s="1"/>
  <c r="K32" i="11" s="1"/>
  <c r="D57" i="2"/>
  <c r="F57" i="2" s="1"/>
  <c r="H57" i="2" s="1"/>
  <c r="J57" i="2" s="1"/>
  <c r="C34" i="15" s="1"/>
  <c r="E121" i="11"/>
  <c r="G121" i="11" s="1"/>
  <c r="I121" i="11" s="1"/>
  <c r="K121" i="11" s="1"/>
  <c r="E119" i="11"/>
  <c r="G119" i="11" s="1"/>
  <c r="I119" i="11" s="1"/>
  <c r="K119" i="11" s="1"/>
  <c r="E117" i="11"/>
  <c r="G117" i="11" s="1"/>
  <c r="I117" i="11" s="1"/>
  <c r="K117" i="11" s="1"/>
  <c r="E115" i="11"/>
  <c r="G115" i="11" s="1"/>
  <c r="I115" i="11" s="1"/>
  <c r="K115" i="11" s="1"/>
  <c r="E113" i="11"/>
  <c r="G113" i="11" s="1"/>
  <c r="I113" i="11" s="1"/>
  <c r="K113" i="11" s="1"/>
  <c r="E111" i="11"/>
  <c r="G111" i="11" s="1"/>
  <c r="I111" i="11" s="1"/>
  <c r="K111" i="11" s="1"/>
  <c r="E109" i="11"/>
  <c r="G109" i="11" s="1"/>
  <c r="I109" i="11" s="1"/>
  <c r="K109" i="11" s="1"/>
  <c r="E107" i="11"/>
  <c r="G107" i="11" s="1"/>
  <c r="I107" i="11" s="1"/>
  <c r="K107" i="11" s="1"/>
  <c r="E127" i="2"/>
  <c r="G127" i="2" s="1"/>
  <c r="I127" i="2" s="1"/>
  <c r="K127" i="2" s="1"/>
  <c r="E125" i="2"/>
  <c r="G125" i="2" s="1"/>
  <c r="I125" i="2" s="1"/>
  <c r="K125" i="2" s="1"/>
  <c r="E123" i="2"/>
  <c r="G123" i="2" s="1"/>
  <c r="I123" i="2" s="1"/>
  <c r="K123" i="2" s="1"/>
  <c r="E121" i="2"/>
  <c r="G121" i="2" s="1"/>
  <c r="I121" i="2" s="1"/>
  <c r="K121" i="2" s="1"/>
  <c r="E119" i="2"/>
  <c r="G119" i="2" s="1"/>
  <c r="I119" i="2" s="1"/>
  <c r="K119" i="2" s="1"/>
  <c r="E117" i="2"/>
  <c r="G117" i="2" s="1"/>
  <c r="I117" i="2" s="1"/>
  <c r="K117" i="2" s="1"/>
  <c r="E115" i="2"/>
  <c r="G115" i="2" s="1"/>
  <c r="I115" i="2" s="1"/>
  <c r="K115" i="2" s="1"/>
  <c r="E113" i="2"/>
  <c r="G113" i="2" s="1"/>
  <c r="I113" i="2" s="1"/>
  <c r="K113" i="2" s="1"/>
  <c r="E120" i="11"/>
  <c r="G120" i="11" s="1"/>
  <c r="E118" i="11"/>
  <c r="G118" i="11" s="1"/>
  <c r="I118" i="11" s="1"/>
  <c r="K118" i="11" s="1"/>
  <c r="E116" i="11"/>
  <c r="G116" i="11" s="1"/>
  <c r="I116" i="11" s="1"/>
  <c r="K116" i="11" s="1"/>
  <c r="E114" i="11"/>
  <c r="G114" i="11" s="1"/>
  <c r="I114" i="11" s="1"/>
  <c r="K114" i="11" s="1"/>
  <c r="E112" i="11"/>
  <c r="G112" i="11" s="1"/>
  <c r="I112" i="11" s="1"/>
  <c r="K112" i="11" s="1"/>
  <c r="E110" i="11"/>
  <c r="G110" i="11" s="1"/>
  <c r="I110" i="11" s="1"/>
  <c r="K110" i="11" s="1"/>
  <c r="E108" i="11"/>
  <c r="G108" i="11" s="1"/>
  <c r="I108" i="11" s="1"/>
  <c r="K108" i="11" s="1"/>
  <c r="E106" i="11"/>
  <c r="G106" i="11" s="1"/>
  <c r="I106" i="11" s="1"/>
  <c r="K106" i="11" s="1"/>
  <c r="E126" i="2"/>
  <c r="G126" i="2" s="1"/>
  <c r="E124" i="2"/>
  <c r="G124" i="2" s="1"/>
  <c r="I124" i="2" s="1"/>
  <c r="K124" i="2" s="1"/>
  <c r="E122" i="2"/>
  <c r="G122" i="2" s="1"/>
  <c r="I122" i="2" s="1"/>
  <c r="K122" i="2" s="1"/>
  <c r="E120" i="2"/>
  <c r="G120" i="2" s="1"/>
  <c r="I120" i="2" s="1"/>
  <c r="K120" i="2" s="1"/>
  <c r="E118" i="2"/>
  <c r="G118" i="2" s="1"/>
  <c r="I118" i="2" s="1"/>
  <c r="K118" i="2" s="1"/>
  <c r="E116" i="2"/>
  <c r="G116" i="2" s="1"/>
  <c r="I116" i="2" s="1"/>
  <c r="K116" i="2" s="1"/>
  <c r="E114" i="2"/>
  <c r="G114" i="2" s="1"/>
  <c r="I114" i="2" s="1"/>
  <c r="K114" i="2" s="1"/>
  <c r="E112" i="2"/>
  <c r="G112" i="2" s="1"/>
  <c r="I112" i="2" s="1"/>
  <c r="K112" i="2" s="1"/>
  <c r="E60" i="11"/>
  <c r="G60" i="11" s="1"/>
  <c r="I60" i="11" s="1"/>
  <c r="K60" i="11" s="1"/>
  <c r="H43" i="15" s="1"/>
  <c r="E92" i="11"/>
  <c r="G92" i="11" s="1"/>
  <c r="I92" i="11" s="1"/>
  <c r="K92" i="11" s="1"/>
  <c r="D69" i="2"/>
  <c r="F69" i="2" s="1"/>
  <c r="H69" i="2" s="1"/>
  <c r="J69" i="2" s="1"/>
  <c r="C46" i="15" s="1"/>
  <c r="D99" i="11"/>
  <c r="M99" i="11" s="1"/>
  <c r="D63" i="1"/>
  <c r="F63" i="1" s="1"/>
  <c r="D45" i="10" s="1"/>
  <c r="F45" i="10" s="1"/>
  <c r="H45" i="10" s="1"/>
  <c r="J45" i="10" s="1"/>
  <c r="K41" i="15" s="1"/>
  <c r="D97" i="2"/>
  <c r="F97" i="2" s="1"/>
  <c r="H97" i="2" s="1"/>
  <c r="J97" i="2" s="1"/>
  <c r="D47" i="2"/>
  <c r="F47" i="2" s="1"/>
  <c r="H47" i="2" s="1"/>
  <c r="J47" i="2" s="1"/>
  <c r="C24" i="15" s="1"/>
  <c r="D75" i="2"/>
  <c r="F75" i="2" s="1"/>
  <c r="H75" i="2" s="1"/>
  <c r="J75" i="2" s="1"/>
  <c r="C52" i="15" s="1"/>
  <c r="D81" i="2"/>
  <c r="F81" i="2" s="1"/>
  <c r="H81" i="2" s="1"/>
  <c r="J81" i="2" s="1"/>
  <c r="C58" i="15" s="1"/>
  <c r="D65" i="2"/>
  <c r="F65" i="2" s="1"/>
  <c r="H65" i="2" s="1"/>
  <c r="J65" i="2" s="1"/>
  <c r="C42" i="15" s="1"/>
  <c r="G160" i="1"/>
  <c r="I160" i="1" s="1"/>
  <c r="D41" i="11"/>
  <c r="F41" i="11" s="1"/>
  <c r="H41" i="11" s="1"/>
  <c r="J41" i="11" s="1"/>
  <c r="G24" i="15" s="1"/>
  <c r="D65" i="11"/>
  <c r="F65" i="11" s="1"/>
  <c r="H65" i="11" s="1"/>
  <c r="J65" i="11" s="1"/>
  <c r="G48" i="15" s="1"/>
  <c r="E38" i="2"/>
  <c r="G38" i="2" s="1"/>
  <c r="I38" i="2" s="1"/>
  <c r="K38" i="2" s="1"/>
  <c r="D84" i="15" s="1"/>
  <c r="E42" i="10"/>
  <c r="G42" i="10" s="1"/>
  <c r="I42" i="10" s="1"/>
  <c r="K42" i="10" s="1"/>
  <c r="L38" i="15" s="1"/>
  <c r="E102" i="2"/>
  <c r="G102" i="2" s="1"/>
  <c r="I102" i="2" s="1"/>
  <c r="K102" i="2" s="1"/>
  <c r="D35" i="2"/>
  <c r="F35" i="2" s="1"/>
  <c r="H35" i="2" s="1"/>
  <c r="J35" i="2" s="1"/>
  <c r="C81" i="15" s="1"/>
  <c r="D55" i="1"/>
  <c r="F55" i="1" s="1"/>
  <c r="D37" i="10" s="1"/>
  <c r="F37" i="10" s="1"/>
  <c r="H37" i="10" s="1"/>
  <c r="J37" i="10" s="1"/>
  <c r="K33" i="15" s="1"/>
  <c r="D29" i="10"/>
  <c r="F29" i="10" s="1"/>
  <c r="H29" i="10" s="1"/>
  <c r="J29" i="10" s="1"/>
  <c r="K25" i="15" s="1"/>
  <c r="H150" i="1"/>
  <c r="J150" i="1" s="1"/>
  <c r="D67" i="1"/>
  <c r="F67" i="1" s="1"/>
  <c r="D55" i="2" s="1"/>
  <c r="F55" i="2" s="1"/>
  <c r="H55" i="2" s="1"/>
  <c r="J55" i="2" s="1"/>
  <c r="C32" i="15" s="1"/>
  <c r="D43" i="10"/>
  <c r="F43" i="10" s="1"/>
  <c r="H43" i="10" s="1"/>
  <c r="J43" i="10" s="1"/>
  <c r="K39" i="15" s="1"/>
  <c r="E74" i="11"/>
  <c r="G74" i="11" s="1"/>
  <c r="I74" i="11" s="1"/>
  <c r="K74" i="11" s="1"/>
  <c r="H57" i="15" s="1"/>
  <c r="E34" i="11"/>
  <c r="N34" i="11" s="1"/>
  <c r="H142" i="1"/>
  <c r="J142" i="1" s="1"/>
  <c r="D67" i="11"/>
  <c r="M67" i="11" s="1"/>
  <c r="E29" i="2"/>
  <c r="E30" i="10"/>
  <c r="G30" i="10" s="1"/>
  <c r="I30" i="10" s="1"/>
  <c r="K30" i="10" s="1"/>
  <c r="L26" i="15" s="1"/>
  <c r="E23" i="10"/>
  <c r="G23" i="10" s="1"/>
  <c r="I23" i="10" s="1"/>
  <c r="K23" i="10" s="1"/>
  <c r="D25" i="10"/>
  <c r="F25" i="10" s="1"/>
  <c r="H25" i="10" s="1"/>
  <c r="J25" i="10" s="1"/>
  <c r="E37" i="2"/>
  <c r="G37" i="2" s="1"/>
  <c r="I37" i="2" s="1"/>
  <c r="K37" i="2" s="1"/>
  <c r="D83" i="15" s="1"/>
  <c r="D59" i="2"/>
  <c r="F59" i="2" s="1"/>
  <c r="H59" i="2" s="1"/>
  <c r="J59" i="2" s="1"/>
  <c r="C36" i="15" s="1"/>
  <c r="E32" i="2"/>
  <c r="E80" i="11"/>
  <c r="G80" i="11" s="1"/>
  <c r="I80" i="11" s="1"/>
  <c r="K80" i="11" s="1"/>
  <c r="H63" i="15" s="1"/>
  <c r="E96" i="2"/>
  <c r="G96" i="2" s="1"/>
  <c r="I96" i="2" s="1"/>
  <c r="K96" i="2" s="1"/>
  <c r="E70" i="11"/>
  <c r="G70" i="11" s="1"/>
  <c r="I70" i="11" s="1"/>
  <c r="K70" i="11" s="1"/>
  <c r="H53" i="15" s="1"/>
  <c r="E47" i="11"/>
  <c r="E53" i="2"/>
  <c r="G53" i="2" s="1"/>
  <c r="I53" i="2" s="1"/>
  <c r="K53" i="2" s="1"/>
  <c r="D30" i="15" s="1"/>
  <c r="D27" i="11"/>
  <c r="F27" i="11" s="1"/>
  <c r="H27" i="11" s="1"/>
  <c r="J27" i="11" s="1"/>
  <c r="D33" i="2"/>
  <c r="F33" i="2" s="1"/>
  <c r="H33" i="2" s="1"/>
  <c r="J33" i="2" s="1"/>
  <c r="C79" i="15" s="1"/>
  <c r="D27" i="10"/>
  <c r="F27" i="10" s="1"/>
  <c r="H27" i="10" s="1"/>
  <c r="J27" i="10" s="1"/>
  <c r="K23" i="15" s="1"/>
  <c r="D107" i="2"/>
  <c r="F107" i="2" s="1"/>
  <c r="H107" i="2" s="1"/>
  <c r="J107" i="2" s="1"/>
  <c r="D81" i="11"/>
  <c r="M81" i="11" s="1"/>
  <c r="D87" i="11"/>
  <c r="F87" i="11" s="1"/>
  <c r="H87" i="11" s="1"/>
  <c r="J87" i="11" s="1"/>
  <c r="E26" i="10"/>
  <c r="G26" i="10" s="1"/>
  <c r="I26" i="10" s="1"/>
  <c r="K26" i="10" s="1"/>
  <c r="L22" i="15" s="1"/>
  <c r="E86" i="11"/>
  <c r="N86" i="11" s="1"/>
  <c r="E31" i="10"/>
  <c r="G31" i="10" s="1"/>
  <c r="D43" i="11"/>
  <c r="F43" i="11" s="1"/>
  <c r="H43" i="11" s="1"/>
  <c r="J43" i="11" s="1"/>
  <c r="G26" i="15" s="1"/>
  <c r="D25" i="11"/>
  <c r="F25" i="11" s="1"/>
  <c r="H25" i="11" s="1"/>
  <c r="J25" i="11" s="1"/>
  <c r="E30" i="11"/>
  <c r="G30" i="11" s="1"/>
  <c r="I30" i="11" s="1"/>
  <c r="K30" i="11" s="1"/>
  <c r="D97" i="11"/>
  <c r="M97" i="11" s="1"/>
  <c r="E45" i="2"/>
  <c r="G45" i="2" s="1"/>
  <c r="I45" i="2" s="1"/>
  <c r="K45" i="2" s="1"/>
  <c r="D22" i="15" s="1"/>
  <c r="E56" i="2"/>
  <c r="G56" i="2" s="1"/>
  <c r="I56" i="2" s="1"/>
  <c r="K56" i="2" s="1"/>
  <c r="D33" i="15" s="1"/>
  <c r="D79" i="11"/>
  <c r="M79" i="11" s="1"/>
  <c r="D61" i="2"/>
  <c r="F61" i="2" s="1"/>
  <c r="H61" i="2" s="1"/>
  <c r="J61" i="2" s="1"/>
  <c r="C38" i="15" s="1"/>
  <c r="H158" i="1"/>
  <c r="J158" i="1" s="1"/>
  <c r="G138" i="1"/>
  <c r="I138" i="1" s="1"/>
  <c r="E54" i="11"/>
  <c r="N76" i="11"/>
  <c r="N42" i="11"/>
  <c r="E64" i="11"/>
  <c r="G64" i="11" s="1"/>
  <c r="I64" i="11" s="1"/>
  <c r="K64" i="11" s="1"/>
  <c r="H47" i="15" s="1"/>
  <c r="E39" i="10"/>
  <c r="G39" i="10" s="1"/>
  <c r="I39" i="10" s="1"/>
  <c r="K39" i="10" s="1"/>
  <c r="L35" i="15" s="1"/>
  <c r="N39" i="11"/>
  <c r="E82" i="2"/>
  <c r="G82" i="2" s="1"/>
  <c r="I82" i="2" s="1"/>
  <c r="K82" i="2" s="1"/>
  <c r="D59" i="15" s="1"/>
  <c r="N46" i="11"/>
  <c r="E101" i="1"/>
  <c r="G101" i="1" s="1"/>
  <c r="H194" i="1"/>
  <c r="J194" i="1" s="1"/>
  <c r="E119" i="1"/>
  <c r="G119" i="1" s="1"/>
  <c r="H212" i="1"/>
  <c r="J212" i="1" s="1"/>
  <c r="D120" i="1"/>
  <c r="F120" i="1" s="1"/>
  <c r="G213" i="1"/>
  <c r="I213" i="1" s="1"/>
  <c r="D46" i="1"/>
  <c r="F46" i="1" s="1"/>
  <c r="G139" i="1"/>
  <c r="I139" i="1" s="1"/>
  <c r="D110" i="1"/>
  <c r="F110" i="1" s="1"/>
  <c r="G203" i="1"/>
  <c r="I203" i="1" s="1"/>
  <c r="D112" i="1"/>
  <c r="F112" i="1" s="1"/>
  <c r="G205" i="1"/>
  <c r="I205" i="1" s="1"/>
  <c r="E87" i="1"/>
  <c r="G87" i="1" s="1"/>
  <c r="E69" i="11" s="1"/>
  <c r="G69" i="11" s="1"/>
  <c r="I69" i="11" s="1"/>
  <c r="K69" i="11" s="1"/>
  <c r="H52" i="15" s="1"/>
  <c r="H180" i="1"/>
  <c r="J180" i="1" s="1"/>
  <c r="D104" i="1"/>
  <c r="F104" i="1" s="1"/>
  <c r="G197" i="1"/>
  <c r="I197" i="1" s="1"/>
  <c r="E111" i="1"/>
  <c r="G111" i="1" s="1"/>
  <c r="H204" i="1"/>
  <c r="J204" i="1" s="1"/>
  <c r="D98" i="1"/>
  <c r="F98" i="1" s="1"/>
  <c r="G191" i="1"/>
  <c r="I191" i="1" s="1"/>
  <c r="E123" i="1"/>
  <c r="G123" i="1" s="1"/>
  <c r="H216" i="1"/>
  <c r="J216" i="1" s="1"/>
  <c r="E97" i="1"/>
  <c r="G97" i="1" s="1"/>
  <c r="H190" i="1"/>
  <c r="J190" i="1" s="1"/>
  <c r="D88" i="1"/>
  <c r="F88" i="1" s="1"/>
  <c r="G181" i="1"/>
  <c r="I181" i="1" s="1"/>
  <c r="E95" i="1"/>
  <c r="G95" i="1" s="1"/>
  <c r="H188" i="1"/>
  <c r="J188" i="1" s="1"/>
  <c r="D86" i="1"/>
  <c r="F86" i="1" s="1"/>
  <c r="G179" i="1"/>
  <c r="I179" i="1" s="1"/>
  <c r="D48" i="1"/>
  <c r="F48" i="1" s="1"/>
  <c r="G141" i="1"/>
  <c r="I141" i="1" s="1"/>
  <c r="D108" i="1"/>
  <c r="F108" i="1" s="1"/>
  <c r="G201" i="1"/>
  <c r="I201" i="1" s="1"/>
  <c r="E115" i="1"/>
  <c r="G115" i="1" s="1"/>
  <c r="H208" i="1"/>
  <c r="J208" i="1" s="1"/>
  <c r="D42" i="1"/>
  <c r="F42" i="1" s="1"/>
  <c r="G135" i="1"/>
  <c r="I135" i="1" s="1"/>
  <c r="D106" i="1"/>
  <c r="F106" i="1" s="1"/>
  <c r="G199" i="1"/>
  <c r="I199" i="1" s="1"/>
  <c r="E56" i="1"/>
  <c r="G56" i="1" s="1"/>
  <c r="H149" i="1"/>
  <c r="J149" i="1" s="1"/>
  <c r="E96" i="1"/>
  <c r="G96" i="1" s="1"/>
  <c r="H189" i="1"/>
  <c r="J189" i="1" s="1"/>
  <c r="E80" i="1"/>
  <c r="G80" i="1" s="1"/>
  <c r="H173" i="1"/>
  <c r="J173" i="1" s="1"/>
  <c r="E54" i="1"/>
  <c r="G54" i="1" s="1"/>
  <c r="H147" i="1"/>
  <c r="J147" i="1" s="1"/>
  <c r="E118" i="1"/>
  <c r="G118" i="1" s="1"/>
  <c r="H211" i="1"/>
  <c r="J211" i="1" s="1"/>
  <c r="D51" i="1"/>
  <c r="F51" i="1" s="1"/>
  <c r="G144" i="1"/>
  <c r="I144" i="1" s="1"/>
  <c r="E74" i="1"/>
  <c r="G74" i="1" s="1"/>
  <c r="H167" i="1"/>
  <c r="J167" i="1" s="1"/>
  <c r="D41" i="1"/>
  <c r="F41" i="1" s="1"/>
  <c r="G134" i="1"/>
  <c r="I134" i="1" s="1"/>
  <c r="E48" i="2"/>
  <c r="G48" i="2" s="1"/>
  <c r="I48" i="2" s="1"/>
  <c r="K48" i="2" s="1"/>
  <c r="D25" i="15" s="1"/>
  <c r="E71" i="1"/>
  <c r="G71" i="1" s="1"/>
  <c r="E59" i="2" s="1"/>
  <c r="G59" i="2" s="1"/>
  <c r="I59" i="2" s="1"/>
  <c r="K59" i="2" s="1"/>
  <c r="D36" i="15" s="1"/>
  <c r="H164" i="1"/>
  <c r="J164" i="1" s="1"/>
  <c r="D60" i="1"/>
  <c r="F60" i="1" s="1"/>
  <c r="D48" i="2" s="1"/>
  <c r="F48" i="2" s="1"/>
  <c r="H48" i="2" s="1"/>
  <c r="J48" i="2" s="1"/>
  <c r="C25" i="15" s="1"/>
  <c r="G153" i="1"/>
  <c r="I153" i="1" s="1"/>
  <c r="D56" i="1"/>
  <c r="F56" i="1" s="1"/>
  <c r="D38" i="11" s="1"/>
  <c r="G149" i="1"/>
  <c r="I149" i="1" s="1"/>
  <c r="E63" i="1"/>
  <c r="G63" i="1" s="1"/>
  <c r="E51" i="2" s="1"/>
  <c r="G51" i="2" s="1"/>
  <c r="H156" i="1"/>
  <c r="J156" i="1" s="1"/>
  <c r="D62" i="1"/>
  <c r="F62" i="1" s="1"/>
  <c r="D50" i="2" s="1"/>
  <c r="F50" i="2" s="1"/>
  <c r="H50" i="2" s="1"/>
  <c r="J50" i="2" s="1"/>
  <c r="C27" i="15" s="1"/>
  <c r="G155" i="1"/>
  <c r="I155" i="1" s="1"/>
  <c r="D92" i="1"/>
  <c r="F92" i="1" s="1"/>
  <c r="G185" i="1"/>
  <c r="I185" i="1" s="1"/>
  <c r="E81" i="1"/>
  <c r="G81" i="1" s="1"/>
  <c r="E69" i="2" s="1"/>
  <c r="G69" i="2" s="1"/>
  <c r="I69" i="2" s="1"/>
  <c r="K69" i="2" s="1"/>
  <c r="D46" i="15" s="1"/>
  <c r="H174" i="1"/>
  <c r="J174" i="1" s="1"/>
  <c r="D40" i="1"/>
  <c r="F40" i="1" s="1"/>
  <c r="D28" i="2" s="1"/>
  <c r="G133" i="1"/>
  <c r="I133" i="1" s="1"/>
  <c r="E47" i="1"/>
  <c r="G47" i="1" s="1"/>
  <c r="E29" i="10" s="1"/>
  <c r="G29" i="10" s="1"/>
  <c r="I29" i="10" s="1"/>
  <c r="K29" i="10" s="1"/>
  <c r="L25" i="15" s="1"/>
  <c r="H140" i="1"/>
  <c r="J140" i="1" s="1"/>
  <c r="D50" i="1"/>
  <c r="F50" i="1" s="1"/>
  <c r="D38" i="2" s="1"/>
  <c r="F38" i="2" s="1"/>
  <c r="H38" i="2" s="1"/>
  <c r="J38" i="2" s="1"/>
  <c r="C84" i="15" s="1"/>
  <c r="G143" i="1"/>
  <c r="I143" i="1" s="1"/>
  <c r="D114" i="1"/>
  <c r="F114" i="1" s="1"/>
  <c r="G207" i="1"/>
  <c r="I207" i="1" s="1"/>
  <c r="E103" i="1"/>
  <c r="G103" i="1" s="1"/>
  <c r="H196" i="1"/>
  <c r="J196" i="1" s="1"/>
  <c r="D124" i="1"/>
  <c r="F124" i="1" s="1"/>
  <c r="G217" i="1"/>
  <c r="I217" i="1" s="1"/>
  <c r="E109" i="1"/>
  <c r="G109" i="1" s="1"/>
  <c r="H202" i="1"/>
  <c r="J202" i="1" s="1"/>
  <c r="D116" i="1"/>
  <c r="F116" i="1" s="1"/>
  <c r="G209" i="1"/>
  <c r="I209" i="1" s="1"/>
  <c r="D102" i="1"/>
  <c r="F102" i="1" s="1"/>
  <c r="D84" i="11" s="1"/>
  <c r="M84" i="11" s="1"/>
  <c r="G195" i="1"/>
  <c r="I195" i="1" s="1"/>
  <c r="E91" i="1"/>
  <c r="G91" i="1" s="1"/>
  <c r="E73" i="11" s="1"/>
  <c r="H184" i="1"/>
  <c r="J184" i="1" s="1"/>
  <c r="E51" i="1"/>
  <c r="G51" i="1" s="1"/>
  <c r="E33" i="11" s="1"/>
  <c r="N33" i="11" s="1"/>
  <c r="H144" i="1"/>
  <c r="J144" i="1" s="1"/>
  <c r="E79" i="1"/>
  <c r="G79" i="1" s="1"/>
  <c r="E67" i="2" s="1"/>
  <c r="G67" i="2" s="1"/>
  <c r="I67" i="2" s="1"/>
  <c r="K67" i="2" s="1"/>
  <c r="D44" i="15" s="1"/>
  <c r="H172" i="1"/>
  <c r="J172" i="1" s="1"/>
  <c r="D58" i="1"/>
  <c r="F58" i="1" s="1"/>
  <c r="D40" i="11" s="1"/>
  <c r="F40" i="11" s="1"/>
  <c r="H40" i="11" s="1"/>
  <c r="J40" i="11" s="1"/>
  <c r="G23" i="15" s="1"/>
  <c r="G151" i="1"/>
  <c r="I151" i="1" s="1"/>
  <c r="D122" i="1"/>
  <c r="F122" i="1" s="1"/>
  <c r="D104" i="11" s="1"/>
  <c r="M104" i="11" s="1"/>
  <c r="G215" i="1"/>
  <c r="I215" i="1" s="1"/>
  <c r="E84" i="1"/>
  <c r="G84" i="1" s="1"/>
  <c r="E66" i="11" s="1"/>
  <c r="H177" i="1"/>
  <c r="J177" i="1" s="1"/>
  <c r="E112" i="1"/>
  <c r="G112" i="1" s="1"/>
  <c r="E100" i="2" s="1"/>
  <c r="G100" i="2" s="1"/>
  <c r="I100" i="2" s="1"/>
  <c r="K100" i="2" s="1"/>
  <c r="H205" i="1"/>
  <c r="J205" i="1" s="1"/>
  <c r="D123" i="1"/>
  <c r="F123" i="1" s="1"/>
  <c r="G216" i="1"/>
  <c r="I216" i="1" s="1"/>
  <c r="E70" i="1"/>
  <c r="G70" i="1" s="1"/>
  <c r="H163" i="1"/>
  <c r="J163" i="1" s="1"/>
  <c r="D91" i="1"/>
  <c r="F91" i="1" s="1"/>
  <c r="G184" i="1"/>
  <c r="I184" i="1" s="1"/>
  <c r="D79" i="1"/>
  <c r="F79" i="1" s="1"/>
  <c r="D67" i="2" s="1"/>
  <c r="F67" i="2" s="1"/>
  <c r="H67" i="2" s="1"/>
  <c r="J67" i="2" s="1"/>
  <c r="C44" i="15" s="1"/>
  <c r="G172" i="1"/>
  <c r="I172" i="1" s="1"/>
  <c r="E90" i="1"/>
  <c r="G90" i="1" s="1"/>
  <c r="E78" i="2" s="1"/>
  <c r="G78" i="2" s="1"/>
  <c r="I78" i="2" s="1"/>
  <c r="K78" i="2" s="1"/>
  <c r="D55" i="15" s="1"/>
  <c r="H183" i="1"/>
  <c r="J183" i="1" s="1"/>
  <c r="D49" i="1"/>
  <c r="F49" i="1" s="1"/>
  <c r="D31" i="10" s="1"/>
  <c r="F31" i="10" s="1"/>
  <c r="H31" i="10" s="1"/>
  <c r="J31" i="10" s="1"/>
  <c r="K27" i="15" s="1"/>
  <c r="G142" i="1"/>
  <c r="I142" i="1" s="1"/>
  <c r="E75" i="1"/>
  <c r="G75" i="1" s="1"/>
  <c r="E57" i="11" s="1"/>
  <c r="H168" i="1"/>
  <c r="J168" i="1" s="1"/>
  <c r="E43" i="1"/>
  <c r="G43" i="1" s="1"/>
  <c r="E25" i="10" s="1"/>
  <c r="G25" i="10" s="1"/>
  <c r="I25" i="10" s="1"/>
  <c r="K25" i="10" s="1"/>
  <c r="H136" i="1"/>
  <c r="J136" i="1" s="1"/>
  <c r="E77" i="1"/>
  <c r="G77" i="1" s="1"/>
  <c r="E65" i="2" s="1"/>
  <c r="G65" i="2" s="1"/>
  <c r="I65" i="2" s="1"/>
  <c r="K65" i="2" s="1"/>
  <c r="D42" i="15" s="1"/>
  <c r="H170" i="1"/>
  <c r="J170" i="1" s="1"/>
  <c r="D84" i="1"/>
  <c r="F84" i="1" s="1"/>
  <c r="D66" i="11" s="1"/>
  <c r="F66" i="11" s="1"/>
  <c r="H66" i="11" s="1"/>
  <c r="J66" i="11" s="1"/>
  <c r="G49" i="15" s="1"/>
  <c r="G177" i="1"/>
  <c r="I177" i="1" s="1"/>
  <c r="D78" i="1"/>
  <c r="F78" i="1" s="1"/>
  <c r="D60" i="11" s="1"/>
  <c r="F60" i="11" s="1"/>
  <c r="H60" i="11" s="1"/>
  <c r="J60" i="11" s="1"/>
  <c r="G43" i="15" s="1"/>
  <c r="G171" i="1"/>
  <c r="I171" i="1" s="1"/>
  <c r="D96" i="1"/>
  <c r="F96" i="1" s="1"/>
  <c r="D84" i="2" s="1"/>
  <c r="F84" i="2" s="1"/>
  <c r="H84" i="2" s="1"/>
  <c r="J84" i="2" s="1"/>
  <c r="C61" i="15" s="1"/>
  <c r="G189" i="1"/>
  <c r="I189" i="1" s="1"/>
  <c r="D64" i="1"/>
  <c r="F64" i="1" s="1"/>
  <c r="D46" i="11" s="1"/>
  <c r="F46" i="11" s="1"/>
  <c r="H46" i="11" s="1"/>
  <c r="J46" i="11" s="1"/>
  <c r="G29" i="15" s="1"/>
  <c r="G157" i="1"/>
  <c r="I157" i="1" s="1"/>
  <c r="E61" i="1"/>
  <c r="G61" i="1" s="1"/>
  <c r="E43" i="11" s="1"/>
  <c r="G43" i="11" s="1"/>
  <c r="I43" i="11" s="1"/>
  <c r="K43" i="11" s="1"/>
  <c r="H26" i="15" s="1"/>
  <c r="H154" i="1"/>
  <c r="J154" i="1" s="1"/>
  <c r="D68" i="1"/>
  <c r="F68" i="1" s="1"/>
  <c r="D50" i="11" s="1"/>
  <c r="F50" i="11" s="1"/>
  <c r="H50" i="11" s="1"/>
  <c r="J50" i="11" s="1"/>
  <c r="G33" i="15" s="1"/>
  <c r="G161" i="1"/>
  <c r="I161" i="1" s="1"/>
  <c r="D66" i="1"/>
  <c r="F66" i="1" s="1"/>
  <c r="D54" i="2" s="1"/>
  <c r="F54" i="2" s="1"/>
  <c r="H54" i="2" s="1"/>
  <c r="J54" i="2" s="1"/>
  <c r="C31" i="15" s="1"/>
  <c r="G159" i="1"/>
  <c r="I159" i="1" s="1"/>
  <c r="E117" i="1"/>
  <c r="G117" i="1" s="1"/>
  <c r="E99" i="11" s="1"/>
  <c r="G99" i="11" s="1"/>
  <c r="I99" i="11" s="1"/>
  <c r="K99" i="11" s="1"/>
  <c r="H210" i="1"/>
  <c r="J210" i="1" s="1"/>
  <c r="E85" i="1"/>
  <c r="G85" i="1" s="1"/>
  <c r="E67" i="11" s="1"/>
  <c r="N67" i="11" s="1"/>
  <c r="H178" i="1"/>
  <c r="J178" i="1" s="1"/>
  <c r="E45" i="1"/>
  <c r="G45" i="1" s="1"/>
  <c r="E27" i="11" s="1"/>
  <c r="N27" i="11" s="1"/>
  <c r="H138" i="1"/>
  <c r="J138" i="1" s="1"/>
  <c r="D52" i="1"/>
  <c r="F52" i="1" s="1"/>
  <c r="D34" i="11" s="1"/>
  <c r="F34" i="11" s="1"/>
  <c r="H34" i="11" s="1"/>
  <c r="J34" i="11" s="1"/>
  <c r="G145" i="1"/>
  <c r="I145" i="1" s="1"/>
  <c r="D54" i="1"/>
  <c r="F54" i="1" s="1"/>
  <c r="D36" i="11" s="1"/>
  <c r="M36" i="11" s="1"/>
  <c r="G147" i="1"/>
  <c r="I147" i="1" s="1"/>
  <c r="D118" i="1"/>
  <c r="F118" i="1" s="1"/>
  <c r="D106" i="2" s="1"/>
  <c r="F106" i="2" s="1"/>
  <c r="H106" i="2" s="1"/>
  <c r="J106" i="2" s="1"/>
  <c r="G211" i="1"/>
  <c r="I211" i="1" s="1"/>
  <c r="E113" i="1"/>
  <c r="G113" i="1" s="1"/>
  <c r="E101" i="2" s="1"/>
  <c r="G101" i="2" s="1"/>
  <c r="I101" i="2" s="1"/>
  <c r="K101" i="2" s="1"/>
  <c r="H206" i="1"/>
  <c r="J206" i="1" s="1"/>
  <c r="D72" i="1"/>
  <c r="F72" i="1" s="1"/>
  <c r="D60" i="2" s="1"/>
  <c r="F60" i="2" s="1"/>
  <c r="H60" i="2" s="1"/>
  <c r="J60" i="2" s="1"/>
  <c r="C37" i="15" s="1"/>
  <c r="G165" i="1"/>
  <c r="I165" i="1" s="1"/>
  <c r="D100" i="1"/>
  <c r="F100" i="1" s="1"/>
  <c r="D88" i="2" s="1"/>
  <c r="F88" i="2" s="1"/>
  <c r="L88" i="2" s="1"/>
  <c r="G193" i="1"/>
  <c r="I193" i="1" s="1"/>
  <c r="D74" i="1"/>
  <c r="F74" i="1" s="1"/>
  <c r="D56" i="11" s="1"/>
  <c r="M56" i="11" s="1"/>
  <c r="G167" i="1"/>
  <c r="I167" i="1" s="1"/>
  <c r="E39" i="1"/>
  <c r="G39" i="1" s="1"/>
  <c r="E27" i="2" s="1"/>
  <c r="H132" i="1"/>
  <c r="J132" i="1" s="1"/>
  <c r="E46" i="1"/>
  <c r="G46" i="1" s="1"/>
  <c r="E28" i="11" s="1"/>
  <c r="G28" i="11" s="1"/>
  <c r="I28" i="11" s="1"/>
  <c r="K28" i="11" s="1"/>
  <c r="H139" i="1"/>
  <c r="J139" i="1" s="1"/>
  <c r="E40" i="1"/>
  <c r="G40" i="1" s="1"/>
  <c r="E28" i="2" s="1"/>
  <c r="H133" i="1"/>
  <c r="J133" i="1" s="1"/>
  <c r="D95" i="1"/>
  <c r="F95" i="1" s="1"/>
  <c r="D77" i="11" s="1"/>
  <c r="F77" i="11" s="1"/>
  <c r="H77" i="11" s="1"/>
  <c r="J77" i="11" s="1"/>
  <c r="G60" i="15" s="1"/>
  <c r="G188" i="1"/>
  <c r="I188" i="1" s="1"/>
  <c r="E86" i="1"/>
  <c r="G86" i="1" s="1"/>
  <c r="E74" i="2" s="1"/>
  <c r="G74" i="2" s="1"/>
  <c r="I74" i="2" s="1"/>
  <c r="K74" i="2" s="1"/>
  <c r="D51" i="15" s="1"/>
  <c r="H179" i="1"/>
  <c r="J179" i="1" s="1"/>
  <c r="D39" i="1"/>
  <c r="F39" i="1" s="1"/>
  <c r="D21" i="10" s="1"/>
  <c r="F21" i="10" s="1"/>
  <c r="H21" i="10" s="1"/>
  <c r="J21" i="10" s="1"/>
  <c r="G132" i="1"/>
  <c r="I132" i="1" s="1"/>
  <c r="E100" i="1"/>
  <c r="G100" i="1" s="1"/>
  <c r="E88" i="2" s="1"/>
  <c r="G88" i="2" s="1"/>
  <c r="I88" i="2" s="1"/>
  <c r="K88" i="2" s="1"/>
  <c r="D65" i="15" s="1"/>
  <c r="H193" i="1"/>
  <c r="J193" i="1" s="1"/>
  <c r="E106" i="1"/>
  <c r="G106" i="1" s="1"/>
  <c r="E94" i="2" s="1"/>
  <c r="G94" i="2" s="1"/>
  <c r="I94" i="2" s="1"/>
  <c r="K94" i="2" s="1"/>
  <c r="H199" i="1"/>
  <c r="J199" i="1" s="1"/>
  <c r="D65" i="1"/>
  <c r="F65" i="1" s="1"/>
  <c r="D47" i="11" s="1"/>
  <c r="F47" i="11" s="1"/>
  <c r="H47" i="11" s="1"/>
  <c r="J47" i="11" s="1"/>
  <c r="G30" i="15" s="1"/>
  <c r="G158" i="1"/>
  <c r="I158" i="1" s="1"/>
  <c r="G50" i="11"/>
  <c r="I50" i="11" s="1"/>
  <c r="K50" i="11" s="1"/>
  <c r="H33" i="15" s="1"/>
  <c r="E59" i="1"/>
  <c r="G59" i="1" s="1"/>
  <c r="E41" i="10" s="1"/>
  <c r="G41" i="10" s="1"/>
  <c r="I41" i="10" s="1"/>
  <c r="K41" i="10" s="1"/>
  <c r="L37" i="15" s="1"/>
  <c r="H152" i="1"/>
  <c r="J152" i="1" s="1"/>
  <c r="D76" i="1"/>
  <c r="F76" i="1" s="1"/>
  <c r="D58" i="11" s="1"/>
  <c r="F58" i="11" s="1"/>
  <c r="H58" i="11" s="1"/>
  <c r="J58" i="11" s="1"/>
  <c r="G41" i="15" s="1"/>
  <c r="G169" i="1"/>
  <c r="I169" i="1" s="1"/>
  <c r="E99" i="1"/>
  <c r="G99" i="1" s="1"/>
  <c r="E81" i="11" s="1"/>
  <c r="G81" i="11" s="1"/>
  <c r="I81" i="11" s="1"/>
  <c r="K81" i="11" s="1"/>
  <c r="H64" i="15" s="1"/>
  <c r="H192" i="1"/>
  <c r="J192" i="1" s="1"/>
  <c r="E105" i="1"/>
  <c r="G105" i="1" s="1"/>
  <c r="E93" i="2" s="1"/>
  <c r="G93" i="2" s="1"/>
  <c r="I93" i="2" s="1"/>
  <c r="K93" i="2" s="1"/>
  <c r="H198" i="1"/>
  <c r="J198" i="1" s="1"/>
  <c r="D94" i="1"/>
  <c r="F94" i="1" s="1"/>
  <c r="G187" i="1"/>
  <c r="I187" i="1" s="1"/>
  <c r="E69" i="1"/>
  <c r="G69" i="1" s="1"/>
  <c r="E57" i="2" s="1"/>
  <c r="G57" i="2" s="1"/>
  <c r="I57" i="2" s="1"/>
  <c r="K57" i="2" s="1"/>
  <c r="D34" i="15" s="1"/>
  <c r="H162" i="1"/>
  <c r="J162" i="1" s="1"/>
  <c r="D44" i="1"/>
  <c r="F44" i="1" s="1"/>
  <c r="D32" i="2" s="1"/>
  <c r="F32" i="2" s="1"/>
  <c r="H32" i="2" s="1"/>
  <c r="J32" i="2" s="1"/>
  <c r="C78" i="15" s="1"/>
  <c r="G137" i="1"/>
  <c r="I137" i="1" s="1"/>
  <c r="E83" i="1"/>
  <c r="G83" i="1" s="1"/>
  <c r="E71" i="2" s="1"/>
  <c r="G71" i="2" s="1"/>
  <c r="I71" i="2" s="1"/>
  <c r="K71" i="2" s="1"/>
  <c r="D48" i="15" s="1"/>
  <c r="H176" i="1"/>
  <c r="J176" i="1" s="1"/>
  <c r="E89" i="1"/>
  <c r="G89" i="1" s="1"/>
  <c r="E71" i="11" s="1"/>
  <c r="G71" i="11" s="1"/>
  <c r="I71" i="11" s="1"/>
  <c r="K71" i="11" s="1"/>
  <c r="H54" i="15" s="1"/>
  <c r="H182" i="1"/>
  <c r="J182" i="1" s="1"/>
  <c r="D82" i="1"/>
  <c r="F82" i="1" s="1"/>
  <c r="G175" i="1"/>
  <c r="I175" i="1" s="1"/>
  <c r="D80" i="1"/>
  <c r="F80" i="1" s="1"/>
  <c r="G173" i="1"/>
  <c r="I173" i="1" s="1"/>
  <c r="E55" i="1"/>
  <c r="G55" i="1" s="1"/>
  <c r="E37" i="11" s="1"/>
  <c r="N37" i="11" s="1"/>
  <c r="H148" i="1"/>
  <c r="J148" i="1" s="1"/>
  <c r="E67" i="1"/>
  <c r="G67" i="1" s="1"/>
  <c r="E49" i="11" s="1"/>
  <c r="G49" i="11" s="1"/>
  <c r="I49" i="11" s="1"/>
  <c r="K49" i="11" s="1"/>
  <c r="H32" i="15" s="1"/>
  <c r="H160" i="1"/>
  <c r="J160" i="1" s="1"/>
  <c r="E73" i="1"/>
  <c r="G73" i="1" s="1"/>
  <c r="E61" i="2" s="1"/>
  <c r="G61" i="2" s="1"/>
  <c r="I61" i="2" s="1"/>
  <c r="K61" i="2" s="1"/>
  <c r="D38" i="15" s="1"/>
  <c r="H166" i="1"/>
  <c r="J166" i="1" s="1"/>
  <c r="D70" i="1"/>
  <c r="F70" i="1" s="1"/>
  <c r="G163" i="1"/>
  <c r="I163" i="1" s="1"/>
  <c r="E53" i="1"/>
  <c r="G53" i="1" s="1"/>
  <c r="E35" i="11" s="1"/>
  <c r="G35" i="11" s="1"/>
  <c r="I35" i="11" s="1"/>
  <c r="K35" i="11" s="1"/>
  <c r="H146" i="1"/>
  <c r="J146" i="1" s="1"/>
  <c r="E107" i="1"/>
  <c r="G107" i="1" s="1"/>
  <c r="E89" i="11" s="1"/>
  <c r="N89" i="11" s="1"/>
  <c r="H200" i="1"/>
  <c r="J200" i="1" s="1"/>
  <c r="E93" i="1"/>
  <c r="G93" i="1" s="1"/>
  <c r="E75" i="11" s="1"/>
  <c r="H186" i="1"/>
  <c r="J186" i="1" s="1"/>
  <c r="E121" i="1"/>
  <c r="G121" i="1" s="1"/>
  <c r="H214" i="1"/>
  <c r="J214" i="1" s="1"/>
  <c r="D90" i="1"/>
  <c r="F90" i="1" s="1"/>
  <c r="D72" i="11" s="1"/>
  <c r="M72" i="11" s="1"/>
  <c r="G183" i="1"/>
  <c r="I183" i="1" s="1"/>
  <c r="D75" i="1"/>
  <c r="F75" i="1" s="1"/>
  <c r="D57" i="11" s="1"/>
  <c r="F57" i="11" s="1"/>
  <c r="H57" i="11" s="1"/>
  <c r="J57" i="11" s="1"/>
  <c r="G40" i="15" s="1"/>
  <c r="G168" i="1"/>
  <c r="I168" i="1" s="1"/>
  <c r="E62" i="1"/>
  <c r="G62" i="1" s="1"/>
  <c r="E44" i="10" s="1"/>
  <c r="G44" i="10" s="1"/>
  <c r="I44" i="10" s="1"/>
  <c r="K44" i="10" s="1"/>
  <c r="L40" i="15" s="1"/>
  <c r="H155" i="1"/>
  <c r="J155" i="1" s="1"/>
  <c r="D111" i="1"/>
  <c r="F111" i="1" s="1"/>
  <c r="D99" i="2" s="1"/>
  <c r="F99" i="2" s="1"/>
  <c r="H99" i="2" s="1"/>
  <c r="J99" i="2" s="1"/>
  <c r="G204" i="1"/>
  <c r="I204" i="1" s="1"/>
  <c r="E116" i="1"/>
  <c r="G116" i="1" s="1"/>
  <c r="E98" i="11" s="1"/>
  <c r="G98" i="11" s="1"/>
  <c r="I98" i="11" s="1"/>
  <c r="K98" i="11" s="1"/>
  <c r="H209" i="1"/>
  <c r="J209" i="1" s="1"/>
  <c r="E102" i="1"/>
  <c r="G102" i="1" s="1"/>
  <c r="E90" i="2" s="1"/>
  <c r="G90" i="2" s="1"/>
  <c r="I90" i="2" s="1"/>
  <c r="K90" i="2" s="1"/>
  <c r="D67" i="15" s="1"/>
  <c r="H195" i="1"/>
  <c r="J195" i="1" s="1"/>
  <c r="D107" i="1"/>
  <c r="F107" i="1" s="1"/>
  <c r="G200" i="1"/>
  <c r="I200" i="1" s="1"/>
  <c r="E42" i="1"/>
  <c r="G42" i="1" s="1"/>
  <c r="E30" i="2" s="1"/>
  <c r="H135" i="1"/>
  <c r="J135" i="1" s="1"/>
  <c r="E122" i="1"/>
  <c r="G122" i="1" s="1"/>
  <c r="E104" i="11" s="1"/>
  <c r="N104" i="11" s="1"/>
  <c r="H215" i="1"/>
  <c r="J215" i="1" s="1"/>
  <c r="D57" i="1"/>
  <c r="F57" i="1" s="1"/>
  <c r="D39" i="10" s="1"/>
  <c r="F39" i="10" s="1"/>
  <c r="H39" i="10" s="1"/>
  <c r="J39" i="10" s="1"/>
  <c r="K35" i="15" s="1"/>
  <c r="G150" i="1"/>
  <c r="I150" i="1" s="1"/>
  <c r="N26" i="11"/>
  <c r="G26" i="11"/>
  <c r="I26" i="11" s="1"/>
  <c r="K26" i="11" s="1"/>
  <c r="F59" i="11"/>
  <c r="H59" i="11" s="1"/>
  <c r="J59" i="11" s="1"/>
  <c r="G42" i="15" s="1"/>
  <c r="M59" i="11"/>
  <c r="N102" i="11"/>
  <c r="G102" i="11"/>
  <c r="I102" i="11" s="1"/>
  <c r="K102" i="11" s="1"/>
  <c r="F91" i="11"/>
  <c r="H91" i="11" s="1"/>
  <c r="J91" i="11" s="1"/>
  <c r="M91" i="11"/>
  <c r="F51" i="11"/>
  <c r="H51" i="11" s="1"/>
  <c r="J51" i="11" s="1"/>
  <c r="G34" i="15" s="1"/>
  <c r="M51" i="11"/>
  <c r="F53" i="11"/>
  <c r="H53" i="11" s="1"/>
  <c r="J53" i="11" s="1"/>
  <c r="G36" i="15" s="1"/>
  <c r="M53" i="11"/>
  <c r="G96" i="11"/>
  <c r="I96" i="11" s="1"/>
  <c r="K96" i="11" s="1"/>
  <c r="N96" i="11"/>
  <c r="F29" i="11"/>
  <c r="H29" i="11" s="1"/>
  <c r="J29" i="11" s="1"/>
  <c r="M29" i="11"/>
  <c r="M63" i="11"/>
  <c r="F63" i="11"/>
  <c r="H63" i="11" s="1"/>
  <c r="J63" i="11" s="1"/>
  <c r="G46" i="15" s="1"/>
  <c r="F55" i="11"/>
  <c r="H55" i="11" s="1"/>
  <c r="J55" i="11" s="1"/>
  <c r="G38" i="15" s="1"/>
  <c r="M55" i="11"/>
  <c r="M75" i="11"/>
  <c r="F75" i="11"/>
  <c r="H75" i="11" s="1"/>
  <c r="J75" i="11" s="1"/>
  <c r="G58" i="15" s="1"/>
  <c r="N31" i="11"/>
  <c r="G31" i="11"/>
  <c r="I31" i="11" s="1"/>
  <c r="K31" i="11" s="1"/>
  <c r="G23" i="11"/>
  <c r="I23" i="11" s="1"/>
  <c r="K23" i="11" s="1"/>
  <c r="N23" i="11"/>
  <c r="F101" i="11"/>
  <c r="H101" i="11" s="1"/>
  <c r="J101" i="11" s="1"/>
  <c r="M101" i="11"/>
  <c r="F69" i="11"/>
  <c r="H69" i="11" s="1"/>
  <c r="J69" i="11" s="1"/>
  <c r="G52" i="15" s="1"/>
  <c r="M69" i="11"/>
  <c r="G90" i="11"/>
  <c r="I90" i="11" s="1"/>
  <c r="K90" i="11" s="1"/>
  <c r="N90" i="11"/>
  <c r="E52" i="2" l="1"/>
  <c r="G52" i="2" s="1"/>
  <c r="I52" i="2" s="1"/>
  <c r="K52" i="2" s="1"/>
  <c r="D29" i="15" s="1"/>
  <c r="N60" i="11"/>
  <c r="D85" i="11"/>
  <c r="F85" i="11" s="1"/>
  <c r="H85" i="11" s="1"/>
  <c r="J85" i="11" s="1"/>
  <c r="G68" i="15" s="1"/>
  <c r="E54" i="2"/>
  <c r="G54" i="2" s="1"/>
  <c r="I54" i="2" s="1"/>
  <c r="K54" i="2" s="1"/>
  <c r="D31" i="15" s="1"/>
  <c r="G48" i="11"/>
  <c r="I48" i="11" s="1"/>
  <c r="K48" i="11" s="1"/>
  <c r="H31" i="15" s="1"/>
  <c r="E34" i="10"/>
  <c r="G34" i="10" s="1"/>
  <c r="I34" i="10" s="1"/>
  <c r="K34" i="10" s="1"/>
  <c r="L30" i="15" s="1"/>
  <c r="M95" i="11"/>
  <c r="D71" i="11"/>
  <c r="F71" i="11" s="1"/>
  <c r="H71" i="11" s="1"/>
  <c r="J71" i="11" s="1"/>
  <c r="G54" i="15" s="1"/>
  <c r="D35" i="11"/>
  <c r="M35" i="11" s="1"/>
  <c r="D101" i="2"/>
  <c r="F101" i="2" s="1"/>
  <c r="H101" i="2" s="1"/>
  <c r="J101" i="2" s="1"/>
  <c r="D103" i="11"/>
  <c r="E46" i="2"/>
  <c r="G46" i="2" s="1"/>
  <c r="I46" i="2" s="1"/>
  <c r="K46" i="2" s="1"/>
  <c r="D23" i="15" s="1"/>
  <c r="F83" i="11"/>
  <c r="H83" i="11" s="1"/>
  <c r="J83" i="11" s="1"/>
  <c r="G66" i="15" s="1"/>
  <c r="G58" i="11"/>
  <c r="I58" i="11" s="1"/>
  <c r="K58" i="11" s="1"/>
  <c r="H41" i="15" s="1"/>
  <c r="E64" i="2"/>
  <c r="G64" i="2" s="1"/>
  <c r="I64" i="2" s="1"/>
  <c r="K64" i="2" s="1"/>
  <c r="D41" i="15" s="1"/>
  <c r="E40" i="10"/>
  <c r="G40" i="10" s="1"/>
  <c r="I40" i="10" s="1"/>
  <c r="K40" i="10" s="1"/>
  <c r="L36" i="15" s="1"/>
  <c r="N40" i="11"/>
  <c r="D89" i="2"/>
  <c r="F89" i="2" s="1"/>
  <c r="H89" i="2" s="1"/>
  <c r="J89" i="2" s="1"/>
  <c r="C66" i="15" s="1"/>
  <c r="N32" i="11"/>
  <c r="M41" i="11"/>
  <c r="G28" i="2"/>
  <c r="I28" i="2" s="1"/>
  <c r="K28" i="2" s="1"/>
  <c r="F28" i="2"/>
  <c r="H28" i="2" s="1"/>
  <c r="J28" i="2" s="1"/>
  <c r="G32" i="2"/>
  <c r="I32" i="2" s="1"/>
  <c r="K32" i="2" s="1"/>
  <c r="D78" i="15" s="1"/>
  <c r="G27" i="2"/>
  <c r="I27" i="2" s="1"/>
  <c r="K27" i="2" s="1"/>
  <c r="G29" i="2"/>
  <c r="I29" i="2" s="1"/>
  <c r="K29" i="2" s="1"/>
  <c r="G30" i="2"/>
  <c r="I30" i="2" s="1"/>
  <c r="K30" i="2" s="1"/>
  <c r="M43" i="11"/>
  <c r="D41" i="2"/>
  <c r="F41" i="2" s="1"/>
  <c r="H41" i="2" s="1"/>
  <c r="J41" i="2" s="1"/>
  <c r="C87" i="15" s="1"/>
  <c r="N74" i="11"/>
  <c r="N106" i="11"/>
  <c r="F67" i="11"/>
  <c r="H67" i="11" s="1"/>
  <c r="J67" i="11" s="1"/>
  <c r="G50" i="15" s="1"/>
  <c r="D121" i="11"/>
  <c r="F121" i="11" s="1"/>
  <c r="H121" i="11" s="1"/>
  <c r="J121" i="11" s="1"/>
  <c r="D119" i="11"/>
  <c r="F119" i="11" s="1"/>
  <c r="H119" i="11" s="1"/>
  <c r="J119" i="11" s="1"/>
  <c r="D117" i="11"/>
  <c r="F117" i="11" s="1"/>
  <c r="H117" i="11" s="1"/>
  <c r="J117" i="11" s="1"/>
  <c r="D115" i="11"/>
  <c r="F115" i="11" s="1"/>
  <c r="H115" i="11" s="1"/>
  <c r="J115" i="11" s="1"/>
  <c r="D113" i="11"/>
  <c r="F113" i="11" s="1"/>
  <c r="H113" i="11" s="1"/>
  <c r="J113" i="11" s="1"/>
  <c r="D111" i="11"/>
  <c r="F111" i="11" s="1"/>
  <c r="H111" i="11" s="1"/>
  <c r="J111" i="11" s="1"/>
  <c r="D109" i="11"/>
  <c r="F109" i="11" s="1"/>
  <c r="H109" i="11" s="1"/>
  <c r="J109" i="11" s="1"/>
  <c r="D107" i="11"/>
  <c r="F107" i="11" s="1"/>
  <c r="H107" i="11" s="1"/>
  <c r="J107" i="11" s="1"/>
  <c r="D127" i="2"/>
  <c r="F127" i="2" s="1"/>
  <c r="H127" i="2" s="1"/>
  <c r="J127" i="2" s="1"/>
  <c r="D125" i="2"/>
  <c r="F125" i="2" s="1"/>
  <c r="H125" i="2" s="1"/>
  <c r="J125" i="2" s="1"/>
  <c r="D123" i="2"/>
  <c r="F123" i="2" s="1"/>
  <c r="H123" i="2" s="1"/>
  <c r="J123" i="2" s="1"/>
  <c r="D121" i="2"/>
  <c r="F121" i="2" s="1"/>
  <c r="H121" i="2" s="1"/>
  <c r="J121" i="2" s="1"/>
  <c r="D119" i="2"/>
  <c r="F119" i="2" s="1"/>
  <c r="H119" i="2" s="1"/>
  <c r="J119" i="2" s="1"/>
  <c r="D117" i="2"/>
  <c r="F117" i="2" s="1"/>
  <c r="H117" i="2" s="1"/>
  <c r="J117" i="2" s="1"/>
  <c r="D115" i="2"/>
  <c r="F115" i="2" s="1"/>
  <c r="H115" i="2" s="1"/>
  <c r="J115" i="2" s="1"/>
  <c r="D113" i="2"/>
  <c r="F113" i="2" s="1"/>
  <c r="H113" i="2" s="1"/>
  <c r="J113" i="2" s="1"/>
  <c r="D120" i="11"/>
  <c r="F120" i="11" s="1"/>
  <c r="H120" i="11" s="1"/>
  <c r="J120" i="11" s="1"/>
  <c r="D118" i="11"/>
  <c r="F118" i="11" s="1"/>
  <c r="H118" i="11" s="1"/>
  <c r="J118" i="11" s="1"/>
  <c r="D116" i="11"/>
  <c r="F116" i="11" s="1"/>
  <c r="H116" i="11" s="1"/>
  <c r="J116" i="11" s="1"/>
  <c r="D114" i="11"/>
  <c r="F114" i="11" s="1"/>
  <c r="H114" i="11" s="1"/>
  <c r="J114" i="11" s="1"/>
  <c r="D112" i="11"/>
  <c r="F112" i="11" s="1"/>
  <c r="H112" i="11" s="1"/>
  <c r="J112" i="11" s="1"/>
  <c r="D110" i="11"/>
  <c r="F110" i="11" s="1"/>
  <c r="H110" i="11" s="1"/>
  <c r="J110" i="11" s="1"/>
  <c r="D108" i="11"/>
  <c r="F108" i="11" s="1"/>
  <c r="H108" i="11" s="1"/>
  <c r="J108" i="11" s="1"/>
  <c r="D106" i="11"/>
  <c r="D126" i="2"/>
  <c r="F126" i="2" s="1"/>
  <c r="H126" i="2" s="1"/>
  <c r="J126" i="2" s="1"/>
  <c r="D122" i="2"/>
  <c r="F122" i="2" s="1"/>
  <c r="H122" i="2" s="1"/>
  <c r="J122" i="2" s="1"/>
  <c r="D114" i="2"/>
  <c r="F114" i="2" s="1"/>
  <c r="H114" i="2" s="1"/>
  <c r="J114" i="2" s="1"/>
  <c r="D120" i="2"/>
  <c r="F120" i="2" s="1"/>
  <c r="H120" i="2" s="1"/>
  <c r="J120" i="2" s="1"/>
  <c r="D112" i="2"/>
  <c r="F112" i="2" s="1"/>
  <c r="H112" i="2" s="1"/>
  <c r="J112" i="2" s="1"/>
  <c r="D118" i="2"/>
  <c r="F118" i="2" s="1"/>
  <c r="H118" i="2" s="1"/>
  <c r="J118" i="2" s="1"/>
  <c r="D124" i="2"/>
  <c r="F124" i="2" s="1"/>
  <c r="H124" i="2" s="1"/>
  <c r="J124" i="2" s="1"/>
  <c r="D116" i="2"/>
  <c r="F116" i="2" s="1"/>
  <c r="H116" i="2" s="1"/>
  <c r="J116" i="2" s="1"/>
  <c r="I126" i="2"/>
  <c r="K126" i="2" s="1"/>
  <c r="I120" i="11"/>
  <c r="K120" i="11" s="1"/>
  <c r="N30" i="11"/>
  <c r="F99" i="11"/>
  <c r="H99" i="11" s="1"/>
  <c r="J99" i="11" s="1"/>
  <c r="D43" i="2"/>
  <c r="F43" i="2" s="1"/>
  <c r="H43" i="2" s="1"/>
  <c r="J43" i="2" s="1"/>
  <c r="C89" i="15" s="1"/>
  <c r="D51" i="2"/>
  <c r="F51" i="2" s="1"/>
  <c r="H51" i="2" s="1"/>
  <c r="J51" i="2" s="1"/>
  <c r="C28" i="15" s="1"/>
  <c r="N80" i="11"/>
  <c r="D45" i="11"/>
  <c r="F45" i="11" s="1"/>
  <c r="H45" i="11" s="1"/>
  <c r="J45" i="11" s="1"/>
  <c r="G28" i="15" s="1"/>
  <c r="N92" i="11"/>
  <c r="E45" i="10"/>
  <c r="G45" i="10" s="1"/>
  <c r="I45" i="10" s="1"/>
  <c r="K45" i="10" s="1"/>
  <c r="L41" i="15" s="1"/>
  <c r="N64" i="11"/>
  <c r="N70" i="11"/>
  <c r="D37" i="11"/>
  <c r="M37" i="11" s="1"/>
  <c r="M27" i="11"/>
  <c r="E87" i="2"/>
  <c r="G87" i="2" s="1"/>
  <c r="I87" i="2" s="1"/>
  <c r="K87" i="2" s="1"/>
  <c r="D64" i="15" s="1"/>
  <c r="N81" i="11"/>
  <c r="I31" i="10"/>
  <c r="K31" i="10" s="1"/>
  <c r="L27" i="15" s="1"/>
  <c r="K80" i="16"/>
  <c r="M65" i="11"/>
  <c r="M25" i="11"/>
  <c r="M66" i="11"/>
  <c r="E75" i="2"/>
  <c r="G75" i="2" s="1"/>
  <c r="I75" i="2" s="1"/>
  <c r="K75" i="2" s="1"/>
  <c r="D52" i="15" s="1"/>
  <c r="D49" i="11"/>
  <c r="M49" i="11" s="1"/>
  <c r="F81" i="11"/>
  <c r="H81" i="11" s="1"/>
  <c r="J81" i="11" s="1"/>
  <c r="G64" i="15" s="1"/>
  <c r="F97" i="11"/>
  <c r="H97" i="11" s="1"/>
  <c r="J97" i="11" s="1"/>
  <c r="G34" i="11"/>
  <c r="I34" i="11" s="1"/>
  <c r="K34" i="11" s="1"/>
  <c r="F72" i="11"/>
  <c r="H72" i="11" s="1"/>
  <c r="J72" i="11" s="1"/>
  <c r="G55" i="15" s="1"/>
  <c r="F56" i="11"/>
  <c r="H56" i="11" s="1"/>
  <c r="J56" i="11" s="1"/>
  <c r="G39" i="15" s="1"/>
  <c r="D78" i="11"/>
  <c r="F78" i="11" s="1"/>
  <c r="H78" i="11" s="1"/>
  <c r="J78" i="11" s="1"/>
  <c r="G61" i="15" s="1"/>
  <c r="O45" i="2"/>
  <c r="E25" i="11"/>
  <c r="G25" i="11" s="1"/>
  <c r="I25" i="11" s="1"/>
  <c r="K25" i="11" s="1"/>
  <c r="H88" i="2"/>
  <c r="J88" i="2" s="1"/>
  <c r="C65" i="15" s="1"/>
  <c r="M50" i="11"/>
  <c r="F84" i="11"/>
  <c r="H84" i="11" s="1"/>
  <c r="J84" i="11" s="1"/>
  <c r="G67" i="15" s="1"/>
  <c r="E22" i="10"/>
  <c r="G22" i="10" s="1"/>
  <c r="I22" i="10" s="1"/>
  <c r="K22" i="10" s="1"/>
  <c r="M60" i="11"/>
  <c r="M77" i="11"/>
  <c r="M47" i="11"/>
  <c r="N28" i="11"/>
  <c r="E33" i="2"/>
  <c r="E72" i="11"/>
  <c r="G72" i="11" s="1"/>
  <c r="I72" i="11" s="1"/>
  <c r="K72" i="11" s="1"/>
  <c r="H55" i="15" s="1"/>
  <c r="F79" i="11"/>
  <c r="H79" i="11" s="1"/>
  <c r="J79" i="11" s="1"/>
  <c r="G62" i="15" s="1"/>
  <c r="D32" i="11"/>
  <c r="M32" i="11" s="1"/>
  <c r="G86" i="11"/>
  <c r="I86" i="11" s="1"/>
  <c r="K86" i="11" s="1"/>
  <c r="E63" i="2"/>
  <c r="G63" i="2" s="1"/>
  <c r="I63" i="2" s="1"/>
  <c r="K63" i="2" s="1"/>
  <c r="D40" i="15" s="1"/>
  <c r="D82" i="11"/>
  <c r="M82" i="11" s="1"/>
  <c r="M46" i="11"/>
  <c r="F36" i="11"/>
  <c r="H36" i="11" s="1"/>
  <c r="J36" i="11" s="1"/>
  <c r="M40" i="11"/>
  <c r="G27" i="11"/>
  <c r="I27" i="11" s="1"/>
  <c r="K27" i="11" s="1"/>
  <c r="E59" i="11"/>
  <c r="N59" i="11" s="1"/>
  <c r="E72" i="2"/>
  <c r="G72" i="2" s="1"/>
  <c r="I72" i="2" s="1"/>
  <c r="K72" i="2" s="1"/>
  <c r="D49" i="15" s="1"/>
  <c r="E21" i="10"/>
  <c r="G21" i="10" s="1"/>
  <c r="I21" i="10" s="1"/>
  <c r="K21" i="10" s="1"/>
  <c r="D66" i="2"/>
  <c r="F66" i="2" s="1"/>
  <c r="H66" i="2" s="1"/>
  <c r="J66" i="2" s="1"/>
  <c r="C43" i="15" s="1"/>
  <c r="E27" i="10"/>
  <c r="G27" i="10" s="1"/>
  <c r="I27" i="10" s="1"/>
  <c r="K27" i="10" s="1"/>
  <c r="L23" i="15" s="1"/>
  <c r="D52" i="2"/>
  <c r="F52" i="2" s="1"/>
  <c r="H52" i="2" s="1"/>
  <c r="J52" i="2" s="1"/>
  <c r="C29" i="15" s="1"/>
  <c r="D42" i="10"/>
  <c r="F42" i="10" s="1"/>
  <c r="H42" i="10" s="1"/>
  <c r="J42" i="10" s="1"/>
  <c r="K38" i="15" s="1"/>
  <c r="D90" i="2"/>
  <c r="F90" i="2" s="1"/>
  <c r="H90" i="2" s="1"/>
  <c r="J90" i="2" s="1"/>
  <c r="C67" i="15" s="1"/>
  <c r="N99" i="11"/>
  <c r="E45" i="11"/>
  <c r="G45" i="11" s="1"/>
  <c r="I45" i="11" s="1"/>
  <c r="K45" i="11" s="1"/>
  <c r="H28" i="15" s="1"/>
  <c r="E68" i="11"/>
  <c r="G68" i="11" s="1"/>
  <c r="I68" i="11" s="1"/>
  <c r="K68" i="11" s="1"/>
  <c r="H51" i="15" s="1"/>
  <c r="D36" i="10"/>
  <c r="F36" i="10" s="1"/>
  <c r="H36" i="10" s="1"/>
  <c r="J36" i="10" s="1"/>
  <c r="K32" i="15" s="1"/>
  <c r="E21" i="11"/>
  <c r="G21" i="11" s="1"/>
  <c r="I21" i="11" s="1"/>
  <c r="K21" i="11" s="1"/>
  <c r="D56" i="2"/>
  <c r="F56" i="2" s="1"/>
  <c r="H56" i="2" s="1"/>
  <c r="J56" i="2" s="1"/>
  <c r="C33" i="15" s="1"/>
  <c r="E82" i="11"/>
  <c r="G82" i="11" s="1"/>
  <c r="I82" i="11" s="1"/>
  <c r="K82" i="11" s="1"/>
  <c r="H65" i="15" s="1"/>
  <c r="D46" i="2"/>
  <c r="F46" i="2" s="1"/>
  <c r="H46" i="2" s="1"/>
  <c r="J46" i="2" s="1"/>
  <c r="C23" i="15" s="1"/>
  <c r="D40" i="10"/>
  <c r="F40" i="10" s="1"/>
  <c r="H40" i="10" s="1"/>
  <c r="J40" i="10" s="1"/>
  <c r="K36" i="15" s="1"/>
  <c r="E22" i="11"/>
  <c r="G22" i="11" s="1"/>
  <c r="I22" i="11" s="1"/>
  <c r="K22" i="11" s="1"/>
  <c r="E105" i="2"/>
  <c r="G105" i="2" s="1"/>
  <c r="I105" i="2" s="1"/>
  <c r="K105" i="2" s="1"/>
  <c r="D53" i="2"/>
  <c r="F53" i="2" s="1"/>
  <c r="H53" i="2" s="1"/>
  <c r="J53" i="2" s="1"/>
  <c r="C30" i="15" s="1"/>
  <c r="E95" i="11"/>
  <c r="G95" i="11" s="1"/>
  <c r="I95" i="11" s="1"/>
  <c r="K95" i="11" s="1"/>
  <c r="D42" i="2"/>
  <c r="F42" i="2" s="1"/>
  <c r="H42" i="2" s="1"/>
  <c r="J42" i="2" s="1"/>
  <c r="C88" i="15" s="1"/>
  <c r="D32" i="10"/>
  <c r="F32" i="10" s="1"/>
  <c r="H32" i="10" s="1"/>
  <c r="J32" i="10" s="1"/>
  <c r="K28" i="15" s="1"/>
  <c r="D42" i="11"/>
  <c r="F42" i="11" s="1"/>
  <c r="H42" i="11" s="1"/>
  <c r="J42" i="11" s="1"/>
  <c r="G25" i="15" s="1"/>
  <c r="M87" i="11"/>
  <c r="E43" i="10"/>
  <c r="G43" i="10" s="1"/>
  <c r="I43" i="10" s="1"/>
  <c r="K43" i="10" s="1"/>
  <c r="L39" i="15" s="1"/>
  <c r="E73" i="2"/>
  <c r="G73" i="2" s="1"/>
  <c r="I73" i="2" s="1"/>
  <c r="K73" i="2" s="1"/>
  <c r="D50" i="15" s="1"/>
  <c r="F104" i="11"/>
  <c r="H104" i="11" s="1"/>
  <c r="J104" i="11" s="1"/>
  <c r="E41" i="11"/>
  <c r="G41" i="11" s="1"/>
  <c r="I41" i="11" s="1"/>
  <c r="K41" i="11" s="1"/>
  <c r="H24" i="15" s="1"/>
  <c r="E61" i="11"/>
  <c r="G61" i="11" s="1"/>
  <c r="I61" i="11" s="1"/>
  <c r="K61" i="11" s="1"/>
  <c r="H44" i="15" s="1"/>
  <c r="D48" i="11"/>
  <c r="M48" i="11" s="1"/>
  <c r="G89" i="11"/>
  <c r="I89" i="11" s="1"/>
  <c r="K89" i="11" s="1"/>
  <c r="E47" i="2"/>
  <c r="G47" i="2" s="1"/>
  <c r="I47" i="2" s="1"/>
  <c r="K47" i="2" s="1"/>
  <c r="D24" i="15" s="1"/>
  <c r="E24" i="11"/>
  <c r="N24" i="11" s="1"/>
  <c r="E77" i="2"/>
  <c r="G77" i="2" s="1"/>
  <c r="I77" i="2" s="1"/>
  <c r="K77" i="2" s="1"/>
  <c r="D54" i="15" s="1"/>
  <c r="M57" i="11"/>
  <c r="G54" i="11"/>
  <c r="I54" i="11" s="1"/>
  <c r="K54" i="11" s="1"/>
  <c r="H37" i="15" s="1"/>
  <c r="N54" i="11"/>
  <c r="G47" i="11"/>
  <c r="I47" i="11" s="1"/>
  <c r="K47" i="11" s="1"/>
  <c r="H30" i="15" s="1"/>
  <c r="N47" i="11"/>
  <c r="F38" i="11"/>
  <c r="H38" i="11" s="1"/>
  <c r="J38" i="11" s="1"/>
  <c r="M38" i="11"/>
  <c r="N69" i="11"/>
  <c r="N43" i="11"/>
  <c r="E88" i="11"/>
  <c r="N88" i="11" s="1"/>
  <c r="D54" i="11"/>
  <c r="F54" i="11" s="1"/>
  <c r="H54" i="11" s="1"/>
  <c r="J54" i="11" s="1"/>
  <c r="G37" i="15" s="1"/>
  <c r="D27" i="2"/>
  <c r="F27" i="2" s="1"/>
  <c r="H27" i="2" s="1"/>
  <c r="D40" i="2"/>
  <c r="F40" i="2" s="1"/>
  <c r="H40" i="2" s="1"/>
  <c r="J40" i="2" s="1"/>
  <c r="C86" i="15" s="1"/>
  <c r="D44" i="10"/>
  <c r="F44" i="10" s="1"/>
  <c r="H44" i="10" s="1"/>
  <c r="J44" i="10" s="1"/>
  <c r="K40" i="15" s="1"/>
  <c r="E79" i="2"/>
  <c r="G79" i="2" s="1"/>
  <c r="I79" i="2" s="1"/>
  <c r="K79" i="2" s="1"/>
  <c r="D56" i="15" s="1"/>
  <c r="M34" i="11"/>
  <c r="E53" i="11"/>
  <c r="G53" i="11" s="1"/>
  <c r="D100" i="11"/>
  <c r="F100" i="11" s="1"/>
  <c r="H100" i="11" s="1"/>
  <c r="J100" i="11" s="1"/>
  <c r="E34" i="2"/>
  <c r="G34" i="2" s="1"/>
  <c r="I34" i="2" s="1"/>
  <c r="K34" i="2" s="1"/>
  <c r="D80" i="15" s="1"/>
  <c r="D21" i="11"/>
  <c r="F21" i="11" s="1"/>
  <c r="H21" i="11" s="1"/>
  <c r="J21" i="11" s="1"/>
  <c r="D34" i="10"/>
  <c r="F34" i="10" s="1"/>
  <c r="H34" i="10" s="1"/>
  <c r="J34" i="10" s="1"/>
  <c r="K30" i="15" s="1"/>
  <c r="D110" i="2"/>
  <c r="F110" i="2" s="1"/>
  <c r="H110" i="2" s="1"/>
  <c r="J110" i="2" s="1"/>
  <c r="D61" i="11"/>
  <c r="M61" i="11" s="1"/>
  <c r="D44" i="11"/>
  <c r="M44" i="11" s="1"/>
  <c r="E49" i="2"/>
  <c r="G49" i="2" s="1"/>
  <c r="I49" i="2" s="1"/>
  <c r="K49" i="2" s="1"/>
  <c r="D26" i="15" s="1"/>
  <c r="E63" i="11"/>
  <c r="N63" i="11" s="1"/>
  <c r="G67" i="11"/>
  <c r="I67" i="11" s="1"/>
  <c r="K67" i="11" s="1"/>
  <c r="H50" i="15" s="1"/>
  <c r="D72" i="2"/>
  <c r="F72" i="2" s="1"/>
  <c r="H72" i="2" s="1"/>
  <c r="J72" i="2" s="1"/>
  <c r="C49" i="15" s="1"/>
  <c r="E28" i="10"/>
  <c r="G28" i="10" s="1"/>
  <c r="I28" i="10" s="1"/>
  <c r="K28" i="10" s="1"/>
  <c r="L24" i="15" s="1"/>
  <c r="D62" i="2"/>
  <c r="F62" i="2" s="1"/>
  <c r="H62" i="2" s="1"/>
  <c r="J62" i="2" s="1"/>
  <c r="C39" i="15" s="1"/>
  <c r="E31" i="2"/>
  <c r="G31" i="2" s="1"/>
  <c r="I31" i="2" s="1"/>
  <c r="K31" i="2" s="1"/>
  <c r="E94" i="11"/>
  <c r="D83" i="2"/>
  <c r="F83" i="2" s="1"/>
  <c r="H83" i="2" s="1"/>
  <c r="J83" i="2" s="1"/>
  <c r="C60" i="15" s="1"/>
  <c r="E65" i="11"/>
  <c r="G65" i="11" s="1"/>
  <c r="I65" i="11" s="1"/>
  <c r="K65" i="11" s="1"/>
  <c r="H48" i="15" s="1"/>
  <c r="E43" i="2"/>
  <c r="G43" i="2" s="1"/>
  <c r="I43" i="2" s="1"/>
  <c r="K43" i="2" s="1"/>
  <c r="D89" i="15" s="1"/>
  <c r="G104" i="11"/>
  <c r="I104" i="11" s="1"/>
  <c r="K104" i="11" s="1"/>
  <c r="E51" i="11"/>
  <c r="N51" i="11" s="1"/>
  <c r="E55" i="11"/>
  <c r="N55" i="11" s="1"/>
  <c r="E104" i="2"/>
  <c r="G104" i="2" s="1"/>
  <c r="I104" i="2" s="1"/>
  <c r="K104" i="2" s="1"/>
  <c r="G33" i="11"/>
  <c r="I33" i="11" s="1"/>
  <c r="K33" i="11" s="1"/>
  <c r="N98" i="11"/>
  <c r="M58" i="11"/>
  <c r="G37" i="11"/>
  <c r="I37" i="11" s="1"/>
  <c r="K37" i="11" s="1"/>
  <c r="D78" i="2"/>
  <c r="F78" i="2" s="1"/>
  <c r="H78" i="2" s="1"/>
  <c r="J78" i="2" s="1"/>
  <c r="C55" i="15" s="1"/>
  <c r="E87" i="11"/>
  <c r="N87" i="11" s="1"/>
  <c r="E37" i="10"/>
  <c r="G37" i="10" s="1"/>
  <c r="I37" i="10" s="1"/>
  <c r="K37" i="10" s="1"/>
  <c r="L33" i="15" s="1"/>
  <c r="E81" i="2"/>
  <c r="G81" i="2" s="1"/>
  <c r="I81" i="2" s="1"/>
  <c r="K81" i="2" s="1"/>
  <c r="D58" i="15" s="1"/>
  <c r="E110" i="2"/>
  <c r="G110" i="2" s="1"/>
  <c r="I110" i="2" s="1"/>
  <c r="K110" i="2" s="1"/>
  <c r="D64" i="2"/>
  <c r="F64" i="2" s="1"/>
  <c r="H64" i="2" s="1"/>
  <c r="J64" i="2" s="1"/>
  <c r="C41" i="15" s="1"/>
  <c r="I131" i="1"/>
  <c r="N71" i="11"/>
  <c r="N49" i="11"/>
  <c r="E24" i="10"/>
  <c r="G24" i="10" s="1"/>
  <c r="I24" i="10" s="1"/>
  <c r="K24" i="10" s="1"/>
  <c r="D26" i="11"/>
  <c r="F26" i="11" s="1"/>
  <c r="H26" i="11" s="1"/>
  <c r="J26" i="11" s="1"/>
  <c r="D39" i="11"/>
  <c r="F39" i="11" s="1"/>
  <c r="H39" i="11" s="1"/>
  <c r="J39" i="11" s="1"/>
  <c r="G22" i="15" s="1"/>
  <c r="D26" i="10"/>
  <c r="F26" i="10" s="1"/>
  <c r="D63" i="2"/>
  <c r="F63" i="2" s="1"/>
  <c r="H63" i="2" s="1"/>
  <c r="J63" i="2" s="1"/>
  <c r="C40" i="15" s="1"/>
  <c r="E55" i="2"/>
  <c r="G55" i="2" s="1"/>
  <c r="I55" i="2" s="1"/>
  <c r="K55" i="2" s="1"/>
  <c r="D32" i="15" s="1"/>
  <c r="E95" i="2"/>
  <c r="G95" i="2" s="1"/>
  <c r="I95" i="2" s="1"/>
  <c r="K95" i="2" s="1"/>
  <c r="E84" i="11"/>
  <c r="N84" i="11" s="1"/>
  <c r="D45" i="2"/>
  <c r="F45" i="2" s="1"/>
  <c r="H45" i="2" s="1"/>
  <c r="J45" i="2" s="1"/>
  <c r="N45" i="2" s="1"/>
  <c r="D93" i="11"/>
  <c r="M93" i="11" s="1"/>
  <c r="D89" i="11"/>
  <c r="D95" i="2"/>
  <c r="F95" i="2" s="1"/>
  <c r="H95" i="2" s="1"/>
  <c r="J95" i="2" s="1"/>
  <c r="E44" i="11"/>
  <c r="E50" i="2"/>
  <c r="G50" i="2" s="1"/>
  <c r="I50" i="2" s="1"/>
  <c r="K50" i="2" s="1"/>
  <c r="D27" i="15" s="1"/>
  <c r="G75" i="11"/>
  <c r="I75" i="11" s="1"/>
  <c r="K75" i="11" s="1"/>
  <c r="H58" i="15" s="1"/>
  <c r="N75" i="11"/>
  <c r="E35" i="10"/>
  <c r="G35" i="10" s="1"/>
  <c r="I35" i="10" s="1"/>
  <c r="K35" i="10" s="1"/>
  <c r="L31" i="15" s="1"/>
  <c r="E41" i="2"/>
  <c r="G41" i="2" s="1"/>
  <c r="I41" i="2" s="1"/>
  <c r="K41" i="2" s="1"/>
  <c r="D87" i="15" s="1"/>
  <c r="D70" i="2"/>
  <c r="F70" i="2" s="1"/>
  <c r="H70" i="2" s="1"/>
  <c r="J70" i="2" s="1"/>
  <c r="C47" i="15" s="1"/>
  <c r="D64" i="11"/>
  <c r="D73" i="11"/>
  <c r="D79" i="2"/>
  <c r="F79" i="2" s="1"/>
  <c r="H79" i="2" s="1"/>
  <c r="J79" i="2" s="1"/>
  <c r="C56" i="15" s="1"/>
  <c r="D111" i="2"/>
  <c r="F111" i="2" s="1"/>
  <c r="H111" i="2" s="1"/>
  <c r="J111" i="2" s="1"/>
  <c r="D105" i="11"/>
  <c r="E33" i="10"/>
  <c r="G33" i="10" s="1"/>
  <c r="I33" i="10" s="1"/>
  <c r="K33" i="10" s="1"/>
  <c r="L29" i="15" s="1"/>
  <c r="E39" i="2"/>
  <c r="G39" i="2" s="1"/>
  <c r="I39" i="2" s="1"/>
  <c r="K39" i="2" s="1"/>
  <c r="D85" i="15" s="1"/>
  <c r="E97" i="2"/>
  <c r="G97" i="2" s="1"/>
  <c r="I97" i="2" s="1"/>
  <c r="K97" i="2" s="1"/>
  <c r="E91" i="11"/>
  <c r="E91" i="2"/>
  <c r="G91" i="2" s="1"/>
  <c r="I91" i="2" s="1"/>
  <c r="K91" i="2" s="1"/>
  <c r="D68" i="15" s="1"/>
  <c r="E85" i="11"/>
  <c r="D22" i="10"/>
  <c r="F22" i="10" s="1"/>
  <c r="H22" i="10" s="1"/>
  <c r="J22" i="10" s="1"/>
  <c r="D22" i="11"/>
  <c r="D74" i="11"/>
  <c r="D80" i="2"/>
  <c r="F80" i="2" s="1"/>
  <c r="H80" i="2" s="1"/>
  <c r="J80" i="2" s="1"/>
  <c r="C57" i="15" s="1"/>
  <c r="D23" i="10"/>
  <c r="F23" i="10" s="1"/>
  <c r="H23" i="10" s="1"/>
  <c r="J23" i="10" s="1"/>
  <c r="D23" i="11"/>
  <c r="D29" i="2"/>
  <c r="D33" i="10"/>
  <c r="F33" i="10" s="1"/>
  <c r="H33" i="10" s="1"/>
  <c r="J33" i="10" s="1"/>
  <c r="K29" i="15" s="1"/>
  <c r="D33" i="11"/>
  <c r="D39" i="2"/>
  <c r="F39" i="2" s="1"/>
  <c r="H39" i="2" s="1"/>
  <c r="J39" i="2" s="1"/>
  <c r="C85" i="15" s="1"/>
  <c r="E42" i="2"/>
  <c r="G42" i="2" s="1"/>
  <c r="I42" i="2" s="1"/>
  <c r="K42" i="2" s="1"/>
  <c r="D88" i="15" s="1"/>
  <c r="E36" i="10"/>
  <c r="G36" i="10" s="1"/>
  <c r="I36" i="10" s="1"/>
  <c r="K36" i="10" s="1"/>
  <c r="L32" i="15" s="1"/>
  <c r="E36" i="11"/>
  <c r="E84" i="2"/>
  <c r="G84" i="2" s="1"/>
  <c r="I84" i="2" s="1"/>
  <c r="K84" i="2" s="1"/>
  <c r="D61" i="15" s="1"/>
  <c r="E78" i="11"/>
  <c r="D94" i="2"/>
  <c r="F94" i="2" s="1"/>
  <c r="H94" i="2" s="1"/>
  <c r="J94" i="2" s="1"/>
  <c r="D88" i="11"/>
  <c r="E103" i="2"/>
  <c r="G103" i="2" s="1"/>
  <c r="I103" i="2" s="1"/>
  <c r="K103" i="2" s="1"/>
  <c r="E97" i="11"/>
  <c r="D36" i="2"/>
  <c r="F36" i="2" s="1"/>
  <c r="H36" i="2" s="1"/>
  <c r="J36" i="2" s="1"/>
  <c r="C82" i="15" s="1"/>
  <c r="D30" i="11"/>
  <c r="D30" i="10"/>
  <c r="F30" i="10" s="1"/>
  <c r="H30" i="10" s="1"/>
  <c r="J30" i="10" s="1"/>
  <c r="K26" i="15" s="1"/>
  <c r="E83" i="2"/>
  <c r="G83" i="2" s="1"/>
  <c r="I83" i="2" s="1"/>
  <c r="K83" i="2" s="1"/>
  <c r="D60" i="15" s="1"/>
  <c r="E77" i="11"/>
  <c r="E85" i="2"/>
  <c r="G85" i="2" s="1"/>
  <c r="I85" i="2" s="1"/>
  <c r="K85" i="2" s="1"/>
  <c r="D62" i="15" s="1"/>
  <c r="E79" i="11"/>
  <c r="D80" i="11"/>
  <c r="D86" i="2"/>
  <c r="F86" i="2" s="1"/>
  <c r="H86" i="2" s="1"/>
  <c r="J86" i="2" s="1"/>
  <c r="C63" i="15" s="1"/>
  <c r="D86" i="11"/>
  <c r="D92" i="2"/>
  <c r="F92" i="2" s="1"/>
  <c r="H92" i="2" s="1"/>
  <c r="J92" i="2" s="1"/>
  <c r="D100" i="2"/>
  <c r="F100" i="2" s="1"/>
  <c r="H100" i="2" s="1"/>
  <c r="J100" i="2" s="1"/>
  <c r="D94" i="11"/>
  <c r="D28" i="10"/>
  <c r="F28" i="10" s="1"/>
  <c r="H28" i="10" s="1"/>
  <c r="J28" i="10" s="1"/>
  <c r="K24" i="15" s="1"/>
  <c r="D34" i="2"/>
  <c r="F34" i="2" s="1"/>
  <c r="H34" i="2" s="1"/>
  <c r="J34" i="2" s="1"/>
  <c r="C80" i="15" s="1"/>
  <c r="D28" i="11"/>
  <c r="E107" i="2"/>
  <c r="G107" i="2" s="1"/>
  <c r="I107" i="2" s="1"/>
  <c r="K107" i="2" s="1"/>
  <c r="E101" i="11"/>
  <c r="E103" i="11"/>
  <c r="E109" i="2"/>
  <c r="G109" i="2" s="1"/>
  <c r="I109" i="2" s="1"/>
  <c r="K109" i="2" s="1"/>
  <c r="D58" i="2"/>
  <c r="F58" i="2" s="1"/>
  <c r="H58" i="2" s="1"/>
  <c r="J58" i="2" s="1"/>
  <c r="C35" i="15" s="1"/>
  <c r="D52" i="11"/>
  <c r="D62" i="11"/>
  <c r="D68" i="2"/>
  <c r="F68" i="2" s="1"/>
  <c r="H68" i="2" s="1"/>
  <c r="J68" i="2" s="1"/>
  <c r="C45" i="15" s="1"/>
  <c r="D82" i="2"/>
  <c r="F82" i="2" s="1"/>
  <c r="H82" i="2" s="1"/>
  <c r="J82" i="2" s="1"/>
  <c r="C59" i="15" s="1"/>
  <c r="D76" i="11"/>
  <c r="D37" i="2"/>
  <c r="F37" i="2" s="1"/>
  <c r="D31" i="11"/>
  <c r="E58" i="2"/>
  <c r="G58" i="2" s="1"/>
  <c r="I58" i="2" s="1"/>
  <c r="K58" i="2" s="1"/>
  <c r="D35" i="15" s="1"/>
  <c r="E52" i="11"/>
  <c r="G73" i="11"/>
  <c r="I73" i="11" s="1"/>
  <c r="K73" i="11" s="1"/>
  <c r="H56" i="15" s="1"/>
  <c r="N73" i="11"/>
  <c r="D104" i="2"/>
  <c r="F104" i="2" s="1"/>
  <c r="H104" i="2" s="1"/>
  <c r="J104" i="2" s="1"/>
  <c r="D98" i="11"/>
  <c r="D96" i="11"/>
  <c r="D102" i="2"/>
  <c r="F102" i="2" s="1"/>
  <c r="H102" i="2" s="1"/>
  <c r="J102" i="2" s="1"/>
  <c r="E35" i="2"/>
  <c r="G35" i="2" s="1"/>
  <c r="I35" i="2" s="1"/>
  <c r="K35" i="2" s="1"/>
  <c r="D81" i="15" s="1"/>
  <c r="E29" i="11"/>
  <c r="D44" i="2"/>
  <c r="F44" i="2" s="1"/>
  <c r="H44" i="2" s="1"/>
  <c r="J44" i="2" s="1"/>
  <c r="C90" i="15" s="1"/>
  <c r="D38" i="10"/>
  <c r="F38" i="10" s="1"/>
  <c r="H38" i="10" s="1"/>
  <c r="J38" i="10" s="1"/>
  <c r="K34" i="15" s="1"/>
  <c r="E62" i="2"/>
  <c r="G62" i="2" s="1"/>
  <c r="I62" i="2" s="1"/>
  <c r="K62" i="2" s="1"/>
  <c r="D39" i="15" s="1"/>
  <c r="E56" i="11"/>
  <c r="E100" i="11"/>
  <c r="E106" i="2"/>
  <c r="G106" i="2" s="1"/>
  <c r="I106" i="2" s="1"/>
  <c r="K106" i="2" s="1"/>
  <c r="E62" i="11"/>
  <c r="E68" i="2"/>
  <c r="G68" i="2" s="1"/>
  <c r="I68" i="2" s="1"/>
  <c r="K68" i="2" s="1"/>
  <c r="D45" i="15" s="1"/>
  <c r="E38" i="10"/>
  <c r="G38" i="10" s="1"/>
  <c r="I38" i="10" s="1"/>
  <c r="K38" i="10" s="1"/>
  <c r="L34" i="15" s="1"/>
  <c r="E44" i="2"/>
  <c r="G44" i="2" s="1"/>
  <c r="I44" i="2" s="1"/>
  <c r="K44" i="2" s="1"/>
  <c r="D90" i="15" s="1"/>
  <c r="E38" i="11"/>
  <c r="D24" i="10"/>
  <c r="F24" i="10" s="1"/>
  <c r="H24" i="10" s="1"/>
  <c r="J24" i="10" s="1"/>
  <c r="D30" i="2"/>
  <c r="D24" i="11"/>
  <c r="D90" i="11"/>
  <c r="D96" i="2"/>
  <c r="F96" i="2" s="1"/>
  <c r="H96" i="2" s="1"/>
  <c r="J96" i="2" s="1"/>
  <c r="D68" i="11"/>
  <c r="D74" i="2"/>
  <c r="F74" i="2" s="1"/>
  <c r="H74" i="2" s="1"/>
  <c r="J74" i="2" s="1"/>
  <c r="C51" i="15" s="1"/>
  <c r="D70" i="11"/>
  <c r="D76" i="2"/>
  <c r="F76" i="2" s="1"/>
  <c r="H76" i="2" s="1"/>
  <c r="J76" i="2" s="1"/>
  <c r="C53" i="15" s="1"/>
  <c r="E111" i="2"/>
  <c r="G111" i="2" s="1"/>
  <c r="I111" i="2" s="1"/>
  <c r="K111" i="2" s="1"/>
  <c r="E105" i="11"/>
  <c r="E99" i="2"/>
  <c r="G99" i="2" s="1"/>
  <c r="I99" i="2" s="1"/>
  <c r="K99" i="2" s="1"/>
  <c r="E93" i="11"/>
  <c r="D92" i="11"/>
  <c r="D98" i="2"/>
  <c r="F98" i="2" s="1"/>
  <c r="H98" i="2" s="1"/>
  <c r="J98" i="2" s="1"/>
  <c r="D102" i="11"/>
  <c r="D108" i="2"/>
  <c r="F108" i="2" s="1"/>
  <c r="H108" i="2" s="1"/>
  <c r="J108" i="2" s="1"/>
  <c r="E83" i="11"/>
  <c r="E89" i="2"/>
  <c r="G89" i="2" s="1"/>
  <c r="I89" i="2" s="1"/>
  <c r="K89" i="2" s="1"/>
  <c r="D66" i="15" s="1"/>
  <c r="N35" i="11"/>
  <c r="I51" i="2"/>
  <c r="K51" i="2" s="1"/>
  <c r="D28" i="15" s="1"/>
  <c r="G57" i="11"/>
  <c r="I57" i="11" s="1"/>
  <c r="K57" i="11" s="1"/>
  <c r="H40" i="15" s="1"/>
  <c r="N57" i="11"/>
  <c r="G66" i="11"/>
  <c r="I66" i="11" s="1"/>
  <c r="K66" i="11" s="1"/>
  <c r="H49" i="15" s="1"/>
  <c r="N66" i="11"/>
  <c r="M85" i="11" l="1"/>
  <c r="M45" i="11"/>
  <c r="F35" i="11"/>
  <c r="H35" i="11" s="1"/>
  <c r="J35" i="11" s="1"/>
  <c r="M71" i="11"/>
  <c r="F103" i="11"/>
  <c r="H103" i="11" s="1"/>
  <c r="J103" i="11" s="1"/>
  <c r="M103" i="11"/>
  <c r="G33" i="2"/>
  <c r="I33" i="2" s="1"/>
  <c r="K33" i="2" s="1"/>
  <c r="D79" i="15" s="1"/>
  <c r="F29" i="2"/>
  <c r="H29" i="2" s="1"/>
  <c r="J29" i="2" s="1"/>
  <c r="F30" i="2"/>
  <c r="H30" i="2" s="1"/>
  <c r="J30" i="2" s="1"/>
  <c r="F32" i="11"/>
  <c r="H32" i="11" s="1"/>
  <c r="J32" i="11" s="1"/>
  <c r="K79" i="16"/>
  <c r="J27" i="2"/>
  <c r="F49" i="11"/>
  <c r="H49" i="11" s="1"/>
  <c r="J49" i="11" s="1"/>
  <c r="G32" i="15" s="1"/>
  <c r="K78" i="16"/>
  <c r="F37" i="11"/>
  <c r="H37" i="11" s="1"/>
  <c r="J37" i="11" s="1"/>
  <c r="F82" i="11"/>
  <c r="H82" i="11" s="1"/>
  <c r="J82" i="11" s="1"/>
  <c r="G65" i="15" s="1"/>
  <c r="N25" i="11"/>
  <c r="M42" i="11"/>
  <c r="H26" i="10"/>
  <c r="J26" i="10" s="1"/>
  <c r="K22" i="15" s="1"/>
  <c r="K81" i="16"/>
  <c r="G59" i="11"/>
  <c r="I59" i="11" s="1"/>
  <c r="K59" i="11" s="1"/>
  <c r="H42" i="15" s="1"/>
  <c r="N21" i="11"/>
  <c r="M78" i="11"/>
  <c r="N72" i="11"/>
  <c r="F44" i="11"/>
  <c r="H44" i="11" s="1"/>
  <c r="J44" i="11" s="1"/>
  <c r="G27" i="15" s="1"/>
  <c r="N45" i="11"/>
  <c r="M21" i="11"/>
  <c r="N22" i="11"/>
  <c r="G63" i="11"/>
  <c r="I63" i="11" s="1"/>
  <c r="K63" i="11" s="1"/>
  <c r="H46" i="15" s="1"/>
  <c r="M26" i="11"/>
  <c r="M100" i="11"/>
  <c r="N61" i="11"/>
  <c r="G55" i="11"/>
  <c r="I55" i="11" s="1"/>
  <c r="K55" i="11" s="1"/>
  <c r="H38" i="15" s="1"/>
  <c r="N65" i="11"/>
  <c r="G51" i="11"/>
  <c r="N82" i="11"/>
  <c r="N41" i="11"/>
  <c r="N68" i="11"/>
  <c r="M54" i="11"/>
  <c r="F61" i="11"/>
  <c r="H61" i="11" s="1"/>
  <c r="J61" i="11" s="1"/>
  <c r="G44" i="15" s="1"/>
  <c r="N95" i="11"/>
  <c r="F93" i="11"/>
  <c r="H93" i="11" s="1"/>
  <c r="J93" i="11" s="1"/>
  <c r="F48" i="11"/>
  <c r="H48" i="11" s="1"/>
  <c r="J48" i="11" s="1"/>
  <c r="G31" i="15" s="1"/>
  <c r="G88" i="11"/>
  <c r="I88" i="11" s="1"/>
  <c r="K88" i="11" s="1"/>
  <c r="G24" i="11"/>
  <c r="I24" i="11" s="1"/>
  <c r="K24" i="11" s="1"/>
  <c r="C22" i="15"/>
  <c r="N94" i="11"/>
  <c r="G94" i="11"/>
  <c r="I94" i="11" s="1"/>
  <c r="K94" i="11" s="1"/>
  <c r="N53" i="11"/>
  <c r="M39" i="11"/>
  <c r="G87" i="11"/>
  <c r="I87" i="11" s="1"/>
  <c r="K87" i="11" s="1"/>
  <c r="G84" i="11"/>
  <c r="I84" i="11" s="1"/>
  <c r="K84" i="11" s="1"/>
  <c r="H67" i="15" s="1"/>
  <c r="G83" i="11"/>
  <c r="I83" i="11" s="1"/>
  <c r="K83" i="11" s="1"/>
  <c r="H66" i="15" s="1"/>
  <c r="N83" i="11"/>
  <c r="F92" i="11"/>
  <c r="H92" i="11" s="1"/>
  <c r="J92" i="11" s="1"/>
  <c r="M92" i="11"/>
  <c r="M68" i="11"/>
  <c r="F68" i="11"/>
  <c r="H68" i="11" s="1"/>
  <c r="J68" i="11" s="1"/>
  <c r="G51" i="15" s="1"/>
  <c r="N100" i="11"/>
  <c r="G100" i="11"/>
  <c r="I100" i="11" s="1"/>
  <c r="K100" i="11" s="1"/>
  <c r="M96" i="11"/>
  <c r="F96" i="11"/>
  <c r="H96" i="11" s="1"/>
  <c r="J96" i="11" s="1"/>
  <c r="M94" i="11"/>
  <c r="F94" i="11"/>
  <c r="H94" i="11" s="1"/>
  <c r="J94" i="11" s="1"/>
  <c r="G77" i="11"/>
  <c r="I77" i="11" s="1"/>
  <c r="K77" i="11" s="1"/>
  <c r="H60" i="15" s="1"/>
  <c r="N77" i="11"/>
  <c r="G85" i="11"/>
  <c r="I85" i="11" s="1"/>
  <c r="K85" i="11" s="1"/>
  <c r="H68" i="15" s="1"/>
  <c r="N85" i="11"/>
  <c r="G93" i="11"/>
  <c r="I93" i="11" s="1"/>
  <c r="K93" i="11" s="1"/>
  <c r="N93" i="11"/>
  <c r="G56" i="11"/>
  <c r="I56" i="11" s="1"/>
  <c r="K56" i="11" s="1"/>
  <c r="H39" i="15" s="1"/>
  <c r="N56" i="11"/>
  <c r="N29" i="11"/>
  <c r="G29" i="11"/>
  <c r="I29" i="11" s="1"/>
  <c r="K29" i="11" s="1"/>
  <c r="F106" i="11"/>
  <c r="H106" i="11" s="1"/>
  <c r="J106" i="11" s="1"/>
  <c r="M106" i="11"/>
  <c r="M31" i="11"/>
  <c r="F31" i="11"/>
  <c r="H31" i="11" s="1"/>
  <c r="J31" i="11" s="1"/>
  <c r="M28" i="11"/>
  <c r="F28" i="11"/>
  <c r="H28" i="11" s="1"/>
  <c r="J28" i="11" s="1"/>
  <c r="M80" i="11"/>
  <c r="F80" i="11"/>
  <c r="H80" i="11" s="1"/>
  <c r="J80" i="11" s="1"/>
  <c r="G63" i="15" s="1"/>
  <c r="G97" i="11"/>
  <c r="I97" i="11" s="1"/>
  <c r="K97" i="11" s="1"/>
  <c r="N97" i="11"/>
  <c r="G78" i="11"/>
  <c r="I78" i="11" s="1"/>
  <c r="K78" i="11" s="1"/>
  <c r="H61" i="15" s="1"/>
  <c r="N78" i="11"/>
  <c r="F74" i="11"/>
  <c r="H74" i="11" s="1"/>
  <c r="J74" i="11" s="1"/>
  <c r="G57" i="15" s="1"/>
  <c r="M74" i="11"/>
  <c r="M73" i="11"/>
  <c r="F73" i="11"/>
  <c r="H73" i="11" s="1"/>
  <c r="J73" i="11" s="1"/>
  <c r="G56" i="15" s="1"/>
  <c r="G44" i="11"/>
  <c r="I44" i="11" s="1"/>
  <c r="K44" i="11" s="1"/>
  <c r="H27" i="15" s="1"/>
  <c r="N44" i="11"/>
  <c r="F102" i="11"/>
  <c r="H102" i="11" s="1"/>
  <c r="J102" i="11" s="1"/>
  <c r="M102" i="11"/>
  <c r="F70" i="11"/>
  <c r="H70" i="11" s="1"/>
  <c r="J70" i="11" s="1"/>
  <c r="G53" i="15" s="1"/>
  <c r="M70" i="11"/>
  <c r="M90" i="11"/>
  <c r="F90" i="11"/>
  <c r="H90" i="11" s="1"/>
  <c r="J90" i="11" s="1"/>
  <c r="G38" i="11"/>
  <c r="I38" i="11" s="1"/>
  <c r="K38" i="11" s="1"/>
  <c r="N38" i="11"/>
  <c r="N62" i="11"/>
  <c r="G62" i="11"/>
  <c r="I62" i="11" s="1"/>
  <c r="K62" i="11" s="1"/>
  <c r="H45" i="15" s="1"/>
  <c r="H37" i="2"/>
  <c r="J37" i="2" s="1"/>
  <c r="C83" i="15" s="1"/>
  <c r="L38" i="2"/>
  <c r="F62" i="11"/>
  <c r="H62" i="11" s="1"/>
  <c r="J62" i="11" s="1"/>
  <c r="G45" i="15" s="1"/>
  <c r="M62" i="11"/>
  <c r="N103" i="11"/>
  <c r="G103" i="11"/>
  <c r="I103" i="11" s="1"/>
  <c r="K103" i="11" s="1"/>
  <c r="G79" i="11"/>
  <c r="I79" i="11" s="1"/>
  <c r="K79" i="11" s="1"/>
  <c r="H62" i="15" s="1"/>
  <c r="N79" i="11"/>
  <c r="M23" i="11"/>
  <c r="F23" i="11"/>
  <c r="H23" i="11" s="1"/>
  <c r="J23" i="11" s="1"/>
  <c r="F22" i="11"/>
  <c r="H22" i="11" s="1"/>
  <c r="J22" i="11" s="1"/>
  <c r="M22" i="11"/>
  <c r="N91" i="11"/>
  <c r="G91" i="11"/>
  <c r="I91" i="11" s="1"/>
  <c r="K91" i="11" s="1"/>
  <c r="M105" i="11"/>
  <c r="F105" i="11"/>
  <c r="H105" i="11" s="1"/>
  <c r="J105" i="11" s="1"/>
  <c r="F64" i="11"/>
  <c r="H64" i="11" s="1"/>
  <c r="J64" i="11" s="1"/>
  <c r="G47" i="15" s="1"/>
  <c r="M64" i="11"/>
  <c r="G105" i="11"/>
  <c r="I105" i="11" s="1"/>
  <c r="K105" i="11" s="1"/>
  <c r="N105" i="11"/>
  <c r="M24" i="11"/>
  <c r="F24" i="11"/>
  <c r="H24" i="11" s="1"/>
  <c r="J24" i="11" s="1"/>
  <c r="F98" i="11"/>
  <c r="H98" i="11" s="1"/>
  <c r="J98" i="11" s="1"/>
  <c r="M98" i="11"/>
  <c r="G52" i="11"/>
  <c r="I52" i="11" s="1"/>
  <c r="K52" i="11" s="1"/>
  <c r="H35" i="15" s="1"/>
  <c r="N52" i="11"/>
  <c r="F76" i="11"/>
  <c r="H76" i="11" s="1"/>
  <c r="J76" i="11" s="1"/>
  <c r="G59" i="15" s="1"/>
  <c r="M76" i="11"/>
  <c r="M52" i="11"/>
  <c r="F52" i="11"/>
  <c r="H52" i="11" s="1"/>
  <c r="J52" i="11" s="1"/>
  <c r="G35" i="15" s="1"/>
  <c r="N101" i="11"/>
  <c r="G101" i="11"/>
  <c r="I101" i="11" s="1"/>
  <c r="K101" i="11" s="1"/>
  <c r="M86" i="11"/>
  <c r="F86" i="11"/>
  <c r="H86" i="11" s="1"/>
  <c r="J86" i="11" s="1"/>
  <c r="F30" i="11"/>
  <c r="H30" i="11" s="1"/>
  <c r="J30" i="11" s="1"/>
  <c r="M30" i="11"/>
  <c r="F88" i="11"/>
  <c r="H88" i="11" s="1"/>
  <c r="J88" i="11" s="1"/>
  <c r="M88" i="11"/>
  <c r="G36" i="11"/>
  <c r="I36" i="11" s="1"/>
  <c r="K36" i="11" s="1"/>
  <c r="N36" i="11"/>
  <c r="M33" i="11"/>
  <c r="F33" i="11"/>
  <c r="H33" i="11" s="1"/>
  <c r="J33" i="11" s="1"/>
  <c r="F89" i="11"/>
  <c r="H89" i="11" s="1"/>
  <c r="J89" i="11" s="1"/>
  <c r="M89" i="11"/>
  <c r="I53" i="11"/>
  <c r="K53" i="11" s="1"/>
  <c r="H36" i="15" s="1"/>
  <c r="I51" i="11" l="1"/>
  <c r="K51" i="11" s="1"/>
  <c r="H34" i="15" s="1"/>
  <c r="K86" i="16" l="1"/>
  <c r="H33" i="13" l="1"/>
  <c r="E95" i="16"/>
  <c r="G95" i="16" s="1"/>
  <c r="H32" i="13"/>
  <c r="H31" i="13"/>
  <c r="K88" i="16"/>
  <c r="K89" i="16" s="1"/>
  <c r="K90" i="16" s="1"/>
  <c r="K91" i="16" s="1"/>
  <c r="H30" i="13" s="1"/>
  <c r="H228" i="13" l="1"/>
  <c r="J30" i="13"/>
  <c r="E98" i="16"/>
  <c r="H231" i="13"/>
  <c r="I33" i="13"/>
  <c r="H229" i="13"/>
  <c r="I31" i="13"/>
  <c r="E96" i="16"/>
  <c r="E97" i="16"/>
  <c r="I32" i="13"/>
  <c r="H230" i="13"/>
  <c r="J32" i="13" l="1"/>
  <c r="F97" i="16"/>
  <c r="G97" i="16" s="1"/>
  <c r="J33" i="13"/>
  <c r="F98" i="16"/>
  <c r="G98" i="16" s="1"/>
  <c r="J31" i="13"/>
  <c r="F96" i="16"/>
  <c r="G96" i="16" s="1"/>
</calcChain>
</file>

<file path=xl/sharedStrings.xml><?xml version="1.0" encoding="utf-8"?>
<sst xmlns="http://schemas.openxmlformats.org/spreadsheetml/2006/main" count="798" uniqueCount="386">
  <si>
    <t>G.M.M. INDIVIDUAL/FAMILIAR</t>
  </si>
  <si>
    <t>SUMA ASEGURADA</t>
  </si>
  <si>
    <t>DEDUCIBLE</t>
  </si>
  <si>
    <t>COASEGURO</t>
  </si>
  <si>
    <t>BÁSICAS</t>
  </si>
  <si>
    <t>FACTOR</t>
  </si>
  <si>
    <t>E D A D</t>
  </si>
  <si>
    <t>HOMBRES</t>
  </si>
  <si>
    <t>MUJERES</t>
  </si>
  <si>
    <t>EDAD</t>
  </si>
  <si>
    <t>REGIÓN</t>
  </si>
  <si>
    <t>REGIÓN:</t>
  </si>
  <si>
    <t>SUMA ASEGURADA:</t>
  </si>
  <si>
    <t>DEDUCIBLE:</t>
  </si>
  <si>
    <t>COASEGURO:</t>
  </si>
  <si>
    <t>FORMA DE PAGO:</t>
  </si>
  <si>
    <t>HOMBRE</t>
  </si>
  <si>
    <t>MUJER</t>
  </si>
  <si>
    <t>COBERTURA EN EL EXTRANJERO</t>
  </si>
  <si>
    <t>A = ANUAL</t>
  </si>
  <si>
    <t>S = SEMESTRAL</t>
  </si>
  <si>
    <t>FORMA DE PAGO</t>
  </si>
  <si>
    <t>EMERGENCIA EN EL EXTRANJERO</t>
  </si>
  <si>
    <t xml:space="preserve">ZONA A </t>
  </si>
  <si>
    <t>ZONA B</t>
  </si>
  <si>
    <t>ZONA C</t>
  </si>
  <si>
    <t>T = TRIMESTRAL</t>
  </si>
  <si>
    <t>ZONA</t>
  </si>
  <si>
    <t>FACTORES</t>
  </si>
  <si>
    <t xml:space="preserve"> EMERGENCIA EN EL EXTRANJERO</t>
  </si>
  <si>
    <t xml:space="preserve"> COBERTURA EN EL EXTRANJERO</t>
  </si>
  <si>
    <r>
      <t xml:space="preserve"> ZONA A</t>
    </r>
    <r>
      <rPr>
        <sz val="10"/>
        <rFont val="Tahoma"/>
        <family val="2"/>
      </rPr>
      <t xml:space="preserve"> = CIUDADES A 20 KM. DE LA FRANJA FRONTERIZA CON LOS E.U.A.</t>
    </r>
  </si>
  <si>
    <r>
      <t xml:space="preserve"> ZONA B </t>
    </r>
    <r>
      <rPr>
        <sz val="10"/>
        <rFont val="Tahoma"/>
        <family val="2"/>
      </rPr>
      <t>= BAJA CALIFORNIA, BAJA CALIFORNIA SUR, SONORA, CHIHUAHUA, COAHUILA, NUEVO LEÓN, CAMPECHE, YUCATÁN Y QUINTANA ROO</t>
    </r>
  </si>
  <si>
    <r>
      <t xml:space="preserve"> ZONA C </t>
    </r>
    <r>
      <rPr>
        <sz val="10"/>
        <rFont val="Tahoma"/>
        <family val="2"/>
      </rPr>
      <t>= EL RESTO DEL PAÍS</t>
    </r>
  </si>
  <si>
    <t>GASTOS MÉDICOS MAYORES INDIVIDUAL/FAMILIAR</t>
  </si>
  <si>
    <t>COTIZACIÓN</t>
  </si>
  <si>
    <r>
      <t xml:space="preserve">R </t>
    </r>
    <r>
      <rPr>
        <sz val="10"/>
        <rFont val="Tahoma"/>
        <family val="2"/>
      </rPr>
      <t>= RENOVACIÓN</t>
    </r>
  </si>
  <si>
    <r>
      <t xml:space="preserve">N </t>
    </r>
    <r>
      <rPr>
        <sz val="10"/>
        <rFont val="Tahoma"/>
        <family val="2"/>
      </rPr>
      <t>= NUEVA</t>
    </r>
  </si>
  <si>
    <t>C</t>
  </si>
  <si>
    <t>S</t>
  </si>
  <si>
    <t>A</t>
  </si>
  <si>
    <t>DER POLIZA</t>
  </si>
  <si>
    <t>PRIMA TOTAL</t>
  </si>
  <si>
    <t>IVA</t>
  </si>
  <si>
    <t>R P FRAC</t>
  </si>
  <si>
    <t>EMERGENCIA EXTRANJERO:</t>
  </si>
  <si>
    <t>COBER TOTAL EXTRANJERO:</t>
  </si>
  <si>
    <t>REGIONALIZADA</t>
  </si>
  <si>
    <t xml:space="preserve">PRIMA BASE </t>
  </si>
  <si>
    <t xml:space="preserve">PRIMA TARIFA </t>
  </si>
  <si>
    <t>NO.</t>
  </si>
  <si>
    <t>PRIMA TOTAL CONYUGE</t>
  </si>
  <si>
    <t>B</t>
  </si>
  <si>
    <t>CIUDADES A 20 KM. DE LA FRANJA FRONTERIZA CON LOS E.U.A.</t>
  </si>
  <si>
    <t>BAJA CALIFORNIA, BAJA CALIFORNIA SUR, SONORA, CHIHUAHUA, COAHUILA, NUEVO LEÓN, CAMPECHE, YUCATÁN Y QUINTANA ROO</t>
  </si>
  <si>
    <t xml:space="preserve"> EL RESTO DEL PAÍS   (EXCEPTO ZONA A Y ZONA B)</t>
  </si>
  <si>
    <t>ZONA COBERTURAS ADICIONALES</t>
  </si>
  <si>
    <t>REGION COBERTURA BASICA</t>
  </si>
  <si>
    <t>CUADRO DE COBERTURAS</t>
  </si>
  <si>
    <t>-</t>
  </si>
  <si>
    <t>Suma Asegurada</t>
  </si>
  <si>
    <t>M.N.</t>
  </si>
  <si>
    <t>Deducible</t>
  </si>
  <si>
    <t>Enfermedad</t>
  </si>
  <si>
    <t>Accidente</t>
  </si>
  <si>
    <t>Coaseguro</t>
  </si>
  <si>
    <t>Honorarios por visita intrahospitalaria</t>
  </si>
  <si>
    <t>Honorarios por consulta</t>
  </si>
  <si>
    <t>Habitación Hospital</t>
  </si>
  <si>
    <t>Privado Estándar</t>
  </si>
  <si>
    <t>Ambulancia Terrestre</t>
  </si>
  <si>
    <t>Ambulancia Aérea</t>
  </si>
  <si>
    <t>Incluida</t>
  </si>
  <si>
    <t>Gastos por donación de órganos</t>
  </si>
  <si>
    <t>alta de la madre</t>
  </si>
  <si>
    <t>menos 4 años ininterrumpidos</t>
  </si>
  <si>
    <t>Incluido</t>
  </si>
  <si>
    <t>Edad</t>
  </si>
  <si>
    <t>PARTICIPANTES</t>
  </si>
  <si>
    <t>Nombre</t>
  </si>
  <si>
    <t>Sexo</t>
  </si>
  <si>
    <t>Parentesco</t>
  </si>
  <si>
    <t>Prima Neta</t>
  </si>
  <si>
    <t>Anual</t>
  </si>
  <si>
    <t>Recargo por Pago Fracc.</t>
  </si>
  <si>
    <t>Derecho de Póliza</t>
  </si>
  <si>
    <t>Subtotal</t>
  </si>
  <si>
    <t>I.V.A.</t>
  </si>
  <si>
    <t>Prima Total Anual</t>
  </si>
  <si>
    <t>NOMBRE</t>
  </si>
  <si>
    <t>Región</t>
  </si>
  <si>
    <t>N</t>
  </si>
  <si>
    <t>Honorarios por enfermera máximo 3 turnos por día durante 30 días</t>
  </si>
  <si>
    <t>Renta diaria por hospitalización en un Centro de Asistencia Social máximo 30 días</t>
  </si>
  <si>
    <t>250,000      a</t>
  </si>
  <si>
    <t>ANUAL</t>
  </si>
  <si>
    <t>SEMESTRAL</t>
  </si>
  <si>
    <t>COBERTURA EN EL EXT</t>
  </si>
  <si>
    <t>SI</t>
  </si>
  <si>
    <t>NO</t>
  </si>
  <si>
    <t>H</t>
  </si>
  <si>
    <t>Catálogo</t>
  </si>
  <si>
    <t>Catalogo</t>
  </si>
  <si>
    <t>CATALOGO:</t>
  </si>
  <si>
    <t>Legrado</t>
  </si>
  <si>
    <t>Reconocimiento de Antigüedad, previa comprobación</t>
  </si>
  <si>
    <t>Inc THQ</t>
  </si>
  <si>
    <t>M</t>
  </si>
  <si>
    <t>TITULAR</t>
  </si>
  <si>
    <t>T</t>
  </si>
  <si>
    <t>FP</t>
  </si>
  <si>
    <t>Lente intraocular, con periodo de espera de 12 meses</t>
  </si>
  <si>
    <t>INDIVIDUAL</t>
  </si>
  <si>
    <t>FAMILIAR</t>
  </si>
  <si>
    <t>Tipo de Hospital</t>
  </si>
  <si>
    <t>Incremento al Catálogo</t>
  </si>
  <si>
    <t>Notas:</t>
  </si>
  <si>
    <t>CÓNYUGE</t>
  </si>
  <si>
    <t>TIPO DE COTIZACIÓN</t>
  </si>
  <si>
    <t>Todos los hospitales</t>
  </si>
  <si>
    <t>Sala de operación y recuperación, medicamentos, consumo de oxígeno,</t>
  </si>
  <si>
    <t>servicios de terapia, tratamiento de diálisis y transfusiones de sangre</t>
  </si>
  <si>
    <t>Renta de aparatos ortopédicos y prótesis</t>
  </si>
  <si>
    <t>DATOS DE LA PÓLIZA</t>
  </si>
  <si>
    <t>Titular</t>
  </si>
  <si>
    <t>OAXACA, TABASCO, VERACRUZ, CAMPECHE, YUCATAN, CHIAPAS, GUERRERO</t>
  </si>
  <si>
    <t>PUEBLA, TLAXCALA, HIDALGO, NAYARIT</t>
  </si>
  <si>
    <t>COAHUILA, TAMAULIPAS, NUEVO LEON, DURANGO, CHIHUAHUA</t>
  </si>
  <si>
    <t>DISTRITO FEDERAL, EDO. DE MEXICO</t>
  </si>
  <si>
    <t>PARTO O CESAREA</t>
  </si>
  <si>
    <t>SUMA ASEGURADA PARTO O CESAREA</t>
  </si>
  <si>
    <t>Prematurez siempre que el nacimiento ocurra después de 10 meses de</t>
  </si>
  <si>
    <t>Terapia Psicológica o Psiquiátrica</t>
  </si>
  <si>
    <t>Suma Asegurada Parto o Cesárea</t>
  </si>
  <si>
    <t>Incremento en Parto o Cesárea</t>
  </si>
  <si>
    <t>INC EN PARTO O CESAREA</t>
  </si>
  <si>
    <t>INSTRUCCIONES</t>
  </si>
  <si>
    <t xml:space="preserve">En atención en Hospiten aplica deducible y coaseguro </t>
  </si>
  <si>
    <t>no aplica reconocimiento de antigüedad</t>
  </si>
  <si>
    <t>Circuncisión, con periodo de espera de 1 año, no aplica reconocimiento de antigüedad</t>
  </si>
  <si>
    <t>Gastos por Parto o Cesárea del Titular, Cónyuge o hija asegurada con periodo de</t>
  </si>
  <si>
    <t>espera de 10 meses sin deducible, ni coaseguro</t>
  </si>
  <si>
    <t>con periodo  de espera de 10 meses, con deducible y coaseguro</t>
  </si>
  <si>
    <t xml:space="preserve">Complicaciones del Embarazo y del Parto del Titular, Cónyuge o hija asegurada, </t>
  </si>
  <si>
    <t>Preexistencia Declarada, con periodo de espera de 2 años, no aplica reconocimiento</t>
  </si>
  <si>
    <t>de antigüedad</t>
  </si>
  <si>
    <t>M = MENSUAL</t>
  </si>
  <si>
    <t>TARIFA CONYUGUE</t>
  </si>
  <si>
    <t>DESCUENTO</t>
  </si>
  <si>
    <t>COSTO</t>
  </si>
  <si>
    <t>DED CERO POR ACC</t>
  </si>
  <si>
    <t>DEDUCIBLE CERO POR ACC</t>
  </si>
  <si>
    <t>Deducible por Accidente y Enfermedad</t>
  </si>
  <si>
    <t>Cobertura de Eliminación de Deducible por Accidente</t>
  </si>
  <si>
    <t>SAN LUIS POTOSI, BAJA CALIFORNIA NORTE, BAJA CALIFORNIA SUR, SINALOA, SONORA, QUERETARO, MORELOS, QUINTANA ROO</t>
  </si>
  <si>
    <t>ENFERMEDADES GRAVES</t>
  </si>
  <si>
    <t>SEGURO DE ENFERMEDADES GRAVES</t>
  </si>
  <si>
    <t>ENF GVES</t>
  </si>
  <si>
    <t>RECARGOS POR PAGO FRACCIONADO</t>
  </si>
  <si>
    <t>TRIMESTRAL</t>
  </si>
  <si>
    <t>AGUASCALIENTES, GUANAJUATO, JALISCO, MICHOACAN, COLIMA,ZACATECAS</t>
  </si>
  <si>
    <t>RPF</t>
  </si>
  <si>
    <t>MENSUAL</t>
  </si>
  <si>
    <t>CAPTURA</t>
  </si>
  <si>
    <t>FIJO</t>
  </si>
  <si>
    <t>% CALCULO</t>
  </si>
  <si>
    <t>EDUCA</t>
  </si>
  <si>
    <t>AGUASCALIENTES, COAHUILA, COLIMA, DURANGO, GUANAJUATO, JALISCO, MICHOACAN, ZACATECAS</t>
  </si>
  <si>
    <t>CHIHUAHUA, NUEVO LEON, TAMAULIPAS</t>
  </si>
  <si>
    <t>BAJA CALIFORNIA, BAJA CALIFORNIA SUR, MORELOS, QUINTANA ROO, QUERETARO, SAN LUIS POTOSI, SINALOA, SONORA</t>
  </si>
  <si>
    <t>Cobertura Sin Límite de Edad (de acuerdo a la cláusula de edad)</t>
  </si>
  <si>
    <t>Xifósis, lordósis y escoleosis, con periodo de espera de 2 años</t>
  </si>
  <si>
    <t>Cobertura de Indemnización por Enfermedad Grave</t>
  </si>
  <si>
    <t>PAQ_ADIC</t>
  </si>
  <si>
    <t>DENTAL</t>
  </si>
  <si>
    <t>ASIST_IKE</t>
  </si>
  <si>
    <t>COBERTURA DE VISION</t>
  </si>
  <si>
    <t>ELIMINACION DEDUCIBLE</t>
  </si>
  <si>
    <t>VISION</t>
  </si>
  <si>
    <t>Servicios de Asistencia</t>
  </si>
  <si>
    <t>18</t>
  </si>
  <si>
    <t>0 - 5</t>
  </si>
  <si>
    <t>REGION</t>
  </si>
  <si>
    <t>FAVOR de Verificar si estos factores son los vigentes</t>
  </si>
  <si>
    <t xml:space="preserve">IVA </t>
  </si>
  <si>
    <t>Emergencia en el Extranjero</t>
  </si>
  <si>
    <t>OAXACA</t>
  </si>
  <si>
    <t>TABASCO</t>
  </si>
  <si>
    <t>Estado</t>
  </si>
  <si>
    <t>VERACRUZ</t>
  </si>
  <si>
    <t>CAMPECHE</t>
  </si>
  <si>
    <t>CHIAPAS</t>
  </si>
  <si>
    <t>GUERRERO</t>
  </si>
  <si>
    <t>PUEBLA</t>
  </si>
  <si>
    <t>TLAXCALA</t>
  </si>
  <si>
    <t>NAYARIT</t>
  </si>
  <si>
    <t>AGUASCALIENTES</t>
  </si>
  <si>
    <t>GUANAJUATO</t>
  </si>
  <si>
    <t>JALISCO</t>
  </si>
  <si>
    <t>COLIMA</t>
  </si>
  <si>
    <t>ZACATECAS</t>
  </si>
  <si>
    <t>ESTADO DE MÉXICO</t>
  </si>
  <si>
    <t>COAHUILA</t>
  </si>
  <si>
    <t>TAMAULIPAS</t>
  </si>
  <si>
    <t>DURANGO</t>
  </si>
  <si>
    <t>CHIHUAHUA</t>
  </si>
  <si>
    <t>QUINTANA ROO</t>
  </si>
  <si>
    <t>MORELOS</t>
  </si>
  <si>
    <t>SONORA</t>
  </si>
  <si>
    <t>SINALOA</t>
  </si>
  <si>
    <t>BAJA CALIFORNIA SUR</t>
  </si>
  <si>
    <t xml:space="preserve"> EL RESTO DEL PAÍS (EXCEPTO ZONA A Y ZONA B)</t>
  </si>
  <si>
    <t xml:space="preserve"> (La base de suma asegurada es de $20,000)</t>
  </si>
  <si>
    <t xml:space="preserve"> (El cotizador le asignará la Región que le corresponda)</t>
  </si>
  <si>
    <t xml:space="preserve">               BAJA CALIFORNIA SUR, SONORA, CHIHUAHUA, COAHUILA, NUEVO LEÓN, CAMPECHE, YUCATÁN, </t>
  </si>
  <si>
    <t xml:space="preserve">              QUINTANA ROO.</t>
  </si>
  <si>
    <t>Cobertura Total en el Extranjero</t>
  </si>
  <si>
    <t>Eliminación de Deducible por Accidente</t>
  </si>
  <si>
    <t>Zona CoberturaTotal en el Extranjero</t>
  </si>
  <si>
    <t xml:space="preserve"> ¡Estamos seguros, te será de gran utilidad!</t>
  </si>
  <si>
    <t>Se cobrará doble deducible y coaseguro de póliza, a los Asegurados que se atiendan en Hospiten México S.A de C.V</t>
  </si>
  <si>
    <t>COBERTURAS OPCIONALES</t>
  </si>
  <si>
    <t>Suma Asegurada para Parto y Cesárea</t>
  </si>
  <si>
    <t>SIDA, siempre que el asegurado se encuentre cubierto en Seguros Banorte al</t>
  </si>
  <si>
    <t>CAMPECHE, CHIAPAS, GUERRERO, OAXACA, TABASCO, TLAXCALA, VERACRUZ, YUCATAN</t>
  </si>
  <si>
    <t>HIDALGO, NAYARIT, PUEBLA</t>
  </si>
  <si>
    <t>PARTO</t>
  </si>
  <si>
    <t>PARTO Y CESAREA</t>
  </si>
  <si>
    <t>Tabla de Deducible</t>
  </si>
  <si>
    <t>Tabla de Eliminación de Deducible por Accidente</t>
  </si>
  <si>
    <t>Nueva Tabla de parto y cesárea</t>
  </si>
  <si>
    <t>Tabla de Enfermedades Graves</t>
  </si>
  <si>
    <t>Tabla de Tarifas</t>
  </si>
  <si>
    <t>Se elimina la cobertura de Educasystem (maestro a domicilio)</t>
  </si>
  <si>
    <t>Se agrega costo por cobertura de parto y cesárea (amarrado a la tabla que se encuentra en factores)</t>
  </si>
  <si>
    <t>Modificación de costo de Derecho de Póliza a 700 pesos</t>
  </si>
  <si>
    <t>HOJA COTIZACION (COTIZADOR)</t>
  </si>
  <si>
    <t>Se elimina de cuadro de coberturas la cobertura de Servicio de Maestro a Domicilio</t>
  </si>
  <si>
    <t>HOJA IMPRESIÓN (formato Cotización y Cuadro de especificaciones)</t>
  </si>
  <si>
    <t>MODULOS A IMPACTAR EN ESPACIO</t>
  </si>
  <si>
    <t>Tarifario</t>
  </si>
  <si>
    <t>Tarifa de Línea</t>
  </si>
  <si>
    <t>Tarifa de Empleados</t>
  </si>
  <si>
    <t>Renovación</t>
  </si>
  <si>
    <t>CAMBIO EN NUMERO DE REGISTRO</t>
  </si>
  <si>
    <t xml:space="preserve">Solicitud </t>
  </si>
  <si>
    <t>Carátula</t>
  </si>
  <si>
    <t>Cuadro de Especificaciones</t>
  </si>
  <si>
    <t>SABE</t>
  </si>
  <si>
    <t>Aplicar los cambios en la integración</t>
  </si>
  <si>
    <t>No integrar la cobertura de educasystem (maestro a domicilio)</t>
  </si>
  <si>
    <t>MODIFICACION EN CARTAS</t>
  </si>
  <si>
    <t>Cartas de Bienvenida</t>
  </si>
  <si>
    <t>Carta de Aviso de Renovación</t>
  </si>
  <si>
    <t>Carta de Renovación</t>
  </si>
  <si>
    <t>CAMBIOS MEDICO TOTAL</t>
  </si>
  <si>
    <t xml:space="preserve">Suma Asegurada </t>
  </si>
  <si>
    <t>Básica</t>
  </si>
  <si>
    <t>Incremento de Catálogo de Honorarios para enfermedades catastróficas</t>
  </si>
  <si>
    <t>Considerar la nueva cobertura adicional para cobertura de parto y cesárea (adicional 17)</t>
  </si>
  <si>
    <t>CUADRO DE ESPECIFICACIONES IMPLICA</t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</si>
  <si>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dentro del botón de “Cuadro de Especificaciones” en el paso 2 del cotizador.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</si>
  <si>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 xml:space="preserve">Cuadro de especificaciones dentro de la cotización. 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</si>
  <si>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 xml:space="preserve">Cuadro de especificaciones dentro del kit de impresión de la póliza.  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</si>
  <si>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en el botón “Cuadro de Especificaciones” del Tarifario</t>
    </r>
    <r>
      <rPr>
        <b/>
        <sz val="9"/>
        <rFont val="Century Gothic"/>
        <family val="2"/>
      </rPr>
      <t>.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</si>
  <si>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generado dentro del Tarifario.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</si>
  <si>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dentro de renovaciones Aviso de Renovación de Póliza</t>
    </r>
  </si>
  <si>
    <t>HOJA FACTORES (TABLAS DE CALCULO)</t>
  </si>
  <si>
    <t>HOJA TITULAR DEL COTIZADOR (CALCULO TARIFA)</t>
  </si>
  <si>
    <t>Cobertura Integral Dental y Visión</t>
  </si>
  <si>
    <t>*Este producto cuenta con exclusiones y limitaciones, las cuales pueden ser consultadas en las Condiciones Generales del producto en la página</t>
  </si>
  <si>
    <t xml:space="preserve">   www.segurosbanorte.com.mx</t>
  </si>
  <si>
    <t>Modificación de la leyenda de beneficio por pago directo y una leyenda en NOTAS</t>
  </si>
  <si>
    <t>Se deja deducible mínimo en 6,000</t>
  </si>
  <si>
    <t>se modifica Querétaro a zona 4</t>
  </si>
  <si>
    <t>Modificación de costos cobertura Adicionales (dental, PAQ_ADIC, ASIST_IKE, CVISION)</t>
  </si>
  <si>
    <t>Se MODIFICA en el cuadro de coberturas la Cobertura de Dental para agregar Visión (REVISAR LAS AYUDAS PARA ESPECIFICAR ALCANCES Y EVITAR CONFUSION CON LA OPCIONAL)</t>
  </si>
  <si>
    <t>MODIFICACION DE FORMATOS, TAMAÑO DE LETRA Y FORMATOS</t>
  </si>
  <si>
    <t>Solicitud</t>
  </si>
  <si>
    <t>carátula</t>
  </si>
  <si>
    <t>cuadro de especificaciones.</t>
  </si>
  <si>
    <t>Modificación de la cobertura de enfermedades catastróficas</t>
  </si>
  <si>
    <t>BASE DE CATALOGO</t>
  </si>
  <si>
    <t>MONTO</t>
  </si>
  <si>
    <t>Se agrega tabla de Base de honorarios</t>
  </si>
  <si>
    <t>Se modifica tabla de factores por región a quedar 4</t>
  </si>
  <si>
    <t>se modifican la tabla de estados por zona (sólo hay 4 zonas)</t>
  </si>
  <si>
    <t>Modificación de base de honorarios quirúrgicos y fórmula para calcularlo</t>
  </si>
  <si>
    <t>BASE</t>
  </si>
  <si>
    <t>*BUSCARV(G16,FACTORES!$F$30:$G$35,2,0)</t>
  </si>
  <si>
    <t>Cobertura de Visión Incremental</t>
  </si>
  <si>
    <t>Tipo de Póliza</t>
  </si>
  <si>
    <t>RENOVADA</t>
  </si>
  <si>
    <t>NUEVO</t>
  </si>
  <si>
    <t>NUEVA</t>
  </si>
  <si>
    <t>Padecimientos congénitos para nacidos dentro de la vigencia, dados de alta dentro</t>
  </si>
  <si>
    <t>de los 30 días posteriores al nacimiento y que la madre asegurada cumpla con el</t>
  </si>
  <si>
    <t>periodo de espera de 10 meses. Para los nacidos fuera de vigencia aplica periodo de</t>
  </si>
  <si>
    <t>espera de 12 meses.</t>
  </si>
  <si>
    <t>Nueva</t>
  </si>
  <si>
    <t>Renovada</t>
  </si>
  <si>
    <r>
      <t xml:space="preserve">porcentuales de coaseguro, siempre que la atención sea dentro de la misma zona de tarifa contratada o una zona menor </t>
    </r>
    <r>
      <rPr>
        <b/>
        <sz val="11"/>
        <rFont val="Tahoma"/>
        <family val="2"/>
      </rPr>
      <t xml:space="preserve">(este beneficio no aplica  </t>
    </r>
  </si>
  <si>
    <t>para los siguientes hospitales: ABC Observatorio,  ABC Santa Fe, Ángeles del Pedregal, Ángeles Lomas, Ángeles Acoxpa,</t>
  </si>
  <si>
    <t>FACTORES PRIMA DE TARIFA</t>
  </si>
  <si>
    <t>ADQUISICIÓN</t>
  </si>
  <si>
    <t>AMINISTRACIÓN</t>
  </si>
  <si>
    <t>UTILIDAD</t>
  </si>
  <si>
    <t>TOPES COA</t>
  </si>
  <si>
    <t>$30,000</t>
  </si>
  <si>
    <t>$35,000</t>
  </si>
  <si>
    <t>$40,000</t>
  </si>
  <si>
    <t>$50,000</t>
  </si>
  <si>
    <t>DEDUCIBLE CONDICIONADO A POLIZA NUEVA O RENOVADA</t>
  </si>
  <si>
    <t>BAJA CALIFORNIA</t>
  </si>
  <si>
    <t>CIUDAD DE MÉXICO</t>
  </si>
  <si>
    <t>HIDALGO</t>
  </si>
  <si>
    <t>MICHOACÁN</t>
  </si>
  <si>
    <t>NUEVO LEÓN</t>
  </si>
  <si>
    <t>QUERÉTARO</t>
  </si>
  <si>
    <t>SAN LUIS POTOSÍ</t>
  </si>
  <si>
    <t>YUCATÁN</t>
  </si>
  <si>
    <t>125.5 (anterior)</t>
  </si>
  <si>
    <t xml:space="preserve">Se puede otorgar pago directo en la atención con médicos y hospitales en convenio, teniendo una disminución de $1,500 en el deducible y 5 puntos </t>
  </si>
  <si>
    <t>Star Médica Lomas Verdes y Médica Sur, para estos hospitales aplica pago directo con deducible y coaseguro contratado).</t>
  </si>
  <si>
    <t>Reinstalación automática de Suma Asegurada</t>
  </si>
  <si>
    <t>Trastornos Visuales, con periodo de espera de 18 meses</t>
  </si>
  <si>
    <t>* Esta cotización tiene una validez de 15 días a partir de su fecha de elaboración. La edad limite de aceptación es hasta los 64 años.
* El recargo por pago fraccionado está sujeto a cambio sin previo aviso.</t>
  </si>
  <si>
    <r>
      <rPr>
        <b/>
        <sz val="9"/>
        <color rgb="FFFF0000"/>
        <rFont val="Tahoma"/>
        <family val="2"/>
      </rPr>
      <t>NOTA:</t>
    </r>
    <r>
      <rPr>
        <b/>
        <sz val="9"/>
        <rFont val="Tahoma"/>
        <family val="2"/>
      </rPr>
      <t xml:space="preserve"> LAS COTIZACIONES EN EDADES DE 65 A 79 AÑOS SOLO SON VALIDAS PARA RENOVACION
          LA EDAD DE CONTRATACION DE LA COBERTURA DE ENFERMEDADES GRAVES ES DE 18 A 59 AÑOS</t>
    </r>
  </si>
  <si>
    <t>ANTES DEL 01/10/2016</t>
  </si>
  <si>
    <t>A PARTIR DEL 01/10/2016</t>
  </si>
  <si>
    <r>
      <rPr>
        <b/>
        <sz val="10"/>
        <color rgb="FFFF0000"/>
        <rFont val="Tahoma"/>
        <family val="2"/>
      </rPr>
      <t>Seguros Banorte</t>
    </r>
    <r>
      <rPr>
        <b/>
        <sz val="10"/>
        <color rgb="FFC00000"/>
        <rFont val="Tahoma"/>
        <family val="2"/>
      </rPr>
      <t xml:space="preserve"> </t>
    </r>
    <r>
      <rPr>
        <sz val="10"/>
        <rFont val="Tahoma"/>
        <family val="2"/>
      </rPr>
      <t xml:space="preserve">elaboró para ti esta herramienta de sencilla utilización de la que . . . </t>
    </r>
  </si>
  <si>
    <r>
      <t xml:space="preserve">1. Seleccione el </t>
    </r>
    <r>
      <rPr>
        <b/>
        <sz val="10"/>
        <color rgb="FFFF0000"/>
        <rFont val="Tahoma"/>
        <family val="2"/>
      </rPr>
      <t>TIPO DE COTIZACIÓN (Individual o Familiar)</t>
    </r>
  </si>
  <si>
    <t>Primera vigencia emitida en Seguros Banorte</t>
  </si>
  <si>
    <r>
      <t xml:space="preserve">2. Seleccione la fecha de </t>
    </r>
    <r>
      <rPr>
        <b/>
        <sz val="10"/>
        <color rgb="FFFF0000"/>
        <rFont val="Tahoma"/>
        <family val="2"/>
      </rPr>
      <t>PRIMER VIGENCIA</t>
    </r>
    <r>
      <rPr>
        <sz val="10"/>
        <rFont val="Tahoma"/>
        <family val="2"/>
      </rPr>
      <t xml:space="preserve"> en Seguros Banorte de la póliza a cotizar</t>
    </r>
    <r>
      <rPr>
        <b/>
        <sz val="10"/>
        <color indexed="60"/>
        <rFont val="Tahoma"/>
        <family val="2"/>
      </rPr>
      <t/>
    </r>
  </si>
  <si>
    <r>
      <t xml:space="preserve">3. Seleccione la </t>
    </r>
    <r>
      <rPr>
        <b/>
        <sz val="10"/>
        <color rgb="FFFF0000"/>
        <rFont val="Tahoma"/>
        <family val="2"/>
      </rPr>
      <t>SUMA ASEGURADA</t>
    </r>
    <r>
      <rPr>
        <sz val="10"/>
        <rFont val="Tahoma"/>
        <family val="2"/>
      </rPr>
      <t xml:space="preserve"> deseada</t>
    </r>
  </si>
  <si>
    <r>
      <t xml:space="preserve">4. Seleccione el </t>
    </r>
    <r>
      <rPr>
        <b/>
        <sz val="10"/>
        <color rgb="FFFF0000"/>
        <rFont val="Tahoma"/>
        <family val="2"/>
      </rPr>
      <t>DEDUCIBLE</t>
    </r>
    <r>
      <rPr>
        <sz val="10"/>
        <rFont val="Tahoma"/>
        <family val="2"/>
      </rPr>
      <t xml:space="preserve"> deseado</t>
    </r>
  </si>
  <si>
    <t>18. Vaya al FORMATO DE IMPRESIÓN para obtener la COTIZACIÓN</t>
  </si>
  <si>
    <t>19. Si desea obtener las Tarifas por Edad, después de haber efectuado una COTIZACIÓN podrá consultarlas en TARIFARIO</t>
  </si>
  <si>
    <r>
      <t xml:space="preserve">5. Seleccione el </t>
    </r>
    <r>
      <rPr>
        <b/>
        <sz val="10"/>
        <color rgb="FFFF0000"/>
        <rFont val="Tahoma"/>
        <family val="2"/>
      </rPr>
      <t>COASEGURO</t>
    </r>
    <r>
      <rPr>
        <sz val="10"/>
        <rFont val="Tahoma"/>
        <family val="2"/>
      </rPr>
      <t xml:space="preserve"> deseado</t>
    </r>
  </si>
  <si>
    <r>
      <t xml:space="preserve">6. Seleccione el </t>
    </r>
    <r>
      <rPr>
        <b/>
        <sz val="10"/>
        <color rgb="FFFF0000"/>
        <rFont val="Tahoma"/>
        <family val="2"/>
      </rPr>
      <t>ESTADO</t>
    </r>
    <r>
      <rPr>
        <sz val="10"/>
        <rFont val="Tahoma"/>
        <family val="2"/>
      </rPr>
      <t xml:space="preserve"> donde radica el cliente.</t>
    </r>
  </si>
  <si>
    <r>
      <t xml:space="preserve">8. Seleccione si desea </t>
    </r>
    <r>
      <rPr>
        <b/>
        <sz val="10"/>
        <color rgb="FFFF0000"/>
        <rFont val="Tahoma"/>
        <family val="2"/>
      </rPr>
      <t>INCREMENTO EN SUMA ASEGURADA POR PARTO O CESÁREA ("SI", "NO")</t>
    </r>
  </si>
  <si>
    <r>
      <t xml:space="preserve">7. Seleccione si desea </t>
    </r>
    <r>
      <rPr>
        <b/>
        <sz val="10"/>
        <color rgb="FFFF0000"/>
        <rFont val="Tahoma"/>
        <family val="2"/>
      </rPr>
      <t>COBERTURA DE ELIMINACION DE DEDUCIBLE POR ACCIDENTE  ("SI", " NO")</t>
    </r>
  </si>
  <si>
    <r>
      <t xml:space="preserve">9. Seleccione la </t>
    </r>
    <r>
      <rPr>
        <b/>
        <sz val="10"/>
        <color rgb="FFFF0000"/>
        <rFont val="Tahoma"/>
        <family val="2"/>
      </rPr>
      <t>SUMA ASEGURADA POR PARTO O CESÁREA</t>
    </r>
    <r>
      <rPr>
        <b/>
        <i/>
        <sz val="10"/>
        <color indexed="60"/>
        <rFont val="Tahoma"/>
        <family val="2"/>
      </rPr>
      <t/>
    </r>
  </si>
  <si>
    <r>
      <t xml:space="preserve">10. Seleccione si desea </t>
    </r>
    <r>
      <rPr>
        <b/>
        <sz val="10"/>
        <color rgb="FFFF0000"/>
        <rFont val="Tahoma"/>
        <family val="2"/>
      </rPr>
      <t>COBERTURA DE VISION  ("SI", " NO")</t>
    </r>
  </si>
  <si>
    <r>
      <t xml:space="preserve">11. Seleccione si desea </t>
    </r>
    <r>
      <rPr>
        <b/>
        <sz val="10"/>
        <color rgb="FFFF0000"/>
        <rFont val="Tahoma"/>
        <family val="2"/>
      </rPr>
      <t>COBERTURA DE INDEMNIZACION POR ENFERMEDADES GRAVES , la SUMA ASEGURADA</t>
    </r>
  </si>
  <si>
    <r>
      <t xml:space="preserve">12. Seleccione si desea </t>
    </r>
    <r>
      <rPr>
        <b/>
        <sz val="10"/>
        <color rgb="FFFF0000"/>
        <rFont val="Tahoma"/>
        <family val="2"/>
      </rPr>
      <t>COBERTURA TOTAL EN EL EXTRANJERO  ("SI", " NO")</t>
    </r>
  </si>
  <si>
    <r>
      <t xml:space="preserve">13. Seleccione si desea </t>
    </r>
    <r>
      <rPr>
        <b/>
        <sz val="10"/>
        <color rgb="FFFF0000"/>
        <rFont val="Tahoma"/>
        <family val="2"/>
      </rPr>
      <t>EMERGENCIA EN EL EXTRANJERO  ("SI", " NO")</t>
    </r>
  </si>
  <si>
    <r>
      <t xml:space="preserve">14. Si eligió la </t>
    </r>
    <r>
      <rPr>
        <b/>
        <sz val="10"/>
        <color rgb="FFFF0000"/>
        <rFont val="Tahoma"/>
        <family val="2"/>
      </rPr>
      <t>COBERTURA TOTAL EN EL EXTRANJERO</t>
    </r>
  </si>
  <si>
    <r>
      <t xml:space="preserve">          </t>
    </r>
    <r>
      <rPr>
        <b/>
        <sz val="10"/>
        <color rgb="FFFF0000"/>
        <rFont val="Tahoma"/>
        <family val="2"/>
      </rPr>
      <t>A:</t>
    </r>
    <r>
      <rPr>
        <b/>
        <sz val="10"/>
        <color indexed="60"/>
        <rFont val="Tahoma"/>
        <family val="2"/>
      </rPr>
      <t xml:space="preserve"> </t>
    </r>
    <r>
      <rPr>
        <sz val="10"/>
        <rFont val="Tahoma"/>
        <family val="2"/>
      </rPr>
      <t>Deberá elegir la opción A si reside hasta 20 kms de la franja fronteriza con los Estados Unidos de América</t>
    </r>
  </si>
  <si>
    <r>
      <t xml:space="preserve">          </t>
    </r>
    <r>
      <rPr>
        <b/>
        <sz val="10"/>
        <color rgb="FFFF0000"/>
        <rFont val="Tahoma"/>
        <family val="2"/>
      </rPr>
      <t xml:space="preserve">B: </t>
    </r>
    <r>
      <rPr>
        <sz val="10"/>
        <rFont val="Tahoma"/>
        <family val="2"/>
      </rPr>
      <t xml:space="preserve"> Deberá elegir la opción B si reside en alguna de las siguientes ciudades: BAJA CALIFORNIA NORTE, </t>
    </r>
  </si>
  <si>
    <r>
      <t xml:space="preserve">          </t>
    </r>
    <r>
      <rPr>
        <b/>
        <sz val="10"/>
        <color rgb="FFFF0000"/>
        <rFont val="Tahoma"/>
        <family val="2"/>
      </rPr>
      <t>C:</t>
    </r>
    <r>
      <rPr>
        <sz val="10"/>
        <color rgb="FFFF0000"/>
        <rFont val="Tahoma"/>
        <family val="2"/>
      </rPr>
      <t xml:space="preserve"> </t>
    </r>
    <r>
      <rPr>
        <sz val="10"/>
        <rFont val="Tahoma"/>
        <family val="2"/>
      </rPr>
      <t xml:space="preserve"> Resto del país, excepto ZONA A Y ZONA B</t>
    </r>
  </si>
  <si>
    <r>
      <t xml:space="preserve"> deberá especificar la </t>
    </r>
    <r>
      <rPr>
        <b/>
        <sz val="10"/>
        <color rgb="FFFF0000"/>
        <rFont val="Tahoma"/>
        <family val="2"/>
      </rPr>
      <t>ZONA COBERTURA TOTAL EN EL EXTRANJERO</t>
    </r>
    <r>
      <rPr>
        <sz val="10"/>
        <color rgb="FFFF0000"/>
        <rFont val="Tahoma"/>
        <family val="2"/>
      </rPr>
      <t xml:space="preserve"> </t>
    </r>
    <r>
      <rPr>
        <sz val="10"/>
        <rFont val="Tahoma"/>
        <family val="2"/>
      </rPr>
      <t>a la que pertenece el cliente:</t>
    </r>
  </si>
  <si>
    <r>
      <t xml:space="preserve">15. Si desea incrementar la base de honorarios quirúrgicos deberá indicar el porcentaje deseado en </t>
    </r>
    <r>
      <rPr>
        <b/>
        <sz val="10"/>
        <color rgb="FFFF0000"/>
        <rFont val="Tahoma"/>
        <family val="2"/>
      </rPr>
      <t>INC THQ</t>
    </r>
  </si>
  <si>
    <r>
      <t xml:space="preserve">17. Llene el </t>
    </r>
    <r>
      <rPr>
        <b/>
        <sz val="10"/>
        <color rgb="FFFF0000"/>
        <rFont val="Tahoma"/>
        <family val="2"/>
      </rPr>
      <t xml:space="preserve">NOMBRE, SEXO </t>
    </r>
    <r>
      <rPr>
        <sz val="10"/>
        <rFont val="Tahoma"/>
        <family val="2"/>
      </rPr>
      <t>y</t>
    </r>
    <r>
      <rPr>
        <b/>
        <sz val="10"/>
        <color indexed="60"/>
        <rFont val="Tahoma"/>
        <family val="2"/>
      </rPr>
      <t xml:space="preserve"> </t>
    </r>
    <r>
      <rPr>
        <b/>
        <sz val="10"/>
        <color rgb="FFFF0000"/>
        <rFont val="Tahoma"/>
        <family val="2"/>
      </rPr>
      <t>EDAD</t>
    </r>
    <r>
      <rPr>
        <sz val="10"/>
        <color rgb="FFFF0000"/>
        <rFont val="Tahoma"/>
        <family val="2"/>
      </rPr>
      <t xml:space="preserve"> </t>
    </r>
    <r>
      <rPr>
        <sz val="10"/>
        <rFont val="Tahoma"/>
        <family val="2"/>
      </rPr>
      <t>del Titular, Cónyuge y Dependientes</t>
    </r>
    <r>
      <rPr>
        <i/>
        <sz val="10"/>
        <rFont val="Tahoma"/>
        <family val="2"/>
      </rPr>
      <t xml:space="preserve"> (si fuera el caso)</t>
    </r>
  </si>
  <si>
    <t>Tarifas de zona 1 y 2</t>
  </si>
  <si>
    <t>Tarifa de zona 3, 4 y 5</t>
  </si>
  <si>
    <t>Zona 1</t>
  </si>
  <si>
    <t>Zona 2</t>
  </si>
  <si>
    <t>Zona 3</t>
  </si>
  <si>
    <t>Zona 4</t>
  </si>
  <si>
    <t>Zona 5</t>
  </si>
  <si>
    <t>Zona</t>
  </si>
  <si>
    <t>Indicador</t>
  </si>
  <si>
    <t>Tarifa 2015-2016</t>
  </si>
  <si>
    <t>Auxiliar por zona</t>
  </si>
  <si>
    <t>Nombre de Zona</t>
  </si>
  <si>
    <t>Auxiliar</t>
  </si>
  <si>
    <t>+utilidad</t>
  </si>
  <si>
    <t>Prima riesgo dental incremental</t>
  </si>
  <si>
    <t>Gastos</t>
  </si>
  <si>
    <t>Asistencias</t>
  </si>
  <si>
    <t>PaQ Adicional</t>
  </si>
  <si>
    <t>Costos</t>
  </si>
  <si>
    <t>Prima riesgo visión opcional</t>
  </si>
  <si>
    <t>Tarifa 2017 - 2018</t>
  </si>
  <si>
    <t>=(SI(COTIZACION!A16="NO",+FACTORES!G16,SI(COTIZACION!D7=FACTORES!F14,BUSCARV(G10,FACTORES!$F$16:$G$19,2,0)*(1-DESC),BUSCARV(G10,FACTORES!$F$23:$G$26,2,0)*(1-DESC))))</t>
  </si>
  <si>
    <r>
      <t xml:space="preserve">Nota: Esta cotización tiene una validez de 15 días apartir de su fecha de elaboración.  La edad limite de aceptación es hasta los 64 años. </t>
    </r>
    <r>
      <rPr>
        <b/>
        <u/>
        <sz val="8"/>
        <rFont val="Tahoma"/>
        <family val="2"/>
      </rPr>
      <t>Incluyen I.V.A. Y derechos de póliza, no incluye recargo por pago fraccionado</t>
    </r>
  </si>
  <si>
    <r>
      <t xml:space="preserve">16. Indique el IVA que corresponde a su región </t>
    </r>
    <r>
      <rPr>
        <b/>
        <sz val="10"/>
        <color rgb="FFFF0000"/>
        <rFont val="Tahoma"/>
        <family val="2"/>
      </rPr>
      <t>(16%)</t>
    </r>
  </si>
  <si>
    <t>Tarifa 2018 - 2019</t>
  </si>
  <si>
    <t>Tarifa 2019 - 2020</t>
  </si>
  <si>
    <t>Base tabulador</t>
  </si>
  <si>
    <t>Marzo 2020 - Diciembre 2020</t>
  </si>
  <si>
    <t>Enero 2021 - Febrero 2021</t>
  </si>
  <si>
    <t>Prima Neta Total Anual</t>
  </si>
  <si>
    <t>Tarifa Total Vig: Marzo 01, 2023</t>
  </si>
  <si>
    <t>Emergencia Extranjero con suma asegurada de 50,000 Dlls, deducible de 50 Dlls y coaseguro 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</si>
</sst>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3"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$&quot;\ #,##0_);[Red]\(&quot;$&quot;\ #,##0\)"/>
    <numFmt numFmtId="165" formatCode="&quot;$&quot;\ #,##0.00_);[Red]\(&quot;$&quot;\ #,##0.00\)"/>
    <numFmt numFmtId="166" formatCode="_(* #,##0.00_);_(* \(#,##0.00\);_(* &quot;-&quot;??_);_(@_)"/>
    <numFmt numFmtId="167" formatCode="_(* #,##0_);_(* \(#,##0\);_(* &quot;-&quot;??_);_(@_)"/>
    <numFmt numFmtId="168" formatCode="#,##0.000"/>
    <numFmt numFmtId="169" formatCode="mmmm\ d\,\ yyyy"/>
    <numFmt numFmtId="170" formatCode="_-* #,##0_-;\-* #,##0_-;_-* &quot;-&quot;??_-;_-@_-"/>
    <numFmt numFmtId="171" formatCode="0.0%"/>
    <numFmt numFmtId="172" formatCode="#,##0.0000000000"/>
    <numFmt numFmtId="173" formatCode="&quot;$&quot;###,###.00\ "/>
    <numFmt numFmtId="174" formatCode="&quot;$&quot;###,###.00"/>
    <numFmt numFmtId="175" formatCode="_-* #,##0.0000_-;\-* #,##0.0000_-;_-* &quot;-&quot;??_-;_-@_-"/>
    <numFmt numFmtId="176" formatCode="&quot;$&quot;###,###"/>
    <numFmt numFmtId="177" formatCode="&quot;$&quot;###,###\ "/>
    <numFmt numFmtId="178" formatCode="_-[$$-80A]* #,##0_-;\-[$$-80A]* #,##0_-;_-[$$-80A]* &quot;-&quot;??_-;_-@_-"/>
    <numFmt numFmtId="179" formatCode="_-&quot;$&quot;* #,##0_-;\-&quot;$&quot;* #,##0_-;_-&quot;$&quot;* &quot;-&quot;??_-;_-@_-"/>
    <numFmt numFmtId="180" formatCode="&quot;$&quot;#,##0"/>
    <numFmt numFmtId="181" formatCode="0.0000000"/>
    <numFmt numFmtId="182" formatCode="#,##0.0000"/>
    <numFmt numFmtId="183" formatCode="_-* #,##0.000_-;\-* #,##0.000_-;_-* &quot;-&quot;??_-;_-@_-"/>
    <numFmt numFmtId="184" formatCode="_-* #,##0.00000_-;\-* #,##0.00000_-;_-* &quot;-&quot;??_-;_-@_-"/>
  </numFmts>
  <fonts count="73">
    <font>
      <sz val="10"/>
      <name val="Tahoma"/>
    </font>
    <font>
      <sz val="10"/>
      <name val="Tahoma"/>
      <family val="2"/>
    </font>
    <font>
      <sz val="10"/>
      <name val="Tahoma"/>
      <family val="2"/>
    </font>
    <font>
      <b/>
      <sz val="10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sz val="8"/>
      <color indexed="9"/>
      <name val="Tahoma"/>
      <family val="2"/>
    </font>
    <font>
      <b/>
      <sz val="8"/>
      <color indexed="12"/>
      <name val="Tahoma"/>
      <family val="2"/>
    </font>
    <font>
      <sz val="12"/>
      <name val="Tahoma"/>
      <family val="2"/>
    </font>
    <font>
      <b/>
      <sz val="12"/>
      <name val="Tahoma"/>
      <family val="2"/>
    </font>
    <font>
      <b/>
      <sz val="7"/>
      <name val="Tahoma"/>
      <family val="2"/>
    </font>
    <font>
      <sz val="7"/>
      <name val="Tahoma"/>
      <family val="2"/>
    </font>
    <font>
      <b/>
      <u/>
      <sz val="8"/>
      <name val="Tahoma"/>
      <family val="2"/>
    </font>
    <font>
      <sz val="8"/>
      <color indexed="8"/>
      <name val="Tahoma"/>
      <family val="2"/>
    </font>
    <font>
      <sz val="8"/>
      <color indexed="12"/>
      <name val="Tahoma"/>
      <family val="2"/>
    </font>
    <font>
      <sz val="10"/>
      <color indexed="60"/>
      <name val="Tahoma"/>
      <family val="2"/>
    </font>
    <font>
      <b/>
      <sz val="8"/>
      <color indexed="60"/>
      <name val="Tahoma"/>
      <family val="2"/>
    </font>
    <font>
      <b/>
      <sz val="8"/>
      <color indexed="16"/>
      <name val="Tahoma"/>
      <family val="2"/>
    </font>
    <font>
      <sz val="8"/>
      <color indexed="60"/>
      <name val="Tahoma"/>
      <family val="2"/>
    </font>
    <font>
      <sz val="10"/>
      <color indexed="10"/>
      <name val="Tahoma"/>
      <family val="2"/>
    </font>
    <font>
      <sz val="10"/>
      <color indexed="10"/>
      <name val="Tahoma"/>
      <family val="2"/>
    </font>
    <font>
      <sz val="10"/>
      <name val="Arial"/>
      <family val="2"/>
    </font>
    <font>
      <b/>
      <sz val="7"/>
      <color indexed="12"/>
      <name val="Tahoma"/>
      <family val="2"/>
    </font>
    <font>
      <b/>
      <sz val="10"/>
      <color indexed="10"/>
      <name val="Tahoma"/>
      <family val="2"/>
    </font>
    <font>
      <b/>
      <sz val="8"/>
      <color indexed="18"/>
      <name val="Tahoma"/>
      <family val="2"/>
    </font>
    <font>
      <b/>
      <sz val="9"/>
      <color indexed="9"/>
      <name val="Tahoma"/>
      <family val="2"/>
    </font>
    <font>
      <b/>
      <sz val="10"/>
      <color indexed="9"/>
      <name val="Tahoma"/>
      <family val="2"/>
    </font>
    <font>
      <sz val="9"/>
      <name val="Arial"/>
      <family val="2"/>
    </font>
    <font>
      <b/>
      <sz val="8"/>
      <color indexed="10"/>
      <name val="Tahoma"/>
      <family val="2"/>
    </font>
    <font>
      <sz val="9"/>
      <name val="Tahoma"/>
      <family val="2"/>
    </font>
    <font>
      <b/>
      <sz val="9"/>
      <name val="Tahoma"/>
      <family val="2"/>
    </font>
    <font>
      <b/>
      <sz val="10"/>
      <name val="Segoe UI Symbol"/>
      <family val="2"/>
    </font>
    <font>
      <b/>
      <sz val="8"/>
      <color theme="0"/>
      <name val="Tahoma"/>
      <family val="2"/>
    </font>
    <font>
      <b/>
      <sz val="9"/>
      <color theme="0"/>
      <name val="Tahoma"/>
      <family val="2"/>
    </font>
    <font>
      <b/>
      <sz val="8"/>
      <color rgb="FFFF0000"/>
      <name val="Tahoma"/>
      <family val="2"/>
    </font>
    <font>
      <b/>
      <sz val="10"/>
      <color theme="0"/>
      <name val="Tahoma"/>
      <family val="2"/>
    </font>
    <font>
      <sz val="7"/>
      <color theme="0"/>
      <name val="Tahoma"/>
      <family val="2"/>
    </font>
    <font>
      <b/>
      <sz val="8"/>
      <color theme="5" tint="-0.249977111117893"/>
      <name val="Tahoma"/>
      <family val="2"/>
    </font>
    <font>
      <b/>
      <sz val="9"/>
      <name val="Segoe UI Symbol"/>
      <family val="2"/>
    </font>
    <font>
      <b/>
      <sz val="8"/>
      <name val="Segoe UI Symbol"/>
      <family val="2"/>
    </font>
    <font>
      <b/>
      <sz val="8"/>
      <color indexed="16"/>
      <name val="Segoe UI Symbol"/>
      <family val="2"/>
    </font>
    <font>
      <sz val="14"/>
      <name val="Narkisim"/>
      <family val="2"/>
      <charset val="177"/>
    </font>
    <font>
      <b/>
      <sz val="11"/>
      <name val="Tahoma"/>
      <family val="2"/>
    </font>
    <font>
      <b/>
      <sz val="10"/>
      <color indexed="60"/>
      <name val="Tahoma"/>
      <family val="2"/>
    </font>
    <font>
      <b/>
      <sz val="10"/>
      <color rgb="FFC00000"/>
      <name val="Tahoma"/>
      <family val="2"/>
    </font>
    <font>
      <i/>
      <sz val="10"/>
      <name val="Tahoma"/>
      <family val="2"/>
    </font>
    <font>
      <b/>
      <i/>
      <sz val="10"/>
      <color indexed="60"/>
      <name val="Tahoma"/>
      <family val="2"/>
    </font>
    <font>
      <sz val="11"/>
      <name val="Narkisim"/>
      <family val="2"/>
      <charset val="177"/>
    </font>
    <font>
      <b/>
      <sz val="9"/>
      <color rgb="FFFF0000"/>
      <name val="Tahoma"/>
      <family val="2"/>
    </font>
    <font>
      <sz val="8"/>
      <color theme="0"/>
      <name val="Tahoma"/>
      <family val="2"/>
    </font>
    <font>
      <b/>
      <sz val="7"/>
      <color rgb="FFFF0000"/>
      <name val="Tahoma"/>
      <family val="2"/>
    </font>
    <font>
      <b/>
      <sz val="7"/>
      <color theme="0"/>
      <name val="Tahoma"/>
      <family val="2"/>
    </font>
    <font>
      <sz val="10"/>
      <color theme="0"/>
      <name val="Tahoma"/>
      <family val="2"/>
    </font>
    <font>
      <sz val="9"/>
      <name val="Wingdings"/>
      <charset val="2"/>
    </font>
    <font>
      <sz val="7"/>
      <name val="Times New Roman"/>
      <family val="1"/>
    </font>
    <font>
      <sz val="9"/>
      <name val="Century Gothic"/>
      <family val="2"/>
    </font>
    <font>
      <b/>
      <sz val="9"/>
      <name val="Century Gothic"/>
      <family val="2"/>
    </font>
    <font>
      <sz val="10"/>
      <name val="ArialMT"/>
    </font>
    <font>
      <b/>
      <sz val="11"/>
      <color rgb="FFFF0000"/>
      <name val="Tahoma"/>
      <family val="2"/>
    </font>
    <font>
      <b/>
      <sz val="9"/>
      <color rgb="FFFF0000"/>
      <name val="Narkisim"/>
      <family val="2"/>
      <charset val="177"/>
    </font>
    <font>
      <sz val="9"/>
      <color rgb="FFFF8265"/>
      <name val="Tahoma"/>
      <family val="2"/>
    </font>
    <font>
      <sz val="16"/>
      <color rgb="FFFF0000"/>
      <name val="Tahoma"/>
      <family val="2"/>
    </font>
    <font>
      <b/>
      <sz val="10"/>
      <color rgb="FFFF0000"/>
      <name val="Tahoma"/>
      <family val="2"/>
    </font>
    <font>
      <sz val="10"/>
      <color rgb="FFFF0000"/>
      <name val="Tahoma"/>
      <family val="2"/>
    </font>
    <font>
      <b/>
      <sz val="10"/>
      <color indexed="12"/>
      <name val="Calibri"/>
      <family val="2"/>
      <scheme val="minor"/>
    </font>
    <font>
      <sz val="10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0"/>
      <color indexed="10"/>
      <name val="Calibri"/>
      <family val="2"/>
      <scheme val="minor"/>
    </font>
    <font>
      <sz val="10"/>
      <color indexed="60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rgb="FF0000FF"/>
      <name val="Calibri"/>
      <family val="2"/>
      <scheme val="minor"/>
    </font>
    <font>
      <b/>
      <i/>
      <u/>
      <sz val="20"/>
      <color rgb="FFFF0000"/>
      <name val="Tahoma"/>
      <family val="2"/>
    </font>
  </fonts>
  <fills count="2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9CC00"/>
        <bgColor indexed="64"/>
      </patternFill>
    </fill>
  </fills>
  <borders count="100">
    <border>
      <left/>
      <right/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 style="double">
        <color indexed="8"/>
      </right>
      <top/>
      <bottom/>
      <diagonal/>
    </border>
    <border>
      <left style="double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/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8"/>
      </left>
      <right style="double">
        <color indexed="8"/>
      </right>
      <top/>
      <bottom style="double">
        <color indexed="8"/>
      </bottom>
      <diagonal/>
    </border>
    <border>
      <left style="double">
        <color indexed="8"/>
      </left>
      <right/>
      <top/>
      <bottom style="thin">
        <color indexed="8"/>
      </bottom>
      <diagonal/>
    </border>
    <border>
      <left style="double">
        <color indexed="8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8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8"/>
      </right>
      <top style="thin">
        <color indexed="64"/>
      </top>
      <bottom style="thin">
        <color indexed="64"/>
      </bottom>
      <diagonal/>
    </border>
    <border>
      <left style="double">
        <color indexed="8"/>
      </left>
      <right style="thin">
        <color indexed="8"/>
      </right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/>
      <right style="double">
        <color indexed="8"/>
      </right>
      <top/>
      <bottom style="thin">
        <color indexed="8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8"/>
      </left>
      <right/>
      <top style="double">
        <color indexed="8"/>
      </top>
      <bottom/>
      <diagonal/>
    </border>
    <border>
      <left/>
      <right style="double">
        <color indexed="8"/>
      </right>
      <top style="double">
        <color indexed="8"/>
      </top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theme="5" tint="-0.24994659260841701"/>
      </bottom>
      <diagonal/>
    </border>
    <border>
      <left style="hair">
        <color theme="5" tint="-0.24994659260841701"/>
      </left>
      <right/>
      <top style="hair">
        <color theme="5" tint="-0.24994659260841701"/>
      </top>
      <bottom style="hair">
        <color theme="5" tint="-0.24994659260841701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tted">
        <color rgb="FFFF0000"/>
      </left>
      <right style="dotted">
        <color rgb="FFFF0000"/>
      </right>
      <top style="dotted">
        <color rgb="FFFF0000"/>
      </top>
      <bottom style="dotted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/>
      <top style="thin">
        <color rgb="FFFF0000"/>
      </top>
      <bottom style="thin">
        <color rgb="FFFF0000"/>
      </bottom>
      <diagonal/>
    </border>
    <border>
      <left style="double">
        <color indexed="8"/>
      </left>
      <right style="double">
        <color indexed="8"/>
      </right>
      <top/>
      <bottom style="thin">
        <color indexed="64"/>
      </bottom>
      <diagonal/>
    </border>
    <border>
      <left style="double">
        <color indexed="8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8"/>
      </left>
      <right style="double">
        <color indexed="8"/>
      </right>
      <top style="thin">
        <color indexed="64"/>
      </top>
      <bottom style="thin">
        <color indexed="64"/>
      </bottom>
      <diagonal/>
    </border>
    <border>
      <left style="double">
        <color indexed="8"/>
      </left>
      <right style="thin">
        <color indexed="64"/>
      </right>
      <top/>
      <bottom/>
      <diagonal/>
    </border>
    <border>
      <left/>
      <right style="thin">
        <color indexed="8"/>
      </right>
      <top style="thin">
        <color indexed="8"/>
      </top>
      <bottom style="double">
        <color indexed="8"/>
      </bottom>
      <diagonal/>
    </border>
    <border>
      <left/>
      <right style="double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8"/>
      </bottom>
      <diagonal/>
    </border>
    <border>
      <left style="dotted">
        <color rgb="FFFF0000"/>
      </left>
      <right/>
      <top style="dotted">
        <color rgb="FFFF0000"/>
      </top>
      <bottom style="dotted">
        <color rgb="FFFF0000"/>
      </bottom>
      <diagonal/>
    </border>
    <border>
      <left/>
      <right style="dotted">
        <color rgb="FFFF0000"/>
      </right>
      <top style="dotted">
        <color rgb="FFFF0000"/>
      </top>
      <bottom style="dotted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5" tint="-0.24994659260841701"/>
      </top>
      <bottom/>
      <diagonal/>
    </border>
  </borders>
  <cellStyleXfs count="7">
    <xf numFmtId="0" fontId="0" fillId="0" borderId="0" applyBorder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7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 applyBorder="0"/>
  </cellStyleXfs>
  <cellXfs count="826">
    <xf numFmtId="0" fontId="0" fillId="0" borderId="0" xfId="0"/>
    <xf numFmtId="0" fontId="2" fillId="0" borderId="0" xfId="0" applyFont="1" applyAlignment="1">
      <alignment vertical="center"/>
    </xf>
    <xf numFmtId="0" fontId="5" fillId="0" borderId="0" xfId="0" applyFont="1" applyBorder="1" applyAlignment="1">
      <alignment vertical="center"/>
    </xf>
    <xf numFmtId="0" fontId="5" fillId="0" borderId="0" xfId="0" applyFont="1" applyAlignment="1">
      <alignment vertical="center"/>
    </xf>
    <xf numFmtId="9" fontId="5" fillId="0" borderId="0" xfId="0" applyNumberFormat="1" applyFont="1" applyAlignment="1">
      <alignment vertical="center"/>
    </xf>
    <xf numFmtId="0" fontId="2" fillId="0" borderId="0" xfId="0" applyFont="1" applyBorder="1" applyAlignment="1">
      <alignment vertical="center"/>
    </xf>
    <xf numFmtId="0" fontId="0" fillId="0" borderId="0" xfId="0" applyAlignment="1">
      <alignment vertical="center"/>
    </xf>
    <xf numFmtId="4" fontId="0" fillId="0" borderId="0" xfId="0" applyNumberFormat="1" applyBorder="1" applyAlignment="1">
      <alignment horizontal="center" vertical="center"/>
    </xf>
    <xf numFmtId="0" fontId="2" fillId="0" borderId="0" xfId="0" applyFont="1" applyFill="1" applyAlignment="1" applyProtection="1">
      <alignment horizontal="left" vertical="center"/>
    </xf>
    <xf numFmtId="0" fontId="3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0" borderId="14" xfId="0" applyFont="1" applyBorder="1" applyAlignment="1">
      <alignment vertical="center"/>
    </xf>
    <xf numFmtId="0" fontId="2" fillId="0" borderId="15" xfId="0" applyFont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3" fillId="2" borderId="17" xfId="0" applyFont="1" applyFill="1" applyBorder="1" applyAlignment="1">
      <alignment horizontal="center" vertical="center"/>
    </xf>
    <xf numFmtId="4" fontId="0" fillId="0" borderId="18" xfId="0" applyNumberFormat="1" applyBorder="1" applyAlignment="1">
      <alignment horizontal="center" vertical="center"/>
    </xf>
    <xf numFmtId="9" fontId="0" fillId="0" borderId="18" xfId="0" applyNumberFormat="1" applyBorder="1" applyAlignment="1">
      <alignment horizontal="center" vertical="center"/>
    </xf>
    <xf numFmtId="9" fontId="0" fillId="0" borderId="19" xfId="0" applyNumberFormat="1" applyBorder="1" applyAlignment="1">
      <alignment horizontal="center" vertical="center"/>
    </xf>
    <xf numFmtId="4" fontId="0" fillId="0" borderId="19" xfId="0" applyNumberFormat="1" applyBorder="1" applyAlignment="1">
      <alignment horizontal="center" vertical="center"/>
    </xf>
    <xf numFmtId="0" fontId="3" fillId="2" borderId="11" xfId="0" applyFont="1" applyFill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0" borderId="21" xfId="0" applyFont="1" applyBorder="1" applyAlignment="1">
      <alignment horizontal="left" vertical="center"/>
    </xf>
    <xf numFmtId="0" fontId="3" fillId="0" borderId="18" xfId="0" applyFont="1" applyBorder="1" applyAlignment="1">
      <alignment vertical="center"/>
    </xf>
    <xf numFmtId="0" fontId="3" fillId="0" borderId="19" xfId="0" applyFont="1" applyBorder="1" applyAlignment="1">
      <alignment vertical="center"/>
    </xf>
    <xf numFmtId="0" fontId="5" fillId="0" borderId="0" xfId="0" applyFont="1" applyFill="1" applyAlignment="1">
      <alignment vertical="center"/>
    </xf>
    <xf numFmtId="0" fontId="4" fillId="0" borderId="22" xfId="0" applyFont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0" fontId="5" fillId="0" borderId="23" xfId="0" applyFont="1" applyBorder="1" applyAlignment="1">
      <alignment vertical="center"/>
    </xf>
    <xf numFmtId="0" fontId="5" fillId="0" borderId="24" xfId="0" applyFont="1" applyBorder="1" applyAlignment="1">
      <alignment vertical="center"/>
    </xf>
    <xf numFmtId="9" fontId="4" fillId="0" borderId="25" xfId="0" applyNumberFormat="1" applyFont="1" applyBorder="1" applyAlignment="1">
      <alignment horizontal="center" vertical="center"/>
    </xf>
    <xf numFmtId="0" fontId="6" fillId="0" borderId="0" xfId="0" applyFont="1" applyAlignment="1" applyProtection="1">
      <alignment vertical="center"/>
      <protection hidden="1"/>
    </xf>
    <xf numFmtId="0" fontId="5" fillId="0" borderId="0" xfId="0" applyFont="1" applyFill="1" applyBorder="1" applyAlignment="1" applyProtection="1">
      <alignment horizontal="center" vertical="center"/>
      <protection locked="0"/>
    </xf>
    <xf numFmtId="4" fontId="5" fillId="0" borderId="0" xfId="0" applyNumberFormat="1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23" xfId="0" applyFont="1" applyBorder="1" applyAlignment="1">
      <alignment horizontal="left" vertical="center"/>
    </xf>
    <xf numFmtId="0" fontId="4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vertical="center"/>
    </xf>
    <xf numFmtId="4" fontId="5" fillId="0" borderId="0" xfId="0" applyNumberFormat="1" applyFont="1" applyFill="1" applyBorder="1" applyAlignment="1">
      <alignment vertical="center"/>
    </xf>
    <xf numFmtId="0" fontId="5" fillId="0" borderId="0" xfId="0" applyFont="1" applyFill="1" applyBorder="1" applyAlignment="1" applyProtection="1">
      <alignment vertical="center"/>
      <protection locked="0"/>
    </xf>
    <xf numFmtId="0" fontId="5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right" vertical="center"/>
    </xf>
    <xf numFmtId="4" fontId="4" fillId="0" borderId="0" xfId="0" applyNumberFormat="1" applyFont="1" applyFill="1" applyBorder="1" applyAlignment="1">
      <alignment vertical="center"/>
    </xf>
    <xf numFmtId="169" fontId="4" fillId="0" borderId="0" xfId="0" applyNumberFormat="1" applyFont="1" applyFill="1" applyBorder="1" applyAlignment="1">
      <alignment horizontal="right" vertical="center"/>
    </xf>
    <xf numFmtId="169" fontId="5" fillId="0" borderId="0" xfId="0" applyNumberFormat="1" applyFont="1" applyFill="1" applyBorder="1" applyAlignment="1">
      <alignment vertical="center"/>
    </xf>
    <xf numFmtId="0" fontId="5" fillId="0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4" fillId="0" borderId="0" xfId="0" quotePrefix="1" applyFont="1" applyFill="1" applyBorder="1" applyAlignment="1">
      <alignment horizontal="center" vertical="center"/>
    </xf>
    <xf numFmtId="9" fontId="5" fillId="0" borderId="0" xfId="0" applyNumberFormat="1" applyFont="1" applyFill="1" applyBorder="1" applyAlignment="1">
      <alignment vertical="center"/>
    </xf>
    <xf numFmtId="0" fontId="5" fillId="0" borderId="0" xfId="0" applyFont="1" applyFill="1" applyBorder="1" applyAlignment="1">
      <alignment horizontal="right" vertical="center"/>
    </xf>
    <xf numFmtId="44" fontId="5" fillId="0" borderId="0" xfId="2" applyFont="1" applyFill="1" applyBorder="1" applyAlignment="1">
      <alignment vertical="center"/>
    </xf>
    <xf numFmtId="167" fontId="5" fillId="0" borderId="0" xfId="1" applyNumberFormat="1" applyFont="1" applyFill="1" applyBorder="1" applyAlignment="1">
      <alignment vertical="center"/>
    </xf>
    <xf numFmtId="9" fontId="5" fillId="0" borderId="0" xfId="4" applyFont="1" applyFill="1" applyBorder="1" applyAlignment="1">
      <alignment vertical="center"/>
    </xf>
    <xf numFmtId="9" fontId="5" fillId="0" borderId="0" xfId="0" applyNumberFormat="1" applyFont="1" applyFill="1" applyBorder="1" applyAlignment="1">
      <alignment horizontal="left" vertical="center"/>
    </xf>
    <xf numFmtId="1" fontId="5" fillId="0" borderId="0" xfId="0" applyNumberFormat="1" applyFont="1" applyFill="1" applyBorder="1" applyAlignment="1">
      <alignment horizontal="center" vertical="center"/>
    </xf>
    <xf numFmtId="43" fontId="4" fillId="0" borderId="0" xfId="1" applyFont="1" applyFill="1" applyBorder="1" applyAlignment="1">
      <alignment horizontal="right" vertical="center"/>
    </xf>
    <xf numFmtId="43" fontId="4" fillId="0" borderId="0" xfId="1" applyFont="1" applyFill="1" applyBorder="1" applyAlignment="1">
      <alignment horizontal="left" vertical="center"/>
    </xf>
    <xf numFmtId="43" fontId="5" fillId="0" borderId="0" xfId="1" applyFont="1" applyFill="1" applyBorder="1" applyAlignment="1">
      <alignment horizontal="right" vertical="center"/>
    </xf>
    <xf numFmtId="43" fontId="5" fillId="0" borderId="0" xfId="1" applyFont="1" applyFill="1" applyBorder="1" applyAlignment="1">
      <alignment vertical="center"/>
    </xf>
    <xf numFmtId="44" fontId="4" fillId="0" borderId="0" xfId="2" applyFont="1" applyFill="1" applyBorder="1" applyAlignment="1">
      <alignment vertical="center"/>
    </xf>
    <xf numFmtId="9" fontId="4" fillId="0" borderId="0" xfId="0" applyNumberFormat="1" applyFont="1" applyBorder="1" applyAlignment="1">
      <alignment horizontal="center" vertical="center"/>
    </xf>
    <xf numFmtId="4" fontId="5" fillId="0" borderId="0" xfId="0" applyNumberFormat="1" applyFont="1" applyBorder="1" applyAlignment="1" applyProtection="1">
      <alignment horizontal="center" vertical="center"/>
      <protection hidden="1"/>
    </xf>
    <xf numFmtId="0" fontId="4" fillId="0" borderId="0" xfId="0" applyFont="1" applyFill="1" applyAlignment="1">
      <alignment horizontal="center" vertical="center"/>
    </xf>
    <xf numFmtId="9" fontId="5" fillId="0" borderId="0" xfId="0" applyNumberFormat="1" applyFont="1" applyFill="1" applyAlignment="1">
      <alignment vertical="center"/>
    </xf>
    <xf numFmtId="9" fontId="4" fillId="0" borderId="25" xfId="0" applyNumberFormat="1" applyFont="1" applyFill="1" applyBorder="1" applyAlignment="1">
      <alignment horizontal="center" vertical="center"/>
    </xf>
    <xf numFmtId="0" fontId="5" fillId="0" borderId="26" xfId="0" applyFont="1" applyBorder="1" applyAlignment="1">
      <alignment vertical="center"/>
    </xf>
    <xf numFmtId="0" fontId="4" fillId="0" borderId="27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8" fontId="4" fillId="0" borderId="30" xfId="0" applyNumberFormat="1" applyFont="1" applyBorder="1" applyAlignment="1">
      <alignment horizontal="center" vertical="center"/>
    </xf>
    <xf numFmtId="9" fontId="7" fillId="0" borderId="27" xfId="0" applyNumberFormat="1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9" fontId="4" fillId="0" borderId="28" xfId="0" applyNumberFormat="1" applyFont="1" applyBorder="1" applyAlignment="1">
      <alignment horizontal="center" vertical="center"/>
    </xf>
    <xf numFmtId="3" fontId="3" fillId="0" borderId="32" xfId="0" applyNumberFormat="1" applyFont="1" applyBorder="1" applyAlignment="1">
      <alignment horizontal="center" vertical="center"/>
    </xf>
    <xf numFmtId="3" fontId="3" fillId="0" borderId="18" xfId="0" applyNumberFormat="1" applyFont="1" applyBorder="1" applyAlignment="1">
      <alignment horizontal="center" vertical="center"/>
    </xf>
    <xf numFmtId="3" fontId="3" fillId="0" borderId="19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9" fontId="7" fillId="0" borderId="0" xfId="0" applyNumberFormat="1" applyFont="1" applyBorder="1" applyAlignment="1">
      <alignment horizontal="center" vertical="center"/>
    </xf>
    <xf numFmtId="43" fontId="5" fillId="0" borderId="0" xfId="1" applyFont="1" applyBorder="1" applyAlignment="1">
      <alignment vertical="center"/>
    </xf>
    <xf numFmtId="0" fontId="9" fillId="0" borderId="0" xfId="0" applyFont="1" applyBorder="1" applyAlignment="1">
      <alignment horizontal="center" vertical="center"/>
    </xf>
    <xf numFmtId="43" fontId="8" fillId="0" borderId="0" xfId="1" applyFont="1" applyBorder="1" applyAlignment="1">
      <alignment vertical="center"/>
    </xf>
    <xf numFmtId="0" fontId="5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0" xfId="0" applyFont="1" applyFill="1" applyAlignment="1">
      <alignment horizontal="left" vertical="center"/>
    </xf>
    <xf numFmtId="0" fontId="0" fillId="0" borderId="20" xfId="0" applyBorder="1" applyAlignment="1">
      <alignment horizontal="left" vertical="center"/>
    </xf>
    <xf numFmtId="0" fontId="6" fillId="0" borderId="0" xfId="0" applyFont="1" applyAlignment="1">
      <alignment horizontal="center" vertical="center"/>
    </xf>
    <xf numFmtId="9" fontId="3" fillId="0" borderId="32" xfId="0" applyNumberFormat="1" applyFont="1" applyBorder="1" applyAlignment="1">
      <alignment horizontal="center" vertical="center"/>
    </xf>
    <xf numFmtId="9" fontId="3" fillId="0" borderId="18" xfId="0" applyNumberFormat="1" applyFont="1" applyBorder="1" applyAlignment="1">
      <alignment horizontal="center" vertical="center"/>
    </xf>
    <xf numFmtId="9" fontId="3" fillId="0" borderId="19" xfId="0" applyNumberFormat="1" applyFont="1" applyBorder="1" applyAlignment="1">
      <alignment horizontal="center" vertical="center"/>
    </xf>
    <xf numFmtId="0" fontId="5" fillId="3" borderId="0" xfId="0" applyFont="1" applyFill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5" fillId="4" borderId="0" xfId="0" applyFont="1" applyFill="1"/>
    <xf numFmtId="0" fontId="5" fillId="4" borderId="0" xfId="0" applyFont="1" applyFill="1" applyAlignment="1">
      <alignment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169" fontId="4" fillId="4" borderId="0" xfId="0" applyNumberFormat="1" applyFont="1" applyFill="1" applyAlignment="1">
      <alignment horizontal="right" vertical="center"/>
    </xf>
    <xf numFmtId="169" fontId="5" fillId="4" borderId="0" xfId="0" applyNumberFormat="1" applyFont="1" applyFill="1" applyAlignment="1">
      <alignment vertical="center"/>
    </xf>
    <xf numFmtId="0" fontId="5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5" fillId="4" borderId="25" xfId="0" applyFont="1" applyFill="1" applyBorder="1" applyAlignment="1">
      <alignment horizontal="center" vertical="center"/>
    </xf>
    <xf numFmtId="0" fontId="4" fillId="4" borderId="25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4" fillId="4" borderId="0" xfId="0" quotePrefix="1" applyFont="1" applyFill="1" applyAlignment="1">
      <alignment horizontal="center" vertical="center"/>
    </xf>
    <xf numFmtId="0" fontId="5" fillId="4" borderId="0" xfId="0" applyFont="1" applyFill="1" applyBorder="1" applyAlignment="1">
      <alignment vertical="center"/>
    </xf>
    <xf numFmtId="4" fontId="5" fillId="4" borderId="0" xfId="0" applyNumberFormat="1" applyFont="1" applyFill="1" applyAlignment="1">
      <alignment vertical="center"/>
    </xf>
    <xf numFmtId="9" fontId="5" fillId="4" borderId="0" xfId="0" applyNumberFormat="1" applyFont="1" applyFill="1" applyAlignment="1">
      <alignment vertical="center"/>
    </xf>
    <xf numFmtId="0" fontId="4" fillId="4" borderId="0" xfId="0" applyFont="1" applyFill="1" applyAlignment="1">
      <alignment vertical="center"/>
    </xf>
    <xf numFmtId="44" fontId="5" fillId="4" borderId="0" xfId="2" applyFont="1" applyFill="1" applyBorder="1" applyAlignment="1">
      <alignment vertical="center"/>
    </xf>
    <xf numFmtId="167" fontId="5" fillId="4" borderId="0" xfId="1" applyNumberFormat="1" applyFont="1" applyFill="1" applyBorder="1" applyAlignment="1">
      <alignment vertical="center"/>
    </xf>
    <xf numFmtId="0" fontId="5" fillId="4" borderId="0" xfId="0" applyFont="1" applyFill="1" applyAlignment="1"/>
    <xf numFmtId="0" fontId="4" fillId="4" borderId="0" xfId="0" applyFont="1" applyFill="1"/>
    <xf numFmtId="0" fontId="5" fillId="0" borderId="41" xfId="0" applyFont="1" applyBorder="1" applyAlignment="1">
      <alignment vertical="center"/>
    </xf>
    <xf numFmtId="0" fontId="5" fillId="0" borderId="42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5" fillId="0" borderId="43" xfId="0" applyFont="1" applyBorder="1" applyAlignment="1">
      <alignment vertical="center"/>
    </xf>
    <xf numFmtId="0" fontId="5" fillId="0" borderId="29" xfId="1" applyNumberFormat="1" applyFont="1" applyBorder="1" applyAlignment="1">
      <alignment horizontal="center" vertical="center"/>
    </xf>
    <xf numFmtId="3" fontId="5" fillId="0" borderId="20" xfId="0" applyNumberFormat="1" applyFont="1" applyBorder="1" applyAlignment="1">
      <alignment horizontal="center" vertical="center"/>
    </xf>
    <xf numFmtId="3" fontId="5" fillId="0" borderId="21" xfId="0" applyNumberFormat="1" applyFont="1" applyBorder="1" applyAlignment="1">
      <alignment horizontal="center" vertical="center"/>
    </xf>
    <xf numFmtId="0" fontId="5" fillId="0" borderId="44" xfId="0" applyFont="1" applyBorder="1" applyAlignment="1">
      <alignment vertical="center"/>
    </xf>
    <xf numFmtId="0" fontId="5" fillId="0" borderId="45" xfId="0" applyFont="1" applyBorder="1" applyAlignment="1">
      <alignment vertical="center"/>
    </xf>
    <xf numFmtId="0" fontId="11" fillId="4" borderId="0" xfId="0" applyFont="1" applyFill="1"/>
    <xf numFmtId="0" fontId="11" fillId="4" borderId="0" xfId="0" applyFont="1" applyFill="1" applyAlignment="1">
      <alignment vertical="center"/>
    </xf>
    <xf numFmtId="0" fontId="10" fillId="4" borderId="0" xfId="0" applyFont="1" applyFill="1" applyAlignment="1">
      <alignment horizontal="center" vertical="center"/>
    </xf>
    <xf numFmtId="169" fontId="10" fillId="4" borderId="0" xfId="0" applyNumberFormat="1" applyFont="1" applyFill="1" applyAlignment="1">
      <alignment horizontal="right" vertical="center"/>
    </xf>
    <xf numFmtId="0" fontId="10" fillId="4" borderId="0" xfId="0" applyFont="1" applyFill="1" applyAlignment="1">
      <alignment horizontal="right" vertical="center"/>
    </xf>
    <xf numFmtId="0" fontId="5" fillId="0" borderId="0" xfId="0" applyFont="1"/>
    <xf numFmtId="0" fontId="4" fillId="0" borderId="25" xfId="0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>
      <alignment vertical="center"/>
    </xf>
    <xf numFmtId="4" fontId="4" fillId="0" borderId="25" xfId="0" applyNumberFormat="1" applyFont="1" applyFill="1" applyBorder="1" applyAlignment="1" applyProtection="1">
      <alignment vertical="center"/>
      <protection locked="0"/>
    </xf>
    <xf numFmtId="9" fontId="4" fillId="0" borderId="0" xfId="0" applyNumberFormat="1" applyFont="1" applyFill="1" applyAlignment="1">
      <alignment vertical="center"/>
    </xf>
    <xf numFmtId="9" fontId="4" fillId="0" borderId="27" xfId="0" applyNumberFormat="1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4" fontId="5" fillId="0" borderId="45" xfId="0" applyNumberFormat="1" applyFont="1" applyBorder="1" applyAlignment="1" applyProtection="1">
      <alignment horizontal="center" vertical="center"/>
      <protection hidden="1"/>
    </xf>
    <xf numFmtId="168" fontId="5" fillId="0" borderId="25" xfId="0" applyNumberFormat="1" applyFont="1" applyBorder="1" applyAlignment="1" applyProtection="1">
      <alignment horizontal="center" vertical="center"/>
      <protection hidden="1"/>
    </xf>
    <xf numFmtId="168" fontId="14" fillId="0" borderId="47" xfId="0" applyNumberFormat="1" applyFont="1" applyBorder="1" applyAlignment="1" applyProtection="1">
      <alignment horizontal="center" vertical="center"/>
      <protection hidden="1"/>
    </xf>
    <xf numFmtId="4" fontId="14" fillId="0" borderId="48" xfId="0" applyNumberFormat="1" applyFont="1" applyBorder="1" applyAlignment="1" applyProtection="1">
      <alignment horizontal="center" vertical="center"/>
      <protection hidden="1"/>
    </xf>
    <xf numFmtId="0" fontId="14" fillId="0" borderId="49" xfId="0" applyFont="1" applyBorder="1" applyAlignment="1">
      <alignment horizontal="center" vertical="center"/>
    </xf>
    <xf numFmtId="9" fontId="7" fillId="0" borderId="25" xfId="0" applyNumberFormat="1" applyFont="1" applyBorder="1" applyAlignment="1">
      <alignment horizontal="center" vertical="center"/>
    </xf>
    <xf numFmtId="4" fontId="14" fillId="0" borderId="49" xfId="0" applyNumberFormat="1" applyFont="1" applyBorder="1" applyAlignment="1">
      <alignment horizontal="center" vertical="center"/>
    </xf>
    <xf numFmtId="4" fontId="14" fillId="0" borderId="47" xfId="0" applyNumberFormat="1" applyFont="1" applyBorder="1" applyAlignment="1" applyProtection="1">
      <alignment horizontal="center" vertical="center"/>
      <protection hidden="1"/>
    </xf>
    <xf numFmtId="4" fontId="14" fillId="0" borderId="25" xfId="0" applyNumberFormat="1" applyFont="1" applyBorder="1" applyAlignment="1" applyProtection="1">
      <alignment horizontal="center" vertical="center"/>
      <protection hidden="1"/>
    </xf>
    <xf numFmtId="0" fontId="14" fillId="0" borderId="0" xfId="0" applyFont="1" applyAlignment="1">
      <alignment vertical="center"/>
    </xf>
    <xf numFmtId="168" fontId="14" fillId="0" borderId="25" xfId="0" applyNumberFormat="1" applyFont="1" applyBorder="1" applyAlignment="1" applyProtection="1">
      <alignment horizontal="center" vertical="center"/>
      <protection hidden="1"/>
    </xf>
    <xf numFmtId="168" fontId="14" fillId="0" borderId="0" xfId="0" applyNumberFormat="1" applyFont="1" applyBorder="1" applyAlignment="1" applyProtection="1">
      <alignment horizontal="center" vertical="center"/>
      <protection hidden="1"/>
    </xf>
    <xf numFmtId="174" fontId="5" fillId="4" borderId="0" xfId="0" applyNumberFormat="1" applyFont="1" applyFill="1" applyBorder="1" applyAlignment="1">
      <alignment horizontal="right" vertical="center"/>
    </xf>
    <xf numFmtId="4" fontId="4" fillId="0" borderId="25" xfId="0" applyNumberFormat="1" applyFont="1" applyFill="1" applyBorder="1" applyAlignment="1" applyProtection="1">
      <alignment horizontal="right" vertical="center"/>
      <protection locked="0"/>
    </xf>
    <xf numFmtId="4" fontId="5" fillId="4" borderId="0" xfId="0" applyNumberFormat="1" applyFont="1" applyFill="1" applyAlignment="1">
      <alignment horizontal="right" vertical="center"/>
    </xf>
    <xf numFmtId="0" fontId="4" fillId="0" borderId="0" xfId="0" applyFont="1" applyAlignment="1">
      <alignment vertical="center"/>
    </xf>
    <xf numFmtId="174" fontId="5" fillId="4" borderId="0" xfId="0" applyNumberFormat="1" applyFont="1" applyFill="1" applyBorder="1" applyAlignment="1">
      <alignment horizontal="left" vertical="center"/>
    </xf>
    <xf numFmtId="174" fontId="5" fillId="4" borderId="0" xfId="0" applyNumberFormat="1" applyFont="1" applyFill="1" applyBorder="1" applyAlignment="1">
      <alignment vertical="center"/>
    </xf>
    <xf numFmtId="0" fontId="19" fillId="0" borderId="20" xfId="0" applyFont="1" applyBorder="1" applyAlignment="1">
      <alignment vertical="center"/>
    </xf>
    <xf numFmtId="9" fontId="19" fillId="0" borderId="20" xfId="0" applyNumberFormat="1" applyFont="1" applyBorder="1" applyAlignment="1">
      <alignment vertical="center"/>
    </xf>
    <xf numFmtId="0" fontId="19" fillId="0" borderId="21" xfId="0" applyFont="1" applyBorder="1" applyAlignment="1">
      <alignment vertical="center"/>
    </xf>
    <xf numFmtId="9" fontId="19" fillId="0" borderId="32" xfId="0" applyNumberFormat="1" applyFont="1" applyBorder="1" applyAlignment="1">
      <alignment horizontal="center" vertical="center"/>
    </xf>
    <xf numFmtId="43" fontId="0" fillId="0" borderId="0" xfId="0" applyNumberFormat="1"/>
    <xf numFmtId="0" fontId="10" fillId="0" borderId="0" xfId="0" applyFont="1" applyAlignment="1">
      <alignment horizontal="center" vertical="center" wrapText="1"/>
    </xf>
    <xf numFmtId="43" fontId="4" fillId="0" borderId="25" xfId="1" applyFont="1" applyFill="1" applyBorder="1" applyAlignment="1">
      <alignment vertical="center"/>
    </xf>
    <xf numFmtId="9" fontId="5" fillId="4" borderId="0" xfId="4" applyFont="1" applyFill="1" applyBorder="1" applyAlignment="1">
      <alignment horizontal="left" vertical="center"/>
    </xf>
    <xf numFmtId="0" fontId="4" fillId="4" borderId="0" xfId="0" quotePrefix="1" applyFont="1" applyFill="1" applyAlignment="1"/>
    <xf numFmtId="0" fontId="2" fillId="4" borderId="0" xfId="0" applyFont="1" applyFill="1" applyProtection="1"/>
    <xf numFmtId="0" fontId="2" fillId="4" borderId="0" xfId="0" applyFont="1" applyFill="1" applyAlignment="1" applyProtection="1">
      <alignment vertical="center"/>
    </xf>
    <xf numFmtId="4" fontId="2" fillId="4" borderId="0" xfId="0" applyNumberFormat="1" applyFont="1" applyFill="1" applyAlignment="1" applyProtection="1">
      <alignment vertical="center"/>
    </xf>
    <xf numFmtId="0" fontId="2" fillId="4" borderId="0" xfId="0" applyFont="1" applyFill="1" applyBorder="1" applyAlignment="1" applyProtection="1">
      <alignment vertical="center"/>
    </xf>
    <xf numFmtId="0" fontId="2" fillId="4" borderId="0" xfId="0" applyFont="1" applyFill="1" applyAlignment="1" applyProtection="1">
      <alignment horizontal="center" vertical="center"/>
    </xf>
    <xf numFmtId="0" fontId="2" fillId="4" borderId="0" xfId="0" applyFont="1" applyFill="1" applyBorder="1" applyAlignment="1" applyProtection="1">
      <alignment horizontal="left" vertical="center"/>
    </xf>
    <xf numFmtId="0" fontId="2" fillId="4" borderId="0" xfId="0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0" fontId="5" fillId="4" borderId="0" xfId="0" applyFont="1" applyFill="1" applyProtection="1"/>
    <xf numFmtId="0" fontId="5" fillId="4" borderId="0" xfId="0" applyFont="1" applyFill="1" applyAlignment="1" applyProtection="1"/>
    <xf numFmtId="0" fontId="11" fillId="4" borderId="0" xfId="0" applyFont="1" applyFill="1" applyAlignment="1" applyProtection="1"/>
    <xf numFmtId="0" fontId="5" fillId="4" borderId="0" xfId="0" applyFont="1" applyFill="1" applyAlignment="1" applyProtection="1">
      <alignment vertical="center"/>
    </xf>
    <xf numFmtId="0" fontId="4" fillId="4" borderId="0" xfId="0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vertical="center"/>
    </xf>
    <xf numFmtId="0" fontId="4" fillId="4" borderId="0" xfId="0" quotePrefix="1" applyFont="1" applyFill="1" applyAlignment="1" applyProtection="1">
      <alignment horizontal="center" vertical="center"/>
    </xf>
    <xf numFmtId="0" fontId="2" fillId="4" borderId="0" xfId="0" quotePrefix="1" applyFont="1" applyFill="1" applyAlignment="1" applyProtection="1">
      <alignment horizontal="left" vertical="center"/>
    </xf>
    <xf numFmtId="0" fontId="3" fillId="4" borderId="0" xfId="0" applyFont="1" applyFill="1" applyAlignment="1" applyProtection="1">
      <alignment horizontal="center" vertical="center"/>
    </xf>
    <xf numFmtId="44" fontId="2" fillId="4" borderId="0" xfId="2" applyFont="1" applyFill="1" applyBorder="1" applyAlignment="1" applyProtection="1">
      <alignment vertical="center"/>
    </xf>
    <xf numFmtId="167" fontId="2" fillId="4" borderId="0" xfId="1" applyNumberFormat="1" applyFont="1" applyFill="1" applyBorder="1" applyAlignment="1" applyProtection="1">
      <alignment vertical="center"/>
    </xf>
    <xf numFmtId="169" fontId="5" fillId="4" borderId="0" xfId="0" applyNumberFormat="1" applyFont="1" applyFill="1" applyAlignment="1" applyProtection="1">
      <alignment vertical="center"/>
    </xf>
    <xf numFmtId="43" fontId="4" fillId="0" borderId="0" xfId="1" applyFont="1" applyFill="1" applyBorder="1" applyAlignment="1" applyProtection="1">
      <alignment horizontal="center" vertical="center"/>
      <protection locked="0"/>
    </xf>
    <xf numFmtId="3" fontId="15" fillId="5" borderId="3" xfId="0" applyNumberFormat="1" applyFont="1" applyFill="1" applyBorder="1" applyAlignment="1">
      <alignment horizontal="center" vertical="center"/>
    </xf>
    <xf numFmtId="3" fontId="14" fillId="0" borderId="48" xfId="0" applyNumberFormat="1" applyFont="1" applyBorder="1" applyAlignment="1" applyProtection="1">
      <alignment horizontal="center" vertical="center"/>
      <protection hidden="1"/>
    </xf>
    <xf numFmtId="0" fontId="28" fillId="0" borderId="27" xfId="0" applyFont="1" applyBorder="1" applyAlignment="1">
      <alignment horizontal="center" vertical="center"/>
    </xf>
    <xf numFmtId="43" fontId="5" fillId="0" borderId="0" xfId="0" applyNumberFormat="1" applyFont="1" applyAlignment="1">
      <alignment vertical="center"/>
    </xf>
    <xf numFmtId="43" fontId="5" fillId="0" borderId="0" xfId="0" applyNumberFormat="1" applyFont="1" applyFill="1" applyBorder="1" applyAlignment="1">
      <alignment vertical="center"/>
    </xf>
    <xf numFmtId="175" fontId="5" fillId="0" borderId="0" xfId="0" applyNumberFormat="1" applyFont="1" applyFill="1" applyBorder="1" applyAlignment="1">
      <alignment vertical="center"/>
    </xf>
    <xf numFmtId="0" fontId="4" fillId="4" borderId="0" xfId="0" applyFont="1" applyFill="1" applyProtection="1"/>
    <xf numFmtId="169" fontId="29" fillId="4" borderId="0" xfId="0" applyNumberFormat="1" applyFont="1" applyFill="1" applyAlignment="1" applyProtection="1">
      <alignment vertical="center"/>
    </xf>
    <xf numFmtId="43" fontId="4" fillId="0" borderId="25" xfId="1" applyFont="1" applyFill="1" applyBorder="1" applyAlignment="1">
      <alignment horizontal="right" vertical="center"/>
    </xf>
    <xf numFmtId="0" fontId="4" fillId="4" borderId="0" xfId="0" applyFont="1" applyFill="1" applyAlignment="1" applyProtection="1">
      <alignment horizontal="center" vertical="center"/>
    </xf>
    <xf numFmtId="164" fontId="2" fillId="4" borderId="0" xfId="0" applyNumberFormat="1" applyFont="1" applyFill="1" applyBorder="1" applyAlignment="1" applyProtection="1">
      <alignment horizontal="left" vertical="center"/>
    </xf>
    <xf numFmtId="176" fontId="2" fillId="4" borderId="0" xfId="0" applyNumberFormat="1" applyFont="1" applyFill="1" applyBorder="1" applyAlignment="1" applyProtection="1">
      <alignment horizontal="left" vertical="center"/>
    </xf>
    <xf numFmtId="9" fontId="2" fillId="4" borderId="0" xfId="0" applyNumberFormat="1" applyFont="1" applyFill="1" applyAlignment="1" applyProtection="1">
      <alignment horizontal="left" vertical="center"/>
    </xf>
    <xf numFmtId="0" fontId="2" fillId="4" borderId="0" xfId="0" applyFont="1" applyFill="1" applyAlignment="1" applyProtection="1"/>
    <xf numFmtId="43" fontId="5" fillId="4" borderId="0" xfId="0" applyNumberFormat="1" applyFont="1" applyFill="1" applyProtection="1"/>
    <xf numFmtId="0" fontId="29" fillId="4" borderId="0" xfId="0" applyFont="1" applyFill="1" applyBorder="1" applyProtection="1"/>
    <xf numFmtId="0" fontId="29" fillId="4" borderId="0" xfId="0" applyFont="1" applyFill="1" applyAlignment="1" applyProtection="1">
      <alignment horizontal="left"/>
    </xf>
    <xf numFmtId="0" fontId="29" fillId="4" borderId="0" xfId="0" applyFont="1" applyFill="1" applyProtection="1"/>
    <xf numFmtId="44" fontId="29" fillId="4" borderId="0" xfId="2" applyFont="1" applyFill="1" applyProtection="1"/>
    <xf numFmtId="0" fontId="29" fillId="4" borderId="0" xfId="0" applyFont="1" applyFill="1" applyAlignment="1" applyProtection="1">
      <alignment vertical="center"/>
    </xf>
    <xf numFmtId="44" fontId="29" fillId="4" borderId="0" xfId="2" applyFont="1" applyFill="1" applyAlignment="1" applyProtection="1">
      <alignment vertical="center"/>
    </xf>
    <xf numFmtId="0" fontId="30" fillId="9" borderId="0" xfId="0" applyFont="1" applyFill="1" applyBorder="1" applyAlignment="1" applyProtection="1">
      <alignment vertical="center"/>
    </xf>
    <xf numFmtId="44" fontId="30" fillId="9" borderId="0" xfId="2" applyFont="1" applyFill="1" applyBorder="1" applyAlignment="1" applyProtection="1">
      <alignment vertical="center"/>
    </xf>
    <xf numFmtId="0" fontId="11" fillId="4" borderId="0" xfId="0" applyFont="1" applyFill="1" applyProtection="1"/>
    <xf numFmtId="0" fontId="3" fillId="4" borderId="0" xfId="0" applyFont="1" applyFill="1" applyAlignment="1" applyProtection="1">
      <alignment horizontal="left" vertical="center"/>
    </xf>
    <xf numFmtId="43" fontId="4" fillId="0" borderId="0" xfId="1" applyNumberFormat="1" applyFont="1" applyFill="1" applyBorder="1" applyAlignment="1" applyProtection="1">
      <alignment horizontal="right" vertical="center"/>
      <protection locked="0"/>
    </xf>
    <xf numFmtId="0" fontId="11" fillId="0" borderId="0" xfId="0" applyFont="1" applyAlignment="1">
      <alignment horizontal="center" vertical="center" wrapText="1"/>
    </xf>
    <xf numFmtId="43" fontId="4" fillId="12" borderId="25" xfId="1" applyFont="1" applyFill="1" applyBorder="1" applyAlignment="1">
      <alignment horizontal="right" vertical="center"/>
    </xf>
    <xf numFmtId="0" fontId="4" fillId="0" borderId="54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3" fontId="5" fillId="0" borderId="55" xfId="1" applyFont="1" applyFill="1" applyBorder="1" applyAlignment="1">
      <alignment vertical="center"/>
    </xf>
    <xf numFmtId="43" fontId="5" fillId="0" borderId="55" xfId="1" applyFont="1" applyBorder="1" applyAlignment="1">
      <alignment vertical="center"/>
    </xf>
    <xf numFmtId="43" fontId="5" fillId="0" borderId="18" xfId="1" applyFont="1" applyBorder="1" applyAlignment="1">
      <alignment vertical="center"/>
    </xf>
    <xf numFmtId="43" fontId="5" fillId="0" borderId="19" xfId="1" applyFont="1" applyBorder="1" applyAlignment="1">
      <alignment vertical="center"/>
    </xf>
    <xf numFmtId="4" fontId="14" fillId="0" borderId="48" xfId="0" applyNumberFormat="1" applyFont="1" applyBorder="1" applyAlignment="1">
      <alignment horizontal="center" vertical="center"/>
    </xf>
    <xf numFmtId="0" fontId="5" fillId="0" borderId="24" xfId="0" applyFont="1" applyFill="1" applyBorder="1" applyAlignment="1">
      <alignment vertical="center"/>
    </xf>
    <xf numFmtId="0" fontId="5" fillId="0" borderId="23" xfId="0" applyFont="1" applyFill="1" applyBorder="1" applyAlignment="1">
      <alignment vertical="center"/>
    </xf>
    <xf numFmtId="168" fontId="14" fillId="13" borderId="47" xfId="0" applyNumberFormat="1" applyFont="1" applyFill="1" applyBorder="1" applyAlignment="1" applyProtection="1">
      <alignment horizontal="center" vertical="center"/>
      <protection hidden="1"/>
    </xf>
    <xf numFmtId="4" fontId="14" fillId="13" borderId="48" xfId="0" applyNumberFormat="1" applyFont="1" applyFill="1" applyBorder="1" applyAlignment="1" applyProtection="1">
      <alignment horizontal="center" vertical="center"/>
      <protection hidden="1"/>
    </xf>
    <xf numFmtId="4" fontId="14" fillId="13" borderId="47" xfId="0" applyNumberFormat="1" applyFont="1" applyFill="1" applyBorder="1" applyAlignment="1">
      <alignment horizontal="center" vertical="center"/>
    </xf>
    <xf numFmtId="4" fontId="14" fillId="13" borderId="49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 applyProtection="1">
      <alignment horizontal="center" vertical="center"/>
      <protection locked="0"/>
    </xf>
    <xf numFmtId="0" fontId="10" fillId="4" borderId="0" xfId="0" applyFont="1" applyFill="1" applyBorder="1" applyAlignment="1" applyProtection="1">
      <alignment horizontal="center" vertical="center" wrapText="1"/>
    </xf>
    <xf numFmtId="0" fontId="11" fillId="4" borderId="0" xfId="0" applyFont="1" applyFill="1" applyBorder="1" applyAlignment="1" applyProtection="1">
      <alignment vertical="center"/>
    </xf>
    <xf numFmtId="0" fontId="10" fillId="4" borderId="0" xfId="0" applyFont="1" applyFill="1" applyBorder="1" applyAlignment="1" applyProtection="1">
      <alignment horizontal="right" vertical="center"/>
    </xf>
    <xf numFmtId="0" fontId="10" fillId="4" borderId="0" xfId="0" applyFont="1" applyFill="1" applyAlignment="1" applyProtection="1">
      <alignment horizontal="center" vertical="center" wrapText="1"/>
    </xf>
    <xf numFmtId="0" fontId="10" fillId="4" borderId="0" xfId="0" applyFont="1" applyFill="1" applyBorder="1" applyAlignment="1" applyProtection="1">
      <alignment horizontal="center" vertical="center"/>
    </xf>
    <xf numFmtId="0" fontId="11" fillId="4" borderId="0" xfId="0" applyFont="1" applyFill="1" applyBorder="1" applyProtection="1"/>
    <xf numFmtId="169" fontId="10" fillId="4" borderId="0" xfId="0" applyNumberFormat="1" applyFont="1" applyFill="1" applyBorder="1" applyAlignment="1" applyProtection="1">
      <alignment horizontal="right" vertical="center"/>
    </xf>
    <xf numFmtId="169" fontId="11" fillId="4" borderId="0" xfId="0" applyNumberFormat="1" applyFont="1" applyFill="1" applyBorder="1" applyAlignment="1" applyProtection="1">
      <alignment vertical="center"/>
    </xf>
    <xf numFmtId="0" fontId="11" fillId="4" borderId="0" xfId="0" applyFont="1" applyFill="1" applyBorder="1" applyAlignment="1" applyProtection="1">
      <alignment horizontal="left" vertical="center"/>
    </xf>
    <xf numFmtId="0" fontId="11" fillId="4" borderId="0" xfId="0" applyFont="1" applyFill="1" applyBorder="1" applyAlignment="1" applyProtection="1">
      <alignment horizontal="center" vertical="center"/>
    </xf>
    <xf numFmtId="0" fontId="4" fillId="4" borderId="0" xfId="0" quotePrefix="1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horizontal="center" vertical="center"/>
    </xf>
    <xf numFmtId="4" fontId="5" fillId="4" borderId="0" xfId="0" applyNumberFormat="1" applyFont="1" applyFill="1" applyBorder="1" applyAlignment="1" applyProtection="1">
      <alignment horizontal="left" vertical="center"/>
    </xf>
    <xf numFmtId="0" fontId="5" fillId="4" borderId="0" xfId="0" applyFont="1" applyFill="1" applyBorder="1" applyProtection="1"/>
    <xf numFmtId="4" fontId="5" fillId="4" borderId="0" xfId="0" applyNumberFormat="1" applyFont="1" applyFill="1" applyBorder="1" applyAlignment="1" applyProtection="1">
      <alignment horizontal="right" vertical="center"/>
    </xf>
    <xf numFmtId="4" fontId="5" fillId="4" borderId="0" xfId="0" applyNumberFormat="1" applyFont="1" applyFill="1" applyBorder="1" applyAlignment="1" applyProtection="1">
      <alignment vertical="center"/>
    </xf>
    <xf numFmtId="14" fontId="5" fillId="4" borderId="0" xfId="0" applyNumberFormat="1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horizontal="left" vertical="center"/>
    </xf>
    <xf numFmtId="9" fontId="5" fillId="4" borderId="0" xfId="0" applyNumberFormat="1" applyFont="1" applyFill="1" applyBorder="1" applyAlignment="1" applyProtection="1">
      <alignment vertical="center"/>
    </xf>
    <xf numFmtId="43" fontId="5" fillId="4" borderId="0" xfId="1" applyFont="1" applyFill="1" applyBorder="1" applyAlignment="1" applyProtection="1">
      <alignment horizontal="left" vertical="center"/>
    </xf>
    <xf numFmtId="43" fontId="5" fillId="4" borderId="0" xfId="1" applyFont="1" applyFill="1" applyBorder="1" applyAlignment="1" applyProtection="1">
      <alignment vertical="center"/>
    </xf>
    <xf numFmtId="10" fontId="5" fillId="4" borderId="0" xfId="0" applyNumberFormat="1" applyFont="1" applyFill="1" applyBorder="1" applyAlignment="1" applyProtection="1">
      <alignment vertical="center"/>
    </xf>
    <xf numFmtId="43" fontId="5" fillId="4" borderId="0" xfId="0" applyNumberFormat="1" applyFont="1" applyFill="1" applyBorder="1" applyAlignment="1" applyProtection="1">
      <alignment vertical="center"/>
    </xf>
    <xf numFmtId="10" fontId="5" fillId="4" borderId="0" xfId="0" quotePrefix="1" applyNumberFormat="1" applyFont="1" applyFill="1" applyBorder="1" applyAlignment="1" applyProtection="1">
      <alignment horizontal="center" vertical="center"/>
    </xf>
    <xf numFmtId="43" fontId="5" fillId="4" borderId="0" xfId="0" applyNumberFormat="1" applyFont="1" applyFill="1" applyBorder="1" applyAlignment="1" applyProtection="1">
      <alignment horizontal="left" vertical="center"/>
    </xf>
    <xf numFmtId="174" fontId="5" fillId="4" borderId="0" xfId="0" applyNumberFormat="1" applyFont="1" applyFill="1" applyBorder="1" applyAlignment="1" applyProtection="1">
      <alignment horizontal="right" vertical="center"/>
    </xf>
    <xf numFmtId="10" fontId="0" fillId="0" borderId="0" xfId="4" applyNumberFormat="1" applyFont="1" applyProtection="1"/>
    <xf numFmtId="0" fontId="13" fillId="4" borderId="0" xfId="0" applyFont="1" applyFill="1" applyBorder="1" applyAlignment="1" applyProtection="1">
      <alignment vertical="center"/>
    </xf>
    <xf numFmtId="9" fontId="5" fillId="4" borderId="0" xfId="4" applyFont="1" applyFill="1" applyBorder="1" applyAlignment="1" applyProtection="1">
      <alignment vertical="center"/>
    </xf>
    <xf numFmtId="165" fontId="11" fillId="4" borderId="0" xfId="0" applyNumberFormat="1" applyFont="1" applyFill="1" applyBorder="1" applyAlignment="1" applyProtection="1">
      <alignment horizontal="center"/>
    </xf>
    <xf numFmtId="0" fontId="11" fillId="4" borderId="0" xfId="0" applyFont="1" applyFill="1" applyBorder="1" applyAlignment="1" applyProtection="1">
      <alignment horizontal="center"/>
    </xf>
    <xf numFmtId="9" fontId="5" fillId="4" borderId="0" xfId="0" applyNumberFormat="1" applyFont="1" applyFill="1" applyBorder="1" applyAlignment="1" applyProtection="1">
      <alignment horizontal="left" vertical="center"/>
    </xf>
    <xf numFmtId="43" fontId="11" fillId="4" borderId="0" xfId="1" applyFont="1" applyFill="1" applyProtection="1"/>
    <xf numFmtId="9" fontId="11" fillId="4" borderId="0" xfId="4" applyFont="1" applyFill="1" applyProtection="1"/>
    <xf numFmtId="43" fontId="11" fillId="4" borderId="0" xfId="0" applyNumberFormat="1" applyFont="1" applyFill="1" applyProtection="1"/>
    <xf numFmtId="173" fontId="5" fillId="4" borderId="0" xfId="0" applyNumberFormat="1" applyFont="1" applyFill="1" applyBorder="1" applyAlignment="1" applyProtection="1">
      <alignment horizontal="left" vertical="center"/>
    </xf>
    <xf numFmtId="44" fontId="5" fillId="4" borderId="0" xfId="2" applyFont="1" applyFill="1" applyBorder="1" applyAlignment="1" applyProtection="1">
      <alignment vertical="center"/>
    </xf>
    <xf numFmtId="0" fontId="21" fillId="0" borderId="0" xfId="0" applyFont="1" applyBorder="1" applyProtection="1"/>
    <xf numFmtId="0" fontId="4" fillId="4" borderId="0" xfId="0" applyFont="1" applyFill="1" applyBorder="1" applyAlignment="1" applyProtection="1">
      <alignment horizontal="right" wrapText="1"/>
    </xf>
    <xf numFmtId="0" fontId="5" fillId="4" borderId="0" xfId="0" applyFont="1" applyFill="1" applyBorder="1" applyAlignment="1" applyProtection="1">
      <alignment horizontal="right" vertical="center"/>
    </xf>
    <xf numFmtId="0" fontId="5" fillId="4" borderId="0" xfId="0" applyFont="1" applyFill="1" applyBorder="1" applyAlignment="1" applyProtection="1"/>
    <xf numFmtId="0" fontId="4" fillId="4" borderId="0" xfId="0" applyFont="1" applyFill="1" applyBorder="1" applyAlignment="1" applyProtection="1">
      <alignment horizontal="left" vertical="center"/>
    </xf>
    <xf numFmtId="0" fontId="0" fillId="0" borderId="0" xfId="0" applyBorder="1" applyProtection="1"/>
    <xf numFmtId="0" fontId="11" fillId="4" borderId="0" xfId="0" applyFont="1" applyFill="1" applyBorder="1" applyAlignment="1" applyProtection="1"/>
    <xf numFmtId="0" fontId="5" fillId="4" borderId="0" xfId="0" applyFont="1" applyFill="1" applyBorder="1" applyAlignment="1" applyProtection="1">
      <alignment horizontal="center"/>
    </xf>
    <xf numFmtId="43" fontId="5" fillId="4" borderId="0" xfId="1" applyFont="1" applyFill="1" applyBorder="1" applyProtection="1"/>
    <xf numFmtId="172" fontId="11" fillId="4" borderId="0" xfId="0" applyNumberFormat="1" applyFont="1" applyFill="1" applyProtection="1"/>
    <xf numFmtId="166" fontId="4" fillId="4" borderId="0" xfId="0" applyNumberFormat="1" applyFont="1" applyFill="1" applyBorder="1" applyAlignment="1" applyProtection="1">
      <alignment horizontal="left" vertical="center"/>
    </xf>
    <xf numFmtId="166" fontId="4" fillId="4" borderId="0" xfId="0" applyNumberFormat="1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horizontal="left"/>
    </xf>
    <xf numFmtId="43" fontId="5" fillId="4" borderId="0" xfId="0" applyNumberFormat="1" applyFont="1" applyFill="1" applyBorder="1" applyProtection="1"/>
    <xf numFmtId="166" fontId="5" fillId="4" borderId="0" xfId="0" applyNumberFormat="1" applyFont="1" applyFill="1" applyBorder="1" applyAlignment="1" applyProtection="1">
      <alignment horizontal="left" vertical="center"/>
    </xf>
    <xf numFmtId="10" fontId="5" fillId="4" borderId="0" xfId="4" applyNumberFormat="1" applyFont="1" applyFill="1" applyBorder="1" applyAlignment="1" applyProtection="1">
      <alignment vertical="center"/>
    </xf>
    <xf numFmtId="171" fontId="11" fillId="4" borderId="0" xfId="4" applyNumberFormat="1" applyFont="1" applyFill="1" applyAlignment="1" applyProtection="1">
      <alignment vertical="center"/>
    </xf>
    <xf numFmtId="4" fontId="11" fillId="4" borderId="0" xfId="0" applyNumberFormat="1" applyFont="1" applyFill="1" applyAlignment="1" applyProtection="1">
      <alignment vertical="center"/>
    </xf>
    <xf numFmtId="0" fontId="4" fillId="4" borderId="0" xfId="0" applyFont="1" applyFill="1" applyBorder="1" applyAlignment="1" applyProtection="1">
      <alignment vertical="center"/>
    </xf>
    <xf numFmtId="4" fontId="4" fillId="4" borderId="0" xfId="0" applyNumberFormat="1" applyFont="1" applyFill="1" applyBorder="1" applyAlignment="1" applyProtection="1">
      <alignment vertical="center"/>
    </xf>
    <xf numFmtId="4" fontId="10" fillId="4" borderId="0" xfId="0" applyNumberFormat="1" applyFont="1" applyFill="1" applyBorder="1" applyAlignment="1" applyProtection="1">
      <alignment vertical="center"/>
    </xf>
    <xf numFmtId="0" fontId="16" fillId="4" borderId="0" xfId="0" applyFont="1" applyFill="1" applyBorder="1" applyAlignment="1" applyProtection="1">
      <alignment horizontal="center"/>
    </xf>
    <xf numFmtId="0" fontId="17" fillId="4" borderId="0" xfId="0" applyFont="1" applyFill="1" applyBorder="1" applyAlignment="1" applyProtection="1">
      <alignment horizontal="center" vertical="center"/>
    </xf>
    <xf numFmtId="0" fontId="18" fillId="4" borderId="0" xfId="0" applyFont="1" applyFill="1" applyBorder="1" applyProtection="1"/>
    <xf numFmtId="0" fontId="7" fillId="2" borderId="17" xfId="0" applyFont="1" applyFill="1" applyBorder="1" applyAlignment="1" applyProtection="1">
      <alignment horizontal="center" vertical="center"/>
    </xf>
    <xf numFmtId="0" fontId="7" fillId="2" borderId="11" xfId="0" applyFont="1" applyFill="1" applyBorder="1" applyAlignment="1" applyProtection="1">
      <alignment horizontal="center" vertical="center"/>
    </xf>
    <xf numFmtId="0" fontId="5" fillId="2" borderId="12" xfId="0" applyFont="1" applyFill="1" applyBorder="1" applyAlignment="1" applyProtection="1">
      <alignment vertical="center"/>
    </xf>
    <xf numFmtId="0" fontId="5" fillId="2" borderId="13" xfId="0" applyFont="1" applyFill="1" applyBorder="1" applyAlignment="1" applyProtection="1">
      <alignment vertical="center"/>
    </xf>
    <xf numFmtId="0" fontId="5" fillId="0" borderId="20" xfId="0" applyFont="1" applyBorder="1" applyAlignment="1" applyProtection="1">
      <alignment vertical="center"/>
    </xf>
    <xf numFmtId="0" fontId="5" fillId="0" borderId="0" xfId="0" applyFont="1" applyBorder="1" applyAlignment="1" applyProtection="1">
      <alignment vertical="center"/>
    </xf>
    <xf numFmtId="0" fontId="5" fillId="0" borderId="14" xfId="0" applyFont="1" applyBorder="1" applyAlignment="1" applyProtection="1">
      <alignment vertical="center"/>
    </xf>
    <xf numFmtId="3" fontId="4" fillId="0" borderId="18" xfId="0" applyNumberFormat="1" applyFont="1" applyBorder="1" applyAlignment="1" applyProtection="1">
      <alignment horizontal="center" vertical="center"/>
    </xf>
    <xf numFmtId="9" fontId="5" fillId="0" borderId="20" xfId="0" applyNumberFormat="1" applyFont="1" applyBorder="1" applyAlignment="1" applyProtection="1">
      <alignment vertical="center"/>
    </xf>
    <xf numFmtId="0" fontId="5" fillId="0" borderId="21" xfId="0" applyFont="1" applyBorder="1" applyAlignment="1" applyProtection="1">
      <alignment vertical="center"/>
    </xf>
    <xf numFmtId="0" fontId="5" fillId="0" borderId="15" xfId="0" applyFont="1" applyBorder="1" applyAlignment="1" applyProtection="1">
      <alignment vertical="center"/>
    </xf>
    <xf numFmtId="0" fontId="5" fillId="0" borderId="16" xfId="0" applyFont="1" applyBorder="1" applyAlignment="1" applyProtection="1">
      <alignment vertical="center"/>
    </xf>
    <xf numFmtId="0" fontId="5" fillId="0" borderId="0" xfId="0" applyFont="1" applyAlignment="1" applyProtection="1">
      <alignment vertical="center"/>
    </xf>
    <xf numFmtId="0" fontId="0" fillId="0" borderId="0" xfId="0" applyProtection="1"/>
    <xf numFmtId="0" fontId="7" fillId="2" borderId="55" xfId="0" applyFont="1" applyFill="1" applyBorder="1" applyAlignment="1" applyProtection="1">
      <alignment horizontal="center" vertical="center"/>
    </xf>
    <xf numFmtId="0" fontId="4" fillId="2" borderId="17" xfId="0" applyFont="1" applyFill="1" applyBorder="1" applyAlignment="1" applyProtection="1">
      <alignment horizontal="left" vertical="center"/>
    </xf>
    <xf numFmtId="0" fontId="4" fillId="2" borderId="17" xfId="0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vertical="center"/>
    </xf>
    <xf numFmtId="3" fontId="7" fillId="2" borderId="55" xfId="1" applyNumberFormat="1" applyFont="1" applyFill="1" applyBorder="1" applyAlignment="1" applyProtection="1">
      <alignment horizontal="center" vertical="center"/>
    </xf>
    <xf numFmtId="0" fontId="7" fillId="2" borderId="18" xfId="0" applyFont="1" applyFill="1" applyBorder="1" applyAlignment="1" applyProtection="1">
      <alignment horizontal="center" vertical="center"/>
    </xf>
    <xf numFmtId="0" fontId="4" fillId="2" borderId="18" xfId="0" applyFont="1" applyFill="1" applyBorder="1" applyAlignment="1" applyProtection="1">
      <alignment horizontal="left" vertical="center"/>
    </xf>
    <xf numFmtId="0" fontId="4" fillId="2" borderId="18" xfId="0" applyFont="1" applyFill="1" applyBorder="1" applyAlignment="1" applyProtection="1">
      <alignment horizontal="center" vertical="center"/>
    </xf>
    <xf numFmtId="3" fontId="5" fillId="0" borderId="18" xfId="0" applyNumberFormat="1" applyFont="1" applyBorder="1" applyAlignment="1" applyProtection="1">
      <alignment horizontal="center" vertical="center"/>
    </xf>
    <xf numFmtId="9" fontId="5" fillId="0" borderId="18" xfId="0" applyNumberFormat="1" applyFont="1" applyBorder="1" applyAlignment="1" applyProtection="1">
      <alignment horizontal="center" vertical="center"/>
    </xf>
    <xf numFmtId="0" fontId="5" fillId="0" borderId="32" xfId="0" applyFont="1" applyBorder="1" applyAlignment="1" applyProtection="1">
      <alignment horizontal="center" vertical="center"/>
    </xf>
    <xf numFmtId="0" fontId="5" fillId="0" borderId="18" xfId="0" applyFont="1" applyBorder="1" applyAlignment="1" applyProtection="1">
      <alignment horizontal="center" vertical="center"/>
    </xf>
    <xf numFmtId="9" fontId="5" fillId="0" borderId="0" xfId="4" applyFont="1" applyAlignment="1" applyProtection="1">
      <alignment vertical="center"/>
    </xf>
    <xf numFmtId="9" fontId="5" fillId="0" borderId="19" xfId="0" applyNumberFormat="1" applyFont="1" applyBorder="1" applyAlignment="1" applyProtection="1">
      <alignment horizontal="center" vertical="center"/>
    </xf>
    <xf numFmtId="0" fontId="5" fillId="0" borderId="19" xfId="0" applyFont="1" applyBorder="1" applyAlignment="1" applyProtection="1">
      <alignment horizontal="center" vertical="center"/>
    </xf>
    <xf numFmtId="3" fontId="5" fillId="0" borderId="19" xfId="0" applyNumberFormat="1" applyFont="1" applyBorder="1" applyAlignment="1" applyProtection="1">
      <alignment horizontal="center" vertical="center"/>
    </xf>
    <xf numFmtId="4" fontId="5" fillId="0" borderId="0" xfId="0" applyNumberFormat="1" applyFont="1" applyBorder="1" applyAlignment="1" applyProtection="1">
      <alignment horizontal="center" vertical="center"/>
    </xf>
    <xf numFmtId="0" fontId="22" fillId="2" borderId="17" xfId="0" applyFont="1" applyFill="1" applyBorder="1" applyAlignment="1" applyProtection="1">
      <alignment horizontal="center" vertical="center"/>
    </xf>
    <xf numFmtId="0" fontId="20" fillId="8" borderId="0" xfId="0" applyFont="1" applyFill="1" applyProtection="1"/>
    <xf numFmtId="4" fontId="5" fillId="0" borderId="32" xfId="0" applyNumberFormat="1" applyFont="1" applyBorder="1" applyAlignment="1" applyProtection="1">
      <alignment horizontal="center" vertical="center"/>
    </xf>
    <xf numFmtId="4" fontId="5" fillId="0" borderId="18" xfId="0" applyNumberFormat="1" applyFont="1" applyBorder="1" applyAlignment="1" applyProtection="1">
      <alignment horizontal="center" vertical="center"/>
    </xf>
    <xf numFmtId="4" fontId="5" fillId="0" borderId="19" xfId="0" applyNumberFormat="1" applyFont="1" applyBorder="1" applyAlignment="1" applyProtection="1">
      <alignment horizontal="center" vertical="center"/>
    </xf>
    <xf numFmtId="0" fontId="4" fillId="2" borderId="11" xfId="0" applyFont="1" applyFill="1" applyBorder="1" applyAlignment="1" applyProtection="1">
      <alignment horizontal="left" vertical="center"/>
    </xf>
    <xf numFmtId="0" fontId="5" fillId="0" borderId="20" xfId="0" applyFont="1" applyBorder="1" applyAlignment="1" applyProtection="1">
      <alignment horizontal="left" vertical="center"/>
    </xf>
    <xf numFmtId="0" fontId="5" fillId="0" borderId="21" xfId="0" applyFont="1" applyBorder="1" applyAlignment="1" applyProtection="1">
      <alignment horizontal="left" vertical="center"/>
    </xf>
    <xf numFmtId="3" fontId="15" fillId="5" borderId="3" xfId="0" applyNumberFormat="1" applyFont="1" applyFill="1" applyBorder="1" applyAlignment="1" applyProtection="1">
      <alignment horizontal="center" vertical="center"/>
    </xf>
    <xf numFmtId="3" fontId="15" fillId="5" borderId="5" xfId="0" applyNumberFormat="1" applyFont="1" applyFill="1" applyBorder="1" applyAlignment="1" applyProtection="1">
      <alignment horizontal="center" vertical="center"/>
    </xf>
    <xf numFmtId="9" fontId="32" fillId="4" borderId="0" xfId="0" applyNumberFormat="1" applyFont="1" applyFill="1" applyBorder="1" applyAlignment="1" applyProtection="1">
      <alignment horizontal="center" vertical="center"/>
    </xf>
    <xf numFmtId="0" fontId="33" fillId="0" borderId="0" xfId="0" applyFont="1" applyFill="1" applyAlignment="1" applyProtection="1">
      <alignment horizontal="center"/>
    </xf>
    <xf numFmtId="0" fontId="11" fillId="4" borderId="0" xfId="0" applyFont="1" applyFill="1" applyAlignment="1" applyProtection="1">
      <alignment vertical="center"/>
    </xf>
    <xf numFmtId="0" fontId="10" fillId="4" borderId="0" xfId="0" applyFont="1" applyFill="1" applyAlignment="1" applyProtection="1">
      <alignment horizontal="right" vertical="center"/>
    </xf>
    <xf numFmtId="0" fontId="10" fillId="4" borderId="0" xfId="0" applyFont="1" applyFill="1" applyAlignment="1" applyProtection="1">
      <alignment horizontal="center" vertical="center"/>
    </xf>
    <xf numFmtId="169" fontId="10" fillId="4" borderId="0" xfId="0" applyNumberFormat="1" applyFont="1" applyFill="1" applyAlignment="1" applyProtection="1">
      <alignment horizontal="right" vertical="center"/>
    </xf>
    <xf numFmtId="0" fontId="11" fillId="4" borderId="0" xfId="0" applyFont="1" applyFill="1" applyAlignment="1" applyProtection="1">
      <alignment horizontal="left" vertical="center"/>
    </xf>
    <xf numFmtId="0" fontId="11" fillId="4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vertical="center"/>
    </xf>
    <xf numFmtId="0" fontId="23" fillId="4" borderId="0" xfId="0" applyFont="1" applyFill="1" applyBorder="1" applyAlignment="1" applyProtection="1">
      <alignment horizontal="right" wrapText="1"/>
    </xf>
    <xf numFmtId="0" fontId="20" fillId="4" borderId="0" xfId="0" applyFont="1" applyFill="1" applyBorder="1" applyAlignment="1" applyProtection="1">
      <alignment horizontal="right" wrapText="1"/>
    </xf>
    <xf numFmtId="0" fontId="10" fillId="4" borderId="0" xfId="0" applyFont="1" applyFill="1" applyAlignment="1" applyProtection="1">
      <alignment horizontal="center"/>
    </xf>
    <xf numFmtId="0" fontId="25" fillId="14" borderId="0" xfId="0" applyFont="1" applyFill="1" applyBorder="1" applyAlignment="1" applyProtection="1">
      <alignment horizontal="center" vertical="center"/>
    </xf>
    <xf numFmtId="0" fontId="5" fillId="2" borderId="0" xfId="0" applyFont="1" applyFill="1" applyBorder="1" applyAlignment="1" applyProtection="1">
      <alignment vertical="center"/>
    </xf>
    <xf numFmtId="0" fontId="4" fillId="0" borderId="0" xfId="0" applyFont="1" applyFill="1" applyBorder="1" applyAlignment="1" applyProtection="1">
      <alignment horizontal="left" vertical="center"/>
    </xf>
    <xf numFmtId="0" fontId="34" fillId="4" borderId="0" xfId="0" applyFont="1" applyFill="1" applyBorder="1" applyProtection="1"/>
    <xf numFmtId="0" fontId="10" fillId="0" borderId="0" xfId="0" applyFont="1" applyAlignment="1" applyProtection="1">
      <alignment vertical="center" wrapText="1"/>
    </xf>
    <xf numFmtId="0" fontId="10" fillId="4" borderId="0" xfId="0" applyFont="1" applyFill="1" applyAlignment="1" applyProtection="1"/>
    <xf numFmtId="0" fontId="36" fillId="4" borderId="0" xfId="0" applyFont="1" applyFill="1" applyProtection="1"/>
    <xf numFmtId="43" fontId="37" fillId="4" borderId="0" xfId="1" applyFont="1" applyFill="1" applyBorder="1" applyAlignment="1" applyProtection="1">
      <alignment horizontal="center" vertical="center"/>
      <protection locked="0"/>
    </xf>
    <xf numFmtId="0" fontId="38" fillId="4" borderId="0" xfId="0" applyFont="1" applyFill="1" applyAlignment="1" applyProtection="1"/>
    <xf numFmtId="0" fontId="0" fillId="14" borderId="0" xfId="0" applyFill="1"/>
    <xf numFmtId="0" fontId="4" fillId="4" borderId="0" xfId="0" applyFont="1" applyFill="1" applyBorder="1" applyAlignment="1" applyProtection="1">
      <alignment horizontal="center"/>
    </xf>
    <xf numFmtId="0" fontId="4" fillId="14" borderId="0" xfId="0" applyFont="1" applyFill="1" applyBorder="1" applyAlignment="1" applyProtection="1">
      <alignment horizontal="left" vertical="center"/>
    </xf>
    <xf numFmtId="0" fontId="29" fillId="4" borderId="0" xfId="0" applyFont="1" applyFill="1" applyBorder="1" applyAlignment="1" applyProtection="1">
      <alignment horizontal="center"/>
    </xf>
    <xf numFmtId="0" fontId="9" fillId="4" borderId="0" xfId="0" applyFont="1" applyFill="1" applyBorder="1" applyAlignment="1" applyProtection="1">
      <alignment vertical="center"/>
    </xf>
    <xf numFmtId="0" fontId="2" fillId="0" borderId="21" xfId="0" applyFont="1" applyBorder="1" applyAlignment="1">
      <alignment horizontal="left" vertical="center"/>
    </xf>
    <xf numFmtId="0" fontId="5" fillId="4" borderId="0" xfId="0" applyFont="1" applyFill="1" applyBorder="1" applyAlignment="1"/>
    <xf numFmtId="0" fontId="5" fillId="4" borderId="0" xfId="0" applyFont="1" applyFill="1" applyBorder="1" applyAlignment="1">
      <alignment horizontal="left" wrapText="1"/>
    </xf>
    <xf numFmtId="0" fontId="0" fillId="0" borderId="0" xfId="0" applyBorder="1"/>
    <xf numFmtId="0" fontId="2" fillId="0" borderId="0" xfId="0" applyFont="1"/>
    <xf numFmtId="0" fontId="2" fillId="4" borderId="0" xfId="0" applyFont="1" applyFill="1" applyAlignment="1">
      <alignment wrapText="1"/>
    </xf>
    <xf numFmtId="0" fontId="2" fillId="4" borderId="0" xfId="0" applyFont="1" applyFill="1" applyBorder="1" applyAlignment="1">
      <alignment wrapText="1"/>
    </xf>
    <xf numFmtId="0" fontId="3" fillId="4" borderId="0" xfId="0" applyFont="1" applyFill="1" applyAlignment="1">
      <alignment horizontal="left" wrapText="1"/>
    </xf>
    <xf numFmtId="0" fontId="3" fillId="4" borderId="0" xfId="0" applyFont="1" applyFill="1" applyAlignment="1">
      <alignment wrapText="1"/>
    </xf>
    <xf numFmtId="49" fontId="5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0" xfId="0" applyFont="1" applyAlignment="1">
      <alignment vertical="center"/>
    </xf>
    <xf numFmtId="10" fontId="29" fillId="0" borderId="0" xfId="4" applyNumberFormat="1" applyFont="1" applyAlignment="1" applyProtection="1">
      <alignment vertical="center"/>
    </xf>
    <xf numFmtId="179" fontId="29" fillId="0" borderId="0" xfId="2" applyNumberFormat="1" applyFont="1" applyAlignment="1" applyProtection="1">
      <alignment vertical="center"/>
    </xf>
    <xf numFmtId="170" fontId="5" fillId="0" borderId="0" xfId="1" applyNumberFormat="1" applyFont="1" applyBorder="1" applyAlignment="1" applyProtection="1">
      <alignment vertical="center"/>
    </xf>
    <xf numFmtId="10" fontId="4" fillId="0" borderId="0" xfId="4" applyNumberFormat="1" applyFont="1" applyAlignment="1">
      <alignment vertical="center"/>
    </xf>
    <xf numFmtId="179" fontId="4" fillId="0" borderId="0" xfId="2" applyNumberFormat="1" applyFont="1" applyAlignment="1">
      <alignment vertical="center"/>
    </xf>
    <xf numFmtId="0" fontId="2" fillId="4" borderId="0" xfId="0" applyFont="1" applyFill="1" applyAlignment="1">
      <alignment horizontal="left" wrapText="1"/>
    </xf>
    <xf numFmtId="0" fontId="5" fillId="4" borderId="0" xfId="0" applyFont="1" applyFill="1" applyAlignment="1">
      <alignment horizontal="left" wrapText="1"/>
    </xf>
    <xf numFmtId="0" fontId="42" fillId="4" borderId="0" xfId="0" applyFont="1" applyFill="1" applyAlignment="1">
      <alignment horizontal="center" wrapText="1"/>
    </xf>
    <xf numFmtId="0" fontId="1" fillId="4" borderId="0" xfId="0" quotePrefix="1" applyFont="1" applyFill="1" applyAlignment="1" applyProtection="1">
      <alignment horizontal="left" vertical="center"/>
    </xf>
    <xf numFmtId="9" fontId="1" fillId="4" borderId="0" xfId="4" applyFont="1" applyFill="1" applyBorder="1" applyAlignment="1" applyProtection="1">
      <alignment horizontal="left" vertical="center"/>
    </xf>
    <xf numFmtId="169" fontId="29" fillId="4" borderId="0" xfId="0" applyNumberFormat="1" applyFont="1" applyFill="1" applyAlignment="1" applyProtection="1">
      <alignment horizontal="center" vertical="center"/>
    </xf>
    <xf numFmtId="0" fontId="1" fillId="4" borderId="0" xfId="0" applyFont="1" applyFill="1" applyAlignment="1" applyProtection="1">
      <alignment horizontal="left" vertical="center"/>
    </xf>
    <xf numFmtId="0" fontId="29" fillId="4" borderId="0" xfId="0" applyFont="1" applyFill="1" applyBorder="1" applyAlignment="1" applyProtection="1">
      <alignment horizontal="left"/>
    </xf>
    <xf numFmtId="0" fontId="4" fillId="4" borderId="0" xfId="0" applyFont="1" applyFill="1" applyBorder="1" applyAlignment="1" applyProtection="1">
      <alignment horizontal="center" vertical="center"/>
    </xf>
    <xf numFmtId="0" fontId="49" fillId="4" borderId="0" xfId="0" applyFont="1" applyFill="1" applyProtection="1"/>
    <xf numFmtId="0" fontId="5" fillId="4" borderId="0" xfId="0" applyFont="1" applyFill="1" applyAlignment="1" applyProtection="1">
      <protection locked="0"/>
    </xf>
    <xf numFmtId="0" fontId="30" fillId="0" borderId="0" xfId="0" applyFont="1" applyAlignment="1">
      <alignment vertical="center"/>
    </xf>
    <xf numFmtId="0" fontId="29" fillId="0" borderId="0" xfId="0" applyFont="1" applyAlignment="1">
      <alignment vertical="top"/>
    </xf>
    <xf numFmtId="0" fontId="4" fillId="0" borderId="0" xfId="0" applyFont="1" applyBorder="1" applyAlignment="1">
      <alignment vertical="top"/>
    </xf>
    <xf numFmtId="0" fontId="29" fillId="0" borderId="0" xfId="0" applyFont="1" applyAlignment="1">
      <alignment horizontal="left" vertical="center"/>
    </xf>
    <xf numFmtId="180" fontId="29" fillId="0" borderId="0" xfId="0" applyNumberFormat="1" applyFont="1" applyAlignment="1">
      <alignment horizontal="left" vertical="top"/>
    </xf>
    <xf numFmtId="0" fontId="5" fillId="4" borderId="0" xfId="0" applyFont="1" applyFill="1" applyAlignment="1" applyProtection="1">
      <alignment vertical="top"/>
    </xf>
    <xf numFmtId="170" fontId="5" fillId="0" borderId="0" xfId="1" applyNumberFormat="1" applyFont="1" applyAlignment="1" applyProtection="1">
      <alignment horizontal="center" vertical="center"/>
    </xf>
    <xf numFmtId="2" fontId="14" fillId="0" borderId="49" xfId="0" applyNumberFormat="1" applyFont="1" applyBorder="1" applyAlignment="1">
      <alignment horizontal="center" vertical="center"/>
    </xf>
    <xf numFmtId="0" fontId="1" fillId="4" borderId="0" xfId="0" applyFont="1" applyFill="1" applyBorder="1" applyAlignment="1" applyProtection="1">
      <alignment vertical="center"/>
    </xf>
    <xf numFmtId="0" fontId="5" fillId="13" borderId="0" xfId="0" applyFont="1" applyFill="1" applyAlignment="1">
      <alignment vertical="center"/>
    </xf>
    <xf numFmtId="0" fontId="51" fillId="0" borderId="0" xfId="0" applyFont="1" applyFill="1" applyAlignment="1" applyProtection="1">
      <alignment horizontal="center" vertical="center" wrapText="1"/>
    </xf>
    <xf numFmtId="0" fontId="32" fillId="2" borderId="17" xfId="0" applyFont="1" applyFill="1" applyBorder="1" applyAlignment="1" applyProtection="1">
      <alignment horizontal="center" vertical="center"/>
    </xf>
    <xf numFmtId="3" fontId="32" fillId="0" borderId="32" xfId="0" applyNumberFormat="1" applyFont="1" applyBorder="1" applyAlignment="1" applyProtection="1">
      <alignment horizontal="center" vertical="center"/>
    </xf>
    <xf numFmtId="3" fontId="32" fillId="0" borderId="18" xfId="0" applyNumberFormat="1" applyFont="1" applyBorder="1" applyAlignment="1" applyProtection="1">
      <alignment horizontal="center" vertical="center"/>
    </xf>
    <xf numFmtId="3" fontId="32" fillId="0" borderId="19" xfId="0" applyNumberFormat="1" applyFont="1" applyBorder="1" applyAlignment="1" applyProtection="1">
      <alignment horizontal="center" vertical="center"/>
    </xf>
    <xf numFmtId="0" fontId="49" fillId="0" borderId="0" xfId="0" applyFont="1" applyAlignment="1" applyProtection="1">
      <alignment vertical="center"/>
    </xf>
    <xf numFmtId="0" fontId="52" fillId="0" borderId="0" xfId="0" applyFont="1" applyProtection="1"/>
    <xf numFmtId="4" fontId="49" fillId="0" borderId="0" xfId="0" applyNumberFormat="1" applyFont="1" applyBorder="1" applyAlignment="1" applyProtection="1">
      <alignment horizontal="center" vertical="center"/>
    </xf>
    <xf numFmtId="9" fontId="32" fillId="0" borderId="32" xfId="0" applyNumberFormat="1" applyFont="1" applyBorder="1" applyAlignment="1" applyProtection="1">
      <alignment horizontal="center" vertical="center"/>
    </xf>
    <xf numFmtId="9" fontId="32" fillId="0" borderId="18" xfId="0" applyNumberFormat="1" applyFont="1" applyBorder="1" applyAlignment="1" applyProtection="1">
      <alignment horizontal="center" vertical="center"/>
    </xf>
    <xf numFmtId="9" fontId="32" fillId="0" borderId="19" xfId="0" applyNumberFormat="1" applyFont="1" applyBorder="1" applyAlignment="1" applyProtection="1">
      <alignment horizontal="center" vertical="center"/>
    </xf>
    <xf numFmtId="0" fontId="2" fillId="0" borderId="0" xfId="0" quotePrefix="1" applyFont="1" applyFill="1" applyAlignment="1" applyProtection="1">
      <alignment horizontal="left" vertical="center"/>
    </xf>
    <xf numFmtId="0" fontId="2" fillId="0" borderId="0" xfId="0" applyFont="1" applyFill="1" applyAlignment="1" applyProtection="1">
      <alignment vertical="center"/>
    </xf>
    <xf numFmtId="0" fontId="2" fillId="0" borderId="0" xfId="0" applyFont="1" applyFill="1" applyBorder="1" applyAlignment="1" applyProtection="1">
      <alignment horizontal="left" vertical="center"/>
    </xf>
    <xf numFmtId="177" fontId="2" fillId="0" borderId="0" xfId="0" applyNumberFormat="1" applyFont="1" applyFill="1" applyBorder="1" applyAlignment="1" applyProtection="1">
      <alignment horizontal="left" vertical="center"/>
    </xf>
    <xf numFmtId="43" fontId="5" fillId="15" borderId="18" xfId="1" applyFont="1" applyFill="1" applyBorder="1" applyAlignment="1">
      <alignment vertical="center"/>
    </xf>
    <xf numFmtId="43" fontId="5" fillId="15" borderId="19" xfId="1" applyFont="1" applyFill="1" applyBorder="1" applyAlignment="1">
      <alignment vertical="center"/>
    </xf>
    <xf numFmtId="0" fontId="4" fillId="16" borderId="3" xfId="0" applyFont="1" applyFill="1" applyBorder="1" applyAlignment="1">
      <alignment horizontal="center" vertical="center"/>
    </xf>
    <xf numFmtId="0" fontId="4" fillId="16" borderId="4" xfId="0" applyFont="1" applyFill="1" applyBorder="1" applyAlignment="1">
      <alignment horizontal="center" vertical="center"/>
    </xf>
    <xf numFmtId="171" fontId="5" fillId="0" borderId="0" xfId="4" applyNumberFormat="1" applyFont="1" applyAlignment="1">
      <alignment vertical="center"/>
    </xf>
    <xf numFmtId="0" fontId="1" fillId="0" borderId="0" xfId="0" applyFont="1"/>
    <xf numFmtId="43" fontId="4" fillId="15" borderId="25" xfId="1" applyFont="1" applyFill="1" applyBorder="1" applyAlignment="1">
      <alignment vertical="center"/>
    </xf>
    <xf numFmtId="43" fontId="5" fillId="15" borderId="0" xfId="0" applyNumberFormat="1" applyFont="1" applyFill="1" applyAlignment="1">
      <alignment vertical="center"/>
    </xf>
    <xf numFmtId="4" fontId="14" fillId="15" borderId="48" xfId="0" applyNumberFormat="1" applyFont="1" applyFill="1" applyBorder="1" applyAlignment="1" applyProtection="1">
      <alignment horizontal="center" vertical="center"/>
      <protection hidden="1"/>
    </xf>
    <xf numFmtId="43" fontId="4" fillId="15" borderId="0" xfId="1" applyFont="1" applyFill="1" applyBorder="1" applyAlignment="1" applyProtection="1">
      <alignment horizontal="center" vertical="center"/>
      <protection locked="0"/>
    </xf>
    <xf numFmtId="0" fontId="3" fillId="0" borderId="0" xfId="0" applyFont="1"/>
    <xf numFmtId="164" fontId="1" fillId="4" borderId="0" xfId="0" applyNumberFormat="1" applyFont="1" applyFill="1" applyBorder="1" applyAlignment="1" applyProtection="1">
      <alignment horizontal="left" vertical="center"/>
    </xf>
    <xf numFmtId="0" fontId="53" fillId="0" borderId="0" xfId="0" applyFont="1" applyAlignment="1">
      <alignment horizontal="left" vertical="center"/>
    </xf>
    <xf numFmtId="3" fontId="5" fillId="4" borderId="0" xfId="0" applyNumberFormat="1" applyFont="1" applyFill="1" applyProtection="1"/>
    <xf numFmtId="176" fontId="3" fillId="0" borderId="0" xfId="0" applyNumberFormat="1" applyFont="1" applyFill="1" applyBorder="1" applyAlignment="1" applyProtection="1">
      <alignment horizontal="left" vertical="center"/>
    </xf>
    <xf numFmtId="0" fontId="1" fillId="0" borderId="0" xfId="0" quotePrefix="1" applyFont="1" applyFill="1" applyAlignment="1" applyProtection="1">
      <alignment horizontal="left" vertical="center"/>
    </xf>
    <xf numFmtId="0" fontId="2" fillId="0" borderId="0" xfId="0" applyFont="1" applyFill="1" applyBorder="1" applyAlignment="1" applyProtection="1">
      <alignment vertical="center"/>
    </xf>
    <xf numFmtId="0" fontId="23" fillId="0" borderId="0" xfId="0" applyFont="1" applyFill="1" applyBorder="1" applyAlignment="1" applyProtection="1">
      <alignment horizontal="right" wrapText="1"/>
    </xf>
    <xf numFmtId="0" fontId="1" fillId="0" borderId="0" xfId="0" applyFont="1" applyFill="1" applyAlignment="1" applyProtection="1">
      <alignment horizontal="left" vertical="center"/>
    </xf>
    <xf numFmtId="164" fontId="2" fillId="0" borderId="0" xfId="0" applyNumberFormat="1" applyFont="1" applyFill="1" applyBorder="1" applyAlignment="1" applyProtection="1">
      <alignment horizontal="left" vertical="center"/>
    </xf>
    <xf numFmtId="0" fontId="5" fillId="0" borderId="0" xfId="0" applyFont="1" applyFill="1" applyProtection="1"/>
    <xf numFmtId="0" fontId="1" fillId="0" borderId="0" xfId="0" applyFont="1" applyFill="1" applyProtection="1"/>
    <xf numFmtId="0" fontId="1" fillId="0" borderId="0" xfId="0" applyFont="1" applyFill="1" applyBorder="1" applyAlignment="1" applyProtection="1">
      <alignment vertical="center"/>
    </xf>
    <xf numFmtId="0" fontId="2" fillId="0" borderId="0" xfId="0" applyFont="1" applyFill="1" applyProtection="1"/>
    <xf numFmtId="0" fontId="30" fillId="0" borderId="0" xfId="0" applyFont="1" applyFill="1" applyAlignment="1" applyProtection="1"/>
    <xf numFmtId="0" fontId="4" fillId="0" borderId="0" xfId="0" applyFont="1" applyFill="1" applyAlignment="1" applyProtection="1">
      <alignment horizontal="left" wrapText="1"/>
    </xf>
    <xf numFmtId="0" fontId="50" fillId="4" borderId="0" xfId="0" applyFont="1" applyFill="1" applyProtection="1"/>
    <xf numFmtId="44" fontId="29" fillId="4" borderId="0" xfId="2" applyFont="1" applyFill="1" applyBorder="1" applyProtection="1"/>
    <xf numFmtId="44" fontId="29" fillId="4" borderId="0" xfId="1" applyNumberFormat="1" applyFont="1" applyFill="1" applyBorder="1" applyProtection="1"/>
    <xf numFmtId="0" fontId="57" fillId="0" borderId="0" xfId="0" applyFont="1" applyAlignment="1">
      <alignment vertical="center"/>
    </xf>
    <xf numFmtId="0" fontId="57" fillId="0" borderId="0" xfId="0" applyFont="1"/>
    <xf numFmtId="44" fontId="29" fillId="4" borderId="0" xfId="1" applyNumberFormat="1" applyFont="1" applyFill="1" applyBorder="1" applyAlignment="1" applyProtection="1">
      <alignment wrapText="1"/>
    </xf>
    <xf numFmtId="181" fontId="0" fillId="0" borderId="0" xfId="0" applyNumberFormat="1"/>
    <xf numFmtId="182" fontId="5" fillId="0" borderId="0" xfId="0" applyNumberFormat="1" applyFont="1" applyBorder="1" applyAlignment="1" applyProtection="1">
      <alignment horizontal="center" vertical="center"/>
      <protection hidden="1"/>
    </xf>
    <xf numFmtId="44" fontId="10" fillId="4" borderId="0" xfId="0" applyNumberFormat="1" applyFont="1" applyFill="1" applyAlignment="1" applyProtection="1">
      <alignment horizontal="center" vertical="center" wrapText="1"/>
    </xf>
    <xf numFmtId="43" fontId="11" fillId="0" borderId="0" xfId="0" applyNumberFormat="1" applyFont="1" applyAlignment="1">
      <alignment horizontal="center" vertical="center" wrapText="1"/>
    </xf>
    <xf numFmtId="14" fontId="11" fillId="4" borderId="0" xfId="0" applyNumberFormat="1" applyFont="1" applyFill="1" applyProtection="1"/>
    <xf numFmtId="14" fontId="48" fillId="4" borderId="0" xfId="0" applyNumberFormat="1" applyFont="1" applyFill="1" applyProtection="1"/>
    <xf numFmtId="0" fontId="58" fillId="4" borderId="0" xfId="0" applyFont="1" applyFill="1" applyProtection="1"/>
    <xf numFmtId="0" fontId="34" fillId="4" borderId="0" xfId="0" applyFont="1" applyFill="1" applyBorder="1" applyAlignment="1" applyProtection="1">
      <alignment horizontal="left" vertical="center"/>
    </xf>
    <xf numFmtId="0" fontId="26" fillId="14" borderId="0" xfId="0" applyFont="1" applyFill="1" applyBorder="1" applyAlignment="1" applyProtection="1">
      <alignment horizontal="center"/>
    </xf>
    <xf numFmtId="0" fontId="31" fillId="4" borderId="0" xfId="0" applyFont="1" applyFill="1" applyAlignment="1" applyProtection="1"/>
    <xf numFmtId="0" fontId="3" fillId="4" borderId="0" xfId="0" applyFont="1" applyFill="1" applyAlignment="1" applyProtection="1"/>
    <xf numFmtId="0" fontId="4" fillId="4" borderId="0" xfId="0" applyFont="1" applyFill="1" applyBorder="1" applyAlignment="1" applyProtection="1">
      <alignment horizontal="center" vertical="center" wrapText="1"/>
    </xf>
    <xf numFmtId="0" fontId="33" fillId="19" borderId="62" xfId="0" applyFont="1" applyFill="1" applyBorder="1" applyAlignment="1" applyProtection="1">
      <alignment horizontal="center" vertical="center"/>
    </xf>
    <xf numFmtId="0" fontId="33" fillId="19" borderId="0" xfId="0" applyFont="1" applyFill="1" applyBorder="1" applyAlignment="1" applyProtection="1">
      <alignment horizontal="center" vertical="center"/>
    </xf>
    <xf numFmtId="0" fontId="1" fillId="4" borderId="74" xfId="0" applyFont="1" applyFill="1" applyBorder="1" applyAlignment="1" applyProtection="1">
      <alignment horizontal="left" vertical="center"/>
    </xf>
    <xf numFmtId="0" fontId="4" fillId="4" borderId="74" xfId="0" applyFont="1" applyFill="1" applyBorder="1" applyAlignment="1" applyProtection="1">
      <alignment horizontal="center" vertical="center"/>
    </xf>
    <xf numFmtId="0" fontId="4" fillId="4" borderId="74" xfId="0" applyFont="1" applyFill="1" applyBorder="1" applyAlignment="1" applyProtection="1">
      <alignment horizontal="left"/>
    </xf>
    <xf numFmtId="44" fontId="5" fillId="4" borderId="74" xfId="2" applyFont="1" applyFill="1" applyBorder="1" applyAlignment="1" applyProtection="1">
      <alignment horizontal="right" vertical="center"/>
    </xf>
    <xf numFmtId="0" fontId="34" fillId="4" borderId="74" xfId="0" applyFont="1" applyFill="1" applyBorder="1" applyAlignment="1" applyProtection="1">
      <alignment horizontal="left"/>
    </xf>
    <xf numFmtId="0" fontId="39" fillId="4" borderId="74" xfId="0" applyFont="1" applyFill="1" applyBorder="1" applyAlignment="1" applyProtection="1">
      <alignment horizontal="left" vertical="center"/>
    </xf>
    <xf numFmtId="171" fontId="40" fillId="4" borderId="74" xfId="4" applyNumberFormat="1" applyFont="1" applyFill="1" applyBorder="1" applyProtection="1">
      <protection locked="0"/>
    </xf>
    <xf numFmtId="165" fontId="5" fillId="4" borderId="74" xfId="2" applyNumberFormat="1" applyFont="1" applyFill="1" applyBorder="1" applyAlignment="1" applyProtection="1">
      <alignment vertical="center"/>
    </xf>
    <xf numFmtId="0" fontId="4" fillId="4" borderId="74" xfId="0" applyFont="1" applyFill="1" applyBorder="1" applyAlignment="1" applyProtection="1">
      <alignment vertical="center"/>
    </xf>
    <xf numFmtId="0" fontId="4" fillId="4" borderId="74" xfId="0" applyFont="1" applyFill="1" applyBorder="1" applyAlignment="1" applyProtection="1">
      <alignment vertical="center"/>
      <protection locked="0"/>
    </xf>
    <xf numFmtId="0" fontId="5" fillId="4" borderId="74" xfId="0" applyFont="1" applyFill="1" applyBorder="1" applyAlignment="1" applyProtection="1">
      <alignment horizontal="center" vertical="center"/>
      <protection locked="0"/>
    </xf>
    <xf numFmtId="43" fontId="4" fillId="18" borderId="0" xfId="1" applyFont="1" applyFill="1" applyBorder="1" applyAlignment="1" applyProtection="1">
      <alignment horizontal="center" vertical="center"/>
      <protection locked="0"/>
    </xf>
    <xf numFmtId="179" fontId="4" fillId="18" borderId="0" xfId="2" applyNumberFormat="1" applyFont="1" applyFill="1" applyBorder="1" applyAlignment="1" applyProtection="1">
      <alignment horizontal="center" vertical="center"/>
      <protection locked="0"/>
    </xf>
    <xf numFmtId="43" fontId="4" fillId="20" borderId="0" xfId="1" applyFont="1" applyFill="1" applyBorder="1" applyAlignment="1" applyProtection="1">
      <alignment horizontal="center" vertical="center"/>
      <protection locked="0"/>
    </xf>
    <xf numFmtId="178" fontId="4" fillId="20" borderId="0" xfId="1" applyNumberFormat="1" applyFont="1" applyFill="1" applyBorder="1" applyAlignment="1" applyProtection="1">
      <alignment horizontal="center" vertical="center"/>
      <protection locked="0"/>
    </xf>
    <xf numFmtId="179" fontId="4" fillId="20" borderId="0" xfId="2" applyNumberFormat="1" applyFont="1" applyFill="1" applyBorder="1" applyAlignment="1" applyProtection="1">
      <alignment horizontal="center" vertical="center"/>
      <protection locked="0"/>
    </xf>
    <xf numFmtId="9" fontId="4" fillId="20" borderId="0" xfId="4" applyFont="1" applyFill="1" applyBorder="1" applyAlignment="1" applyProtection="1">
      <alignment horizontal="center" vertical="center"/>
      <protection locked="0"/>
    </xf>
    <xf numFmtId="0" fontId="4" fillId="18" borderId="0" xfId="0" applyFont="1" applyFill="1" applyBorder="1" applyAlignment="1" applyProtection="1">
      <alignment horizontal="center" vertical="center"/>
      <protection locked="0"/>
    </xf>
    <xf numFmtId="0" fontId="29" fillId="18" borderId="0" xfId="0" applyFont="1" applyFill="1" applyBorder="1" applyAlignment="1" applyProtection="1">
      <alignment horizontal="left"/>
    </xf>
    <xf numFmtId="0" fontId="29" fillId="18" borderId="0" xfId="0" applyFont="1" applyFill="1" applyBorder="1" applyProtection="1"/>
    <xf numFmtId="0" fontId="29" fillId="18" borderId="0" xfId="0" applyFont="1" applyFill="1" applyBorder="1" applyAlignment="1" applyProtection="1">
      <alignment horizontal="center"/>
    </xf>
    <xf numFmtId="44" fontId="29" fillId="18" borderId="0" xfId="2" applyFont="1" applyFill="1" applyBorder="1" applyProtection="1"/>
    <xf numFmtId="44" fontId="29" fillId="18" borderId="0" xfId="1" applyNumberFormat="1" applyFont="1" applyFill="1" applyBorder="1" applyProtection="1"/>
    <xf numFmtId="44" fontId="29" fillId="18" borderId="0" xfId="1" applyNumberFormat="1" applyFont="1" applyFill="1" applyBorder="1" applyAlignment="1" applyProtection="1">
      <alignment wrapText="1"/>
    </xf>
    <xf numFmtId="0" fontId="29" fillId="18" borderId="63" xfId="0" applyFont="1" applyFill="1" applyBorder="1" applyAlignment="1" applyProtection="1">
      <alignment horizontal="left"/>
    </xf>
    <xf numFmtId="0" fontId="29" fillId="18" borderId="63" xfId="0" applyFont="1" applyFill="1" applyBorder="1" applyProtection="1"/>
    <xf numFmtId="0" fontId="29" fillId="18" borderId="63" xfId="0" applyFont="1" applyFill="1" applyBorder="1" applyAlignment="1" applyProtection="1">
      <alignment horizontal="center"/>
    </xf>
    <xf numFmtId="44" fontId="29" fillId="18" borderId="63" xfId="0" applyNumberFormat="1" applyFont="1" applyFill="1" applyBorder="1" applyAlignment="1" applyProtection="1">
      <alignment horizontal="left" wrapText="1"/>
    </xf>
    <xf numFmtId="9" fontId="4" fillId="20" borderId="0" xfId="0" applyNumberFormat="1" applyFont="1" applyFill="1" applyBorder="1" applyAlignment="1" applyProtection="1">
      <alignment horizontal="center" vertical="center"/>
      <protection locked="0"/>
    </xf>
    <xf numFmtId="0" fontId="60" fillId="0" borderId="0" xfId="0" applyFont="1" applyAlignment="1">
      <alignment vertical="center"/>
    </xf>
    <xf numFmtId="0" fontId="48" fillId="0" borderId="0" xfId="0" applyFont="1" applyAlignment="1">
      <alignment vertical="center"/>
    </xf>
    <xf numFmtId="0" fontId="32" fillId="19" borderId="0" xfId="0" applyFont="1" applyFill="1" applyBorder="1" applyAlignment="1">
      <alignment horizontal="center" vertical="center"/>
    </xf>
    <xf numFmtId="49" fontId="5" fillId="18" borderId="0" xfId="0" applyNumberFormat="1" applyFont="1" applyFill="1" applyBorder="1" applyAlignment="1">
      <alignment horizontal="center" vertical="center"/>
    </xf>
    <xf numFmtId="170" fontId="5" fillId="18" borderId="0" xfId="1" applyNumberFormat="1" applyFont="1" applyFill="1" applyBorder="1" applyAlignment="1" applyProtection="1">
      <alignment vertical="center"/>
    </xf>
    <xf numFmtId="0" fontId="1" fillId="4" borderId="0" xfId="0" applyFont="1" applyFill="1" applyAlignment="1" applyProtection="1">
      <alignment horizontal="left" vertical="center" indent="2"/>
    </xf>
    <xf numFmtId="0" fontId="1" fillId="0" borderId="0" xfId="0" applyFont="1" applyFill="1" applyAlignment="1" applyProtection="1">
      <alignment horizontal="left" vertical="center" indent="2"/>
    </xf>
    <xf numFmtId="0" fontId="1" fillId="0" borderId="0" xfId="0" applyFont="1" applyFill="1" applyAlignment="1" applyProtection="1">
      <alignment horizontal="left" indent="2"/>
    </xf>
    <xf numFmtId="0" fontId="42" fillId="0" borderId="0" xfId="0" quotePrefix="1" applyFont="1" applyFill="1" applyAlignment="1" applyProtection="1">
      <alignment horizontal="left" vertical="center" indent="2"/>
    </xf>
    <xf numFmtId="0" fontId="11" fillId="14" borderId="0" xfId="0" applyFont="1" applyFill="1" applyProtection="1"/>
    <xf numFmtId="0" fontId="4" fillId="14" borderId="0" xfId="0" applyFont="1" applyFill="1" applyBorder="1" applyAlignment="1" applyProtection="1">
      <alignment horizontal="left" vertical="center" indent="15"/>
    </xf>
    <xf numFmtId="0" fontId="5" fillId="14" borderId="0" xfId="0" applyFont="1" applyFill="1" applyProtection="1"/>
    <xf numFmtId="0" fontId="5" fillId="0" borderId="64" xfId="0" applyFont="1" applyBorder="1" applyAlignment="1">
      <alignment horizontal="center" vertical="center"/>
    </xf>
    <xf numFmtId="43" fontId="4" fillId="0" borderId="74" xfId="0" applyNumberFormat="1" applyFont="1" applyBorder="1" applyAlignment="1">
      <alignment horizontal="center" vertical="center"/>
    </xf>
    <xf numFmtId="0" fontId="5" fillId="0" borderId="74" xfId="0" applyFont="1" applyBorder="1" applyAlignment="1">
      <alignment horizontal="center" vertical="center"/>
    </xf>
    <xf numFmtId="43" fontId="32" fillId="19" borderId="0" xfId="1" applyFont="1" applyFill="1" applyBorder="1" applyAlignment="1" applyProtection="1">
      <alignment horizontal="center" vertical="center"/>
      <protection locked="0"/>
    </xf>
    <xf numFmtId="165" fontId="4" fillId="18" borderId="74" xfId="2" applyNumberFormat="1" applyFont="1" applyFill="1" applyBorder="1" applyAlignment="1" applyProtection="1">
      <alignment vertical="center"/>
    </xf>
    <xf numFmtId="0" fontId="64" fillId="8" borderId="12" xfId="0" applyFont="1" applyFill="1" applyBorder="1" applyAlignment="1">
      <alignment horizontal="center" vertical="center"/>
    </xf>
    <xf numFmtId="0" fontId="65" fillId="0" borderId="0" xfId="0" applyFont="1" applyAlignment="1">
      <alignment horizontal="center" vertical="center"/>
    </xf>
    <xf numFmtId="0" fontId="66" fillId="7" borderId="27" xfId="3" applyFont="1" applyFill="1" applyBorder="1" applyAlignment="1">
      <alignment horizontal="center"/>
    </xf>
    <xf numFmtId="0" fontId="66" fillId="7" borderId="46" xfId="3" applyFont="1" applyFill="1" applyBorder="1" applyAlignment="1">
      <alignment horizontal="center"/>
    </xf>
    <xf numFmtId="0" fontId="66" fillId="7" borderId="28" xfId="3" applyFont="1" applyFill="1" applyBorder="1" applyAlignment="1">
      <alignment horizontal="center"/>
    </xf>
    <xf numFmtId="0" fontId="64" fillId="8" borderId="25" xfId="0" applyFont="1" applyFill="1" applyBorder="1" applyAlignment="1">
      <alignment horizontal="center" vertical="center"/>
    </xf>
    <xf numFmtId="170" fontId="65" fillId="0" borderId="33" xfId="1" applyNumberFormat="1" applyFont="1" applyBorder="1" applyAlignment="1">
      <alignment horizontal="center" vertical="center"/>
    </xf>
    <xf numFmtId="4" fontId="67" fillId="11" borderId="50" xfId="0" applyNumberFormat="1" applyFont="1" applyFill="1" applyBorder="1" applyAlignment="1">
      <alignment horizontal="center" vertical="center"/>
    </xf>
    <xf numFmtId="9" fontId="65" fillId="0" borderId="3" xfId="0" applyNumberFormat="1" applyFont="1" applyBorder="1" applyAlignment="1">
      <alignment horizontal="center" vertical="center"/>
    </xf>
    <xf numFmtId="4" fontId="67" fillId="0" borderId="4" xfId="0" applyNumberFormat="1" applyFont="1" applyBorder="1" applyAlignment="1">
      <alignment horizontal="center" vertical="center"/>
    </xf>
    <xf numFmtId="4" fontId="67" fillId="0" borderId="0" xfId="0" applyNumberFormat="1" applyFont="1" applyBorder="1" applyAlignment="1">
      <alignment horizontal="center" vertical="center"/>
    </xf>
    <xf numFmtId="0" fontId="65" fillId="0" borderId="1" xfId="0" applyFont="1" applyBorder="1" applyAlignment="1">
      <alignment horizontal="center" vertical="center"/>
    </xf>
    <xf numFmtId="4" fontId="67" fillId="0" borderId="2" xfId="0" applyNumberFormat="1" applyFont="1" applyBorder="1" applyAlignment="1">
      <alignment horizontal="center" vertical="center"/>
    </xf>
    <xf numFmtId="9" fontId="65" fillId="0" borderId="0" xfId="4" applyFont="1" applyAlignment="1">
      <alignment horizontal="center" vertical="center"/>
    </xf>
    <xf numFmtId="170" fontId="68" fillId="8" borderId="25" xfId="1" applyNumberFormat="1" applyFont="1" applyFill="1" applyBorder="1" applyAlignment="1">
      <alignment horizontal="center"/>
    </xf>
    <xf numFmtId="43" fontId="68" fillId="8" borderId="25" xfId="1" applyFont="1" applyFill="1" applyBorder="1" applyAlignment="1">
      <alignment horizontal="center"/>
    </xf>
    <xf numFmtId="43" fontId="68" fillId="8" borderId="22" xfId="1" applyFont="1" applyFill="1" applyBorder="1" applyAlignment="1">
      <alignment horizontal="center"/>
    </xf>
    <xf numFmtId="0" fontId="65" fillId="0" borderId="48" xfId="0" applyFont="1" applyBorder="1" applyAlignment="1">
      <alignment horizontal="center" vertical="center"/>
    </xf>
    <xf numFmtId="10" fontId="65" fillId="0" borderId="48" xfId="4" applyNumberFormat="1" applyFont="1" applyBorder="1" applyAlignment="1">
      <alignment horizontal="center" vertical="center"/>
    </xf>
    <xf numFmtId="43" fontId="65" fillId="6" borderId="48" xfId="1" applyFont="1" applyFill="1" applyBorder="1" applyAlignment="1">
      <alignment horizontal="center" vertical="center"/>
    </xf>
    <xf numFmtId="170" fontId="65" fillId="0" borderId="3" xfId="1" applyNumberFormat="1" applyFont="1" applyBorder="1" applyAlignment="1">
      <alignment horizontal="center" vertical="center"/>
    </xf>
    <xf numFmtId="168" fontId="67" fillId="11" borderId="4" xfId="0" applyNumberFormat="1" applyFont="1" applyFill="1" applyBorder="1" applyAlignment="1">
      <alignment horizontal="center" vertical="center"/>
    </xf>
    <xf numFmtId="44" fontId="67" fillId="0" borderId="0" xfId="2" quotePrefix="1" applyFont="1" applyBorder="1" applyAlignment="1">
      <alignment horizontal="center" vertical="center"/>
    </xf>
    <xf numFmtId="0" fontId="65" fillId="0" borderId="3" xfId="0" applyFont="1" applyBorder="1" applyAlignment="1">
      <alignment horizontal="center" vertical="center"/>
    </xf>
    <xf numFmtId="183" fontId="65" fillId="0" borderId="0" xfId="1" applyNumberFormat="1" applyFont="1" applyAlignment="1">
      <alignment horizontal="center" vertical="center"/>
    </xf>
    <xf numFmtId="0" fontId="65" fillId="0" borderId="5" xfId="0" applyFont="1" applyBorder="1" applyAlignment="1">
      <alignment horizontal="center" vertical="center"/>
    </xf>
    <xf numFmtId="4" fontId="67" fillId="0" borderId="6" xfId="0" applyNumberFormat="1" applyFont="1" applyBorder="1" applyAlignment="1">
      <alignment horizontal="center" vertical="center"/>
    </xf>
    <xf numFmtId="0" fontId="65" fillId="0" borderId="49" xfId="0" applyFont="1" applyBorder="1" applyAlignment="1">
      <alignment horizontal="center" vertical="center"/>
    </xf>
    <xf numFmtId="10" fontId="65" fillId="0" borderId="49" xfId="4" applyNumberFormat="1" applyFont="1" applyBorder="1" applyAlignment="1">
      <alignment horizontal="center" vertical="center"/>
    </xf>
    <xf numFmtId="43" fontId="65" fillId="6" borderId="49" xfId="1" applyFont="1" applyFill="1" applyBorder="1" applyAlignment="1">
      <alignment horizontal="center" vertical="center"/>
    </xf>
    <xf numFmtId="10" fontId="65" fillId="0" borderId="0" xfId="0" applyNumberFormat="1" applyFont="1" applyAlignment="1">
      <alignment horizontal="center" vertical="center"/>
    </xf>
    <xf numFmtId="9" fontId="65" fillId="0" borderId="5" xfId="0" applyNumberFormat="1" applyFont="1" applyBorder="1" applyAlignment="1">
      <alignment horizontal="center" vertical="center"/>
    </xf>
    <xf numFmtId="0" fontId="64" fillId="0" borderId="0" xfId="0" applyFont="1" applyBorder="1" applyAlignment="1">
      <alignment horizontal="center" vertical="center"/>
    </xf>
    <xf numFmtId="0" fontId="69" fillId="0" borderId="0" xfId="0" applyFont="1" applyAlignment="1">
      <alignment horizontal="center" vertical="center"/>
    </xf>
    <xf numFmtId="9" fontId="65" fillId="0" borderId="32" xfId="0" applyNumberFormat="1" applyFont="1" applyBorder="1" applyAlignment="1">
      <alignment horizontal="center" vertical="center"/>
    </xf>
    <xf numFmtId="0" fontId="67" fillId="0" borderId="32" xfId="0" applyFont="1" applyBorder="1" applyAlignment="1">
      <alignment horizontal="center" vertical="center"/>
    </xf>
    <xf numFmtId="0" fontId="67" fillId="0" borderId="20" xfId="0" applyFont="1" applyBorder="1" applyAlignment="1">
      <alignment horizontal="center" vertical="center"/>
    </xf>
    <xf numFmtId="0" fontId="64" fillId="8" borderId="72" xfId="0" applyFont="1" applyFill="1" applyBorder="1" applyAlignment="1">
      <alignment horizontal="center" vertical="center"/>
    </xf>
    <xf numFmtId="0" fontId="65" fillId="18" borderId="0" xfId="0" applyFont="1" applyFill="1" applyAlignment="1">
      <alignment horizontal="center" vertical="center"/>
    </xf>
    <xf numFmtId="9" fontId="65" fillId="0" borderId="18" xfId="0" applyNumberFormat="1" applyFont="1" applyBorder="1" applyAlignment="1">
      <alignment horizontal="center" vertical="center"/>
    </xf>
    <xf numFmtId="0" fontId="67" fillId="0" borderId="18" xfId="0" applyFont="1" applyBorder="1" applyAlignment="1">
      <alignment horizontal="center" vertical="center"/>
    </xf>
    <xf numFmtId="3" fontId="65" fillId="0" borderId="73" xfId="0" applyNumberFormat="1" applyFont="1" applyBorder="1" applyAlignment="1">
      <alignment horizontal="center" vertical="center"/>
    </xf>
    <xf numFmtId="171" fontId="67" fillId="0" borderId="73" xfId="4" applyNumberFormat="1" applyFont="1" applyBorder="1" applyAlignment="1">
      <alignment horizontal="center" vertical="center"/>
    </xf>
    <xf numFmtId="170" fontId="65" fillId="0" borderId="0" xfId="0" applyNumberFormat="1" applyFont="1" applyAlignment="1">
      <alignment horizontal="center" vertical="center"/>
    </xf>
    <xf numFmtId="9" fontId="65" fillId="0" borderId="2" xfId="0" applyNumberFormat="1" applyFont="1" applyBorder="1" applyAlignment="1">
      <alignment horizontal="center" vertical="center"/>
    </xf>
    <xf numFmtId="3" fontId="65" fillId="0" borderId="48" xfId="0" applyNumberFormat="1" applyFont="1" applyBorder="1" applyAlignment="1">
      <alignment horizontal="center" vertical="center"/>
    </xf>
    <xf numFmtId="171" fontId="67" fillId="0" borderId="48" xfId="4" applyNumberFormat="1" applyFont="1" applyBorder="1" applyAlignment="1">
      <alignment horizontal="center" vertical="center"/>
    </xf>
    <xf numFmtId="170" fontId="65" fillId="18" borderId="0" xfId="1" applyNumberFormat="1" applyFont="1" applyFill="1" applyAlignment="1">
      <alignment horizontal="center" vertical="center"/>
    </xf>
    <xf numFmtId="10" fontId="65" fillId="0" borderId="4" xfId="0" applyNumberFormat="1" applyFont="1" applyBorder="1" applyAlignment="1">
      <alignment horizontal="center" vertical="center"/>
    </xf>
    <xf numFmtId="9" fontId="67" fillId="0" borderId="19" xfId="0" applyNumberFormat="1" applyFont="1" applyBorder="1" applyAlignment="1">
      <alignment horizontal="center" vertical="center"/>
    </xf>
    <xf numFmtId="0" fontId="67" fillId="0" borderId="19" xfId="0" applyFont="1" applyBorder="1" applyAlignment="1">
      <alignment horizontal="center" vertical="center"/>
    </xf>
    <xf numFmtId="0" fontId="67" fillId="0" borderId="21" xfId="0" applyFont="1" applyBorder="1" applyAlignment="1">
      <alignment horizontal="center" vertical="center"/>
    </xf>
    <xf numFmtId="10" fontId="65" fillId="0" borderId="6" xfId="0" applyNumberFormat="1" applyFont="1" applyBorder="1" applyAlignment="1">
      <alignment horizontal="center" vertical="center"/>
    </xf>
    <xf numFmtId="3" fontId="65" fillId="0" borderId="49" xfId="0" applyNumberFormat="1" applyFont="1" applyBorder="1" applyAlignment="1">
      <alignment horizontal="center" vertical="center"/>
    </xf>
    <xf numFmtId="171" fontId="67" fillId="0" borderId="49" xfId="4" applyNumberFormat="1" applyFont="1" applyBorder="1" applyAlignment="1">
      <alignment horizontal="center" vertical="center"/>
    </xf>
    <xf numFmtId="43" fontId="65" fillId="0" borderId="0" xfId="1" applyFont="1" applyAlignment="1">
      <alignment horizontal="center"/>
    </xf>
    <xf numFmtId="0" fontId="65" fillId="0" borderId="23" xfId="0" applyFont="1" applyBorder="1" applyAlignment="1">
      <alignment horizontal="center" vertical="center"/>
    </xf>
    <xf numFmtId="170" fontId="67" fillId="0" borderId="25" xfId="1" applyNumberFormat="1" applyFont="1" applyBorder="1" applyAlignment="1">
      <alignment horizontal="center" vertical="center"/>
    </xf>
    <xf numFmtId="168" fontId="67" fillId="0" borderId="4" xfId="0" applyNumberFormat="1" applyFont="1" applyFill="1" applyBorder="1" applyAlignment="1">
      <alignment horizontal="center" vertical="center"/>
    </xf>
    <xf numFmtId="3" fontId="65" fillId="0" borderId="33" xfId="0" applyNumberFormat="1" applyFont="1" applyBorder="1" applyAlignment="1">
      <alignment horizontal="center" vertical="center"/>
    </xf>
    <xf numFmtId="43" fontId="67" fillId="0" borderId="50" xfId="1" applyFont="1" applyBorder="1" applyAlignment="1">
      <alignment horizontal="center" vertical="center"/>
    </xf>
    <xf numFmtId="3" fontId="65" fillId="0" borderId="3" xfId="0" applyNumberFormat="1" applyFont="1" applyBorder="1" applyAlignment="1">
      <alignment horizontal="center" vertical="center"/>
    </xf>
    <xf numFmtId="43" fontId="67" fillId="0" borderId="4" xfId="1" applyFont="1" applyBorder="1" applyAlignment="1">
      <alignment horizontal="center" vertical="center"/>
    </xf>
    <xf numFmtId="170" fontId="65" fillId="0" borderId="3" xfId="1" applyNumberFormat="1" applyFont="1" applyBorder="1" applyAlignment="1">
      <alignment horizontal="center"/>
    </xf>
    <xf numFmtId="3" fontId="65" fillId="17" borderId="5" xfId="0" applyNumberFormat="1" applyFont="1" applyFill="1" applyBorder="1" applyAlignment="1">
      <alignment horizontal="center" vertical="center"/>
    </xf>
    <xf numFmtId="43" fontId="67" fillId="17" borderId="6" xfId="1" applyFont="1" applyFill="1" applyBorder="1" applyAlignment="1">
      <alignment horizontal="center" vertical="center"/>
    </xf>
    <xf numFmtId="170" fontId="65" fillId="0" borderId="0" xfId="1" applyNumberFormat="1" applyFont="1" applyAlignment="1">
      <alignment horizontal="center" vertical="center"/>
    </xf>
    <xf numFmtId="43" fontId="65" fillId="0" borderId="0" xfId="1" applyFont="1" applyAlignment="1">
      <alignment horizontal="center" vertical="center"/>
    </xf>
    <xf numFmtId="168" fontId="67" fillId="0" borderId="4" xfId="0" applyNumberFormat="1" applyFont="1" applyBorder="1" applyAlignment="1">
      <alignment horizontal="center" vertical="center"/>
    </xf>
    <xf numFmtId="170" fontId="65" fillId="0" borderId="5" xfId="1" applyNumberFormat="1" applyFont="1" applyBorder="1" applyAlignment="1">
      <alignment horizontal="center"/>
    </xf>
    <xf numFmtId="168" fontId="67" fillId="0" borderId="6" xfId="0" applyNumberFormat="1" applyFont="1" applyBorder="1" applyAlignment="1">
      <alignment horizontal="center" vertical="center"/>
    </xf>
    <xf numFmtId="4" fontId="65" fillId="0" borderId="0" xfId="0" applyNumberFormat="1" applyFont="1" applyBorder="1" applyAlignment="1">
      <alignment horizontal="center" vertical="center"/>
    </xf>
    <xf numFmtId="4" fontId="64" fillId="8" borderId="52" xfId="0" applyNumberFormat="1" applyFont="1" applyFill="1" applyBorder="1" applyAlignment="1">
      <alignment horizontal="center" vertical="center"/>
    </xf>
    <xf numFmtId="0" fontId="64" fillId="8" borderId="53" xfId="0" applyFont="1" applyFill="1" applyBorder="1" applyAlignment="1">
      <alignment horizontal="center" vertical="center"/>
    </xf>
    <xf numFmtId="0" fontId="65" fillId="0" borderId="0" xfId="0" applyFont="1" applyAlignment="1">
      <alignment horizontal="center"/>
    </xf>
    <xf numFmtId="2" fontId="65" fillId="0" borderId="0" xfId="0" applyNumberFormat="1" applyFont="1" applyAlignment="1">
      <alignment horizontal="center" vertical="center"/>
    </xf>
    <xf numFmtId="2" fontId="67" fillId="0" borderId="50" xfId="0" applyNumberFormat="1" applyFont="1" applyBorder="1" applyAlignment="1">
      <alignment horizontal="center" vertical="center"/>
    </xf>
    <xf numFmtId="2" fontId="67" fillId="0" borderId="4" xfId="0" applyNumberFormat="1" applyFont="1" applyBorder="1" applyAlignment="1">
      <alignment horizontal="center" vertical="center"/>
    </xf>
    <xf numFmtId="0" fontId="69" fillId="0" borderId="0" xfId="0" applyFont="1" applyFill="1" applyAlignment="1" applyProtection="1">
      <alignment horizontal="center" vertical="center"/>
    </xf>
    <xf numFmtId="9" fontId="65" fillId="0" borderId="0" xfId="0" applyNumberFormat="1" applyFont="1" applyFill="1" applyAlignment="1">
      <alignment horizontal="center" vertical="center"/>
    </xf>
    <xf numFmtId="0" fontId="65" fillId="0" borderId="0" xfId="0" applyFont="1" applyFill="1" applyAlignment="1" applyProtection="1">
      <alignment horizontal="center" vertical="center"/>
    </xf>
    <xf numFmtId="3" fontId="65" fillId="0" borderId="0" xfId="0" applyNumberFormat="1" applyFont="1" applyFill="1" applyAlignment="1">
      <alignment horizontal="center" vertical="center"/>
    </xf>
    <xf numFmtId="3" fontId="68" fillId="5" borderId="48" xfId="0" applyNumberFormat="1" applyFont="1" applyFill="1" applyBorder="1" applyAlignment="1">
      <alignment horizontal="center" vertical="center"/>
    </xf>
    <xf numFmtId="4" fontId="68" fillId="5" borderId="48" xfId="0" applyNumberFormat="1" applyFont="1" applyFill="1" applyBorder="1" applyAlignment="1">
      <alignment horizontal="center" vertical="center"/>
    </xf>
    <xf numFmtId="4" fontId="68" fillId="15" borderId="48" xfId="0" applyNumberFormat="1" applyFont="1" applyFill="1" applyBorder="1" applyAlignment="1">
      <alignment horizontal="center" vertical="center"/>
    </xf>
    <xf numFmtId="2" fontId="65" fillId="0" borderId="0" xfId="0" applyNumberFormat="1" applyFont="1" applyBorder="1" applyAlignment="1">
      <alignment horizontal="center" vertical="center"/>
    </xf>
    <xf numFmtId="0" fontId="65" fillId="0" borderId="0" xfId="0" applyFont="1" applyBorder="1" applyAlignment="1">
      <alignment horizontal="center" vertical="center"/>
    </xf>
    <xf numFmtId="0" fontId="69" fillId="0" borderId="7" xfId="0" applyFont="1" applyFill="1" applyBorder="1" applyAlignment="1">
      <alignment horizontal="center" vertical="center"/>
    </xf>
    <xf numFmtId="0" fontId="69" fillId="8" borderId="56" xfId="0" applyFont="1" applyFill="1" applyBorder="1" applyAlignment="1" applyProtection="1">
      <alignment horizontal="center" vertical="center"/>
    </xf>
    <xf numFmtId="0" fontId="69" fillId="8" borderId="57" xfId="0" applyFont="1" applyFill="1" applyBorder="1" applyAlignment="1" applyProtection="1">
      <alignment horizontal="center" vertical="center"/>
    </xf>
    <xf numFmtId="0" fontId="69" fillId="0" borderId="36" xfId="0" applyFont="1" applyFill="1" applyBorder="1" applyAlignment="1" applyProtection="1">
      <alignment horizontal="center" vertical="center"/>
    </xf>
    <xf numFmtId="0" fontId="69" fillId="0" borderId="79" xfId="0" applyFont="1" applyFill="1" applyBorder="1" applyAlignment="1">
      <alignment horizontal="center" vertical="center"/>
    </xf>
    <xf numFmtId="0" fontId="69" fillId="0" borderId="25" xfId="0" applyFont="1" applyFill="1" applyBorder="1" applyAlignment="1" applyProtection="1">
      <alignment horizontal="center" vertical="center"/>
    </xf>
    <xf numFmtId="0" fontId="69" fillId="0" borderId="0" xfId="0" applyFont="1" applyFill="1" applyBorder="1" applyAlignment="1" applyProtection="1">
      <alignment horizontal="center" vertical="center"/>
    </xf>
    <xf numFmtId="0" fontId="69" fillId="0" borderId="0" xfId="0" applyFont="1" applyFill="1" applyBorder="1" applyAlignment="1">
      <alignment horizontal="center" vertical="center"/>
    </xf>
    <xf numFmtId="0" fontId="69" fillId="0" borderId="8" xfId="0" applyFont="1" applyFill="1" applyBorder="1" applyAlignment="1">
      <alignment horizontal="center" vertical="center"/>
    </xf>
    <xf numFmtId="0" fontId="69" fillId="0" borderId="35" xfId="0" applyFont="1" applyFill="1" applyBorder="1" applyAlignment="1" applyProtection="1">
      <alignment horizontal="center" vertical="center"/>
    </xf>
    <xf numFmtId="3" fontId="69" fillId="0" borderId="51" xfId="0" applyNumberFormat="1" applyFont="1" applyFill="1" applyBorder="1" applyAlignment="1">
      <alignment horizontal="center" vertical="center"/>
    </xf>
    <xf numFmtId="43" fontId="69" fillId="0" borderId="35" xfId="0" applyNumberFormat="1" applyFont="1" applyFill="1" applyBorder="1" applyAlignment="1" applyProtection="1">
      <alignment horizontal="center" vertical="center"/>
    </xf>
    <xf numFmtId="0" fontId="69" fillId="0" borderId="37" xfId="0" applyFont="1" applyFill="1" applyBorder="1" applyAlignment="1" applyProtection="1">
      <alignment horizontal="center" vertical="center"/>
    </xf>
    <xf numFmtId="0" fontId="69" fillId="0" borderId="38" xfId="0" applyFont="1" applyFill="1" applyBorder="1" applyAlignment="1">
      <alignment horizontal="center" vertical="center"/>
    </xf>
    <xf numFmtId="43" fontId="69" fillId="0" borderId="0" xfId="1" applyFont="1" applyFill="1" applyBorder="1" applyAlignment="1" applyProtection="1">
      <alignment horizontal="center" vertical="center"/>
    </xf>
    <xf numFmtId="4" fontId="69" fillId="0" borderId="0" xfId="0" applyNumberFormat="1" applyFont="1" applyFill="1" applyBorder="1" applyAlignment="1">
      <alignment horizontal="center" vertical="center"/>
    </xf>
    <xf numFmtId="0" fontId="69" fillId="0" borderId="9" xfId="0" applyFont="1" applyFill="1" applyBorder="1" applyAlignment="1" applyProtection="1">
      <alignment horizontal="center" vertical="center"/>
    </xf>
    <xf numFmtId="0" fontId="69" fillId="0" borderId="10" xfId="0" applyFont="1" applyFill="1" applyBorder="1" applyAlignment="1" applyProtection="1">
      <alignment horizontal="center" vertical="center"/>
    </xf>
    <xf numFmtId="0" fontId="69" fillId="0" borderId="39" xfId="0" applyFont="1" applyFill="1" applyBorder="1" applyAlignment="1" applyProtection="1">
      <alignment horizontal="center" vertical="center"/>
    </xf>
    <xf numFmtId="0" fontId="69" fillId="0" borderId="40" xfId="0" applyFont="1" applyFill="1" applyBorder="1" applyAlignment="1" applyProtection="1">
      <alignment horizontal="center" vertical="center"/>
    </xf>
    <xf numFmtId="39" fontId="65" fillId="2" borderId="7" xfId="0" applyNumberFormat="1" applyFont="1" applyFill="1" applyBorder="1" applyAlignment="1" applyProtection="1">
      <alignment horizontal="center" vertical="center"/>
    </xf>
    <xf numFmtId="39" fontId="65" fillId="6" borderId="7" xfId="0" applyNumberFormat="1" applyFont="1" applyFill="1" applyBorder="1" applyAlignment="1" applyProtection="1">
      <alignment horizontal="center" vertical="center"/>
    </xf>
    <xf numFmtId="39" fontId="65" fillId="11" borderId="7" xfId="0" applyNumberFormat="1" applyFont="1" applyFill="1" applyBorder="1" applyAlignment="1" applyProtection="1">
      <alignment horizontal="center" vertical="center"/>
    </xf>
    <xf numFmtId="39" fontId="65" fillId="0" borderId="0" xfId="0" applyNumberFormat="1" applyFont="1" applyFill="1" applyBorder="1" applyAlignment="1" applyProtection="1">
      <alignment horizontal="center" vertical="center"/>
    </xf>
    <xf numFmtId="39" fontId="65" fillId="2" borderId="8" xfId="0" applyNumberFormat="1" applyFont="1" applyFill="1" applyBorder="1" applyAlignment="1" applyProtection="1">
      <alignment horizontal="center" vertical="center"/>
    </xf>
    <xf numFmtId="39" fontId="65" fillId="6" borderId="8" xfId="0" applyNumberFormat="1" applyFont="1" applyFill="1" applyBorder="1" applyAlignment="1" applyProtection="1">
      <alignment horizontal="center" vertical="center"/>
    </xf>
    <xf numFmtId="39" fontId="65" fillId="11" borderId="8" xfId="0" applyNumberFormat="1" applyFont="1" applyFill="1" applyBorder="1" applyAlignment="1" applyProtection="1">
      <alignment horizontal="center" vertical="center"/>
    </xf>
    <xf numFmtId="4" fontId="65" fillId="0" borderId="0" xfId="0" applyNumberFormat="1" applyFont="1" applyAlignment="1">
      <alignment horizontal="center"/>
    </xf>
    <xf numFmtId="4" fontId="68" fillId="5" borderId="49" xfId="0" applyNumberFormat="1" applyFont="1" applyFill="1" applyBorder="1" applyAlignment="1">
      <alignment horizontal="center" vertical="center"/>
    </xf>
    <xf numFmtId="39" fontId="65" fillId="2" borderId="34" xfId="0" applyNumberFormat="1" applyFont="1" applyFill="1" applyBorder="1" applyAlignment="1" applyProtection="1">
      <alignment horizontal="center" vertical="center"/>
    </xf>
    <xf numFmtId="39" fontId="65" fillId="6" borderId="34" xfId="0" applyNumberFormat="1" applyFont="1" applyFill="1" applyBorder="1" applyAlignment="1" applyProtection="1">
      <alignment horizontal="center" vertical="center"/>
    </xf>
    <xf numFmtId="39" fontId="65" fillId="11" borderId="34" xfId="0" applyNumberFormat="1" applyFont="1" applyFill="1" applyBorder="1" applyAlignment="1" applyProtection="1">
      <alignment horizontal="center" vertical="center"/>
    </xf>
    <xf numFmtId="39" fontId="65" fillId="0" borderId="0" xfId="0" applyNumberFormat="1" applyFont="1" applyAlignment="1">
      <alignment horizontal="center" vertical="center"/>
    </xf>
    <xf numFmtId="0" fontId="65" fillId="0" borderId="0" xfId="1" applyNumberFormat="1" applyFont="1" applyAlignment="1">
      <alignment horizontal="center" vertical="center"/>
    </xf>
    <xf numFmtId="0" fontId="65" fillId="0" borderId="67" xfId="0" applyFont="1" applyBorder="1" applyAlignment="1">
      <alignment horizontal="center" vertical="center"/>
    </xf>
    <xf numFmtId="0" fontId="69" fillId="0" borderId="7" xfId="0" applyFont="1" applyFill="1" applyBorder="1" applyAlignment="1" applyProtection="1">
      <alignment horizontal="center" vertical="center"/>
    </xf>
    <xf numFmtId="0" fontId="65" fillId="0" borderId="69" xfId="0" applyFont="1" applyBorder="1" applyAlignment="1">
      <alignment horizontal="center" vertical="center"/>
    </xf>
    <xf numFmtId="39" fontId="65" fillId="2" borderId="81" xfId="0" applyNumberFormat="1" applyFont="1" applyFill="1" applyBorder="1" applyAlignment="1" applyProtection="1">
      <alignment horizontal="center" vertical="center"/>
    </xf>
    <xf numFmtId="0" fontId="65" fillId="0" borderId="8" xfId="0" applyFont="1" applyFill="1" applyBorder="1" applyAlignment="1" applyProtection="1">
      <alignment horizontal="center" vertical="center"/>
    </xf>
    <xf numFmtId="10" fontId="65" fillId="0" borderId="0" xfId="4" applyNumberFormat="1" applyFont="1" applyAlignment="1">
      <alignment horizontal="center" vertical="center"/>
    </xf>
    <xf numFmtId="0" fontId="65" fillId="0" borderId="70" xfId="0" applyFont="1" applyBorder="1" applyAlignment="1">
      <alignment horizontal="center" vertical="center"/>
    </xf>
    <xf numFmtId="39" fontId="65" fillId="2" borderId="77" xfId="0" applyNumberFormat="1" applyFont="1" applyFill="1" applyBorder="1" applyAlignment="1" applyProtection="1">
      <alignment horizontal="center" vertical="center"/>
    </xf>
    <xf numFmtId="39" fontId="65" fillId="2" borderId="78" xfId="0" applyNumberFormat="1" applyFont="1" applyFill="1" applyBorder="1" applyAlignment="1" applyProtection="1">
      <alignment horizontal="center" vertical="center"/>
    </xf>
    <xf numFmtId="0" fontId="65" fillId="0" borderId="34" xfId="0" applyFont="1" applyFill="1" applyBorder="1" applyAlignment="1" applyProtection="1">
      <alignment horizontal="center" vertical="center"/>
    </xf>
    <xf numFmtId="0" fontId="65" fillId="0" borderId="0" xfId="6" applyFont="1" applyFill="1" applyBorder="1" applyAlignment="1" applyProtection="1">
      <alignment horizontal="center" vertical="center"/>
    </xf>
    <xf numFmtId="0" fontId="65" fillId="0" borderId="44" xfId="0" applyFont="1" applyBorder="1" applyAlignment="1">
      <alignment horizontal="center" vertical="center"/>
    </xf>
    <xf numFmtId="0" fontId="65" fillId="0" borderId="68" xfId="0" applyFont="1" applyBorder="1" applyAlignment="1">
      <alignment horizontal="center" vertical="center"/>
    </xf>
    <xf numFmtId="43" fontId="65" fillId="21" borderId="70" xfId="5" applyFont="1" applyFill="1" applyBorder="1" applyAlignment="1">
      <alignment horizontal="center" vertical="center"/>
    </xf>
    <xf numFmtId="43" fontId="65" fillId="21" borderId="45" xfId="5" applyFont="1" applyFill="1" applyBorder="1" applyAlignment="1">
      <alignment horizontal="center" vertical="center"/>
    </xf>
    <xf numFmtId="0" fontId="65" fillId="21" borderId="45" xfId="5" applyNumberFormat="1" applyFont="1" applyFill="1" applyBorder="1" applyAlignment="1">
      <alignment horizontal="center" vertical="center"/>
    </xf>
    <xf numFmtId="0" fontId="65" fillId="21" borderId="71" xfId="5" applyNumberFormat="1" applyFont="1" applyFill="1" applyBorder="1" applyAlignment="1">
      <alignment horizontal="center" vertical="center"/>
    </xf>
    <xf numFmtId="0" fontId="69" fillId="0" borderId="25" xfId="6" applyFont="1" applyFill="1" applyBorder="1" applyAlignment="1">
      <alignment horizontal="center" vertical="center"/>
    </xf>
    <xf numFmtId="0" fontId="69" fillId="21" borderId="38" xfId="6" applyFont="1" applyFill="1" applyBorder="1" applyAlignment="1" applyProtection="1">
      <alignment horizontal="center" vertical="center"/>
    </xf>
    <xf numFmtId="0" fontId="69" fillId="21" borderId="80" xfId="6" applyFont="1" applyFill="1" applyBorder="1" applyAlignment="1" applyProtection="1">
      <alignment horizontal="center" vertical="center"/>
    </xf>
    <xf numFmtId="0" fontId="69" fillId="21" borderId="37" xfId="6" applyFont="1" applyFill="1" applyBorder="1" applyAlignment="1" applyProtection="1">
      <alignment horizontal="center" vertical="center"/>
    </xf>
    <xf numFmtId="0" fontId="65" fillId="0" borderId="48" xfId="6" applyFont="1" applyFill="1" applyBorder="1" applyAlignment="1" applyProtection="1">
      <alignment horizontal="center" vertical="center"/>
    </xf>
    <xf numFmtId="4" fontId="65" fillId="0" borderId="69" xfId="6" applyNumberFormat="1" applyFont="1" applyFill="1" applyBorder="1" applyAlignment="1" applyProtection="1">
      <alignment horizontal="center" vertical="center"/>
    </xf>
    <xf numFmtId="4" fontId="65" fillId="0" borderId="0" xfId="6" applyNumberFormat="1" applyFont="1" applyFill="1" applyBorder="1" applyAlignment="1" applyProtection="1">
      <alignment horizontal="center" vertical="center"/>
    </xf>
    <xf numFmtId="4" fontId="65" fillId="0" borderId="54" xfId="6" applyNumberFormat="1" applyFont="1" applyFill="1" applyBorder="1" applyAlignment="1" applyProtection="1">
      <alignment horizontal="center" vertical="center"/>
    </xf>
    <xf numFmtId="4" fontId="65" fillId="22" borderId="69" xfId="6" applyNumberFormat="1" applyFont="1" applyFill="1" applyBorder="1" applyAlignment="1" applyProtection="1">
      <alignment horizontal="center" vertical="center"/>
    </xf>
    <xf numFmtId="4" fontId="65" fillId="22" borderId="0" xfId="6" applyNumberFormat="1" applyFont="1" applyFill="1" applyBorder="1" applyAlignment="1" applyProtection="1">
      <alignment horizontal="center" vertical="center"/>
    </xf>
    <xf numFmtId="4" fontId="65" fillId="22" borderId="54" xfId="6" applyNumberFormat="1" applyFont="1" applyFill="1" applyBorder="1" applyAlignment="1" applyProtection="1">
      <alignment horizontal="center" vertical="center"/>
    </xf>
    <xf numFmtId="0" fontId="65" fillId="0" borderId="49" xfId="6" applyFont="1" applyFill="1" applyBorder="1" applyAlignment="1" applyProtection="1">
      <alignment horizontal="center" vertical="center"/>
    </xf>
    <xf numFmtId="4" fontId="65" fillId="22" borderId="70" xfId="6" applyNumberFormat="1" applyFont="1" applyFill="1" applyBorder="1" applyAlignment="1" applyProtection="1">
      <alignment horizontal="center" vertical="center"/>
    </xf>
    <xf numFmtId="4" fontId="65" fillId="22" borderId="45" xfId="6" applyNumberFormat="1" applyFont="1" applyFill="1" applyBorder="1" applyAlignment="1" applyProtection="1">
      <alignment horizontal="center" vertical="center"/>
    </xf>
    <xf numFmtId="4" fontId="65" fillId="22" borderId="71" xfId="6" applyNumberFormat="1" applyFont="1" applyFill="1" applyBorder="1" applyAlignment="1" applyProtection="1">
      <alignment horizontal="center" vertical="center"/>
    </xf>
    <xf numFmtId="43" fontId="65" fillId="21" borderId="69" xfId="5" applyFont="1" applyFill="1" applyBorder="1" applyAlignment="1">
      <alignment horizontal="center" vertical="center"/>
    </xf>
    <xf numFmtId="43" fontId="65" fillId="21" borderId="0" xfId="5" applyFont="1" applyFill="1" applyBorder="1" applyAlignment="1">
      <alignment horizontal="center" vertical="center"/>
    </xf>
    <xf numFmtId="0" fontId="65" fillId="21" borderId="0" xfId="5" applyNumberFormat="1" applyFont="1" applyFill="1" applyBorder="1" applyAlignment="1">
      <alignment horizontal="center" vertical="center"/>
    </xf>
    <xf numFmtId="0" fontId="65" fillId="21" borderId="54" xfId="5" applyNumberFormat="1" applyFont="1" applyFill="1" applyBorder="1" applyAlignment="1">
      <alignment horizontal="center" vertical="center"/>
    </xf>
    <xf numFmtId="4" fontId="65" fillId="23" borderId="69" xfId="6" applyNumberFormat="1" applyFont="1" applyFill="1" applyBorder="1" applyAlignment="1" applyProtection="1">
      <alignment horizontal="center" vertical="center"/>
    </xf>
    <xf numFmtId="4" fontId="65" fillId="23" borderId="0" xfId="6" applyNumberFormat="1" applyFont="1" applyFill="1" applyBorder="1" applyAlignment="1" applyProtection="1">
      <alignment horizontal="center" vertical="center"/>
    </xf>
    <xf numFmtId="4" fontId="65" fillId="23" borderId="54" xfId="6" applyNumberFormat="1" applyFont="1" applyFill="1" applyBorder="1" applyAlignment="1" applyProtection="1">
      <alignment horizontal="center" vertical="center"/>
    </xf>
    <xf numFmtId="0" fontId="70" fillId="19" borderId="24" xfId="0" applyFont="1" applyFill="1" applyBorder="1" applyAlignment="1">
      <alignment horizontal="center" vertical="center"/>
    </xf>
    <xf numFmtId="0" fontId="70" fillId="19" borderId="22" xfId="0" applyFont="1" applyFill="1" applyBorder="1" applyAlignment="1">
      <alignment horizontal="center" vertical="center"/>
    </xf>
    <xf numFmtId="0" fontId="65" fillId="0" borderId="54" xfId="0" applyFont="1" applyBorder="1" applyAlignment="1">
      <alignment horizontal="center" vertical="center"/>
    </xf>
    <xf numFmtId="0" fontId="65" fillId="0" borderId="45" xfId="0" applyFont="1" applyBorder="1" applyAlignment="1">
      <alignment horizontal="center" vertical="center"/>
    </xf>
    <xf numFmtId="0" fontId="65" fillId="0" borderId="71" xfId="0" applyFont="1" applyBorder="1" applyAlignment="1">
      <alignment horizontal="center" vertical="center"/>
    </xf>
    <xf numFmtId="0" fontId="70" fillId="19" borderId="23" xfId="0" applyFont="1" applyFill="1" applyBorder="1" applyAlignment="1">
      <alignment horizontal="left" vertical="center"/>
    </xf>
    <xf numFmtId="0" fontId="65" fillId="0" borderId="69" xfId="0" applyFont="1" applyFill="1" applyBorder="1" applyAlignment="1" applyProtection="1">
      <alignment horizontal="center" vertical="center"/>
    </xf>
    <xf numFmtId="0" fontId="65" fillId="0" borderId="70" xfId="0" applyFont="1" applyFill="1" applyBorder="1" applyAlignment="1" applyProtection="1">
      <alignment horizontal="center" vertical="center"/>
    </xf>
    <xf numFmtId="0" fontId="69" fillId="0" borderId="23" xfId="0" applyFont="1" applyFill="1" applyBorder="1" applyAlignment="1">
      <alignment horizontal="center" vertical="center"/>
    </xf>
    <xf numFmtId="0" fontId="69" fillId="0" borderId="82" xfId="0" applyFont="1" applyFill="1" applyBorder="1" applyAlignment="1" applyProtection="1">
      <alignment horizontal="center" vertical="center"/>
    </xf>
    <xf numFmtId="39" fontId="65" fillId="2" borderId="57" xfId="0" applyNumberFormat="1" applyFont="1" applyFill="1" applyBorder="1" applyAlignment="1" applyProtection="1">
      <alignment horizontal="center" vertical="center"/>
    </xf>
    <xf numFmtId="39" fontId="65" fillId="2" borderId="83" xfId="0" applyNumberFormat="1" applyFont="1" applyFill="1" applyBorder="1" applyAlignment="1" applyProtection="1">
      <alignment horizontal="center" vertical="center"/>
    </xf>
    <xf numFmtId="39" fontId="65" fillId="2" borderId="40" xfId="0" applyNumberFormat="1" applyFont="1" applyFill="1" applyBorder="1" applyAlignment="1" applyProtection="1">
      <alignment horizontal="center" vertical="center"/>
    </xf>
    <xf numFmtId="0" fontId="69" fillId="0" borderId="84" xfId="0" applyFont="1" applyFill="1" applyBorder="1" applyAlignment="1">
      <alignment horizontal="center" vertical="center"/>
    </xf>
    <xf numFmtId="0" fontId="65" fillId="0" borderId="48" xfId="0" applyFont="1" applyFill="1" applyBorder="1" applyAlignment="1" applyProtection="1">
      <alignment horizontal="center" vertical="center"/>
    </xf>
    <xf numFmtId="0" fontId="65" fillId="0" borderId="49" xfId="0" applyFont="1" applyFill="1" applyBorder="1" applyAlignment="1" applyProtection="1">
      <alignment horizontal="center" vertical="center"/>
    </xf>
    <xf numFmtId="0" fontId="65" fillId="0" borderId="25" xfId="0" applyFont="1" applyBorder="1" applyAlignment="1">
      <alignment horizontal="center" vertical="center"/>
    </xf>
    <xf numFmtId="0" fontId="65" fillId="0" borderId="0" xfId="0" applyFont="1" applyAlignment="1">
      <alignment vertical="center"/>
    </xf>
    <xf numFmtId="183" fontId="65" fillId="0" borderId="0" xfId="0" applyNumberFormat="1" applyFont="1" applyAlignment="1">
      <alignment horizontal="center" vertical="center"/>
    </xf>
    <xf numFmtId="43" fontId="65" fillId="0" borderId="0" xfId="1" quotePrefix="1" applyFont="1" applyAlignment="1">
      <alignment horizontal="center"/>
    </xf>
    <xf numFmtId="9" fontId="65" fillId="0" borderId="0" xfId="1" applyNumberFormat="1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4" fillId="0" borderId="23" xfId="0" applyFont="1" applyFill="1" applyBorder="1" applyAlignment="1" applyProtection="1">
      <alignment horizontal="center" vertical="center"/>
      <protection locked="0"/>
    </xf>
    <xf numFmtId="168" fontId="14" fillId="0" borderId="22" xfId="0" applyNumberFormat="1" applyFont="1" applyBorder="1" applyAlignment="1">
      <alignment horizontal="center" vertical="center"/>
    </xf>
    <xf numFmtId="0" fontId="5" fillId="0" borderId="88" xfId="0" applyFont="1" applyFill="1" applyBorder="1" applyAlignment="1">
      <alignment vertical="center"/>
    </xf>
    <xf numFmtId="2" fontId="5" fillId="0" borderId="88" xfId="0" applyNumberFormat="1" applyFont="1" applyFill="1" applyBorder="1" applyAlignment="1">
      <alignment vertical="center"/>
    </xf>
    <xf numFmtId="2" fontId="5" fillId="0" borderId="89" xfId="0" applyNumberFormat="1" applyFont="1" applyFill="1" applyBorder="1" applyAlignment="1">
      <alignment vertical="center"/>
    </xf>
    <xf numFmtId="0" fontId="5" fillId="0" borderId="87" xfId="0" applyFont="1" applyFill="1" applyBorder="1" applyAlignment="1">
      <alignment horizontal="center" vertical="center"/>
    </xf>
    <xf numFmtId="0" fontId="0" fillId="0" borderId="90" xfId="0" applyBorder="1"/>
    <xf numFmtId="0" fontId="0" fillId="0" borderId="92" xfId="0" applyBorder="1"/>
    <xf numFmtId="10" fontId="0" fillId="0" borderId="93" xfId="4" applyNumberFormat="1" applyFont="1" applyBorder="1"/>
    <xf numFmtId="0" fontId="0" fillId="0" borderId="94" xfId="0" applyBorder="1"/>
    <xf numFmtId="0" fontId="0" fillId="0" borderId="95" xfId="0" applyBorder="1"/>
    <xf numFmtId="2" fontId="0" fillId="0" borderId="95" xfId="0" applyNumberFormat="1" applyBorder="1"/>
    <xf numFmtId="0" fontId="1" fillId="0" borderId="67" xfId="0" applyFont="1" applyBorder="1"/>
    <xf numFmtId="0" fontId="0" fillId="0" borderId="68" xfId="0" applyBorder="1"/>
    <xf numFmtId="0" fontId="0" fillId="0" borderId="69" xfId="0" applyBorder="1"/>
    <xf numFmtId="0" fontId="0" fillId="0" borderId="54" xfId="0" applyBorder="1"/>
    <xf numFmtId="0" fontId="0" fillId="0" borderId="70" xfId="0" applyBorder="1"/>
    <xf numFmtId="0" fontId="0" fillId="0" borderId="45" xfId="0" applyBorder="1"/>
    <xf numFmtId="0" fontId="0" fillId="0" borderId="71" xfId="0" applyBorder="1"/>
    <xf numFmtId="0" fontId="0" fillId="11" borderId="91" xfId="0" applyFill="1" applyBorder="1"/>
    <xf numFmtId="0" fontId="0" fillId="11" borderId="44" xfId="0" applyFill="1" applyBorder="1"/>
    <xf numFmtId="2" fontId="0" fillId="0" borderId="0" xfId="0" applyNumberFormat="1"/>
    <xf numFmtId="43" fontId="0" fillId="0" borderId="69" xfId="1" applyFont="1" applyBorder="1"/>
    <xf numFmtId="0" fontId="65" fillId="0" borderId="0" xfId="0" applyFont="1" applyAlignment="1">
      <alignment horizontal="left" vertical="center"/>
    </xf>
    <xf numFmtId="44" fontId="5" fillId="4" borderId="0" xfId="0" applyNumberFormat="1" applyFont="1" applyFill="1" applyProtection="1"/>
    <xf numFmtId="9" fontId="5" fillId="4" borderId="0" xfId="4" applyFont="1" applyFill="1" applyProtection="1"/>
    <xf numFmtId="9" fontId="11" fillId="4" borderId="0" xfId="0" applyNumberFormat="1" applyFont="1" applyFill="1" applyProtection="1"/>
    <xf numFmtId="43" fontId="5" fillId="0" borderId="0" xfId="1" applyFont="1"/>
    <xf numFmtId="43" fontId="5" fillId="0" borderId="0" xfId="1" applyFont="1" applyAlignment="1">
      <alignment vertical="center"/>
    </xf>
    <xf numFmtId="0" fontId="69" fillId="0" borderId="77" xfId="0" applyFont="1" applyFill="1" applyBorder="1" applyAlignment="1" applyProtection="1">
      <alignment horizontal="center" vertical="center"/>
    </xf>
    <xf numFmtId="0" fontId="69" fillId="0" borderId="78" xfId="0" applyFont="1" applyFill="1" applyBorder="1" applyAlignment="1" applyProtection="1">
      <alignment horizontal="center" vertical="center"/>
    </xf>
    <xf numFmtId="0" fontId="65" fillId="0" borderId="96" xfId="1" applyNumberFormat="1" applyFont="1" applyBorder="1" applyAlignment="1">
      <alignment horizontal="center" vertical="center"/>
    </xf>
    <xf numFmtId="43" fontId="65" fillId="0" borderId="96" xfId="1" applyFont="1" applyBorder="1" applyAlignment="1">
      <alignment horizontal="center" vertical="center"/>
    </xf>
    <xf numFmtId="39" fontId="65" fillId="0" borderId="96" xfId="0" applyNumberFormat="1" applyFont="1" applyBorder="1" applyAlignment="1">
      <alignment horizontal="center" vertical="center"/>
    </xf>
    <xf numFmtId="39" fontId="4" fillId="4" borderId="0" xfId="0" applyNumberFormat="1" applyFont="1" applyFill="1" applyBorder="1" applyAlignment="1" applyProtection="1">
      <alignment horizontal="left" vertical="center"/>
    </xf>
    <xf numFmtId="0" fontId="11" fillId="0" borderId="0" xfId="0" quotePrefix="1" applyFont="1" applyAlignment="1">
      <alignment horizontal="left" vertical="center"/>
    </xf>
    <xf numFmtId="0" fontId="11" fillId="0" borderId="0" xfId="0" applyFont="1" applyFill="1" applyProtection="1"/>
    <xf numFmtId="43" fontId="34" fillId="0" borderId="0" xfId="1" applyFont="1" applyFill="1" applyBorder="1" applyAlignment="1" applyProtection="1">
      <alignment horizontal="left" vertical="center"/>
    </xf>
    <xf numFmtId="9" fontId="4" fillId="0" borderId="0" xfId="0" applyNumberFormat="1" applyFont="1" applyFill="1" applyBorder="1" applyAlignment="1" applyProtection="1">
      <alignment horizontal="center" vertical="center"/>
    </xf>
    <xf numFmtId="0" fontId="4" fillId="14" borderId="0" xfId="0" applyFont="1" applyFill="1" applyBorder="1" applyAlignment="1" applyProtection="1">
      <alignment vertical="center"/>
    </xf>
    <xf numFmtId="9" fontId="24" fillId="4" borderId="0" xfId="0" applyNumberFormat="1" applyFont="1" applyFill="1" applyBorder="1" applyAlignment="1" applyProtection="1">
      <alignment horizontal="center" vertical="center"/>
    </xf>
    <xf numFmtId="43" fontId="0" fillId="0" borderId="95" xfId="1" applyFont="1" applyBorder="1"/>
    <xf numFmtId="43" fontId="5" fillId="4" borderId="0" xfId="1" applyFont="1" applyFill="1" applyAlignment="1" applyProtection="1">
      <alignment vertical="center"/>
    </xf>
    <xf numFmtId="43" fontId="34" fillId="4" borderId="0" xfId="1" applyFont="1" applyFill="1" applyBorder="1" applyProtection="1"/>
    <xf numFmtId="43" fontId="5" fillId="4" borderId="0" xfId="1" applyFont="1" applyFill="1" applyProtection="1"/>
    <xf numFmtId="4" fontId="65" fillId="0" borderId="0" xfId="0" applyNumberFormat="1" applyFont="1" applyAlignment="1">
      <alignment horizontal="center" vertical="center"/>
    </xf>
    <xf numFmtId="184" fontId="65" fillId="0" borderId="0" xfId="1" applyNumberFormat="1" applyFont="1" applyAlignment="1">
      <alignment horizontal="center" vertical="center"/>
    </xf>
    <xf numFmtId="4" fontId="71" fillId="24" borderId="72" xfId="0" applyNumberFormat="1" applyFont="1" applyFill="1" applyBorder="1" applyAlignment="1">
      <alignment horizontal="center" vertical="center"/>
    </xf>
    <xf numFmtId="170" fontId="65" fillId="0" borderId="54" xfId="1" applyNumberFormat="1" applyFont="1" applyBorder="1" applyAlignment="1">
      <alignment horizontal="center" vertical="center"/>
    </xf>
    <xf numFmtId="170" fontId="65" fillId="0" borderId="71" xfId="1" applyNumberFormat="1" applyFont="1" applyBorder="1" applyAlignment="1">
      <alignment horizontal="center" vertical="center"/>
    </xf>
    <xf numFmtId="170" fontId="65" fillId="0" borderId="0" xfId="1" applyNumberFormat="1" applyFont="1" applyAlignment="1">
      <alignment horizontal="right" vertical="center"/>
    </xf>
    <xf numFmtId="170" fontId="67" fillId="0" borderId="0" xfId="1" applyNumberFormat="1" applyFont="1" applyBorder="1" applyAlignment="1">
      <alignment horizontal="right" vertical="center"/>
    </xf>
    <xf numFmtId="0" fontId="65" fillId="0" borderId="0" xfId="0" applyFont="1" applyBorder="1" applyAlignment="1">
      <alignment horizontal="left" vertical="center"/>
    </xf>
    <xf numFmtId="0" fontId="69" fillId="0" borderId="0" xfId="0" applyFont="1" applyFill="1" applyBorder="1" applyAlignment="1" applyProtection="1">
      <alignment horizontal="left" vertical="center"/>
    </xf>
    <xf numFmtId="3" fontId="68" fillId="5" borderId="49" xfId="0" applyNumberFormat="1" applyFont="1" applyFill="1" applyBorder="1" applyAlignment="1">
      <alignment horizontal="center" vertical="center"/>
    </xf>
    <xf numFmtId="3" fontId="65" fillId="11" borderId="33" xfId="0" applyNumberFormat="1" applyFont="1" applyFill="1" applyBorder="1" applyAlignment="1">
      <alignment horizontal="center" vertical="center"/>
    </xf>
    <xf numFmtId="43" fontId="67" fillId="11" borderId="50" xfId="1" applyFont="1" applyFill="1" applyBorder="1" applyAlignment="1">
      <alignment horizontal="center" vertical="center"/>
    </xf>
    <xf numFmtId="3" fontId="65" fillId="11" borderId="3" xfId="0" applyNumberFormat="1" applyFont="1" applyFill="1" applyBorder="1" applyAlignment="1">
      <alignment horizontal="center" vertical="center"/>
    </xf>
    <xf numFmtId="43" fontId="67" fillId="11" borderId="4" xfId="1" applyFont="1" applyFill="1" applyBorder="1" applyAlignment="1">
      <alignment horizontal="center" vertical="center"/>
    </xf>
    <xf numFmtId="3" fontId="65" fillId="11" borderId="5" xfId="0" applyNumberFormat="1" applyFont="1" applyFill="1" applyBorder="1" applyAlignment="1">
      <alignment horizontal="center" vertical="center"/>
    </xf>
    <xf numFmtId="43" fontId="67" fillId="11" borderId="6" xfId="1" applyFont="1" applyFill="1" applyBorder="1" applyAlignment="1">
      <alignment horizontal="center" vertical="center"/>
    </xf>
    <xf numFmtId="43" fontId="65" fillId="0" borderId="96" xfId="1" applyFont="1" applyBorder="1" applyAlignment="1">
      <alignment horizontal="center" vertical="center"/>
    </xf>
    <xf numFmtId="0" fontId="64" fillId="8" borderId="23" xfId="0" applyFont="1" applyFill="1" applyBorder="1" applyAlignment="1">
      <alignment horizontal="center" vertical="center"/>
    </xf>
    <xf numFmtId="0" fontId="64" fillId="8" borderId="22" xfId="0" applyFont="1" applyFill="1" applyBorder="1" applyAlignment="1">
      <alignment horizontal="center" vertical="center"/>
    </xf>
    <xf numFmtId="0" fontId="64" fillId="8" borderId="11" xfId="0" applyFont="1" applyFill="1" applyBorder="1" applyAlignment="1">
      <alignment horizontal="center" vertical="center"/>
    </xf>
    <xf numFmtId="0" fontId="64" fillId="8" borderId="13" xfId="0" applyFont="1" applyFill="1" applyBorder="1" applyAlignment="1">
      <alignment horizontal="center" vertical="center"/>
    </xf>
    <xf numFmtId="0" fontId="64" fillId="0" borderId="11" xfId="0" applyFont="1" applyBorder="1" applyAlignment="1">
      <alignment horizontal="center" vertical="center"/>
    </xf>
    <xf numFmtId="0" fontId="64" fillId="0" borderId="13" xfId="0" applyFont="1" applyBorder="1" applyAlignment="1">
      <alignment horizontal="center" vertical="center"/>
    </xf>
    <xf numFmtId="0" fontId="69" fillId="0" borderId="11" xfId="0" applyFont="1" applyBorder="1" applyAlignment="1">
      <alignment horizontal="center" vertical="center"/>
    </xf>
    <xf numFmtId="0" fontId="69" fillId="0" borderId="13" xfId="0" applyFont="1" applyBorder="1" applyAlignment="1">
      <alignment horizontal="center" vertical="center"/>
    </xf>
    <xf numFmtId="0" fontId="69" fillId="0" borderId="56" xfId="0" applyFont="1" applyFill="1" applyBorder="1" applyAlignment="1" applyProtection="1">
      <alignment horizontal="center" vertical="center"/>
    </xf>
    <xf numFmtId="0" fontId="69" fillId="0" borderId="57" xfId="0" applyFont="1" applyFill="1" applyBorder="1" applyAlignment="1" applyProtection="1">
      <alignment horizontal="center" vertical="center"/>
    </xf>
    <xf numFmtId="0" fontId="64" fillId="8" borderId="26" xfId="0" applyFont="1" applyFill="1" applyBorder="1" applyAlignment="1">
      <alignment horizontal="center" vertical="center"/>
    </xf>
    <xf numFmtId="0" fontId="64" fillId="8" borderId="41" xfId="0" applyFont="1" applyFill="1" applyBorder="1" applyAlignment="1">
      <alignment horizontal="center" vertical="center"/>
    </xf>
    <xf numFmtId="4" fontId="69" fillId="8" borderId="65" xfId="0" applyNumberFormat="1" applyFont="1" applyFill="1" applyBorder="1" applyAlignment="1">
      <alignment horizontal="center" vertical="center"/>
    </xf>
    <xf numFmtId="4" fontId="69" fillId="8" borderId="66" xfId="0" applyNumberFormat="1" applyFont="1" applyFill="1" applyBorder="1" applyAlignment="1">
      <alignment horizontal="center" vertical="center"/>
    </xf>
    <xf numFmtId="0" fontId="71" fillId="24" borderId="97" xfId="0" applyFont="1" applyFill="1" applyBorder="1" applyAlignment="1">
      <alignment horizontal="center" vertical="center"/>
    </xf>
    <xf numFmtId="0" fontId="71" fillId="24" borderId="98" xfId="0" applyFont="1" applyFill="1" applyBorder="1" applyAlignment="1">
      <alignment horizontal="center" vertical="center"/>
    </xf>
    <xf numFmtId="166" fontId="5" fillId="0" borderId="0" xfId="0" applyNumberFormat="1" applyFont="1" applyFill="1" applyBorder="1" applyAlignment="1">
      <alignment horizontal="center" vertical="center"/>
    </xf>
    <xf numFmtId="166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59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4" fillId="0" borderId="43" xfId="0" applyFont="1" applyBorder="1" applyAlignment="1">
      <alignment horizontal="center" vertical="center"/>
    </xf>
    <xf numFmtId="0" fontId="4" fillId="0" borderId="60" xfId="0" applyFont="1" applyBorder="1" applyAlignment="1">
      <alignment horizontal="center" vertical="center"/>
    </xf>
    <xf numFmtId="0" fontId="4" fillId="0" borderId="45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61" xfId="0" applyFont="1" applyBorder="1" applyAlignment="1">
      <alignment horizontal="center" vertical="center"/>
    </xf>
    <xf numFmtId="0" fontId="4" fillId="0" borderId="41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4" borderId="23" xfId="0" applyFont="1" applyFill="1" applyBorder="1" applyAlignment="1">
      <alignment horizontal="center" vertical="center"/>
    </xf>
    <xf numFmtId="0" fontId="4" fillId="4" borderId="24" xfId="0" applyFont="1" applyFill="1" applyBorder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4" fontId="5" fillId="4" borderId="0" xfId="0" applyNumberFormat="1" applyFont="1" applyFill="1" applyBorder="1" applyAlignment="1" applyProtection="1">
      <alignment horizontal="center" vertical="center"/>
    </xf>
    <xf numFmtId="0" fontId="0" fillId="0" borderId="0" xfId="0" applyBorder="1" applyProtection="1"/>
    <xf numFmtId="166" fontId="5" fillId="4" borderId="0" xfId="0" applyNumberFormat="1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left" wrapText="1"/>
    </xf>
    <xf numFmtId="0" fontId="5" fillId="4" borderId="0" xfId="0" applyFont="1" applyFill="1" applyBorder="1" applyAlignment="1" applyProtection="1">
      <alignment vertical="center"/>
    </xf>
    <xf numFmtId="0" fontId="4" fillId="4" borderId="0" xfId="0" applyFont="1" applyFill="1" applyBorder="1" applyAlignment="1" applyProtection="1">
      <alignment horizontal="left" vertical="center"/>
    </xf>
    <xf numFmtId="0" fontId="26" fillId="14" borderId="0" xfId="0" applyFont="1" applyFill="1" applyBorder="1" applyAlignment="1" applyProtection="1">
      <alignment horizontal="center"/>
    </xf>
    <xf numFmtId="0" fontId="4" fillId="20" borderId="0" xfId="0" applyFont="1" applyFill="1" applyBorder="1" applyAlignment="1" applyProtection="1">
      <alignment horizontal="center" vertical="center" wrapText="1"/>
    </xf>
    <xf numFmtId="0" fontId="4" fillId="20" borderId="75" xfId="0" applyFont="1" applyFill="1" applyBorder="1" applyAlignment="1" applyProtection="1">
      <alignment horizontal="center" vertical="center" wrapText="1"/>
    </xf>
    <xf numFmtId="0" fontId="10" fillId="4" borderId="0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horizontal="justify" vertical="center"/>
    </xf>
    <xf numFmtId="0" fontId="41" fillId="4" borderId="74" xfId="0" applyFont="1" applyFill="1" applyBorder="1" applyAlignment="1" applyProtection="1">
      <alignment horizontal="left"/>
      <protection locked="0"/>
    </xf>
    <xf numFmtId="0" fontId="59" fillId="4" borderId="0" xfId="0" applyFont="1" applyFill="1" applyBorder="1" applyAlignment="1" applyProtection="1">
      <alignment horizontal="center" vertical="center" wrapText="1"/>
    </xf>
    <xf numFmtId="0" fontId="4" fillId="14" borderId="0" xfId="0" applyFont="1" applyFill="1" applyBorder="1" applyAlignment="1" applyProtection="1">
      <alignment horizontal="left" vertical="center" wrapText="1"/>
    </xf>
    <xf numFmtId="0" fontId="35" fillId="19" borderId="76" xfId="0" applyFont="1" applyFill="1" applyBorder="1" applyAlignment="1" applyProtection="1">
      <alignment horizontal="center" vertical="center" wrapText="1"/>
    </xf>
    <xf numFmtId="0" fontId="30" fillId="4" borderId="0" xfId="0" applyFont="1" applyFill="1" applyAlignment="1">
      <alignment horizontal="left" vertical="center" wrapText="1"/>
    </xf>
    <xf numFmtId="0" fontId="72" fillId="14" borderId="0" xfId="0" applyFont="1" applyFill="1" applyAlignment="1" applyProtection="1">
      <alignment horizontal="left" vertical="center"/>
      <protection hidden="1"/>
    </xf>
    <xf numFmtId="0" fontId="58" fillId="4" borderId="0" xfId="0" applyFont="1" applyFill="1" applyAlignment="1" applyProtection="1">
      <alignment horizontal="center" vertical="center" wrapText="1"/>
    </xf>
    <xf numFmtId="0" fontId="2" fillId="4" borderId="0" xfId="0" applyFont="1" applyFill="1" applyAlignment="1" applyProtection="1">
      <alignment horizontal="justify" vertical="center"/>
    </xf>
    <xf numFmtId="0" fontId="25" fillId="10" borderId="0" xfId="0" applyFont="1" applyFill="1" applyBorder="1" applyAlignment="1" applyProtection="1">
      <alignment horizontal="center" vertical="center"/>
    </xf>
    <xf numFmtId="0" fontId="30" fillId="4" borderId="0" xfId="0" applyFont="1" applyFill="1" applyAlignment="1" applyProtection="1">
      <alignment horizontal="left" wrapText="1"/>
    </xf>
    <xf numFmtId="0" fontId="4" fillId="4" borderId="0" xfId="0" applyFont="1" applyFill="1" applyAlignment="1" applyProtection="1">
      <alignment horizontal="left" wrapText="1"/>
    </xf>
    <xf numFmtId="0" fontId="4" fillId="4" borderId="0" xfId="0" applyFont="1" applyFill="1" applyBorder="1" applyAlignment="1" applyProtection="1">
      <alignment horizontal="center"/>
    </xf>
    <xf numFmtId="0" fontId="26" fillId="14" borderId="0" xfId="0" applyFont="1" applyFill="1" applyBorder="1" applyAlignment="1" applyProtection="1">
      <alignment horizontal="center" vertical="center"/>
    </xf>
    <xf numFmtId="0" fontId="47" fillId="4" borderId="74" xfId="0" applyFont="1" applyFill="1" applyBorder="1" applyAlignment="1" applyProtection="1">
      <alignment horizontal="left"/>
    </xf>
    <xf numFmtId="0" fontId="33" fillId="19" borderId="62" xfId="0" applyFont="1" applyFill="1" applyBorder="1" applyAlignment="1" applyProtection="1">
      <alignment horizontal="center" vertical="center"/>
    </xf>
    <xf numFmtId="0" fontId="33" fillId="19" borderId="0" xfId="0" applyFont="1" applyFill="1" applyBorder="1" applyAlignment="1" applyProtection="1">
      <alignment horizontal="center" vertical="center"/>
    </xf>
    <xf numFmtId="0" fontId="4" fillId="4" borderId="85" xfId="0" applyFont="1" applyFill="1" applyBorder="1" applyAlignment="1" applyProtection="1">
      <alignment horizontal="left"/>
    </xf>
    <xf numFmtId="0" fontId="4" fillId="4" borderId="86" xfId="0" applyFont="1" applyFill="1" applyBorder="1" applyAlignment="1" applyProtection="1">
      <alignment horizontal="left"/>
    </xf>
    <xf numFmtId="0" fontId="72" fillId="4" borderId="99" xfId="0" applyFont="1" applyFill="1" applyBorder="1" applyAlignment="1" applyProtection="1">
      <alignment horizontal="left" vertical="center"/>
      <protection hidden="1"/>
    </xf>
    <xf numFmtId="0" fontId="72" fillId="4" borderId="0" xfId="0" applyFont="1" applyFill="1" applyBorder="1" applyAlignment="1" applyProtection="1">
      <alignment horizontal="left" vertical="center"/>
      <protection hidden="1"/>
    </xf>
    <xf numFmtId="0" fontId="4" fillId="0" borderId="0" xfId="0" applyFont="1" applyBorder="1" applyAlignment="1">
      <alignment horizontal="left" vertical="top" wrapText="1"/>
    </xf>
    <xf numFmtId="0" fontId="4" fillId="4" borderId="0" xfId="0" applyFont="1" applyFill="1" applyAlignment="1">
      <alignment horizontal="left" vertical="justify" wrapText="1"/>
    </xf>
    <xf numFmtId="0" fontId="4" fillId="0" borderId="0" xfId="0" applyFont="1" applyBorder="1" applyAlignment="1">
      <alignment horizontal="center" vertical="center"/>
    </xf>
    <xf numFmtId="0" fontId="45" fillId="4" borderId="0" xfId="0" applyFont="1" applyFill="1" applyAlignment="1">
      <alignment horizontal="left" wrapText="1"/>
    </xf>
    <xf numFmtId="0" fontId="1" fillId="4" borderId="0" xfId="0" applyFont="1" applyFill="1" applyAlignment="1">
      <alignment horizontal="left" wrapText="1"/>
    </xf>
    <xf numFmtId="0" fontId="2" fillId="4" borderId="0" xfId="0" applyFont="1" applyFill="1" applyAlignment="1">
      <alignment horizontal="left" wrapText="1"/>
    </xf>
    <xf numFmtId="0" fontId="1" fillId="4" borderId="0" xfId="0" applyFont="1" applyFill="1" applyBorder="1" applyAlignment="1">
      <alignment horizontal="left" wrapText="1"/>
    </xf>
    <xf numFmtId="0" fontId="2" fillId="4" borderId="0" xfId="0" applyFont="1" applyFill="1" applyBorder="1" applyAlignment="1">
      <alignment horizontal="left" wrapText="1"/>
    </xf>
    <xf numFmtId="0" fontId="5" fillId="4" borderId="0" xfId="0" applyFont="1" applyFill="1" applyAlignment="1">
      <alignment horizontal="left" wrapText="1"/>
    </xf>
    <xf numFmtId="0" fontId="42" fillId="4" borderId="0" xfId="0" applyFont="1" applyFill="1" applyAlignment="1">
      <alignment horizontal="center" wrapText="1"/>
    </xf>
    <xf numFmtId="0" fontId="2" fillId="0" borderId="0" xfId="0" applyFont="1" applyFill="1" applyAlignment="1">
      <alignment horizontal="left" wrapText="1"/>
    </xf>
    <xf numFmtId="0" fontId="61" fillId="4" borderId="0" xfId="0" applyFont="1" applyFill="1" applyAlignment="1">
      <alignment horizontal="right" wrapText="1"/>
    </xf>
  </cellXfs>
  <cellStyles count="7">
    <cellStyle name="Millares" xfId="1" builtinId="3"/>
    <cellStyle name="Millares 2" xfId="5"/>
    <cellStyle name="Moneda" xfId="2" builtinId="4"/>
    <cellStyle name="Normal" xfId="0" builtinId="0"/>
    <cellStyle name="Normal 2" xfId="6"/>
    <cellStyle name="Normal_CalculoTarifa GASTOS MEDICOS MAS VISION MEDICA 2009" xfId="3"/>
    <cellStyle name="Porcentaje" xfId="4" builtinId="5"/>
  </cellStyles>
  <dxfs count="2"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</dxfs>
  <tableStyles count="0" defaultTableStyle="TableStyleMedium9" defaultPivotStyle="PivotStyleLight16"/>
  <colors>
    <mruColors>
      <color rgb="FF0000FF"/>
      <color rgb="FF99CC00"/>
      <color rgb="FFFFAFAF"/>
      <color rgb="FFFF8265"/>
      <color rgb="FF99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hyperlink" Target="#Cotizador!A1"/><Relationship Id="rId1" Type="http://schemas.openxmlformats.org/officeDocument/2006/relationships/image" Target="../media/image3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COTIZACION!A1"/><Relationship Id="rId2" Type="http://schemas.openxmlformats.org/officeDocument/2006/relationships/hyperlink" Target="#Cotizador!A1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COTIZACION!A1"/><Relationship Id="rId2" Type="http://schemas.openxmlformats.org/officeDocument/2006/relationships/hyperlink" Target="#Cotizador!A1"/><Relationship Id="rId1" Type="http://schemas.openxmlformats.org/officeDocument/2006/relationships/image" Target="../media/image3.png"/><Relationship Id="rId4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COTIZACION!A1"/><Relationship Id="rId2" Type="http://schemas.openxmlformats.org/officeDocument/2006/relationships/image" Target="../media/image3.png"/><Relationship Id="rId1" Type="http://schemas.openxmlformats.org/officeDocument/2006/relationships/hyperlink" Target="#Cotizador!A1"/><Relationship Id="rId4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1238250</xdr:colOff>
      <xdr:row>3</xdr:row>
      <xdr:rowOff>123825</xdr:rowOff>
    </xdr:from>
    <xdr:to>
      <xdr:col>9</xdr:col>
      <xdr:colOff>828675</xdr:colOff>
      <xdr:row>7</xdr:row>
      <xdr:rowOff>47625</xdr:rowOff>
    </xdr:to>
    <xdr:pic>
      <xdr:nvPicPr>
        <xdr:cNvPr id="8385" name="Picture 11">
          <a:extLst>
            <a:ext uri="{FF2B5EF4-FFF2-40B4-BE49-F238E27FC236}">
              <a16:creationId xmlns:a16="http://schemas.microsoft.com/office/drawing/2014/main" id="{00000000-0008-0000-0500-0000C1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43450" y="523875"/>
          <a:ext cx="240030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107950</xdr:colOff>
          <xdr:row>3</xdr:row>
          <xdr:rowOff>50800</xdr:rowOff>
        </xdr:from>
        <xdr:to>
          <xdr:col>6</xdr:col>
          <xdr:colOff>381000</xdr:colOff>
          <xdr:row>8</xdr:row>
          <xdr:rowOff>76200</xdr:rowOff>
        </xdr:to>
        <xdr:sp macro="" textlink="">
          <xdr:nvSpPr>
            <xdr:cNvPr id="8198" name="Object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9526</xdr:colOff>
      <xdr:row>27</xdr:row>
      <xdr:rowOff>114300</xdr:rowOff>
    </xdr:from>
    <xdr:to>
      <xdr:col>1</xdr:col>
      <xdr:colOff>2143125</xdr:colOff>
      <xdr:row>28</xdr:row>
      <xdr:rowOff>247650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 bwMode="auto">
        <a:xfrm>
          <a:off x="66676" y="3981450"/>
          <a:ext cx="2133599" cy="26670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Asegurado</a:t>
          </a:r>
        </a:p>
      </xdr:txBody>
    </xdr:sp>
    <xdr:clientData/>
  </xdr:twoCellAnchor>
  <xdr:oneCellAnchor>
    <xdr:from>
      <xdr:col>6</xdr:col>
      <xdr:colOff>34940</xdr:colOff>
      <xdr:row>0</xdr:row>
      <xdr:rowOff>76203</xdr:rowOff>
    </xdr:from>
    <xdr:ext cx="4022710" cy="677819"/>
    <xdr:sp macro="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8026415" y="76203"/>
          <a:ext cx="4022710" cy="677819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8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8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28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Total</a:t>
          </a:r>
        </a:p>
      </xdr:txBody>
    </xdr:sp>
    <xdr:clientData/>
  </xdr:oneCellAnchor>
  <xdr:twoCellAnchor>
    <xdr:from>
      <xdr:col>1</xdr:col>
      <xdr:colOff>2168526</xdr:colOff>
      <xdr:row>27</xdr:row>
      <xdr:rowOff>123825</xdr:rowOff>
    </xdr:from>
    <xdr:to>
      <xdr:col>2</xdr:col>
      <xdr:colOff>2465917</xdr:colOff>
      <xdr:row>28</xdr:row>
      <xdr:rowOff>247650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 bwMode="auto">
        <a:xfrm>
          <a:off x="2517776" y="4695825"/>
          <a:ext cx="2466974" cy="261408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Nombre</a:t>
          </a:r>
        </a:p>
      </xdr:txBody>
    </xdr:sp>
    <xdr:clientData/>
  </xdr:twoCellAnchor>
  <xdr:twoCellAnchor>
    <xdr:from>
      <xdr:col>3</xdr:col>
      <xdr:colOff>9524</xdr:colOff>
      <xdr:row>27</xdr:row>
      <xdr:rowOff>116417</xdr:rowOff>
    </xdr:from>
    <xdr:to>
      <xdr:col>3</xdr:col>
      <xdr:colOff>1524000</xdr:colOff>
      <xdr:row>28</xdr:row>
      <xdr:rowOff>247650</xdr:rowOff>
    </xdr:to>
    <xdr:sp macro="" textlink="">
      <xdr:nvSpPr>
        <xdr:cNvPr id="7" name="6 Rectángulo redondeado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 bwMode="auto">
        <a:xfrm>
          <a:off x="5026024" y="4847167"/>
          <a:ext cx="1514476" cy="268816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Sexo</a:t>
          </a:r>
        </a:p>
      </xdr:txBody>
    </xdr:sp>
    <xdr:clientData/>
  </xdr:twoCellAnchor>
  <xdr:twoCellAnchor>
    <xdr:from>
      <xdr:col>4</xdr:col>
      <xdr:colOff>19050</xdr:colOff>
      <xdr:row>27</xdr:row>
      <xdr:rowOff>116417</xdr:rowOff>
    </xdr:from>
    <xdr:to>
      <xdr:col>5</xdr:col>
      <xdr:colOff>21165</xdr:colOff>
      <xdr:row>28</xdr:row>
      <xdr:rowOff>247650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 bwMode="auto">
        <a:xfrm>
          <a:off x="6570133" y="4847167"/>
          <a:ext cx="933449" cy="268816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Edad</a:t>
          </a:r>
        </a:p>
      </xdr:txBody>
    </xdr:sp>
    <xdr:clientData/>
  </xdr:twoCellAnchor>
  <xdr:twoCellAnchor>
    <xdr:from>
      <xdr:col>1</xdr:col>
      <xdr:colOff>1</xdr:colOff>
      <xdr:row>41</xdr:row>
      <xdr:rowOff>0</xdr:rowOff>
    </xdr:from>
    <xdr:to>
      <xdr:col>1</xdr:col>
      <xdr:colOff>2133600</xdr:colOff>
      <xdr:row>42</xdr:row>
      <xdr:rowOff>9525</xdr:rowOff>
    </xdr:to>
    <xdr:sp macro="" textlink="">
      <xdr:nvSpPr>
        <xdr:cNvPr id="11" name="10 Rectángulo redondeado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 bwMode="auto">
        <a:xfrm>
          <a:off x="352426" y="7219950"/>
          <a:ext cx="2133599" cy="238125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Agente</a:t>
          </a:r>
        </a:p>
      </xdr:txBody>
    </xdr:sp>
    <xdr:clientData/>
  </xdr:twoCellAnchor>
  <xdr:twoCellAnchor>
    <xdr:from>
      <xdr:col>5</xdr:col>
      <xdr:colOff>1492250</xdr:colOff>
      <xdr:row>27</xdr:row>
      <xdr:rowOff>47625</xdr:rowOff>
    </xdr:from>
    <xdr:to>
      <xdr:col>6</xdr:col>
      <xdr:colOff>1199029</xdr:colOff>
      <xdr:row>28</xdr:row>
      <xdr:rowOff>238126</xdr:rowOff>
    </xdr:to>
    <xdr:sp macro="" textlink="">
      <xdr:nvSpPr>
        <xdr:cNvPr id="13" name="12 Rectángulo redondeado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 bwMode="auto">
        <a:xfrm>
          <a:off x="8977779" y="4742890"/>
          <a:ext cx="1208368" cy="324971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Forma</a:t>
          </a:r>
          <a:r>
            <a:rPr lang="es-MX" sz="1100" baseline="0">
              <a:solidFill>
                <a:schemeClr val="bg1"/>
              </a:solidFill>
            </a:rPr>
            <a:t> de Pago</a:t>
          </a:r>
        </a:p>
        <a:p>
          <a:pPr algn="ctr"/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19051</xdr:colOff>
      <xdr:row>27</xdr:row>
      <xdr:rowOff>44694</xdr:rowOff>
    </xdr:from>
    <xdr:to>
      <xdr:col>7</xdr:col>
      <xdr:colOff>1152525</xdr:colOff>
      <xdr:row>28</xdr:row>
      <xdr:rowOff>247651</xdr:rowOff>
    </xdr:to>
    <xdr:sp macro="" textlink="">
      <xdr:nvSpPr>
        <xdr:cNvPr id="14" name="13 Rectángulo redondeado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 bwMode="auto">
        <a:xfrm>
          <a:off x="9020176" y="4292844"/>
          <a:ext cx="1133474" cy="336307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Primer</a:t>
          </a:r>
          <a:r>
            <a:rPr lang="es-MX" sz="1100" baseline="0">
              <a:solidFill>
                <a:schemeClr val="bg1"/>
              </a:solidFill>
            </a:rPr>
            <a:t> Recibo</a:t>
          </a:r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0</xdr:colOff>
      <xdr:row>27</xdr:row>
      <xdr:rowOff>47625</xdr:rowOff>
    </xdr:from>
    <xdr:to>
      <xdr:col>9</xdr:col>
      <xdr:colOff>0</xdr:colOff>
      <xdr:row>28</xdr:row>
      <xdr:rowOff>238126</xdr:rowOff>
    </xdr:to>
    <xdr:sp macro="" textlink="">
      <xdr:nvSpPr>
        <xdr:cNvPr id="15" name="14 Rectángulo redondeado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 bwMode="auto">
        <a:xfrm>
          <a:off x="10182225" y="4295775"/>
          <a:ext cx="952500" cy="323851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900">
              <a:solidFill>
                <a:schemeClr val="bg1"/>
              </a:solidFill>
            </a:rPr>
            <a:t>Recibos</a:t>
          </a:r>
          <a:r>
            <a:rPr lang="es-MX" sz="900" baseline="0">
              <a:solidFill>
                <a:schemeClr val="bg1"/>
              </a:solidFill>
            </a:rPr>
            <a:t> </a:t>
          </a:r>
        </a:p>
        <a:p>
          <a:pPr algn="ctr"/>
          <a:r>
            <a:rPr lang="es-MX" sz="900" baseline="0">
              <a:solidFill>
                <a:schemeClr val="bg1"/>
              </a:solidFill>
            </a:rPr>
            <a:t>Subsecuentes</a:t>
          </a:r>
          <a:endParaRPr lang="es-MX" sz="900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19050</xdr:colOff>
      <xdr:row>27</xdr:row>
      <xdr:rowOff>33617</xdr:rowOff>
    </xdr:from>
    <xdr:to>
      <xdr:col>10</xdr:col>
      <xdr:colOff>0</xdr:colOff>
      <xdr:row>28</xdr:row>
      <xdr:rowOff>238126</xdr:rowOff>
    </xdr:to>
    <xdr:sp macro="" textlink="">
      <xdr:nvSpPr>
        <xdr:cNvPr id="16" name="15 Rectángulo redondeado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 bwMode="auto">
        <a:xfrm>
          <a:off x="12356726" y="4728882"/>
          <a:ext cx="933450" cy="338979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Total</a:t>
          </a:r>
        </a:p>
      </xdr:txBody>
    </xdr:sp>
    <xdr:clientData/>
  </xdr:twoCellAnchor>
  <xdr:twoCellAnchor>
    <xdr:from>
      <xdr:col>6</xdr:col>
      <xdr:colOff>0</xdr:colOff>
      <xdr:row>37</xdr:row>
      <xdr:rowOff>19051</xdr:rowOff>
    </xdr:from>
    <xdr:to>
      <xdr:col>7</xdr:col>
      <xdr:colOff>0</xdr:colOff>
      <xdr:row>37</xdr:row>
      <xdr:rowOff>266701</xdr:rowOff>
    </xdr:to>
    <xdr:sp macro="" textlink="">
      <xdr:nvSpPr>
        <xdr:cNvPr id="19" name="18 Rectángulo redondeado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 bwMode="auto">
        <a:xfrm>
          <a:off x="7029450" y="5781676"/>
          <a:ext cx="1009650" cy="2476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Forma</a:t>
          </a:r>
          <a:r>
            <a:rPr lang="es-MX" sz="1100" baseline="0">
              <a:solidFill>
                <a:schemeClr val="bg1"/>
              </a:solidFill>
            </a:rPr>
            <a:t> de Pago</a:t>
          </a:r>
        </a:p>
        <a:p>
          <a:pPr algn="ctr"/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19050</xdr:colOff>
      <xdr:row>37</xdr:row>
      <xdr:rowOff>9525</xdr:rowOff>
    </xdr:from>
    <xdr:to>
      <xdr:col>7</xdr:col>
      <xdr:colOff>1181099</xdr:colOff>
      <xdr:row>37</xdr:row>
      <xdr:rowOff>266700</xdr:rowOff>
    </xdr:to>
    <xdr:sp macro="" textlink="">
      <xdr:nvSpPr>
        <xdr:cNvPr id="20" name="19 Rectángulo redondeado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 bwMode="auto">
        <a:xfrm>
          <a:off x="8058150" y="5772150"/>
          <a:ext cx="1162049" cy="257175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%</a:t>
          </a:r>
        </a:p>
      </xdr:txBody>
    </xdr:sp>
    <xdr:clientData/>
  </xdr:twoCellAnchor>
  <xdr:twoCellAnchor>
    <xdr:from>
      <xdr:col>0</xdr:col>
      <xdr:colOff>342899</xdr:colOff>
      <xdr:row>3</xdr:row>
      <xdr:rowOff>171450</xdr:rowOff>
    </xdr:from>
    <xdr:to>
      <xdr:col>4</xdr:col>
      <xdr:colOff>28575</xdr:colOff>
      <xdr:row>5</xdr:row>
      <xdr:rowOff>133350</xdr:rowOff>
    </xdr:to>
    <xdr:sp macro="" textlink="">
      <xdr:nvSpPr>
        <xdr:cNvPr id="21" name="20 Rectángulo redondeado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 bwMode="auto">
        <a:xfrm>
          <a:off x="342899" y="752475"/>
          <a:ext cx="6076951" cy="257175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DATOS</a:t>
          </a:r>
          <a:r>
            <a:rPr lang="es-MX" sz="1100" baseline="0">
              <a:solidFill>
                <a:schemeClr val="bg1"/>
              </a:solidFill>
            </a:rPr>
            <a:t>  DE LA POLIZA</a:t>
          </a:r>
        </a:p>
      </xdr:txBody>
    </xdr:sp>
    <xdr:clientData/>
  </xdr:twoCellAnchor>
  <xdr:twoCellAnchor editAs="oneCell">
    <xdr:from>
      <xdr:col>8</xdr:col>
      <xdr:colOff>419100</xdr:colOff>
      <xdr:row>45</xdr:row>
      <xdr:rowOff>19050</xdr:rowOff>
    </xdr:from>
    <xdr:to>
      <xdr:col>9</xdr:col>
      <xdr:colOff>781050</xdr:colOff>
      <xdr:row>47</xdr:row>
      <xdr:rowOff>38100</xdr:rowOff>
    </xdr:to>
    <xdr:pic macro="[0]!Cotizacion_ir_impresion">
      <xdr:nvPicPr>
        <xdr:cNvPr id="22" name="Picture 2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10601325" y="7981950"/>
          <a:ext cx="1314450" cy="3619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4</xdr:col>
      <xdr:colOff>200025</xdr:colOff>
      <xdr:row>20</xdr:row>
      <xdr:rowOff>161924</xdr:rowOff>
    </xdr:from>
    <xdr:to>
      <xdr:col>4</xdr:col>
      <xdr:colOff>523874</xdr:colOff>
      <xdr:row>22</xdr:row>
      <xdr:rowOff>66674</xdr:rowOff>
    </xdr:to>
    <xdr:sp macro="[0]!Cotizacion_ir_instrucciones" textlink="">
      <xdr:nvSpPr>
        <xdr:cNvPr id="10" name="9 Elipse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 bwMode="auto">
        <a:xfrm>
          <a:off x="6591300" y="3333749"/>
          <a:ext cx="323849" cy="276225"/>
        </a:xfrm>
        <a:prstGeom prst="ellipse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400">
              <a:solidFill>
                <a:schemeClr val="bg1"/>
              </a:solidFill>
              <a:latin typeface="Arial" pitchFamily="34" charset="0"/>
              <a:cs typeface="Arial" pitchFamily="34" charset="0"/>
            </a:rPr>
            <a:t>?</a:t>
          </a:r>
          <a:endParaRPr lang="es-MX" sz="1100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</xdr:col>
      <xdr:colOff>209546</xdr:colOff>
      <xdr:row>45</xdr:row>
      <xdr:rowOff>28575</xdr:rowOff>
    </xdr:from>
    <xdr:to>
      <xdr:col>8</xdr:col>
      <xdr:colOff>266694</xdr:colOff>
      <xdr:row>48</xdr:row>
      <xdr:rowOff>76200</xdr:rowOff>
    </xdr:to>
    <xdr:grpSp>
      <xdr:nvGrpSpPr>
        <xdr:cNvPr id="24" name="23 Grupo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pSpPr/>
      </xdr:nvGrpSpPr>
      <xdr:grpSpPr>
        <a:xfrm>
          <a:off x="10418105" y="8533840"/>
          <a:ext cx="1233765" cy="518272"/>
          <a:chOff x="9239251" y="7067550"/>
          <a:chExt cx="981074" cy="323849"/>
        </a:xfrm>
        <a:noFill/>
      </xdr:grpSpPr>
      <xdr:sp macro="[0]!Cotizacion_volver_menu" textlink="">
        <xdr:nvSpPr>
          <xdr:cNvPr id="6" name="5 CuadroTexto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SpPr txBox="1"/>
        </xdr:nvSpPr>
        <xdr:spPr>
          <a:xfrm>
            <a:off x="9467850" y="7067550"/>
            <a:ext cx="752475" cy="323849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9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Menú</a:t>
            </a:r>
            <a:r>
              <a:rPr lang="es-MX" sz="900" b="1" baseline="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 </a:t>
            </a:r>
            <a:r>
              <a:rPr lang="es-MX" sz="9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Principal</a:t>
            </a:r>
          </a:p>
        </xdr:txBody>
      </xdr:sp>
      <xdr:sp macro="[0]!Cotizacion_volver_menu" textlink="">
        <xdr:nvSpPr>
          <xdr:cNvPr id="25" name="24 Flecha izquierda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SpPr/>
        </xdr:nvSpPr>
        <xdr:spPr bwMode="auto">
          <a:xfrm>
            <a:off x="9239251" y="7067550"/>
            <a:ext cx="238123" cy="206086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</xdr:col>
      <xdr:colOff>523875</xdr:colOff>
      <xdr:row>45</xdr:row>
      <xdr:rowOff>0</xdr:rowOff>
    </xdr:from>
    <xdr:to>
      <xdr:col>6</xdr:col>
      <xdr:colOff>876300</xdr:colOff>
      <xdr:row>47</xdr:row>
      <xdr:rowOff>30162</xdr:rowOff>
    </xdr:to>
    <xdr:grpSp>
      <xdr:nvGrpSpPr>
        <xdr:cNvPr id="26" name="25 Grupo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pSpPr/>
      </xdr:nvGrpSpPr>
      <xdr:grpSpPr>
        <a:xfrm>
          <a:off x="8009404" y="8505265"/>
          <a:ext cx="1854014" cy="366338"/>
          <a:chOff x="7962900" y="8658225"/>
          <a:chExt cx="1019175" cy="373062"/>
        </a:xfrm>
      </xdr:grpSpPr>
      <xdr:pic macro="[0]!Cotizacion_ir_tarifario">
        <xdr:nvPicPr>
          <xdr:cNvPr id="27" name="Picture 264">
            <a:extLst>
              <a:ext uri="{FF2B5EF4-FFF2-40B4-BE49-F238E27FC236}">
                <a16:creationId xmlns:a16="http://schemas.microsoft.com/office/drawing/2014/main" id="{00000000-0008-0000-0600-00001B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962900" y="8658225"/>
            <a:ext cx="296862" cy="37306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Cotizacion_ir_tarifario" textlink="">
        <xdr:nvSpPr>
          <xdr:cNvPr id="29" name="28 CuadroTexto">
            <a:extLst>
              <a:ext uri="{FF2B5EF4-FFF2-40B4-BE49-F238E27FC236}">
                <a16:creationId xmlns:a16="http://schemas.microsoft.com/office/drawing/2014/main" id="{00000000-0008-0000-0600-00001D000000}"/>
              </a:ext>
            </a:extLst>
          </xdr:cNvPr>
          <xdr:cNvSpPr txBox="1"/>
        </xdr:nvSpPr>
        <xdr:spPr>
          <a:xfrm>
            <a:off x="8229600" y="8705850"/>
            <a:ext cx="752475" cy="18097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0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Tarifario</a:t>
            </a:r>
          </a:p>
        </xdr:txBody>
      </xdr:sp>
    </xdr:grpSp>
    <xdr:clientData/>
  </xdr:twoCellAnchor>
  <xdr:twoCellAnchor>
    <xdr:from>
      <xdr:col>8</xdr:col>
      <xdr:colOff>914400</xdr:colOff>
      <xdr:row>45</xdr:row>
      <xdr:rowOff>47625</xdr:rowOff>
    </xdr:from>
    <xdr:to>
      <xdr:col>9</xdr:col>
      <xdr:colOff>790576</xdr:colOff>
      <xdr:row>47</xdr:row>
      <xdr:rowOff>57150</xdr:rowOff>
    </xdr:to>
    <xdr:sp macro="[0]!Cotizacion_ir_impresion" textlink="">
      <xdr:nvSpPr>
        <xdr:cNvPr id="23" name="22 CuadroTexto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 txBox="1"/>
      </xdr:nvSpPr>
      <xdr:spPr>
        <a:xfrm>
          <a:off x="11096625" y="8010525"/>
          <a:ext cx="828676" cy="3524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MX" sz="8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rPr>
            <a:t>Formato</a:t>
          </a:r>
          <a:r>
            <a:rPr lang="es-MX" sz="800" baseline="0">
              <a:solidFill>
                <a:srgbClr val="FF0000"/>
              </a:solidFill>
              <a:latin typeface="Arial" pitchFamily="34" charset="0"/>
              <a:cs typeface="Arial" pitchFamily="34" charset="0"/>
            </a:rPr>
            <a:t>  </a:t>
          </a:r>
          <a:r>
            <a:rPr lang="es-MX" sz="8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rPr>
            <a:t>de Impresión</a:t>
          </a:r>
        </a:p>
      </xdr:txBody>
    </xdr:sp>
    <xdr:clientData/>
  </xdr:twoCellAnchor>
  <xdr:twoCellAnchor>
    <xdr:from>
      <xdr:col>1</xdr:col>
      <xdr:colOff>21290</xdr:colOff>
      <xdr:row>0</xdr:row>
      <xdr:rowOff>225612</xdr:rowOff>
    </xdr:from>
    <xdr:to>
      <xdr:col>2</xdr:col>
      <xdr:colOff>1450040</xdr:colOff>
      <xdr:row>2</xdr:row>
      <xdr:rowOff>121895</xdr:rowOff>
    </xdr:to>
    <xdr:pic>
      <xdr:nvPicPr>
        <xdr:cNvPr id="30" name="29 Imagen" descr="seguros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672" y="225612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645583</xdr:colOff>
      <xdr:row>106</xdr:row>
      <xdr:rowOff>190499</xdr:rowOff>
    </xdr:from>
    <xdr:to>
      <xdr:col>11</xdr:col>
      <xdr:colOff>638175</xdr:colOff>
      <xdr:row>108</xdr:row>
      <xdr:rowOff>124882</xdr:rowOff>
    </xdr:to>
    <xdr:pic macro="[0]!imprimir">
      <xdr:nvPicPr>
        <xdr:cNvPr id="4" name="Pictur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9275233" y="16363949"/>
          <a:ext cx="1154642" cy="31538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10603</xdr:colOff>
      <xdr:row>92</xdr:row>
      <xdr:rowOff>66675</xdr:rowOff>
    </xdr:from>
    <xdr:to>
      <xdr:col>4</xdr:col>
      <xdr:colOff>0</xdr:colOff>
      <xdr:row>93</xdr:row>
      <xdr:rowOff>107949</xdr:rowOff>
    </xdr:to>
    <xdr:sp macro="" textlink="">
      <xdr:nvSpPr>
        <xdr:cNvPr id="9" name="8 Rectángulo redondeado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 bwMode="auto">
        <a:xfrm>
          <a:off x="439228" y="14478000"/>
          <a:ext cx="1913447" cy="250824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Forma</a:t>
          </a:r>
          <a:r>
            <a:rPr lang="es-MX" sz="1100" baseline="0">
              <a:solidFill>
                <a:schemeClr val="bg1"/>
              </a:solidFill>
            </a:rPr>
            <a:t> de Pago</a:t>
          </a:r>
        </a:p>
        <a:p>
          <a:pPr algn="ctr"/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19042</xdr:colOff>
      <xdr:row>92</xdr:row>
      <xdr:rowOff>73033</xdr:rowOff>
    </xdr:from>
    <xdr:to>
      <xdr:col>5</xdr:col>
      <xdr:colOff>10583</xdr:colOff>
      <xdr:row>93</xdr:row>
      <xdr:rowOff>115483</xdr:rowOff>
    </xdr:to>
    <xdr:sp macro="" textlink="">
      <xdr:nvSpPr>
        <xdr:cNvPr id="10" name="9 Rectángulo redondeado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 bwMode="auto">
        <a:xfrm>
          <a:off x="2371717" y="14484358"/>
          <a:ext cx="963091" cy="25200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Primer</a:t>
          </a:r>
          <a:r>
            <a:rPr lang="es-MX" sz="1100" baseline="0">
              <a:solidFill>
                <a:schemeClr val="bg1"/>
              </a:solidFill>
            </a:rPr>
            <a:t> Recibo</a:t>
          </a:r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31738</xdr:colOff>
      <xdr:row>92</xdr:row>
      <xdr:rowOff>75609</xdr:rowOff>
    </xdr:from>
    <xdr:to>
      <xdr:col>5</xdr:col>
      <xdr:colOff>1280583</xdr:colOff>
      <xdr:row>93</xdr:row>
      <xdr:rowOff>118059</xdr:rowOff>
    </xdr:to>
    <xdr:sp macro="" textlink="">
      <xdr:nvSpPr>
        <xdr:cNvPr id="11" name="10 Rectángulo redondeado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 bwMode="auto">
        <a:xfrm>
          <a:off x="3355963" y="14486934"/>
          <a:ext cx="1248845" cy="25200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900">
              <a:solidFill>
                <a:schemeClr val="bg1"/>
              </a:solidFill>
            </a:rPr>
            <a:t>Recibos</a:t>
          </a:r>
          <a:r>
            <a:rPr lang="es-MX" sz="900" baseline="0">
              <a:solidFill>
                <a:schemeClr val="bg1"/>
              </a:solidFill>
            </a:rPr>
            <a:t> Subsecuentes</a:t>
          </a:r>
          <a:endParaRPr lang="es-MX" sz="90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19030</xdr:colOff>
      <xdr:row>92</xdr:row>
      <xdr:rowOff>76200</xdr:rowOff>
    </xdr:from>
    <xdr:to>
      <xdr:col>7</xdr:col>
      <xdr:colOff>10584</xdr:colOff>
      <xdr:row>93</xdr:row>
      <xdr:rowOff>118650</xdr:rowOff>
    </xdr:to>
    <xdr:sp macro="" textlink="">
      <xdr:nvSpPr>
        <xdr:cNvPr id="12" name="11 Rectángulo redondeado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 bwMode="auto">
        <a:xfrm>
          <a:off x="4629130" y="14487525"/>
          <a:ext cx="905954" cy="25200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Total</a:t>
          </a:r>
        </a:p>
      </xdr:txBody>
    </xdr:sp>
    <xdr:clientData/>
  </xdr:twoCellAnchor>
  <xdr:twoCellAnchor>
    <xdr:from>
      <xdr:col>2</xdr:col>
      <xdr:colOff>11640</xdr:colOff>
      <xdr:row>90</xdr:row>
      <xdr:rowOff>158748</xdr:rowOff>
    </xdr:from>
    <xdr:to>
      <xdr:col>3</xdr:col>
      <xdr:colOff>911226</xdr:colOff>
      <xdr:row>92</xdr:row>
      <xdr:rowOff>3175</xdr:rowOff>
    </xdr:to>
    <xdr:sp macro="" textlink="">
      <xdr:nvSpPr>
        <xdr:cNvPr id="13" name="12 Rectángulo redondeado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 bwMode="auto">
        <a:xfrm>
          <a:off x="440265" y="14208123"/>
          <a:ext cx="1890186" cy="206377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l"/>
          <a:r>
            <a:rPr lang="es-MX" sz="1100">
              <a:solidFill>
                <a:schemeClr val="bg1"/>
              </a:solidFill>
            </a:rPr>
            <a:t>Agente</a:t>
          </a:r>
        </a:p>
      </xdr:txBody>
    </xdr:sp>
    <xdr:clientData/>
  </xdr:twoCellAnchor>
  <xdr:twoCellAnchor>
    <xdr:from>
      <xdr:col>2</xdr:col>
      <xdr:colOff>0</xdr:colOff>
      <xdr:row>73</xdr:row>
      <xdr:rowOff>74086</xdr:rowOff>
    </xdr:from>
    <xdr:to>
      <xdr:col>11</xdr:col>
      <xdr:colOff>0</xdr:colOff>
      <xdr:row>74</xdr:row>
      <xdr:rowOff>116417</xdr:rowOff>
    </xdr:to>
    <xdr:sp macro="" textlink="">
      <xdr:nvSpPr>
        <xdr:cNvPr id="14" name="13 Rectángulo redondeado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 bwMode="auto">
        <a:xfrm>
          <a:off x="433917" y="11260669"/>
          <a:ext cx="9239250" cy="201081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200" b="0">
              <a:solidFill>
                <a:schemeClr val="bg1"/>
              </a:solidFill>
            </a:rPr>
            <a:t>Participantes</a:t>
          </a:r>
        </a:p>
      </xdr:txBody>
    </xdr:sp>
    <xdr:clientData/>
  </xdr:twoCellAnchor>
  <xdr:twoCellAnchor>
    <xdr:from>
      <xdr:col>2</xdr:col>
      <xdr:colOff>0</xdr:colOff>
      <xdr:row>61</xdr:row>
      <xdr:rowOff>1</xdr:rowOff>
    </xdr:from>
    <xdr:to>
      <xdr:col>11</xdr:col>
      <xdr:colOff>0</xdr:colOff>
      <xdr:row>61</xdr:row>
      <xdr:rowOff>201085</xdr:rowOff>
    </xdr:to>
    <xdr:sp macro="" textlink="">
      <xdr:nvSpPr>
        <xdr:cNvPr id="15" name="14 Rectángulo redondeado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 bwMode="auto">
        <a:xfrm>
          <a:off x="428625" y="9925051"/>
          <a:ext cx="9239250" cy="201084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200">
              <a:solidFill>
                <a:schemeClr val="bg1"/>
              </a:solidFill>
            </a:rPr>
            <a:t>Coberturas</a:t>
          </a:r>
          <a:r>
            <a:rPr lang="es-MX" sz="1200" baseline="0">
              <a:solidFill>
                <a:schemeClr val="bg1"/>
              </a:solidFill>
            </a:rPr>
            <a:t> Adicionales</a:t>
          </a:r>
          <a:endParaRPr lang="es-MX" sz="12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0</xdr:colOff>
      <xdr:row>11</xdr:row>
      <xdr:rowOff>0</xdr:rowOff>
    </xdr:from>
    <xdr:to>
      <xdr:col>10</xdr:col>
      <xdr:colOff>836083</xdr:colOff>
      <xdr:row>12</xdr:row>
      <xdr:rowOff>1</xdr:rowOff>
    </xdr:to>
    <xdr:sp macro="" textlink="">
      <xdr:nvSpPr>
        <xdr:cNvPr id="16" name="15 Rectángulo redondeado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 bwMode="auto">
        <a:xfrm>
          <a:off x="228600" y="1571625"/>
          <a:ext cx="9237133" cy="200026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200">
              <a:solidFill>
                <a:schemeClr val="bg1"/>
              </a:solidFill>
            </a:rPr>
            <a:t>Cuadro</a:t>
          </a:r>
          <a:r>
            <a:rPr lang="es-MX" sz="1200" baseline="0">
              <a:solidFill>
                <a:schemeClr val="bg1"/>
              </a:solidFill>
            </a:rPr>
            <a:t> de Coberturas</a:t>
          </a:r>
          <a:endParaRPr lang="es-MX" sz="12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9525</xdr:colOff>
      <xdr:row>88</xdr:row>
      <xdr:rowOff>133349</xdr:rowOff>
    </xdr:from>
    <xdr:to>
      <xdr:col>3</xdr:col>
      <xdr:colOff>908925</xdr:colOff>
      <xdr:row>90</xdr:row>
      <xdr:rowOff>33749</xdr:rowOff>
    </xdr:to>
    <xdr:sp macro="" textlink="">
      <xdr:nvSpPr>
        <xdr:cNvPr id="17" name="16 Rectángulo redondeado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 bwMode="auto">
        <a:xfrm>
          <a:off x="438150" y="13839824"/>
          <a:ext cx="1890000" cy="20520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l"/>
          <a:r>
            <a:rPr lang="es-MX" sz="1100">
              <a:solidFill>
                <a:schemeClr val="bg1"/>
              </a:solidFill>
            </a:rPr>
            <a:t>Región</a:t>
          </a:r>
          <a:r>
            <a:rPr lang="es-MX" sz="1100" baseline="0">
              <a:solidFill>
                <a:schemeClr val="bg1"/>
              </a:solidFill>
            </a:rPr>
            <a:t> de Tarifa</a:t>
          </a:r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47653</xdr:colOff>
      <xdr:row>107</xdr:row>
      <xdr:rowOff>0</xdr:rowOff>
    </xdr:from>
    <xdr:to>
      <xdr:col>10</xdr:col>
      <xdr:colOff>480511</xdr:colOff>
      <xdr:row>108</xdr:row>
      <xdr:rowOff>100542</xdr:rowOff>
    </xdr:to>
    <xdr:grpSp>
      <xdr:nvGrpSpPr>
        <xdr:cNvPr id="24" name="23 Grupo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pSpPr/>
      </xdr:nvGrpSpPr>
      <xdr:grpSpPr>
        <a:xfrm>
          <a:off x="7858153" y="15849600"/>
          <a:ext cx="1252008" cy="281517"/>
          <a:chOff x="9239249" y="7067550"/>
          <a:chExt cx="981076" cy="266700"/>
        </a:xfrm>
      </xdr:grpSpPr>
      <xdr:sp macro="[0]!Impresion_volver_menu" textlink="">
        <xdr:nvSpPr>
          <xdr:cNvPr id="25" name="24 CuadroTexto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SpPr txBox="1"/>
        </xdr:nvSpPr>
        <xdr:spPr>
          <a:xfrm>
            <a:off x="9467850" y="7067551"/>
            <a:ext cx="752475" cy="18097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chemeClr val="accent2">
                    <a:lumMod val="75000"/>
                  </a:schemeClr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Impresion_volver_menu" textlink="">
        <xdr:nvSpPr>
          <xdr:cNvPr id="26" name="25 Flecha izquierda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700-00001A000000}"/>
              </a:ext>
            </a:extLst>
          </xdr:cNvPr>
          <xdr:cNvSpPr/>
        </xdr:nvSpPr>
        <xdr:spPr bwMode="auto">
          <a:xfrm>
            <a:off x="9239249" y="7067550"/>
            <a:ext cx="238125" cy="266700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twoCellAnchor>
    <xdr:from>
      <xdr:col>7</xdr:col>
      <xdr:colOff>381028</xdr:colOff>
      <xdr:row>107</xdr:row>
      <xdr:rowOff>9525</xdr:rowOff>
    </xdr:from>
    <xdr:to>
      <xdr:col>8</xdr:col>
      <xdr:colOff>902787</xdr:colOff>
      <xdr:row>108</xdr:row>
      <xdr:rowOff>110067</xdr:rowOff>
    </xdr:to>
    <xdr:grpSp>
      <xdr:nvGrpSpPr>
        <xdr:cNvPr id="27" name="26 Grupo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GrpSpPr/>
      </xdr:nvGrpSpPr>
      <xdr:grpSpPr>
        <a:xfrm>
          <a:off x="5905528" y="15859125"/>
          <a:ext cx="1779059" cy="281517"/>
          <a:chOff x="7858124" y="4762500"/>
          <a:chExt cx="1781176" cy="238125"/>
        </a:xfrm>
      </xdr:grpSpPr>
      <xdr:sp macro="[0]!Impresion_ir_cotizacion" textlink="">
        <xdr:nvSpPr>
          <xdr:cNvPr id="28" name="27 CuadroTexto">
            <a:extLst>
              <a:ext uri="{FF2B5EF4-FFF2-40B4-BE49-F238E27FC236}">
                <a16:creationId xmlns:a16="http://schemas.microsoft.com/office/drawing/2014/main" id="{00000000-0008-0000-0700-00001C000000}"/>
              </a:ext>
            </a:extLst>
          </xdr:cNvPr>
          <xdr:cNvSpPr txBox="1"/>
        </xdr:nvSpPr>
        <xdr:spPr>
          <a:xfrm>
            <a:off x="8148963" y="4762501"/>
            <a:ext cx="1490337" cy="161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chemeClr val="accent2">
                    <a:lumMod val="75000"/>
                  </a:schemeClr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chemeClr val="accent2">
                    <a:lumMod val="75000"/>
                  </a:schemeClr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chemeClr val="accent2">
                  <a:lumMod val="75000"/>
                </a:schemeClr>
              </a:solidFill>
              <a:latin typeface="Arial" pitchFamily="34" charset="0"/>
              <a:cs typeface="Arial" pitchFamily="34" charset="0"/>
            </a:endParaRPr>
          </a:p>
        </xdr:txBody>
      </xdr:sp>
      <xdr:sp macro="[0]!Impresion_ir_cotizacion" textlink="">
        <xdr:nvSpPr>
          <xdr:cNvPr id="29" name="28 Flecha izquierda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700-00001D000000}"/>
              </a:ext>
            </a:extLst>
          </xdr:cNvPr>
          <xdr:cNvSpPr/>
        </xdr:nvSpPr>
        <xdr:spPr bwMode="auto">
          <a:xfrm>
            <a:off x="7858124" y="4762500"/>
            <a:ext cx="309701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oneCellAnchor>
    <xdr:from>
      <xdr:col>7</xdr:col>
      <xdr:colOff>190500</xdr:colOff>
      <xdr:row>0</xdr:row>
      <xdr:rowOff>47625</xdr:rowOff>
    </xdr:from>
    <xdr:ext cx="4022710" cy="677819"/>
    <xdr:sp macro="" textlink="">
      <xdr:nvSpPr>
        <xdr:cNvPr id="19" name="18 Rectángulo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/>
      </xdr:nvSpPr>
      <xdr:spPr>
        <a:xfrm>
          <a:off x="5715000" y="47625"/>
          <a:ext cx="4022710" cy="677819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6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6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26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Total</a:t>
          </a:r>
        </a:p>
      </xdr:txBody>
    </xdr:sp>
    <xdr:clientData/>
  </xdr:oneCellAnchor>
  <xdr:twoCellAnchor>
    <xdr:from>
      <xdr:col>1</xdr:col>
      <xdr:colOff>76200</xdr:colOff>
      <xdr:row>1</xdr:row>
      <xdr:rowOff>57150</xdr:rowOff>
    </xdr:from>
    <xdr:to>
      <xdr:col>5</xdr:col>
      <xdr:colOff>578908</xdr:colOff>
      <xdr:row>4</xdr:row>
      <xdr:rowOff>33866</xdr:rowOff>
    </xdr:to>
    <xdr:pic>
      <xdr:nvPicPr>
        <xdr:cNvPr id="21" name="20 Imagen" descr="seguros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171450"/>
          <a:ext cx="3598333" cy="3196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552450</xdr:colOff>
      <xdr:row>5</xdr:row>
      <xdr:rowOff>123826</xdr:rowOff>
    </xdr:from>
    <xdr:to>
      <xdr:col>10</xdr:col>
      <xdr:colOff>866775</xdr:colOff>
      <xdr:row>7</xdr:row>
      <xdr:rowOff>9526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 bwMode="auto">
        <a:xfrm>
          <a:off x="7372350" y="790576"/>
          <a:ext cx="1057275" cy="2095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Región</a:t>
          </a:r>
          <a:r>
            <a:rPr lang="es-MX" sz="1100" baseline="0">
              <a:solidFill>
                <a:schemeClr val="bg1"/>
              </a:solidFill>
            </a:rPr>
            <a:t> de Tarifa</a:t>
          </a:r>
          <a:endParaRPr lang="es-MX" sz="1100">
            <a:solidFill>
              <a:schemeClr val="bg1"/>
            </a:solidFill>
          </a:endParaRPr>
        </a:p>
      </xdr:txBody>
    </xdr:sp>
    <xdr:clientData/>
  </xdr:twoCellAnchor>
  <xdr:oneCellAnchor>
    <xdr:from>
      <xdr:col>7</xdr:col>
      <xdr:colOff>161925</xdr:colOff>
      <xdr:row>0</xdr:row>
      <xdr:rowOff>19050</xdr:rowOff>
    </xdr:from>
    <xdr:ext cx="4022710" cy="677819"/>
    <xdr:sp macro="" textlink="">
      <xdr:nvSpPr>
        <xdr:cNvPr id="6" name="5 Rectángulo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191125" y="19050"/>
          <a:ext cx="4022710" cy="677819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8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8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28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Total</a:t>
          </a:r>
        </a:p>
      </xdr:txBody>
    </xdr:sp>
    <xdr:clientData/>
  </xdr:oneCellAnchor>
  <xdr:twoCellAnchor>
    <xdr:from>
      <xdr:col>1</xdr:col>
      <xdr:colOff>0</xdr:colOff>
      <xdr:row>18</xdr:row>
      <xdr:rowOff>0</xdr:rowOff>
    </xdr:from>
    <xdr:to>
      <xdr:col>4</xdr:col>
      <xdr:colOff>9525</xdr:colOff>
      <xdr:row>19</xdr:row>
      <xdr:rowOff>114300</xdr:rowOff>
    </xdr:to>
    <xdr:sp macro="" textlink="">
      <xdr:nvSpPr>
        <xdr:cNvPr id="7" name="6 Rectángulo redondeado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 bwMode="auto">
        <a:xfrm>
          <a:off x="381000" y="1743075"/>
          <a:ext cx="2305050" cy="2857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Prima Total Titular</a:t>
          </a:r>
        </a:p>
      </xdr:txBody>
    </xdr:sp>
    <xdr:clientData/>
  </xdr:twoCellAnchor>
  <xdr:twoCellAnchor>
    <xdr:from>
      <xdr:col>5</xdr:col>
      <xdr:colOff>0</xdr:colOff>
      <xdr:row>18</xdr:row>
      <xdr:rowOff>0</xdr:rowOff>
    </xdr:from>
    <xdr:to>
      <xdr:col>8</xdr:col>
      <xdr:colOff>0</xdr:colOff>
      <xdr:row>19</xdr:row>
      <xdr:rowOff>114300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 bwMode="auto">
        <a:xfrm>
          <a:off x="3667125" y="1771650"/>
          <a:ext cx="2343150" cy="2857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Prima Total Cónyuge</a:t>
          </a: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12</xdr:col>
      <xdr:colOff>0</xdr:colOff>
      <xdr:row>19</xdr:row>
      <xdr:rowOff>114300</xdr:rowOff>
    </xdr:to>
    <xdr:sp macro="" textlink="">
      <xdr:nvSpPr>
        <xdr:cNvPr id="9" name="8 Rectángulo redondeado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 bwMode="auto">
        <a:xfrm>
          <a:off x="6819900" y="1762125"/>
          <a:ext cx="2552700" cy="2857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Prima Total Dependiente</a:t>
          </a:r>
        </a:p>
      </xdr:txBody>
    </xdr:sp>
    <xdr:clientData/>
  </xdr:twoCellAnchor>
  <xdr:twoCellAnchor>
    <xdr:from>
      <xdr:col>0</xdr:col>
      <xdr:colOff>371475</xdr:colOff>
      <xdr:row>73</xdr:row>
      <xdr:rowOff>76200</xdr:rowOff>
    </xdr:from>
    <xdr:to>
      <xdr:col>4</xdr:col>
      <xdr:colOff>0</xdr:colOff>
      <xdr:row>75</xdr:row>
      <xdr:rowOff>95250</xdr:rowOff>
    </xdr:to>
    <xdr:sp macro="" textlink="">
      <xdr:nvSpPr>
        <xdr:cNvPr id="10" name="9 Rectángulo redondeado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 bwMode="auto">
        <a:xfrm>
          <a:off x="371475" y="10334625"/>
          <a:ext cx="2486025" cy="2857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Prima Total Titular Menor</a:t>
          </a:r>
          <a:r>
            <a:rPr lang="es-MX" sz="1100" baseline="0">
              <a:solidFill>
                <a:schemeClr val="bg1"/>
              </a:solidFill>
            </a:rPr>
            <a:t> de Edad</a:t>
          </a:r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10</xdr:col>
      <xdr:colOff>0</xdr:colOff>
      <xdr:row>96</xdr:row>
      <xdr:rowOff>76200</xdr:rowOff>
    </xdr:from>
    <xdr:to>
      <xdr:col>11</xdr:col>
      <xdr:colOff>296334</xdr:colOff>
      <xdr:row>99</xdr:row>
      <xdr:rowOff>4233</xdr:rowOff>
    </xdr:to>
    <xdr:pic macro="[0]!imprimir_Tarifario">
      <xdr:nvPicPr>
        <xdr:cNvPr id="12" name="Picture 2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7562850" y="13554075"/>
          <a:ext cx="1153584" cy="32808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8</xdr:col>
      <xdr:colOff>0</xdr:colOff>
      <xdr:row>97</xdr:row>
      <xdr:rowOff>0</xdr:rowOff>
    </xdr:from>
    <xdr:to>
      <xdr:col>9</xdr:col>
      <xdr:colOff>438150</xdr:colOff>
      <xdr:row>98</xdr:row>
      <xdr:rowOff>104775</xdr:rowOff>
    </xdr:to>
    <xdr:grpSp>
      <xdr:nvGrpSpPr>
        <xdr:cNvPr id="15" name="14 Grupo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pSpPr/>
      </xdr:nvGrpSpPr>
      <xdr:grpSpPr>
        <a:xfrm>
          <a:off x="6124575" y="13382625"/>
          <a:ext cx="1285875" cy="238125"/>
          <a:chOff x="9239249" y="7067550"/>
          <a:chExt cx="981076" cy="266700"/>
        </a:xfrm>
      </xdr:grpSpPr>
      <xdr:sp macro="[0]!Tarifario_volver_menu" textlink="">
        <xdr:nvSpPr>
          <xdr:cNvPr id="16" name="15 CuadroTexto">
            <a:extLst>
              <a:ext uri="{FF2B5EF4-FFF2-40B4-BE49-F238E27FC236}">
                <a16:creationId xmlns:a16="http://schemas.microsoft.com/office/drawing/2014/main" id="{00000000-0008-0000-0800-000010000000}"/>
              </a:ext>
            </a:extLst>
          </xdr:cNvPr>
          <xdr:cNvSpPr txBox="1"/>
        </xdr:nvSpPr>
        <xdr:spPr>
          <a:xfrm>
            <a:off x="9467850" y="7067551"/>
            <a:ext cx="752475" cy="26669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Tarifario_volver_menu" textlink="">
        <xdr:nvSpPr>
          <xdr:cNvPr id="17" name="16 Flecha izquierda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800-000011000000}"/>
              </a:ext>
            </a:extLst>
          </xdr:cNvPr>
          <xdr:cNvSpPr/>
        </xdr:nvSpPr>
        <xdr:spPr bwMode="auto">
          <a:xfrm>
            <a:off x="9239249" y="7067550"/>
            <a:ext cx="238125" cy="266700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twoCellAnchor>
    <xdr:from>
      <xdr:col>5</xdr:col>
      <xdr:colOff>390525</xdr:colOff>
      <xdr:row>97</xdr:row>
      <xdr:rowOff>9525</xdr:rowOff>
    </xdr:from>
    <xdr:to>
      <xdr:col>7</xdr:col>
      <xdr:colOff>628651</xdr:colOff>
      <xdr:row>98</xdr:row>
      <xdr:rowOff>114300</xdr:rowOff>
    </xdr:to>
    <xdr:grpSp>
      <xdr:nvGrpSpPr>
        <xdr:cNvPr id="18" name="17 Grupo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4048125" y="13392150"/>
          <a:ext cx="1781176" cy="238125"/>
          <a:chOff x="7858124" y="4762500"/>
          <a:chExt cx="1781176" cy="238125"/>
        </a:xfrm>
      </xdr:grpSpPr>
      <xdr:sp macro="[0]!Tarifario_ir_cotizacion" textlink="">
        <xdr:nvSpPr>
          <xdr:cNvPr id="19" name="18 CuadroTexto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SpPr txBox="1"/>
        </xdr:nvSpPr>
        <xdr:spPr>
          <a:xfrm>
            <a:off x="8148963" y="4762500"/>
            <a:ext cx="1490337" cy="22859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[0]!Tarifario_ir_cotizacion" textlink="">
        <xdr:nvSpPr>
          <xdr:cNvPr id="20" name="19 Flecha izquierda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/>
        </xdr:nvSpPr>
        <xdr:spPr bwMode="auto">
          <a:xfrm>
            <a:off x="7858124" y="4762500"/>
            <a:ext cx="309701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38100</xdr:rowOff>
        </xdr:from>
        <xdr:to>
          <xdr:col>0</xdr:col>
          <xdr:colOff>0</xdr:colOff>
          <xdr:row>7</xdr:row>
          <xdr:rowOff>0</xdr:rowOff>
        </xdr:to>
        <xdr:sp macro="" textlink="">
          <xdr:nvSpPr>
            <xdr:cNvPr id="10241" name="Object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514350</xdr:colOff>
      <xdr:row>5</xdr:row>
      <xdr:rowOff>114300</xdr:rowOff>
    </xdr:from>
    <xdr:to>
      <xdr:col>3</xdr:col>
      <xdr:colOff>9525</xdr:colOff>
      <xdr:row>7</xdr:row>
      <xdr:rowOff>0</xdr:rowOff>
    </xdr:to>
    <xdr:sp macro="" textlink="">
      <xdr:nvSpPr>
        <xdr:cNvPr id="22" name="21 Rectángulo redondeado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/>
      </xdr:nvSpPr>
      <xdr:spPr bwMode="auto">
        <a:xfrm>
          <a:off x="895350" y="781050"/>
          <a:ext cx="1047750" cy="2095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Tipo</a:t>
          </a:r>
          <a:r>
            <a:rPr lang="es-MX" sz="1100" baseline="0">
              <a:solidFill>
                <a:schemeClr val="bg1"/>
              </a:solidFill>
            </a:rPr>
            <a:t> de Póliza</a:t>
          </a:r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247650</xdr:colOff>
      <xdr:row>1</xdr:row>
      <xdr:rowOff>57150</xdr:rowOff>
    </xdr:from>
    <xdr:to>
      <xdr:col>5</xdr:col>
      <xdr:colOff>192742</xdr:colOff>
      <xdr:row>3</xdr:row>
      <xdr:rowOff>101351</xdr:rowOff>
    </xdr:to>
    <xdr:pic>
      <xdr:nvPicPr>
        <xdr:cNvPr id="23" name="22 Imagen" descr="seguros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650" y="190500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31</xdr:row>
      <xdr:rowOff>76200</xdr:rowOff>
    </xdr:from>
    <xdr:to>
      <xdr:col>9</xdr:col>
      <xdr:colOff>409575</xdr:colOff>
      <xdr:row>39</xdr:row>
      <xdr:rowOff>57150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 bwMode="auto">
        <a:xfrm>
          <a:off x="1362075" y="3657600"/>
          <a:ext cx="6667500" cy="1114425"/>
        </a:xfrm>
        <a:prstGeom prst="roundRect">
          <a:avLst/>
        </a:prstGeom>
        <a:noFill/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s-MX" sz="1100"/>
        </a:p>
      </xdr:txBody>
    </xdr:sp>
    <xdr:clientData/>
  </xdr:twoCellAnchor>
  <xdr:twoCellAnchor>
    <xdr:from>
      <xdr:col>7</xdr:col>
      <xdr:colOff>619124</xdr:colOff>
      <xdr:row>48</xdr:row>
      <xdr:rowOff>133350</xdr:rowOff>
    </xdr:from>
    <xdr:to>
      <xdr:col>9</xdr:col>
      <xdr:colOff>323849</xdr:colOff>
      <xdr:row>50</xdr:row>
      <xdr:rowOff>47625</xdr:rowOff>
    </xdr:to>
    <xdr:grpSp>
      <xdr:nvGrpSpPr>
        <xdr:cNvPr id="4" name="3 Grupo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5953124" y="8420100"/>
          <a:ext cx="1590675" cy="238125"/>
          <a:chOff x="9239249" y="7067550"/>
          <a:chExt cx="981076" cy="266700"/>
        </a:xfrm>
      </xdr:grpSpPr>
      <xdr:sp macro="[0]!Instucciones_volver_menu" textlink="">
        <xdr:nvSpPr>
          <xdr:cNvPr id="5" name="4 CuadroTexto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 txBox="1"/>
        </xdr:nvSpPr>
        <xdr:spPr>
          <a:xfrm>
            <a:off x="9467850" y="7067551"/>
            <a:ext cx="752475" cy="18097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Instucciones_volver_menu" textlink="">
        <xdr:nvSpPr>
          <xdr:cNvPr id="6" name="5 Flecha izquierda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SpPr/>
        </xdr:nvSpPr>
        <xdr:spPr bwMode="auto">
          <a:xfrm>
            <a:off x="9239249" y="7067550"/>
            <a:ext cx="238125" cy="266700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twoCellAnchor editAs="oneCell">
    <xdr:from>
      <xdr:col>6</xdr:col>
      <xdr:colOff>19050</xdr:colOff>
      <xdr:row>48</xdr:row>
      <xdr:rowOff>104775</xdr:rowOff>
    </xdr:from>
    <xdr:to>
      <xdr:col>7</xdr:col>
      <xdr:colOff>410634</xdr:colOff>
      <xdr:row>50</xdr:row>
      <xdr:rowOff>109008</xdr:rowOff>
    </xdr:to>
    <xdr:pic macro="[0]!imprimir_Instrucciones">
      <xdr:nvPicPr>
        <xdr:cNvPr id="9" name="Picture 2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4591050" y="8039100"/>
          <a:ext cx="1153584" cy="32808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10</xdr:col>
      <xdr:colOff>219074</xdr:colOff>
      <xdr:row>34</xdr:row>
      <xdr:rowOff>28575</xdr:rowOff>
    </xdr:from>
    <xdr:to>
      <xdr:col>12</xdr:col>
      <xdr:colOff>476250</xdr:colOff>
      <xdr:row>35</xdr:row>
      <xdr:rowOff>104775</xdr:rowOff>
    </xdr:to>
    <xdr:grpSp>
      <xdr:nvGrpSpPr>
        <xdr:cNvPr id="7" name="6 Grupo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pSpPr/>
      </xdr:nvGrpSpPr>
      <xdr:grpSpPr>
        <a:xfrm>
          <a:off x="8201024" y="5829300"/>
          <a:ext cx="1781176" cy="238125"/>
          <a:chOff x="7858124" y="4762500"/>
          <a:chExt cx="1781176" cy="238125"/>
        </a:xfrm>
      </xdr:grpSpPr>
      <xdr:sp macro="[0]!Instucciones_volver_cotizador" textlink="">
        <xdr:nvSpPr>
          <xdr:cNvPr id="11" name="10 CuadroTexto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SpPr txBox="1"/>
        </xdr:nvSpPr>
        <xdr:spPr>
          <a:xfrm>
            <a:off x="8148963" y="4762501"/>
            <a:ext cx="1490337" cy="16158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[0]!Instucciones_volver_cotizador" textlink="">
        <xdr:nvSpPr>
          <xdr:cNvPr id="12" name="11 Flecha izquierda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SpPr/>
        </xdr:nvSpPr>
        <xdr:spPr bwMode="auto">
          <a:xfrm>
            <a:off x="7858124" y="4762500"/>
            <a:ext cx="309701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oneCellAnchor>
    <xdr:from>
      <xdr:col>4</xdr:col>
      <xdr:colOff>514350</xdr:colOff>
      <xdr:row>0</xdr:row>
      <xdr:rowOff>82550</xdr:rowOff>
    </xdr:from>
    <xdr:ext cx="3879834" cy="609600"/>
    <xdr:sp macro="" textlink="">
      <xdr:nvSpPr>
        <xdr:cNvPr id="13" name="12 Rectángulo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3562350" y="82550"/>
          <a:ext cx="3879834" cy="609600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0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0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0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20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Total</a:t>
          </a:r>
        </a:p>
      </xdr:txBody>
    </xdr:sp>
    <xdr:clientData/>
  </xdr:oneCellAnchor>
  <xdr:twoCellAnchor>
    <xdr:from>
      <xdr:col>0</xdr:col>
      <xdr:colOff>161925</xdr:colOff>
      <xdr:row>1</xdr:row>
      <xdr:rowOff>28575</xdr:rowOff>
    </xdr:from>
    <xdr:to>
      <xdr:col>4</xdr:col>
      <xdr:colOff>716617</xdr:colOff>
      <xdr:row>3</xdr:row>
      <xdr:rowOff>15626</xdr:rowOff>
    </xdr:to>
    <xdr:pic>
      <xdr:nvPicPr>
        <xdr:cNvPr id="15" name="14 Imagen" descr="seguros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90500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419099</xdr:colOff>
      <xdr:row>0</xdr:row>
      <xdr:rowOff>14821</xdr:rowOff>
    </xdr:from>
    <xdr:ext cx="5069418" cy="900637"/>
    <xdr:sp macro="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5610224" y="14821"/>
          <a:ext cx="5069418" cy="900637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4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3200" b="1" cap="none" spc="50">
              <a:ln w="11430"/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3200" b="1" cap="none" spc="50" baseline="0">
              <a:ln w="11430"/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3200" b="1" cap="none" spc="50">
              <a:ln w="11430"/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Total</a:t>
          </a:r>
        </a:p>
      </xdr:txBody>
    </xdr:sp>
    <xdr:clientData/>
  </xdr:oneCellAnchor>
  <xdr:twoCellAnchor>
    <xdr:from>
      <xdr:col>5</xdr:col>
      <xdr:colOff>866773</xdr:colOff>
      <xdr:row>13</xdr:row>
      <xdr:rowOff>95251</xdr:rowOff>
    </xdr:from>
    <xdr:to>
      <xdr:col>7</xdr:col>
      <xdr:colOff>508000</xdr:colOff>
      <xdr:row>16</xdr:row>
      <xdr:rowOff>142876</xdr:rowOff>
    </xdr:to>
    <xdr:sp macro="[0]!Instrucciones_ver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 bwMode="auto">
        <a:xfrm>
          <a:off x="6057898" y="1847851"/>
          <a:ext cx="1717677" cy="533400"/>
        </a:xfrm>
        <a:prstGeom prst="roundRect">
          <a:avLst/>
        </a:prstGeom>
        <a:solidFill>
          <a:srgbClr val="FF0000"/>
        </a:solidFill>
        <a:ln>
          <a:noFill/>
          <a:headEnd type="none" w="med" len="med"/>
          <a:tailEnd type="none" w="med" len="med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600">
              <a:solidFill>
                <a:schemeClr val="bg1"/>
              </a:solidFill>
            </a:rPr>
            <a:t>Instructivo</a:t>
          </a:r>
        </a:p>
      </xdr:txBody>
    </xdr:sp>
    <xdr:clientData/>
  </xdr:twoCellAnchor>
  <xdr:twoCellAnchor>
    <xdr:from>
      <xdr:col>5</xdr:col>
      <xdr:colOff>885823</xdr:colOff>
      <xdr:row>21</xdr:row>
      <xdr:rowOff>66676</xdr:rowOff>
    </xdr:from>
    <xdr:to>
      <xdr:col>7</xdr:col>
      <xdr:colOff>515408</xdr:colOff>
      <xdr:row>24</xdr:row>
      <xdr:rowOff>114301</xdr:rowOff>
    </xdr:to>
    <xdr:sp macro="[0]!Cotizacion_ver" textlink="">
      <xdr:nvSpPr>
        <xdr:cNvPr id="6" name="5 Rectángulo redondeado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 bwMode="auto">
        <a:xfrm>
          <a:off x="6076948" y="3114676"/>
          <a:ext cx="1706035" cy="533400"/>
        </a:xfrm>
        <a:prstGeom prst="roundRect">
          <a:avLst/>
        </a:prstGeom>
        <a:solidFill>
          <a:srgbClr val="FF0000"/>
        </a:solidFill>
        <a:ln>
          <a:noFill/>
          <a:headEnd type="none" w="med" len="med"/>
          <a:tailEnd type="none" w="med" len="med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600">
              <a:solidFill>
                <a:schemeClr val="bg1"/>
              </a:solidFill>
            </a:rPr>
            <a:t>Cotización</a:t>
          </a:r>
        </a:p>
      </xdr:txBody>
    </xdr:sp>
    <xdr:clientData/>
  </xdr:twoCellAnchor>
  <xdr:twoCellAnchor editAs="oneCell">
    <xdr:from>
      <xdr:col>3</xdr:col>
      <xdr:colOff>66675</xdr:colOff>
      <xdr:row>11</xdr:row>
      <xdr:rowOff>38100</xdr:rowOff>
    </xdr:from>
    <xdr:to>
      <xdr:col>5</xdr:col>
      <xdr:colOff>521093</xdr:colOff>
      <xdr:row>26</xdr:row>
      <xdr:rowOff>19051</xdr:rowOff>
    </xdr:to>
    <xdr:pic>
      <xdr:nvPicPr>
        <xdr:cNvPr id="8" name="7 Imagen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81350" y="1466850"/>
          <a:ext cx="2530868" cy="2409826"/>
        </a:xfrm>
        <a:prstGeom prst="ellipse">
          <a:avLst/>
        </a:prstGeom>
        <a:solidFill>
          <a:srgbClr val="FF0000"/>
        </a:solidFill>
        <a:ln>
          <a:noFill/>
        </a:ln>
        <a:effectLst>
          <a:softEdge rad="112500"/>
        </a:effectLst>
      </xdr:spPr>
    </xdr:pic>
    <xdr:clientData/>
  </xdr:twoCellAnchor>
  <xdr:twoCellAnchor>
    <xdr:from>
      <xdr:col>0</xdr:col>
      <xdr:colOff>238125</xdr:colOff>
      <xdr:row>1</xdr:row>
      <xdr:rowOff>47625</xdr:rowOff>
    </xdr:from>
    <xdr:to>
      <xdr:col>3</xdr:col>
      <xdr:colOff>726142</xdr:colOff>
      <xdr:row>5</xdr:row>
      <xdr:rowOff>15626</xdr:rowOff>
    </xdr:to>
    <xdr:pic>
      <xdr:nvPicPr>
        <xdr:cNvPr id="9" name="8 Imagen" descr="seguros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161925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gfbanorte-my.sharepoint.com/Galeana/Notas%20Tecnicas/2006/Gastos%20Medicos%20Mayores/+%20VISI&#211;N%20Grupo%20y%20Colectivo/CalculoTarifas%20gpo%20y%20colec_2006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RESIÓN"/>
      <sheetName val="SESAS"/>
      <sheetName val="MORBILIDAD"/>
      <sheetName val="G-GPO"/>
      <sheetName val="G-PN-GPO"/>
      <sheetName val="G-COL"/>
      <sheetName val="G-PN-COL"/>
      <sheetName val="PNyT"/>
      <sheetName val="CATALOGO catastrofico"/>
      <sheetName val="CATALOGO"/>
      <sheetName val="1er escenario"/>
      <sheetName val="2º escenario"/>
      <sheetName val="PNyT (2)"/>
      <sheetName val="PNyT (3)"/>
      <sheetName val="SIDA"/>
      <sheetName val="COBERTURAS"/>
      <sheetName val="SinPad Gpo Nac P"/>
      <sheetName val="padecimientos de oj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7.emf"/><Relationship Id="rId4" Type="http://schemas.openxmlformats.org/officeDocument/2006/relationships/oleObject" Target="../embeddings/oleObject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I445"/>
  <sheetViews>
    <sheetView showGridLines="0" topLeftCell="AZ1" zoomScale="85" zoomScaleNormal="85" workbookViewId="0">
      <selection activeCell="AZ1" sqref="AZ1"/>
    </sheetView>
  </sheetViews>
  <sheetFormatPr baseColWidth="10" defaultColWidth="11.453125" defaultRowHeight="13" zeroHeight="1"/>
  <cols>
    <col min="1" max="1" width="13.54296875" style="503" hidden="1" customWidth="1"/>
    <col min="2" max="2" width="14.54296875" style="503" hidden="1" customWidth="1"/>
    <col min="3" max="3" width="10.26953125" style="503" hidden="1" customWidth="1"/>
    <col min="4" max="4" width="12.81640625" style="503" hidden="1" customWidth="1"/>
    <col min="5" max="5" width="10.26953125" style="503" hidden="1" customWidth="1"/>
    <col min="6" max="6" width="14.26953125" style="503" hidden="1" customWidth="1"/>
    <col min="7" max="7" width="13.26953125" style="503" hidden="1" customWidth="1"/>
    <col min="8" max="8" width="14.1796875" style="503" hidden="1" customWidth="1"/>
    <col min="9" max="9" width="12.7265625" style="503" hidden="1" customWidth="1"/>
    <col min="10" max="10" width="16.1796875" style="503" hidden="1" customWidth="1"/>
    <col min="11" max="11" width="9.26953125" style="503" hidden="1" customWidth="1"/>
    <col min="12" max="12" width="6.453125" style="503" hidden="1" customWidth="1"/>
    <col min="13" max="13" width="14.26953125" style="503" hidden="1" customWidth="1"/>
    <col min="14" max="14" width="16.54296875" style="503" hidden="1" customWidth="1"/>
    <col min="15" max="17" width="10.26953125" style="503" hidden="1" customWidth="1"/>
    <col min="18" max="18" width="7" style="503" hidden="1" customWidth="1"/>
    <col min="19" max="19" width="46.7265625" style="503" hidden="1" customWidth="1"/>
    <col min="20" max="20" width="7" style="503" hidden="1" customWidth="1"/>
    <col min="21" max="21" width="4.7265625" style="503" hidden="1" customWidth="1"/>
    <col min="22" max="22" width="11.453125" style="503" hidden="1" customWidth="1"/>
    <col min="23" max="23" width="13.54296875" style="503" hidden="1" customWidth="1"/>
    <col min="24" max="34" width="11.453125" style="503" hidden="1" customWidth="1"/>
    <col min="35" max="36" width="13.7265625" style="503" hidden="1" customWidth="1"/>
    <col min="37" max="50" width="11.453125" style="503" hidden="1" customWidth="1"/>
    <col min="51" max="51" width="0" style="503" hidden="1" customWidth="1"/>
    <col min="52" max="16384" width="11.453125" style="503"/>
  </cols>
  <sheetData>
    <row r="1" spans="1:23" ht="13.5" thickTop="1">
      <c r="A1" s="756" t="s">
        <v>2</v>
      </c>
      <c r="B1" s="757"/>
      <c r="C1" s="748" t="s">
        <v>3</v>
      </c>
      <c r="D1" s="749"/>
      <c r="E1" s="502" t="s">
        <v>307</v>
      </c>
      <c r="F1" s="750" t="s">
        <v>22</v>
      </c>
      <c r="G1" s="751"/>
      <c r="J1" s="504" t="s">
        <v>150</v>
      </c>
      <c r="K1" s="505" t="s">
        <v>149</v>
      </c>
      <c r="L1" s="506"/>
      <c r="N1" s="507" t="s">
        <v>161</v>
      </c>
      <c r="O1" s="507" t="s">
        <v>164</v>
      </c>
      <c r="P1" s="507" t="s">
        <v>163</v>
      </c>
      <c r="Q1" s="507" t="s">
        <v>165</v>
      </c>
      <c r="S1" s="503" t="s">
        <v>303</v>
      </c>
    </row>
    <row r="2" spans="1:23" ht="13.5" hidden="1" thickTop="1">
      <c r="A2" s="508"/>
      <c r="B2" s="509"/>
      <c r="C2" s="510">
        <v>0</v>
      </c>
      <c r="D2" s="511">
        <v>1.1399999999999999</v>
      </c>
      <c r="E2" s="512"/>
      <c r="F2" s="513" t="s">
        <v>98</v>
      </c>
      <c r="G2" s="514">
        <v>1.05</v>
      </c>
      <c r="H2" s="515"/>
      <c r="J2" s="516"/>
      <c r="K2" s="517"/>
      <c r="L2" s="518"/>
      <c r="N2" s="519" t="s">
        <v>96</v>
      </c>
      <c r="O2" s="520">
        <v>4.7300000000000002E-2</v>
      </c>
      <c r="P2" s="520">
        <f>+COTIZACION!H39</f>
        <v>4.7300000000000002E-2</v>
      </c>
      <c r="Q2" s="521">
        <f>IF(P2=0,1+O2,1+P2)</f>
        <v>1.0472999999999999</v>
      </c>
      <c r="S2" s="515">
        <v>0.26500000000000001</v>
      </c>
      <c r="T2" s="515">
        <v>0.26500000000000001</v>
      </c>
      <c r="U2" s="515"/>
      <c r="V2" s="515"/>
      <c r="W2" s="503" t="s">
        <v>304</v>
      </c>
    </row>
    <row r="3" spans="1:23" hidden="1">
      <c r="A3" s="522">
        <v>6000</v>
      </c>
      <c r="B3" s="523">
        <v>1</v>
      </c>
      <c r="C3" s="510">
        <v>0.05</v>
      </c>
      <c r="D3" s="511">
        <v>1.07</v>
      </c>
      <c r="E3" s="524" t="s">
        <v>308</v>
      </c>
      <c r="F3" s="525" t="s">
        <v>99</v>
      </c>
      <c r="G3" s="511">
        <v>1</v>
      </c>
      <c r="H3" s="526"/>
      <c r="J3" s="516"/>
      <c r="K3" s="517"/>
      <c r="L3" s="518"/>
      <c r="N3" s="519" t="s">
        <v>159</v>
      </c>
      <c r="O3" s="520">
        <v>7.0000000000000007E-2</v>
      </c>
      <c r="P3" s="520">
        <f>+COTIZACION!H40</f>
        <v>6.9900000000000004E-2</v>
      </c>
      <c r="Q3" s="521">
        <f>IF(P3=0,1+O3,1+P3)</f>
        <v>1.0699000000000001</v>
      </c>
      <c r="S3" s="515">
        <v>0.15</v>
      </c>
      <c r="T3" s="515">
        <v>0.1</v>
      </c>
      <c r="U3" s="515"/>
      <c r="V3" s="515"/>
      <c r="W3" s="503" t="s">
        <v>305</v>
      </c>
    </row>
    <row r="4" spans="1:23" ht="13.5" hidden="1" thickBot="1">
      <c r="A4" s="522">
        <v>7000</v>
      </c>
      <c r="B4" s="523">
        <v>0.97</v>
      </c>
      <c r="C4" s="510">
        <v>0.1</v>
      </c>
      <c r="D4" s="511">
        <v>1</v>
      </c>
      <c r="E4" s="524" t="s">
        <v>309</v>
      </c>
      <c r="F4" s="527"/>
      <c r="G4" s="528"/>
      <c r="H4" s="526"/>
      <c r="J4" s="516">
        <v>5500</v>
      </c>
      <c r="K4" s="517">
        <v>1310.74</v>
      </c>
      <c r="L4" s="518"/>
      <c r="N4" s="529" t="s">
        <v>162</v>
      </c>
      <c r="O4" s="530">
        <v>0.1</v>
      </c>
      <c r="P4" s="530">
        <f>+COTIZACION!H41</f>
        <v>9.9900000000000003E-2</v>
      </c>
      <c r="Q4" s="531">
        <f>IF(P4=0,1+O4,1+P4)</f>
        <v>1.0999000000000001</v>
      </c>
      <c r="S4" s="515">
        <v>0.15</v>
      </c>
      <c r="T4" s="515">
        <v>0.08</v>
      </c>
      <c r="U4" s="515"/>
      <c r="V4" s="515"/>
      <c r="W4" s="503" t="s">
        <v>306</v>
      </c>
    </row>
    <row r="5" spans="1:23" ht="13.5" hidden="1" thickTop="1">
      <c r="A5" s="522">
        <v>8000</v>
      </c>
      <c r="B5" s="523">
        <v>0.94</v>
      </c>
      <c r="C5" s="510">
        <v>0.15</v>
      </c>
      <c r="D5" s="511">
        <v>0.97</v>
      </c>
      <c r="E5" s="524" t="s">
        <v>310</v>
      </c>
      <c r="F5" s="750" t="s">
        <v>18</v>
      </c>
      <c r="G5" s="751"/>
      <c r="H5" s="526"/>
      <c r="I5" s="734"/>
      <c r="J5" s="516">
        <v>6000</v>
      </c>
      <c r="K5" s="517">
        <v>1390.19</v>
      </c>
      <c r="L5" s="518"/>
      <c r="M5" s="569"/>
      <c r="R5" s="628"/>
      <c r="S5" s="532">
        <f>+SUM(S2:S4)</f>
        <v>0.56500000000000006</v>
      </c>
      <c r="T5" s="532">
        <f>+SUM(T2:T4)</f>
        <v>0.44500000000000001</v>
      </c>
      <c r="U5" s="532"/>
      <c r="V5" s="532"/>
    </row>
    <row r="6" spans="1:23" ht="13.5" hidden="1" thickBot="1">
      <c r="A6" s="522">
        <v>9000</v>
      </c>
      <c r="B6" s="523">
        <v>0.91</v>
      </c>
      <c r="C6" s="533">
        <v>0.2</v>
      </c>
      <c r="D6" s="528">
        <v>0.93</v>
      </c>
      <c r="E6" s="524" t="s">
        <v>311</v>
      </c>
      <c r="F6" s="513" t="s">
        <v>23</v>
      </c>
      <c r="G6" s="514">
        <v>3.3</v>
      </c>
      <c r="H6" s="526"/>
      <c r="I6" s="734"/>
      <c r="J6" s="516">
        <v>7000</v>
      </c>
      <c r="K6" s="517">
        <v>1457.32</v>
      </c>
      <c r="L6" s="518"/>
      <c r="M6" s="569"/>
      <c r="R6" s="628"/>
    </row>
    <row r="7" spans="1:23" ht="13.5" hidden="1" thickTop="1">
      <c r="A7" s="522">
        <v>12000</v>
      </c>
      <c r="B7" s="523">
        <v>0.84499999999999997</v>
      </c>
      <c r="C7" s="750" t="s">
        <v>101</v>
      </c>
      <c r="D7" s="751"/>
      <c r="E7" s="534"/>
      <c r="F7" s="525" t="s">
        <v>24</v>
      </c>
      <c r="G7" s="511">
        <v>2.4</v>
      </c>
      <c r="H7" s="526"/>
      <c r="I7" s="735"/>
      <c r="J7" s="516">
        <v>8000</v>
      </c>
      <c r="K7" s="517">
        <v>1515.49</v>
      </c>
      <c r="L7" s="518"/>
      <c r="M7" s="569"/>
      <c r="N7" s="535" t="s">
        <v>282</v>
      </c>
      <c r="R7" s="628"/>
      <c r="S7" s="503" t="s">
        <v>312</v>
      </c>
    </row>
    <row r="8" spans="1:23" ht="13.5" hidden="1" thickBot="1">
      <c r="A8" s="522">
        <v>15000</v>
      </c>
      <c r="B8" s="523">
        <v>0.75900000000000001</v>
      </c>
      <c r="C8" s="536">
        <v>0</v>
      </c>
      <c r="D8" s="537">
        <v>1</v>
      </c>
      <c r="E8" s="538"/>
      <c r="F8" s="527" t="s">
        <v>25</v>
      </c>
      <c r="G8" s="528">
        <v>1.9</v>
      </c>
      <c r="H8" s="526"/>
      <c r="I8" s="735"/>
      <c r="J8" s="516">
        <v>9000</v>
      </c>
      <c r="K8" s="517">
        <v>1566.87</v>
      </c>
      <c r="L8" s="518"/>
      <c r="M8" s="569"/>
      <c r="N8" s="731" t="s">
        <v>27</v>
      </c>
      <c r="O8" s="539" t="s">
        <v>283</v>
      </c>
      <c r="R8" s="628"/>
      <c r="S8" s="540" t="str">
        <f>+IF(COTIZACION!D$7=COTIZACION!$G$241,"FAVOR DE SELECCIONAR",FACTORES!A5)</f>
        <v>FAVOR DE SELECCIONAR</v>
      </c>
      <c r="T8" s="540" t="str">
        <f>+IF(S8&lt;&gt;8000,"",B5)</f>
        <v/>
      </c>
    </row>
    <row r="9" spans="1:23" ht="13.5" hidden="1" thickTop="1">
      <c r="A9" s="522">
        <v>20000</v>
      </c>
      <c r="B9" s="523">
        <v>0.65400000000000003</v>
      </c>
      <c r="C9" s="541">
        <v>0.15</v>
      </c>
      <c r="D9" s="542">
        <v>1.0900000000000001</v>
      </c>
      <c r="E9" s="538"/>
      <c r="F9" s="752" t="s">
        <v>21</v>
      </c>
      <c r="G9" s="753"/>
      <c r="H9" s="526"/>
      <c r="I9" s="735"/>
      <c r="J9" s="516">
        <v>10000</v>
      </c>
      <c r="K9" s="517">
        <v>1612.75</v>
      </c>
      <c r="L9" s="518"/>
      <c r="M9" s="569"/>
      <c r="N9" s="543">
        <v>1</v>
      </c>
      <c r="O9" s="544">
        <v>0.627</v>
      </c>
      <c r="P9" s="545">
        <f>+O9*$O$14</f>
        <v>41382</v>
      </c>
      <c r="R9" s="628"/>
      <c r="S9" s="540" t="str">
        <f>+IF(COTIZACION!D$7=COTIZACION!$G$241,"FAVOR DE SELECCIONAR",FACTORES!A6)</f>
        <v>FAVOR DE SELECCIONAR</v>
      </c>
      <c r="T9" s="540" t="str">
        <f>+IF(S9&lt;&gt;9000,"",B6)</f>
        <v/>
      </c>
    </row>
    <row r="10" spans="1:23" hidden="1">
      <c r="A10" s="522">
        <v>25000</v>
      </c>
      <c r="B10" s="523">
        <v>0.56699999999999995</v>
      </c>
      <c r="C10" s="541">
        <v>0.25</v>
      </c>
      <c r="D10" s="542">
        <v>1.1100000000000001</v>
      </c>
      <c r="E10" s="538"/>
      <c r="F10" s="513" t="s">
        <v>19</v>
      </c>
      <c r="G10" s="546">
        <v>0</v>
      </c>
      <c r="H10" s="526"/>
      <c r="I10" s="735"/>
      <c r="J10" s="516">
        <v>12000</v>
      </c>
      <c r="K10" s="517">
        <v>1683.4180000000001</v>
      </c>
      <c r="L10" s="518"/>
      <c r="M10" s="569"/>
      <c r="N10" s="547">
        <v>2</v>
      </c>
      <c r="O10" s="548">
        <v>0.627</v>
      </c>
      <c r="P10" s="545">
        <f>+O10*$O$14</f>
        <v>41382</v>
      </c>
      <c r="R10" s="628"/>
      <c r="S10" s="549">
        <v>10000</v>
      </c>
      <c r="T10" s="540">
        <v>0.88</v>
      </c>
    </row>
    <row r="11" spans="1:23" hidden="1">
      <c r="A11" s="522">
        <v>30000</v>
      </c>
      <c r="B11" s="523">
        <v>0.52</v>
      </c>
      <c r="C11" s="541">
        <v>0.5</v>
      </c>
      <c r="D11" s="542">
        <v>1.2</v>
      </c>
      <c r="E11" s="538"/>
      <c r="F11" s="525" t="s">
        <v>20</v>
      </c>
      <c r="G11" s="550">
        <v>4.7300000000000002E-2</v>
      </c>
      <c r="H11" s="526"/>
      <c r="I11" s="734"/>
      <c r="J11" s="516">
        <v>15000</v>
      </c>
      <c r="K11" s="517">
        <v>1789.42</v>
      </c>
      <c r="L11" s="518"/>
      <c r="M11" s="569"/>
      <c r="N11" s="547">
        <v>3</v>
      </c>
      <c r="O11" s="548">
        <v>0.73699999999999999</v>
      </c>
      <c r="P11" s="545">
        <f>+O11*$O$14</f>
        <v>48642</v>
      </c>
      <c r="R11" s="628"/>
      <c r="S11" s="549">
        <v>15000</v>
      </c>
      <c r="T11" s="540">
        <v>0.76</v>
      </c>
    </row>
    <row r="12" spans="1:23" hidden="1">
      <c r="A12" s="522">
        <v>35000</v>
      </c>
      <c r="B12" s="523">
        <v>0.48599999999999999</v>
      </c>
      <c r="C12" s="541">
        <v>0.75</v>
      </c>
      <c r="D12" s="542">
        <v>1.28</v>
      </c>
      <c r="E12" s="538"/>
      <c r="F12" s="525" t="s">
        <v>26</v>
      </c>
      <c r="G12" s="550">
        <v>7.0000000000000007E-2</v>
      </c>
      <c r="H12" s="526"/>
      <c r="I12" s="734"/>
      <c r="J12" s="516">
        <v>20000</v>
      </c>
      <c r="K12" s="517">
        <v>1914.79</v>
      </c>
      <c r="L12" s="518"/>
      <c r="M12" s="569"/>
      <c r="N12" s="547">
        <v>4</v>
      </c>
      <c r="O12" s="548">
        <v>0.82399999999999995</v>
      </c>
      <c r="P12" s="545">
        <f>+O12*$O$14</f>
        <v>54384</v>
      </c>
      <c r="R12" s="628"/>
      <c r="S12" s="549">
        <v>20000</v>
      </c>
      <c r="T12" s="540">
        <v>0.66</v>
      </c>
    </row>
    <row r="13" spans="1:23" ht="13.5" hidden="1" thickBot="1">
      <c r="A13" s="522">
        <v>40000</v>
      </c>
      <c r="B13" s="523">
        <v>0.45700000000000002</v>
      </c>
      <c r="C13" s="551">
        <v>1</v>
      </c>
      <c r="D13" s="552">
        <v>1.38</v>
      </c>
      <c r="E13" s="553"/>
      <c r="F13" s="527" t="s">
        <v>146</v>
      </c>
      <c r="G13" s="554">
        <v>0.1</v>
      </c>
      <c r="H13" s="526"/>
      <c r="I13" s="734"/>
      <c r="J13" s="516">
        <v>25000</v>
      </c>
      <c r="K13" s="517">
        <v>2011.99</v>
      </c>
      <c r="L13" s="518"/>
      <c r="M13" s="569"/>
      <c r="N13" s="555">
        <v>5</v>
      </c>
      <c r="O13" s="556">
        <v>1</v>
      </c>
      <c r="P13" s="545">
        <f>+O13*$O$14</f>
        <v>66000</v>
      </c>
      <c r="R13" s="628"/>
      <c r="S13" s="549">
        <v>25000</v>
      </c>
      <c r="T13" s="540">
        <v>0.59</v>
      </c>
    </row>
    <row r="14" spans="1:23" ht="14" hidden="1" thickTop="1" thickBot="1">
      <c r="A14" s="522">
        <v>45000</v>
      </c>
      <c r="B14" s="523">
        <v>0.432</v>
      </c>
      <c r="C14" s="557"/>
      <c r="D14" s="557"/>
      <c r="E14" s="557"/>
      <c r="F14" s="557" t="s">
        <v>292</v>
      </c>
      <c r="G14" s="557"/>
      <c r="H14" s="526"/>
      <c r="I14" s="734"/>
      <c r="J14" s="516">
        <v>30000</v>
      </c>
      <c r="K14" s="517">
        <v>3205.57</v>
      </c>
      <c r="L14" s="518"/>
      <c r="M14" s="569"/>
      <c r="N14" s="558" t="s">
        <v>288</v>
      </c>
      <c r="O14" s="559">
        <v>66000</v>
      </c>
      <c r="R14" s="628"/>
      <c r="S14" s="549">
        <v>30000</v>
      </c>
      <c r="T14" s="540">
        <v>0.53</v>
      </c>
    </row>
    <row r="15" spans="1:23" ht="14" hidden="1" thickTop="1" thickBot="1">
      <c r="A15" s="522">
        <v>50000</v>
      </c>
      <c r="B15" s="523">
        <v>0.40899999999999997</v>
      </c>
      <c r="C15" s="557"/>
      <c r="D15" s="557"/>
      <c r="E15" s="681" t="s">
        <v>367</v>
      </c>
      <c r="F15" s="758" t="s">
        <v>227</v>
      </c>
      <c r="G15" s="759"/>
      <c r="H15" s="526"/>
      <c r="I15" s="734"/>
      <c r="J15" s="516">
        <v>35000</v>
      </c>
      <c r="K15" s="517">
        <v>3308.57</v>
      </c>
      <c r="L15" s="518"/>
      <c r="M15" s="569"/>
      <c r="R15" s="628"/>
      <c r="S15" s="549">
        <v>35000</v>
      </c>
      <c r="T15" s="540">
        <v>0.49</v>
      </c>
    </row>
    <row r="16" spans="1:23" ht="13.5" hidden="1" thickTop="1">
      <c r="A16" s="522">
        <v>60000</v>
      </c>
      <c r="B16" s="560">
        <v>0.36899999999999999</v>
      </c>
      <c r="C16" s="557"/>
      <c r="D16" s="557"/>
      <c r="E16" s="682"/>
      <c r="F16" s="561">
        <v>20000</v>
      </c>
      <c r="G16" s="562">
        <v>3544.23</v>
      </c>
      <c r="H16" s="526"/>
      <c r="I16" s="734"/>
      <c r="J16" s="516">
        <v>40000</v>
      </c>
      <c r="K16" s="517">
        <v>3397.7</v>
      </c>
      <c r="L16" s="518"/>
      <c r="M16" s="569"/>
      <c r="R16" s="628"/>
      <c r="S16" s="549">
        <v>40000</v>
      </c>
      <c r="T16" s="540">
        <v>0.45</v>
      </c>
    </row>
    <row r="17" spans="1:20" hidden="1">
      <c r="A17" s="522">
        <v>70000</v>
      </c>
      <c r="B17" s="560">
        <v>0.33500000000000002</v>
      </c>
      <c r="C17" s="557"/>
      <c r="D17" s="557"/>
      <c r="E17" s="682"/>
      <c r="F17" s="563">
        <v>30000</v>
      </c>
      <c r="G17" s="564">
        <v>3885</v>
      </c>
      <c r="H17" s="526"/>
      <c r="I17" s="734"/>
      <c r="J17" s="516">
        <v>45000</v>
      </c>
      <c r="K17" s="517">
        <v>3476.37</v>
      </c>
      <c r="L17" s="518"/>
      <c r="M17" s="569"/>
      <c r="N17" s="760" t="s">
        <v>380</v>
      </c>
      <c r="O17" s="761"/>
      <c r="R17" s="628"/>
      <c r="S17" s="549">
        <v>45000</v>
      </c>
      <c r="T17" s="540">
        <v>0.42</v>
      </c>
    </row>
    <row r="18" spans="1:20" hidden="1">
      <c r="A18" s="522">
        <v>75000</v>
      </c>
      <c r="B18" s="560">
        <v>0.32</v>
      </c>
      <c r="C18" s="557"/>
      <c r="D18" s="557"/>
      <c r="E18" s="557"/>
      <c r="F18" s="563">
        <v>40000</v>
      </c>
      <c r="G18" s="564">
        <v>12803.47</v>
      </c>
      <c r="H18" s="526"/>
      <c r="I18" s="734"/>
      <c r="J18" s="516">
        <v>50000</v>
      </c>
      <c r="K18" s="517">
        <v>3546.69</v>
      </c>
      <c r="L18" s="518"/>
      <c r="M18" s="569"/>
      <c r="N18" s="625">
        <v>2019</v>
      </c>
      <c r="O18" s="732">
        <v>52400</v>
      </c>
      <c r="R18" s="628"/>
      <c r="S18" s="549">
        <v>50000</v>
      </c>
      <c r="T18" s="540">
        <v>0.39</v>
      </c>
    </row>
    <row r="19" spans="1:20" ht="13.5" hidden="1" thickBot="1">
      <c r="A19" s="565">
        <v>80000</v>
      </c>
      <c r="B19" s="560">
        <v>0.30599999999999999</v>
      </c>
      <c r="C19" s="557"/>
      <c r="D19" s="557"/>
      <c r="E19" s="557"/>
      <c r="F19" s="566">
        <v>50000</v>
      </c>
      <c r="G19" s="567">
        <v>13364.33</v>
      </c>
      <c r="H19" s="526"/>
      <c r="I19" s="680"/>
      <c r="J19" s="568"/>
      <c r="K19" s="569"/>
      <c r="L19" s="569"/>
      <c r="N19" s="625">
        <v>2020</v>
      </c>
      <c r="O19" s="732">
        <v>55500</v>
      </c>
      <c r="P19" s="628"/>
      <c r="S19" s="549">
        <v>60000</v>
      </c>
      <c r="T19" s="540">
        <v>0.34499999999999997</v>
      </c>
    </row>
    <row r="20" spans="1:20" ht="13.5" hidden="1" thickTop="1">
      <c r="A20" s="565">
        <v>90000</v>
      </c>
      <c r="B20" s="560">
        <v>0.28100000000000003</v>
      </c>
      <c r="C20" s="557"/>
      <c r="D20" s="557"/>
      <c r="E20" s="557"/>
      <c r="F20" s="557"/>
      <c r="G20" s="557"/>
      <c r="H20" s="526"/>
      <c r="J20" s="568"/>
      <c r="K20" s="569"/>
      <c r="L20" s="569"/>
      <c r="N20" s="625">
        <v>2021</v>
      </c>
      <c r="O20" s="732">
        <f>+O19*1.05</f>
        <v>58275</v>
      </c>
      <c r="S20" s="549">
        <v>70000</v>
      </c>
      <c r="T20" s="540">
        <v>0.3</v>
      </c>
    </row>
    <row r="21" spans="1:20" ht="13.5" hidden="1" thickBot="1">
      <c r="A21" s="565">
        <v>100000</v>
      </c>
      <c r="B21" s="560">
        <v>0.25800000000000001</v>
      </c>
      <c r="C21" s="557"/>
      <c r="D21" s="557"/>
      <c r="E21" s="557"/>
      <c r="F21" s="557" t="s">
        <v>293</v>
      </c>
      <c r="G21" s="557"/>
      <c r="H21" s="526"/>
      <c r="J21" s="730"/>
      <c r="K21" s="569"/>
      <c r="L21" s="569"/>
      <c r="N21" s="629">
        <v>2022</v>
      </c>
      <c r="O21" s="733">
        <v>61999.996274999998</v>
      </c>
      <c r="S21" s="549">
        <v>75000</v>
      </c>
      <c r="T21" s="540">
        <v>0.28999999999999998</v>
      </c>
    </row>
    <row r="22" spans="1:20" ht="14" hidden="1" thickTop="1" thickBot="1">
      <c r="A22" s="565">
        <v>300000</v>
      </c>
      <c r="B22" s="570">
        <v>0</v>
      </c>
      <c r="C22" s="557"/>
      <c r="D22" s="557"/>
      <c r="E22" s="557"/>
      <c r="F22" s="758" t="s">
        <v>227</v>
      </c>
      <c r="G22" s="759"/>
      <c r="H22" s="557"/>
      <c r="J22" s="557"/>
      <c r="K22" s="557"/>
      <c r="L22" s="557"/>
      <c r="S22" s="549">
        <v>80000</v>
      </c>
      <c r="T22" s="540">
        <v>0.27</v>
      </c>
    </row>
    <row r="23" spans="1:20" ht="13.5" hidden="1" thickTop="1">
      <c r="A23" s="565">
        <v>400000</v>
      </c>
      <c r="B23" s="570">
        <v>0</v>
      </c>
      <c r="C23" s="557"/>
      <c r="D23" s="557"/>
      <c r="E23" s="682">
        <v>0.1</v>
      </c>
      <c r="F23" s="739">
        <v>20000</v>
      </c>
      <c r="G23" s="740">
        <v>3544.23</v>
      </c>
      <c r="H23" s="557"/>
      <c r="I23" s="680"/>
      <c r="J23" s="569"/>
      <c r="S23" s="549">
        <v>90000</v>
      </c>
      <c r="T23" s="540">
        <v>0.23499999999999999</v>
      </c>
    </row>
    <row r="24" spans="1:20" hidden="1">
      <c r="A24" s="565">
        <v>500000</v>
      </c>
      <c r="B24" s="570">
        <v>0</v>
      </c>
      <c r="C24" s="557"/>
      <c r="D24" s="557"/>
      <c r="E24" s="682">
        <v>0.08</v>
      </c>
      <c r="F24" s="741">
        <v>30000</v>
      </c>
      <c r="G24" s="742">
        <v>3885</v>
      </c>
      <c r="H24" s="557"/>
      <c r="I24" s="680"/>
      <c r="J24" s="569"/>
      <c r="S24" s="549">
        <v>100000</v>
      </c>
      <c r="T24" s="540">
        <v>0.215</v>
      </c>
    </row>
    <row r="25" spans="1:20" hidden="1">
      <c r="A25" s="565">
        <v>600000</v>
      </c>
      <c r="B25" s="570">
        <v>0</v>
      </c>
      <c r="C25" s="557"/>
      <c r="D25" s="557"/>
      <c r="E25" s="557"/>
      <c r="F25" s="741">
        <v>40000</v>
      </c>
      <c r="G25" s="742">
        <v>12803.47</v>
      </c>
      <c r="H25" s="557"/>
      <c r="I25" s="680"/>
      <c r="J25" s="569"/>
      <c r="S25" s="549">
        <v>300000</v>
      </c>
      <c r="T25" s="540">
        <v>0</v>
      </c>
    </row>
    <row r="26" spans="1:20" ht="13.5" hidden="1" thickBot="1">
      <c r="A26" s="565">
        <v>700000</v>
      </c>
      <c r="B26" s="570">
        <v>0</v>
      </c>
      <c r="C26" s="557"/>
      <c r="D26" s="557"/>
      <c r="E26" s="557"/>
      <c r="F26" s="743">
        <v>50000</v>
      </c>
      <c r="G26" s="744">
        <v>13364.33</v>
      </c>
      <c r="H26" s="557"/>
      <c r="I26" s="680"/>
      <c r="J26" s="569"/>
      <c r="L26" s="515"/>
      <c r="S26" s="549">
        <v>400000</v>
      </c>
      <c r="T26" s="540">
        <v>0</v>
      </c>
    </row>
    <row r="27" spans="1:20" ht="13.5" hidden="1" thickTop="1">
      <c r="A27" s="565">
        <v>800000</v>
      </c>
      <c r="B27" s="570">
        <v>0</v>
      </c>
      <c r="C27" s="557"/>
      <c r="D27" s="557"/>
      <c r="E27" s="557"/>
      <c r="F27" s="557"/>
      <c r="G27" s="557"/>
      <c r="H27" s="557"/>
      <c r="I27" s="680"/>
      <c r="L27" s="515"/>
      <c r="S27" s="549">
        <v>500000</v>
      </c>
      <c r="T27" s="540">
        <v>0</v>
      </c>
    </row>
    <row r="28" spans="1:20" ht="13.5" hidden="1" thickBot="1">
      <c r="A28" s="565">
        <v>900000</v>
      </c>
      <c r="B28" s="570">
        <v>0</v>
      </c>
      <c r="C28" s="557"/>
      <c r="D28" s="557"/>
      <c r="E28" s="557"/>
      <c r="F28" s="557"/>
      <c r="G28" s="557"/>
      <c r="H28" s="557"/>
      <c r="L28" s="515"/>
      <c r="S28" s="549">
        <v>600000</v>
      </c>
      <c r="T28" s="540">
        <v>0</v>
      </c>
    </row>
    <row r="29" spans="1:20" ht="14" hidden="1" thickTop="1" thickBot="1">
      <c r="A29" s="571">
        <v>1000000</v>
      </c>
      <c r="B29" s="572">
        <v>0</v>
      </c>
      <c r="C29" s="573"/>
      <c r="D29" s="573"/>
      <c r="E29" s="573"/>
      <c r="F29" s="574" t="s">
        <v>27</v>
      </c>
      <c r="G29" s="575" t="s">
        <v>5</v>
      </c>
      <c r="J29" s="576"/>
      <c r="K29" s="576"/>
      <c r="L29" s="577"/>
      <c r="S29" s="549">
        <v>700000</v>
      </c>
      <c r="T29" s="540">
        <v>0</v>
      </c>
    </row>
    <row r="30" spans="1:20" ht="13.5" hidden="1" thickTop="1">
      <c r="C30" s="573"/>
      <c r="D30" s="573"/>
      <c r="E30" s="573"/>
      <c r="F30" s="561">
        <v>1</v>
      </c>
      <c r="G30" s="578">
        <v>0.52</v>
      </c>
      <c r="I30" s="577"/>
      <c r="J30" s="576"/>
      <c r="K30" s="576"/>
      <c r="S30" s="549">
        <v>800000</v>
      </c>
      <c r="T30" s="540">
        <v>0</v>
      </c>
    </row>
    <row r="31" spans="1:20" hidden="1">
      <c r="F31" s="563">
        <v>2</v>
      </c>
      <c r="G31" s="579">
        <v>0.56999999999999995</v>
      </c>
      <c r="I31" s="577"/>
      <c r="J31" s="576"/>
      <c r="K31" s="576"/>
      <c r="L31" s="576"/>
      <c r="M31" s="576"/>
      <c r="S31" s="549">
        <v>900000</v>
      </c>
      <c r="T31" s="540">
        <v>0</v>
      </c>
    </row>
    <row r="32" spans="1:20" hidden="1">
      <c r="A32" s="580" t="s">
        <v>0</v>
      </c>
      <c r="E32" s="581"/>
      <c r="F32" s="563">
        <v>3</v>
      </c>
      <c r="G32" s="579">
        <v>0.67</v>
      </c>
      <c r="I32" s="577"/>
      <c r="J32" s="746" t="s">
        <v>1</v>
      </c>
      <c r="K32" s="747"/>
      <c r="L32" s="576"/>
      <c r="M32" s="746" t="s">
        <v>155</v>
      </c>
      <c r="N32" s="747"/>
      <c r="S32" s="549">
        <v>1000000</v>
      </c>
      <c r="T32" s="540">
        <v>0</v>
      </c>
    </row>
    <row r="33" spans="1:61" hidden="1">
      <c r="A33" s="582" t="s">
        <v>1</v>
      </c>
      <c r="C33" s="583">
        <v>1000000</v>
      </c>
      <c r="D33" s="583"/>
      <c r="E33" s="581"/>
      <c r="F33" s="563">
        <v>4</v>
      </c>
      <c r="G33" s="579">
        <v>0.8</v>
      </c>
      <c r="I33" s="577"/>
      <c r="J33" s="584">
        <v>200000</v>
      </c>
      <c r="K33" s="585">
        <v>0.82</v>
      </c>
      <c r="L33" s="576"/>
      <c r="M33" s="585">
        <v>10000</v>
      </c>
      <c r="N33" s="586">
        <v>221.36</v>
      </c>
    </row>
    <row r="34" spans="1:61" hidden="1">
      <c r="A34" s="582" t="s">
        <v>2</v>
      </c>
      <c r="C34" s="583">
        <v>6000</v>
      </c>
      <c r="D34" s="583"/>
      <c r="E34" s="583"/>
      <c r="F34" s="563">
        <v>5</v>
      </c>
      <c r="G34" s="579">
        <v>1</v>
      </c>
      <c r="I34" s="577"/>
      <c r="J34" s="584">
        <v>300000</v>
      </c>
      <c r="K34" s="585">
        <v>0.86</v>
      </c>
      <c r="L34" s="576"/>
      <c r="M34" s="585">
        <v>20000</v>
      </c>
      <c r="N34" s="585">
        <f t="shared" ref="N34:N45" si="0">ROUND(M34/$M$33*$N$33,2)</f>
        <v>442.72</v>
      </c>
    </row>
    <row r="35" spans="1:61" ht="13.5" hidden="1" thickBot="1">
      <c r="A35" s="582" t="s">
        <v>3</v>
      </c>
      <c r="C35" s="581">
        <v>0.1</v>
      </c>
      <c r="D35" s="581"/>
      <c r="E35" s="581"/>
      <c r="F35" s="563"/>
      <c r="G35" s="579"/>
      <c r="I35" s="587"/>
      <c r="J35" s="584">
        <v>400000</v>
      </c>
      <c r="K35" s="585">
        <v>0.9</v>
      </c>
      <c r="L35" s="576"/>
      <c r="M35" s="585">
        <v>30000</v>
      </c>
      <c r="N35" s="585">
        <f t="shared" si="0"/>
        <v>664.08</v>
      </c>
      <c r="O35" s="588"/>
      <c r="P35" s="736"/>
      <c r="Q35" s="588"/>
      <c r="R35" s="588"/>
      <c r="S35" s="588"/>
      <c r="T35" s="588"/>
      <c r="U35" s="588"/>
      <c r="V35" s="588"/>
      <c r="W35" s="588"/>
      <c r="X35" s="588"/>
      <c r="Y35" s="588"/>
      <c r="Z35" s="588"/>
      <c r="AA35" s="588"/>
      <c r="AB35" s="588"/>
      <c r="AC35" s="588"/>
      <c r="AD35" s="588"/>
      <c r="AE35" s="588"/>
      <c r="AF35" s="588"/>
      <c r="AG35" s="588"/>
      <c r="AH35" s="588"/>
      <c r="AI35" s="588"/>
      <c r="AJ35" s="588"/>
      <c r="AK35" s="588"/>
      <c r="AL35" s="588"/>
      <c r="AM35" s="588"/>
      <c r="AN35" s="588"/>
      <c r="AO35" s="588"/>
      <c r="AP35" s="588"/>
      <c r="AQ35" s="588"/>
      <c r="AR35" s="588"/>
      <c r="AS35" s="588"/>
      <c r="AT35" s="588"/>
      <c r="AU35" s="588"/>
      <c r="AV35" s="588"/>
      <c r="AW35" s="588"/>
      <c r="AX35" s="588"/>
      <c r="AY35" s="588"/>
      <c r="AZ35" s="588"/>
      <c r="BA35" s="588"/>
      <c r="BB35" s="588"/>
      <c r="BC35" s="588"/>
      <c r="BD35" s="588"/>
      <c r="BE35" s="588"/>
      <c r="BF35" s="588"/>
      <c r="BG35" s="588"/>
      <c r="BH35" s="588"/>
      <c r="BI35" s="588"/>
    </row>
    <row r="36" spans="1:61" ht="13.5" hidden="1" thickTop="1">
      <c r="A36" s="589"/>
      <c r="B36" s="754" t="s">
        <v>4</v>
      </c>
      <c r="C36" s="755"/>
      <c r="D36" s="590"/>
      <c r="E36" s="591"/>
      <c r="F36" s="592" t="s">
        <v>27</v>
      </c>
      <c r="G36" s="593">
        <f>+COTIZACION!D14</f>
        <v>5</v>
      </c>
      <c r="H36" s="594" t="str">
        <f>+VLOOKUP(G36,I238:J242,2,FALSE)</f>
        <v>B</v>
      </c>
      <c r="J36" s="584">
        <v>500000</v>
      </c>
      <c r="K36" s="585">
        <v>0.92</v>
      </c>
      <c r="L36" s="576"/>
      <c r="M36" s="585">
        <v>40000</v>
      </c>
      <c r="N36" s="585">
        <f t="shared" si="0"/>
        <v>885.44</v>
      </c>
      <c r="O36" s="595"/>
      <c r="P36" s="596"/>
      <c r="Q36" s="595"/>
      <c r="R36" s="596"/>
      <c r="S36" s="595"/>
      <c r="T36" s="596"/>
      <c r="U36" s="596"/>
      <c r="V36" s="596"/>
      <c r="W36" s="588"/>
      <c r="X36" s="588"/>
      <c r="Y36" s="588"/>
      <c r="Z36" s="588"/>
      <c r="AA36" s="588"/>
      <c r="AB36" s="588"/>
      <c r="AC36" s="588"/>
      <c r="AD36" s="588"/>
      <c r="AE36" s="588"/>
      <c r="AF36" s="588"/>
      <c r="AG36" s="588"/>
      <c r="AH36" s="588"/>
      <c r="AI36" s="588"/>
      <c r="AJ36" s="588"/>
      <c r="AK36" s="588"/>
      <c r="AL36" s="588"/>
      <c r="AM36" s="588"/>
      <c r="AN36" s="588"/>
      <c r="AO36" s="588"/>
      <c r="AP36" s="588"/>
      <c r="AQ36" s="588"/>
      <c r="AR36" s="588"/>
      <c r="AS36" s="588"/>
      <c r="AT36" s="588"/>
      <c r="AU36" s="588"/>
      <c r="AV36" s="588"/>
      <c r="AW36" s="588"/>
      <c r="AX36" s="588"/>
      <c r="AY36" s="588"/>
      <c r="AZ36" s="588"/>
      <c r="BA36" s="588"/>
      <c r="BB36" s="588"/>
      <c r="BC36" s="588"/>
      <c r="BD36" s="588"/>
      <c r="BE36" s="588"/>
      <c r="BF36" s="588"/>
      <c r="BG36" s="588"/>
      <c r="BH36" s="588"/>
      <c r="BI36" s="588"/>
    </row>
    <row r="37" spans="1:61" hidden="1">
      <c r="A37" s="597">
        <f>+IF(COTIZACION!A7+COTIZACION!A8=2,1,0)</f>
        <v>0</v>
      </c>
      <c r="B37" s="598" t="s">
        <v>94</v>
      </c>
      <c r="C37" s="599">
        <v>10000000</v>
      </c>
      <c r="D37" s="600"/>
      <c r="E37" s="599"/>
      <c r="F37" s="601" t="s">
        <v>5</v>
      </c>
      <c r="G37" s="602">
        <f>VLOOKUP(G36,F30:G35,2,FALSE)</f>
        <v>1</v>
      </c>
      <c r="I37" s="595"/>
      <c r="J37" s="584">
        <v>600000</v>
      </c>
      <c r="K37" s="585">
        <v>0.94</v>
      </c>
      <c r="L37" s="576"/>
      <c r="M37" s="585">
        <v>50000</v>
      </c>
      <c r="N37" s="585">
        <f t="shared" si="0"/>
        <v>1106.8</v>
      </c>
      <c r="O37" s="603"/>
      <c r="P37" s="604"/>
      <c r="Q37" s="595"/>
      <c r="R37" s="596"/>
      <c r="S37" s="595"/>
      <c r="T37" s="604"/>
      <c r="U37" s="604"/>
      <c r="V37" s="604"/>
      <c r="W37" s="588"/>
      <c r="X37" s="588"/>
      <c r="Y37" s="588"/>
      <c r="Z37" s="588"/>
      <c r="AA37" s="588"/>
      <c r="AB37" s="588"/>
      <c r="AC37" s="588"/>
      <c r="AD37" s="588"/>
      <c r="AE37" s="588"/>
      <c r="AF37" s="588"/>
      <c r="AG37" s="588"/>
      <c r="AH37" s="588"/>
      <c r="AI37" s="588"/>
      <c r="AJ37" s="588"/>
      <c r="AK37" s="588"/>
      <c r="AL37" s="588"/>
      <c r="AM37" s="588"/>
      <c r="AN37" s="588"/>
      <c r="AO37" s="588"/>
      <c r="AP37" s="588"/>
      <c r="AQ37" s="588"/>
      <c r="AR37" s="588"/>
      <c r="AS37" s="588"/>
      <c r="AT37" s="588"/>
      <c r="AU37" s="588"/>
      <c r="AV37" s="588"/>
      <c r="AW37" s="588"/>
      <c r="AX37" s="588"/>
      <c r="AY37" s="588"/>
      <c r="AZ37" s="588"/>
      <c r="BA37" s="588"/>
      <c r="BB37" s="588"/>
      <c r="BC37" s="588"/>
      <c r="BD37" s="588"/>
      <c r="BE37" s="588"/>
      <c r="BF37" s="588"/>
      <c r="BG37" s="588"/>
      <c r="BH37" s="588"/>
      <c r="BI37" s="588"/>
    </row>
    <row r="38" spans="1:61" ht="13.5" hidden="1" thickBot="1">
      <c r="A38" s="675" t="s">
        <v>6</v>
      </c>
      <c r="B38" s="671" t="s">
        <v>7</v>
      </c>
      <c r="C38" s="606" t="s">
        <v>8</v>
      </c>
      <c r="D38" s="605" t="s">
        <v>7</v>
      </c>
      <c r="E38" s="606" t="s">
        <v>8</v>
      </c>
      <c r="F38" s="607" t="s">
        <v>7</v>
      </c>
      <c r="G38" s="608" t="s">
        <v>8</v>
      </c>
      <c r="I38" s="595"/>
      <c r="J38" s="584">
        <v>700000</v>
      </c>
      <c r="K38" s="585">
        <v>0.96</v>
      </c>
      <c r="L38" s="576"/>
      <c r="M38" s="585">
        <v>75000</v>
      </c>
      <c r="N38" s="585">
        <f t="shared" si="0"/>
        <v>1660.2</v>
      </c>
      <c r="O38" s="595"/>
      <c r="P38" s="737"/>
      <c r="Q38" s="595"/>
      <c r="R38" s="595"/>
      <c r="S38" s="595"/>
      <c r="T38" s="595"/>
      <c r="U38" s="595"/>
      <c r="V38" s="595"/>
      <c r="W38" s="588"/>
      <c r="X38" s="588"/>
      <c r="Y38" s="588"/>
      <c r="Z38" s="588"/>
      <c r="AA38" s="588"/>
      <c r="AB38" s="588"/>
      <c r="AC38" s="588"/>
      <c r="AD38" s="588"/>
      <c r="AE38" s="588"/>
      <c r="AF38" s="588"/>
      <c r="AG38" s="588"/>
      <c r="AH38" s="588"/>
      <c r="AI38" s="588"/>
      <c r="AJ38" s="588"/>
      <c r="AK38" s="588"/>
      <c r="AL38" s="588"/>
      <c r="AM38" s="588"/>
      <c r="AN38" s="588"/>
      <c r="AO38" s="588"/>
      <c r="AP38" s="588"/>
      <c r="AQ38" s="588"/>
      <c r="AR38" s="588"/>
      <c r="AS38" s="588"/>
      <c r="AT38" s="588"/>
      <c r="AU38" s="588"/>
      <c r="AV38" s="588"/>
      <c r="AW38" s="588"/>
      <c r="AX38" s="588"/>
      <c r="AY38" s="588"/>
      <c r="AZ38" s="588"/>
      <c r="BA38" s="588"/>
      <c r="BB38" s="588"/>
      <c r="BC38" s="588"/>
      <c r="BD38" s="588"/>
      <c r="BE38" s="588"/>
      <c r="BF38" s="588"/>
      <c r="BG38" s="588"/>
      <c r="BH38" s="588"/>
      <c r="BI38" s="588"/>
    </row>
    <row r="39" spans="1:61" ht="13.5" hidden="1" thickTop="1">
      <c r="A39" s="676">
        <v>0</v>
      </c>
      <c r="B39" s="672">
        <f t="shared" ref="B39:B70" si="1">IF($A$37=$C$130,ROUND(C132*(1-DESC),2),ROUND(E132*(1-DESC),2))</f>
        <v>14321.05</v>
      </c>
      <c r="C39" s="609">
        <f t="shared" ref="C39:C70" si="2">IF($A$37=$C$130,ROUND(D132*(1-DESC),2),ROUND(F132*(1-DESC),2))</f>
        <v>14329.95</v>
      </c>
      <c r="D39" s="610">
        <f>B39</f>
        <v>14321.05</v>
      </c>
      <c r="E39" s="610">
        <f>C39</f>
        <v>14329.95</v>
      </c>
      <c r="F39" s="611">
        <f t="shared" ref="F39:F70" si="3">ROUND(D39*$G$37,2)</f>
        <v>14321.05</v>
      </c>
      <c r="G39" s="611">
        <f t="shared" ref="G39:G70" si="4">ROUND(E39*$G$37,2)</f>
        <v>14329.95</v>
      </c>
      <c r="I39" s="612"/>
      <c r="J39" s="584">
        <v>800000</v>
      </c>
      <c r="K39" s="585">
        <v>0.97</v>
      </c>
      <c r="L39" s="557"/>
      <c r="M39" s="585">
        <v>100000</v>
      </c>
      <c r="N39" s="585">
        <f t="shared" si="0"/>
        <v>2213.6</v>
      </c>
      <c r="O39" s="612"/>
      <c r="P39" s="612"/>
      <c r="Q39" s="612"/>
      <c r="R39" s="612"/>
      <c r="S39" s="612"/>
      <c r="T39" s="612"/>
      <c r="U39" s="612"/>
      <c r="V39" s="612"/>
      <c r="W39" s="588"/>
      <c r="X39" s="588"/>
      <c r="Y39" s="588"/>
      <c r="Z39" s="588"/>
      <c r="AA39" s="588"/>
      <c r="AB39" s="588"/>
      <c r="AC39" s="588"/>
      <c r="AD39" s="588"/>
      <c r="AE39" s="588"/>
      <c r="AF39" s="588"/>
      <c r="AG39" s="588"/>
      <c r="AH39" s="588"/>
      <c r="AI39" s="588"/>
      <c r="AJ39" s="588"/>
      <c r="AK39" s="588"/>
      <c r="AL39" s="588"/>
      <c r="AM39" s="588"/>
      <c r="AN39" s="588"/>
      <c r="AO39" s="588"/>
      <c r="AP39" s="588"/>
      <c r="AQ39" s="588"/>
      <c r="AR39" s="588"/>
      <c r="AS39" s="588"/>
      <c r="AT39" s="588"/>
      <c r="AU39" s="588"/>
      <c r="AV39" s="588"/>
      <c r="AW39" s="588"/>
      <c r="AX39" s="588"/>
      <c r="AY39" s="588"/>
      <c r="AZ39" s="588"/>
      <c r="BA39" s="588"/>
      <c r="BB39" s="588"/>
      <c r="BC39" s="588"/>
      <c r="BD39" s="588"/>
      <c r="BE39" s="588"/>
      <c r="BF39" s="588"/>
      <c r="BG39" s="588"/>
      <c r="BH39" s="588"/>
      <c r="BI39" s="588"/>
    </row>
    <row r="40" spans="1:61" hidden="1">
      <c r="A40" s="676">
        <v>1</v>
      </c>
      <c r="B40" s="673">
        <f t="shared" si="1"/>
        <v>14321.05</v>
      </c>
      <c r="C40" s="613">
        <f t="shared" si="2"/>
        <v>14329.95</v>
      </c>
      <c r="D40" s="614">
        <f>B40</f>
        <v>14321.05</v>
      </c>
      <c r="E40" s="614">
        <f>C40</f>
        <v>14329.95</v>
      </c>
      <c r="F40" s="615">
        <f t="shared" si="3"/>
        <v>14321.05</v>
      </c>
      <c r="G40" s="615">
        <f t="shared" si="4"/>
        <v>14329.95</v>
      </c>
      <c r="I40" s="612"/>
      <c r="J40" s="584">
        <v>1000000</v>
      </c>
      <c r="K40" s="585">
        <v>1</v>
      </c>
      <c r="L40" s="557"/>
      <c r="M40" s="585">
        <v>150000</v>
      </c>
      <c r="N40" s="585">
        <f t="shared" si="0"/>
        <v>3320.4</v>
      </c>
      <c r="O40" s="612"/>
      <c r="P40" s="612"/>
      <c r="Q40" s="612"/>
      <c r="R40" s="612"/>
      <c r="S40" s="612"/>
      <c r="T40" s="612"/>
      <c r="U40" s="612"/>
      <c r="V40" s="612"/>
      <c r="W40" s="588"/>
      <c r="X40" s="588"/>
      <c r="Y40" s="588"/>
      <c r="Z40" s="588"/>
      <c r="AA40" s="588"/>
      <c r="AB40" s="588"/>
      <c r="AC40" s="588"/>
      <c r="AD40" s="588"/>
      <c r="AE40" s="588"/>
      <c r="AF40" s="588"/>
      <c r="AG40" s="588"/>
      <c r="AH40" s="588"/>
      <c r="AI40" s="588"/>
      <c r="AJ40" s="588"/>
      <c r="AK40" s="588"/>
      <c r="AL40" s="588"/>
      <c r="AM40" s="588"/>
      <c r="AN40" s="588"/>
      <c r="AO40" s="588"/>
      <c r="AP40" s="588"/>
      <c r="AQ40" s="588"/>
      <c r="AR40" s="588"/>
      <c r="AS40" s="588"/>
      <c r="AT40" s="588"/>
      <c r="AU40" s="588"/>
      <c r="AV40" s="588"/>
      <c r="AW40" s="588"/>
      <c r="AX40" s="588"/>
      <c r="AY40" s="588"/>
      <c r="AZ40" s="588"/>
      <c r="BA40" s="588"/>
      <c r="BB40" s="588"/>
      <c r="BC40" s="588"/>
      <c r="BD40" s="588"/>
      <c r="BE40" s="588"/>
      <c r="BF40" s="588"/>
      <c r="BG40" s="588"/>
      <c r="BH40" s="588"/>
      <c r="BI40" s="588"/>
    </row>
    <row r="41" spans="1:61" hidden="1">
      <c r="A41" s="676">
        <f>+A40+1</f>
        <v>2</v>
      </c>
      <c r="B41" s="673">
        <f t="shared" si="1"/>
        <v>14321.05</v>
      </c>
      <c r="C41" s="613">
        <f t="shared" si="2"/>
        <v>14329.95</v>
      </c>
      <c r="D41" s="614">
        <f t="shared" ref="D41:D71" si="5">B41</f>
        <v>14321.05</v>
      </c>
      <c r="E41" s="614">
        <f t="shared" ref="E41:E72" si="6">C41</f>
        <v>14329.95</v>
      </c>
      <c r="F41" s="615">
        <f t="shared" si="3"/>
        <v>14321.05</v>
      </c>
      <c r="G41" s="615">
        <f t="shared" si="4"/>
        <v>14329.95</v>
      </c>
      <c r="I41" s="612"/>
      <c r="J41" s="584">
        <v>2000000</v>
      </c>
      <c r="K41" s="585">
        <v>1.08</v>
      </c>
      <c r="L41" s="557"/>
      <c r="M41" s="585">
        <v>200000</v>
      </c>
      <c r="N41" s="585">
        <f t="shared" si="0"/>
        <v>4427.2</v>
      </c>
      <c r="O41" s="612"/>
      <c r="P41" s="612"/>
      <c r="Q41" s="612"/>
      <c r="R41" s="612"/>
      <c r="S41" s="612"/>
      <c r="T41" s="612"/>
      <c r="U41" s="612"/>
      <c r="V41" s="612"/>
      <c r="W41" s="588"/>
      <c r="X41" s="588"/>
      <c r="Y41" s="588"/>
      <c r="Z41" s="588"/>
      <c r="AA41" s="588"/>
      <c r="AB41" s="588"/>
      <c r="AC41" s="588"/>
      <c r="AD41" s="588"/>
      <c r="AE41" s="588"/>
      <c r="AF41" s="588"/>
      <c r="AG41" s="588"/>
      <c r="AH41" s="588"/>
      <c r="AI41" s="588"/>
      <c r="AJ41" s="588"/>
      <c r="AK41" s="588"/>
      <c r="AL41" s="588"/>
      <c r="AM41" s="588"/>
      <c r="AN41" s="588"/>
      <c r="AO41" s="588"/>
      <c r="AP41" s="588"/>
      <c r="AQ41" s="588"/>
      <c r="AR41" s="588"/>
      <c r="AS41" s="588"/>
      <c r="AT41" s="588"/>
      <c r="AU41" s="588"/>
      <c r="AV41" s="588"/>
      <c r="AW41" s="588"/>
      <c r="AX41" s="588"/>
      <c r="AY41" s="588"/>
      <c r="AZ41" s="588"/>
      <c r="BA41" s="588"/>
      <c r="BB41" s="588"/>
      <c r="BC41" s="588"/>
      <c r="BD41" s="588"/>
      <c r="BE41" s="588"/>
      <c r="BF41" s="588"/>
      <c r="BG41" s="588"/>
      <c r="BH41" s="588"/>
      <c r="BI41" s="588"/>
    </row>
    <row r="42" spans="1:61" hidden="1">
      <c r="A42" s="676">
        <f t="shared" ref="A42:A105" si="7">+A41+1</f>
        <v>3</v>
      </c>
      <c r="B42" s="673">
        <f t="shared" si="1"/>
        <v>14321.05</v>
      </c>
      <c r="C42" s="613">
        <f t="shared" si="2"/>
        <v>14329.95</v>
      </c>
      <c r="D42" s="614">
        <f t="shared" si="5"/>
        <v>14321.05</v>
      </c>
      <c r="E42" s="614">
        <f t="shared" si="6"/>
        <v>14329.95</v>
      </c>
      <c r="F42" s="615">
        <f t="shared" si="3"/>
        <v>14321.05</v>
      </c>
      <c r="G42" s="615">
        <f t="shared" si="4"/>
        <v>14329.95</v>
      </c>
      <c r="I42" s="612"/>
      <c r="J42" s="584">
        <v>3000000</v>
      </c>
      <c r="K42" s="585">
        <v>1.1299999999999999</v>
      </c>
      <c r="L42" s="557"/>
      <c r="M42" s="585">
        <v>250000</v>
      </c>
      <c r="N42" s="585">
        <f t="shared" si="0"/>
        <v>5534</v>
      </c>
      <c r="O42" s="612"/>
      <c r="P42" s="612"/>
      <c r="Q42" s="612"/>
      <c r="R42" s="612"/>
      <c r="S42" s="612"/>
      <c r="T42" s="612"/>
      <c r="U42" s="612"/>
      <c r="V42" s="612"/>
      <c r="W42" s="588"/>
      <c r="X42" s="588"/>
      <c r="Y42" s="588"/>
      <c r="Z42" s="588"/>
      <c r="AA42" s="588"/>
      <c r="AB42" s="588"/>
      <c r="AC42" s="588"/>
      <c r="AD42" s="588"/>
      <c r="AE42" s="588"/>
      <c r="AF42" s="588"/>
      <c r="AG42" s="588"/>
      <c r="AH42" s="588"/>
      <c r="AI42" s="588"/>
      <c r="AJ42" s="588"/>
      <c r="AK42" s="588"/>
      <c r="AL42" s="588"/>
      <c r="AM42" s="588"/>
      <c r="AN42" s="588"/>
      <c r="AO42" s="588"/>
      <c r="AP42" s="588"/>
      <c r="AQ42" s="588"/>
      <c r="AR42" s="588"/>
      <c r="AS42" s="588"/>
      <c r="AT42" s="588"/>
      <c r="AU42" s="588"/>
      <c r="AV42" s="588"/>
      <c r="AW42" s="588"/>
      <c r="AX42" s="588"/>
      <c r="AY42" s="588"/>
      <c r="AZ42" s="588"/>
      <c r="BA42" s="588"/>
      <c r="BB42" s="588"/>
      <c r="BC42" s="588"/>
      <c r="BD42" s="588"/>
      <c r="BE42" s="588"/>
      <c r="BF42" s="588"/>
      <c r="BG42" s="588"/>
      <c r="BH42" s="588"/>
      <c r="BI42" s="588"/>
    </row>
    <row r="43" spans="1:61" hidden="1">
      <c r="A43" s="676">
        <f t="shared" si="7"/>
        <v>4</v>
      </c>
      <c r="B43" s="673">
        <f t="shared" si="1"/>
        <v>14321.05</v>
      </c>
      <c r="C43" s="613">
        <f t="shared" si="2"/>
        <v>14329.95</v>
      </c>
      <c r="D43" s="614">
        <f t="shared" si="5"/>
        <v>14321.05</v>
      </c>
      <c r="E43" s="614">
        <f t="shared" si="6"/>
        <v>14329.95</v>
      </c>
      <c r="F43" s="615">
        <f t="shared" si="3"/>
        <v>14321.05</v>
      </c>
      <c r="G43" s="615">
        <f t="shared" si="4"/>
        <v>14329.95</v>
      </c>
      <c r="I43" s="612"/>
      <c r="J43" s="584">
        <v>4000000</v>
      </c>
      <c r="K43" s="585">
        <v>1.1599999999999999</v>
      </c>
      <c r="L43" s="557"/>
      <c r="M43" s="585">
        <v>300000</v>
      </c>
      <c r="N43" s="585">
        <f t="shared" si="0"/>
        <v>6640.8</v>
      </c>
      <c r="O43" s="612"/>
      <c r="P43" s="612"/>
      <c r="Q43" s="612"/>
      <c r="R43" s="612"/>
      <c r="S43" s="612"/>
      <c r="T43" s="612"/>
      <c r="U43" s="612"/>
      <c r="V43" s="612"/>
      <c r="W43" s="588"/>
      <c r="X43" s="588"/>
      <c r="Y43" s="588"/>
      <c r="Z43" s="588"/>
      <c r="AA43" s="588"/>
      <c r="AB43" s="588"/>
      <c r="AC43" s="588"/>
      <c r="AD43" s="588"/>
      <c r="AE43" s="588"/>
      <c r="AF43" s="588"/>
      <c r="AG43" s="588"/>
      <c r="AH43" s="588"/>
      <c r="AI43" s="588"/>
      <c r="AJ43" s="588"/>
      <c r="AK43" s="588"/>
      <c r="AL43" s="588"/>
      <c r="AM43" s="588"/>
      <c r="AN43" s="588"/>
      <c r="AO43" s="588"/>
      <c r="AP43" s="588"/>
      <c r="AQ43" s="588"/>
      <c r="AR43" s="588"/>
      <c r="AS43" s="588"/>
      <c r="AT43" s="588"/>
      <c r="AU43" s="588"/>
      <c r="AV43" s="588"/>
      <c r="AW43" s="588"/>
      <c r="AX43" s="588"/>
      <c r="AY43" s="588"/>
      <c r="AZ43" s="588"/>
      <c r="BA43" s="588"/>
      <c r="BB43" s="588"/>
      <c r="BC43" s="588"/>
      <c r="BD43" s="588"/>
      <c r="BE43" s="588"/>
      <c r="BF43" s="588"/>
      <c r="BG43" s="588"/>
      <c r="BH43" s="588"/>
      <c r="BI43" s="588"/>
    </row>
    <row r="44" spans="1:61" hidden="1">
      <c r="A44" s="676">
        <f t="shared" si="7"/>
        <v>5</v>
      </c>
      <c r="B44" s="673">
        <f t="shared" si="1"/>
        <v>14321.05</v>
      </c>
      <c r="C44" s="613">
        <f t="shared" si="2"/>
        <v>14329.95</v>
      </c>
      <c r="D44" s="614">
        <f t="shared" si="5"/>
        <v>14321.05</v>
      </c>
      <c r="E44" s="614">
        <f t="shared" si="6"/>
        <v>14329.95</v>
      </c>
      <c r="F44" s="615">
        <f t="shared" si="3"/>
        <v>14321.05</v>
      </c>
      <c r="G44" s="615">
        <f t="shared" si="4"/>
        <v>14329.95</v>
      </c>
      <c r="I44" s="612"/>
      <c r="J44" s="584">
        <v>5000000</v>
      </c>
      <c r="K44" s="585">
        <v>1.18</v>
      </c>
      <c r="L44" s="557"/>
      <c r="M44" s="585">
        <v>350000</v>
      </c>
      <c r="N44" s="585">
        <f t="shared" si="0"/>
        <v>7747.6</v>
      </c>
      <c r="O44" s="612"/>
      <c r="P44" s="612"/>
      <c r="Q44" s="612"/>
      <c r="R44" s="612"/>
      <c r="S44" s="612"/>
      <c r="T44" s="612"/>
      <c r="U44" s="612"/>
      <c r="V44" s="612"/>
      <c r="W44" s="588"/>
      <c r="X44" s="588"/>
      <c r="Y44" s="588"/>
      <c r="Z44" s="588"/>
      <c r="AA44" s="588"/>
      <c r="AB44" s="588"/>
      <c r="AC44" s="588"/>
      <c r="AD44" s="588"/>
      <c r="AE44" s="588"/>
      <c r="AF44" s="588"/>
      <c r="AG44" s="588"/>
      <c r="AH44" s="588"/>
      <c r="AI44" s="588"/>
      <c r="AJ44" s="588"/>
      <c r="AK44" s="588"/>
      <c r="AL44" s="588"/>
      <c r="AM44" s="588"/>
      <c r="AN44" s="588"/>
      <c r="AO44" s="588"/>
      <c r="AP44" s="588"/>
      <c r="AQ44" s="588"/>
      <c r="AR44" s="588"/>
      <c r="AS44" s="588"/>
      <c r="AT44" s="588"/>
      <c r="AU44" s="588"/>
      <c r="AV44" s="588"/>
      <c r="AW44" s="588"/>
      <c r="AX44" s="588"/>
      <c r="AY44" s="588"/>
      <c r="AZ44" s="588"/>
      <c r="BA44" s="588"/>
      <c r="BB44" s="588"/>
      <c r="BC44" s="588"/>
      <c r="BD44" s="588"/>
      <c r="BE44" s="588"/>
      <c r="BF44" s="588"/>
      <c r="BG44" s="588"/>
      <c r="BH44" s="588"/>
      <c r="BI44" s="588"/>
    </row>
    <row r="45" spans="1:61" hidden="1">
      <c r="A45" s="676">
        <f t="shared" si="7"/>
        <v>6</v>
      </c>
      <c r="B45" s="673">
        <f t="shared" si="1"/>
        <v>14321.05</v>
      </c>
      <c r="C45" s="613">
        <f t="shared" si="2"/>
        <v>14329.95</v>
      </c>
      <c r="D45" s="614">
        <f t="shared" si="5"/>
        <v>14321.05</v>
      </c>
      <c r="E45" s="614">
        <f t="shared" si="6"/>
        <v>14329.95</v>
      </c>
      <c r="F45" s="615">
        <f t="shared" si="3"/>
        <v>14321.05</v>
      </c>
      <c r="G45" s="615">
        <f t="shared" si="4"/>
        <v>14329.95</v>
      </c>
      <c r="I45" s="612"/>
      <c r="J45" s="584">
        <v>6000000</v>
      </c>
      <c r="K45" s="585">
        <v>1.2</v>
      </c>
      <c r="L45" s="557"/>
      <c r="M45" s="585">
        <v>400000</v>
      </c>
      <c r="N45" s="585">
        <f t="shared" si="0"/>
        <v>8854.4</v>
      </c>
      <c r="O45" s="612"/>
      <c r="P45" s="612"/>
      <c r="Q45" s="612"/>
      <c r="R45" s="612"/>
      <c r="S45" s="612"/>
      <c r="T45" s="612"/>
      <c r="U45" s="612"/>
      <c r="V45" s="612"/>
      <c r="W45" s="588"/>
      <c r="X45" s="588"/>
      <c r="Y45" s="588"/>
      <c r="Z45" s="588"/>
      <c r="AA45" s="588"/>
      <c r="AB45" s="588"/>
      <c r="AC45" s="588"/>
      <c r="AD45" s="588"/>
      <c r="AE45" s="588"/>
      <c r="AF45" s="588"/>
      <c r="AG45" s="588"/>
      <c r="AH45" s="588"/>
      <c r="AI45" s="588"/>
      <c r="AJ45" s="588"/>
      <c r="AK45" s="588"/>
      <c r="AL45" s="588"/>
      <c r="AM45" s="588"/>
      <c r="AN45" s="588"/>
      <c r="AO45" s="588"/>
      <c r="AP45" s="588"/>
      <c r="AQ45" s="588"/>
      <c r="AR45" s="588"/>
      <c r="AS45" s="588"/>
      <c r="AT45" s="588"/>
      <c r="AU45" s="588"/>
      <c r="AV45" s="588"/>
      <c r="AW45" s="588"/>
      <c r="AX45" s="588"/>
      <c r="AY45" s="588"/>
      <c r="AZ45" s="588"/>
      <c r="BA45" s="588"/>
      <c r="BB45" s="588"/>
      <c r="BC45" s="588"/>
      <c r="BD45" s="588"/>
      <c r="BE45" s="588"/>
      <c r="BF45" s="588"/>
      <c r="BG45" s="588"/>
      <c r="BH45" s="588"/>
      <c r="BI45" s="588"/>
    </row>
    <row r="46" spans="1:61" hidden="1">
      <c r="A46" s="676">
        <f t="shared" si="7"/>
        <v>7</v>
      </c>
      <c r="B46" s="673">
        <f t="shared" si="1"/>
        <v>14321.05</v>
      </c>
      <c r="C46" s="613">
        <f t="shared" si="2"/>
        <v>14329.95</v>
      </c>
      <c r="D46" s="614">
        <f t="shared" si="5"/>
        <v>14321.05</v>
      </c>
      <c r="E46" s="614">
        <f t="shared" si="6"/>
        <v>14329.95</v>
      </c>
      <c r="F46" s="615">
        <f t="shared" si="3"/>
        <v>14321.05</v>
      </c>
      <c r="G46" s="615">
        <f t="shared" si="4"/>
        <v>14329.95</v>
      </c>
      <c r="I46" s="612"/>
      <c r="J46" s="584">
        <v>7000000</v>
      </c>
      <c r="K46" s="585">
        <v>1.22</v>
      </c>
      <c r="L46" s="557"/>
      <c r="M46" s="585">
        <v>450000</v>
      </c>
      <c r="N46" s="585">
        <f t="shared" ref="N46" si="8">ROUND(M46/$M$33*$N$33,2)</f>
        <v>9961.2000000000007</v>
      </c>
      <c r="O46" s="612"/>
      <c r="P46" s="612"/>
      <c r="Q46" s="612"/>
      <c r="R46" s="612"/>
      <c r="S46" s="612"/>
      <c r="T46" s="612"/>
      <c r="U46" s="612"/>
      <c r="V46" s="612"/>
      <c r="W46" s="588"/>
      <c r="X46" s="588"/>
      <c r="Y46" s="588"/>
      <c r="Z46" s="588"/>
      <c r="AA46" s="588"/>
      <c r="AB46" s="588"/>
      <c r="AC46" s="588"/>
      <c r="AD46" s="588"/>
      <c r="AE46" s="588"/>
      <c r="AF46" s="588"/>
      <c r="AG46" s="588"/>
      <c r="AH46" s="588"/>
      <c r="AI46" s="588"/>
      <c r="AJ46" s="588"/>
      <c r="AK46" s="588"/>
      <c r="AL46" s="588"/>
      <c r="AM46" s="588"/>
      <c r="AN46" s="588"/>
      <c r="AO46" s="588"/>
      <c r="AP46" s="588"/>
      <c r="AQ46" s="588"/>
      <c r="AR46" s="588"/>
      <c r="AS46" s="588"/>
      <c r="AT46" s="588"/>
      <c r="AU46" s="588"/>
      <c r="AV46" s="588"/>
      <c r="AW46" s="588"/>
      <c r="AX46" s="588"/>
      <c r="AY46" s="588"/>
      <c r="AZ46" s="588"/>
      <c r="BA46" s="588"/>
      <c r="BB46" s="588"/>
      <c r="BC46" s="588"/>
      <c r="BD46" s="588"/>
      <c r="BE46" s="588"/>
      <c r="BF46" s="588"/>
      <c r="BG46" s="588"/>
      <c r="BH46" s="588"/>
      <c r="BI46" s="588"/>
    </row>
    <row r="47" spans="1:61" hidden="1">
      <c r="A47" s="676">
        <f t="shared" si="7"/>
        <v>8</v>
      </c>
      <c r="B47" s="673">
        <f t="shared" si="1"/>
        <v>14321.05</v>
      </c>
      <c r="C47" s="613">
        <f t="shared" si="2"/>
        <v>14329.95</v>
      </c>
      <c r="D47" s="614">
        <f t="shared" si="5"/>
        <v>14321.05</v>
      </c>
      <c r="E47" s="614">
        <f t="shared" si="6"/>
        <v>14329.95</v>
      </c>
      <c r="F47" s="615">
        <f t="shared" si="3"/>
        <v>14321.05</v>
      </c>
      <c r="G47" s="615">
        <f t="shared" si="4"/>
        <v>14329.95</v>
      </c>
      <c r="I47" s="612"/>
      <c r="J47" s="584">
        <v>8000000</v>
      </c>
      <c r="K47" s="585">
        <v>1.24</v>
      </c>
      <c r="L47" s="557"/>
      <c r="M47" s="585">
        <v>500000</v>
      </c>
      <c r="N47" s="585">
        <f t="shared" ref="N47:N52" si="9">ROUND(M47/$M$33*$N$33,2)</f>
        <v>11068</v>
      </c>
      <c r="O47" s="612"/>
      <c r="P47" s="612"/>
      <c r="Q47" s="612"/>
      <c r="R47" s="612"/>
      <c r="S47" s="612"/>
      <c r="T47" s="612"/>
      <c r="U47" s="612"/>
      <c r="V47" s="612"/>
      <c r="W47" s="588"/>
      <c r="X47" s="588"/>
      <c r="Y47" s="588"/>
      <c r="Z47" s="588"/>
      <c r="AA47" s="588"/>
      <c r="AB47" s="588"/>
      <c r="AC47" s="588"/>
      <c r="AD47" s="588"/>
      <c r="AE47" s="588"/>
      <c r="AF47" s="588"/>
      <c r="AG47" s="588"/>
      <c r="AH47" s="588"/>
      <c r="AI47" s="588"/>
      <c r="AJ47" s="588"/>
      <c r="AK47" s="588"/>
      <c r="AL47" s="588"/>
      <c r="AM47" s="588"/>
      <c r="AN47" s="588"/>
      <c r="AO47" s="588"/>
      <c r="AP47" s="588"/>
      <c r="AQ47" s="588"/>
      <c r="AR47" s="588"/>
      <c r="AS47" s="588"/>
      <c r="AT47" s="588"/>
      <c r="AU47" s="588"/>
      <c r="AV47" s="588"/>
      <c r="AW47" s="588"/>
      <c r="AX47" s="588"/>
      <c r="AY47" s="588"/>
      <c r="AZ47" s="588"/>
      <c r="BA47" s="588"/>
      <c r="BB47" s="588"/>
      <c r="BC47" s="588"/>
      <c r="BD47" s="588"/>
      <c r="BE47" s="588"/>
      <c r="BF47" s="588"/>
      <c r="BG47" s="588"/>
      <c r="BH47" s="588"/>
      <c r="BI47" s="588"/>
    </row>
    <row r="48" spans="1:61" hidden="1">
      <c r="A48" s="676">
        <f t="shared" si="7"/>
        <v>9</v>
      </c>
      <c r="B48" s="673">
        <f t="shared" si="1"/>
        <v>14321.05</v>
      </c>
      <c r="C48" s="613">
        <f t="shared" si="2"/>
        <v>14329.95</v>
      </c>
      <c r="D48" s="614">
        <f t="shared" si="5"/>
        <v>14321.05</v>
      </c>
      <c r="E48" s="614">
        <f t="shared" si="6"/>
        <v>14329.95</v>
      </c>
      <c r="F48" s="615">
        <f t="shared" si="3"/>
        <v>14321.05</v>
      </c>
      <c r="G48" s="615">
        <f t="shared" si="4"/>
        <v>14329.95</v>
      </c>
      <c r="I48" s="612"/>
      <c r="J48" s="584">
        <v>9000000</v>
      </c>
      <c r="K48" s="585">
        <v>1.25</v>
      </c>
      <c r="L48" s="557"/>
      <c r="M48" s="585">
        <v>550000</v>
      </c>
      <c r="N48" s="585">
        <f t="shared" si="9"/>
        <v>12174.8</v>
      </c>
      <c r="O48" s="612"/>
      <c r="P48" s="612"/>
      <c r="Q48" s="612"/>
      <c r="R48" s="612"/>
      <c r="S48" s="612"/>
      <c r="T48" s="612"/>
      <c r="U48" s="612"/>
      <c r="V48" s="612"/>
      <c r="W48" s="588"/>
      <c r="X48" s="588"/>
      <c r="Y48" s="588"/>
      <c r="Z48" s="588"/>
      <c r="AA48" s="588"/>
      <c r="AB48" s="588"/>
      <c r="AC48" s="588"/>
      <c r="AD48" s="588"/>
      <c r="AE48" s="588"/>
      <c r="AF48" s="588"/>
      <c r="AG48" s="588"/>
      <c r="AH48" s="588"/>
      <c r="AI48" s="588"/>
      <c r="AJ48" s="588"/>
      <c r="AK48" s="588"/>
      <c r="AL48" s="588"/>
      <c r="AM48" s="588"/>
      <c r="AN48" s="588"/>
      <c r="AO48" s="588"/>
      <c r="AP48" s="588"/>
      <c r="AQ48" s="588"/>
      <c r="AR48" s="588"/>
      <c r="AS48" s="588"/>
      <c r="AT48" s="588"/>
      <c r="AU48" s="588"/>
      <c r="AV48" s="588"/>
      <c r="AW48" s="588"/>
      <c r="AX48" s="588"/>
      <c r="AY48" s="588"/>
      <c r="AZ48" s="588"/>
      <c r="BA48" s="588"/>
      <c r="BB48" s="588"/>
      <c r="BC48" s="588"/>
      <c r="BD48" s="588"/>
      <c r="BE48" s="588"/>
      <c r="BF48" s="588"/>
      <c r="BG48" s="588"/>
      <c r="BH48" s="588"/>
      <c r="BI48" s="588"/>
    </row>
    <row r="49" spans="1:61" hidden="1">
      <c r="A49" s="676">
        <f t="shared" si="7"/>
        <v>10</v>
      </c>
      <c r="B49" s="673">
        <f t="shared" si="1"/>
        <v>14321.05</v>
      </c>
      <c r="C49" s="613">
        <f t="shared" si="2"/>
        <v>14329.95</v>
      </c>
      <c r="D49" s="614">
        <f t="shared" si="5"/>
        <v>14321.05</v>
      </c>
      <c r="E49" s="614">
        <f t="shared" si="6"/>
        <v>14329.95</v>
      </c>
      <c r="F49" s="615">
        <f t="shared" si="3"/>
        <v>14321.05</v>
      </c>
      <c r="G49" s="615">
        <f t="shared" si="4"/>
        <v>14329.95</v>
      </c>
      <c r="I49" s="612"/>
      <c r="J49" s="584">
        <v>10000000</v>
      </c>
      <c r="K49" s="585">
        <v>1.26</v>
      </c>
      <c r="L49" s="557"/>
      <c r="M49" s="585">
        <v>600000</v>
      </c>
      <c r="N49" s="585">
        <f t="shared" si="9"/>
        <v>13281.6</v>
      </c>
      <c r="O49" s="612"/>
      <c r="P49" s="612"/>
      <c r="Q49" s="612"/>
      <c r="R49" s="612"/>
      <c r="S49" s="612"/>
      <c r="T49" s="612"/>
      <c r="U49" s="612"/>
      <c r="V49" s="612"/>
      <c r="W49" s="588"/>
      <c r="X49" s="588"/>
      <c r="Y49" s="588"/>
      <c r="Z49" s="588"/>
      <c r="AA49" s="588"/>
      <c r="AB49" s="588"/>
      <c r="AC49" s="588"/>
      <c r="AD49" s="588"/>
      <c r="AE49" s="588"/>
      <c r="AF49" s="588"/>
      <c r="AG49" s="588"/>
      <c r="AH49" s="588"/>
      <c r="AI49" s="588"/>
      <c r="AJ49" s="588"/>
      <c r="AK49" s="588"/>
      <c r="AL49" s="588"/>
      <c r="AM49" s="588"/>
      <c r="AN49" s="588"/>
      <c r="AO49" s="588"/>
      <c r="AP49" s="588"/>
      <c r="AQ49" s="588"/>
      <c r="AR49" s="588"/>
      <c r="AS49" s="588"/>
      <c r="AT49" s="588"/>
      <c r="AU49" s="588"/>
      <c r="AV49" s="588"/>
      <c r="AW49" s="588"/>
      <c r="AX49" s="588"/>
      <c r="AY49" s="588"/>
      <c r="AZ49" s="588"/>
      <c r="BA49" s="588"/>
      <c r="BB49" s="588"/>
      <c r="BC49" s="588"/>
      <c r="BD49" s="588"/>
      <c r="BE49" s="588"/>
      <c r="BF49" s="588"/>
      <c r="BG49" s="588"/>
      <c r="BH49" s="588"/>
      <c r="BI49" s="588"/>
    </row>
    <row r="50" spans="1:61" hidden="1">
      <c r="A50" s="676">
        <f t="shared" si="7"/>
        <v>11</v>
      </c>
      <c r="B50" s="673">
        <f t="shared" si="1"/>
        <v>14239.16</v>
      </c>
      <c r="C50" s="613">
        <f t="shared" si="2"/>
        <v>14109.83</v>
      </c>
      <c r="D50" s="614">
        <f t="shared" si="5"/>
        <v>14239.16</v>
      </c>
      <c r="E50" s="614">
        <f t="shared" si="6"/>
        <v>14109.83</v>
      </c>
      <c r="F50" s="615">
        <f t="shared" si="3"/>
        <v>14239.16</v>
      </c>
      <c r="G50" s="615">
        <f t="shared" si="4"/>
        <v>14109.83</v>
      </c>
      <c r="I50" s="612"/>
      <c r="J50" s="584">
        <v>11000000</v>
      </c>
      <c r="K50" s="585">
        <v>1.27</v>
      </c>
      <c r="L50" s="557"/>
      <c r="M50" s="585">
        <v>650000</v>
      </c>
      <c r="N50" s="585">
        <f t="shared" si="9"/>
        <v>14388.4</v>
      </c>
      <c r="O50" s="612"/>
      <c r="P50" s="612"/>
      <c r="Q50" s="612"/>
      <c r="R50" s="612"/>
      <c r="S50" s="612"/>
      <c r="T50" s="612"/>
      <c r="U50" s="612"/>
      <c r="V50" s="612"/>
      <c r="W50" s="588"/>
      <c r="X50" s="588"/>
      <c r="Y50" s="588"/>
      <c r="Z50" s="588"/>
      <c r="AA50" s="588"/>
      <c r="AB50" s="588"/>
      <c r="AC50" s="588"/>
      <c r="AD50" s="588"/>
      <c r="AE50" s="588"/>
      <c r="AF50" s="588"/>
      <c r="AG50" s="588"/>
      <c r="AH50" s="588"/>
      <c r="AI50" s="588"/>
      <c r="AJ50" s="588"/>
      <c r="AK50" s="588"/>
      <c r="AL50" s="588"/>
      <c r="AM50" s="588"/>
      <c r="AN50" s="588"/>
      <c r="AO50" s="588"/>
      <c r="AP50" s="588"/>
      <c r="AQ50" s="588"/>
      <c r="AR50" s="588"/>
      <c r="AS50" s="588"/>
      <c r="AT50" s="588"/>
      <c r="AU50" s="588"/>
      <c r="AV50" s="588"/>
      <c r="AW50" s="588"/>
      <c r="AX50" s="588"/>
      <c r="AY50" s="588"/>
      <c r="AZ50" s="588"/>
      <c r="BA50" s="588"/>
      <c r="BB50" s="588"/>
      <c r="BC50" s="588"/>
      <c r="BD50" s="588"/>
      <c r="BE50" s="588"/>
      <c r="BF50" s="588"/>
      <c r="BG50" s="588"/>
      <c r="BH50" s="588"/>
      <c r="BI50" s="588"/>
    </row>
    <row r="51" spans="1:61" hidden="1">
      <c r="A51" s="676">
        <f t="shared" si="7"/>
        <v>12</v>
      </c>
      <c r="B51" s="673">
        <f t="shared" si="1"/>
        <v>14173.53</v>
      </c>
      <c r="C51" s="613">
        <f t="shared" si="2"/>
        <v>14302.71</v>
      </c>
      <c r="D51" s="614">
        <f t="shared" si="5"/>
        <v>14173.53</v>
      </c>
      <c r="E51" s="614">
        <f t="shared" si="6"/>
        <v>14302.71</v>
      </c>
      <c r="F51" s="615">
        <f t="shared" si="3"/>
        <v>14173.53</v>
      </c>
      <c r="G51" s="615">
        <f t="shared" si="4"/>
        <v>14302.71</v>
      </c>
      <c r="I51" s="612"/>
      <c r="J51" s="584">
        <v>12000000</v>
      </c>
      <c r="K51" s="585">
        <v>1.28</v>
      </c>
      <c r="L51" s="557"/>
      <c r="M51" s="585">
        <v>700000</v>
      </c>
      <c r="N51" s="585">
        <f t="shared" si="9"/>
        <v>15495.2</v>
      </c>
      <c r="O51" s="612"/>
      <c r="P51" s="612"/>
      <c r="Q51" s="612"/>
      <c r="R51" s="612"/>
      <c r="S51" s="612"/>
      <c r="T51" s="612"/>
      <c r="U51" s="612"/>
      <c r="V51" s="612"/>
      <c r="W51" s="588"/>
      <c r="X51" s="588"/>
      <c r="Y51" s="588"/>
      <c r="Z51" s="588"/>
      <c r="AA51" s="588"/>
      <c r="AB51" s="588"/>
      <c r="AC51" s="588"/>
      <c r="AD51" s="588"/>
      <c r="AE51" s="588"/>
      <c r="AF51" s="588"/>
      <c r="AG51" s="588"/>
      <c r="AH51" s="588"/>
      <c r="AI51" s="588"/>
      <c r="AJ51" s="588"/>
      <c r="AK51" s="588"/>
      <c r="AL51" s="588"/>
      <c r="AM51" s="588"/>
      <c r="AN51" s="588"/>
      <c r="AO51" s="588"/>
      <c r="AP51" s="588"/>
      <c r="AQ51" s="588"/>
      <c r="AR51" s="588"/>
      <c r="AS51" s="588"/>
      <c r="AT51" s="588"/>
      <c r="AU51" s="588"/>
      <c r="AV51" s="588"/>
      <c r="AW51" s="588"/>
      <c r="AX51" s="588"/>
      <c r="AY51" s="588"/>
      <c r="AZ51" s="588"/>
      <c r="BA51" s="588"/>
      <c r="BB51" s="588"/>
      <c r="BC51" s="588"/>
      <c r="BD51" s="588"/>
      <c r="BE51" s="588"/>
      <c r="BF51" s="588"/>
      <c r="BG51" s="588"/>
      <c r="BH51" s="588"/>
      <c r="BI51" s="588"/>
    </row>
    <row r="52" spans="1:61" hidden="1">
      <c r="A52" s="676">
        <f t="shared" si="7"/>
        <v>13</v>
      </c>
      <c r="B52" s="673">
        <f t="shared" si="1"/>
        <v>14075.68</v>
      </c>
      <c r="C52" s="613">
        <f t="shared" si="2"/>
        <v>14208.62</v>
      </c>
      <c r="D52" s="614">
        <f t="shared" si="5"/>
        <v>14075.68</v>
      </c>
      <c r="E52" s="614">
        <f t="shared" si="6"/>
        <v>14208.62</v>
      </c>
      <c r="F52" s="615">
        <f t="shared" si="3"/>
        <v>14075.68</v>
      </c>
      <c r="G52" s="615">
        <f t="shared" si="4"/>
        <v>14208.62</v>
      </c>
      <c r="I52" s="612"/>
      <c r="J52" s="584">
        <v>13000000</v>
      </c>
      <c r="K52" s="585">
        <v>1.29</v>
      </c>
      <c r="L52" s="557"/>
      <c r="M52" s="585">
        <v>750000</v>
      </c>
      <c r="N52" s="585">
        <f t="shared" si="9"/>
        <v>16602</v>
      </c>
      <c r="O52" s="612"/>
      <c r="P52" s="612"/>
      <c r="Q52" s="612"/>
      <c r="R52" s="612"/>
      <c r="S52" s="612"/>
      <c r="T52" s="612"/>
      <c r="U52" s="612"/>
      <c r="V52" s="612"/>
      <c r="W52" s="588"/>
      <c r="X52" s="588"/>
      <c r="Y52" s="588"/>
      <c r="Z52" s="588"/>
      <c r="AA52" s="588"/>
      <c r="AB52" s="588"/>
      <c r="AC52" s="588"/>
      <c r="AD52" s="588"/>
      <c r="AE52" s="588"/>
      <c r="AF52" s="588"/>
      <c r="AG52" s="588"/>
      <c r="AH52" s="588"/>
      <c r="AI52" s="588"/>
      <c r="AJ52" s="588"/>
      <c r="AK52" s="588"/>
      <c r="AL52" s="588"/>
      <c r="AM52" s="588"/>
      <c r="AN52" s="588"/>
      <c r="AO52" s="588"/>
      <c r="AP52" s="588"/>
      <c r="AQ52" s="588"/>
      <c r="AR52" s="588"/>
      <c r="AS52" s="588"/>
      <c r="AT52" s="588"/>
      <c r="AU52" s="588"/>
      <c r="AV52" s="588"/>
      <c r="AW52" s="588"/>
      <c r="AX52" s="588"/>
      <c r="AY52" s="588"/>
      <c r="AZ52" s="588"/>
      <c r="BA52" s="588"/>
      <c r="BB52" s="588"/>
      <c r="BC52" s="588"/>
      <c r="BD52" s="588"/>
      <c r="BE52" s="588"/>
      <c r="BF52" s="588"/>
      <c r="BG52" s="588"/>
      <c r="BH52" s="588"/>
      <c r="BI52" s="588"/>
    </row>
    <row r="53" spans="1:61" hidden="1">
      <c r="A53" s="676">
        <f t="shared" si="7"/>
        <v>14</v>
      </c>
      <c r="B53" s="673">
        <f t="shared" si="1"/>
        <v>13710.21</v>
      </c>
      <c r="C53" s="613">
        <f t="shared" si="2"/>
        <v>13919.31</v>
      </c>
      <c r="D53" s="614">
        <f t="shared" si="5"/>
        <v>13710.21</v>
      </c>
      <c r="E53" s="614">
        <f t="shared" si="6"/>
        <v>13919.31</v>
      </c>
      <c r="F53" s="615">
        <f t="shared" si="3"/>
        <v>13710.21</v>
      </c>
      <c r="G53" s="615">
        <f t="shared" si="4"/>
        <v>13919.31</v>
      </c>
      <c r="I53" s="612"/>
      <c r="J53" s="584">
        <v>14000000</v>
      </c>
      <c r="K53" s="585">
        <v>1.3</v>
      </c>
      <c r="L53" s="576"/>
      <c r="M53" s="585">
        <v>800000</v>
      </c>
      <c r="N53" s="585">
        <f>ROUND(M53/$M$33*$N$33,2)</f>
        <v>17708.8</v>
      </c>
      <c r="O53" s="612"/>
      <c r="P53" s="612"/>
      <c r="Q53" s="612"/>
      <c r="R53" s="612"/>
      <c r="S53" s="612"/>
      <c r="T53" s="612"/>
      <c r="U53" s="612"/>
      <c r="V53" s="612"/>
      <c r="W53" s="588"/>
      <c r="X53" s="588"/>
      <c r="Y53" s="588"/>
      <c r="Z53" s="588"/>
      <c r="AA53" s="588"/>
      <c r="AB53" s="588"/>
      <c r="AC53" s="588"/>
      <c r="AD53" s="588"/>
      <c r="AE53" s="588"/>
      <c r="AF53" s="588"/>
      <c r="AG53" s="588"/>
      <c r="AH53" s="588"/>
      <c r="AI53" s="588"/>
      <c r="AJ53" s="588"/>
      <c r="AK53" s="588"/>
      <c r="AL53" s="588"/>
      <c r="AM53" s="588"/>
      <c r="AN53" s="588"/>
      <c r="AO53" s="588"/>
      <c r="AP53" s="588"/>
      <c r="AQ53" s="588"/>
      <c r="AR53" s="588"/>
      <c r="AS53" s="588"/>
      <c r="AT53" s="588"/>
      <c r="AU53" s="588"/>
      <c r="AV53" s="588"/>
      <c r="AW53" s="588"/>
      <c r="AX53" s="588"/>
      <c r="AY53" s="588"/>
      <c r="AZ53" s="588"/>
      <c r="BA53" s="588"/>
      <c r="BB53" s="588"/>
      <c r="BC53" s="588"/>
      <c r="BD53" s="588"/>
      <c r="BE53" s="588"/>
      <c r="BF53" s="588"/>
      <c r="BG53" s="588"/>
      <c r="BH53" s="588"/>
      <c r="BI53" s="588"/>
    </row>
    <row r="54" spans="1:61" hidden="1">
      <c r="A54" s="676">
        <f t="shared" si="7"/>
        <v>15</v>
      </c>
      <c r="B54" s="673">
        <f t="shared" si="1"/>
        <v>13766.06</v>
      </c>
      <c r="C54" s="613">
        <f t="shared" si="2"/>
        <v>13693.41</v>
      </c>
      <c r="D54" s="614">
        <f t="shared" si="5"/>
        <v>13766.06</v>
      </c>
      <c r="E54" s="614">
        <f t="shared" si="6"/>
        <v>13693.41</v>
      </c>
      <c r="F54" s="615">
        <f t="shared" si="3"/>
        <v>13766.06</v>
      </c>
      <c r="G54" s="615">
        <f t="shared" si="4"/>
        <v>13693.41</v>
      </c>
      <c r="I54" s="612"/>
      <c r="J54" s="584">
        <v>15000000</v>
      </c>
      <c r="K54" s="585">
        <v>1.31</v>
      </c>
      <c r="L54" s="576"/>
      <c r="M54" s="585">
        <v>850000</v>
      </c>
      <c r="N54" s="585">
        <f>ROUND(M54/$M$33*$N$33,2)</f>
        <v>18815.599999999999</v>
      </c>
      <c r="O54" s="612"/>
      <c r="P54" s="612"/>
      <c r="Q54" s="612"/>
      <c r="R54" s="612"/>
      <c r="S54" s="612"/>
      <c r="T54" s="612"/>
      <c r="U54" s="612"/>
      <c r="V54" s="612"/>
      <c r="W54" s="588"/>
      <c r="X54" s="588"/>
      <c r="Y54" s="588"/>
      <c r="Z54" s="588"/>
      <c r="AA54" s="588"/>
      <c r="AB54" s="588"/>
      <c r="AC54" s="588"/>
      <c r="AD54" s="588"/>
      <c r="AE54" s="588"/>
      <c r="AF54" s="588"/>
      <c r="AG54" s="588"/>
      <c r="AH54" s="588"/>
      <c r="AI54" s="588"/>
      <c r="AJ54" s="588"/>
      <c r="AK54" s="588"/>
      <c r="AL54" s="588"/>
      <c r="AM54" s="588"/>
      <c r="AN54" s="588"/>
      <c r="AO54" s="588"/>
      <c r="AP54" s="588"/>
      <c r="AQ54" s="588"/>
      <c r="AR54" s="588"/>
      <c r="AS54" s="588"/>
      <c r="AT54" s="588"/>
      <c r="AU54" s="588"/>
      <c r="AV54" s="588"/>
      <c r="AW54" s="588"/>
      <c r="AX54" s="588"/>
      <c r="AY54" s="588"/>
      <c r="AZ54" s="588"/>
      <c r="BA54" s="588"/>
      <c r="BB54" s="588"/>
      <c r="BC54" s="588"/>
      <c r="BD54" s="588"/>
      <c r="BE54" s="588"/>
      <c r="BF54" s="588"/>
      <c r="BG54" s="588"/>
      <c r="BH54" s="588"/>
      <c r="BI54" s="588"/>
    </row>
    <row r="55" spans="1:61" hidden="1">
      <c r="A55" s="676">
        <f t="shared" si="7"/>
        <v>16</v>
      </c>
      <c r="B55" s="673">
        <f t="shared" si="1"/>
        <v>13508.63</v>
      </c>
      <c r="C55" s="613">
        <f t="shared" si="2"/>
        <v>13174.1</v>
      </c>
      <c r="D55" s="614">
        <f t="shared" si="5"/>
        <v>13508.63</v>
      </c>
      <c r="E55" s="614">
        <f t="shared" si="6"/>
        <v>13174.1</v>
      </c>
      <c r="F55" s="615">
        <f t="shared" si="3"/>
        <v>13508.63</v>
      </c>
      <c r="G55" s="615">
        <f t="shared" si="4"/>
        <v>13174.1</v>
      </c>
      <c r="I55" s="612"/>
      <c r="J55" s="584">
        <v>16000000</v>
      </c>
      <c r="K55" s="585">
        <v>1.32</v>
      </c>
      <c r="L55" s="616"/>
      <c r="M55" s="617">
        <v>900000</v>
      </c>
      <c r="N55" s="617">
        <f>ROUND(M55/$M$33*$N$33,2)</f>
        <v>19922.400000000001</v>
      </c>
      <c r="O55" s="612"/>
      <c r="P55" s="612"/>
      <c r="Q55" s="612"/>
      <c r="R55" s="612"/>
      <c r="S55" s="612"/>
      <c r="T55" s="612"/>
      <c r="U55" s="612"/>
      <c r="V55" s="612"/>
      <c r="W55" s="588"/>
      <c r="X55" s="588"/>
      <c r="Y55" s="588"/>
      <c r="Z55" s="588"/>
      <c r="AA55" s="588"/>
      <c r="AB55" s="588"/>
      <c r="AC55" s="588"/>
      <c r="AD55" s="588"/>
      <c r="AE55" s="588"/>
      <c r="AF55" s="588"/>
      <c r="AG55" s="588"/>
      <c r="AH55" s="588"/>
      <c r="AI55" s="588"/>
      <c r="AJ55" s="588"/>
      <c r="AK55" s="588"/>
      <c r="AL55" s="588"/>
      <c r="AM55" s="588"/>
      <c r="AN55" s="588"/>
      <c r="AO55" s="588"/>
      <c r="AP55" s="588"/>
      <c r="AQ55" s="588"/>
      <c r="AR55" s="588"/>
      <c r="AS55" s="588"/>
      <c r="AT55" s="588"/>
      <c r="AU55" s="588"/>
      <c r="AV55" s="588"/>
      <c r="AW55" s="588"/>
      <c r="AX55" s="588"/>
      <c r="AY55" s="588"/>
      <c r="AZ55" s="588"/>
      <c r="BA55" s="588"/>
      <c r="BB55" s="588"/>
      <c r="BC55" s="588"/>
      <c r="BD55" s="588"/>
      <c r="BE55" s="588"/>
      <c r="BF55" s="588"/>
      <c r="BG55" s="588"/>
      <c r="BH55" s="588"/>
      <c r="BI55" s="588"/>
    </row>
    <row r="56" spans="1:61" hidden="1">
      <c r="A56" s="676">
        <f t="shared" si="7"/>
        <v>17</v>
      </c>
      <c r="B56" s="673">
        <f t="shared" si="1"/>
        <v>13582.96</v>
      </c>
      <c r="C56" s="613">
        <f t="shared" si="2"/>
        <v>13382.85</v>
      </c>
      <c r="D56" s="614">
        <f t="shared" si="5"/>
        <v>13582.96</v>
      </c>
      <c r="E56" s="614">
        <f t="shared" si="6"/>
        <v>13382.85</v>
      </c>
      <c r="F56" s="615">
        <f t="shared" si="3"/>
        <v>13582.96</v>
      </c>
      <c r="G56" s="615">
        <f t="shared" si="4"/>
        <v>13382.85</v>
      </c>
      <c r="I56" s="612"/>
      <c r="J56" s="584">
        <v>18000000</v>
      </c>
      <c r="K56" s="585">
        <v>1.33</v>
      </c>
      <c r="L56" s="616"/>
      <c r="O56" s="612"/>
      <c r="P56" s="612"/>
      <c r="Q56" s="612"/>
      <c r="R56" s="612"/>
      <c r="S56" s="612"/>
      <c r="T56" s="612"/>
      <c r="U56" s="612"/>
      <c r="V56" s="612"/>
      <c r="W56" s="588"/>
      <c r="X56" s="588"/>
      <c r="Y56" s="588"/>
      <c r="Z56" s="588"/>
      <c r="AA56" s="588"/>
      <c r="AB56" s="588"/>
      <c r="AC56" s="588"/>
      <c r="AD56" s="588"/>
      <c r="AE56" s="588"/>
      <c r="AF56" s="588"/>
      <c r="AG56" s="588"/>
      <c r="AH56" s="588"/>
      <c r="AI56" s="588"/>
      <c r="AJ56" s="588"/>
      <c r="AK56" s="588"/>
      <c r="AL56" s="588"/>
      <c r="AM56" s="588"/>
      <c r="AN56" s="588"/>
      <c r="AO56" s="588"/>
      <c r="AP56" s="588"/>
      <c r="AQ56" s="588"/>
      <c r="AR56" s="588"/>
      <c r="AS56" s="588"/>
      <c r="AT56" s="588"/>
      <c r="AU56" s="588"/>
      <c r="AV56" s="588"/>
      <c r="AW56" s="588"/>
      <c r="AX56" s="588"/>
      <c r="AY56" s="588"/>
      <c r="AZ56" s="588"/>
      <c r="BA56" s="588"/>
      <c r="BB56" s="588"/>
      <c r="BC56" s="588"/>
      <c r="BD56" s="588"/>
      <c r="BE56" s="588"/>
      <c r="BF56" s="588"/>
      <c r="BG56" s="588"/>
      <c r="BH56" s="588"/>
      <c r="BI56" s="588"/>
    </row>
    <row r="57" spans="1:61" hidden="1">
      <c r="A57" s="676">
        <f t="shared" si="7"/>
        <v>18</v>
      </c>
      <c r="B57" s="673">
        <f t="shared" si="1"/>
        <v>13980.3</v>
      </c>
      <c r="C57" s="613">
        <f t="shared" si="2"/>
        <v>12644.51</v>
      </c>
      <c r="D57" s="614">
        <f t="shared" si="5"/>
        <v>13980.3</v>
      </c>
      <c r="E57" s="614">
        <f t="shared" si="6"/>
        <v>12644.51</v>
      </c>
      <c r="F57" s="615">
        <f t="shared" si="3"/>
        <v>13980.3</v>
      </c>
      <c r="G57" s="615">
        <f t="shared" si="4"/>
        <v>12644.51</v>
      </c>
      <c r="I57" s="612"/>
      <c r="J57" s="584">
        <v>20000000</v>
      </c>
      <c r="K57" s="585">
        <v>1.34</v>
      </c>
      <c r="L57" s="616"/>
      <c r="O57" s="612"/>
      <c r="P57" s="612"/>
      <c r="Q57" s="612"/>
      <c r="R57" s="612"/>
      <c r="S57" s="612"/>
      <c r="T57" s="612"/>
      <c r="U57" s="612"/>
      <c r="V57" s="612"/>
      <c r="W57" s="588"/>
      <c r="X57" s="588"/>
      <c r="Y57" s="588"/>
      <c r="Z57" s="588"/>
      <c r="AA57" s="588"/>
      <c r="AB57" s="588"/>
      <c r="AC57" s="588"/>
      <c r="AD57" s="588"/>
      <c r="AE57" s="588"/>
      <c r="AF57" s="588"/>
      <c r="AG57" s="588"/>
      <c r="AH57" s="588"/>
      <c r="AI57" s="588"/>
      <c r="AJ57" s="588"/>
      <c r="AK57" s="588"/>
      <c r="AL57" s="588"/>
      <c r="AM57" s="588"/>
      <c r="AN57" s="588"/>
      <c r="AO57" s="588"/>
      <c r="AP57" s="588"/>
      <c r="AQ57" s="588"/>
      <c r="AR57" s="588"/>
      <c r="AS57" s="588"/>
      <c r="AT57" s="588"/>
      <c r="AU57" s="588"/>
      <c r="AV57" s="588"/>
      <c r="AW57" s="588"/>
      <c r="AX57" s="588"/>
      <c r="AY57" s="588"/>
      <c r="AZ57" s="588"/>
      <c r="BA57" s="588"/>
      <c r="BB57" s="588"/>
      <c r="BC57" s="588"/>
      <c r="BD57" s="588"/>
      <c r="BE57" s="588"/>
      <c r="BF57" s="588"/>
      <c r="BG57" s="588"/>
      <c r="BH57" s="588"/>
      <c r="BI57" s="588"/>
    </row>
    <row r="58" spans="1:61" hidden="1">
      <c r="A58" s="676">
        <f t="shared" si="7"/>
        <v>19</v>
      </c>
      <c r="B58" s="673">
        <f t="shared" si="1"/>
        <v>14454.88</v>
      </c>
      <c r="C58" s="613">
        <f t="shared" si="2"/>
        <v>12832.46</v>
      </c>
      <c r="D58" s="614">
        <f t="shared" si="5"/>
        <v>14454.88</v>
      </c>
      <c r="E58" s="614">
        <f t="shared" si="6"/>
        <v>12832.46</v>
      </c>
      <c r="F58" s="615">
        <f t="shared" si="3"/>
        <v>14454.88</v>
      </c>
      <c r="G58" s="615">
        <f t="shared" si="4"/>
        <v>12832.46</v>
      </c>
      <c r="I58" s="612"/>
      <c r="J58" s="584">
        <v>22000000</v>
      </c>
      <c r="K58" s="585">
        <v>1.35</v>
      </c>
      <c r="L58" s="616"/>
      <c r="O58" s="612"/>
      <c r="P58" s="612"/>
      <c r="Q58" s="612"/>
      <c r="R58" s="612"/>
      <c r="S58" s="612"/>
      <c r="T58" s="612"/>
      <c r="U58" s="612"/>
      <c r="V58" s="612"/>
      <c r="W58" s="588"/>
      <c r="X58" s="588"/>
      <c r="Y58" s="588"/>
      <c r="Z58" s="588"/>
      <c r="AA58" s="588"/>
      <c r="AB58" s="588"/>
      <c r="AC58" s="588"/>
      <c r="AD58" s="588"/>
      <c r="AE58" s="588"/>
      <c r="AF58" s="588"/>
      <c r="AG58" s="588"/>
      <c r="AH58" s="588"/>
      <c r="AI58" s="588"/>
      <c r="AJ58" s="588"/>
      <c r="AK58" s="588"/>
      <c r="AL58" s="588"/>
      <c r="AM58" s="588"/>
      <c r="AN58" s="588"/>
      <c r="AO58" s="588"/>
      <c r="AP58" s="588"/>
      <c r="AQ58" s="588"/>
      <c r="AR58" s="588"/>
      <c r="AS58" s="588"/>
      <c r="AT58" s="588"/>
      <c r="AU58" s="588"/>
      <c r="AV58" s="588"/>
      <c r="AW58" s="588"/>
      <c r="AX58" s="588"/>
      <c r="AY58" s="588"/>
      <c r="AZ58" s="588"/>
      <c r="BA58" s="588"/>
      <c r="BB58" s="588"/>
      <c r="BC58" s="588"/>
      <c r="BD58" s="588"/>
      <c r="BE58" s="588"/>
      <c r="BF58" s="588"/>
      <c r="BG58" s="588"/>
      <c r="BH58" s="588"/>
      <c r="BI58" s="588"/>
    </row>
    <row r="59" spans="1:61" hidden="1">
      <c r="A59" s="676">
        <f t="shared" si="7"/>
        <v>20</v>
      </c>
      <c r="B59" s="673">
        <f t="shared" si="1"/>
        <v>14893.49</v>
      </c>
      <c r="C59" s="613">
        <f t="shared" si="2"/>
        <v>14891.06</v>
      </c>
      <c r="D59" s="614">
        <f t="shared" si="5"/>
        <v>14893.49</v>
      </c>
      <c r="E59" s="614">
        <f t="shared" si="6"/>
        <v>14891.06</v>
      </c>
      <c r="F59" s="615">
        <f t="shared" si="3"/>
        <v>14893.49</v>
      </c>
      <c r="G59" s="615">
        <f t="shared" si="4"/>
        <v>14891.06</v>
      </c>
      <c r="I59" s="612"/>
      <c r="J59" s="584">
        <v>24000000</v>
      </c>
      <c r="K59" s="585">
        <v>1.36</v>
      </c>
      <c r="L59" s="616"/>
      <c r="O59" s="612"/>
      <c r="P59" s="612"/>
      <c r="Q59" s="612"/>
      <c r="R59" s="612"/>
      <c r="S59" s="612"/>
      <c r="T59" s="612"/>
      <c r="U59" s="612"/>
      <c r="V59" s="612"/>
      <c r="W59" s="588"/>
      <c r="X59" s="588"/>
      <c r="Y59" s="588"/>
      <c r="Z59" s="588"/>
      <c r="AA59" s="588"/>
      <c r="AB59" s="588"/>
      <c r="AC59" s="588"/>
      <c r="AD59" s="588"/>
      <c r="AE59" s="588"/>
      <c r="AF59" s="588"/>
      <c r="AG59" s="588"/>
      <c r="AH59" s="588"/>
      <c r="AI59" s="588"/>
      <c r="AJ59" s="588"/>
      <c r="AK59" s="588"/>
      <c r="AL59" s="588"/>
      <c r="AM59" s="588"/>
      <c r="AN59" s="588"/>
      <c r="AO59" s="588"/>
      <c r="AP59" s="588"/>
      <c r="AQ59" s="588"/>
      <c r="AR59" s="588"/>
      <c r="AS59" s="588"/>
      <c r="AT59" s="588"/>
      <c r="AU59" s="588"/>
      <c r="AV59" s="588"/>
      <c r="AW59" s="588"/>
      <c r="AX59" s="588"/>
      <c r="AY59" s="588"/>
      <c r="AZ59" s="588"/>
      <c r="BA59" s="588"/>
      <c r="BB59" s="588"/>
      <c r="BC59" s="588"/>
      <c r="BD59" s="588"/>
      <c r="BE59" s="588"/>
      <c r="BF59" s="588"/>
      <c r="BG59" s="588"/>
      <c r="BH59" s="588"/>
      <c r="BI59" s="588"/>
    </row>
    <row r="60" spans="1:61" hidden="1">
      <c r="A60" s="676">
        <f t="shared" si="7"/>
        <v>21</v>
      </c>
      <c r="B60" s="673">
        <f t="shared" si="1"/>
        <v>15677.1</v>
      </c>
      <c r="C60" s="613">
        <f t="shared" si="2"/>
        <v>19309.45</v>
      </c>
      <c r="D60" s="614">
        <f t="shared" si="5"/>
        <v>15677.1</v>
      </c>
      <c r="E60" s="614">
        <f t="shared" si="6"/>
        <v>19309.45</v>
      </c>
      <c r="F60" s="615">
        <f t="shared" si="3"/>
        <v>15677.1</v>
      </c>
      <c r="G60" s="615">
        <f t="shared" si="4"/>
        <v>19309.45</v>
      </c>
      <c r="I60" s="612"/>
      <c r="J60" s="584">
        <v>26000000</v>
      </c>
      <c r="K60" s="585">
        <v>1.37</v>
      </c>
      <c r="L60" s="616"/>
      <c r="O60" s="612"/>
      <c r="P60" s="612"/>
      <c r="Q60" s="612"/>
      <c r="R60" s="612"/>
      <c r="S60" s="612"/>
      <c r="T60" s="612"/>
      <c r="U60" s="612"/>
      <c r="V60" s="612"/>
      <c r="W60" s="588"/>
      <c r="X60" s="588"/>
      <c r="Y60" s="588"/>
      <c r="Z60" s="588"/>
      <c r="AA60" s="588"/>
      <c r="AB60" s="588"/>
      <c r="AC60" s="588"/>
      <c r="AD60" s="588"/>
      <c r="AE60" s="588"/>
      <c r="AF60" s="588"/>
      <c r="AG60" s="588"/>
      <c r="AH60" s="588"/>
      <c r="AI60" s="588"/>
      <c r="AJ60" s="588"/>
      <c r="AK60" s="588"/>
      <c r="AL60" s="588"/>
      <c r="AM60" s="588"/>
      <c r="AN60" s="588"/>
      <c r="AO60" s="588"/>
      <c r="AP60" s="588"/>
      <c r="AQ60" s="588"/>
      <c r="AR60" s="588"/>
      <c r="AS60" s="588"/>
      <c r="AT60" s="588"/>
      <c r="AU60" s="588"/>
      <c r="AV60" s="588"/>
      <c r="AW60" s="588"/>
      <c r="AX60" s="588"/>
      <c r="AY60" s="588"/>
      <c r="AZ60" s="588"/>
      <c r="BA60" s="588"/>
      <c r="BB60" s="588"/>
      <c r="BC60" s="588"/>
      <c r="BD60" s="588"/>
      <c r="BE60" s="588"/>
      <c r="BF60" s="588"/>
      <c r="BG60" s="588"/>
      <c r="BH60" s="588"/>
      <c r="BI60" s="588"/>
    </row>
    <row r="61" spans="1:61" hidden="1">
      <c r="A61" s="676">
        <f t="shared" si="7"/>
        <v>22</v>
      </c>
      <c r="B61" s="673">
        <f t="shared" si="1"/>
        <v>16380.25</v>
      </c>
      <c r="C61" s="613">
        <f t="shared" si="2"/>
        <v>20242.599999999999</v>
      </c>
      <c r="D61" s="614">
        <f t="shared" si="5"/>
        <v>16380.25</v>
      </c>
      <c r="E61" s="614">
        <f t="shared" si="6"/>
        <v>20242.599999999999</v>
      </c>
      <c r="F61" s="615">
        <f t="shared" si="3"/>
        <v>16380.25</v>
      </c>
      <c r="G61" s="615">
        <f t="shared" si="4"/>
        <v>20242.599999999999</v>
      </c>
      <c r="I61" s="612"/>
      <c r="J61" s="584">
        <v>28000000</v>
      </c>
      <c r="K61" s="585">
        <v>1.38</v>
      </c>
      <c r="L61" s="616"/>
      <c r="O61" s="612"/>
      <c r="P61" s="612"/>
      <c r="Q61" s="612"/>
      <c r="R61" s="612"/>
      <c r="S61" s="612"/>
      <c r="T61" s="612"/>
      <c r="U61" s="612"/>
      <c r="V61" s="612"/>
      <c r="W61" s="588"/>
      <c r="X61" s="588"/>
      <c r="Y61" s="588"/>
      <c r="Z61" s="588"/>
      <c r="AA61" s="588"/>
      <c r="AB61" s="588"/>
      <c r="AC61" s="588"/>
      <c r="AD61" s="588"/>
      <c r="AE61" s="588"/>
      <c r="AF61" s="588"/>
      <c r="AG61" s="588"/>
      <c r="AH61" s="588"/>
      <c r="AI61" s="588"/>
      <c r="AJ61" s="588"/>
      <c r="AK61" s="588"/>
      <c r="AL61" s="588"/>
      <c r="AM61" s="588"/>
      <c r="AN61" s="588"/>
      <c r="AO61" s="588"/>
      <c r="AP61" s="588"/>
      <c r="AQ61" s="588"/>
      <c r="AR61" s="588"/>
      <c r="AS61" s="588"/>
      <c r="AT61" s="588"/>
      <c r="AU61" s="588"/>
      <c r="AV61" s="588"/>
      <c r="AW61" s="588"/>
      <c r="AX61" s="588"/>
      <c r="AY61" s="588"/>
      <c r="AZ61" s="588"/>
      <c r="BA61" s="588"/>
      <c r="BB61" s="588"/>
      <c r="BC61" s="588"/>
      <c r="BD61" s="588"/>
      <c r="BE61" s="588"/>
      <c r="BF61" s="588"/>
      <c r="BG61" s="588"/>
      <c r="BH61" s="588"/>
      <c r="BI61" s="588"/>
    </row>
    <row r="62" spans="1:61" hidden="1">
      <c r="A62" s="676">
        <f t="shared" si="7"/>
        <v>23</v>
      </c>
      <c r="B62" s="673">
        <f t="shared" si="1"/>
        <v>17461.62</v>
      </c>
      <c r="C62" s="613">
        <f t="shared" si="2"/>
        <v>21211.49</v>
      </c>
      <c r="D62" s="614">
        <f t="shared" si="5"/>
        <v>17461.62</v>
      </c>
      <c r="E62" s="614">
        <f t="shared" si="6"/>
        <v>21211.49</v>
      </c>
      <c r="F62" s="615">
        <f t="shared" si="3"/>
        <v>17461.62</v>
      </c>
      <c r="G62" s="615">
        <f t="shared" si="4"/>
        <v>21211.49</v>
      </c>
      <c r="I62" s="612"/>
      <c r="J62" s="584">
        <v>30000000</v>
      </c>
      <c r="K62" s="585">
        <v>1.39</v>
      </c>
      <c r="L62" s="616"/>
      <c r="O62" s="612"/>
      <c r="P62" s="612"/>
      <c r="Q62" s="612"/>
      <c r="R62" s="612"/>
      <c r="S62" s="612"/>
      <c r="T62" s="612"/>
      <c r="U62" s="612"/>
      <c r="V62" s="612"/>
      <c r="W62" s="588"/>
      <c r="X62" s="588"/>
      <c r="Y62" s="588"/>
      <c r="Z62" s="588"/>
      <c r="AA62" s="588"/>
      <c r="AB62" s="588"/>
      <c r="AC62" s="588"/>
      <c r="AD62" s="588"/>
      <c r="AE62" s="588"/>
      <c r="AF62" s="588"/>
      <c r="AG62" s="588"/>
      <c r="AH62" s="588"/>
      <c r="AI62" s="588"/>
      <c r="AJ62" s="588"/>
      <c r="AK62" s="588"/>
      <c r="AL62" s="588"/>
      <c r="AM62" s="588"/>
      <c r="AN62" s="588"/>
      <c r="AO62" s="588"/>
      <c r="AP62" s="588"/>
      <c r="AQ62" s="588"/>
      <c r="AR62" s="588"/>
      <c r="AS62" s="588"/>
      <c r="AT62" s="588"/>
      <c r="AU62" s="588"/>
      <c r="AV62" s="588"/>
      <c r="AW62" s="588"/>
      <c r="AX62" s="588"/>
      <c r="AY62" s="588"/>
      <c r="AZ62" s="588"/>
      <c r="BA62" s="588"/>
      <c r="BB62" s="588"/>
      <c r="BC62" s="588"/>
      <c r="BD62" s="588"/>
      <c r="BE62" s="588"/>
      <c r="BF62" s="588"/>
      <c r="BG62" s="588"/>
      <c r="BH62" s="588"/>
      <c r="BI62" s="588"/>
    </row>
    <row r="63" spans="1:61" hidden="1">
      <c r="A63" s="676">
        <f t="shared" si="7"/>
        <v>24</v>
      </c>
      <c r="B63" s="673">
        <f t="shared" si="1"/>
        <v>18187.75</v>
      </c>
      <c r="C63" s="613">
        <f t="shared" si="2"/>
        <v>22221.89</v>
      </c>
      <c r="D63" s="614">
        <f t="shared" si="5"/>
        <v>18187.75</v>
      </c>
      <c r="E63" s="614">
        <f t="shared" si="6"/>
        <v>22221.89</v>
      </c>
      <c r="F63" s="615">
        <f t="shared" si="3"/>
        <v>18187.75</v>
      </c>
      <c r="G63" s="615">
        <f t="shared" si="4"/>
        <v>22221.89</v>
      </c>
      <c r="I63" s="612"/>
      <c r="J63" s="584">
        <v>40000000</v>
      </c>
      <c r="K63" s="585">
        <v>1.42</v>
      </c>
      <c r="L63" s="616"/>
      <c r="O63" s="612"/>
      <c r="P63" s="612"/>
      <c r="Q63" s="612"/>
      <c r="R63" s="612"/>
      <c r="S63" s="612"/>
      <c r="T63" s="612"/>
      <c r="U63" s="612"/>
      <c r="V63" s="612"/>
      <c r="W63" s="588"/>
      <c r="X63" s="588"/>
      <c r="Y63" s="588"/>
      <c r="Z63" s="588"/>
      <c r="AA63" s="588"/>
      <c r="AB63" s="588"/>
      <c r="AC63" s="588"/>
      <c r="AD63" s="588"/>
      <c r="AE63" s="588"/>
      <c r="AF63" s="588"/>
      <c r="AG63" s="588"/>
      <c r="AH63" s="588"/>
      <c r="AI63" s="588"/>
      <c r="AJ63" s="588"/>
      <c r="AK63" s="588"/>
      <c r="AL63" s="588"/>
      <c r="AM63" s="588"/>
      <c r="AN63" s="588"/>
      <c r="AO63" s="588"/>
      <c r="AP63" s="588"/>
      <c r="AQ63" s="588"/>
      <c r="AR63" s="588"/>
      <c r="AS63" s="588"/>
      <c r="AT63" s="588"/>
      <c r="AU63" s="588"/>
      <c r="AV63" s="588"/>
      <c r="AW63" s="588"/>
      <c r="AX63" s="588"/>
      <c r="AY63" s="588"/>
      <c r="AZ63" s="588"/>
      <c r="BA63" s="588"/>
      <c r="BB63" s="588"/>
      <c r="BC63" s="588"/>
      <c r="BD63" s="588"/>
      <c r="BE63" s="588"/>
      <c r="BF63" s="588"/>
      <c r="BG63" s="588"/>
      <c r="BH63" s="588"/>
      <c r="BI63" s="588"/>
    </row>
    <row r="64" spans="1:61" hidden="1">
      <c r="A64" s="676">
        <f t="shared" si="7"/>
        <v>25</v>
      </c>
      <c r="B64" s="673">
        <f t="shared" si="1"/>
        <v>18906.13</v>
      </c>
      <c r="C64" s="613">
        <f t="shared" si="2"/>
        <v>23264.07</v>
      </c>
      <c r="D64" s="614">
        <f t="shared" si="5"/>
        <v>18906.13</v>
      </c>
      <c r="E64" s="614">
        <f t="shared" si="6"/>
        <v>23264.07</v>
      </c>
      <c r="F64" s="615">
        <f t="shared" si="3"/>
        <v>18906.13</v>
      </c>
      <c r="G64" s="615">
        <f t="shared" si="4"/>
        <v>23264.07</v>
      </c>
      <c r="I64" s="612"/>
      <c r="J64" s="584">
        <v>50000000</v>
      </c>
      <c r="K64" s="585">
        <v>1.45</v>
      </c>
      <c r="L64" s="616"/>
      <c r="O64" s="612"/>
      <c r="P64" s="612"/>
      <c r="Q64" s="612"/>
      <c r="R64" s="612"/>
      <c r="S64" s="612"/>
      <c r="T64" s="612"/>
      <c r="U64" s="612"/>
      <c r="V64" s="612"/>
      <c r="W64" s="588"/>
      <c r="X64" s="588"/>
      <c r="Y64" s="588"/>
      <c r="Z64" s="588"/>
      <c r="AA64" s="588"/>
      <c r="AB64" s="588"/>
      <c r="AC64" s="588"/>
      <c r="AD64" s="588"/>
      <c r="AE64" s="588"/>
      <c r="AF64" s="588"/>
      <c r="AG64" s="588"/>
      <c r="AH64" s="588"/>
      <c r="AI64" s="588"/>
      <c r="AJ64" s="588"/>
      <c r="AK64" s="588"/>
      <c r="AL64" s="588"/>
      <c r="AM64" s="588"/>
      <c r="AN64" s="588"/>
      <c r="AO64" s="588"/>
      <c r="AP64" s="588"/>
      <c r="AQ64" s="588"/>
      <c r="AR64" s="588"/>
      <c r="AS64" s="588"/>
      <c r="AT64" s="588"/>
      <c r="AU64" s="588"/>
      <c r="AV64" s="588"/>
      <c r="AW64" s="588"/>
      <c r="AX64" s="588"/>
      <c r="AY64" s="588"/>
      <c r="AZ64" s="588"/>
      <c r="BA64" s="588"/>
      <c r="BB64" s="588"/>
      <c r="BC64" s="588"/>
      <c r="BD64" s="588"/>
      <c r="BE64" s="588"/>
      <c r="BF64" s="588"/>
      <c r="BG64" s="588"/>
      <c r="BH64" s="588"/>
      <c r="BI64" s="588"/>
    </row>
    <row r="65" spans="1:61" hidden="1">
      <c r="A65" s="676">
        <f t="shared" si="7"/>
        <v>26</v>
      </c>
      <c r="B65" s="673">
        <f t="shared" si="1"/>
        <v>20189.63</v>
      </c>
      <c r="C65" s="613">
        <f t="shared" si="2"/>
        <v>24378.75</v>
      </c>
      <c r="D65" s="614">
        <f t="shared" si="5"/>
        <v>20189.63</v>
      </c>
      <c r="E65" s="614">
        <f t="shared" si="6"/>
        <v>24378.75</v>
      </c>
      <c r="F65" s="615">
        <f t="shared" si="3"/>
        <v>20189.63</v>
      </c>
      <c r="G65" s="615">
        <f t="shared" si="4"/>
        <v>24378.75</v>
      </c>
      <c r="I65" s="612"/>
      <c r="J65" s="584">
        <v>60000000</v>
      </c>
      <c r="K65" s="585">
        <v>1.46</v>
      </c>
      <c r="L65" s="616"/>
      <c r="O65" s="612"/>
      <c r="P65" s="612"/>
      <c r="Q65" s="612"/>
      <c r="R65" s="612"/>
      <c r="S65" s="612"/>
      <c r="T65" s="612"/>
      <c r="U65" s="612"/>
      <c r="V65" s="612"/>
      <c r="W65" s="588"/>
      <c r="X65" s="588"/>
      <c r="Y65" s="588"/>
      <c r="Z65" s="588"/>
      <c r="AA65" s="588"/>
      <c r="AB65" s="588"/>
      <c r="AC65" s="588"/>
      <c r="AD65" s="588"/>
      <c r="AE65" s="588"/>
      <c r="AF65" s="588"/>
      <c r="AG65" s="588"/>
      <c r="AH65" s="588"/>
      <c r="AI65" s="588"/>
      <c r="AJ65" s="588"/>
      <c r="AK65" s="588"/>
      <c r="AL65" s="588"/>
      <c r="AM65" s="588"/>
      <c r="AN65" s="588"/>
      <c r="AO65" s="588"/>
      <c r="AP65" s="588"/>
      <c r="AQ65" s="588"/>
      <c r="AR65" s="588"/>
      <c r="AS65" s="588"/>
      <c r="AT65" s="588"/>
      <c r="AU65" s="588"/>
      <c r="AV65" s="588"/>
      <c r="AW65" s="588"/>
      <c r="AX65" s="588"/>
      <c r="AY65" s="588"/>
      <c r="AZ65" s="588"/>
      <c r="BA65" s="588"/>
      <c r="BB65" s="588"/>
      <c r="BC65" s="588"/>
      <c r="BD65" s="588"/>
      <c r="BE65" s="588"/>
      <c r="BF65" s="588"/>
      <c r="BG65" s="588"/>
      <c r="BH65" s="588"/>
      <c r="BI65" s="588"/>
    </row>
    <row r="66" spans="1:61" hidden="1">
      <c r="A66" s="676">
        <f t="shared" si="7"/>
        <v>27</v>
      </c>
      <c r="B66" s="673">
        <f t="shared" si="1"/>
        <v>21078.95</v>
      </c>
      <c r="C66" s="613">
        <f t="shared" si="2"/>
        <v>25505.040000000001</v>
      </c>
      <c r="D66" s="614">
        <f t="shared" si="5"/>
        <v>21078.95</v>
      </c>
      <c r="E66" s="614">
        <f t="shared" si="6"/>
        <v>25505.040000000001</v>
      </c>
      <c r="F66" s="615">
        <f t="shared" si="3"/>
        <v>21078.95</v>
      </c>
      <c r="G66" s="615">
        <f t="shared" si="4"/>
        <v>25505.040000000001</v>
      </c>
      <c r="I66" s="612"/>
      <c r="J66" s="584">
        <v>70000000</v>
      </c>
      <c r="K66" s="585">
        <v>1.48</v>
      </c>
      <c r="L66" s="616"/>
      <c r="O66" s="612"/>
      <c r="P66" s="612"/>
      <c r="Q66" s="612"/>
      <c r="R66" s="612"/>
      <c r="S66" s="612"/>
      <c r="T66" s="612"/>
      <c r="U66" s="612"/>
      <c r="V66" s="612"/>
      <c r="W66" s="588"/>
      <c r="X66" s="588"/>
      <c r="Y66" s="588"/>
      <c r="Z66" s="588"/>
      <c r="AA66" s="588"/>
      <c r="AB66" s="588"/>
      <c r="AC66" s="588"/>
      <c r="AD66" s="588"/>
      <c r="AE66" s="588"/>
      <c r="AF66" s="588"/>
      <c r="AG66" s="588"/>
      <c r="AH66" s="588"/>
      <c r="AI66" s="588"/>
      <c r="AJ66" s="588"/>
      <c r="AK66" s="588"/>
      <c r="AL66" s="588"/>
      <c r="AM66" s="588"/>
      <c r="AN66" s="588"/>
      <c r="AO66" s="588"/>
      <c r="AP66" s="588"/>
      <c r="AQ66" s="588"/>
      <c r="AR66" s="588"/>
      <c r="AS66" s="588"/>
      <c r="AT66" s="588"/>
      <c r="AU66" s="588"/>
      <c r="AV66" s="588"/>
      <c r="AW66" s="588"/>
      <c r="AX66" s="588"/>
      <c r="AY66" s="588"/>
      <c r="AZ66" s="588"/>
      <c r="BA66" s="588"/>
      <c r="BB66" s="588"/>
      <c r="BC66" s="588"/>
      <c r="BD66" s="588"/>
      <c r="BE66" s="588"/>
      <c r="BF66" s="588"/>
      <c r="BG66" s="588"/>
      <c r="BH66" s="588"/>
      <c r="BI66" s="588"/>
    </row>
    <row r="67" spans="1:61" hidden="1">
      <c r="A67" s="676">
        <f t="shared" si="7"/>
        <v>28</v>
      </c>
      <c r="B67" s="673">
        <f t="shared" si="1"/>
        <v>22330.12</v>
      </c>
      <c r="C67" s="613">
        <f t="shared" si="2"/>
        <v>26716.93</v>
      </c>
      <c r="D67" s="614">
        <f t="shared" si="5"/>
        <v>22330.12</v>
      </c>
      <c r="E67" s="614">
        <f t="shared" si="6"/>
        <v>26716.93</v>
      </c>
      <c r="F67" s="615">
        <f t="shared" si="3"/>
        <v>22330.12</v>
      </c>
      <c r="G67" s="615">
        <f t="shared" si="4"/>
        <v>26716.93</v>
      </c>
      <c r="I67" s="612"/>
      <c r="J67" s="584">
        <v>100000000</v>
      </c>
      <c r="K67" s="585">
        <v>1.53</v>
      </c>
      <c r="L67" s="616"/>
      <c r="O67" s="612"/>
      <c r="P67" s="612"/>
      <c r="Q67" s="612"/>
      <c r="R67" s="612"/>
      <c r="S67" s="612"/>
      <c r="T67" s="612"/>
      <c r="U67" s="612"/>
      <c r="V67" s="612"/>
      <c r="W67" s="588"/>
      <c r="X67" s="588"/>
      <c r="Y67" s="588"/>
      <c r="Z67" s="588"/>
      <c r="AA67" s="588"/>
      <c r="AB67" s="588"/>
      <c r="AC67" s="588"/>
      <c r="AD67" s="588"/>
      <c r="AE67" s="588"/>
      <c r="AF67" s="588"/>
      <c r="AG67" s="588"/>
      <c r="AH67" s="588"/>
      <c r="AI67" s="588"/>
      <c r="AJ67" s="588"/>
      <c r="AK67" s="588"/>
      <c r="AL67" s="588"/>
      <c r="AM67" s="588"/>
      <c r="AN67" s="588"/>
      <c r="AO67" s="588"/>
      <c r="AP67" s="588"/>
      <c r="AQ67" s="588"/>
      <c r="AR67" s="588"/>
      <c r="AS67" s="588"/>
      <c r="AT67" s="588"/>
      <c r="AU67" s="588"/>
      <c r="AV67" s="588"/>
      <c r="AW67" s="588"/>
      <c r="AX67" s="588"/>
      <c r="AY67" s="588"/>
      <c r="AZ67" s="588"/>
      <c r="BA67" s="588"/>
      <c r="BB67" s="588"/>
      <c r="BC67" s="588"/>
      <c r="BD67" s="588"/>
      <c r="BE67" s="588"/>
      <c r="BF67" s="588"/>
      <c r="BG67" s="588"/>
      <c r="BH67" s="588"/>
      <c r="BI67" s="588"/>
    </row>
    <row r="68" spans="1:61" hidden="1">
      <c r="A68" s="676">
        <f t="shared" si="7"/>
        <v>29</v>
      </c>
      <c r="B68" s="673">
        <f t="shared" si="1"/>
        <v>23492</v>
      </c>
      <c r="C68" s="613">
        <f t="shared" si="2"/>
        <v>27949.97</v>
      </c>
      <c r="D68" s="614">
        <f t="shared" si="5"/>
        <v>23492</v>
      </c>
      <c r="E68" s="614">
        <f t="shared" si="6"/>
        <v>27949.97</v>
      </c>
      <c r="F68" s="615">
        <f t="shared" si="3"/>
        <v>23492</v>
      </c>
      <c r="G68" s="615">
        <f t="shared" si="4"/>
        <v>27949.97</v>
      </c>
      <c r="I68" s="612"/>
      <c r="J68" s="584">
        <v>125000000</v>
      </c>
      <c r="K68" s="585">
        <v>1.55</v>
      </c>
      <c r="L68" s="616"/>
      <c r="O68" s="612"/>
      <c r="P68" s="612"/>
      <c r="Q68" s="612"/>
      <c r="R68" s="612"/>
      <c r="S68" s="612"/>
      <c r="T68" s="612"/>
      <c r="U68" s="612"/>
      <c r="V68" s="612"/>
      <c r="W68" s="588"/>
      <c r="X68" s="588"/>
      <c r="Y68" s="588"/>
      <c r="Z68" s="588"/>
      <c r="AA68" s="588"/>
      <c r="AB68" s="588"/>
      <c r="AC68" s="588"/>
      <c r="AD68" s="588"/>
      <c r="AE68" s="588"/>
      <c r="AF68" s="588"/>
      <c r="AG68" s="588"/>
      <c r="AH68" s="588"/>
      <c r="AI68" s="588"/>
      <c r="AJ68" s="588"/>
      <c r="AK68" s="588"/>
      <c r="AL68" s="588"/>
      <c r="AM68" s="588"/>
      <c r="AN68" s="588"/>
      <c r="AO68" s="588"/>
      <c r="AP68" s="588"/>
      <c r="AQ68" s="588"/>
      <c r="AR68" s="588"/>
      <c r="AS68" s="588"/>
      <c r="AT68" s="588"/>
      <c r="AU68" s="588"/>
      <c r="AV68" s="588"/>
      <c r="AW68" s="588"/>
      <c r="AX68" s="588"/>
      <c r="AY68" s="588"/>
      <c r="AZ68" s="588"/>
      <c r="BA68" s="588"/>
      <c r="BB68" s="588"/>
      <c r="BC68" s="588"/>
      <c r="BD68" s="588"/>
      <c r="BE68" s="588"/>
      <c r="BF68" s="588"/>
      <c r="BG68" s="588"/>
      <c r="BH68" s="588"/>
      <c r="BI68" s="588"/>
    </row>
    <row r="69" spans="1:61" hidden="1">
      <c r="A69" s="676">
        <f t="shared" si="7"/>
        <v>30</v>
      </c>
      <c r="B69" s="673">
        <f t="shared" si="1"/>
        <v>24582.21</v>
      </c>
      <c r="C69" s="613">
        <f t="shared" si="2"/>
        <v>29276.31</v>
      </c>
      <c r="D69" s="614">
        <f t="shared" si="5"/>
        <v>24582.21</v>
      </c>
      <c r="E69" s="614">
        <f t="shared" si="6"/>
        <v>29276.31</v>
      </c>
      <c r="F69" s="615">
        <f t="shared" si="3"/>
        <v>24582.21</v>
      </c>
      <c r="G69" s="615">
        <f t="shared" si="4"/>
        <v>29276.31</v>
      </c>
      <c r="I69" s="612"/>
      <c r="J69" s="738">
        <v>150000000</v>
      </c>
      <c r="K69" s="617">
        <v>1.57</v>
      </c>
      <c r="O69" s="612"/>
      <c r="P69" s="612"/>
      <c r="Q69" s="612"/>
      <c r="R69" s="612"/>
      <c r="S69" s="612"/>
      <c r="T69" s="612"/>
      <c r="U69" s="612"/>
      <c r="V69" s="612"/>
      <c r="W69" s="588"/>
      <c r="X69" s="588"/>
      <c r="Y69" s="588"/>
      <c r="Z69" s="588"/>
      <c r="AA69" s="588"/>
      <c r="AB69" s="588"/>
      <c r="AC69" s="588"/>
      <c r="AD69" s="588"/>
      <c r="AE69" s="588"/>
      <c r="AF69" s="588"/>
      <c r="AG69" s="588"/>
      <c r="AH69" s="588"/>
      <c r="AI69" s="588"/>
      <c r="AJ69" s="588"/>
      <c r="AK69" s="588"/>
      <c r="AL69" s="588"/>
      <c r="AM69" s="588"/>
      <c r="AN69" s="588"/>
      <c r="AO69" s="588"/>
      <c r="AP69" s="588"/>
      <c r="AQ69" s="588"/>
      <c r="AR69" s="588"/>
      <c r="AS69" s="588"/>
      <c r="AT69" s="588"/>
      <c r="AU69" s="588"/>
      <c r="AV69" s="588"/>
      <c r="AW69" s="588"/>
      <c r="AX69" s="588"/>
      <c r="AY69" s="588"/>
      <c r="AZ69" s="588"/>
      <c r="BA69" s="588"/>
      <c r="BB69" s="588"/>
      <c r="BC69" s="588"/>
      <c r="BD69" s="588"/>
      <c r="BE69" s="588"/>
      <c r="BF69" s="588"/>
      <c r="BG69" s="588"/>
      <c r="BH69" s="588"/>
      <c r="BI69" s="588"/>
    </row>
    <row r="70" spans="1:61" hidden="1">
      <c r="A70" s="676">
        <f t="shared" si="7"/>
        <v>31</v>
      </c>
      <c r="B70" s="673">
        <f t="shared" si="1"/>
        <v>25603.29</v>
      </c>
      <c r="C70" s="613">
        <f t="shared" si="2"/>
        <v>30645.16</v>
      </c>
      <c r="D70" s="614">
        <f t="shared" si="5"/>
        <v>25603.29</v>
      </c>
      <c r="E70" s="614">
        <f t="shared" si="6"/>
        <v>30645.16</v>
      </c>
      <c r="F70" s="615">
        <f t="shared" si="3"/>
        <v>25603.29</v>
      </c>
      <c r="G70" s="615">
        <f t="shared" si="4"/>
        <v>30645.16</v>
      </c>
      <c r="I70" s="612"/>
      <c r="O70" s="612"/>
      <c r="P70" s="612"/>
      <c r="Q70" s="612"/>
      <c r="R70" s="612"/>
      <c r="S70" s="612"/>
      <c r="T70" s="612"/>
      <c r="U70" s="612"/>
      <c r="V70" s="612"/>
      <c r="W70" s="588"/>
      <c r="X70" s="588"/>
      <c r="Y70" s="588"/>
      <c r="Z70" s="588"/>
      <c r="AA70" s="588"/>
      <c r="AB70" s="588"/>
      <c r="AC70" s="588"/>
      <c r="AD70" s="588"/>
      <c r="AE70" s="588"/>
      <c r="AF70" s="588"/>
      <c r="AG70" s="588"/>
      <c r="AH70" s="588"/>
      <c r="AI70" s="588"/>
      <c r="AJ70" s="588"/>
      <c r="AK70" s="588"/>
      <c r="AL70" s="588"/>
      <c r="AM70" s="588"/>
      <c r="AN70" s="588"/>
      <c r="AO70" s="588"/>
      <c r="AP70" s="588"/>
      <c r="AQ70" s="588"/>
      <c r="AR70" s="588"/>
      <c r="AS70" s="588"/>
      <c r="AT70" s="588"/>
      <c r="AU70" s="588"/>
      <c r="AV70" s="588"/>
      <c r="AW70" s="588"/>
      <c r="AX70" s="588"/>
      <c r="AY70" s="588"/>
      <c r="AZ70" s="588"/>
      <c r="BA70" s="588"/>
      <c r="BB70" s="588"/>
      <c r="BC70" s="588"/>
      <c r="BD70" s="588"/>
      <c r="BE70" s="588"/>
      <c r="BF70" s="588"/>
      <c r="BG70" s="588"/>
      <c r="BH70" s="588"/>
      <c r="BI70" s="588"/>
    </row>
    <row r="71" spans="1:61" hidden="1">
      <c r="A71" s="676">
        <f t="shared" si="7"/>
        <v>32</v>
      </c>
      <c r="B71" s="673">
        <f t="shared" ref="B71:B102" si="10">IF($A$37=$C$130,ROUND(C164*(1-DESC),2),ROUND(E164*(1-DESC),2))</f>
        <v>27174.21</v>
      </c>
      <c r="C71" s="613">
        <f t="shared" ref="C71:C102" si="11">IF($A$37=$C$130,ROUND(D164*(1-DESC),2),ROUND(F164*(1-DESC),2))</f>
        <v>32056.799999999999</v>
      </c>
      <c r="D71" s="614">
        <f t="shared" si="5"/>
        <v>27174.21</v>
      </c>
      <c r="E71" s="614">
        <f t="shared" si="6"/>
        <v>32056.799999999999</v>
      </c>
      <c r="F71" s="615">
        <f t="shared" ref="F71:F102" si="12">ROUND(D71*$G$37,2)</f>
        <v>27174.21</v>
      </c>
      <c r="G71" s="615">
        <f t="shared" ref="G71:G102" si="13">ROUND(E71*$G$37,2)</f>
        <v>32056.799999999999</v>
      </c>
      <c r="I71" s="612"/>
      <c r="O71" s="612"/>
      <c r="P71" s="612"/>
      <c r="Q71" s="612"/>
      <c r="R71" s="612"/>
      <c r="S71" s="612"/>
      <c r="T71" s="612"/>
      <c r="U71" s="612"/>
      <c r="V71" s="612"/>
      <c r="W71" s="588"/>
      <c r="X71" s="588"/>
      <c r="Y71" s="588"/>
      <c r="Z71" s="588"/>
      <c r="AA71" s="588"/>
      <c r="AB71" s="588"/>
      <c r="AC71" s="588"/>
      <c r="AD71" s="588"/>
      <c r="AE71" s="588"/>
      <c r="AF71" s="588"/>
      <c r="AG71" s="588"/>
      <c r="AH71" s="588"/>
      <c r="AI71" s="588"/>
      <c r="AJ71" s="588"/>
      <c r="AK71" s="588"/>
      <c r="AL71" s="588"/>
      <c r="AM71" s="588"/>
      <c r="AN71" s="588"/>
      <c r="AO71" s="588"/>
      <c r="AP71" s="588"/>
      <c r="AQ71" s="588"/>
      <c r="AR71" s="588"/>
      <c r="AS71" s="588"/>
      <c r="AT71" s="588"/>
      <c r="AU71" s="588"/>
      <c r="AV71" s="588"/>
      <c r="AW71" s="588"/>
      <c r="AX71" s="588"/>
      <c r="AY71" s="588"/>
      <c r="AZ71" s="588"/>
      <c r="BA71" s="588"/>
      <c r="BB71" s="588"/>
      <c r="BC71" s="588"/>
      <c r="BD71" s="588"/>
      <c r="BE71" s="588"/>
      <c r="BF71" s="588"/>
      <c r="BG71" s="588"/>
      <c r="BH71" s="588"/>
      <c r="BI71" s="588"/>
    </row>
    <row r="72" spans="1:61" hidden="1">
      <c r="A72" s="676">
        <f t="shared" si="7"/>
        <v>33</v>
      </c>
      <c r="B72" s="673">
        <f t="shared" si="10"/>
        <v>28158.080000000002</v>
      </c>
      <c r="C72" s="613">
        <f t="shared" si="11"/>
        <v>33227.370000000003</v>
      </c>
      <c r="D72" s="614">
        <f t="shared" ref="D72:D103" si="14">B72</f>
        <v>28158.080000000002</v>
      </c>
      <c r="E72" s="614">
        <f t="shared" si="6"/>
        <v>33227.370000000003</v>
      </c>
      <c r="F72" s="615">
        <f t="shared" si="12"/>
        <v>28158.080000000002</v>
      </c>
      <c r="G72" s="615">
        <f t="shared" si="13"/>
        <v>33227.370000000003</v>
      </c>
      <c r="I72" s="612"/>
      <c r="P72" s="612"/>
      <c r="Q72" s="612"/>
      <c r="R72" s="612"/>
      <c r="S72" s="612"/>
      <c r="T72" s="612"/>
      <c r="U72" s="612"/>
      <c r="V72" s="612"/>
      <c r="W72" s="588"/>
      <c r="X72" s="588"/>
      <c r="Y72" s="588"/>
      <c r="Z72" s="588"/>
      <c r="AA72" s="588"/>
      <c r="AB72" s="588"/>
      <c r="AC72" s="588"/>
      <c r="AD72" s="588"/>
      <c r="AE72" s="588"/>
      <c r="AF72" s="588"/>
      <c r="AG72" s="588"/>
      <c r="AH72" s="588"/>
      <c r="AI72" s="588"/>
      <c r="AJ72" s="588"/>
      <c r="AK72" s="588"/>
      <c r="AL72" s="588"/>
      <c r="AM72" s="588"/>
      <c r="AN72" s="588"/>
      <c r="AO72" s="588"/>
      <c r="AP72" s="588"/>
      <c r="AQ72" s="588"/>
      <c r="AR72" s="588"/>
      <c r="AS72" s="588"/>
      <c r="AT72" s="588"/>
      <c r="AU72" s="588"/>
      <c r="AV72" s="588"/>
      <c r="AW72" s="588"/>
      <c r="AX72" s="588"/>
      <c r="AY72" s="588"/>
      <c r="AZ72" s="588"/>
      <c r="BA72" s="588"/>
      <c r="BB72" s="588"/>
      <c r="BC72" s="588"/>
      <c r="BD72" s="588"/>
      <c r="BE72" s="588"/>
      <c r="BF72" s="588"/>
      <c r="BG72" s="588"/>
      <c r="BH72" s="588"/>
      <c r="BI72" s="588"/>
    </row>
    <row r="73" spans="1:61" hidden="1">
      <c r="A73" s="676">
        <f t="shared" si="7"/>
        <v>34</v>
      </c>
      <c r="B73" s="673">
        <f t="shared" si="10"/>
        <v>29765.87</v>
      </c>
      <c r="C73" s="613">
        <f t="shared" si="11"/>
        <v>34764.6</v>
      </c>
      <c r="D73" s="614">
        <f t="shared" si="14"/>
        <v>29765.87</v>
      </c>
      <c r="E73" s="614">
        <f t="shared" ref="E73:E104" si="15">C73</f>
        <v>34764.6</v>
      </c>
      <c r="F73" s="615">
        <f t="shared" si="12"/>
        <v>29765.87</v>
      </c>
      <c r="G73" s="615">
        <f t="shared" si="13"/>
        <v>34764.6</v>
      </c>
      <c r="I73" s="612"/>
      <c r="P73" s="612"/>
      <c r="Q73" s="612"/>
      <c r="R73" s="612"/>
      <c r="S73" s="612"/>
      <c r="T73" s="612"/>
      <c r="U73" s="612"/>
      <c r="V73" s="612"/>
      <c r="W73" s="588"/>
      <c r="X73" s="588"/>
      <c r="Y73" s="588"/>
      <c r="Z73" s="588"/>
      <c r="AA73" s="588"/>
      <c r="AB73" s="588"/>
      <c r="AC73" s="588"/>
      <c r="AD73" s="588"/>
      <c r="AE73" s="588"/>
      <c r="AF73" s="588"/>
      <c r="AG73" s="588"/>
      <c r="AH73" s="588"/>
      <c r="AI73" s="588"/>
      <c r="AJ73" s="588"/>
      <c r="AK73" s="588"/>
      <c r="AL73" s="588"/>
      <c r="AM73" s="588"/>
      <c r="AN73" s="588"/>
      <c r="AO73" s="588"/>
      <c r="AP73" s="588"/>
      <c r="AQ73" s="588"/>
      <c r="AR73" s="588"/>
      <c r="AS73" s="588"/>
      <c r="AT73" s="588"/>
      <c r="AU73" s="588"/>
      <c r="AV73" s="588"/>
      <c r="AW73" s="588"/>
      <c r="AX73" s="588"/>
      <c r="AY73" s="588"/>
      <c r="AZ73" s="588"/>
      <c r="BA73" s="588"/>
      <c r="BB73" s="588"/>
      <c r="BC73" s="588"/>
      <c r="BD73" s="588"/>
      <c r="BE73" s="588"/>
      <c r="BF73" s="588"/>
      <c r="BG73" s="588"/>
      <c r="BH73" s="588"/>
      <c r="BI73" s="588"/>
    </row>
    <row r="74" spans="1:61" hidden="1">
      <c r="A74" s="676">
        <f t="shared" si="7"/>
        <v>35</v>
      </c>
      <c r="B74" s="673">
        <f t="shared" si="10"/>
        <v>31438.799999999999</v>
      </c>
      <c r="C74" s="613">
        <f t="shared" si="11"/>
        <v>36381.39</v>
      </c>
      <c r="D74" s="614">
        <f t="shared" si="14"/>
        <v>31438.799999999999</v>
      </c>
      <c r="E74" s="614">
        <f t="shared" si="15"/>
        <v>36381.39</v>
      </c>
      <c r="F74" s="615">
        <f t="shared" si="12"/>
        <v>31438.799999999999</v>
      </c>
      <c r="G74" s="615">
        <f t="shared" si="13"/>
        <v>36381.39</v>
      </c>
      <c r="I74" s="612"/>
      <c r="P74" s="612"/>
      <c r="Q74" s="612"/>
      <c r="R74" s="612"/>
      <c r="S74" s="612"/>
      <c r="T74" s="612"/>
      <c r="U74" s="612"/>
      <c r="V74" s="612"/>
      <c r="W74" s="588"/>
      <c r="X74" s="588"/>
      <c r="Y74" s="588"/>
      <c r="Z74" s="588"/>
      <c r="AA74" s="588"/>
      <c r="AB74" s="588"/>
      <c r="AC74" s="588"/>
      <c r="AD74" s="588"/>
      <c r="AE74" s="588"/>
      <c r="AF74" s="588"/>
      <c r="AG74" s="588"/>
      <c r="AH74" s="588"/>
      <c r="AI74" s="588"/>
      <c r="AJ74" s="588"/>
      <c r="AK74" s="588"/>
      <c r="AL74" s="588"/>
      <c r="AM74" s="588"/>
      <c r="AN74" s="588"/>
      <c r="AO74" s="588"/>
      <c r="AP74" s="588"/>
      <c r="AQ74" s="588"/>
      <c r="AR74" s="588"/>
      <c r="AS74" s="588"/>
      <c r="AT74" s="588"/>
      <c r="AU74" s="588"/>
      <c r="AV74" s="588"/>
      <c r="AW74" s="588"/>
      <c r="AX74" s="588"/>
      <c r="AY74" s="588"/>
      <c r="AZ74" s="588"/>
      <c r="BA74" s="588"/>
      <c r="BB74" s="588"/>
      <c r="BC74" s="588"/>
      <c r="BD74" s="588"/>
      <c r="BE74" s="588"/>
      <c r="BF74" s="588"/>
      <c r="BG74" s="588"/>
      <c r="BH74" s="588"/>
      <c r="BI74" s="588"/>
    </row>
    <row r="75" spans="1:61" hidden="1">
      <c r="A75" s="676">
        <f t="shared" si="7"/>
        <v>36</v>
      </c>
      <c r="B75" s="673">
        <f t="shared" si="10"/>
        <v>32808.54</v>
      </c>
      <c r="C75" s="613">
        <f t="shared" si="11"/>
        <v>38052.69</v>
      </c>
      <c r="D75" s="614">
        <f t="shared" si="14"/>
        <v>32808.54</v>
      </c>
      <c r="E75" s="614">
        <f t="shared" si="15"/>
        <v>38052.69</v>
      </c>
      <c r="F75" s="615">
        <f t="shared" si="12"/>
        <v>32808.54</v>
      </c>
      <c r="G75" s="615">
        <f t="shared" si="13"/>
        <v>38052.69</v>
      </c>
      <c r="I75" s="612"/>
      <c r="P75" s="612"/>
      <c r="Q75" s="612"/>
      <c r="R75" s="612"/>
      <c r="S75" s="612"/>
      <c r="T75" s="612"/>
      <c r="U75" s="612"/>
      <c r="V75" s="612"/>
      <c r="W75" s="588"/>
      <c r="X75" s="588"/>
      <c r="Y75" s="588"/>
      <c r="Z75" s="588"/>
      <c r="AA75" s="588"/>
      <c r="AB75" s="588"/>
      <c r="AC75" s="588"/>
      <c r="AD75" s="588"/>
      <c r="AE75" s="588"/>
      <c r="AF75" s="588"/>
      <c r="AG75" s="588"/>
      <c r="AH75" s="588"/>
      <c r="AI75" s="588"/>
      <c r="AJ75" s="588"/>
      <c r="AK75" s="588"/>
      <c r="AL75" s="588"/>
      <c r="AM75" s="588"/>
      <c r="AN75" s="588"/>
      <c r="AO75" s="588"/>
      <c r="AP75" s="588"/>
      <c r="AQ75" s="588"/>
      <c r="AR75" s="588"/>
      <c r="AS75" s="588"/>
      <c r="AT75" s="588"/>
      <c r="AU75" s="588"/>
      <c r="AV75" s="588"/>
      <c r="AW75" s="588"/>
      <c r="AX75" s="588"/>
      <c r="AY75" s="588"/>
      <c r="AZ75" s="588"/>
      <c r="BA75" s="588"/>
      <c r="BB75" s="588"/>
      <c r="BC75" s="588"/>
      <c r="BD75" s="588"/>
      <c r="BE75" s="588"/>
      <c r="BF75" s="588"/>
      <c r="BG75" s="588"/>
      <c r="BH75" s="588"/>
      <c r="BI75" s="588"/>
    </row>
    <row r="76" spans="1:61" hidden="1">
      <c r="A76" s="676">
        <f t="shared" si="7"/>
        <v>37</v>
      </c>
      <c r="B76" s="673">
        <f t="shared" si="10"/>
        <v>34611.839999999997</v>
      </c>
      <c r="C76" s="613">
        <f t="shared" si="11"/>
        <v>39855.839999999997</v>
      </c>
      <c r="D76" s="614">
        <f t="shared" si="14"/>
        <v>34611.839999999997</v>
      </c>
      <c r="E76" s="614">
        <f t="shared" si="15"/>
        <v>39855.839999999997</v>
      </c>
      <c r="F76" s="615">
        <f t="shared" si="12"/>
        <v>34611.839999999997</v>
      </c>
      <c r="G76" s="615">
        <f t="shared" si="13"/>
        <v>39855.839999999997</v>
      </c>
      <c r="I76" s="612"/>
      <c r="P76" s="612"/>
      <c r="Q76" s="612"/>
      <c r="R76" s="612"/>
      <c r="S76" s="612"/>
      <c r="T76" s="612"/>
      <c r="U76" s="612"/>
      <c r="V76" s="612"/>
      <c r="W76" s="588"/>
      <c r="X76" s="588"/>
      <c r="Y76" s="588"/>
      <c r="Z76" s="588"/>
      <c r="AA76" s="588"/>
      <c r="AB76" s="588"/>
      <c r="AC76" s="588"/>
      <c r="AD76" s="588"/>
      <c r="AE76" s="588"/>
      <c r="AF76" s="588"/>
      <c r="AG76" s="588"/>
      <c r="AH76" s="588"/>
      <c r="AI76" s="588"/>
      <c r="AJ76" s="588"/>
      <c r="AK76" s="588"/>
      <c r="AL76" s="588"/>
      <c r="AM76" s="588"/>
      <c r="AN76" s="588"/>
      <c r="AO76" s="588"/>
      <c r="AP76" s="588"/>
      <c r="AQ76" s="588"/>
      <c r="AR76" s="588"/>
      <c r="AS76" s="588"/>
      <c r="AT76" s="588"/>
      <c r="AU76" s="588"/>
      <c r="AV76" s="588"/>
      <c r="AW76" s="588"/>
      <c r="AX76" s="588"/>
      <c r="AY76" s="588"/>
      <c r="AZ76" s="588"/>
      <c r="BA76" s="588"/>
      <c r="BB76" s="588"/>
      <c r="BC76" s="588"/>
      <c r="BD76" s="588"/>
      <c r="BE76" s="588"/>
      <c r="BF76" s="588"/>
      <c r="BG76" s="588"/>
      <c r="BH76" s="588"/>
      <c r="BI76" s="588"/>
    </row>
    <row r="77" spans="1:61" hidden="1">
      <c r="A77" s="676">
        <f t="shared" si="7"/>
        <v>38</v>
      </c>
      <c r="B77" s="673">
        <f t="shared" si="10"/>
        <v>36515.81</v>
      </c>
      <c r="C77" s="613">
        <f t="shared" si="11"/>
        <v>41666.699999999997</v>
      </c>
      <c r="D77" s="614">
        <f t="shared" si="14"/>
        <v>36515.81</v>
      </c>
      <c r="E77" s="614">
        <f t="shared" si="15"/>
        <v>41666.699999999997</v>
      </c>
      <c r="F77" s="615">
        <f t="shared" si="12"/>
        <v>36515.81</v>
      </c>
      <c r="G77" s="615">
        <f t="shared" si="13"/>
        <v>41666.699999999997</v>
      </c>
      <c r="I77" s="612"/>
      <c r="P77" s="612"/>
      <c r="Q77" s="612"/>
      <c r="R77" s="612"/>
      <c r="S77" s="612"/>
      <c r="T77" s="612"/>
      <c r="U77" s="612"/>
      <c r="V77" s="612"/>
      <c r="W77" s="588"/>
      <c r="X77" s="588"/>
      <c r="Y77" s="588"/>
      <c r="Z77" s="588"/>
      <c r="AA77" s="588"/>
      <c r="AB77" s="588"/>
      <c r="AC77" s="588"/>
      <c r="AD77" s="588"/>
      <c r="AE77" s="588"/>
      <c r="AF77" s="588"/>
      <c r="AG77" s="588"/>
      <c r="AH77" s="588"/>
      <c r="AI77" s="588"/>
      <c r="AJ77" s="588"/>
      <c r="AK77" s="588"/>
      <c r="AL77" s="588"/>
      <c r="AM77" s="588"/>
      <c r="AN77" s="588"/>
      <c r="AO77" s="588"/>
      <c r="AP77" s="588"/>
      <c r="AQ77" s="588"/>
      <c r="AR77" s="588"/>
      <c r="AS77" s="588"/>
      <c r="AT77" s="588"/>
      <c r="AU77" s="588"/>
      <c r="AV77" s="588"/>
      <c r="AW77" s="588"/>
      <c r="AX77" s="588"/>
      <c r="AY77" s="588"/>
      <c r="AZ77" s="588"/>
      <c r="BA77" s="588"/>
      <c r="BB77" s="588"/>
      <c r="BC77" s="588"/>
      <c r="BD77" s="588"/>
      <c r="BE77" s="588"/>
      <c r="BF77" s="588"/>
      <c r="BG77" s="588"/>
      <c r="BH77" s="588"/>
      <c r="BI77" s="588"/>
    </row>
    <row r="78" spans="1:61" hidden="1">
      <c r="A78" s="676">
        <f t="shared" si="7"/>
        <v>39</v>
      </c>
      <c r="B78" s="673">
        <f t="shared" si="10"/>
        <v>38551.629999999997</v>
      </c>
      <c r="C78" s="613">
        <f t="shared" si="11"/>
        <v>43581.05</v>
      </c>
      <c r="D78" s="614">
        <f t="shared" si="14"/>
        <v>38551.629999999997</v>
      </c>
      <c r="E78" s="614">
        <f t="shared" si="15"/>
        <v>43581.05</v>
      </c>
      <c r="F78" s="615">
        <f t="shared" si="12"/>
        <v>38551.629999999997</v>
      </c>
      <c r="G78" s="615">
        <f t="shared" si="13"/>
        <v>43581.05</v>
      </c>
      <c r="I78" s="612"/>
      <c r="P78" s="612"/>
      <c r="Q78" s="612"/>
      <c r="R78" s="612"/>
      <c r="S78" s="612"/>
      <c r="T78" s="612"/>
      <c r="U78" s="612"/>
      <c r="V78" s="612"/>
      <c r="W78" s="588"/>
      <c r="X78" s="588"/>
      <c r="Y78" s="588"/>
      <c r="Z78" s="588"/>
      <c r="AA78" s="588"/>
      <c r="AB78" s="588"/>
      <c r="AC78" s="588"/>
      <c r="AD78" s="588"/>
      <c r="AE78" s="588"/>
      <c r="AF78" s="588"/>
      <c r="AG78" s="588"/>
      <c r="AH78" s="588"/>
      <c r="AI78" s="588"/>
      <c r="AJ78" s="588"/>
      <c r="AK78" s="588"/>
      <c r="AL78" s="588"/>
      <c r="AM78" s="588"/>
      <c r="AN78" s="588"/>
      <c r="AO78" s="588"/>
      <c r="AP78" s="588"/>
      <c r="AQ78" s="588"/>
      <c r="AR78" s="588"/>
      <c r="AS78" s="588"/>
      <c r="AT78" s="588"/>
      <c r="AU78" s="588"/>
      <c r="AV78" s="588"/>
      <c r="AW78" s="588"/>
      <c r="AX78" s="588"/>
      <c r="AY78" s="588"/>
      <c r="AZ78" s="588"/>
      <c r="BA78" s="588"/>
      <c r="BB78" s="588"/>
      <c r="BC78" s="588"/>
      <c r="BD78" s="588"/>
      <c r="BE78" s="588"/>
      <c r="BF78" s="588"/>
      <c r="BG78" s="588"/>
      <c r="BH78" s="588"/>
      <c r="BI78" s="588"/>
    </row>
    <row r="79" spans="1:61" hidden="1">
      <c r="A79" s="676">
        <f t="shared" si="7"/>
        <v>40</v>
      </c>
      <c r="B79" s="673">
        <f t="shared" si="10"/>
        <v>39919.589999999997</v>
      </c>
      <c r="C79" s="613">
        <f t="shared" si="11"/>
        <v>45571.51</v>
      </c>
      <c r="D79" s="614">
        <f t="shared" si="14"/>
        <v>39919.589999999997</v>
      </c>
      <c r="E79" s="614">
        <f t="shared" si="15"/>
        <v>45571.51</v>
      </c>
      <c r="F79" s="615">
        <f t="shared" si="12"/>
        <v>39919.589999999997</v>
      </c>
      <c r="G79" s="615">
        <f t="shared" si="13"/>
        <v>45571.51</v>
      </c>
      <c r="I79" s="612"/>
      <c r="P79" s="612"/>
      <c r="Q79" s="612"/>
      <c r="R79" s="612"/>
      <c r="S79" s="612"/>
      <c r="T79" s="612"/>
      <c r="U79" s="612"/>
      <c r="V79" s="612"/>
      <c r="W79" s="588"/>
      <c r="X79" s="588"/>
      <c r="Y79" s="588"/>
      <c r="Z79" s="588"/>
      <c r="AA79" s="588"/>
      <c r="AB79" s="588"/>
      <c r="AC79" s="588"/>
      <c r="AD79" s="588"/>
      <c r="AE79" s="588"/>
      <c r="AF79" s="588"/>
      <c r="AG79" s="588"/>
      <c r="AH79" s="588"/>
      <c r="AI79" s="588"/>
      <c r="AJ79" s="588"/>
      <c r="AK79" s="588"/>
      <c r="AL79" s="588"/>
      <c r="AM79" s="588"/>
      <c r="AN79" s="588"/>
      <c r="AO79" s="588"/>
      <c r="AP79" s="588"/>
      <c r="AQ79" s="588"/>
      <c r="AR79" s="588"/>
      <c r="AS79" s="588"/>
      <c r="AT79" s="588"/>
      <c r="AU79" s="588"/>
      <c r="AV79" s="588"/>
      <c r="AW79" s="588"/>
      <c r="AX79" s="588"/>
      <c r="AY79" s="588"/>
      <c r="AZ79" s="588"/>
      <c r="BA79" s="588"/>
      <c r="BB79" s="588"/>
      <c r="BC79" s="588"/>
      <c r="BD79" s="588"/>
      <c r="BE79" s="588"/>
      <c r="BF79" s="588"/>
      <c r="BG79" s="588"/>
      <c r="BH79" s="588"/>
      <c r="BI79" s="588"/>
    </row>
    <row r="80" spans="1:61" hidden="1">
      <c r="A80" s="676">
        <f t="shared" si="7"/>
        <v>41</v>
      </c>
      <c r="B80" s="673">
        <f t="shared" si="10"/>
        <v>41418.559999999998</v>
      </c>
      <c r="C80" s="613">
        <f t="shared" si="11"/>
        <v>47660.61</v>
      </c>
      <c r="D80" s="614">
        <f t="shared" si="14"/>
        <v>41418.559999999998</v>
      </c>
      <c r="E80" s="614">
        <f t="shared" si="15"/>
        <v>47660.61</v>
      </c>
      <c r="F80" s="615">
        <f t="shared" si="12"/>
        <v>41418.559999999998</v>
      </c>
      <c r="G80" s="615">
        <f t="shared" si="13"/>
        <v>47660.61</v>
      </c>
      <c r="I80" s="612"/>
      <c r="P80" s="612"/>
      <c r="Q80" s="612"/>
      <c r="R80" s="612"/>
      <c r="S80" s="612"/>
      <c r="T80" s="612"/>
      <c r="U80" s="612"/>
      <c r="V80" s="612"/>
      <c r="W80" s="588"/>
      <c r="X80" s="588"/>
      <c r="Y80" s="588"/>
      <c r="Z80" s="588"/>
      <c r="AA80" s="588"/>
      <c r="AB80" s="588"/>
      <c r="AC80" s="588"/>
      <c r="AD80" s="588"/>
      <c r="AE80" s="588"/>
      <c r="AF80" s="588"/>
      <c r="AG80" s="588"/>
      <c r="AH80" s="588"/>
      <c r="AI80" s="588"/>
      <c r="AJ80" s="588"/>
      <c r="AK80" s="588"/>
      <c r="AL80" s="588"/>
      <c r="AM80" s="588"/>
      <c r="AN80" s="588"/>
      <c r="AO80" s="588"/>
      <c r="AP80" s="588"/>
      <c r="AQ80" s="588"/>
      <c r="AR80" s="588"/>
      <c r="AS80" s="588"/>
      <c r="AT80" s="588"/>
      <c r="AU80" s="588"/>
      <c r="AV80" s="588"/>
      <c r="AW80" s="588"/>
      <c r="AX80" s="588"/>
      <c r="AY80" s="588"/>
      <c r="AZ80" s="588"/>
      <c r="BA80" s="588"/>
      <c r="BB80" s="588"/>
      <c r="BC80" s="588"/>
      <c r="BD80" s="588"/>
      <c r="BE80" s="588"/>
      <c r="BF80" s="588"/>
      <c r="BG80" s="588"/>
      <c r="BH80" s="588"/>
      <c r="BI80" s="588"/>
    </row>
    <row r="81" spans="1:61" hidden="1">
      <c r="A81" s="676">
        <f t="shared" si="7"/>
        <v>42</v>
      </c>
      <c r="B81" s="673">
        <f t="shared" si="10"/>
        <v>43053.54</v>
      </c>
      <c r="C81" s="613">
        <f t="shared" si="11"/>
        <v>49839.9</v>
      </c>
      <c r="D81" s="614">
        <f t="shared" si="14"/>
        <v>43053.54</v>
      </c>
      <c r="E81" s="614">
        <f t="shared" si="15"/>
        <v>49839.9</v>
      </c>
      <c r="F81" s="615">
        <f t="shared" si="12"/>
        <v>43053.54</v>
      </c>
      <c r="G81" s="615">
        <f t="shared" si="13"/>
        <v>49839.9</v>
      </c>
      <c r="I81" s="612"/>
      <c r="P81" s="612"/>
      <c r="Q81" s="612"/>
      <c r="R81" s="612"/>
      <c r="S81" s="612"/>
      <c r="T81" s="612"/>
      <c r="U81" s="612"/>
      <c r="V81" s="612"/>
      <c r="W81" s="588"/>
      <c r="X81" s="588"/>
      <c r="Y81" s="588"/>
      <c r="Z81" s="588"/>
      <c r="AA81" s="588"/>
      <c r="AB81" s="588"/>
      <c r="AC81" s="588"/>
      <c r="AD81" s="588"/>
      <c r="AE81" s="588"/>
      <c r="AF81" s="588"/>
      <c r="AG81" s="588"/>
      <c r="AH81" s="588"/>
      <c r="AI81" s="588"/>
      <c r="AJ81" s="588"/>
      <c r="AK81" s="588"/>
      <c r="AL81" s="588"/>
      <c r="AM81" s="588"/>
      <c r="AN81" s="588"/>
      <c r="AO81" s="588"/>
      <c r="AP81" s="588"/>
      <c r="AQ81" s="588"/>
      <c r="AR81" s="588"/>
      <c r="AS81" s="588"/>
      <c r="AT81" s="588"/>
      <c r="AU81" s="588"/>
      <c r="AV81" s="588"/>
      <c r="AW81" s="588"/>
      <c r="AX81" s="588"/>
      <c r="AY81" s="588"/>
      <c r="AZ81" s="588"/>
      <c r="BA81" s="588"/>
      <c r="BB81" s="588"/>
      <c r="BC81" s="588"/>
      <c r="BD81" s="588"/>
      <c r="BE81" s="588"/>
      <c r="BF81" s="588"/>
      <c r="BG81" s="588"/>
      <c r="BH81" s="588"/>
      <c r="BI81" s="588"/>
    </row>
    <row r="82" spans="1:61" hidden="1">
      <c r="A82" s="676">
        <f t="shared" si="7"/>
        <v>43</v>
      </c>
      <c r="B82" s="673">
        <f t="shared" si="10"/>
        <v>44822.69</v>
      </c>
      <c r="C82" s="613">
        <f t="shared" si="11"/>
        <v>52112.45</v>
      </c>
      <c r="D82" s="614">
        <f t="shared" si="14"/>
        <v>44822.69</v>
      </c>
      <c r="E82" s="614">
        <f t="shared" si="15"/>
        <v>52112.45</v>
      </c>
      <c r="F82" s="615">
        <f t="shared" si="12"/>
        <v>44822.69</v>
      </c>
      <c r="G82" s="615">
        <f t="shared" si="13"/>
        <v>52112.45</v>
      </c>
      <c r="I82" s="612"/>
      <c r="P82" s="612"/>
      <c r="Q82" s="612"/>
      <c r="R82" s="612"/>
      <c r="S82" s="612"/>
      <c r="T82" s="612"/>
      <c r="U82" s="612"/>
      <c r="V82" s="612"/>
      <c r="W82" s="588"/>
      <c r="X82" s="588"/>
      <c r="Y82" s="588"/>
      <c r="Z82" s="588"/>
      <c r="AA82" s="588"/>
      <c r="AB82" s="588"/>
      <c r="AC82" s="588"/>
      <c r="AD82" s="588"/>
      <c r="AE82" s="588"/>
      <c r="AF82" s="588"/>
      <c r="AG82" s="588"/>
      <c r="AH82" s="588"/>
      <c r="AI82" s="588"/>
      <c r="AJ82" s="588"/>
      <c r="AK82" s="588"/>
      <c r="AL82" s="588"/>
      <c r="AM82" s="588"/>
      <c r="AN82" s="588"/>
      <c r="AO82" s="588"/>
      <c r="AP82" s="588"/>
      <c r="AQ82" s="588"/>
      <c r="AR82" s="588"/>
      <c r="AS82" s="588"/>
      <c r="AT82" s="588"/>
      <c r="AU82" s="588"/>
      <c r="AV82" s="588"/>
      <c r="AW82" s="588"/>
      <c r="AX82" s="588"/>
      <c r="AY82" s="588"/>
      <c r="AZ82" s="588"/>
      <c r="BA82" s="588"/>
      <c r="BB82" s="588"/>
      <c r="BC82" s="588"/>
      <c r="BD82" s="588"/>
      <c r="BE82" s="588"/>
      <c r="BF82" s="588"/>
      <c r="BG82" s="588"/>
      <c r="BH82" s="588"/>
      <c r="BI82" s="588"/>
    </row>
    <row r="83" spans="1:61" hidden="1">
      <c r="A83" s="676">
        <f t="shared" si="7"/>
        <v>44</v>
      </c>
      <c r="B83" s="673">
        <f t="shared" si="10"/>
        <v>46779.39</v>
      </c>
      <c r="C83" s="613">
        <f t="shared" si="11"/>
        <v>54735.19</v>
      </c>
      <c r="D83" s="614">
        <f t="shared" si="14"/>
        <v>46779.39</v>
      </c>
      <c r="E83" s="614">
        <f t="shared" si="15"/>
        <v>54735.19</v>
      </c>
      <c r="F83" s="615">
        <f t="shared" si="12"/>
        <v>46779.39</v>
      </c>
      <c r="G83" s="615">
        <f t="shared" si="13"/>
        <v>54735.19</v>
      </c>
      <c r="I83" s="612"/>
      <c r="P83" s="612"/>
      <c r="Q83" s="612"/>
      <c r="R83" s="612"/>
      <c r="S83" s="612"/>
      <c r="T83" s="612"/>
      <c r="U83" s="612"/>
      <c r="V83" s="612"/>
      <c r="W83" s="588"/>
      <c r="X83" s="588"/>
      <c r="Y83" s="588"/>
      <c r="Z83" s="588"/>
      <c r="AA83" s="588"/>
      <c r="AB83" s="588"/>
      <c r="AC83" s="588"/>
      <c r="AD83" s="588"/>
      <c r="AE83" s="588"/>
      <c r="AF83" s="588"/>
      <c r="AG83" s="588"/>
      <c r="AH83" s="588"/>
      <c r="AI83" s="588"/>
      <c r="AJ83" s="588"/>
      <c r="AK83" s="588"/>
      <c r="AL83" s="588"/>
      <c r="AM83" s="588"/>
      <c r="AN83" s="588"/>
      <c r="AO83" s="588"/>
      <c r="AP83" s="588"/>
      <c r="AQ83" s="588"/>
      <c r="AR83" s="588"/>
      <c r="AS83" s="588"/>
      <c r="AT83" s="588"/>
      <c r="AU83" s="588"/>
      <c r="AV83" s="588"/>
      <c r="AW83" s="588"/>
      <c r="AX83" s="588"/>
      <c r="AY83" s="588"/>
      <c r="AZ83" s="588"/>
      <c r="BA83" s="588"/>
      <c r="BB83" s="588"/>
      <c r="BC83" s="588"/>
      <c r="BD83" s="588"/>
      <c r="BE83" s="588"/>
      <c r="BF83" s="588"/>
      <c r="BG83" s="588"/>
      <c r="BH83" s="588"/>
      <c r="BI83" s="588"/>
    </row>
    <row r="84" spans="1:61" hidden="1">
      <c r="A84" s="676">
        <f t="shared" si="7"/>
        <v>45</v>
      </c>
      <c r="B84" s="673">
        <f t="shared" si="10"/>
        <v>48907.68</v>
      </c>
      <c r="C84" s="613">
        <f t="shared" si="11"/>
        <v>57326.3</v>
      </c>
      <c r="D84" s="614">
        <f t="shared" si="14"/>
        <v>48907.68</v>
      </c>
      <c r="E84" s="614">
        <f t="shared" si="15"/>
        <v>57326.3</v>
      </c>
      <c r="F84" s="615">
        <f t="shared" si="12"/>
        <v>48907.68</v>
      </c>
      <c r="G84" s="615">
        <f t="shared" si="13"/>
        <v>57326.3</v>
      </c>
      <c r="I84" s="612"/>
      <c r="P84" s="612"/>
      <c r="Q84" s="612"/>
      <c r="R84" s="612"/>
      <c r="S84" s="612"/>
      <c r="T84" s="612"/>
      <c r="U84" s="612"/>
      <c r="V84" s="612"/>
      <c r="W84" s="588"/>
      <c r="X84" s="588"/>
      <c r="Y84" s="588"/>
      <c r="Z84" s="588"/>
      <c r="AA84" s="588"/>
      <c r="AB84" s="588"/>
      <c r="AC84" s="588"/>
      <c r="AD84" s="588"/>
      <c r="AE84" s="588"/>
      <c r="AF84" s="588"/>
      <c r="AG84" s="588"/>
      <c r="AH84" s="588"/>
      <c r="AI84" s="588"/>
      <c r="AJ84" s="588"/>
      <c r="AK84" s="588"/>
      <c r="AL84" s="588"/>
      <c r="AM84" s="588"/>
      <c r="AN84" s="588"/>
      <c r="AO84" s="588"/>
      <c r="AP84" s="588"/>
      <c r="AQ84" s="588"/>
      <c r="AR84" s="588"/>
      <c r="AS84" s="588"/>
      <c r="AT84" s="588"/>
      <c r="AU84" s="588"/>
      <c r="AV84" s="588"/>
      <c r="AW84" s="588"/>
      <c r="AX84" s="588"/>
      <c r="AY84" s="588"/>
      <c r="AZ84" s="588"/>
      <c r="BA84" s="588"/>
      <c r="BB84" s="588"/>
      <c r="BC84" s="588"/>
      <c r="BD84" s="588"/>
      <c r="BE84" s="588"/>
      <c r="BF84" s="588"/>
      <c r="BG84" s="588"/>
      <c r="BH84" s="588"/>
      <c r="BI84" s="588"/>
    </row>
    <row r="85" spans="1:61" hidden="1">
      <c r="A85" s="676">
        <f t="shared" si="7"/>
        <v>46</v>
      </c>
      <c r="B85" s="673">
        <f t="shared" si="10"/>
        <v>51259.21</v>
      </c>
      <c r="C85" s="613">
        <f t="shared" si="11"/>
        <v>59541.33</v>
      </c>
      <c r="D85" s="614">
        <f t="shared" si="14"/>
        <v>51259.21</v>
      </c>
      <c r="E85" s="614">
        <f t="shared" si="15"/>
        <v>59541.33</v>
      </c>
      <c r="F85" s="615">
        <f t="shared" si="12"/>
        <v>51259.21</v>
      </c>
      <c r="G85" s="615">
        <f t="shared" si="13"/>
        <v>59541.33</v>
      </c>
      <c r="I85" s="612"/>
      <c r="P85" s="612"/>
      <c r="Q85" s="612"/>
      <c r="R85" s="612"/>
      <c r="S85" s="612"/>
      <c r="T85" s="612"/>
      <c r="U85" s="612"/>
      <c r="V85" s="612"/>
      <c r="W85" s="588"/>
      <c r="X85" s="588"/>
      <c r="Y85" s="588"/>
      <c r="Z85" s="588"/>
      <c r="AA85" s="588"/>
      <c r="AB85" s="588"/>
      <c r="AC85" s="588"/>
      <c r="AD85" s="588"/>
      <c r="AE85" s="588"/>
      <c r="AF85" s="588"/>
      <c r="AG85" s="588"/>
      <c r="AH85" s="588"/>
      <c r="AI85" s="588"/>
      <c r="AJ85" s="588"/>
      <c r="AK85" s="588"/>
      <c r="AL85" s="588"/>
      <c r="AM85" s="588"/>
      <c r="AN85" s="588"/>
      <c r="AO85" s="588"/>
      <c r="AP85" s="588"/>
      <c r="AQ85" s="588"/>
      <c r="AR85" s="588"/>
      <c r="AS85" s="588"/>
      <c r="AT85" s="588"/>
      <c r="AU85" s="588"/>
      <c r="AV85" s="588"/>
      <c r="AW85" s="588"/>
      <c r="AX85" s="588"/>
      <c r="AY85" s="588"/>
      <c r="AZ85" s="588"/>
      <c r="BA85" s="588"/>
      <c r="BB85" s="588"/>
      <c r="BC85" s="588"/>
      <c r="BD85" s="588"/>
      <c r="BE85" s="588"/>
      <c r="BF85" s="588"/>
      <c r="BG85" s="588"/>
      <c r="BH85" s="588"/>
      <c r="BI85" s="588"/>
    </row>
    <row r="86" spans="1:61" hidden="1">
      <c r="A86" s="676">
        <f t="shared" si="7"/>
        <v>47</v>
      </c>
      <c r="B86" s="673">
        <f t="shared" si="10"/>
        <v>53826.94</v>
      </c>
      <c r="C86" s="613">
        <f t="shared" si="11"/>
        <v>62602.33</v>
      </c>
      <c r="D86" s="614">
        <f t="shared" si="14"/>
        <v>53826.94</v>
      </c>
      <c r="E86" s="614">
        <f t="shared" si="15"/>
        <v>62602.33</v>
      </c>
      <c r="F86" s="615">
        <f t="shared" si="12"/>
        <v>53826.94</v>
      </c>
      <c r="G86" s="615">
        <f t="shared" si="13"/>
        <v>62602.33</v>
      </c>
      <c r="I86" s="612"/>
      <c r="P86" s="612"/>
      <c r="Q86" s="612"/>
      <c r="R86" s="612"/>
      <c r="S86" s="612"/>
      <c r="T86" s="612"/>
      <c r="U86" s="612"/>
      <c r="V86" s="612"/>
      <c r="W86" s="588"/>
      <c r="X86" s="588"/>
      <c r="Y86" s="588"/>
      <c r="Z86" s="588"/>
      <c r="AA86" s="588"/>
      <c r="AB86" s="588"/>
      <c r="AC86" s="588"/>
      <c r="AD86" s="588"/>
      <c r="AE86" s="588"/>
      <c r="AF86" s="588"/>
      <c r="AG86" s="588"/>
      <c r="AH86" s="588"/>
      <c r="AI86" s="588"/>
      <c r="AJ86" s="588"/>
      <c r="AK86" s="588"/>
      <c r="AL86" s="588"/>
      <c r="AM86" s="588"/>
      <c r="AN86" s="588"/>
      <c r="AO86" s="588"/>
      <c r="AP86" s="588"/>
      <c r="AQ86" s="588"/>
      <c r="AR86" s="588"/>
      <c r="AS86" s="588"/>
      <c r="AT86" s="588"/>
      <c r="AU86" s="588"/>
      <c r="AV86" s="588"/>
      <c r="AW86" s="588"/>
      <c r="AX86" s="588"/>
      <c r="AY86" s="588"/>
      <c r="AZ86" s="588"/>
      <c r="BA86" s="588"/>
      <c r="BB86" s="588"/>
      <c r="BC86" s="588"/>
      <c r="BD86" s="588"/>
      <c r="BE86" s="588"/>
      <c r="BF86" s="588"/>
      <c r="BG86" s="588"/>
      <c r="BH86" s="588"/>
      <c r="BI86" s="588"/>
    </row>
    <row r="87" spans="1:61" hidden="1">
      <c r="A87" s="676">
        <f t="shared" si="7"/>
        <v>48</v>
      </c>
      <c r="B87" s="673">
        <f t="shared" si="10"/>
        <v>56642.13</v>
      </c>
      <c r="C87" s="613">
        <f t="shared" si="11"/>
        <v>65164.33</v>
      </c>
      <c r="D87" s="614">
        <f t="shared" si="14"/>
        <v>56642.13</v>
      </c>
      <c r="E87" s="614">
        <f t="shared" si="15"/>
        <v>65164.33</v>
      </c>
      <c r="F87" s="615">
        <f t="shared" si="12"/>
        <v>56642.13</v>
      </c>
      <c r="G87" s="615">
        <f t="shared" si="13"/>
        <v>65164.33</v>
      </c>
      <c r="I87" s="612"/>
      <c r="P87" s="612"/>
      <c r="Q87" s="612"/>
      <c r="R87" s="612"/>
      <c r="S87" s="612"/>
      <c r="T87" s="612"/>
      <c r="U87" s="612"/>
      <c r="V87" s="612"/>
      <c r="W87" s="588"/>
      <c r="X87" s="588"/>
      <c r="Y87" s="588"/>
      <c r="Z87" s="588"/>
      <c r="AA87" s="588"/>
      <c r="AB87" s="588"/>
      <c r="AC87" s="588"/>
      <c r="AD87" s="588"/>
      <c r="AE87" s="588"/>
      <c r="AF87" s="588"/>
      <c r="AG87" s="588"/>
      <c r="AH87" s="588"/>
      <c r="AI87" s="588"/>
      <c r="AJ87" s="588"/>
      <c r="AK87" s="588"/>
      <c r="AL87" s="588"/>
      <c r="AM87" s="588"/>
      <c r="AN87" s="588"/>
      <c r="AO87" s="588"/>
      <c r="AP87" s="588"/>
      <c r="AQ87" s="588"/>
      <c r="AR87" s="588"/>
      <c r="AS87" s="588"/>
      <c r="AT87" s="588"/>
      <c r="AU87" s="588"/>
      <c r="AV87" s="588"/>
      <c r="AW87" s="588"/>
      <c r="AX87" s="588"/>
      <c r="AY87" s="588"/>
      <c r="AZ87" s="588"/>
      <c r="BA87" s="588"/>
      <c r="BB87" s="588"/>
      <c r="BC87" s="588"/>
      <c r="BD87" s="588"/>
      <c r="BE87" s="588"/>
      <c r="BF87" s="588"/>
      <c r="BG87" s="588"/>
      <c r="BH87" s="588"/>
      <c r="BI87" s="588"/>
    </row>
    <row r="88" spans="1:61" hidden="1">
      <c r="A88" s="676">
        <f t="shared" si="7"/>
        <v>49</v>
      </c>
      <c r="B88" s="673">
        <f t="shared" si="10"/>
        <v>59723.59</v>
      </c>
      <c r="C88" s="613">
        <f t="shared" si="11"/>
        <v>67930.44</v>
      </c>
      <c r="D88" s="614">
        <f t="shared" si="14"/>
        <v>59723.59</v>
      </c>
      <c r="E88" s="614">
        <f t="shared" si="15"/>
        <v>67930.44</v>
      </c>
      <c r="F88" s="615">
        <f t="shared" si="12"/>
        <v>59723.59</v>
      </c>
      <c r="G88" s="615">
        <f t="shared" si="13"/>
        <v>67930.44</v>
      </c>
      <c r="I88" s="612"/>
      <c r="P88" s="612"/>
      <c r="Q88" s="612"/>
      <c r="R88" s="612"/>
      <c r="S88" s="612"/>
      <c r="T88" s="612"/>
      <c r="U88" s="612"/>
      <c r="V88" s="612"/>
      <c r="W88" s="588"/>
      <c r="X88" s="588"/>
      <c r="Y88" s="588"/>
      <c r="Z88" s="588"/>
      <c r="AA88" s="588"/>
      <c r="AB88" s="588"/>
      <c r="AC88" s="588"/>
      <c r="AD88" s="588"/>
      <c r="AE88" s="588"/>
      <c r="AF88" s="588"/>
      <c r="AG88" s="588"/>
      <c r="AH88" s="588"/>
      <c r="AI88" s="588"/>
      <c r="AJ88" s="588"/>
      <c r="AK88" s="588"/>
      <c r="AL88" s="588"/>
      <c r="AM88" s="588"/>
      <c r="AN88" s="588"/>
      <c r="AO88" s="588"/>
      <c r="AP88" s="588"/>
      <c r="AQ88" s="588"/>
      <c r="AR88" s="588"/>
      <c r="AS88" s="588"/>
      <c r="AT88" s="588"/>
      <c r="AU88" s="588"/>
      <c r="AV88" s="588"/>
      <c r="AW88" s="588"/>
      <c r="AX88" s="588"/>
      <c r="AY88" s="588"/>
      <c r="AZ88" s="588"/>
      <c r="BA88" s="588"/>
      <c r="BB88" s="588"/>
      <c r="BC88" s="588"/>
      <c r="BD88" s="588"/>
      <c r="BE88" s="588"/>
      <c r="BF88" s="588"/>
      <c r="BG88" s="588"/>
      <c r="BH88" s="588"/>
      <c r="BI88" s="588"/>
    </row>
    <row r="89" spans="1:61" hidden="1">
      <c r="A89" s="676">
        <f t="shared" si="7"/>
        <v>50</v>
      </c>
      <c r="B89" s="673">
        <f t="shared" si="10"/>
        <v>63082.5</v>
      </c>
      <c r="C89" s="613">
        <f t="shared" si="11"/>
        <v>70855.740000000005</v>
      </c>
      <c r="D89" s="614">
        <f t="shared" si="14"/>
        <v>63082.5</v>
      </c>
      <c r="E89" s="614">
        <f t="shared" si="15"/>
        <v>70855.740000000005</v>
      </c>
      <c r="F89" s="615">
        <f t="shared" si="12"/>
        <v>63082.5</v>
      </c>
      <c r="G89" s="615">
        <f t="shared" si="13"/>
        <v>70855.740000000005</v>
      </c>
      <c r="I89" s="612"/>
      <c r="P89" s="612"/>
      <c r="Q89" s="612"/>
      <c r="R89" s="612"/>
      <c r="S89" s="612"/>
      <c r="T89" s="612"/>
      <c r="U89" s="612"/>
      <c r="V89" s="612"/>
      <c r="W89" s="588"/>
      <c r="X89" s="588"/>
      <c r="Y89" s="588"/>
      <c r="Z89" s="588"/>
      <c r="AA89" s="588"/>
      <c r="AB89" s="588"/>
      <c r="AC89" s="588"/>
      <c r="AD89" s="588"/>
      <c r="AE89" s="588"/>
      <c r="AF89" s="588"/>
      <c r="AG89" s="588"/>
      <c r="AH89" s="588"/>
      <c r="AI89" s="588"/>
      <c r="AJ89" s="588"/>
      <c r="AK89" s="588"/>
      <c r="AL89" s="588"/>
      <c r="AM89" s="588"/>
      <c r="AN89" s="588"/>
      <c r="AO89" s="588"/>
      <c r="AP89" s="588"/>
      <c r="AQ89" s="588"/>
      <c r="AR89" s="588"/>
      <c r="AS89" s="588"/>
      <c r="AT89" s="588"/>
      <c r="AU89" s="588"/>
      <c r="AV89" s="588"/>
      <c r="AW89" s="588"/>
      <c r="AX89" s="588"/>
      <c r="AY89" s="588"/>
      <c r="AZ89" s="588"/>
      <c r="BA89" s="588"/>
      <c r="BB89" s="588"/>
      <c r="BC89" s="588"/>
      <c r="BD89" s="588"/>
      <c r="BE89" s="588"/>
      <c r="BF89" s="588"/>
      <c r="BG89" s="588"/>
      <c r="BH89" s="588"/>
      <c r="BI89" s="588"/>
    </row>
    <row r="90" spans="1:61" hidden="1">
      <c r="A90" s="676">
        <f t="shared" si="7"/>
        <v>51</v>
      </c>
      <c r="B90" s="673">
        <f t="shared" si="10"/>
        <v>66698.39</v>
      </c>
      <c r="C90" s="613">
        <f t="shared" si="11"/>
        <v>74010.289999999994</v>
      </c>
      <c r="D90" s="614">
        <f t="shared" si="14"/>
        <v>66698.39</v>
      </c>
      <c r="E90" s="614">
        <f t="shared" si="15"/>
        <v>74010.289999999994</v>
      </c>
      <c r="F90" s="615">
        <f t="shared" si="12"/>
        <v>66698.39</v>
      </c>
      <c r="G90" s="615">
        <f t="shared" si="13"/>
        <v>74010.289999999994</v>
      </c>
      <c r="I90" s="612"/>
      <c r="P90" s="612"/>
      <c r="Q90" s="612"/>
      <c r="R90" s="612"/>
      <c r="S90" s="612"/>
      <c r="T90" s="612"/>
      <c r="U90" s="612"/>
      <c r="V90" s="612"/>
      <c r="W90" s="588"/>
      <c r="X90" s="588"/>
      <c r="Y90" s="588"/>
      <c r="Z90" s="588"/>
      <c r="AA90" s="588"/>
      <c r="AB90" s="588"/>
      <c r="AC90" s="588"/>
      <c r="AD90" s="588"/>
      <c r="AE90" s="588"/>
      <c r="AF90" s="588"/>
      <c r="AG90" s="588"/>
      <c r="AH90" s="588"/>
      <c r="AI90" s="588"/>
      <c r="AJ90" s="588"/>
      <c r="AK90" s="588"/>
      <c r="AL90" s="588"/>
      <c r="AM90" s="588"/>
      <c r="AN90" s="588"/>
      <c r="AO90" s="588"/>
      <c r="AP90" s="588"/>
      <c r="AQ90" s="588"/>
      <c r="AR90" s="588"/>
      <c r="AS90" s="588"/>
      <c r="AT90" s="588"/>
      <c r="AU90" s="588"/>
      <c r="AV90" s="588"/>
      <c r="AW90" s="588"/>
      <c r="AX90" s="588"/>
      <c r="AY90" s="588"/>
      <c r="AZ90" s="588"/>
      <c r="BA90" s="588"/>
      <c r="BB90" s="588"/>
      <c r="BC90" s="588"/>
      <c r="BD90" s="588"/>
      <c r="BE90" s="588"/>
      <c r="BF90" s="588"/>
      <c r="BG90" s="588"/>
      <c r="BH90" s="588"/>
      <c r="BI90" s="588"/>
    </row>
    <row r="91" spans="1:61" hidden="1">
      <c r="A91" s="676">
        <f t="shared" si="7"/>
        <v>52</v>
      </c>
      <c r="B91" s="673">
        <f t="shared" si="10"/>
        <v>70641.89</v>
      </c>
      <c r="C91" s="613">
        <f t="shared" si="11"/>
        <v>77389.31</v>
      </c>
      <c r="D91" s="614">
        <f t="shared" si="14"/>
        <v>70641.89</v>
      </c>
      <c r="E91" s="614">
        <f t="shared" si="15"/>
        <v>77389.31</v>
      </c>
      <c r="F91" s="615">
        <f t="shared" si="12"/>
        <v>70641.89</v>
      </c>
      <c r="G91" s="615">
        <f t="shared" si="13"/>
        <v>77389.31</v>
      </c>
      <c r="I91" s="612"/>
      <c r="P91" s="612"/>
      <c r="Q91" s="612"/>
      <c r="R91" s="612"/>
      <c r="S91" s="612"/>
      <c r="T91" s="612"/>
      <c r="U91" s="612"/>
      <c r="V91" s="612"/>
      <c r="W91" s="588"/>
      <c r="X91" s="588"/>
      <c r="Y91" s="588"/>
      <c r="Z91" s="588"/>
      <c r="AA91" s="588"/>
      <c r="AB91" s="588"/>
      <c r="AC91" s="588"/>
      <c r="AD91" s="588"/>
      <c r="AE91" s="588"/>
      <c r="AF91" s="588"/>
      <c r="AG91" s="588"/>
      <c r="AH91" s="588"/>
      <c r="AI91" s="588"/>
      <c r="AJ91" s="588"/>
      <c r="AK91" s="588"/>
      <c r="AL91" s="588"/>
      <c r="AM91" s="588"/>
      <c r="AN91" s="588"/>
      <c r="AO91" s="588"/>
      <c r="AP91" s="588"/>
      <c r="AQ91" s="588"/>
      <c r="AR91" s="588"/>
      <c r="AS91" s="588"/>
      <c r="AT91" s="588"/>
      <c r="AU91" s="588"/>
      <c r="AV91" s="588"/>
      <c r="AW91" s="588"/>
      <c r="AX91" s="588"/>
      <c r="AY91" s="588"/>
      <c r="AZ91" s="588"/>
      <c r="BA91" s="588"/>
      <c r="BB91" s="588"/>
      <c r="BC91" s="588"/>
      <c r="BD91" s="588"/>
      <c r="BE91" s="588"/>
      <c r="BF91" s="588"/>
      <c r="BG91" s="588"/>
      <c r="BH91" s="588"/>
      <c r="BI91" s="588"/>
    </row>
    <row r="92" spans="1:61" hidden="1">
      <c r="A92" s="676">
        <f t="shared" si="7"/>
        <v>53</v>
      </c>
      <c r="B92" s="673">
        <f t="shared" si="10"/>
        <v>74952.149999999994</v>
      </c>
      <c r="C92" s="613">
        <f t="shared" si="11"/>
        <v>81013.91</v>
      </c>
      <c r="D92" s="614">
        <f t="shared" si="14"/>
        <v>74952.149999999994</v>
      </c>
      <c r="E92" s="614">
        <f t="shared" si="15"/>
        <v>81013.91</v>
      </c>
      <c r="F92" s="615">
        <f t="shared" si="12"/>
        <v>74952.149999999994</v>
      </c>
      <c r="G92" s="615">
        <f t="shared" si="13"/>
        <v>81013.91</v>
      </c>
      <c r="I92" s="612"/>
      <c r="P92" s="612"/>
      <c r="Q92" s="612"/>
      <c r="R92" s="612"/>
      <c r="S92" s="612"/>
      <c r="T92" s="612"/>
      <c r="U92" s="612"/>
      <c r="V92" s="612"/>
      <c r="W92" s="588"/>
      <c r="X92" s="588"/>
      <c r="Y92" s="588"/>
      <c r="Z92" s="588"/>
      <c r="AA92" s="588"/>
      <c r="AB92" s="588"/>
      <c r="AC92" s="588"/>
      <c r="AD92" s="588"/>
      <c r="AE92" s="588"/>
      <c r="AF92" s="588"/>
      <c r="AG92" s="588"/>
      <c r="AH92" s="588"/>
      <c r="AI92" s="588"/>
      <c r="AJ92" s="588"/>
      <c r="AK92" s="588"/>
      <c r="AL92" s="588"/>
      <c r="AM92" s="588"/>
      <c r="AN92" s="588"/>
      <c r="AO92" s="588"/>
      <c r="AP92" s="588"/>
      <c r="AQ92" s="588"/>
      <c r="AR92" s="588"/>
      <c r="AS92" s="588"/>
      <c r="AT92" s="588"/>
      <c r="AU92" s="588"/>
      <c r="AV92" s="588"/>
      <c r="AW92" s="588"/>
      <c r="AX92" s="588"/>
      <c r="AY92" s="588"/>
      <c r="AZ92" s="588"/>
      <c r="BA92" s="588"/>
      <c r="BB92" s="588"/>
      <c r="BC92" s="588"/>
      <c r="BD92" s="588"/>
      <c r="BE92" s="588"/>
      <c r="BF92" s="588"/>
      <c r="BG92" s="588"/>
      <c r="BH92" s="588"/>
      <c r="BI92" s="588"/>
    </row>
    <row r="93" spans="1:61" hidden="1">
      <c r="A93" s="676">
        <f t="shared" si="7"/>
        <v>54</v>
      </c>
      <c r="B93" s="673">
        <f t="shared" si="10"/>
        <v>79617.53</v>
      </c>
      <c r="C93" s="613">
        <f t="shared" si="11"/>
        <v>84868.25</v>
      </c>
      <c r="D93" s="614">
        <f t="shared" si="14"/>
        <v>79617.53</v>
      </c>
      <c r="E93" s="614">
        <f t="shared" si="15"/>
        <v>84868.25</v>
      </c>
      <c r="F93" s="615">
        <f t="shared" si="12"/>
        <v>79617.53</v>
      </c>
      <c r="G93" s="615">
        <f t="shared" si="13"/>
        <v>84868.25</v>
      </c>
      <c r="I93" s="612"/>
      <c r="P93" s="612"/>
      <c r="Q93" s="612"/>
      <c r="R93" s="612"/>
      <c r="S93" s="612"/>
      <c r="T93" s="612"/>
      <c r="U93" s="612"/>
      <c r="V93" s="612"/>
      <c r="W93" s="588"/>
      <c r="X93" s="588"/>
      <c r="Y93" s="588"/>
      <c r="Z93" s="588"/>
      <c r="AA93" s="588"/>
      <c r="AB93" s="588"/>
      <c r="AC93" s="588"/>
      <c r="AD93" s="588"/>
      <c r="AE93" s="588"/>
      <c r="AF93" s="588"/>
      <c r="AG93" s="588"/>
      <c r="AH93" s="588"/>
      <c r="AI93" s="588"/>
      <c r="AJ93" s="588"/>
      <c r="AK93" s="588"/>
      <c r="AL93" s="588"/>
      <c r="AM93" s="588"/>
      <c r="AN93" s="588"/>
      <c r="AO93" s="588"/>
      <c r="AP93" s="588"/>
      <c r="AQ93" s="588"/>
      <c r="AR93" s="588"/>
      <c r="AS93" s="588"/>
      <c r="AT93" s="588"/>
      <c r="AU93" s="588"/>
      <c r="AV93" s="588"/>
      <c r="AW93" s="588"/>
      <c r="AX93" s="588"/>
      <c r="AY93" s="588"/>
      <c r="AZ93" s="588"/>
      <c r="BA93" s="588"/>
      <c r="BB93" s="588"/>
      <c r="BC93" s="588"/>
      <c r="BD93" s="588"/>
      <c r="BE93" s="588"/>
      <c r="BF93" s="588"/>
      <c r="BG93" s="588"/>
      <c r="BH93" s="588"/>
      <c r="BI93" s="588"/>
    </row>
    <row r="94" spans="1:61" hidden="1">
      <c r="A94" s="676">
        <f t="shared" si="7"/>
        <v>55</v>
      </c>
      <c r="B94" s="673">
        <f t="shared" si="10"/>
        <v>84589.23</v>
      </c>
      <c r="C94" s="613">
        <f t="shared" si="11"/>
        <v>88883.96</v>
      </c>
      <c r="D94" s="614">
        <f t="shared" si="14"/>
        <v>84589.23</v>
      </c>
      <c r="E94" s="614">
        <f t="shared" si="15"/>
        <v>88883.96</v>
      </c>
      <c r="F94" s="615">
        <f t="shared" si="12"/>
        <v>84589.23</v>
      </c>
      <c r="G94" s="615">
        <f t="shared" si="13"/>
        <v>88883.96</v>
      </c>
      <c r="I94" s="612"/>
      <c r="P94" s="612"/>
      <c r="Q94" s="612"/>
      <c r="R94" s="612"/>
      <c r="S94" s="612"/>
      <c r="T94" s="612"/>
      <c r="U94" s="612"/>
      <c r="V94" s="612"/>
      <c r="W94" s="588"/>
      <c r="X94" s="588"/>
      <c r="Y94" s="588"/>
      <c r="Z94" s="588"/>
      <c r="AA94" s="588"/>
      <c r="AB94" s="588"/>
      <c r="AC94" s="588"/>
      <c r="AD94" s="588"/>
      <c r="AE94" s="588"/>
      <c r="AF94" s="588"/>
      <c r="AG94" s="588"/>
      <c r="AH94" s="588"/>
      <c r="AI94" s="588"/>
      <c r="AJ94" s="588"/>
      <c r="AK94" s="588"/>
      <c r="AL94" s="588"/>
      <c r="AM94" s="588"/>
      <c r="AN94" s="588"/>
      <c r="AO94" s="588"/>
      <c r="AP94" s="588"/>
      <c r="AQ94" s="588"/>
      <c r="AR94" s="588"/>
      <c r="AS94" s="588"/>
      <c r="AT94" s="588"/>
      <c r="AU94" s="588"/>
      <c r="AV94" s="588"/>
      <c r="AW94" s="588"/>
      <c r="AX94" s="588"/>
      <c r="AY94" s="588"/>
      <c r="AZ94" s="588"/>
      <c r="BA94" s="588"/>
      <c r="BB94" s="588"/>
      <c r="BC94" s="588"/>
      <c r="BD94" s="588"/>
      <c r="BE94" s="588"/>
      <c r="BF94" s="588"/>
      <c r="BG94" s="588"/>
      <c r="BH94" s="588"/>
      <c r="BI94" s="588"/>
    </row>
    <row r="95" spans="1:61" hidden="1">
      <c r="A95" s="676">
        <f t="shared" si="7"/>
        <v>56</v>
      </c>
      <c r="B95" s="673">
        <f t="shared" si="10"/>
        <v>90008.52</v>
      </c>
      <c r="C95" s="613">
        <f t="shared" si="11"/>
        <v>94302.22</v>
      </c>
      <c r="D95" s="614">
        <f t="shared" si="14"/>
        <v>90008.52</v>
      </c>
      <c r="E95" s="614">
        <f t="shared" si="15"/>
        <v>94302.22</v>
      </c>
      <c r="F95" s="615">
        <f t="shared" si="12"/>
        <v>90008.52</v>
      </c>
      <c r="G95" s="615">
        <f t="shared" si="13"/>
        <v>94302.22</v>
      </c>
      <c r="I95" s="612"/>
      <c r="P95" s="612"/>
      <c r="Q95" s="612"/>
      <c r="R95" s="612"/>
      <c r="S95" s="612"/>
      <c r="T95" s="612"/>
      <c r="U95" s="612"/>
      <c r="V95" s="612"/>
      <c r="W95" s="588"/>
      <c r="X95" s="588"/>
      <c r="Y95" s="588"/>
      <c r="Z95" s="588"/>
      <c r="AA95" s="588"/>
      <c r="AB95" s="588"/>
      <c r="AC95" s="588"/>
      <c r="AD95" s="588"/>
      <c r="AE95" s="588"/>
      <c r="AF95" s="588"/>
      <c r="AG95" s="588"/>
      <c r="AH95" s="588"/>
      <c r="AI95" s="588"/>
      <c r="AJ95" s="588"/>
      <c r="AK95" s="588"/>
      <c r="AL95" s="588"/>
      <c r="AM95" s="588"/>
      <c r="AN95" s="588"/>
      <c r="AO95" s="588"/>
      <c r="AP95" s="588"/>
      <c r="AQ95" s="588"/>
      <c r="AR95" s="588"/>
      <c r="AS95" s="588"/>
      <c r="AT95" s="588"/>
      <c r="AU95" s="588"/>
      <c r="AV95" s="588"/>
      <c r="AW95" s="588"/>
      <c r="AX95" s="588"/>
      <c r="AY95" s="588"/>
      <c r="AZ95" s="588"/>
      <c r="BA95" s="588"/>
      <c r="BB95" s="588"/>
      <c r="BC95" s="588"/>
      <c r="BD95" s="588"/>
      <c r="BE95" s="588"/>
      <c r="BF95" s="588"/>
      <c r="BG95" s="588"/>
      <c r="BH95" s="588"/>
      <c r="BI95" s="588"/>
    </row>
    <row r="96" spans="1:61" hidden="1">
      <c r="A96" s="676">
        <f t="shared" si="7"/>
        <v>57</v>
      </c>
      <c r="B96" s="673">
        <f t="shared" si="10"/>
        <v>95822.98</v>
      </c>
      <c r="C96" s="613">
        <f t="shared" si="11"/>
        <v>97977.86</v>
      </c>
      <c r="D96" s="614">
        <f t="shared" si="14"/>
        <v>95822.98</v>
      </c>
      <c r="E96" s="614">
        <f t="shared" si="15"/>
        <v>97977.86</v>
      </c>
      <c r="F96" s="615">
        <f t="shared" si="12"/>
        <v>95822.98</v>
      </c>
      <c r="G96" s="615">
        <f t="shared" si="13"/>
        <v>97977.86</v>
      </c>
      <c r="I96" s="612"/>
      <c r="P96" s="612"/>
      <c r="Q96" s="612"/>
      <c r="R96" s="612"/>
      <c r="S96" s="612"/>
      <c r="T96" s="612"/>
      <c r="U96" s="612"/>
      <c r="V96" s="612"/>
      <c r="W96" s="588"/>
      <c r="X96" s="588"/>
      <c r="Y96" s="588"/>
      <c r="Z96" s="588"/>
      <c r="AA96" s="588"/>
      <c r="AB96" s="588"/>
      <c r="AC96" s="588"/>
      <c r="AD96" s="588"/>
      <c r="AE96" s="588"/>
      <c r="AF96" s="588"/>
      <c r="AG96" s="588"/>
      <c r="AH96" s="588"/>
      <c r="AI96" s="588"/>
      <c r="AJ96" s="588"/>
      <c r="AK96" s="588"/>
      <c r="AL96" s="588"/>
      <c r="AM96" s="588"/>
      <c r="AN96" s="588"/>
      <c r="AO96" s="588"/>
      <c r="AP96" s="588"/>
      <c r="AQ96" s="588"/>
      <c r="AR96" s="588"/>
      <c r="AS96" s="588"/>
      <c r="AT96" s="588"/>
      <c r="AU96" s="588"/>
      <c r="AV96" s="588"/>
      <c r="AW96" s="588"/>
      <c r="AX96" s="588"/>
      <c r="AY96" s="588"/>
      <c r="AZ96" s="588"/>
      <c r="BA96" s="588"/>
      <c r="BB96" s="588"/>
      <c r="BC96" s="588"/>
      <c r="BD96" s="588"/>
      <c r="BE96" s="588"/>
      <c r="BF96" s="588"/>
      <c r="BG96" s="588"/>
      <c r="BH96" s="588"/>
      <c r="BI96" s="588"/>
    </row>
    <row r="97" spans="1:61" hidden="1">
      <c r="A97" s="676">
        <f t="shared" si="7"/>
        <v>58</v>
      </c>
      <c r="B97" s="673">
        <f t="shared" si="10"/>
        <v>99992.73</v>
      </c>
      <c r="C97" s="613">
        <f t="shared" si="11"/>
        <v>101942.56</v>
      </c>
      <c r="D97" s="614">
        <f t="shared" si="14"/>
        <v>99992.73</v>
      </c>
      <c r="E97" s="614">
        <f t="shared" si="15"/>
        <v>101942.56</v>
      </c>
      <c r="F97" s="615">
        <f t="shared" si="12"/>
        <v>99992.73</v>
      </c>
      <c r="G97" s="615">
        <f t="shared" si="13"/>
        <v>101942.56</v>
      </c>
      <c r="I97" s="612"/>
      <c r="P97" s="612"/>
      <c r="Q97" s="612"/>
      <c r="R97" s="612"/>
      <c r="S97" s="612"/>
      <c r="T97" s="612"/>
      <c r="U97" s="612"/>
      <c r="V97" s="612"/>
      <c r="W97" s="588"/>
      <c r="X97" s="588"/>
      <c r="Y97" s="588"/>
      <c r="Z97" s="588"/>
      <c r="AA97" s="588"/>
      <c r="AB97" s="588"/>
      <c r="AC97" s="588"/>
      <c r="AD97" s="588"/>
      <c r="AE97" s="588"/>
      <c r="AF97" s="588"/>
      <c r="AG97" s="588"/>
      <c r="AH97" s="588"/>
      <c r="AI97" s="588"/>
      <c r="AJ97" s="588"/>
      <c r="AK97" s="588"/>
      <c r="AL97" s="588"/>
      <c r="AM97" s="588"/>
      <c r="AN97" s="588"/>
      <c r="AO97" s="588"/>
      <c r="AP97" s="588"/>
      <c r="AQ97" s="588"/>
      <c r="AR97" s="588"/>
      <c r="AS97" s="588"/>
      <c r="AT97" s="588"/>
      <c r="AU97" s="588"/>
      <c r="AV97" s="588"/>
      <c r="AW97" s="588"/>
      <c r="AX97" s="588"/>
      <c r="AY97" s="588"/>
      <c r="AZ97" s="588"/>
      <c r="BA97" s="588"/>
      <c r="BB97" s="588"/>
      <c r="BC97" s="588"/>
      <c r="BD97" s="588"/>
      <c r="BE97" s="588"/>
      <c r="BF97" s="588"/>
      <c r="BG97" s="588"/>
      <c r="BH97" s="588"/>
      <c r="BI97" s="588"/>
    </row>
    <row r="98" spans="1:61" hidden="1">
      <c r="A98" s="676">
        <f t="shared" si="7"/>
        <v>59</v>
      </c>
      <c r="B98" s="673">
        <f t="shared" si="10"/>
        <v>106549.09</v>
      </c>
      <c r="C98" s="613">
        <f t="shared" si="11"/>
        <v>103702.23</v>
      </c>
      <c r="D98" s="614">
        <f t="shared" si="14"/>
        <v>106549.09</v>
      </c>
      <c r="E98" s="614">
        <f t="shared" si="15"/>
        <v>103702.23</v>
      </c>
      <c r="F98" s="615">
        <f t="shared" si="12"/>
        <v>106549.09</v>
      </c>
      <c r="G98" s="615">
        <f t="shared" si="13"/>
        <v>103702.23</v>
      </c>
      <c r="I98" s="612"/>
      <c r="P98" s="612"/>
      <c r="Q98" s="612"/>
      <c r="R98" s="612"/>
      <c r="S98" s="612"/>
      <c r="T98" s="612"/>
      <c r="U98" s="612"/>
      <c r="V98" s="612"/>
      <c r="W98" s="588"/>
      <c r="X98" s="588"/>
      <c r="Y98" s="588"/>
      <c r="Z98" s="588"/>
      <c r="AA98" s="588"/>
      <c r="AB98" s="588"/>
      <c r="AC98" s="588"/>
      <c r="AD98" s="588"/>
      <c r="AE98" s="588"/>
      <c r="AF98" s="588"/>
      <c r="AG98" s="588"/>
      <c r="AH98" s="588"/>
      <c r="AI98" s="588"/>
      <c r="AJ98" s="588"/>
      <c r="AK98" s="588"/>
      <c r="AL98" s="588"/>
      <c r="AM98" s="588"/>
      <c r="AN98" s="588"/>
      <c r="AO98" s="588"/>
      <c r="AP98" s="588"/>
      <c r="AQ98" s="588"/>
      <c r="AR98" s="588"/>
      <c r="AS98" s="588"/>
      <c r="AT98" s="588"/>
      <c r="AU98" s="588"/>
      <c r="AV98" s="588"/>
      <c r="AW98" s="588"/>
      <c r="AX98" s="588"/>
      <c r="AY98" s="588"/>
      <c r="AZ98" s="588"/>
      <c r="BA98" s="588"/>
      <c r="BB98" s="588"/>
      <c r="BC98" s="588"/>
      <c r="BD98" s="588"/>
      <c r="BE98" s="588"/>
      <c r="BF98" s="588"/>
      <c r="BG98" s="588"/>
      <c r="BH98" s="588"/>
      <c r="BI98" s="588"/>
    </row>
    <row r="99" spans="1:61" hidden="1">
      <c r="A99" s="676">
        <f t="shared" si="7"/>
        <v>60</v>
      </c>
      <c r="B99" s="673">
        <f t="shared" si="10"/>
        <v>170941.85</v>
      </c>
      <c r="C99" s="613">
        <f t="shared" si="11"/>
        <v>169718.26</v>
      </c>
      <c r="D99" s="614">
        <f t="shared" si="14"/>
        <v>170941.85</v>
      </c>
      <c r="E99" s="614">
        <f t="shared" si="15"/>
        <v>169718.26</v>
      </c>
      <c r="F99" s="615">
        <f t="shared" si="12"/>
        <v>170941.85</v>
      </c>
      <c r="G99" s="615">
        <f t="shared" si="13"/>
        <v>169718.26</v>
      </c>
      <c r="I99" s="612"/>
      <c r="P99" s="612"/>
      <c r="Q99" s="612"/>
      <c r="R99" s="612"/>
      <c r="S99" s="612"/>
      <c r="T99" s="612"/>
      <c r="U99" s="612"/>
      <c r="V99" s="612"/>
      <c r="W99" s="588"/>
      <c r="X99" s="588"/>
      <c r="Y99" s="588"/>
      <c r="Z99" s="588"/>
      <c r="AA99" s="588"/>
      <c r="AB99" s="588"/>
      <c r="AC99" s="588"/>
      <c r="AD99" s="588"/>
      <c r="AE99" s="588"/>
      <c r="AF99" s="588"/>
      <c r="AG99" s="588"/>
      <c r="AH99" s="588"/>
      <c r="AI99" s="588"/>
      <c r="AJ99" s="588"/>
      <c r="AK99" s="588"/>
      <c r="AL99" s="588"/>
      <c r="AM99" s="588"/>
      <c r="AN99" s="588"/>
      <c r="AO99" s="588"/>
      <c r="AP99" s="588"/>
      <c r="AQ99" s="588"/>
      <c r="AR99" s="588"/>
      <c r="AS99" s="588"/>
      <c r="AT99" s="588"/>
      <c r="AU99" s="588"/>
      <c r="AV99" s="588"/>
      <c r="AW99" s="588"/>
      <c r="AX99" s="588"/>
      <c r="AY99" s="588"/>
      <c r="AZ99" s="588"/>
      <c r="BA99" s="588"/>
      <c r="BB99" s="588"/>
      <c r="BC99" s="588"/>
      <c r="BD99" s="588"/>
      <c r="BE99" s="588"/>
      <c r="BF99" s="588"/>
      <c r="BG99" s="588"/>
      <c r="BH99" s="588"/>
      <c r="BI99" s="588"/>
    </row>
    <row r="100" spans="1:61" hidden="1">
      <c r="A100" s="676">
        <f t="shared" si="7"/>
        <v>61</v>
      </c>
      <c r="B100" s="673">
        <f t="shared" si="10"/>
        <v>180390.69</v>
      </c>
      <c r="C100" s="613">
        <f t="shared" si="11"/>
        <v>177166.91</v>
      </c>
      <c r="D100" s="614">
        <f t="shared" si="14"/>
        <v>180390.69</v>
      </c>
      <c r="E100" s="614">
        <f t="shared" si="15"/>
        <v>177166.91</v>
      </c>
      <c r="F100" s="615">
        <f t="shared" si="12"/>
        <v>180390.69</v>
      </c>
      <c r="G100" s="615">
        <f t="shared" si="13"/>
        <v>177166.91</v>
      </c>
      <c r="I100" s="612"/>
      <c r="P100" s="612"/>
      <c r="Q100" s="612"/>
      <c r="R100" s="612"/>
      <c r="S100" s="612"/>
      <c r="T100" s="612"/>
      <c r="U100" s="612"/>
      <c r="V100" s="612"/>
      <c r="W100" s="588"/>
      <c r="X100" s="588"/>
      <c r="Y100" s="588"/>
      <c r="Z100" s="588"/>
      <c r="AA100" s="588"/>
      <c r="AB100" s="588"/>
      <c r="AC100" s="588"/>
      <c r="AD100" s="588"/>
      <c r="AE100" s="588"/>
      <c r="AF100" s="588"/>
      <c r="AG100" s="588"/>
      <c r="AH100" s="588"/>
      <c r="AI100" s="588"/>
      <c r="AJ100" s="588"/>
      <c r="AK100" s="588"/>
      <c r="AL100" s="588"/>
      <c r="AM100" s="588"/>
      <c r="AN100" s="588"/>
      <c r="AO100" s="588"/>
      <c r="AP100" s="588"/>
      <c r="AQ100" s="588"/>
      <c r="AR100" s="588"/>
      <c r="AS100" s="588"/>
      <c r="AT100" s="588"/>
      <c r="AU100" s="588"/>
      <c r="AV100" s="588"/>
      <c r="AW100" s="588"/>
      <c r="AX100" s="588"/>
      <c r="AY100" s="588"/>
      <c r="AZ100" s="588"/>
      <c r="BA100" s="588"/>
      <c r="BB100" s="588"/>
      <c r="BC100" s="588"/>
      <c r="BD100" s="588"/>
      <c r="BE100" s="588"/>
      <c r="BF100" s="588"/>
      <c r="BG100" s="588"/>
      <c r="BH100" s="588"/>
      <c r="BI100" s="588"/>
    </row>
    <row r="101" spans="1:61" hidden="1">
      <c r="A101" s="676">
        <f t="shared" si="7"/>
        <v>62</v>
      </c>
      <c r="B101" s="673">
        <f t="shared" si="10"/>
        <v>190011.84</v>
      </c>
      <c r="C101" s="613">
        <f t="shared" si="11"/>
        <v>184831.47</v>
      </c>
      <c r="D101" s="614">
        <f t="shared" si="14"/>
        <v>190011.84</v>
      </c>
      <c r="E101" s="614">
        <f t="shared" si="15"/>
        <v>184831.47</v>
      </c>
      <c r="F101" s="615">
        <f t="shared" si="12"/>
        <v>190011.84</v>
      </c>
      <c r="G101" s="615">
        <f t="shared" si="13"/>
        <v>184831.47</v>
      </c>
      <c r="I101" s="612"/>
      <c r="P101" s="612"/>
      <c r="Q101" s="612"/>
      <c r="R101" s="612"/>
      <c r="S101" s="612"/>
      <c r="T101" s="612"/>
      <c r="U101" s="612"/>
      <c r="V101" s="612"/>
      <c r="W101" s="588"/>
      <c r="X101" s="588"/>
      <c r="Y101" s="588"/>
      <c r="Z101" s="588"/>
      <c r="AA101" s="588"/>
      <c r="AB101" s="588"/>
      <c r="AC101" s="588"/>
      <c r="AD101" s="588"/>
      <c r="AE101" s="588"/>
      <c r="AF101" s="588"/>
      <c r="AG101" s="588"/>
      <c r="AH101" s="588"/>
      <c r="AI101" s="588"/>
      <c r="AJ101" s="588"/>
      <c r="AK101" s="588"/>
      <c r="AL101" s="588"/>
      <c r="AM101" s="588"/>
      <c r="AN101" s="588"/>
      <c r="AO101" s="588"/>
      <c r="AP101" s="588"/>
      <c r="AQ101" s="588"/>
      <c r="AR101" s="588"/>
      <c r="AS101" s="588"/>
      <c r="AT101" s="588"/>
      <c r="AU101" s="588"/>
      <c r="AV101" s="588"/>
      <c r="AW101" s="588"/>
      <c r="AX101" s="588"/>
      <c r="AY101" s="588"/>
      <c r="AZ101" s="588"/>
      <c r="BA101" s="588"/>
      <c r="BB101" s="588"/>
      <c r="BC101" s="588"/>
      <c r="BD101" s="588"/>
      <c r="BE101" s="588"/>
      <c r="BF101" s="588"/>
      <c r="BG101" s="588"/>
      <c r="BH101" s="588"/>
      <c r="BI101" s="588"/>
    </row>
    <row r="102" spans="1:61" hidden="1">
      <c r="A102" s="676">
        <f t="shared" si="7"/>
        <v>63</v>
      </c>
      <c r="B102" s="673">
        <f t="shared" si="10"/>
        <v>200579.74</v>
      </c>
      <c r="C102" s="613">
        <f t="shared" si="11"/>
        <v>192892.3</v>
      </c>
      <c r="D102" s="614">
        <f t="shared" si="14"/>
        <v>200579.74</v>
      </c>
      <c r="E102" s="614">
        <f t="shared" si="15"/>
        <v>192892.3</v>
      </c>
      <c r="F102" s="615">
        <f t="shared" si="12"/>
        <v>200579.74</v>
      </c>
      <c r="G102" s="615">
        <f t="shared" si="13"/>
        <v>192892.3</v>
      </c>
      <c r="I102" s="612"/>
      <c r="P102" s="612"/>
      <c r="Q102" s="612"/>
      <c r="R102" s="612"/>
      <c r="S102" s="612"/>
      <c r="T102" s="612"/>
      <c r="U102" s="612"/>
      <c r="V102" s="612"/>
      <c r="W102" s="588"/>
      <c r="X102" s="588"/>
      <c r="Y102" s="588"/>
      <c r="Z102" s="588"/>
      <c r="AA102" s="588"/>
      <c r="AB102" s="588"/>
      <c r="AC102" s="588"/>
      <c r="AD102" s="588"/>
      <c r="AE102" s="588"/>
      <c r="AF102" s="588"/>
      <c r="AG102" s="588"/>
      <c r="AH102" s="588"/>
      <c r="AI102" s="588"/>
      <c r="AJ102" s="588"/>
      <c r="AK102" s="588"/>
      <c r="AL102" s="588"/>
      <c r="AM102" s="588"/>
      <c r="AN102" s="588"/>
      <c r="AO102" s="588"/>
      <c r="AP102" s="588"/>
      <c r="AQ102" s="588"/>
      <c r="AR102" s="588"/>
      <c r="AS102" s="588"/>
      <c r="AT102" s="588"/>
      <c r="AU102" s="588"/>
      <c r="AV102" s="588"/>
      <c r="AW102" s="588"/>
      <c r="AX102" s="588"/>
      <c r="AY102" s="588"/>
      <c r="AZ102" s="588"/>
      <c r="BA102" s="588"/>
      <c r="BB102" s="588"/>
      <c r="BC102" s="588"/>
      <c r="BD102" s="588"/>
      <c r="BE102" s="588"/>
      <c r="BF102" s="588"/>
      <c r="BG102" s="588"/>
      <c r="BH102" s="588"/>
      <c r="BI102" s="588"/>
    </row>
    <row r="103" spans="1:61" hidden="1">
      <c r="A103" s="676">
        <f t="shared" si="7"/>
        <v>64</v>
      </c>
      <c r="B103" s="673">
        <f t="shared" ref="B103:B124" si="16">IF($A$37=$C$130,ROUND(C196*(1-DESC),2),ROUND(E196*(1-DESC),2))</f>
        <v>211233.71</v>
      </c>
      <c r="C103" s="613">
        <f t="shared" ref="C103:C124" si="17">IF($A$37=$C$130,ROUND(D196*(1-DESC),2),ROUND(F196*(1-DESC),2))</f>
        <v>201460.63</v>
      </c>
      <c r="D103" s="614">
        <f t="shared" si="14"/>
        <v>211233.71</v>
      </c>
      <c r="E103" s="614">
        <f t="shared" si="15"/>
        <v>201460.63</v>
      </c>
      <c r="F103" s="615">
        <f t="shared" ref="F103:F124" si="18">ROUND(D103*$G$37,2)</f>
        <v>211233.71</v>
      </c>
      <c r="G103" s="615">
        <f t="shared" ref="G103:G124" si="19">ROUND(E103*$G$37,2)</f>
        <v>201460.63</v>
      </c>
      <c r="I103" s="612"/>
      <c r="P103" s="612"/>
      <c r="Q103" s="612"/>
      <c r="R103" s="612"/>
      <c r="S103" s="612"/>
      <c r="T103" s="612"/>
      <c r="U103" s="612"/>
      <c r="V103" s="612"/>
      <c r="W103" s="588"/>
      <c r="X103" s="588"/>
      <c r="Y103" s="588"/>
      <c r="Z103" s="588"/>
      <c r="AA103" s="588"/>
      <c r="AB103" s="588"/>
      <c r="AC103" s="588"/>
      <c r="AD103" s="588"/>
      <c r="AE103" s="588"/>
      <c r="AF103" s="588"/>
      <c r="AG103" s="588"/>
      <c r="AH103" s="588"/>
      <c r="AI103" s="588"/>
      <c r="AJ103" s="588"/>
      <c r="AK103" s="588"/>
      <c r="AL103" s="588"/>
      <c r="AM103" s="588"/>
      <c r="AN103" s="588"/>
      <c r="AO103" s="588"/>
      <c r="AP103" s="588"/>
      <c r="AQ103" s="588"/>
      <c r="AR103" s="588"/>
      <c r="AS103" s="588"/>
      <c r="AT103" s="588"/>
      <c r="AU103" s="588"/>
      <c r="AV103" s="588"/>
      <c r="AW103" s="588"/>
      <c r="AX103" s="588"/>
      <c r="AY103" s="588"/>
      <c r="AZ103" s="588"/>
      <c r="BA103" s="588"/>
      <c r="BB103" s="588"/>
      <c r="BC103" s="588"/>
      <c r="BD103" s="588"/>
      <c r="BE103" s="588"/>
      <c r="BF103" s="588"/>
      <c r="BG103" s="588"/>
      <c r="BH103" s="588"/>
      <c r="BI103" s="588"/>
    </row>
    <row r="104" spans="1:61" hidden="1">
      <c r="A104" s="676">
        <f t="shared" si="7"/>
        <v>65</v>
      </c>
      <c r="B104" s="673">
        <f t="shared" si="16"/>
        <v>222510.88</v>
      </c>
      <c r="C104" s="613">
        <f t="shared" si="17"/>
        <v>210309.46</v>
      </c>
      <c r="D104" s="614">
        <f t="shared" ref="D104:D124" si="20">B104</f>
        <v>222510.88</v>
      </c>
      <c r="E104" s="614">
        <f t="shared" si="15"/>
        <v>210309.46</v>
      </c>
      <c r="F104" s="615">
        <f t="shared" si="18"/>
        <v>222510.88</v>
      </c>
      <c r="G104" s="615">
        <f t="shared" si="19"/>
        <v>210309.46</v>
      </c>
      <c r="I104" s="612"/>
      <c r="P104" s="612"/>
      <c r="Q104" s="612"/>
      <c r="R104" s="612"/>
      <c r="S104" s="612"/>
      <c r="T104" s="612"/>
      <c r="U104" s="612"/>
      <c r="V104" s="612"/>
      <c r="W104" s="588"/>
      <c r="X104" s="588"/>
      <c r="Y104" s="588"/>
      <c r="Z104" s="588"/>
      <c r="AA104" s="588"/>
      <c r="AB104" s="588"/>
      <c r="AC104" s="588"/>
      <c r="AD104" s="588"/>
      <c r="AE104" s="588"/>
      <c r="AF104" s="588"/>
      <c r="AG104" s="588"/>
      <c r="AH104" s="588"/>
      <c r="AI104" s="588"/>
      <c r="AJ104" s="588"/>
      <c r="AK104" s="588"/>
      <c r="AL104" s="588"/>
      <c r="AM104" s="588"/>
      <c r="AN104" s="588"/>
      <c r="AO104" s="588"/>
      <c r="AP104" s="588"/>
      <c r="AQ104" s="588"/>
      <c r="AR104" s="588"/>
      <c r="AS104" s="588"/>
      <c r="AT104" s="588"/>
      <c r="AU104" s="588"/>
      <c r="AV104" s="588"/>
      <c r="AW104" s="588"/>
      <c r="AX104" s="588"/>
      <c r="AY104" s="588"/>
      <c r="AZ104" s="588"/>
      <c r="BA104" s="588"/>
      <c r="BB104" s="588"/>
      <c r="BC104" s="588"/>
      <c r="BD104" s="588"/>
      <c r="BE104" s="588"/>
      <c r="BF104" s="588"/>
      <c r="BG104" s="588"/>
      <c r="BH104" s="588"/>
      <c r="BI104" s="588"/>
    </row>
    <row r="105" spans="1:61" hidden="1">
      <c r="A105" s="676">
        <f t="shared" si="7"/>
        <v>66</v>
      </c>
      <c r="B105" s="673">
        <f t="shared" si="16"/>
        <v>234315.32</v>
      </c>
      <c r="C105" s="613">
        <f t="shared" si="17"/>
        <v>219664</v>
      </c>
      <c r="D105" s="614">
        <f t="shared" si="20"/>
        <v>234315.32</v>
      </c>
      <c r="E105" s="614">
        <f t="shared" ref="E105:E124" si="21">C105</f>
        <v>219664</v>
      </c>
      <c r="F105" s="615">
        <f t="shared" si="18"/>
        <v>234315.32</v>
      </c>
      <c r="G105" s="615">
        <f t="shared" si="19"/>
        <v>219664</v>
      </c>
      <c r="I105" s="612"/>
      <c r="P105" s="612"/>
      <c r="Q105" s="612"/>
      <c r="R105" s="612"/>
      <c r="S105" s="612"/>
      <c r="T105" s="612"/>
      <c r="U105" s="612"/>
      <c r="V105" s="612"/>
      <c r="W105" s="588"/>
      <c r="X105" s="588"/>
      <c r="Y105" s="588"/>
      <c r="Z105" s="588"/>
      <c r="AA105" s="588"/>
      <c r="AB105" s="588"/>
      <c r="AC105" s="588"/>
      <c r="AD105" s="588"/>
      <c r="AE105" s="588"/>
      <c r="AF105" s="588"/>
      <c r="AG105" s="588"/>
      <c r="AH105" s="588"/>
      <c r="AI105" s="588"/>
      <c r="AJ105" s="588"/>
      <c r="AK105" s="588"/>
      <c r="AL105" s="588"/>
      <c r="AM105" s="588"/>
      <c r="AN105" s="588"/>
      <c r="AO105" s="588"/>
      <c r="AP105" s="588"/>
      <c r="AQ105" s="588"/>
      <c r="AR105" s="588"/>
      <c r="AS105" s="588"/>
      <c r="AT105" s="588"/>
      <c r="AU105" s="588"/>
      <c r="AV105" s="588"/>
      <c r="AW105" s="588"/>
      <c r="AX105" s="588"/>
      <c r="AY105" s="588"/>
      <c r="AZ105" s="588"/>
      <c r="BA105" s="588"/>
      <c r="BB105" s="588"/>
      <c r="BC105" s="588"/>
      <c r="BD105" s="588"/>
      <c r="BE105" s="588"/>
      <c r="BF105" s="588"/>
      <c r="BG105" s="588"/>
      <c r="BH105" s="588"/>
      <c r="BI105" s="588"/>
    </row>
    <row r="106" spans="1:61" hidden="1">
      <c r="A106" s="676">
        <f t="shared" ref="A106:A124" si="22">+A105+1</f>
        <v>67</v>
      </c>
      <c r="B106" s="673">
        <f t="shared" si="16"/>
        <v>246495.72</v>
      </c>
      <c r="C106" s="613">
        <f t="shared" si="17"/>
        <v>229149.21</v>
      </c>
      <c r="D106" s="614">
        <f t="shared" si="20"/>
        <v>246495.72</v>
      </c>
      <c r="E106" s="614">
        <f t="shared" si="21"/>
        <v>229149.21</v>
      </c>
      <c r="F106" s="615">
        <f t="shared" si="18"/>
        <v>246495.72</v>
      </c>
      <c r="G106" s="615">
        <f t="shared" si="19"/>
        <v>229149.21</v>
      </c>
      <c r="I106" s="612"/>
      <c r="P106" s="612"/>
      <c r="Q106" s="612"/>
      <c r="R106" s="612"/>
      <c r="S106" s="612"/>
      <c r="T106" s="612"/>
      <c r="U106" s="612"/>
      <c r="V106" s="612"/>
      <c r="W106" s="588"/>
      <c r="X106" s="588"/>
      <c r="Y106" s="588"/>
      <c r="Z106" s="588"/>
      <c r="AA106" s="588"/>
      <c r="AB106" s="588"/>
      <c r="AC106" s="588"/>
      <c r="AD106" s="588"/>
      <c r="AE106" s="588"/>
      <c r="AF106" s="588"/>
      <c r="AG106" s="588"/>
      <c r="AH106" s="588"/>
      <c r="AI106" s="588"/>
      <c r="AJ106" s="588"/>
      <c r="AK106" s="588"/>
      <c r="AL106" s="588"/>
      <c r="AM106" s="588"/>
      <c r="AN106" s="588"/>
      <c r="AO106" s="588"/>
      <c r="AP106" s="588"/>
      <c r="AQ106" s="588"/>
      <c r="AR106" s="588"/>
      <c r="AS106" s="588"/>
      <c r="AT106" s="588"/>
      <c r="AU106" s="588"/>
      <c r="AV106" s="588"/>
      <c r="AW106" s="588"/>
      <c r="AX106" s="588"/>
      <c r="AY106" s="588"/>
      <c r="AZ106" s="588"/>
      <c r="BA106" s="588"/>
      <c r="BB106" s="588"/>
      <c r="BC106" s="588"/>
      <c r="BD106" s="588"/>
      <c r="BE106" s="588"/>
      <c r="BF106" s="588"/>
      <c r="BG106" s="588"/>
      <c r="BH106" s="588"/>
      <c r="BI106" s="588"/>
    </row>
    <row r="107" spans="1:61" hidden="1">
      <c r="A107" s="676">
        <f t="shared" si="22"/>
        <v>68</v>
      </c>
      <c r="B107" s="673">
        <f t="shared" si="16"/>
        <v>259363.84</v>
      </c>
      <c r="C107" s="613">
        <f t="shared" si="17"/>
        <v>239183.17</v>
      </c>
      <c r="D107" s="614">
        <f t="shared" si="20"/>
        <v>259363.84</v>
      </c>
      <c r="E107" s="614">
        <f t="shared" si="21"/>
        <v>239183.17</v>
      </c>
      <c r="F107" s="615">
        <f t="shared" si="18"/>
        <v>259363.84</v>
      </c>
      <c r="G107" s="615">
        <f t="shared" si="19"/>
        <v>239183.17</v>
      </c>
      <c r="I107" s="612"/>
      <c r="P107" s="612"/>
      <c r="Q107" s="612"/>
      <c r="R107" s="612"/>
      <c r="S107" s="612"/>
      <c r="T107" s="612"/>
      <c r="U107" s="612"/>
      <c r="V107" s="612"/>
      <c r="W107" s="588"/>
      <c r="X107" s="588"/>
      <c r="Y107" s="588"/>
      <c r="Z107" s="588"/>
      <c r="AA107" s="588"/>
      <c r="AB107" s="588"/>
      <c r="AC107" s="588"/>
      <c r="AD107" s="588"/>
      <c r="AE107" s="588"/>
      <c r="AF107" s="588"/>
      <c r="AG107" s="588"/>
      <c r="AH107" s="588"/>
      <c r="AI107" s="588"/>
      <c r="AJ107" s="588"/>
      <c r="AK107" s="588"/>
      <c r="AL107" s="588"/>
      <c r="AM107" s="588"/>
      <c r="AN107" s="588"/>
      <c r="AO107" s="588"/>
      <c r="AP107" s="588"/>
      <c r="AQ107" s="588"/>
      <c r="AR107" s="588"/>
      <c r="AS107" s="588"/>
      <c r="AT107" s="588"/>
      <c r="AU107" s="588"/>
      <c r="AV107" s="588"/>
      <c r="AW107" s="588"/>
      <c r="AX107" s="588"/>
      <c r="AY107" s="588"/>
      <c r="AZ107" s="588"/>
      <c r="BA107" s="588"/>
      <c r="BB107" s="588"/>
      <c r="BC107" s="588"/>
      <c r="BD107" s="588"/>
      <c r="BE107" s="588"/>
      <c r="BF107" s="588"/>
      <c r="BG107" s="588"/>
      <c r="BH107" s="588"/>
      <c r="BI107" s="588"/>
    </row>
    <row r="108" spans="1:61" hidden="1">
      <c r="A108" s="676">
        <f t="shared" si="22"/>
        <v>69</v>
      </c>
      <c r="B108" s="673">
        <f t="shared" si="16"/>
        <v>272184.58</v>
      </c>
      <c r="C108" s="613">
        <f t="shared" si="17"/>
        <v>249795.03</v>
      </c>
      <c r="D108" s="614">
        <f t="shared" si="20"/>
        <v>272184.58</v>
      </c>
      <c r="E108" s="614">
        <f t="shared" si="21"/>
        <v>249795.03</v>
      </c>
      <c r="F108" s="615">
        <f t="shared" si="18"/>
        <v>272184.58</v>
      </c>
      <c r="G108" s="615">
        <f t="shared" si="19"/>
        <v>249795.03</v>
      </c>
      <c r="I108" s="612"/>
      <c r="P108" s="612"/>
      <c r="Q108" s="612"/>
      <c r="R108" s="612"/>
      <c r="S108" s="612"/>
      <c r="T108" s="612"/>
      <c r="U108" s="612"/>
      <c r="V108" s="612"/>
      <c r="W108" s="588"/>
      <c r="X108" s="588"/>
      <c r="Y108" s="588"/>
      <c r="Z108" s="588"/>
      <c r="AA108" s="588"/>
      <c r="AB108" s="588"/>
      <c r="AC108" s="588"/>
      <c r="AD108" s="588"/>
      <c r="AE108" s="588"/>
      <c r="AF108" s="588"/>
      <c r="AG108" s="588"/>
      <c r="AH108" s="588"/>
      <c r="AI108" s="588"/>
      <c r="AJ108" s="588"/>
      <c r="AK108" s="588"/>
      <c r="AL108" s="588"/>
      <c r="AM108" s="588"/>
      <c r="AN108" s="588"/>
      <c r="AO108" s="588"/>
      <c r="AP108" s="588"/>
      <c r="AQ108" s="588"/>
      <c r="AR108" s="588"/>
      <c r="AS108" s="588"/>
      <c r="AT108" s="588"/>
      <c r="AU108" s="588"/>
      <c r="AV108" s="588"/>
      <c r="AW108" s="588"/>
      <c r="AX108" s="588"/>
      <c r="AY108" s="588"/>
      <c r="AZ108" s="588"/>
      <c r="BA108" s="588"/>
      <c r="BB108" s="588"/>
      <c r="BC108" s="588"/>
      <c r="BD108" s="588"/>
      <c r="BE108" s="588"/>
      <c r="BF108" s="588"/>
      <c r="BG108" s="588"/>
      <c r="BH108" s="588"/>
      <c r="BI108" s="588"/>
    </row>
    <row r="109" spans="1:61" hidden="1">
      <c r="A109" s="676">
        <f t="shared" si="22"/>
        <v>70</v>
      </c>
      <c r="B109" s="673">
        <f t="shared" si="16"/>
        <v>285840.69</v>
      </c>
      <c r="C109" s="613">
        <f t="shared" si="17"/>
        <v>260659.87</v>
      </c>
      <c r="D109" s="614">
        <f t="shared" si="20"/>
        <v>285840.69</v>
      </c>
      <c r="E109" s="614">
        <f t="shared" si="21"/>
        <v>260659.87</v>
      </c>
      <c r="F109" s="615">
        <f t="shared" si="18"/>
        <v>285840.69</v>
      </c>
      <c r="G109" s="615">
        <f t="shared" si="19"/>
        <v>260659.87</v>
      </c>
      <c r="I109" s="612"/>
      <c r="P109" s="612"/>
      <c r="Q109" s="612"/>
      <c r="R109" s="612"/>
      <c r="S109" s="612"/>
      <c r="T109" s="612"/>
      <c r="U109" s="612"/>
      <c r="V109" s="612"/>
      <c r="W109" s="588"/>
      <c r="X109" s="588"/>
      <c r="Y109" s="588"/>
      <c r="Z109" s="588"/>
      <c r="AA109" s="588"/>
      <c r="AB109" s="588"/>
      <c r="AC109" s="588"/>
      <c r="AD109" s="588"/>
      <c r="AE109" s="588"/>
      <c r="AF109" s="588"/>
      <c r="AG109" s="588"/>
      <c r="AH109" s="588"/>
      <c r="AI109" s="588"/>
      <c r="AJ109" s="588"/>
      <c r="AK109" s="588"/>
      <c r="AL109" s="588"/>
      <c r="AM109" s="588"/>
      <c r="AN109" s="588"/>
      <c r="AO109" s="588"/>
      <c r="AP109" s="588"/>
      <c r="AQ109" s="588"/>
      <c r="AR109" s="588"/>
      <c r="AS109" s="588"/>
      <c r="AT109" s="588"/>
      <c r="AU109" s="588"/>
      <c r="AV109" s="588"/>
      <c r="AW109" s="588"/>
      <c r="AX109" s="588"/>
      <c r="AY109" s="588"/>
      <c r="AZ109" s="588"/>
      <c r="BA109" s="588"/>
      <c r="BB109" s="588"/>
      <c r="BC109" s="588"/>
      <c r="BD109" s="588"/>
      <c r="BE109" s="588"/>
      <c r="BF109" s="588"/>
      <c r="BG109" s="588"/>
      <c r="BH109" s="588"/>
      <c r="BI109" s="588"/>
    </row>
    <row r="110" spans="1:61" hidden="1">
      <c r="A110" s="676">
        <f t="shared" si="22"/>
        <v>71</v>
      </c>
      <c r="B110" s="673">
        <f t="shared" si="16"/>
        <v>300172.58</v>
      </c>
      <c r="C110" s="613">
        <f t="shared" si="17"/>
        <v>271608.38</v>
      </c>
      <c r="D110" s="614">
        <f t="shared" si="20"/>
        <v>300172.58</v>
      </c>
      <c r="E110" s="614">
        <f t="shared" si="21"/>
        <v>271608.38</v>
      </c>
      <c r="F110" s="615">
        <f t="shared" si="18"/>
        <v>300172.58</v>
      </c>
      <c r="G110" s="615">
        <f t="shared" si="19"/>
        <v>271608.38</v>
      </c>
      <c r="I110" s="612"/>
      <c r="P110" s="612"/>
      <c r="Q110" s="612"/>
      <c r="R110" s="612"/>
      <c r="S110" s="612"/>
      <c r="T110" s="612"/>
      <c r="U110" s="612"/>
      <c r="V110" s="612"/>
      <c r="W110" s="588"/>
      <c r="X110" s="588"/>
      <c r="Y110" s="588"/>
      <c r="Z110" s="588"/>
      <c r="AA110" s="588"/>
      <c r="AB110" s="588"/>
      <c r="AC110" s="588"/>
      <c r="AD110" s="588"/>
      <c r="AE110" s="588"/>
      <c r="AF110" s="588"/>
      <c r="AG110" s="588"/>
      <c r="AH110" s="588"/>
      <c r="AI110" s="588"/>
      <c r="AJ110" s="588"/>
      <c r="AK110" s="588"/>
      <c r="AL110" s="588"/>
      <c r="AM110" s="588"/>
      <c r="AN110" s="588"/>
      <c r="AO110" s="588"/>
      <c r="AP110" s="588"/>
      <c r="AQ110" s="588"/>
      <c r="AR110" s="588"/>
      <c r="AS110" s="588"/>
      <c r="AT110" s="588"/>
      <c r="AU110" s="588"/>
      <c r="AV110" s="588"/>
      <c r="AW110" s="588"/>
      <c r="AX110" s="588"/>
      <c r="AY110" s="588"/>
      <c r="AZ110" s="588"/>
      <c r="BA110" s="588"/>
      <c r="BB110" s="588"/>
      <c r="BC110" s="588"/>
      <c r="BD110" s="588"/>
      <c r="BE110" s="588"/>
      <c r="BF110" s="588"/>
      <c r="BG110" s="588"/>
      <c r="BH110" s="588"/>
      <c r="BI110" s="588"/>
    </row>
    <row r="111" spans="1:61" hidden="1">
      <c r="A111" s="676">
        <f t="shared" si="22"/>
        <v>72</v>
      </c>
      <c r="B111" s="673">
        <f t="shared" si="16"/>
        <v>314548.98</v>
      </c>
      <c r="C111" s="613">
        <f t="shared" si="17"/>
        <v>283531.78000000003</v>
      </c>
      <c r="D111" s="614">
        <f t="shared" si="20"/>
        <v>314548.98</v>
      </c>
      <c r="E111" s="614">
        <f t="shared" si="21"/>
        <v>283531.78000000003</v>
      </c>
      <c r="F111" s="615">
        <f t="shared" si="18"/>
        <v>314548.98</v>
      </c>
      <c r="G111" s="615">
        <f t="shared" si="19"/>
        <v>283531.78000000003</v>
      </c>
      <c r="I111" s="612"/>
      <c r="P111" s="612"/>
      <c r="Q111" s="612"/>
      <c r="R111" s="612"/>
      <c r="S111" s="612"/>
      <c r="T111" s="612"/>
      <c r="U111" s="612"/>
      <c r="V111" s="612"/>
      <c r="W111" s="588"/>
      <c r="X111" s="588"/>
      <c r="Y111" s="588"/>
      <c r="Z111" s="588"/>
      <c r="AA111" s="588"/>
      <c r="AB111" s="588"/>
      <c r="AC111" s="588"/>
      <c r="AD111" s="588"/>
      <c r="AE111" s="588"/>
      <c r="AF111" s="588"/>
      <c r="AG111" s="588"/>
      <c r="AH111" s="588"/>
      <c r="AI111" s="588"/>
      <c r="AJ111" s="588"/>
      <c r="AK111" s="588"/>
      <c r="AL111" s="588"/>
      <c r="AM111" s="588"/>
      <c r="AN111" s="588"/>
      <c r="AO111" s="588"/>
      <c r="AP111" s="588"/>
      <c r="AQ111" s="588"/>
      <c r="AR111" s="588"/>
      <c r="AS111" s="588"/>
      <c r="AT111" s="588"/>
      <c r="AU111" s="588"/>
      <c r="AV111" s="588"/>
      <c r="AW111" s="588"/>
      <c r="AX111" s="588"/>
      <c r="AY111" s="588"/>
      <c r="AZ111" s="588"/>
      <c r="BA111" s="588"/>
      <c r="BB111" s="588"/>
      <c r="BC111" s="588"/>
      <c r="BD111" s="588"/>
      <c r="BE111" s="588"/>
      <c r="BF111" s="588"/>
      <c r="BG111" s="588"/>
      <c r="BH111" s="588"/>
      <c r="BI111" s="588"/>
    </row>
    <row r="112" spans="1:61" hidden="1">
      <c r="A112" s="676">
        <f t="shared" si="22"/>
        <v>73</v>
      </c>
      <c r="B112" s="673">
        <f t="shared" si="16"/>
        <v>329754.94</v>
      </c>
      <c r="C112" s="613">
        <f t="shared" si="17"/>
        <v>295560.8</v>
      </c>
      <c r="D112" s="614">
        <f t="shared" si="20"/>
        <v>329754.94</v>
      </c>
      <c r="E112" s="614">
        <f t="shared" si="21"/>
        <v>295560.8</v>
      </c>
      <c r="F112" s="615">
        <f t="shared" si="18"/>
        <v>329754.94</v>
      </c>
      <c r="G112" s="615">
        <f t="shared" si="19"/>
        <v>295560.8</v>
      </c>
      <c r="I112" s="612"/>
      <c r="P112" s="612"/>
      <c r="Q112" s="612"/>
      <c r="R112" s="612"/>
      <c r="S112" s="612"/>
      <c r="T112" s="612"/>
      <c r="U112" s="612"/>
      <c r="V112" s="612"/>
      <c r="W112" s="588"/>
      <c r="X112" s="588"/>
      <c r="Y112" s="588"/>
      <c r="Z112" s="588"/>
      <c r="AA112" s="588"/>
      <c r="AB112" s="588"/>
      <c r="AC112" s="588"/>
      <c r="AD112" s="588"/>
      <c r="AE112" s="588"/>
      <c r="AF112" s="588"/>
      <c r="AG112" s="588"/>
      <c r="AH112" s="588"/>
      <c r="AI112" s="588"/>
      <c r="AJ112" s="588"/>
      <c r="AK112" s="588"/>
      <c r="AL112" s="588"/>
      <c r="AM112" s="588"/>
      <c r="AN112" s="588"/>
      <c r="AO112" s="588"/>
      <c r="AP112" s="588"/>
      <c r="AQ112" s="588"/>
      <c r="AR112" s="588"/>
      <c r="AS112" s="588"/>
      <c r="AT112" s="588"/>
      <c r="AU112" s="588"/>
      <c r="AV112" s="588"/>
      <c r="AW112" s="588"/>
      <c r="AX112" s="588"/>
      <c r="AY112" s="588"/>
      <c r="AZ112" s="588"/>
      <c r="BA112" s="588"/>
      <c r="BB112" s="588"/>
      <c r="BC112" s="588"/>
      <c r="BD112" s="588"/>
      <c r="BE112" s="588"/>
      <c r="BF112" s="588"/>
      <c r="BG112" s="588"/>
      <c r="BH112" s="588"/>
      <c r="BI112" s="588"/>
    </row>
    <row r="113" spans="1:61" hidden="1">
      <c r="A113" s="676">
        <f t="shared" si="22"/>
        <v>74</v>
      </c>
      <c r="B113" s="673">
        <f t="shared" si="16"/>
        <v>345061.8</v>
      </c>
      <c r="C113" s="613">
        <f t="shared" si="17"/>
        <v>307798.90000000002</v>
      </c>
      <c r="D113" s="614">
        <f t="shared" si="20"/>
        <v>345061.8</v>
      </c>
      <c r="E113" s="614">
        <f t="shared" si="21"/>
        <v>307798.90000000002</v>
      </c>
      <c r="F113" s="615">
        <f t="shared" si="18"/>
        <v>345061.8</v>
      </c>
      <c r="G113" s="615">
        <f t="shared" si="19"/>
        <v>307798.90000000002</v>
      </c>
      <c r="I113" s="612"/>
      <c r="P113" s="612"/>
      <c r="Q113" s="612"/>
      <c r="R113" s="612"/>
      <c r="S113" s="612"/>
      <c r="T113" s="612"/>
      <c r="U113" s="612"/>
      <c r="V113" s="612"/>
      <c r="W113" s="588"/>
      <c r="X113" s="588"/>
      <c r="Y113" s="588"/>
      <c r="Z113" s="588"/>
      <c r="AA113" s="588"/>
      <c r="AB113" s="588"/>
      <c r="AC113" s="588"/>
      <c r="AD113" s="588"/>
      <c r="AE113" s="588"/>
      <c r="AF113" s="588"/>
      <c r="AG113" s="588"/>
      <c r="AH113" s="588"/>
      <c r="AI113" s="588"/>
      <c r="AJ113" s="588"/>
      <c r="AK113" s="588"/>
      <c r="AL113" s="588"/>
      <c r="AM113" s="588"/>
      <c r="AN113" s="588"/>
      <c r="AO113" s="588"/>
      <c r="AP113" s="588"/>
      <c r="AQ113" s="588"/>
      <c r="AR113" s="588"/>
      <c r="AS113" s="588"/>
      <c r="AT113" s="588"/>
      <c r="AU113" s="588"/>
      <c r="AV113" s="588"/>
      <c r="AW113" s="588"/>
      <c r="AX113" s="588"/>
      <c r="AY113" s="588"/>
      <c r="AZ113" s="588"/>
      <c r="BA113" s="588"/>
      <c r="BB113" s="588"/>
      <c r="BC113" s="588"/>
      <c r="BD113" s="588"/>
      <c r="BE113" s="588"/>
      <c r="BF113" s="588"/>
      <c r="BG113" s="588"/>
      <c r="BH113" s="588"/>
      <c r="BI113" s="588"/>
    </row>
    <row r="114" spans="1:61" hidden="1">
      <c r="A114" s="676">
        <f t="shared" si="22"/>
        <v>75</v>
      </c>
      <c r="B114" s="673">
        <f t="shared" si="16"/>
        <v>360933.76</v>
      </c>
      <c r="C114" s="613">
        <f t="shared" si="17"/>
        <v>320383.96999999997</v>
      </c>
      <c r="D114" s="614">
        <f t="shared" si="20"/>
        <v>360933.76</v>
      </c>
      <c r="E114" s="614">
        <f t="shared" si="21"/>
        <v>320383.96999999997</v>
      </c>
      <c r="F114" s="615">
        <f t="shared" si="18"/>
        <v>360933.76</v>
      </c>
      <c r="G114" s="615">
        <f t="shared" si="19"/>
        <v>320383.96999999997</v>
      </c>
      <c r="I114" s="612"/>
      <c r="P114" s="612"/>
      <c r="Q114" s="612"/>
      <c r="R114" s="612"/>
      <c r="S114" s="612"/>
      <c r="T114" s="612"/>
      <c r="U114" s="612"/>
      <c r="V114" s="612"/>
      <c r="W114" s="588"/>
      <c r="X114" s="588"/>
      <c r="Y114" s="588"/>
      <c r="Z114" s="588"/>
      <c r="AA114" s="588"/>
      <c r="AB114" s="588"/>
      <c r="AC114" s="588"/>
      <c r="AD114" s="588"/>
      <c r="AE114" s="588"/>
      <c r="AF114" s="588"/>
      <c r="AG114" s="588"/>
      <c r="AH114" s="588"/>
      <c r="AI114" s="588"/>
      <c r="AJ114" s="588"/>
      <c r="AK114" s="588"/>
      <c r="AL114" s="588"/>
      <c r="AM114" s="588"/>
      <c r="AN114" s="588"/>
      <c r="AO114" s="588"/>
      <c r="AP114" s="588"/>
      <c r="AQ114" s="588"/>
      <c r="AR114" s="588"/>
      <c r="AS114" s="588"/>
      <c r="AT114" s="588"/>
      <c r="AU114" s="588"/>
      <c r="AV114" s="588"/>
      <c r="AW114" s="588"/>
      <c r="AX114" s="588"/>
      <c r="AY114" s="588"/>
      <c r="AZ114" s="588"/>
      <c r="BA114" s="588"/>
      <c r="BB114" s="588"/>
      <c r="BC114" s="588"/>
      <c r="BD114" s="588"/>
      <c r="BE114" s="588"/>
      <c r="BF114" s="588"/>
      <c r="BG114" s="588"/>
      <c r="BH114" s="588"/>
      <c r="BI114" s="588"/>
    </row>
    <row r="115" spans="1:61" hidden="1">
      <c r="A115" s="676">
        <f t="shared" si="22"/>
        <v>76</v>
      </c>
      <c r="B115" s="673">
        <f t="shared" si="16"/>
        <v>379599.18</v>
      </c>
      <c r="C115" s="613">
        <f t="shared" si="17"/>
        <v>334611.08</v>
      </c>
      <c r="D115" s="614">
        <f t="shared" si="20"/>
        <v>379599.18</v>
      </c>
      <c r="E115" s="614">
        <f t="shared" si="21"/>
        <v>334611.08</v>
      </c>
      <c r="F115" s="615">
        <f t="shared" si="18"/>
        <v>379599.18</v>
      </c>
      <c r="G115" s="615">
        <f t="shared" si="19"/>
        <v>334611.08</v>
      </c>
      <c r="I115" s="612"/>
      <c r="P115" s="612"/>
      <c r="Q115" s="612"/>
      <c r="R115" s="612"/>
      <c r="S115" s="612"/>
      <c r="T115" s="612"/>
      <c r="U115" s="612"/>
      <c r="V115" s="612"/>
      <c r="W115" s="588"/>
      <c r="X115" s="588"/>
      <c r="Y115" s="588"/>
      <c r="Z115" s="588"/>
      <c r="AA115" s="588"/>
      <c r="AB115" s="588"/>
      <c r="AC115" s="588"/>
      <c r="AD115" s="588"/>
      <c r="AE115" s="588"/>
      <c r="AF115" s="588"/>
      <c r="AG115" s="588"/>
      <c r="AH115" s="588"/>
      <c r="AI115" s="588"/>
      <c r="AJ115" s="588"/>
      <c r="AK115" s="588"/>
      <c r="AL115" s="588"/>
      <c r="AM115" s="588"/>
      <c r="AN115" s="588"/>
      <c r="AO115" s="588"/>
      <c r="AP115" s="588"/>
      <c r="AQ115" s="588"/>
      <c r="AR115" s="588"/>
      <c r="AS115" s="588"/>
      <c r="AT115" s="588"/>
      <c r="AU115" s="588"/>
      <c r="AV115" s="588"/>
      <c r="AW115" s="588"/>
      <c r="AX115" s="588"/>
      <c r="AY115" s="588"/>
      <c r="AZ115" s="588"/>
      <c r="BA115" s="588"/>
      <c r="BB115" s="588"/>
      <c r="BC115" s="588"/>
      <c r="BD115" s="588"/>
      <c r="BE115" s="588"/>
      <c r="BF115" s="588"/>
      <c r="BG115" s="588"/>
      <c r="BH115" s="588"/>
      <c r="BI115" s="588"/>
    </row>
    <row r="116" spans="1:61" hidden="1">
      <c r="A116" s="676">
        <f t="shared" si="22"/>
        <v>77</v>
      </c>
      <c r="B116" s="673">
        <f t="shared" si="16"/>
        <v>398829.08</v>
      </c>
      <c r="C116" s="613">
        <f t="shared" si="17"/>
        <v>349786.57</v>
      </c>
      <c r="D116" s="614">
        <f t="shared" si="20"/>
        <v>398829.08</v>
      </c>
      <c r="E116" s="614">
        <f t="shared" si="21"/>
        <v>349786.57</v>
      </c>
      <c r="F116" s="615">
        <f t="shared" si="18"/>
        <v>398829.08</v>
      </c>
      <c r="G116" s="615">
        <f t="shared" si="19"/>
        <v>349786.57</v>
      </c>
      <c r="I116" s="612"/>
      <c r="P116" s="612"/>
      <c r="Q116" s="612"/>
      <c r="R116" s="612"/>
      <c r="S116" s="612"/>
      <c r="T116" s="612"/>
      <c r="U116" s="612"/>
      <c r="V116" s="612"/>
      <c r="W116" s="588"/>
      <c r="X116" s="588"/>
      <c r="Y116" s="588"/>
      <c r="Z116" s="588"/>
      <c r="AA116" s="588"/>
      <c r="AB116" s="588"/>
      <c r="AC116" s="588"/>
      <c r="AD116" s="588"/>
      <c r="AE116" s="588"/>
      <c r="AF116" s="588"/>
      <c r="AG116" s="588"/>
      <c r="AH116" s="588"/>
      <c r="AI116" s="588"/>
      <c r="AJ116" s="588"/>
      <c r="AK116" s="588"/>
      <c r="AL116" s="588"/>
      <c r="AM116" s="588"/>
      <c r="AN116" s="588"/>
      <c r="AO116" s="588"/>
      <c r="AP116" s="588"/>
      <c r="AQ116" s="588"/>
      <c r="AR116" s="588"/>
      <c r="AS116" s="588"/>
      <c r="AT116" s="588"/>
      <c r="AU116" s="588"/>
      <c r="AV116" s="588"/>
      <c r="AW116" s="588"/>
      <c r="AX116" s="588"/>
      <c r="AY116" s="588"/>
      <c r="AZ116" s="588"/>
      <c r="BA116" s="588"/>
      <c r="BB116" s="588"/>
      <c r="BC116" s="588"/>
      <c r="BD116" s="588"/>
      <c r="BE116" s="588"/>
      <c r="BF116" s="588"/>
      <c r="BG116" s="588"/>
      <c r="BH116" s="588"/>
      <c r="BI116" s="588"/>
    </row>
    <row r="117" spans="1:61" hidden="1">
      <c r="A117" s="676">
        <f t="shared" si="22"/>
        <v>78</v>
      </c>
      <c r="B117" s="673">
        <f t="shared" si="16"/>
        <v>419283.12</v>
      </c>
      <c r="C117" s="613">
        <f t="shared" si="17"/>
        <v>365527.86</v>
      </c>
      <c r="D117" s="614">
        <f t="shared" si="20"/>
        <v>419283.12</v>
      </c>
      <c r="E117" s="614">
        <f t="shared" si="21"/>
        <v>365527.86</v>
      </c>
      <c r="F117" s="615">
        <f t="shared" si="18"/>
        <v>419283.12</v>
      </c>
      <c r="G117" s="615">
        <f t="shared" si="19"/>
        <v>365527.86</v>
      </c>
      <c r="I117" s="612"/>
      <c r="P117" s="612"/>
      <c r="Q117" s="612"/>
      <c r="R117" s="612"/>
      <c r="S117" s="612"/>
      <c r="T117" s="612"/>
      <c r="U117" s="612"/>
      <c r="V117" s="612"/>
      <c r="W117" s="588"/>
      <c r="X117" s="588"/>
      <c r="Y117" s="588"/>
      <c r="Z117" s="588"/>
      <c r="AA117" s="588"/>
      <c r="AB117" s="588"/>
      <c r="AC117" s="588"/>
      <c r="AD117" s="588"/>
      <c r="AE117" s="588"/>
      <c r="AF117" s="588"/>
      <c r="AG117" s="588"/>
      <c r="AH117" s="588"/>
      <c r="AI117" s="588"/>
      <c r="AJ117" s="588"/>
      <c r="AK117" s="588"/>
      <c r="AL117" s="588"/>
      <c r="AM117" s="588"/>
      <c r="AN117" s="588"/>
      <c r="AO117" s="588"/>
      <c r="AP117" s="588"/>
      <c r="AQ117" s="588"/>
      <c r="AR117" s="588"/>
      <c r="AS117" s="588"/>
      <c r="AT117" s="588"/>
      <c r="AU117" s="588"/>
      <c r="AV117" s="588"/>
      <c r="AW117" s="588"/>
      <c r="AX117" s="588"/>
      <c r="AY117" s="588"/>
      <c r="AZ117" s="588"/>
      <c r="BA117" s="588"/>
      <c r="BB117" s="588"/>
      <c r="BC117" s="588"/>
      <c r="BD117" s="588"/>
      <c r="BE117" s="588"/>
      <c r="BF117" s="588"/>
      <c r="BG117" s="588"/>
      <c r="BH117" s="588"/>
      <c r="BI117" s="588"/>
    </row>
    <row r="118" spans="1:61" hidden="1">
      <c r="A118" s="676">
        <f t="shared" si="22"/>
        <v>79</v>
      </c>
      <c r="B118" s="673">
        <f t="shared" si="16"/>
        <v>442498.97</v>
      </c>
      <c r="C118" s="613">
        <f t="shared" si="17"/>
        <v>381266.44</v>
      </c>
      <c r="D118" s="614">
        <f t="shared" si="20"/>
        <v>442498.97</v>
      </c>
      <c r="E118" s="614">
        <f t="shared" si="21"/>
        <v>381266.44</v>
      </c>
      <c r="F118" s="615">
        <f t="shared" si="18"/>
        <v>442498.97</v>
      </c>
      <c r="G118" s="615">
        <f t="shared" si="19"/>
        <v>381266.44</v>
      </c>
      <c r="I118" s="612"/>
      <c r="P118" s="612"/>
      <c r="Q118" s="612"/>
      <c r="R118" s="612"/>
      <c r="S118" s="612"/>
      <c r="T118" s="612"/>
      <c r="U118" s="612"/>
      <c r="V118" s="612"/>
      <c r="W118" s="588"/>
      <c r="X118" s="588"/>
      <c r="Y118" s="588"/>
      <c r="Z118" s="588"/>
      <c r="AA118" s="588"/>
      <c r="AB118" s="588"/>
      <c r="AC118" s="588"/>
      <c r="AD118" s="588"/>
      <c r="AE118" s="588"/>
      <c r="AF118" s="588"/>
      <c r="AG118" s="588"/>
      <c r="AH118" s="588"/>
      <c r="AI118" s="588"/>
      <c r="AJ118" s="588"/>
      <c r="AK118" s="588"/>
      <c r="AL118" s="588"/>
      <c r="AM118" s="588"/>
      <c r="AN118" s="588"/>
      <c r="AO118" s="588"/>
      <c r="AP118" s="588"/>
      <c r="AQ118" s="588"/>
      <c r="AR118" s="588"/>
      <c r="AS118" s="588"/>
      <c r="AT118" s="588"/>
      <c r="AU118" s="588"/>
      <c r="AV118" s="588"/>
      <c r="AW118" s="588"/>
      <c r="AX118" s="588"/>
      <c r="AY118" s="588"/>
      <c r="AZ118" s="588"/>
      <c r="BA118" s="588"/>
      <c r="BB118" s="588"/>
      <c r="BC118" s="588"/>
      <c r="BD118" s="588"/>
      <c r="BE118" s="588"/>
      <c r="BF118" s="588"/>
      <c r="BG118" s="588"/>
      <c r="BH118" s="588"/>
      <c r="BI118" s="588"/>
    </row>
    <row r="119" spans="1:61" hidden="1">
      <c r="A119" s="676">
        <f t="shared" si="22"/>
        <v>80</v>
      </c>
      <c r="B119" s="673">
        <f t="shared" si="16"/>
        <v>464669.98</v>
      </c>
      <c r="C119" s="613">
        <f t="shared" si="17"/>
        <v>397792</v>
      </c>
      <c r="D119" s="614">
        <f t="shared" si="20"/>
        <v>464669.98</v>
      </c>
      <c r="E119" s="614">
        <f t="shared" si="21"/>
        <v>397792</v>
      </c>
      <c r="F119" s="615">
        <f t="shared" si="18"/>
        <v>464669.98</v>
      </c>
      <c r="G119" s="615">
        <f t="shared" si="19"/>
        <v>397792</v>
      </c>
      <c r="I119" s="612"/>
      <c r="P119" s="612"/>
      <c r="Q119" s="612"/>
      <c r="R119" s="612"/>
      <c r="S119" s="612"/>
      <c r="T119" s="612"/>
      <c r="U119" s="612"/>
      <c r="V119" s="612"/>
      <c r="W119" s="588"/>
      <c r="X119" s="588"/>
      <c r="Y119" s="588"/>
      <c r="Z119" s="588"/>
      <c r="AA119" s="588"/>
      <c r="AB119" s="588"/>
      <c r="AC119" s="588"/>
      <c r="AD119" s="588"/>
      <c r="AE119" s="588"/>
      <c r="AF119" s="588"/>
      <c r="AG119" s="588"/>
      <c r="AH119" s="588"/>
      <c r="AI119" s="588"/>
      <c r="AJ119" s="588"/>
      <c r="AK119" s="588"/>
      <c r="AL119" s="588"/>
      <c r="AM119" s="588"/>
      <c r="AN119" s="588"/>
      <c r="AO119" s="588"/>
      <c r="AP119" s="588"/>
      <c r="AQ119" s="588"/>
      <c r="AR119" s="588"/>
      <c r="AS119" s="588"/>
      <c r="AT119" s="588"/>
      <c r="AU119" s="588"/>
      <c r="AV119" s="588"/>
      <c r="AW119" s="588"/>
      <c r="AX119" s="588"/>
      <c r="AY119" s="588"/>
      <c r="AZ119" s="588"/>
      <c r="BA119" s="588"/>
      <c r="BB119" s="588"/>
      <c r="BC119" s="588"/>
      <c r="BD119" s="588"/>
      <c r="BE119" s="588"/>
      <c r="BF119" s="588"/>
      <c r="BG119" s="588"/>
      <c r="BH119" s="588"/>
      <c r="BI119" s="588"/>
    </row>
    <row r="120" spans="1:61" hidden="1">
      <c r="A120" s="676">
        <f t="shared" si="22"/>
        <v>81</v>
      </c>
      <c r="B120" s="673">
        <f t="shared" si="16"/>
        <v>490076.55</v>
      </c>
      <c r="C120" s="613">
        <f t="shared" si="17"/>
        <v>414460.48</v>
      </c>
      <c r="D120" s="614">
        <f t="shared" si="20"/>
        <v>490076.55</v>
      </c>
      <c r="E120" s="614">
        <f t="shared" si="21"/>
        <v>414460.48</v>
      </c>
      <c r="F120" s="615">
        <f t="shared" si="18"/>
        <v>490076.55</v>
      </c>
      <c r="G120" s="615">
        <f t="shared" si="19"/>
        <v>414460.48</v>
      </c>
      <c r="I120" s="612"/>
      <c r="P120" s="612"/>
      <c r="Q120" s="612"/>
      <c r="R120" s="612"/>
      <c r="S120" s="612"/>
      <c r="T120" s="612"/>
      <c r="U120" s="612"/>
      <c r="V120" s="612"/>
      <c r="W120" s="588"/>
      <c r="X120" s="588"/>
      <c r="Y120" s="588"/>
      <c r="Z120" s="588"/>
      <c r="AA120" s="588"/>
      <c r="AB120" s="588"/>
      <c r="AC120" s="588"/>
      <c r="AD120" s="588"/>
      <c r="AE120" s="588"/>
      <c r="AF120" s="588"/>
      <c r="AG120" s="588"/>
      <c r="AH120" s="588"/>
      <c r="AI120" s="588"/>
      <c r="AJ120" s="588"/>
      <c r="AK120" s="588"/>
      <c r="AL120" s="588"/>
      <c r="AM120" s="588"/>
      <c r="AN120" s="588"/>
      <c r="AO120" s="588"/>
      <c r="AP120" s="588"/>
      <c r="AQ120" s="588"/>
      <c r="AR120" s="588"/>
      <c r="AS120" s="588"/>
      <c r="AT120" s="588"/>
      <c r="AU120" s="588"/>
      <c r="AV120" s="588"/>
      <c r="AW120" s="588"/>
      <c r="AX120" s="588"/>
      <c r="AY120" s="588"/>
      <c r="AZ120" s="588"/>
      <c r="BA120" s="588"/>
      <c r="BB120" s="588"/>
      <c r="BC120" s="588"/>
      <c r="BD120" s="588"/>
      <c r="BE120" s="588"/>
      <c r="BF120" s="588"/>
      <c r="BG120" s="588"/>
      <c r="BH120" s="588"/>
      <c r="BI120" s="588"/>
    </row>
    <row r="121" spans="1:61" hidden="1">
      <c r="A121" s="676">
        <f t="shared" si="22"/>
        <v>82</v>
      </c>
      <c r="B121" s="673">
        <f t="shared" si="16"/>
        <v>515983.48</v>
      </c>
      <c r="C121" s="613">
        <f t="shared" si="17"/>
        <v>431307.57</v>
      </c>
      <c r="D121" s="614">
        <f t="shared" si="20"/>
        <v>515983.48</v>
      </c>
      <c r="E121" s="614">
        <f t="shared" si="21"/>
        <v>431307.57</v>
      </c>
      <c r="F121" s="615">
        <f t="shared" si="18"/>
        <v>515983.48</v>
      </c>
      <c r="G121" s="615">
        <f t="shared" si="19"/>
        <v>431307.57</v>
      </c>
      <c r="I121" s="612"/>
      <c r="P121" s="612"/>
      <c r="Q121" s="612"/>
      <c r="R121" s="612"/>
      <c r="S121" s="612"/>
      <c r="T121" s="612"/>
      <c r="U121" s="612"/>
      <c r="V121" s="612"/>
      <c r="W121" s="588"/>
      <c r="X121" s="588"/>
      <c r="Y121" s="588"/>
      <c r="Z121" s="588"/>
      <c r="AA121" s="588"/>
      <c r="AB121" s="588"/>
      <c r="AC121" s="588"/>
      <c r="AD121" s="588"/>
      <c r="AE121" s="588"/>
      <c r="AF121" s="588"/>
      <c r="AG121" s="588"/>
      <c r="AH121" s="588"/>
      <c r="AI121" s="588"/>
      <c r="AJ121" s="588"/>
      <c r="AK121" s="588"/>
      <c r="AL121" s="588"/>
      <c r="AM121" s="588"/>
      <c r="AN121" s="588"/>
      <c r="AO121" s="588"/>
      <c r="AP121" s="588"/>
      <c r="AQ121" s="588"/>
      <c r="AR121" s="588"/>
      <c r="AS121" s="588"/>
      <c r="AT121" s="588"/>
      <c r="AU121" s="588"/>
      <c r="AV121" s="588"/>
      <c r="AW121" s="588"/>
      <c r="AX121" s="588"/>
      <c r="AY121" s="588"/>
      <c r="AZ121" s="588"/>
      <c r="BA121" s="588"/>
      <c r="BB121" s="588"/>
      <c r="BC121" s="588"/>
      <c r="BD121" s="588"/>
      <c r="BE121" s="588"/>
      <c r="BF121" s="588"/>
      <c r="BG121" s="588"/>
      <c r="BH121" s="588"/>
      <c r="BI121" s="588"/>
    </row>
    <row r="122" spans="1:61" hidden="1">
      <c r="A122" s="676">
        <f t="shared" si="22"/>
        <v>83</v>
      </c>
      <c r="B122" s="673">
        <f t="shared" si="16"/>
        <v>543236.38</v>
      </c>
      <c r="C122" s="613">
        <f t="shared" si="17"/>
        <v>450388.65</v>
      </c>
      <c r="D122" s="614">
        <f t="shared" si="20"/>
        <v>543236.38</v>
      </c>
      <c r="E122" s="614">
        <f t="shared" si="21"/>
        <v>450388.65</v>
      </c>
      <c r="F122" s="615">
        <f t="shared" si="18"/>
        <v>543236.38</v>
      </c>
      <c r="G122" s="615">
        <f t="shared" si="19"/>
        <v>450388.65</v>
      </c>
      <c r="I122" s="612"/>
      <c r="P122" s="612"/>
      <c r="Q122" s="612"/>
      <c r="R122" s="612"/>
      <c r="S122" s="612"/>
      <c r="T122" s="612"/>
      <c r="U122" s="612"/>
      <c r="V122" s="612"/>
      <c r="W122" s="588"/>
      <c r="X122" s="588"/>
      <c r="Y122" s="588"/>
      <c r="Z122" s="588"/>
      <c r="AA122" s="588"/>
      <c r="AB122" s="588"/>
      <c r="AC122" s="588"/>
      <c r="AD122" s="588"/>
      <c r="AE122" s="588"/>
      <c r="AF122" s="588"/>
      <c r="AG122" s="588"/>
      <c r="AH122" s="588"/>
      <c r="AI122" s="588"/>
      <c r="AJ122" s="588"/>
      <c r="AK122" s="588"/>
      <c r="AL122" s="588"/>
      <c r="AM122" s="588"/>
      <c r="AN122" s="588"/>
      <c r="AO122" s="588"/>
      <c r="AP122" s="588"/>
      <c r="AQ122" s="588"/>
      <c r="AR122" s="588"/>
      <c r="AS122" s="588"/>
      <c r="AT122" s="588"/>
      <c r="AU122" s="588"/>
      <c r="AV122" s="588"/>
      <c r="AW122" s="588"/>
      <c r="AX122" s="588"/>
      <c r="AY122" s="588"/>
      <c r="AZ122" s="588"/>
      <c r="BA122" s="588"/>
      <c r="BB122" s="588"/>
      <c r="BC122" s="588"/>
      <c r="BD122" s="588"/>
      <c r="BE122" s="588"/>
      <c r="BF122" s="588"/>
      <c r="BG122" s="588"/>
      <c r="BH122" s="588"/>
      <c r="BI122" s="588"/>
    </row>
    <row r="123" spans="1:61" hidden="1">
      <c r="A123" s="676">
        <f t="shared" si="22"/>
        <v>84</v>
      </c>
      <c r="B123" s="673">
        <f t="shared" si="16"/>
        <v>572936.47</v>
      </c>
      <c r="C123" s="613">
        <f t="shared" si="17"/>
        <v>468999.24</v>
      </c>
      <c r="D123" s="614">
        <f t="shared" si="20"/>
        <v>572936.47</v>
      </c>
      <c r="E123" s="614">
        <f t="shared" si="21"/>
        <v>468999.24</v>
      </c>
      <c r="F123" s="615">
        <f t="shared" si="18"/>
        <v>572936.47</v>
      </c>
      <c r="G123" s="615">
        <f t="shared" si="19"/>
        <v>468999.24</v>
      </c>
      <c r="I123" s="612"/>
      <c r="P123" s="612"/>
      <c r="Q123" s="612"/>
      <c r="R123" s="612"/>
      <c r="S123" s="612"/>
      <c r="T123" s="612"/>
      <c r="U123" s="612"/>
      <c r="V123" s="612"/>
      <c r="W123" s="588"/>
      <c r="X123" s="588"/>
      <c r="Y123" s="588"/>
      <c r="Z123" s="588"/>
      <c r="AA123" s="588"/>
      <c r="AB123" s="588"/>
      <c r="AC123" s="588"/>
      <c r="AD123" s="588"/>
      <c r="AE123" s="588"/>
      <c r="AF123" s="588"/>
      <c r="AG123" s="588"/>
      <c r="AH123" s="588"/>
      <c r="AI123" s="588"/>
      <c r="AJ123" s="588"/>
      <c r="AK123" s="588"/>
      <c r="AL123" s="588"/>
      <c r="AM123" s="588"/>
      <c r="AN123" s="588"/>
      <c r="AO123" s="588"/>
      <c r="AP123" s="588"/>
      <c r="AQ123" s="588"/>
      <c r="AR123" s="588"/>
      <c r="AS123" s="588"/>
      <c r="AT123" s="588"/>
      <c r="AU123" s="588"/>
      <c r="AV123" s="588"/>
      <c r="AW123" s="588"/>
      <c r="AX123" s="588"/>
      <c r="AY123" s="588"/>
      <c r="AZ123" s="588"/>
      <c r="BA123" s="588"/>
      <c r="BB123" s="588"/>
      <c r="BC123" s="588"/>
      <c r="BD123" s="588"/>
      <c r="BE123" s="588"/>
      <c r="BF123" s="588"/>
      <c r="BG123" s="588"/>
      <c r="BH123" s="588"/>
      <c r="BI123" s="588"/>
    </row>
    <row r="124" spans="1:61" ht="13.5" hidden="1" thickBot="1">
      <c r="A124" s="677">
        <f t="shared" si="22"/>
        <v>85</v>
      </c>
      <c r="B124" s="674">
        <f t="shared" si="16"/>
        <v>602342.93999999994</v>
      </c>
      <c r="C124" s="618">
        <f t="shared" si="17"/>
        <v>486994.23</v>
      </c>
      <c r="D124" s="619">
        <f t="shared" si="20"/>
        <v>602342.93999999994</v>
      </c>
      <c r="E124" s="619">
        <f t="shared" si="21"/>
        <v>486994.23</v>
      </c>
      <c r="F124" s="620">
        <f t="shared" si="18"/>
        <v>602342.93999999994</v>
      </c>
      <c r="G124" s="620">
        <f t="shared" si="19"/>
        <v>486994.23</v>
      </c>
      <c r="I124" s="612"/>
      <c r="P124" s="612"/>
      <c r="Q124" s="612"/>
      <c r="R124" s="612"/>
      <c r="S124" s="612"/>
      <c r="T124" s="612"/>
      <c r="U124" s="612"/>
      <c r="V124" s="612"/>
      <c r="W124" s="588"/>
      <c r="X124" s="588"/>
      <c r="Y124" s="588"/>
      <c r="Z124" s="588"/>
      <c r="AA124" s="588"/>
      <c r="AB124" s="588"/>
      <c r="AC124" s="588"/>
      <c r="AD124" s="588"/>
      <c r="AE124" s="588"/>
      <c r="AF124" s="588"/>
      <c r="AG124" s="588"/>
      <c r="AH124" s="588"/>
      <c r="AI124" s="588"/>
      <c r="AJ124" s="588"/>
      <c r="AK124" s="588"/>
      <c r="AL124" s="588"/>
      <c r="AM124" s="588"/>
      <c r="AN124" s="588"/>
      <c r="AO124" s="588"/>
      <c r="AP124" s="588"/>
      <c r="AQ124" s="588"/>
      <c r="AR124" s="588"/>
      <c r="AS124" s="588"/>
      <c r="AT124" s="588"/>
      <c r="AU124" s="588"/>
      <c r="AV124" s="588"/>
      <c r="AW124" s="588"/>
      <c r="AX124" s="588"/>
      <c r="AY124" s="588"/>
      <c r="AZ124" s="588"/>
      <c r="BA124" s="588"/>
      <c r="BB124" s="588"/>
      <c r="BC124" s="588"/>
      <c r="BD124" s="588"/>
      <c r="BE124" s="588"/>
      <c r="BF124" s="588"/>
      <c r="BG124" s="588"/>
      <c r="BH124" s="588"/>
      <c r="BI124" s="588"/>
    </row>
    <row r="125" spans="1:61" ht="13.5" hidden="1" thickTop="1">
      <c r="G125" s="621"/>
      <c r="H125" s="621"/>
      <c r="I125" s="588"/>
      <c r="P125" s="588"/>
      <c r="Q125" s="588"/>
      <c r="R125" s="588"/>
      <c r="S125" s="588"/>
      <c r="T125" s="588"/>
      <c r="U125" s="588"/>
      <c r="V125" s="588"/>
      <c r="W125" s="588"/>
      <c r="X125" s="588"/>
      <c r="Y125" s="588"/>
      <c r="Z125" s="588"/>
      <c r="AA125" s="588"/>
      <c r="AB125" s="588"/>
      <c r="AC125" s="588"/>
      <c r="AD125" s="588"/>
      <c r="AE125" s="588"/>
      <c r="AF125" s="588"/>
      <c r="AG125" s="588"/>
      <c r="AH125" s="588"/>
      <c r="AI125" s="588"/>
      <c r="AJ125" s="588"/>
      <c r="AK125" s="588"/>
      <c r="AL125" s="588"/>
      <c r="AM125" s="588"/>
      <c r="AN125" s="588"/>
      <c r="AO125" s="588"/>
      <c r="AP125" s="588"/>
      <c r="AQ125" s="588"/>
      <c r="AR125" s="588"/>
      <c r="AS125" s="588"/>
      <c r="AT125" s="588"/>
      <c r="AU125" s="588"/>
      <c r="AV125" s="588"/>
      <c r="AW125" s="588"/>
      <c r="AX125" s="588"/>
      <c r="AY125" s="588"/>
      <c r="AZ125" s="588"/>
      <c r="BA125" s="588"/>
      <c r="BB125" s="588"/>
      <c r="BC125" s="588"/>
      <c r="BD125" s="588"/>
      <c r="BE125" s="588"/>
      <c r="BF125" s="588"/>
      <c r="BG125" s="588"/>
      <c r="BH125" s="588"/>
      <c r="BI125" s="588"/>
    </row>
    <row r="126" spans="1:61" hidden="1">
      <c r="B126" s="569"/>
      <c r="C126" s="569"/>
      <c r="D126" s="569"/>
      <c r="E126" s="569"/>
      <c r="F126" s="569"/>
      <c r="G126" s="621"/>
      <c r="H126" s="621"/>
      <c r="I126" s="588"/>
      <c r="P126" s="588"/>
      <c r="Q126" s="588"/>
      <c r="R126" s="588"/>
      <c r="S126" s="588"/>
      <c r="T126" s="588"/>
      <c r="U126" s="588"/>
      <c r="V126" s="588"/>
      <c r="W126" s="588"/>
      <c r="X126" s="588"/>
      <c r="Y126" s="588"/>
      <c r="Z126" s="588"/>
      <c r="AA126" s="588"/>
      <c r="AB126" s="588"/>
      <c r="AC126" s="588"/>
      <c r="AD126" s="588"/>
      <c r="AE126" s="588"/>
      <c r="AF126" s="588"/>
      <c r="AG126" s="588"/>
      <c r="AH126" s="588"/>
      <c r="AI126" s="588"/>
      <c r="AJ126" s="588"/>
      <c r="AK126" s="588"/>
      <c r="AL126" s="588"/>
      <c r="AM126" s="588"/>
      <c r="AN126" s="588"/>
      <c r="AO126" s="588"/>
      <c r="AP126" s="588"/>
      <c r="AQ126" s="588"/>
      <c r="AR126" s="588"/>
      <c r="AS126" s="588"/>
      <c r="AT126" s="588"/>
      <c r="AU126" s="588"/>
      <c r="AV126" s="588"/>
      <c r="AW126" s="588"/>
      <c r="AX126" s="588"/>
      <c r="AY126" s="588"/>
      <c r="AZ126" s="588"/>
      <c r="BA126" s="588"/>
      <c r="BB126" s="588"/>
      <c r="BC126" s="588"/>
      <c r="BD126" s="588"/>
      <c r="BE126" s="588"/>
      <c r="BF126" s="588"/>
      <c r="BG126" s="588"/>
      <c r="BH126" s="588"/>
      <c r="BI126" s="588"/>
    </row>
    <row r="127" spans="1:61" hidden="1">
      <c r="B127" s="569"/>
      <c r="C127" s="569"/>
      <c r="D127" s="569"/>
      <c r="E127" s="569"/>
      <c r="F127" s="569"/>
      <c r="G127" s="621"/>
      <c r="H127" s="621"/>
    </row>
    <row r="128" spans="1:61" ht="13.5" hidden="1" thickBot="1">
      <c r="B128" s="569"/>
      <c r="C128" s="569"/>
      <c r="D128" s="569"/>
      <c r="E128" s="569"/>
      <c r="F128" s="569"/>
      <c r="G128" s="621"/>
      <c r="H128" s="621"/>
    </row>
    <row r="129" spans="1:19" ht="14" hidden="1" thickTop="1" thickBot="1">
      <c r="B129" s="569"/>
      <c r="C129" s="745" t="s">
        <v>300</v>
      </c>
      <c r="D129" s="745"/>
      <c r="E129" s="745" t="s">
        <v>299</v>
      </c>
      <c r="F129" s="745"/>
      <c r="G129" s="621"/>
      <c r="H129" s="621"/>
      <c r="M129" s="535" t="s">
        <v>363</v>
      </c>
    </row>
    <row r="130" spans="1:19" ht="14" hidden="1" thickTop="1" thickBot="1">
      <c r="C130" s="715">
        <v>1</v>
      </c>
      <c r="D130" s="716" t="s">
        <v>300</v>
      </c>
      <c r="E130" s="715">
        <v>0</v>
      </c>
      <c r="F130" s="717" t="s">
        <v>299</v>
      </c>
      <c r="H130" s="621"/>
      <c r="N130" s="622">
        <v>1</v>
      </c>
      <c r="O130" s="569" t="s">
        <v>300</v>
      </c>
      <c r="P130" s="622">
        <v>0</v>
      </c>
      <c r="Q130" s="621" t="s">
        <v>299</v>
      </c>
      <c r="R130" s="679"/>
      <c r="S130" s="679"/>
    </row>
    <row r="131" spans="1:19" ht="13.5" hidden="1" thickTop="1">
      <c r="A131" s="670" t="s">
        <v>6</v>
      </c>
      <c r="B131" s="558" t="s">
        <v>364</v>
      </c>
      <c r="C131" s="713" t="s">
        <v>7</v>
      </c>
      <c r="D131" s="714" t="s">
        <v>8</v>
      </c>
      <c r="E131" s="713" t="s">
        <v>7</v>
      </c>
      <c r="F131" s="714" t="s">
        <v>8</v>
      </c>
      <c r="H131" s="621"/>
      <c r="I131" s="621">
        <f>AVERAGE(I132:J217)</f>
        <v>0.69767441860465118</v>
      </c>
      <c r="M131" s="589" t="s">
        <v>6</v>
      </c>
      <c r="N131" s="624" t="s">
        <v>7</v>
      </c>
      <c r="O131" s="624" t="s">
        <v>8</v>
      </c>
      <c r="P131" s="624" t="s">
        <v>7</v>
      </c>
      <c r="Q131" s="624" t="s">
        <v>8</v>
      </c>
    </row>
    <row r="132" spans="1:19" hidden="1">
      <c r="A132" s="668">
        <v>0</v>
      </c>
      <c r="B132" s="625" t="str">
        <f t="shared" ref="B132:B163" si="23">+CONCATENATE(A132,$H$36)</f>
        <v>0B</v>
      </c>
      <c r="C132" s="613">
        <f>+VLOOKUP($B132,$B$237:$F$445,2,FALSE)</f>
        <v>14321.05</v>
      </c>
      <c r="D132" s="626">
        <f>+VLOOKUP($B132,$B$237:$F$445,3,FALSE)</f>
        <v>14329.95</v>
      </c>
      <c r="E132" s="613">
        <f>+VLOOKUP($B132,$B$237:$F$445,4,FALSE)</f>
        <v>14321.05</v>
      </c>
      <c r="F132" s="626">
        <f>+VLOOKUP($B132,$B$237:$F$445,5,FALSE)</f>
        <v>14329.95</v>
      </c>
      <c r="G132" s="621">
        <f>+B39</f>
        <v>14321.05</v>
      </c>
      <c r="H132" s="621">
        <f t="shared" ref="H132" si="24">+C39</f>
        <v>14329.95</v>
      </c>
      <c r="I132" s="568">
        <f t="shared" ref="I132:I142" si="25">IF(ROUND(C132,2)=G132,1,0)</f>
        <v>1</v>
      </c>
      <c r="J132" s="568">
        <f t="shared" ref="J132:J137" si="26">IF(ROUND(D132,2)=H132,1,0)</f>
        <v>1</v>
      </c>
      <c r="M132" s="627">
        <v>0</v>
      </c>
      <c r="N132" s="613">
        <v>5283.5845045045053</v>
      </c>
      <c r="O132" s="613">
        <v>5286.8693693693704</v>
      </c>
      <c r="P132" s="613">
        <v>5283.5845045045053</v>
      </c>
      <c r="Q132" s="613">
        <v>5286.8693693693704</v>
      </c>
      <c r="R132" s="628"/>
      <c r="S132" s="628"/>
    </row>
    <row r="133" spans="1:19" hidden="1">
      <c r="A133" s="668">
        <v>1</v>
      </c>
      <c r="B133" s="625" t="str">
        <f t="shared" si="23"/>
        <v>1B</v>
      </c>
      <c r="C133" s="613">
        <f t="shared" ref="C133:C196" si="27">+VLOOKUP($B133,$B$237:$F$445,2,FALSE)</f>
        <v>14321.05</v>
      </c>
      <c r="D133" s="626">
        <f t="shared" ref="D133:D196" si="28">+VLOOKUP($B133,$B$237:$F$445,3,FALSE)</f>
        <v>14329.95</v>
      </c>
      <c r="E133" s="613">
        <f t="shared" ref="E133:E196" si="29">+VLOOKUP($B133,$B$237:$F$445,4,FALSE)</f>
        <v>14321.05</v>
      </c>
      <c r="F133" s="626">
        <f t="shared" ref="F133:F196" si="30">+VLOOKUP($B133,$B$237:$F$445,5,FALSE)</f>
        <v>14329.95</v>
      </c>
      <c r="G133" s="621">
        <f t="shared" ref="G133:G196" si="31">+B40</f>
        <v>14321.05</v>
      </c>
      <c r="H133" s="621">
        <f t="shared" ref="H133:H196" si="32">+C40</f>
        <v>14329.95</v>
      </c>
      <c r="I133" s="568">
        <f t="shared" si="25"/>
        <v>1</v>
      </c>
      <c r="J133" s="568">
        <f t="shared" si="26"/>
        <v>1</v>
      </c>
      <c r="M133" s="627">
        <v>1</v>
      </c>
      <c r="N133" s="613">
        <v>5283.5845045045053</v>
      </c>
      <c r="O133" s="613">
        <v>5286.8693693693704</v>
      </c>
      <c r="P133" s="613">
        <v>5283.5845045045053</v>
      </c>
      <c r="Q133" s="613">
        <v>5286.8693693693704</v>
      </c>
      <c r="R133" s="628"/>
      <c r="S133" s="628"/>
    </row>
    <row r="134" spans="1:19" hidden="1">
      <c r="A134" s="668">
        <f>+A133+1</f>
        <v>2</v>
      </c>
      <c r="B134" s="625" t="str">
        <f t="shared" si="23"/>
        <v>2B</v>
      </c>
      <c r="C134" s="613">
        <f t="shared" si="27"/>
        <v>14321.05</v>
      </c>
      <c r="D134" s="626">
        <f t="shared" si="28"/>
        <v>14329.95</v>
      </c>
      <c r="E134" s="613">
        <f t="shared" si="29"/>
        <v>14321.05</v>
      </c>
      <c r="F134" s="626">
        <f t="shared" si="30"/>
        <v>14329.95</v>
      </c>
      <c r="G134" s="621">
        <f t="shared" si="31"/>
        <v>14321.05</v>
      </c>
      <c r="H134" s="621">
        <f t="shared" si="32"/>
        <v>14329.95</v>
      </c>
      <c r="I134" s="568">
        <f t="shared" si="25"/>
        <v>1</v>
      </c>
      <c r="J134" s="568">
        <f t="shared" si="26"/>
        <v>1</v>
      </c>
      <c r="M134" s="627">
        <f t="shared" ref="M134:M165" si="33">+M133+1</f>
        <v>2</v>
      </c>
      <c r="N134" s="613">
        <v>5283.5845045045053</v>
      </c>
      <c r="O134" s="613">
        <v>5286.8693693693704</v>
      </c>
      <c r="P134" s="613">
        <v>5283.5845045045053</v>
      </c>
      <c r="Q134" s="613">
        <v>5286.8693693693704</v>
      </c>
      <c r="R134" s="628"/>
      <c r="S134" s="628"/>
    </row>
    <row r="135" spans="1:19" hidden="1">
      <c r="A135" s="668">
        <f t="shared" ref="A135:A198" si="34">+A134+1</f>
        <v>3</v>
      </c>
      <c r="B135" s="625" t="str">
        <f t="shared" si="23"/>
        <v>3B</v>
      </c>
      <c r="C135" s="613">
        <f t="shared" si="27"/>
        <v>14321.05</v>
      </c>
      <c r="D135" s="626">
        <f t="shared" si="28"/>
        <v>14329.95</v>
      </c>
      <c r="E135" s="613">
        <f t="shared" si="29"/>
        <v>14321.05</v>
      </c>
      <c r="F135" s="626">
        <f t="shared" si="30"/>
        <v>14329.95</v>
      </c>
      <c r="G135" s="621">
        <f t="shared" si="31"/>
        <v>14321.05</v>
      </c>
      <c r="H135" s="621">
        <f t="shared" si="32"/>
        <v>14329.95</v>
      </c>
      <c r="I135" s="568">
        <f t="shared" si="25"/>
        <v>1</v>
      </c>
      <c r="J135" s="568">
        <f t="shared" si="26"/>
        <v>1</v>
      </c>
      <c r="M135" s="627">
        <f t="shared" si="33"/>
        <v>3</v>
      </c>
      <c r="N135" s="613">
        <v>5283.5845045045053</v>
      </c>
      <c r="O135" s="613">
        <v>5286.8693693693704</v>
      </c>
      <c r="P135" s="613">
        <v>5283.5845045045053</v>
      </c>
      <c r="Q135" s="613">
        <v>5286.8693693693704</v>
      </c>
      <c r="R135" s="628"/>
      <c r="S135" s="628"/>
    </row>
    <row r="136" spans="1:19" hidden="1">
      <c r="A136" s="668">
        <f t="shared" si="34"/>
        <v>4</v>
      </c>
      <c r="B136" s="625" t="str">
        <f t="shared" si="23"/>
        <v>4B</v>
      </c>
      <c r="C136" s="613">
        <f t="shared" si="27"/>
        <v>14321.05</v>
      </c>
      <c r="D136" s="626">
        <f t="shared" si="28"/>
        <v>14329.95</v>
      </c>
      <c r="E136" s="613">
        <f t="shared" si="29"/>
        <v>14321.05</v>
      </c>
      <c r="F136" s="626">
        <f t="shared" si="30"/>
        <v>14329.95</v>
      </c>
      <c r="G136" s="621">
        <f t="shared" si="31"/>
        <v>14321.05</v>
      </c>
      <c r="H136" s="621">
        <f t="shared" si="32"/>
        <v>14329.95</v>
      </c>
      <c r="I136" s="568">
        <f t="shared" si="25"/>
        <v>1</v>
      </c>
      <c r="J136" s="568">
        <f t="shared" si="26"/>
        <v>1</v>
      </c>
      <c r="M136" s="627">
        <f t="shared" si="33"/>
        <v>4</v>
      </c>
      <c r="N136" s="613">
        <v>5283.5845045045053</v>
      </c>
      <c r="O136" s="613">
        <v>5286.8693693693704</v>
      </c>
      <c r="P136" s="613">
        <v>5283.5845045045053</v>
      </c>
      <c r="Q136" s="613">
        <v>5286.8693693693704</v>
      </c>
      <c r="R136" s="628"/>
      <c r="S136" s="628"/>
    </row>
    <row r="137" spans="1:19" hidden="1">
      <c r="A137" s="668">
        <f t="shared" si="34"/>
        <v>5</v>
      </c>
      <c r="B137" s="625" t="str">
        <f t="shared" si="23"/>
        <v>5B</v>
      </c>
      <c r="C137" s="613">
        <f t="shared" si="27"/>
        <v>14321.05</v>
      </c>
      <c r="D137" s="626">
        <f t="shared" si="28"/>
        <v>14329.95</v>
      </c>
      <c r="E137" s="613">
        <f t="shared" si="29"/>
        <v>14321.05</v>
      </c>
      <c r="F137" s="626">
        <f t="shared" si="30"/>
        <v>14329.95</v>
      </c>
      <c r="G137" s="621">
        <f t="shared" si="31"/>
        <v>14321.05</v>
      </c>
      <c r="H137" s="621">
        <f t="shared" si="32"/>
        <v>14329.95</v>
      </c>
      <c r="I137" s="568">
        <f t="shared" si="25"/>
        <v>1</v>
      </c>
      <c r="J137" s="568">
        <f t="shared" si="26"/>
        <v>1</v>
      </c>
      <c r="M137" s="627">
        <f t="shared" si="33"/>
        <v>5</v>
      </c>
      <c r="N137" s="613">
        <v>5283.5845045045053</v>
      </c>
      <c r="O137" s="613">
        <v>5286.8693693693704</v>
      </c>
      <c r="P137" s="613">
        <v>5283.5845045045053</v>
      </c>
      <c r="Q137" s="613">
        <v>5286.8693693693704</v>
      </c>
      <c r="R137" s="628"/>
      <c r="S137" s="628"/>
    </row>
    <row r="138" spans="1:19" hidden="1">
      <c r="A138" s="668">
        <f t="shared" si="34"/>
        <v>6</v>
      </c>
      <c r="B138" s="625" t="str">
        <f t="shared" si="23"/>
        <v>6B</v>
      </c>
      <c r="C138" s="613">
        <f t="shared" si="27"/>
        <v>14321.05</v>
      </c>
      <c r="D138" s="626">
        <f t="shared" si="28"/>
        <v>14329.95</v>
      </c>
      <c r="E138" s="613">
        <f t="shared" si="29"/>
        <v>14321.05</v>
      </c>
      <c r="F138" s="626">
        <f t="shared" si="30"/>
        <v>14329.95</v>
      </c>
      <c r="G138" s="621">
        <f t="shared" si="31"/>
        <v>14321.05</v>
      </c>
      <c r="H138" s="621">
        <f t="shared" si="32"/>
        <v>14329.95</v>
      </c>
      <c r="I138" s="568">
        <f t="shared" si="25"/>
        <v>1</v>
      </c>
      <c r="J138" s="568">
        <f t="shared" ref="J138:J196" si="35">IF(ROUND(D138,2)=H138,1,0)</f>
        <v>1</v>
      </c>
      <c r="M138" s="627">
        <f t="shared" si="33"/>
        <v>6</v>
      </c>
      <c r="N138" s="613">
        <v>5283.5845045045053</v>
      </c>
      <c r="O138" s="613">
        <v>5286.8693693693704</v>
      </c>
      <c r="P138" s="613">
        <v>5283.5845045045053</v>
      </c>
      <c r="Q138" s="613">
        <v>5286.8693693693704</v>
      </c>
      <c r="R138" s="628"/>
      <c r="S138" s="628"/>
    </row>
    <row r="139" spans="1:19" hidden="1">
      <c r="A139" s="668">
        <f t="shared" si="34"/>
        <v>7</v>
      </c>
      <c r="B139" s="625" t="str">
        <f t="shared" si="23"/>
        <v>7B</v>
      </c>
      <c r="C139" s="613">
        <f t="shared" si="27"/>
        <v>14321.05</v>
      </c>
      <c r="D139" s="626">
        <f t="shared" si="28"/>
        <v>14329.95</v>
      </c>
      <c r="E139" s="613">
        <f t="shared" si="29"/>
        <v>14321.05</v>
      </c>
      <c r="F139" s="626">
        <f t="shared" si="30"/>
        <v>14329.95</v>
      </c>
      <c r="G139" s="621">
        <f t="shared" si="31"/>
        <v>14321.05</v>
      </c>
      <c r="H139" s="621">
        <f t="shared" si="32"/>
        <v>14329.95</v>
      </c>
      <c r="I139" s="568">
        <f t="shared" si="25"/>
        <v>1</v>
      </c>
      <c r="J139" s="568">
        <f>IF(ROUND(D139,2)=H139,1,0)</f>
        <v>1</v>
      </c>
      <c r="M139" s="627">
        <f t="shared" si="33"/>
        <v>7</v>
      </c>
      <c r="N139" s="613">
        <v>5283.5845045045053</v>
      </c>
      <c r="O139" s="613">
        <v>5286.8693693693704</v>
      </c>
      <c r="P139" s="613">
        <v>5283.5845045045053</v>
      </c>
      <c r="Q139" s="613">
        <v>5286.8693693693704</v>
      </c>
      <c r="R139" s="628"/>
      <c r="S139" s="628"/>
    </row>
    <row r="140" spans="1:19" hidden="1">
      <c r="A140" s="668">
        <f t="shared" si="34"/>
        <v>8</v>
      </c>
      <c r="B140" s="625" t="str">
        <f t="shared" si="23"/>
        <v>8B</v>
      </c>
      <c r="C140" s="613">
        <f t="shared" si="27"/>
        <v>14321.05</v>
      </c>
      <c r="D140" s="626">
        <f t="shared" si="28"/>
        <v>14329.95</v>
      </c>
      <c r="E140" s="613">
        <f t="shared" si="29"/>
        <v>14321.05</v>
      </c>
      <c r="F140" s="626">
        <f t="shared" si="30"/>
        <v>14329.95</v>
      </c>
      <c r="G140" s="621">
        <f t="shared" si="31"/>
        <v>14321.05</v>
      </c>
      <c r="H140" s="621">
        <f t="shared" si="32"/>
        <v>14329.95</v>
      </c>
      <c r="I140" s="568">
        <f t="shared" si="25"/>
        <v>1</v>
      </c>
      <c r="J140" s="568">
        <f>IF(ROUND(D140,2)=H140,1,0)</f>
        <v>1</v>
      </c>
      <c r="M140" s="627">
        <f t="shared" si="33"/>
        <v>8</v>
      </c>
      <c r="N140" s="613">
        <v>5283.5845045045053</v>
      </c>
      <c r="O140" s="613">
        <v>5286.8693693693704</v>
      </c>
      <c r="P140" s="613">
        <v>5283.5845045045053</v>
      </c>
      <c r="Q140" s="613">
        <v>5286.8693693693704</v>
      </c>
      <c r="R140" s="628"/>
      <c r="S140" s="628"/>
    </row>
    <row r="141" spans="1:19" hidden="1">
      <c r="A141" s="668">
        <f t="shared" si="34"/>
        <v>9</v>
      </c>
      <c r="B141" s="625" t="str">
        <f t="shared" si="23"/>
        <v>9B</v>
      </c>
      <c r="C141" s="613">
        <f t="shared" si="27"/>
        <v>14321.05</v>
      </c>
      <c r="D141" s="626">
        <f t="shared" si="28"/>
        <v>14329.95</v>
      </c>
      <c r="E141" s="613">
        <f t="shared" si="29"/>
        <v>14321.05</v>
      </c>
      <c r="F141" s="626">
        <f t="shared" si="30"/>
        <v>14329.95</v>
      </c>
      <c r="G141" s="621">
        <f t="shared" si="31"/>
        <v>14321.05</v>
      </c>
      <c r="H141" s="621">
        <f t="shared" si="32"/>
        <v>14329.95</v>
      </c>
      <c r="I141" s="568">
        <f t="shared" si="25"/>
        <v>1</v>
      </c>
      <c r="J141" s="568">
        <f>IF(ROUND(D141,2)=H141,1,0)</f>
        <v>1</v>
      </c>
      <c r="M141" s="627">
        <f t="shared" si="33"/>
        <v>9</v>
      </c>
      <c r="N141" s="613">
        <v>5283.5845045045053</v>
      </c>
      <c r="O141" s="613">
        <v>5286.8693693693704</v>
      </c>
      <c r="P141" s="613">
        <v>5283.5845045045053</v>
      </c>
      <c r="Q141" s="613">
        <v>5286.8693693693704</v>
      </c>
      <c r="R141" s="628"/>
      <c r="S141" s="628"/>
    </row>
    <row r="142" spans="1:19" hidden="1">
      <c r="A142" s="668">
        <f t="shared" si="34"/>
        <v>10</v>
      </c>
      <c r="B142" s="625" t="str">
        <f t="shared" si="23"/>
        <v>10B</v>
      </c>
      <c r="C142" s="613">
        <f t="shared" si="27"/>
        <v>14321.05</v>
      </c>
      <c r="D142" s="626">
        <f t="shared" si="28"/>
        <v>14329.95</v>
      </c>
      <c r="E142" s="613">
        <f t="shared" si="29"/>
        <v>14321.05</v>
      </c>
      <c r="F142" s="626">
        <f t="shared" si="30"/>
        <v>14329.95</v>
      </c>
      <c r="G142" s="621">
        <f t="shared" si="31"/>
        <v>14321.05</v>
      </c>
      <c r="H142" s="621">
        <f t="shared" si="32"/>
        <v>14329.95</v>
      </c>
      <c r="I142" s="568">
        <f t="shared" si="25"/>
        <v>1</v>
      </c>
      <c r="J142" s="568">
        <f t="shared" si="35"/>
        <v>1</v>
      </c>
      <c r="M142" s="627">
        <f t="shared" si="33"/>
        <v>10</v>
      </c>
      <c r="N142" s="613">
        <v>5283.5845045045053</v>
      </c>
      <c r="O142" s="613">
        <v>5286.8693693693704</v>
      </c>
      <c r="P142" s="613">
        <v>5283.5845045045053</v>
      </c>
      <c r="Q142" s="613">
        <v>5286.8693693693704</v>
      </c>
      <c r="R142" s="628"/>
      <c r="S142" s="628"/>
    </row>
    <row r="143" spans="1:19" hidden="1">
      <c r="A143" s="668">
        <f t="shared" si="34"/>
        <v>11</v>
      </c>
      <c r="B143" s="625" t="str">
        <f t="shared" si="23"/>
        <v>11B</v>
      </c>
      <c r="C143" s="613">
        <f t="shared" si="27"/>
        <v>14239.16</v>
      </c>
      <c r="D143" s="626">
        <f t="shared" si="28"/>
        <v>14109.83</v>
      </c>
      <c r="E143" s="613">
        <f t="shared" si="29"/>
        <v>14239.16</v>
      </c>
      <c r="F143" s="626">
        <f t="shared" si="30"/>
        <v>14109.83</v>
      </c>
      <c r="G143" s="621">
        <f t="shared" si="31"/>
        <v>14239.16</v>
      </c>
      <c r="H143" s="621">
        <f t="shared" si="32"/>
        <v>14109.83</v>
      </c>
      <c r="I143" s="568">
        <f t="shared" ref="I143:I153" si="36">IF(ROUND(C143,2)=G143,1,0)</f>
        <v>1</v>
      </c>
      <c r="J143" s="568">
        <f t="shared" si="35"/>
        <v>1</v>
      </c>
      <c r="M143" s="627">
        <f t="shared" si="33"/>
        <v>11</v>
      </c>
      <c r="N143" s="613">
        <v>5347.1475675675683</v>
      </c>
      <c r="O143" s="613">
        <v>5298.5798198198208</v>
      </c>
      <c r="P143" s="613">
        <v>5347.1475675675683</v>
      </c>
      <c r="Q143" s="613">
        <v>5298.5798198198208</v>
      </c>
      <c r="R143" s="628"/>
      <c r="S143" s="628"/>
    </row>
    <row r="144" spans="1:19" hidden="1">
      <c r="A144" s="668">
        <f t="shared" si="34"/>
        <v>12</v>
      </c>
      <c r="B144" s="625" t="str">
        <f t="shared" si="23"/>
        <v>12B</v>
      </c>
      <c r="C144" s="613">
        <f t="shared" si="27"/>
        <v>14173.53</v>
      </c>
      <c r="D144" s="626">
        <f t="shared" si="28"/>
        <v>14302.71</v>
      </c>
      <c r="E144" s="613">
        <f t="shared" si="29"/>
        <v>14173.53</v>
      </c>
      <c r="F144" s="626">
        <f t="shared" si="30"/>
        <v>14302.71</v>
      </c>
      <c r="G144" s="621">
        <f t="shared" si="31"/>
        <v>14173.53</v>
      </c>
      <c r="H144" s="621">
        <f t="shared" si="32"/>
        <v>14302.71</v>
      </c>
      <c r="I144" s="568">
        <f t="shared" si="36"/>
        <v>1</v>
      </c>
      <c r="J144" s="568">
        <f t="shared" si="35"/>
        <v>1</v>
      </c>
      <c r="M144" s="627">
        <f t="shared" si="33"/>
        <v>12</v>
      </c>
      <c r="N144" s="613">
        <v>5322.5018018018027</v>
      </c>
      <c r="O144" s="613">
        <v>5371.0138738738751</v>
      </c>
      <c r="P144" s="613">
        <v>5322.5018018018027</v>
      </c>
      <c r="Q144" s="613">
        <v>5371.0138738738751</v>
      </c>
      <c r="R144" s="628"/>
      <c r="S144" s="628"/>
    </row>
    <row r="145" spans="1:19" hidden="1">
      <c r="A145" s="668">
        <f t="shared" si="34"/>
        <v>13</v>
      </c>
      <c r="B145" s="625" t="str">
        <f t="shared" si="23"/>
        <v>13B</v>
      </c>
      <c r="C145" s="613">
        <f t="shared" si="27"/>
        <v>14075.68</v>
      </c>
      <c r="D145" s="626">
        <f t="shared" si="28"/>
        <v>14208.62</v>
      </c>
      <c r="E145" s="613">
        <f t="shared" si="29"/>
        <v>14075.68</v>
      </c>
      <c r="F145" s="626">
        <f t="shared" si="30"/>
        <v>14208.62</v>
      </c>
      <c r="G145" s="621">
        <f t="shared" si="31"/>
        <v>14075.68</v>
      </c>
      <c r="H145" s="621">
        <f t="shared" si="32"/>
        <v>14208.62</v>
      </c>
      <c r="I145" s="568">
        <f t="shared" si="36"/>
        <v>1</v>
      </c>
      <c r="J145" s="568">
        <f t="shared" si="35"/>
        <v>1</v>
      </c>
      <c r="M145" s="627">
        <f t="shared" si="33"/>
        <v>13</v>
      </c>
      <c r="N145" s="613">
        <v>5285.7558558558567</v>
      </c>
      <c r="O145" s="613">
        <v>5335.6783783783794</v>
      </c>
      <c r="P145" s="613">
        <v>5285.7558558558567</v>
      </c>
      <c r="Q145" s="613">
        <v>5335.6783783783794</v>
      </c>
      <c r="R145" s="628"/>
      <c r="S145" s="628"/>
    </row>
    <row r="146" spans="1:19" hidden="1">
      <c r="A146" s="668">
        <f t="shared" si="34"/>
        <v>14</v>
      </c>
      <c r="B146" s="625" t="str">
        <f t="shared" si="23"/>
        <v>14B</v>
      </c>
      <c r="C146" s="613">
        <f t="shared" si="27"/>
        <v>13710.21</v>
      </c>
      <c r="D146" s="626">
        <f t="shared" si="28"/>
        <v>13919.31</v>
      </c>
      <c r="E146" s="613">
        <f t="shared" si="29"/>
        <v>13710.21</v>
      </c>
      <c r="F146" s="626">
        <f t="shared" si="30"/>
        <v>13919.31</v>
      </c>
      <c r="G146" s="621">
        <f t="shared" si="31"/>
        <v>13710.21</v>
      </c>
      <c r="H146" s="621">
        <f t="shared" si="32"/>
        <v>13919.31</v>
      </c>
      <c r="I146" s="568">
        <f t="shared" si="36"/>
        <v>1</v>
      </c>
      <c r="J146" s="568">
        <f t="shared" si="35"/>
        <v>1</v>
      </c>
      <c r="M146" s="627">
        <f t="shared" si="33"/>
        <v>14</v>
      </c>
      <c r="N146" s="613">
        <v>5148.515315315316</v>
      </c>
      <c r="O146" s="613">
        <v>5227.0365765765773</v>
      </c>
      <c r="P146" s="613">
        <v>5148.515315315316</v>
      </c>
      <c r="Q146" s="613">
        <v>5227.0365765765773</v>
      </c>
      <c r="R146" s="628"/>
      <c r="S146" s="628"/>
    </row>
    <row r="147" spans="1:19" hidden="1">
      <c r="A147" s="668">
        <f t="shared" si="34"/>
        <v>15</v>
      </c>
      <c r="B147" s="625" t="str">
        <f t="shared" si="23"/>
        <v>15B</v>
      </c>
      <c r="C147" s="613">
        <f t="shared" si="27"/>
        <v>13766.06</v>
      </c>
      <c r="D147" s="626">
        <f t="shared" si="28"/>
        <v>13693.41</v>
      </c>
      <c r="E147" s="613">
        <f t="shared" si="29"/>
        <v>13766.06</v>
      </c>
      <c r="F147" s="626">
        <f t="shared" si="30"/>
        <v>13693.41</v>
      </c>
      <c r="G147" s="621">
        <f t="shared" si="31"/>
        <v>13766.06</v>
      </c>
      <c r="H147" s="621">
        <f t="shared" si="32"/>
        <v>13693.41</v>
      </c>
      <c r="I147" s="568">
        <f t="shared" si="36"/>
        <v>1</v>
      </c>
      <c r="J147" s="568">
        <f t="shared" si="35"/>
        <v>1</v>
      </c>
      <c r="M147" s="627">
        <f t="shared" si="33"/>
        <v>15</v>
      </c>
      <c r="N147" s="613">
        <v>5169.4864864864876</v>
      </c>
      <c r="O147" s="613">
        <v>5142.205405405407</v>
      </c>
      <c r="P147" s="613">
        <v>5169.4864864864876</v>
      </c>
      <c r="Q147" s="613">
        <v>5142.205405405407</v>
      </c>
      <c r="R147" s="628"/>
      <c r="S147" s="628"/>
    </row>
    <row r="148" spans="1:19" hidden="1">
      <c r="A148" s="668">
        <f t="shared" si="34"/>
        <v>16</v>
      </c>
      <c r="B148" s="625" t="str">
        <f t="shared" si="23"/>
        <v>16B</v>
      </c>
      <c r="C148" s="613">
        <f t="shared" si="27"/>
        <v>13508.63</v>
      </c>
      <c r="D148" s="626">
        <f t="shared" si="28"/>
        <v>13174.1</v>
      </c>
      <c r="E148" s="613">
        <f t="shared" si="29"/>
        <v>13508.63</v>
      </c>
      <c r="F148" s="626">
        <f t="shared" si="30"/>
        <v>13174.1</v>
      </c>
      <c r="G148" s="621">
        <f t="shared" si="31"/>
        <v>13508.63</v>
      </c>
      <c r="H148" s="621">
        <f t="shared" si="32"/>
        <v>13174.1</v>
      </c>
      <c r="I148" s="568">
        <f t="shared" si="36"/>
        <v>1</v>
      </c>
      <c r="J148" s="568">
        <f t="shared" si="35"/>
        <v>1</v>
      </c>
      <c r="M148" s="627">
        <f t="shared" si="33"/>
        <v>16</v>
      </c>
      <c r="N148" s="613">
        <v>5072.8149549549553</v>
      </c>
      <c r="O148" s="613">
        <v>4947.1920720720718</v>
      </c>
      <c r="P148" s="613">
        <v>5072.8149549549553</v>
      </c>
      <c r="Q148" s="613">
        <v>4947.1920720720718</v>
      </c>
      <c r="R148" s="628"/>
      <c r="S148" s="628"/>
    </row>
    <row r="149" spans="1:19" hidden="1">
      <c r="A149" s="668">
        <f t="shared" si="34"/>
        <v>17</v>
      </c>
      <c r="B149" s="625" t="str">
        <f t="shared" si="23"/>
        <v>17B</v>
      </c>
      <c r="C149" s="613">
        <f t="shared" si="27"/>
        <v>13582.96</v>
      </c>
      <c r="D149" s="626">
        <f t="shared" si="28"/>
        <v>13382.85</v>
      </c>
      <c r="E149" s="613">
        <f t="shared" si="29"/>
        <v>13582.96</v>
      </c>
      <c r="F149" s="626">
        <f t="shared" si="30"/>
        <v>13382.85</v>
      </c>
      <c r="G149" s="621">
        <f t="shared" si="31"/>
        <v>13582.96</v>
      </c>
      <c r="H149" s="621">
        <f t="shared" si="32"/>
        <v>13382.85</v>
      </c>
      <c r="I149" s="568">
        <f t="shared" si="36"/>
        <v>1</v>
      </c>
      <c r="J149" s="568">
        <f t="shared" si="35"/>
        <v>1</v>
      </c>
      <c r="M149" s="627">
        <f t="shared" si="33"/>
        <v>17</v>
      </c>
      <c r="N149" s="613">
        <v>5100.7270270270274</v>
      </c>
      <c r="O149" s="613">
        <v>5025.5834234234244</v>
      </c>
      <c r="P149" s="613">
        <v>5100.7270270270274</v>
      </c>
      <c r="Q149" s="613">
        <v>5025.5834234234244</v>
      </c>
      <c r="R149" s="628"/>
      <c r="S149" s="628"/>
    </row>
    <row r="150" spans="1:19" hidden="1">
      <c r="A150" s="668">
        <f t="shared" si="34"/>
        <v>18</v>
      </c>
      <c r="B150" s="625" t="str">
        <f t="shared" si="23"/>
        <v>18B</v>
      </c>
      <c r="C150" s="613">
        <f t="shared" si="27"/>
        <v>13980.3</v>
      </c>
      <c r="D150" s="626">
        <f t="shared" si="28"/>
        <v>12644.51</v>
      </c>
      <c r="E150" s="613">
        <f t="shared" si="29"/>
        <v>13980.3</v>
      </c>
      <c r="F150" s="626">
        <f t="shared" si="30"/>
        <v>12644.51</v>
      </c>
      <c r="G150" s="621">
        <f t="shared" si="31"/>
        <v>13980.3</v>
      </c>
      <c r="H150" s="621">
        <f t="shared" si="32"/>
        <v>12644.51</v>
      </c>
      <c r="I150" s="568">
        <f t="shared" si="36"/>
        <v>1</v>
      </c>
      <c r="J150" s="568">
        <f t="shared" si="35"/>
        <v>1</v>
      </c>
      <c r="M150" s="627">
        <f t="shared" si="33"/>
        <v>18</v>
      </c>
      <c r="N150" s="613">
        <v>5249.9378378378378</v>
      </c>
      <c r="O150" s="613">
        <v>4748.3185585585588</v>
      </c>
      <c r="P150" s="613">
        <v>5249.9378378378378</v>
      </c>
      <c r="Q150" s="613">
        <v>4748.3185585585588</v>
      </c>
      <c r="R150" s="628"/>
      <c r="S150" s="628"/>
    </row>
    <row r="151" spans="1:19" hidden="1">
      <c r="A151" s="668">
        <f t="shared" si="34"/>
        <v>19</v>
      </c>
      <c r="B151" s="625" t="str">
        <f t="shared" si="23"/>
        <v>19B</v>
      </c>
      <c r="C151" s="613">
        <f t="shared" si="27"/>
        <v>14454.88</v>
      </c>
      <c r="D151" s="626">
        <f t="shared" si="28"/>
        <v>12832.46</v>
      </c>
      <c r="E151" s="613">
        <f t="shared" si="29"/>
        <v>14454.88</v>
      </c>
      <c r="F151" s="626">
        <f t="shared" si="30"/>
        <v>12832.46</v>
      </c>
      <c r="G151" s="621">
        <f t="shared" si="31"/>
        <v>14454.88</v>
      </c>
      <c r="H151" s="621">
        <f t="shared" si="32"/>
        <v>12832.46</v>
      </c>
      <c r="I151" s="568">
        <f t="shared" si="36"/>
        <v>1</v>
      </c>
      <c r="J151" s="568">
        <f t="shared" si="35"/>
        <v>1</v>
      </c>
      <c r="M151" s="627">
        <f t="shared" si="33"/>
        <v>19</v>
      </c>
      <c r="N151" s="613">
        <v>5428.1556756756763</v>
      </c>
      <c r="O151" s="613">
        <v>4818.8967567567579</v>
      </c>
      <c r="P151" s="613">
        <v>5428.1556756756763</v>
      </c>
      <c r="Q151" s="613">
        <v>4818.8967567567579</v>
      </c>
      <c r="R151" s="628"/>
      <c r="S151" s="628"/>
    </row>
    <row r="152" spans="1:19" hidden="1">
      <c r="A152" s="668">
        <f t="shared" si="34"/>
        <v>20</v>
      </c>
      <c r="B152" s="625" t="str">
        <f t="shared" si="23"/>
        <v>20B</v>
      </c>
      <c r="C152" s="613">
        <f t="shared" si="27"/>
        <v>14893.49</v>
      </c>
      <c r="D152" s="626">
        <f t="shared" si="28"/>
        <v>14891.06</v>
      </c>
      <c r="E152" s="613">
        <f t="shared" si="29"/>
        <v>14893.49</v>
      </c>
      <c r="F152" s="626">
        <f t="shared" si="30"/>
        <v>14891.06</v>
      </c>
      <c r="G152" s="621">
        <f t="shared" si="31"/>
        <v>14893.49</v>
      </c>
      <c r="H152" s="621">
        <f t="shared" si="32"/>
        <v>14891.06</v>
      </c>
      <c r="I152" s="568">
        <f t="shared" si="36"/>
        <v>1</v>
      </c>
      <c r="J152" s="568">
        <f t="shared" si="35"/>
        <v>1</v>
      </c>
      <c r="M152" s="627">
        <f t="shared" si="33"/>
        <v>20</v>
      </c>
      <c r="N152" s="613">
        <v>5592.8628828828832</v>
      </c>
      <c r="O152" s="613">
        <v>5591.9535135135138</v>
      </c>
      <c r="P152" s="613">
        <v>5592.8628828828832</v>
      </c>
      <c r="Q152" s="613">
        <v>5591.9535135135138</v>
      </c>
      <c r="R152" s="628"/>
      <c r="S152" s="628"/>
    </row>
    <row r="153" spans="1:19" hidden="1">
      <c r="A153" s="668">
        <f t="shared" si="34"/>
        <v>21</v>
      </c>
      <c r="B153" s="625" t="str">
        <f t="shared" si="23"/>
        <v>21B</v>
      </c>
      <c r="C153" s="613">
        <f t="shared" si="27"/>
        <v>15677.1</v>
      </c>
      <c r="D153" s="626">
        <f t="shared" si="28"/>
        <v>19309.45</v>
      </c>
      <c r="E153" s="613">
        <f t="shared" si="29"/>
        <v>15677.1</v>
      </c>
      <c r="F153" s="626">
        <f t="shared" si="30"/>
        <v>19309.45</v>
      </c>
      <c r="G153" s="621">
        <f t="shared" si="31"/>
        <v>15677.1</v>
      </c>
      <c r="H153" s="621">
        <f t="shared" si="32"/>
        <v>19309.45</v>
      </c>
      <c r="I153" s="568">
        <f t="shared" si="36"/>
        <v>1</v>
      </c>
      <c r="J153" s="568">
        <f t="shared" si="35"/>
        <v>1</v>
      </c>
      <c r="M153" s="627">
        <f t="shared" si="33"/>
        <v>21</v>
      </c>
      <c r="N153" s="613">
        <v>5887.1273873873879</v>
      </c>
      <c r="O153" s="613">
        <v>7251.1628828828834</v>
      </c>
      <c r="P153" s="613">
        <v>5887.1273873873879</v>
      </c>
      <c r="Q153" s="613">
        <v>7251.1628828828834</v>
      </c>
      <c r="R153" s="628"/>
      <c r="S153" s="628"/>
    </row>
    <row r="154" spans="1:19" hidden="1">
      <c r="A154" s="668">
        <f t="shared" si="34"/>
        <v>22</v>
      </c>
      <c r="B154" s="625" t="str">
        <f t="shared" si="23"/>
        <v>22B</v>
      </c>
      <c r="C154" s="613">
        <f t="shared" si="27"/>
        <v>16380.25</v>
      </c>
      <c r="D154" s="626">
        <f t="shared" si="28"/>
        <v>20242.599999999999</v>
      </c>
      <c r="E154" s="613">
        <f t="shared" si="29"/>
        <v>16380.25</v>
      </c>
      <c r="F154" s="626">
        <f t="shared" si="30"/>
        <v>20242.599999999999</v>
      </c>
      <c r="G154" s="621">
        <f t="shared" si="31"/>
        <v>16380.25</v>
      </c>
      <c r="H154" s="621">
        <f t="shared" si="32"/>
        <v>20242.599999999999</v>
      </c>
      <c r="I154" s="568">
        <f t="shared" ref="I154:I196" si="37">IF(ROUND(C154,2)=G154,1,0)</f>
        <v>1</v>
      </c>
      <c r="J154" s="568">
        <f t="shared" si="35"/>
        <v>1</v>
      </c>
      <c r="M154" s="627">
        <f t="shared" si="33"/>
        <v>22</v>
      </c>
      <c r="N154" s="613">
        <v>6151.1785585585585</v>
      </c>
      <c r="O154" s="613">
        <v>7601.5855855855871</v>
      </c>
      <c r="P154" s="613">
        <v>6151.1785585585585</v>
      </c>
      <c r="Q154" s="613">
        <v>7601.5855855855871</v>
      </c>
      <c r="R154" s="628"/>
      <c r="S154" s="628"/>
    </row>
    <row r="155" spans="1:19" hidden="1">
      <c r="A155" s="668">
        <f t="shared" si="34"/>
        <v>23</v>
      </c>
      <c r="B155" s="625" t="str">
        <f t="shared" si="23"/>
        <v>23B</v>
      </c>
      <c r="C155" s="613">
        <f t="shared" si="27"/>
        <v>17461.62</v>
      </c>
      <c r="D155" s="626">
        <f t="shared" si="28"/>
        <v>21211.49</v>
      </c>
      <c r="E155" s="613">
        <f t="shared" si="29"/>
        <v>17461.62</v>
      </c>
      <c r="F155" s="626">
        <f t="shared" si="30"/>
        <v>21211.49</v>
      </c>
      <c r="G155" s="621">
        <f t="shared" si="31"/>
        <v>17461.62</v>
      </c>
      <c r="H155" s="621">
        <f t="shared" si="32"/>
        <v>21211.49</v>
      </c>
      <c r="I155" s="568">
        <f t="shared" si="37"/>
        <v>1</v>
      </c>
      <c r="J155" s="568">
        <f t="shared" si="35"/>
        <v>1</v>
      </c>
      <c r="M155" s="627">
        <f t="shared" si="33"/>
        <v>23</v>
      </c>
      <c r="N155" s="613">
        <v>6557.2583783783793</v>
      </c>
      <c r="O155" s="613">
        <v>7965.4261261261281</v>
      </c>
      <c r="P155" s="613">
        <v>6557.2583783783793</v>
      </c>
      <c r="Q155" s="613">
        <v>7965.4261261261281</v>
      </c>
      <c r="R155" s="628"/>
      <c r="S155" s="628"/>
    </row>
    <row r="156" spans="1:19" hidden="1">
      <c r="A156" s="668">
        <f t="shared" si="34"/>
        <v>24</v>
      </c>
      <c r="B156" s="625" t="str">
        <f t="shared" si="23"/>
        <v>24B</v>
      </c>
      <c r="C156" s="613">
        <f t="shared" si="27"/>
        <v>18187.75</v>
      </c>
      <c r="D156" s="626">
        <f t="shared" si="28"/>
        <v>22221.89</v>
      </c>
      <c r="E156" s="613">
        <f t="shared" si="29"/>
        <v>18187.75</v>
      </c>
      <c r="F156" s="626">
        <f t="shared" si="30"/>
        <v>22221.89</v>
      </c>
      <c r="G156" s="621">
        <f t="shared" si="31"/>
        <v>18187.75</v>
      </c>
      <c r="H156" s="621">
        <f t="shared" si="32"/>
        <v>22221.89</v>
      </c>
      <c r="I156" s="568">
        <f t="shared" si="37"/>
        <v>1</v>
      </c>
      <c r="J156" s="568">
        <f t="shared" si="35"/>
        <v>1</v>
      </c>
      <c r="M156" s="627">
        <f t="shared" si="33"/>
        <v>24</v>
      </c>
      <c r="N156" s="613">
        <v>6829.9392792792805</v>
      </c>
      <c r="O156" s="613">
        <v>8344.855855855858</v>
      </c>
      <c r="P156" s="613">
        <v>6829.9392792792805</v>
      </c>
      <c r="Q156" s="613">
        <v>8344.855855855858</v>
      </c>
      <c r="R156" s="628"/>
      <c r="S156" s="628"/>
    </row>
    <row r="157" spans="1:19" hidden="1">
      <c r="A157" s="668">
        <f t="shared" si="34"/>
        <v>25</v>
      </c>
      <c r="B157" s="625" t="str">
        <f t="shared" si="23"/>
        <v>25B</v>
      </c>
      <c r="C157" s="613">
        <f t="shared" si="27"/>
        <v>18906.13</v>
      </c>
      <c r="D157" s="626">
        <f t="shared" si="28"/>
        <v>23264.07</v>
      </c>
      <c r="E157" s="613">
        <f t="shared" si="29"/>
        <v>18906.13</v>
      </c>
      <c r="F157" s="626">
        <f t="shared" si="30"/>
        <v>23264.07</v>
      </c>
      <c r="G157" s="621">
        <f t="shared" si="31"/>
        <v>18906.13</v>
      </c>
      <c r="H157" s="621">
        <f t="shared" si="32"/>
        <v>23264.07</v>
      </c>
      <c r="I157" s="568">
        <f t="shared" si="37"/>
        <v>1</v>
      </c>
      <c r="J157" s="568">
        <f t="shared" si="35"/>
        <v>1</v>
      </c>
      <c r="M157" s="627">
        <f t="shared" si="33"/>
        <v>25</v>
      </c>
      <c r="N157" s="613">
        <v>7099.7064864864878</v>
      </c>
      <c r="O157" s="613">
        <v>8736.2187387387403</v>
      </c>
      <c r="P157" s="613">
        <v>7099.7064864864878</v>
      </c>
      <c r="Q157" s="613">
        <v>8736.2187387387403</v>
      </c>
      <c r="R157" s="628"/>
      <c r="S157" s="628"/>
    </row>
    <row r="158" spans="1:19" hidden="1">
      <c r="A158" s="668">
        <f t="shared" si="34"/>
        <v>26</v>
      </c>
      <c r="B158" s="625" t="str">
        <f t="shared" si="23"/>
        <v>26B</v>
      </c>
      <c r="C158" s="613">
        <f t="shared" si="27"/>
        <v>20189.63</v>
      </c>
      <c r="D158" s="626">
        <f t="shared" si="28"/>
        <v>24378.75</v>
      </c>
      <c r="E158" s="613">
        <f t="shared" si="29"/>
        <v>20189.63</v>
      </c>
      <c r="F158" s="626">
        <f t="shared" si="30"/>
        <v>24378.75</v>
      </c>
      <c r="G158" s="621">
        <f t="shared" si="31"/>
        <v>20189.63</v>
      </c>
      <c r="H158" s="621">
        <f t="shared" si="32"/>
        <v>24378.75</v>
      </c>
      <c r="I158" s="568">
        <f t="shared" si="37"/>
        <v>1</v>
      </c>
      <c r="J158" s="568">
        <f t="shared" si="35"/>
        <v>1</v>
      </c>
      <c r="M158" s="627">
        <f t="shared" si="33"/>
        <v>26</v>
      </c>
      <c r="N158" s="613">
        <v>7581.6908108108128</v>
      </c>
      <c r="O158" s="613">
        <v>9154.8070270270291</v>
      </c>
      <c r="P158" s="613">
        <v>7581.6908108108128</v>
      </c>
      <c r="Q158" s="613">
        <v>9154.8070270270291</v>
      </c>
      <c r="R158" s="628"/>
      <c r="S158" s="628"/>
    </row>
    <row r="159" spans="1:19" hidden="1">
      <c r="A159" s="668">
        <f t="shared" si="34"/>
        <v>27</v>
      </c>
      <c r="B159" s="625" t="str">
        <f t="shared" si="23"/>
        <v>27B</v>
      </c>
      <c r="C159" s="613">
        <f t="shared" si="27"/>
        <v>21078.95</v>
      </c>
      <c r="D159" s="626">
        <f t="shared" si="28"/>
        <v>25505.040000000001</v>
      </c>
      <c r="E159" s="613">
        <f t="shared" si="29"/>
        <v>21078.95</v>
      </c>
      <c r="F159" s="626">
        <f t="shared" si="30"/>
        <v>25505.040000000001</v>
      </c>
      <c r="G159" s="621">
        <f t="shared" si="31"/>
        <v>21078.95</v>
      </c>
      <c r="H159" s="621">
        <f t="shared" si="32"/>
        <v>25505.040000000001</v>
      </c>
      <c r="I159" s="568">
        <f t="shared" si="37"/>
        <v>1</v>
      </c>
      <c r="J159" s="568">
        <f t="shared" si="35"/>
        <v>1</v>
      </c>
      <c r="M159" s="627">
        <f t="shared" si="33"/>
        <v>27</v>
      </c>
      <c r="N159" s="613">
        <v>7915.6520720720728</v>
      </c>
      <c r="O159" s="613">
        <v>9577.7565765765776</v>
      </c>
      <c r="P159" s="613">
        <v>7915.6520720720728</v>
      </c>
      <c r="Q159" s="613">
        <v>9577.7565765765776</v>
      </c>
      <c r="R159" s="628"/>
      <c r="S159" s="628"/>
    </row>
    <row r="160" spans="1:19" hidden="1">
      <c r="A160" s="668">
        <f t="shared" si="34"/>
        <v>28</v>
      </c>
      <c r="B160" s="625" t="str">
        <f t="shared" si="23"/>
        <v>28B</v>
      </c>
      <c r="C160" s="613">
        <f t="shared" si="27"/>
        <v>22330.12</v>
      </c>
      <c r="D160" s="626">
        <f t="shared" si="28"/>
        <v>26716.93</v>
      </c>
      <c r="E160" s="613">
        <f t="shared" si="29"/>
        <v>22330.12</v>
      </c>
      <c r="F160" s="626">
        <f t="shared" si="30"/>
        <v>26716.93</v>
      </c>
      <c r="G160" s="621">
        <f>+B67</f>
        <v>22330.12</v>
      </c>
      <c r="H160" s="621">
        <f t="shared" si="32"/>
        <v>26716.93</v>
      </c>
      <c r="I160" s="568">
        <f t="shared" si="37"/>
        <v>1</v>
      </c>
      <c r="J160" s="568">
        <f t="shared" si="35"/>
        <v>1</v>
      </c>
      <c r="M160" s="627">
        <f t="shared" si="33"/>
        <v>28</v>
      </c>
      <c r="N160" s="613">
        <v>8385.4990990990991</v>
      </c>
      <c r="O160" s="613">
        <v>10032.849549549552</v>
      </c>
      <c r="P160" s="613">
        <v>8385.4990990990991</v>
      </c>
      <c r="Q160" s="613">
        <v>10032.849549549552</v>
      </c>
      <c r="R160" s="628"/>
      <c r="S160" s="628"/>
    </row>
    <row r="161" spans="1:19" hidden="1">
      <c r="A161" s="668">
        <f t="shared" si="34"/>
        <v>29</v>
      </c>
      <c r="B161" s="625" t="str">
        <f t="shared" si="23"/>
        <v>29B</v>
      </c>
      <c r="C161" s="613">
        <f t="shared" si="27"/>
        <v>23492</v>
      </c>
      <c r="D161" s="626">
        <f t="shared" si="28"/>
        <v>27949.97</v>
      </c>
      <c r="E161" s="613">
        <f t="shared" si="29"/>
        <v>23492</v>
      </c>
      <c r="F161" s="626">
        <f t="shared" si="30"/>
        <v>27949.97</v>
      </c>
      <c r="G161" s="621">
        <f t="shared" si="31"/>
        <v>23492</v>
      </c>
      <c r="H161" s="621">
        <f t="shared" si="32"/>
        <v>27949.97</v>
      </c>
      <c r="I161" s="568">
        <f t="shared" si="37"/>
        <v>1</v>
      </c>
      <c r="J161" s="568">
        <f t="shared" si="35"/>
        <v>1</v>
      </c>
      <c r="M161" s="627">
        <f t="shared" si="33"/>
        <v>29</v>
      </c>
      <c r="N161" s="613">
        <v>8821.8108108108117</v>
      </c>
      <c r="O161" s="613">
        <v>10495.885585585587</v>
      </c>
      <c r="P161" s="613">
        <v>8821.8108108108117</v>
      </c>
      <c r="Q161" s="613">
        <v>10495.885585585587</v>
      </c>
      <c r="R161" s="628"/>
      <c r="S161" s="628"/>
    </row>
    <row r="162" spans="1:19" hidden="1">
      <c r="A162" s="668">
        <f t="shared" si="34"/>
        <v>30</v>
      </c>
      <c r="B162" s="625" t="str">
        <f t="shared" si="23"/>
        <v>30B</v>
      </c>
      <c r="C162" s="613">
        <f t="shared" si="27"/>
        <v>24582.21</v>
      </c>
      <c r="D162" s="626">
        <f t="shared" si="28"/>
        <v>29276.31</v>
      </c>
      <c r="E162" s="613">
        <f t="shared" si="29"/>
        <v>24582.21</v>
      </c>
      <c r="F162" s="626">
        <f t="shared" si="30"/>
        <v>29276.31</v>
      </c>
      <c r="G162" s="621">
        <f t="shared" si="31"/>
        <v>24582.21</v>
      </c>
      <c r="H162" s="621">
        <f t="shared" si="32"/>
        <v>29276.31</v>
      </c>
      <c r="I162" s="568">
        <f t="shared" si="37"/>
        <v>1</v>
      </c>
      <c r="J162" s="568">
        <f t="shared" si="35"/>
        <v>1</v>
      </c>
      <c r="M162" s="627">
        <f t="shared" si="33"/>
        <v>30</v>
      </c>
      <c r="N162" s="613">
        <v>9231.212612612615</v>
      </c>
      <c r="O162" s="613">
        <v>10993.960180180184</v>
      </c>
      <c r="P162" s="613">
        <v>9231.212612612615</v>
      </c>
      <c r="Q162" s="613">
        <v>10993.960180180184</v>
      </c>
      <c r="R162" s="628"/>
      <c r="S162" s="628"/>
    </row>
    <row r="163" spans="1:19" hidden="1">
      <c r="A163" s="668">
        <f t="shared" si="34"/>
        <v>31</v>
      </c>
      <c r="B163" s="625" t="str">
        <f t="shared" si="23"/>
        <v>31B</v>
      </c>
      <c r="C163" s="613">
        <f t="shared" si="27"/>
        <v>25603.29</v>
      </c>
      <c r="D163" s="626">
        <f t="shared" si="28"/>
        <v>30645.16</v>
      </c>
      <c r="E163" s="613">
        <f t="shared" si="29"/>
        <v>25603.29</v>
      </c>
      <c r="F163" s="626">
        <f t="shared" si="30"/>
        <v>30645.16</v>
      </c>
      <c r="G163" s="621">
        <f t="shared" si="31"/>
        <v>25603.29</v>
      </c>
      <c r="H163" s="621">
        <f t="shared" si="32"/>
        <v>30645.16</v>
      </c>
      <c r="I163" s="568">
        <f t="shared" si="37"/>
        <v>1</v>
      </c>
      <c r="J163" s="568">
        <f t="shared" si="35"/>
        <v>1</v>
      </c>
      <c r="M163" s="627">
        <f t="shared" si="33"/>
        <v>31</v>
      </c>
      <c r="N163" s="613">
        <v>9614.6509909909928</v>
      </c>
      <c r="O163" s="613">
        <v>11507.995135135136</v>
      </c>
      <c r="P163" s="613">
        <v>9614.6509909909928</v>
      </c>
      <c r="Q163" s="613">
        <v>11507.995135135136</v>
      </c>
      <c r="R163" s="628"/>
      <c r="S163" s="628"/>
    </row>
    <row r="164" spans="1:19" hidden="1">
      <c r="A164" s="668">
        <f t="shared" si="34"/>
        <v>32</v>
      </c>
      <c r="B164" s="625" t="str">
        <f t="shared" ref="B164:B195" si="38">+CONCATENATE(A164,$H$36)</f>
        <v>32B</v>
      </c>
      <c r="C164" s="613">
        <f t="shared" si="27"/>
        <v>27174.21</v>
      </c>
      <c r="D164" s="626">
        <f t="shared" si="28"/>
        <v>32056.799999999999</v>
      </c>
      <c r="E164" s="613">
        <f t="shared" si="29"/>
        <v>27174.21</v>
      </c>
      <c r="F164" s="626">
        <f t="shared" si="30"/>
        <v>32056.799999999999</v>
      </c>
      <c r="G164" s="621">
        <f t="shared" si="31"/>
        <v>27174.21</v>
      </c>
      <c r="H164" s="621">
        <f t="shared" si="32"/>
        <v>32056.799999999999</v>
      </c>
      <c r="I164" s="568">
        <f t="shared" si="37"/>
        <v>1</v>
      </c>
      <c r="J164" s="568">
        <f t="shared" si="35"/>
        <v>1</v>
      </c>
      <c r="M164" s="627">
        <f t="shared" si="33"/>
        <v>32</v>
      </c>
      <c r="N164" s="613">
        <v>10204.571891891894</v>
      </c>
      <c r="O164" s="613">
        <v>12038.101801801804</v>
      </c>
      <c r="P164" s="613">
        <v>10204.571891891894</v>
      </c>
      <c r="Q164" s="613">
        <v>12038.101801801804</v>
      </c>
      <c r="R164" s="628"/>
      <c r="S164" s="628"/>
    </row>
    <row r="165" spans="1:19" hidden="1">
      <c r="A165" s="668">
        <f t="shared" si="34"/>
        <v>33</v>
      </c>
      <c r="B165" s="625" t="str">
        <f t="shared" si="38"/>
        <v>33B</v>
      </c>
      <c r="C165" s="613">
        <f t="shared" si="27"/>
        <v>28158.080000000002</v>
      </c>
      <c r="D165" s="626">
        <f t="shared" si="28"/>
        <v>33227.370000000003</v>
      </c>
      <c r="E165" s="613">
        <f t="shared" si="29"/>
        <v>28158.080000000002</v>
      </c>
      <c r="F165" s="626">
        <f t="shared" si="30"/>
        <v>33227.370000000003</v>
      </c>
      <c r="G165" s="621">
        <f t="shared" si="31"/>
        <v>28158.080000000002</v>
      </c>
      <c r="H165" s="621">
        <f t="shared" si="32"/>
        <v>33227.370000000003</v>
      </c>
      <c r="I165" s="568">
        <f t="shared" si="37"/>
        <v>1</v>
      </c>
      <c r="J165" s="568">
        <f t="shared" si="35"/>
        <v>1</v>
      </c>
      <c r="M165" s="627">
        <f t="shared" si="33"/>
        <v>33</v>
      </c>
      <c r="N165" s="613">
        <v>10574.035675675676</v>
      </c>
      <c r="O165" s="613">
        <v>12477.679819819821</v>
      </c>
      <c r="P165" s="613">
        <v>10574.035675675676</v>
      </c>
      <c r="Q165" s="613">
        <v>12477.679819819821</v>
      </c>
      <c r="R165" s="628"/>
      <c r="S165" s="628"/>
    </row>
    <row r="166" spans="1:19" hidden="1">
      <c r="A166" s="668">
        <f t="shared" si="34"/>
        <v>34</v>
      </c>
      <c r="B166" s="625" t="str">
        <f t="shared" si="38"/>
        <v>34B</v>
      </c>
      <c r="C166" s="613">
        <f t="shared" si="27"/>
        <v>29765.87</v>
      </c>
      <c r="D166" s="626">
        <f t="shared" si="28"/>
        <v>34764.6</v>
      </c>
      <c r="E166" s="613">
        <f t="shared" si="29"/>
        <v>29765.87</v>
      </c>
      <c r="F166" s="626">
        <f t="shared" si="30"/>
        <v>34764.6</v>
      </c>
      <c r="G166" s="621">
        <f t="shared" si="31"/>
        <v>29765.87</v>
      </c>
      <c r="H166" s="621">
        <f t="shared" si="32"/>
        <v>34764.6</v>
      </c>
      <c r="I166" s="568">
        <f t="shared" si="37"/>
        <v>1</v>
      </c>
      <c r="J166" s="568">
        <f t="shared" si="35"/>
        <v>1</v>
      </c>
      <c r="M166" s="627">
        <f t="shared" ref="M166:M197" si="39">+M165+1</f>
        <v>34</v>
      </c>
      <c r="N166" s="613">
        <v>11177.801261261262</v>
      </c>
      <c r="O166" s="613">
        <v>13054.943783783785</v>
      </c>
      <c r="P166" s="613">
        <v>11177.801261261262</v>
      </c>
      <c r="Q166" s="613">
        <v>13054.943783783785</v>
      </c>
      <c r="R166" s="628"/>
      <c r="S166" s="628"/>
    </row>
    <row r="167" spans="1:19" hidden="1">
      <c r="A167" s="668">
        <f t="shared" si="34"/>
        <v>35</v>
      </c>
      <c r="B167" s="625" t="str">
        <f t="shared" si="38"/>
        <v>35B</v>
      </c>
      <c r="C167" s="613">
        <f t="shared" si="27"/>
        <v>31438.799999999999</v>
      </c>
      <c r="D167" s="626">
        <f t="shared" si="28"/>
        <v>36381.39</v>
      </c>
      <c r="E167" s="613">
        <f t="shared" si="29"/>
        <v>31438.799999999999</v>
      </c>
      <c r="F167" s="626">
        <f t="shared" si="30"/>
        <v>36381.39</v>
      </c>
      <c r="G167" s="621">
        <f t="shared" si="31"/>
        <v>31438.799999999999</v>
      </c>
      <c r="H167" s="621">
        <f t="shared" si="32"/>
        <v>36381.39</v>
      </c>
      <c r="I167" s="568">
        <f t="shared" si="37"/>
        <v>1</v>
      </c>
      <c r="J167" s="568">
        <f t="shared" si="35"/>
        <v>1</v>
      </c>
      <c r="M167" s="627">
        <f t="shared" si="39"/>
        <v>35</v>
      </c>
      <c r="N167" s="613">
        <v>11806.027027027028</v>
      </c>
      <c r="O167" s="613">
        <v>13662.08702702703</v>
      </c>
      <c r="P167" s="613">
        <v>11806.027027027028</v>
      </c>
      <c r="Q167" s="613">
        <v>13662.08702702703</v>
      </c>
      <c r="R167" s="628"/>
      <c r="S167" s="628"/>
    </row>
    <row r="168" spans="1:19" hidden="1">
      <c r="A168" s="668">
        <f t="shared" si="34"/>
        <v>36</v>
      </c>
      <c r="B168" s="625" t="str">
        <f t="shared" si="38"/>
        <v>36B</v>
      </c>
      <c r="C168" s="613">
        <f t="shared" si="27"/>
        <v>32808.54</v>
      </c>
      <c r="D168" s="626">
        <f t="shared" si="28"/>
        <v>38052.69</v>
      </c>
      <c r="E168" s="613">
        <f t="shared" si="29"/>
        <v>32808.54</v>
      </c>
      <c r="F168" s="626">
        <f t="shared" si="30"/>
        <v>38052.69</v>
      </c>
      <c r="G168" s="621">
        <f t="shared" si="31"/>
        <v>32808.54</v>
      </c>
      <c r="H168" s="621">
        <f t="shared" si="32"/>
        <v>38052.69</v>
      </c>
      <c r="I168" s="568">
        <f t="shared" si="37"/>
        <v>1</v>
      </c>
      <c r="J168" s="568">
        <f t="shared" si="35"/>
        <v>1</v>
      </c>
      <c r="M168" s="627">
        <f t="shared" si="39"/>
        <v>36</v>
      </c>
      <c r="N168" s="613">
        <v>12320.396036036038</v>
      </c>
      <c r="O168" s="613">
        <v>14289.700360360363</v>
      </c>
      <c r="P168" s="613">
        <v>12320.396036036038</v>
      </c>
      <c r="Q168" s="613">
        <v>14289.700360360363</v>
      </c>
      <c r="R168" s="628"/>
      <c r="S168" s="628"/>
    </row>
    <row r="169" spans="1:19" hidden="1">
      <c r="A169" s="668">
        <f t="shared" si="34"/>
        <v>37</v>
      </c>
      <c r="B169" s="625" t="str">
        <f t="shared" si="38"/>
        <v>37B</v>
      </c>
      <c r="C169" s="613">
        <f t="shared" si="27"/>
        <v>34611.839999999997</v>
      </c>
      <c r="D169" s="626">
        <f t="shared" si="28"/>
        <v>39855.839999999997</v>
      </c>
      <c r="E169" s="613">
        <f t="shared" si="29"/>
        <v>34611.839999999997</v>
      </c>
      <c r="F169" s="626">
        <f t="shared" si="30"/>
        <v>39855.839999999997</v>
      </c>
      <c r="G169" s="621">
        <f t="shared" si="31"/>
        <v>34611.839999999997</v>
      </c>
      <c r="H169" s="621">
        <f t="shared" si="32"/>
        <v>39855.839999999997</v>
      </c>
      <c r="I169" s="568">
        <f t="shared" si="37"/>
        <v>1</v>
      </c>
      <c r="J169" s="568">
        <f t="shared" si="35"/>
        <v>1</v>
      </c>
      <c r="M169" s="627">
        <f t="shared" si="39"/>
        <v>37</v>
      </c>
      <c r="N169" s="613">
        <v>12997.57927927928</v>
      </c>
      <c r="O169" s="613">
        <v>14966.82792792793</v>
      </c>
      <c r="P169" s="613">
        <v>12997.57927927928</v>
      </c>
      <c r="Q169" s="613">
        <v>14966.82792792793</v>
      </c>
      <c r="R169" s="628"/>
      <c r="S169" s="628"/>
    </row>
    <row r="170" spans="1:19" hidden="1">
      <c r="A170" s="668">
        <f t="shared" si="34"/>
        <v>38</v>
      </c>
      <c r="B170" s="625" t="str">
        <f t="shared" si="38"/>
        <v>38B</v>
      </c>
      <c r="C170" s="613">
        <f t="shared" si="27"/>
        <v>36515.81</v>
      </c>
      <c r="D170" s="626">
        <f t="shared" si="28"/>
        <v>41666.699999999997</v>
      </c>
      <c r="E170" s="613">
        <f t="shared" si="29"/>
        <v>36515.81</v>
      </c>
      <c r="F170" s="626">
        <f t="shared" si="30"/>
        <v>41666.699999999997</v>
      </c>
      <c r="G170" s="621">
        <f t="shared" si="31"/>
        <v>36515.81</v>
      </c>
      <c r="H170" s="621">
        <f t="shared" si="32"/>
        <v>41666.699999999997</v>
      </c>
      <c r="I170" s="568">
        <f t="shared" si="37"/>
        <v>1</v>
      </c>
      <c r="J170" s="568">
        <f t="shared" si="35"/>
        <v>1</v>
      </c>
      <c r="M170" s="627">
        <f t="shared" si="39"/>
        <v>38</v>
      </c>
      <c r="N170" s="613">
        <v>13712.566306306309</v>
      </c>
      <c r="O170" s="613">
        <v>15646.850630630632</v>
      </c>
      <c r="P170" s="613">
        <v>13712.566306306309</v>
      </c>
      <c r="Q170" s="613">
        <v>15646.850630630632</v>
      </c>
      <c r="R170" s="628"/>
      <c r="S170" s="628"/>
    </row>
    <row r="171" spans="1:19" hidden="1">
      <c r="A171" s="668">
        <f t="shared" si="34"/>
        <v>39</v>
      </c>
      <c r="B171" s="625" t="str">
        <f t="shared" si="38"/>
        <v>39B</v>
      </c>
      <c r="C171" s="613">
        <f t="shared" si="27"/>
        <v>38551.629999999997</v>
      </c>
      <c r="D171" s="626">
        <f t="shared" si="28"/>
        <v>43581.05</v>
      </c>
      <c r="E171" s="613">
        <f t="shared" si="29"/>
        <v>38551.629999999997</v>
      </c>
      <c r="F171" s="626">
        <f t="shared" si="30"/>
        <v>43581.05</v>
      </c>
      <c r="G171" s="621">
        <f t="shared" si="31"/>
        <v>38551.629999999997</v>
      </c>
      <c r="H171" s="621">
        <f t="shared" si="32"/>
        <v>43581.05</v>
      </c>
      <c r="I171" s="568">
        <f t="shared" si="37"/>
        <v>1</v>
      </c>
      <c r="J171" s="568">
        <f t="shared" si="35"/>
        <v>1</v>
      </c>
      <c r="M171" s="627">
        <f t="shared" si="39"/>
        <v>39</v>
      </c>
      <c r="N171" s="613">
        <v>14477.067567567568</v>
      </c>
      <c r="O171" s="613">
        <v>16365.734954954958</v>
      </c>
      <c r="P171" s="613">
        <v>14477.067567567568</v>
      </c>
      <c r="Q171" s="613">
        <v>16365.734954954958</v>
      </c>
      <c r="R171" s="628"/>
      <c r="S171" s="628"/>
    </row>
    <row r="172" spans="1:19" hidden="1">
      <c r="A172" s="668">
        <f t="shared" si="34"/>
        <v>40</v>
      </c>
      <c r="B172" s="625" t="str">
        <f t="shared" si="38"/>
        <v>40B</v>
      </c>
      <c r="C172" s="613">
        <f t="shared" si="27"/>
        <v>39919.589999999997</v>
      </c>
      <c r="D172" s="626">
        <f t="shared" si="28"/>
        <v>45571.51</v>
      </c>
      <c r="E172" s="613">
        <f t="shared" si="29"/>
        <v>39919.589999999997</v>
      </c>
      <c r="F172" s="626">
        <f t="shared" si="30"/>
        <v>45571.51</v>
      </c>
      <c r="G172" s="621">
        <f t="shared" si="31"/>
        <v>39919.589999999997</v>
      </c>
      <c r="H172" s="621">
        <f t="shared" si="32"/>
        <v>45571.51</v>
      </c>
      <c r="I172" s="568">
        <f t="shared" si="37"/>
        <v>1</v>
      </c>
      <c r="J172" s="568">
        <f t="shared" si="35"/>
        <v>1</v>
      </c>
      <c r="M172" s="627">
        <f t="shared" si="39"/>
        <v>40</v>
      </c>
      <c r="N172" s="613">
        <v>14990.76846846847</v>
      </c>
      <c r="O172" s="613">
        <v>17113.199459459465</v>
      </c>
      <c r="P172" s="613">
        <v>14990.76846846847</v>
      </c>
      <c r="Q172" s="613">
        <v>17113.199459459465</v>
      </c>
      <c r="R172" s="628"/>
      <c r="S172" s="628"/>
    </row>
    <row r="173" spans="1:19" hidden="1">
      <c r="A173" s="668">
        <f t="shared" si="34"/>
        <v>41</v>
      </c>
      <c r="B173" s="625" t="str">
        <f t="shared" si="38"/>
        <v>41B</v>
      </c>
      <c r="C173" s="613">
        <f t="shared" si="27"/>
        <v>41418.559999999998</v>
      </c>
      <c r="D173" s="626">
        <f t="shared" si="28"/>
        <v>47660.61</v>
      </c>
      <c r="E173" s="613">
        <f t="shared" si="29"/>
        <v>41418.559999999998</v>
      </c>
      <c r="F173" s="626">
        <f t="shared" si="30"/>
        <v>47660.61</v>
      </c>
      <c r="G173" s="621">
        <f t="shared" si="31"/>
        <v>41418.559999999998</v>
      </c>
      <c r="H173" s="621">
        <f t="shared" si="32"/>
        <v>47660.61</v>
      </c>
      <c r="I173" s="568">
        <f t="shared" si="37"/>
        <v>1</v>
      </c>
      <c r="J173" s="568">
        <f t="shared" si="35"/>
        <v>1</v>
      </c>
      <c r="M173" s="627">
        <f t="shared" si="39"/>
        <v>41</v>
      </c>
      <c r="N173" s="613">
        <v>15553.668108108113</v>
      </c>
      <c r="O173" s="613">
        <v>17897.70684684685</v>
      </c>
      <c r="P173" s="613">
        <v>15553.668108108113</v>
      </c>
      <c r="Q173" s="613">
        <v>17897.70684684685</v>
      </c>
      <c r="R173" s="628"/>
      <c r="S173" s="628"/>
    </row>
    <row r="174" spans="1:19" hidden="1">
      <c r="A174" s="668">
        <f t="shared" si="34"/>
        <v>42</v>
      </c>
      <c r="B174" s="625" t="str">
        <f t="shared" si="38"/>
        <v>42B</v>
      </c>
      <c r="C174" s="613">
        <f t="shared" si="27"/>
        <v>43053.54</v>
      </c>
      <c r="D174" s="626">
        <f t="shared" si="28"/>
        <v>49839.9</v>
      </c>
      <c r="E174" s="613">
        <f t="shared" si="29"/>
        <v>43053.54</v>
      </c>
      <c r="F174" s="626">
        <f t="shared" si="30"/>
        <v>49839.9</v>
      </c>
      <c r="G174" s="621">
        <f t="shared" si="31"/>
        <v>43053.54</v>
      </c>
      <c r="H174" s="621">
        <f t="shared" si="32"/>
        <v>49839.9</v>
      </c>
      <c r="I174" s="568">
        <f t="shared" si="37"/>
        <v>1</v>
      </c>
      <c r="J174" s="568">
        <f t="shared" si="35"/>
        <v>1</v>
      </c>
      <c r="M174" s="627">
        <f t="shared" si="39"/>
        <v>42</v>
      </c>
      <c r="N174" s="613">
        <v>16167.640900900906</v>
      </c>
      <c r="O174" s="613">
        <v>18716.083603603605</v>
      </c>
      <c r="P174" s="613">
        <v>16167.640900900906</v>
      </c>
      <c r="Q174" s="613">
        <v>18716.083603603605</v>
      </c>
      <c r="R174" s="628"/>
      <c r="S174" s="628"/>
    </row>
    <row r="175" spans="1:19" hidden="1">
      <c r="A175" s="668">
        <f t="shared" si="34"/>
        <v>43</v>
      </c>
      <c r="B175" s="625" t="str">
        <f t="shared" si="38"/>
        <v>43B</v>
      </c>
      <c r="C175" s="613">
        <f t="shared" si="27"/>
        <v>44822.69</v>
      </c>
      <c r="D175" s="626">
        <f t="shared" si="28"/>
        <v>52112.45</v>
      </c>
      <c r="E175" s="613">
        <f t="shared" si="29"/>
        <v>44822.69</v>
      </c>
      <c r="F175" s="626">
        <f t="shared" si="30"/>
        <v>52112.45</v>
      </c>
      <c r="G175" s="621">
        <f t="shared" si="31"/>
        <v>44822.69</v>
      </c>
      <c r="H175" s="621">
        <f t="shared" si="32"/>
        <v>52112.45</v>
      </c>
      <c r="I175" s="568">
        <f t="shared" si="37"/>
        <v>1</v>
      </c>
      <c r="J175" s="568">
        <f t="shared" si="35"/>
        <v>1</v>
      </c>
      <c r="M175" s="627">
        <f t="shared" si="39"/>
        <v>43</v>
      </c>
      <c r="N175" s="613">
        <v>16832.000180180181</v>
      </c>
      <c r="O175" s="613">
        <v>19569.480360360361</v>
      </c>
      <c r="P175" s="613">
        <v>16832.000180180181</v>
      </c>
      <c r="Q175" s="613">
        <v>19569.480360360361</v>
      </c>
      <c r="R175" s="628"/>
      <c r="S175" s="628"/>
    </row>
    <row r="176" spans="1:19" hidden="1">
      <c r="A176" s="668">
        <f t="shared" si="34"/>
        <v>44</v>
      </c>
      <c r="B176" s="625" t="str">
        <f t="shared" si="38"/>
        <v>44B</v>
      </c>
      <c r="C176" s="613">
        <f t="shared" si="27"/>
        <v>46779.39</v>
      </c>
      <c r="D176" s="626">
        <f t="shared" si="28"/>
        <v>54735.19</v>
      </c>
      <c r="E176" s="613">
        <f t="shared" si="29"/>
        <v>46779.39</v>
      </c>
      <c r="F176" s="626">
        <f t="shared" si="30"/>
        <v>54735.19</v>
      </c>
      <c r="G176" s="621">
        <f t="shared" si="31"/>
        <v>46779.39</v>
      </c>
      <c r="H176" s="621">
        <f t="shared" si="32"/>
        <v>54735.19</v>
      </c>
      <c r="I176" s="568">
        <f t="shared" si="37"/>
        <v>1</v>
      </c>
      <c r="J176" s="568">
        <f t="shared" si="35"/>
        <v>1</v>
      </c>
      <c r="M176" s="627">
        <f t="shared" si="39"/>
        <v>44</v>
      </c>
      <c r="N176" s="613">
        <v>17566.789189189192</v>
      </c>
      <c r="O176" s="613">
        <v>20554.383063063065</v>
      </c>
      <c r="P176" s="613">
        <v>17566.789189189192</v>
      </c>
      <c r="Q176" s="613">
        <v>20554.383063063065</v>
      </c>
      <c r="R176" s="628"/>
      <c r="S176" s="628"/>
    </row>
    <row r="177" spans="1:19" hidden="1">
      <c r="A177" s="668">
        <f t="shared" si="34"/>
        <v>45</v>
      </c>
      <c r="B177" s="625" t="str">
        <f t="shared" si="38"/>
        <v>45B</v>
      </c>
      <c r="C177" s="613">
        <f t="shared" si="27"/>
        <v>48907.68</v>
      </c>
      <c r="D177" s="626">
        <f t="shared" si="28"/>
        <v>57326.3</v>
      </c>
      <c r="E177" s="613">
        <f t="shared" si="29"/>
        <v>48907.68</v>
      </c>
      <c r="F177" s="626">
        <f t="shared" si="30"/>
        <v>57326.3</v>
      </c>
      <c r="G177" s="621">
        <f t="shared" si="31"/>
        <v>48907.68</v>
      </c>
      <c r="H177" s="621">
        <f t="shared" si="32"/>
        <v>57326.3</v>
      </c>
      <c r="I177" s="568">
        <f t="shared" si="37"/>
        <v>1</v>
      </c>
      <c r="J177" s="568">
        <f t="shared" si="35"/>
        <v>1</v>
      </c>
      <c r="M177" s="627">
        <f t="shared" si="39"/>
        <v>45</v>
      </c>
      <c r="N177" s="613">
        <v>18366.013513513517</v>
      </c>
      <c r="O177" s="613">
        <v>21527.408288288287</v>
      </c>
      <c r="P177" s="613">
        <v>18366.013513513517</v>
      </c>
      <c r="Q177" s="613">
        <v>21527.408288288287</v>
      </c>
      <c r="R177" s="628"/>
      <c r="S177" s="628"/>
    </row>
    <row r="178" spans="1:19" hidden="1">
      <c r="A178" s="668">
        <f t="shared" si="34"/>
        <v>46</v>
      </c>
      <c r="B178" s="625" t="str">
        <f t="shared" si="38"/>
        <v>46B</v>
      </c>
      <c r="C178" s="613">
        <f t="shared" si="27"/>
        <v>51259.21</v>
      </c>
      <c r="D178" s="626">
        <f t="shared" si="28"/>
        <v>59541.33</v>
      </c>
      <c r="E178" s="613">
        <f t="shared" si="29"/>
        <v>51259.21</v>
      </c>
      <c r="F178" s="626">
        <f t="shared" si="30"/>
        <v>59541.33</v>
      </c>
      <c r="G178" s="621">
        <f t="shared" si="31"/>
        <v>51259.21</v>
      </c>
      <c r="H178" s="621">
        <f t="shared" si="32"/>
        <v>59541.33</v>
      </c>
      <c r="I178" s="568">
        <f t="shared" si="37"/>
        <v>1</v>
      </c>
      <c r="J178" s="568">
        <f t="shared" si="35"/>
        <v>1</v>
      </c>
      <c r="M178" s="627">
        <f t="shared" si="39"/>
        <v>46</v>
      </c>
      <c r="N178" s="613">
        <v>19249.066846846847</v>
      </c>
      <c r="O178" s="613">
        <v>22359.202882882888</v>
      </c>
      <c r="P178" s="613">
        <v>19249.066846846847</v>
      </c>
      <c r="Q178" s="613">
        <v>22359.202882882888</v>
      </c>
      <c r="R178" s="628"/>
      <c r="S178" s="628"/>
    </row>
    <row r="179" spans="1:19" hidden="1">
      <c r="A179" s="668">
        <f t="shared" si="34"/>
        <v>47</v>
      </c>
      <c r="B179" s="625" t="str">
        <f t="shared" si="38"/>
        <v>47B</v>
      </c>
      <c r="C179" s="613">
        <f t="shared" si="27"/>
        <v>53826.94</v>
      </c>
      <c r="D179" s="626">
        <f t="shared" si="28"/>
        <v>62602.33</v>
      </c>
      <c r="E179" s="613">
        <f t="shared" si="29"/>
        <v>53826.94</v>
      </c>
      <c r="F179" s="626">
        <f t="shared" si="30"/>
        <v>62602.33</v>
      </c>
      <c r="G179" s="621">
        <f t="shared" si="31"/>
        <v>53826.94</v>
      </c>
      <c r="H179" s="621">
        <f t="shared" si="32"/>
        <v>62602.33</v>
      </c>
      <c r="I179" s="568">
        <f t="shared" si="37"/>
        <v>1</v>
      </c>
      <c r="J179" s="568">
        <f t="shared" si="35"/>
        <v>1</v>
      </c>
      <c r="M179" s="627">
        <f t="shared" si="39"/>
        <v>47</v>
      </c>
      <c r="N179" s="613">
        <v>20213.313873873874</v>
      </c>
      <c r="O179" s="613">
        <v>23508.682882882884</v>
      </c>
      <c r="P179" s="613">
        <v>20213.313873873874</v>
      </c>
      <c r="Q179" s="613">
        <v>23508.682882882884</v>
      </c>
      <c r="R179" s="628"/>
      <c r="S179" s="628"/>
    </row>
    <row r="180" spans="1:19" hidden="1">
      <c r="A180" s="668">
        <f t="shared" si="34"/>
        <v>48</v>
      </c>
      <c r="B180" s="625" t="str">
        <f t="shared" si="38"/>
        <v>48B</v>
      </c>
      <c r="C180" s="613">
        <f t="shared" si="27"/>
        <v>56642.13</v>
      </c>
      <c r="D180" s="626">
        <f t="shared" si="28"/>
        <v>65164.33</v>
      </c>
      <c r="E180" s="613">
        <f t="shared" si="29"/>
        <v>56642.13</v>
      </c>
      <c r="F180" s="626">
        <f t="shared" si="30"/>
        <v>65164.33</v>
      </c>
      <c r="G180" s="621">
        <f t="shared" si="31"/>
        <v>56642.13</v>
      </c>
      <c r="H180" s="621">
        <f t="shared" si="32"/>
        <v>65164.33</v>
      </c>
      <c r="I180" s="568">
        <f t="shared" si="37"/>
        <v>1</v>
      </c>
      <c r="J180" s="568">
        <f t="shared" si="35"/>
        <v>1</v>
      </c>
      <c r="M180" s="627">
        <f t="shared" si="39"/>
        <v>48</v>
      </c>
      <c r="N180" s="613">
        <v>21270.483603603607</v>
      </c>
      <c r="O180" s="613">
        <v>24470.777117117119</v>
      </c>
      <c r="P180" s="613">
        <v>21270.483603603607</v>
      </c>
      <c r="Q180" s="613">
        <v>24470.777117117119</v>
      </c>
      <c r="R180" s="628"/>
      <c r="S180" s="628"/>
    </row>
    <row r="181" spans="1:19" hidden="1">
      <c r="A181" s="668">
        <f t="shared" si="34"/>
        <v>49</v>
      </c>
      <c r="B181" s="625" t="str">
        <f t="shared" si="38"/>
        <v>49B</v>
      </c>
      <c r="C181" s="613">
        <f t="shared" si="27"/>
        <v>59723.59</v>
      </c>
      <c r="D181" s="626">
        <f t="shared" si="28"/>
        <v>67930.44</v>
      </c>
      <c r="E181" s="613">
        <f t="shared" si="29"/>
        <v>59723.59</v>
      </c>
      <c r="F181" s="626">
        <f t="shared" si="30"/>
        <v>67930.44</v>
      </c>
      <c r="G181" s="621">
        <f t="shared" si="31"/>
        <v>59723.59</v>
      </c>
      <c r="H181" s="621">
        <f t="shared" si="32"/>
        <v>67930.44</v>
      </c>
      <c r="I181" s="568">
        <f t="shared" si="37"/>
        <v>1</v>
      </c>
      <c r="J181" s="568">
        <f t="shared" si="35"/>
        <v>1</v>
      </c>
      <c r="M181" s="627">
        <f t="shared" si="39"/>
        <v>49</v>
      </c>
      <c r="N181" s="613">
        <v>22427.646846846848</v>
      </c>
      <c r="O181" s="613">
        <v>25509.518198198202</v>
      </c>
      <c r="P181" s="613">
        <v>22427.646846846848</v>
      </c>
      <c r="Q181" s="613">
        <v>25509.518198198202</v>
      </c>
      <c r="R181" s="628"/>
      <c r="S181" s="628"/>
    </row>
    <row r="182" spans="1:19" hidden="1">
      <c r="A182" s="668">
        <f t="shared" si="34"/>
        <v>50</v>
      </c>
      <c r="B182" s="625" t="str">
        <f t="shared" si="38"/>
        <v>50B</v>
      </c>
      <c r="C182" s="613">
        <f t="shared" si="27"/>
        <v>63082.5</v>
      </c>
      <c r="D182" s="626">
        <f t="shared" si="28"/>
        <v>70855.740000000005</v>
      </c>
      <c r="E182" s="613">
        <f t="shared" si="29"/>
        <v>63082.5</v>
      </c>
      <c r="F182" s="626">
        <f t="shared" si="30"/>
        <v>70855.740000000005</v>
      </c>
      <c r="G182" s="621">
        <f t="shared" si="31"/>
        <v>63082.5</v>
      </c>
      <c r="H182" s="621">
        <f t="shared" si="32"/>
        <v>70855.740000000005</v>
      </c>
      <c r="I182" s="568">
        <f t="shared" si="37"/>
        <v>1</v>
      </c>
      <c r="J182" s="568">
        <f t="shared" si="35"/>
        <v>1</v>
      </c>
      <c r="M182" s="627">
        <f t="shared" si="39"/>
        <v>50</v>
      </c>
      <c r="N182" s="613">
        <v>23688.99783783784</v>
      </c>
      <c r="O182" s="613">
        <v>26608.036396396401</v>
      </c>
      <c r="P182" s="613">
        <v>23688.99783783784</v>
      </c>
      <c r="Q182" s="613">
        <v>26608.036396396401</v>
      </c>
      <c r="R182" s="628"/>
      <c r="S182" s="628"/>
    </row>
    <row r="183" spans="1:19" hidden="1">
      <c r="A183" s="668">
        <f t="shared" si="34"/>
        <v>51</v>
      </c>
      <c r="B183" s="625" t="str">
        <f t="shared" si="38"/>
        <v>51B</v>
      </c>
      <c r="C183" s="613">
        <f t="shared" si="27"/>
        <v>66698.39</v>
      </c>
      <c r="D183" s="626">
        <f t="shared" si="28"/>
        <v>74010.289999999994</v>
      </c>
      <c r="E183" s="613">
        <f t="shared" si="29"/>
        <v>66698.39</v>
      </c>
      <c r="F183" s="626">
        <f t="shared" si="30"/>
        <v>74010.289999999994</v>
      </c>
      <c r="G183" s="621">
        <f t="shared" si="31"/>
        <v>66698.39</v>
      </c>
      <c r="H183" s="621">
        <f t="shared" si="32"/>
        <v>74010.289999999994</v>
      </c>
      <c r="I183" s="568">
        <f t="shared" si="37"/>
        <v>1</v>
      </c>
      <c r="J183" s="568">
        <f t="shared" si="35"/>
        <v>1</v>
      </c>
      <c r="M183" s="627">
        <f t="shared" si="39"/>
        <v>51</v>
      </c>
      <c r="N183" s="613">
        <v>25046.85333333334</v>
      </c>
      <c r="O183" s="613">
        <v>27792.647747747749</v>
      </c>
      <c r="P183" s="613">
        <v>25046.85333333334</v>
      </c>
      <c r="Q183" s="613">
        <v>27792.647747747749</v>
      </c>
      <c r="R183" s="628"/>
      <c r="S183" s="628"/>
    </row>
    <row r="184" spans="1:19" hidden="1">
      <c r="A184" s="668">
        <f t="shared" si="34"/>
        <v>52</v>
      </c>
      <c r="B184" s="625" t="str">
        <f t="shared" si="38"/>
        <v>52B</v>
      </c>
      <c r="C184" s="613">
        <f t="shared" si="27"/>
        <v>70641.89</v>
      </c>
      <c r="D184" s="626">
        <f t="shared" si="28"/>
        <v>77389.31</v>
      </c>
      <c r="E184" s="613">
        <f t="shared" si="29"/>
        <v>70641.89</v>
      </c>
      <c r="F184" s="626">
        <f t="shared" si="30"/>
        <v>77389.31</v>
      </c>
      <c r="G184" s="621">
        <f t="shared" si="31"/>
        <v>70641.89</v>
      </c>
      <c r="H184" s="621">
        <f t="shared" si="32"/>
        <v>77389.31</v>
      </c>
      <c r="I184" s="568">
        <f t="shared" si="37"/>
        <v>1</v>
      </c>
      <c r="J184" s="568">
        <f t="shared" si="35"/>
        <v>1</v>
      </c>
      <c r="M184" s="627">
        <f t="shared" si="39"/>
        <v>52</v>
      </c>
      <c r="N184" s="613">
        <v>26527.733513513518</v>
      </c>
      <c r="O184" s="613">
        <v>29061.552072072074</v>
      </c>
      <c r="P184" s="613">
        <v>26527.733513513518</v>
      </c>
      <c r="Q184" s="613">
        <v>29061.552072072074</v>
      </c>
      <c r="R184" s="628"/>
      <c r="S184" s="628"/>
    </row>
    <row r="185" spans="1:19" hidden="1">
      <c r="A185" s="668">
        <f t="shared" si="34"/>
        <v>53</v>
      </c>
      <c r="B185" s="625" t="str">
        <f t="shared" si="38"/>
        <v>53B</v>
      </c>
      <c r="C185" s="613">
        <f t="shared" si="27"/>
        <v>74952.149999999994</v>
      </c>
      <c r="D185" s="626">
        <f t="shared" si="28"/>
        <v>81013.91</v>
      </c>
      <c r="E185" s="613">
        <f t="shared" si="29"/>
        <v>74952.149999999994</v>
      </c>
      <c r="F185" s="626">
        <f t="shared" si="30"/>
        <v>81013.91</v>
      </c>
      <c r="G185" s="621">
        <f t="shared" si="31"/>
        <v>74952.149999999994</v>
      </c>
      <c r="H185" s="621">
        <f t="shared" si="32"/>
        <v>81013.91</v>
      </c>
      <c r="I185" s="568">
        <f t="shared" si="37"/>
        <v>1</v>
      </c>
      <c r="J185" s="568">
        <f t="shared" si="35"/>
        <v>1</v>
      </c>
      <c r="M185" s="627">
        <f t="shared" si="39"/>
        <v>53</v>
      </c>
      <c r="N185" s="613">
        <v>28146.336756756758</v>
      </c>
      <c r="O185" s="613">
        <v>30422.673873873875</v>
      </c>
      <c r="P185" s="613">
        <v>28146.336756756758</v>
      </c>
      <c r="Q185" s="613">
        <v>30422.673873873875</v>
      </c>
      <c r="R185" s="628"/>
      <c r="S185" s="628"/>
    </row>
    <row r="186" spans="1:19" hidden="1">
      <c r="A186" s="668">
        <f t="shared" si="34"/>
        <v>54</v>
      </c>
      <c r="B186" s="625" t="str">
        <f t="shared" si="38"/>
        <v>54B</v>
      </c>
      <c r="C186" s="613">
        <f t="shared" si="27"/>
        <v>79617.53</v>
      </c>
      <c r="D186" s="626">
        <f t="shared" si="28"/>
        <v>84868.25</v>
      </c>
      <c r="E186" s="613">
        <f t="shared" si="29"/>
        <v>79617.53</v>
      </c>
      <c r="F186" s="626">
        <f t="shared" si="30"/>
        <v>84868.25</v>
      </c>
      <c r="G186" s="621">
        <f t="shared" si="31"/>
        <v>79617.53</v>
      </c>
      <c r="H186" s="621">
        <f t="shared" si="32"/>
        <v>84868.25</v>
      </c>
      <c r="I186" s="568">
        <f t="shared" si="37"/>
        <v>1</v>
      </c>
      <c r="J186" s="568">
        <f t="shared" si="35"/>
        <v>1</v>
      </c>
      <c r="M186" s="627">
        <f t="shared" si="39"/>
        <v>54</v>
      </c>
      <c r="N186" s="613">
        <v>29898.301801801805</v>
      </c>
      <c r="O186" s="613">
        <v>31870.074414414416</v>
      </c>
      <c r="P186" s="613">
        <v>29898.301801801805</v>
      </c>
      <c r="Q186" s="613">
        <v>31870.074414414416</v>
      </c>
      <c r="R186" s="628"/>
      <c r="S186" s="628"/>
    </row>
    <row r="187" spans="1:19" hidden="1">
      <c r="A187" s="668">
        <f t="shared" si="34"/>
        <v>55</v>
      </c>
      <c r="B187" s="625" t="str">
        <f t="shared" si="38"/>
        <v>55B</v>
      </c>
      <c r="C187" s="613">
        <f t="shared" si="27"/>
        <v>84589.23</v>
      </c>
      <c r="D187" s="626">
        <f t="shared" si="28"/>
        <v>88883.96</v>
      </c>
      <c r="E187" s="613">
        <f t="shared" si="29"/>
        <v>84589.23</v>
      </c>
      <c r="F187" s="626">
        <f t="shared" si="30"/>
        <v>88883.96</v>
      </c>
      <c r="G187" s="621">
        <f t="shared" si="31"/>
        <v>84589.23</v>
      </c>
      <c r="H187" s="621">
        <f t="shared" si="32"/>
        <v>88883.96</v>
      </c>
      <c r="I187" s="568">
        <f t="shared" si="37"/>
        <v>1</v>
      </c>
      <c r="J187" s="568">
        <f t="shared" si="35"/>
        <v>1</v>
      </c>
      <c r="M187" s="627">
        <f t="shared" si="39"/>
        <v>55</v>
      </c>
      <c r="N187" s="613">
        <v>31765.292792792796</v>
      </c>
      <c r="O187" s="613">
        <v>33378.068648648659</v>
      </c>
      <c r="P187" s="613">
        <v>31765.292792792796</v>
      </c>
      <c r="Q187" s="613">
        <v>33378.068648648659</v>
      </c>
      <c r="R187" s="628"/>
      <c r="S187" s="628"/>
    </row>
    <row r="188" spans="1:19" hidden="1">
      <c r="A188" s="668">
        <f t="shared" si="34"/>
        <v>56</v>
      </c>
      <c r="B188" s="625" t="str">
        <f t="shared" si="38"/>
        <v>56B</v>
      </c>
      <c r="C188" s="613">
        <f t="shared" si="27"/>
        <v>90008.52</v>
      </c>
      <c r="D188" s="626">
        <f t="shared" si="28"/>
        <v>94302.22</v>
      </c>
      <c r="E188" s="613">
        <f t="shared" si="29"/>
        <v>90008.52</v>
      </c>
      <c r="F188" s="626">
        <f t="shared" si="30"/>
        <v>94302.22</v>
      </c>
      <c r="G188" s="621">
        <f t="shared" si="31"/>
        <v>90008.52</v>
      </c>
      <c r="H188" s="621">
        <f t="shared" si="32"/>
        <v>94302.22</v>
      </c>
      <c r="I188" s="568">
        <f t="shared" si="37"/>
        <v>1</v>
      </c>
      <c r="J188" s="568">
        <f t="shared" si="35"/>
        <v>1</v>
      </c>
      <c r="M188" s="627">
        <f t="shared" si="39"/>
        <v>56</v>
      </c>
      <c r="N188" s="613">
        <v>33800.368648648655</v>
      </c>
      <c r="O188" s="613">
        <v>35412.754774774781</v>
      </c>
      <c r="P188" s="613">
        <v>33800.368648648655</v>
      </c>
      <c r="Q188" s="613">
        <v>35412.754774774781</v>
      </c>
      <c r="R188" s="628"/>
      <c r="S188" s="628"/>
    </row>
    <row r="189" spans="1:19" hidden="1">
      <c r="A189" s="668">
        <f t="shared" si="34"/>
        <v>57</v>
      </c>
      <c r="B189" s="625" t="str">
        <f t="shared" si="38"/>
        <v>57B</v>
      </c>
      <c r="C189" s="613">
        <f t="shared" si="27"/>
        <v>95822.98</v>
      </c>
      <c r="D189" s="626">
        <f t="shared" si="28"/>
        <v>97977.86</v>
      </c>
      <c r="E189" s="613">
        <f t="shared" si="29"/>
        <v>95822.98</v>
      </c>
      <c r="F189" s="626">
        <f t="shared" si="30"/>
        <v>97977.86</v>
      </c>
      <c r="G189" s="621">
        <f t="shared" si="31"/>
        <v>95822.98</v>
      </c>
      <c r="H189" s="621">
        <f t="shared" si="32"/>
        <v>97977.86</v>
      </c>
      <c r="I189" s="568">
        <f t="shared" si="37"/>
        <v>1</v>
      </c>
      <c r="J189" s="568">
        <f t="shared" si="35"/>
        <v>1</v>
      </c>
      <c r="M189" s="627">
        <f t="shared" si="39"/>
        <v>57</v>
      </c>
      <c r="N189" s="613">
        <v>35983.838738738741</v>
      </c>
      <c r="O189" s="613">
        <v>36793.04756756757</v>
      </c>
      <c r="P189" s="613">
        <v>35983.838738738741</v>
      </c>
      <c r="Q189" s="613">
        <v>36793.04756756757</v>
      </c>
      <c r="R189" s="628"/>
      <c r="S189" s="628"/>
    </row>
    <row r="190" spans="1:19" hidden="1">
      <c r="A190" s="668">
        <f t="shared" si="34"/>
        <v>58</v>
      </c>
      <c r="B190" s="625" t="str">
        <f t="shared" si="38"/>
        <v>58B</v>
      </c>
      <c r="C190" s="613">
        <f t="shared" si="27"/>
        <v>99992.73</v>
      </c>
      <c r="D190" s="626">
        <f t="shared" si="28"/>
        <v>101942.56</v>
      </c>
      <c r="E190" s="613">
        <f t="shared" si="29"/>
        <v>99992.73</v>
      </c>
      <c r="F190" s="626">
        <f t="shared" si="30"/>
        <v>101942.56</v>
      </c>
      <c r="G190" s="621">
        <f t="shared" si="31"/>
        <v>99992.73</v>
      </c>
      <c r="H190" s="621">
        <f t="shared" si="32"/>
        <v>101942.56</v>
      </c>
      <c r="I190" s="568">
        <f t="shared" si="37"/>
        <v>1</v>
      </c>
      <c r="J190" s="568">
        <f t="shared" si="35"/>
        <v>1</v>
      </c>
      <c r="M190" s="627">
        <f t="shared" si="39"/>
        <v>58</v>
      </c>
      <c r="N190" s="613">
        <v>37549.680000000008</v>
      </c>
      <c r="O190" s="613">
        <v>38281.889369369375</v>
      </c>
      <c r="P190" s="613">
        <v>37549.680000000008</v>
      </c>
      <c r="Q190" s="613">
        <v>38281.889369369375</v>
      </c>
      <c r="R190" s="628"/>
      <c r="S190" s="628"/>
    </row>
    <row r="191" spans="1:19" hidden="1">
      <c r="A191" s="668">
        <f t="shared" si="34"/>
        <v>59</v>
      </c>
      <c r="B191" s="625" t="str">
        <f t="shared" si="38"/>
        <v>59B</v>
      </c>
      <c r="C191" s="613">
        <f t="shared" si="27"/>
        <v>106549.09</v>
      </c>
      <c r="D191" s="626">
        <f t="shared" si="28"/>
        <v>103702.23</v>
      </c>
      <c r="E191" s="613">
        <f t="shared" si="29"/>
        <v>106549.09</v>
      </c>
      <c r="F191" s="626">
        <f t="shared" si="30"/>
        <v>103702.23</v>
      </c>
      <c r="G191" s="621">
        <f t="shared" si="31"/>
        <v>106549.09</v>
      </c>
      <c r="H191" s="621">
        <f t="shared" si="32"/>
        <v>103702.23</v>
      </c>
      <c r="I191" s="568">
        <f t="shared" si="37"/>
        <v>1</v>
      </c>
      <c r="J191" s="568">
        <f t="shared" si="35"/>
        <v>1</v>
      </c>
      <c r="M191" s="627">
        <f t="shared" si="39"/>
        <v>59</v>
      </c>
      <c r="N191" s="613">
        <v>40011.751171171178</v>
      </c>
      <c r="O191" s="613">
        <v>38942.685405405406</v>
      </c>
      <c r="P191" s="613">
        <v>40011.751171171178</v>
      </c>
      <c r="Q191" s="613">
        <v>38942.685405405406</v>
      </c>
      <c r="R191" s="628"/>
      <c r="S191" s="628"/>
    </row>
    <row r="192" spans="1:19" hidden="1">
      <c r="A192" s="668">
        <f t="shared" si="34"/>
        <v>60</v>
      </c>
      <c r="B192" s="625" t="str">
        <f t="shared" si="38"/>
        <v>60B</v>
      </c>
      <c r="C192" s="613">
        <f t="shared" si="27"/>
        <v>135794.93</v>
      </c>
      <c r="D192" s="626">
        <f t="shared" si="28"/>
        <v>134822.91</v>
      </c>
      <c r="E192" s="613">
        <f t="shared" si="29"/>
        <v>170941.85</v>
      </c>
      <c r="F192" s="626">
        <f t="shared" si="30"/>
        <v>169718.26</v>
      </c>
      <c r="G192" s="621">
        <f t="shared" si="31"/>
        <v>170941.85</v>
      </c>
      <c r="H192" s="621">
        <f t="shared" si="32"/>
        <v>169718.26</v>
      </c>
      <c r="I192" s="568">
        <f t="shared" si="37"/>
        <v>0</v>
      </c>
      <c r="J192" s="568">
        <f t="shared" si="35"/>
        <v>0</v>
      </c>
      <c r="M192" s="627">
        <f t="shared" si="39"/>
        <v>60</v>
      </c>
      <c r="N192" s="613">
        <v>42437.212897196274</v>
      </c>
      <c r="O192" s="613">
        <v>42133.449532710285</v>
      </c>
      <c r="P192" s="613">
        <v>53420.962117647076</v>
      </c>
      <c r="Q192" s="613">
        <v>53038.577647058832</v>
      </c>
      <c r="R192" s="628"/>
      <c r="S192" s="628"/>
    </row>
    <row r="193" spans="1:19" hidden="1">
      <c r="A193" s="668">
        <f t="shared" si="34"/>
        <v>61</v>
      </c>
      <c r="B193" s="625" t="str">
        <f t="shared" si="38"/>
        <v>61B</v>
      </c>
      <c r="C193" s="613">
        <f t="shared" si="27"/>
        <v>143301.01</v>
      </c>
      <c r="D193" s="626">
        <f t="shared" si="28"/>
        <v>140740.07</v>
      </c>
      <c r="E193" s="613">
        <f t="shared" si="29"/>
        <v>180390.69</v>
      </c>
      <c r="F193" s="626">
        <f t="shared" si="30"/>
        <v>177166.91</v>
      </c>
      <c r="G193" s="621">
        <f t="shared" si="31"/>
        <v>180390.69</v>
      </c>
      <c r="H193" s="621">
        <f t="shared" si="32"/>
        <v>177166.91</v>
      </c>
      <c r="I193" s="568">
        <f t="shared" si="37"/>
        <v>0</v>
      </c>
      <c r="J193" s="568">
        <f t="shared" si="35"/>
        <v>0</v>
      </c>
      <c r="M193" s="627">
        <f t="shared" si="39"/>
        <v>61</v>
      </c>
      <c r="N193" s="613">
        <v>44782.936822429918</v>
      </c>
      <c r="O193" s="613">
        <v>43982.617196261686</v>
      </c>
      <c r="P193" s="613">
        <v>56373.814588235306</v>
      </c>
      <c r="Q193" s="613">
        <v>55366.353411764714</v>
      </c>
      <c r="R193" s="628"/>
      <c r="S193" s="628"/>
    </row>
    <row r="194" spans="1:19" hidden="1">
      <c r="A194" s="668">
        <f t="shared" si="34"/>
        <v>62</v>
      </c>
      <c r="B194" s="625" t="str">
        <f t="shared" si="38"/>
        <v>62B</v>
      </c>
      <c r="C194" s="613">
        <f t="shared" si="27"/>
        <v>150943.99</v>
      </c>
      <c r="D194" s="626">
        <f t="shared" si="28"/>
        <v>146828.73000000001</v>
      </c>
      <c r="E194" s="613">
        <f t="shared" si="29"/>
        <v>190011.84</v>
      </c>
      <c r="F194" s="626">
        <f t="shared" si="30"/>
        <v>184831.47</v>
      </c>
      <c r="G194" s="621">
        <f t="shared" si="31"/>
        <v>190011.84</v>
      </c>
      <c r="H194" s="621">
        <f t="shared" si="32"/>
        <v>184831.47</v>
      </c>
      <c r="I194" s="568">
        <f t="shared" si="37"/>
        <v>0</v>
      </c>
      <c r="J194" s="568">
        <f t="shared" si="35"/>
        <v>0</v>
      </c>
      <c r="M194" s="627">
        <f t="shared" si="39"/>
        <v>62</v>
      </c>
      <c r="N194" s="613">
        <v>47171.439439252339</v>
      </c>
      <c r="O194" s="613">
        <v>45885.383364485984</v>
      </c>
      <c r="P194" s="613">
        <v>59380.51788235295</v>
      </c>
      <c r="Q194" s="613">
        <v>57761.600235294121</v>
      </c>
      <c r="R194" s="628"/>
      <c r="S194" s="628"/>
    </row>
    <row r="195" spans="1:19" hidden="1">
      <c r="A195" s="668">
        <f t="shared" si="34"/>
        <v>63</v>
      </c>
      <c r="B195" s="625" t="str">
        <f t="shared" si="38"/>
        <v>63B</v>
      </c>
      <c r="C195" s="613">
        <f t="shared" si="27"/>
        <v>159339.04</v>
      </c>
      <c r="D195" s="626">
        <f t="shared" si="28"/>
        <v>153232.20000000001</v>
      </c>
      <c r="E195" s="613">
        <f t="shared" si="29"/>
        <v>200579.74</v>
      </c>
      <c r="F195" s="626">
        <f t="shared" si="30"/>
        <v>192892.3</v>
      </c>
      <c r="G195" s="621">
        <f t="shared" si="31"/>
        <v>200579.74</v>
      </c>
      <c r="H195" s="621">
        <f t="shared" si="32"/>
        <v>192892.3</v>
      </c>
      <c r="I195" s="568">
        <f t="shared" si="37"/>
        <v>0</v>
      </c>
      <c r="J195" s="568">
        <f t="shared" si="35"/>
        <v>0</v>
      </c>
      <c r="M195" s="627">
        <f t="shared" si="39"/>
        <v>63</v>
      </c>
      <c r="N195" s="613">
        <v>49794.974579439266</v>
      </c>
      <c r="O195" s="613">
        <v>47886.528971962623</v>
      </c>
      <c r="P195" s="613">
        <v>62683.085647058841</v>
      </c>
      <c r="Q195" s="613">
        <v>60280.68941176471</v>
      </c>
      <c r="R195" s="628"/>
      <c r="S195" s="628"/>
    </row>
    <row r="196" spans="1:19" hidden="1">
      <c r="A196" s="668">
        <f t="shared" si="34"/>
        <v>64</v>
      </c>
      <c r="B196" s="625" t="str">
        <f t="shared" ref="B196:B227" si="40">+CONCATENATE(A196,$H$36)</f>
        <v>64B</v>
      </c>
      <c r="C196" s="613">
        <f t="shared" si="27"/>
        <v>167802.48</v>
      </c>
      <c r="D196" s="626">
        <f t="shared" si="28"/>
        <v>160038.82</v>
      </c>
      <c r="E196" s="613">
        <f t="shared" si="29"/>
        <v>211233.71</v>
      </c>
      <c r="F196" s="626">
        <f t="shared" si="30"/>
        <v>201460.63</v>
      </c>
      <c r="G196" s="621">
        <f t="shared" si="31"/>
        <v>211233.71</v>
      </c>
      <c r="H196" s="621">
        <f t="shared" si="32"/>
        <v>201460.63</v>
      </c>
      <c r="I196" s="568">
        <f t="shared" si="37"/>
        <v>0</v>
      </c>
      <c r="J196" s="568">
        <f t="shared" si="35"/>
        <v>0</v>
      </c>
      <c r="M196" s="627">
        <f t="shared" si="39"/>
        <v>64</v>
      </c>
      <c r="N196" s="613">
        <v>52439.879813084117</v>
      </c>
      <c r="O196" s="613">
        <v>50013.661869158888</v>
      </c>
      <c r="P196" s="613">
        <v>66012.554588235304</v>
      </c>
      <c r="Q196" s="613">
        <v>62958.374352941195</v>
      </c>
      <c r="R196" s="628"/>
      <c r="S196" s="628"/>
    </row>
    <row r="197" spans="1:19" hidden="1">
      <c r="A197" s="668">
        <f t="shared" si="34"/>
        <v>65</v>
      </c>
      <c r="B197" s="625" t="str">
        <f t="shared" si="40"/>
        <v>65B</v>
      </c>
      <c r="C197" s="613">
        <f t="shared" ref="C197:C232" si="41">+VLOOKUP($B197,$B$237:$F$445,2,FALSE)</f>
        <v>176760.98</v>
      </c>
      <c r="D197" s="626">
        <f t="shared" ref="D197:D232" si="42">+VLOOKUP($B197,$B$237:$F$445,3,FALSE)</f>
        <v>167068.26999999999</v>
      </c>
      <c r="E197" s="613">
        <f t="shared" ref="E197:E232" si="43">+VLOOKUP($B197,$B$237:$F$445,4,FALSE)</f>
        <v>222510.88</v>
      </c>
      <c r="F197" s="626">
        <f t="shared" ref="F197:F232" si="44">+VLOOKUP($B197,$B$237:$F$445,5,FALSE)</f>
        <v>210309.46</v>
      </c>
      <c r="G197" s="621">
        <f t="shared" ref="G197:G217" si="45">+B104</f>
        <v>222510.88</v>
      </c>
      <c r="H197" s="621">
        <f t="shared" ref="H197:H217" si="46">+C104</f>
        <v>210309.46</v>
      </c>
      <c r="I197" s="568">
        <f t="shared" ref="I197:I217" si="47">IF(ROUND(C197,2)=G197,1,0)</f>
        <v>0</v>
      </c>
      <c r="J197" s="568">
        <f t="shared" ref="J197:J217" si="48">IF(ROUND(D197,2)=H197,1,0)</f>
        <v>0</v>
      </c>
      <c r="M197" s="627">
        <f t="shared" si="39"/>
        <v>65</v>
      </c>
      <c r="N197" s="613">
        <v>55239.496822429923</v>
      </c>
      <c r="O197" s="613">
        <v>52210.430467289727</v>
      </c>
      <c r="P197" s="613">
        <v>69536.778352941197</v>
      </c>
      <c r="Q197" s="613">
        <v>65723.718352941185</v>
      </c>
      <c r="R197" s="628"/>
      <c r="S197" s="628"/>
    </row>
    <row r="198" spans="1:19" hidden="1">
      <c r="A198" s="668">
        <f t="shared" si="34"/>
        <v>66</v>
      </c>
      <c r="B198" s="625" t="str">
        <f t="shared" si="40"/>
        <v>66B</v>
      </c>
      <c r="C198" s="613">
        <f t="shared" si="41"/>
        <v>186138.34</v>
      </c>
      <c r="D198" s="626">
        <f t="shared" si="42"/>
        <v>174499.44</v>
      </c>
      <c r="E198" s="613">
        <f t="shared" si="43"/>
        <v>234315.32</v>
      </c>
      <c r="F198" s="626">
        <f t="shared" si="44"/>
        <v>219664</v>
      </c>
      <c r="G198" s="621">
        <f t="shared" si="45"/>
        <v>234315.32</v>
      </c>
      <c r="H198" s="621">
        <f t="shared" si="46"/>
        <v>219664</v>
      </c>
      <c r="I198" s="568">
        <f t="shared" si="47"/>
        <v>0</v>
      </c>
      <c r="J198" s="568">
        <f t="shared" si="48"/>
        <v>0</v>
      </c>
      <c r="M198" s="627">
        <f t="shared" ref="M198:M232" si="49">+M197+1</f>
        <v>66</v>
      </c>
      <c r="N198" s="613">
        <v>58170.010467289729</v>
      </c>
      <c r="O198" s="613">
        <v>54532.743551401873</v>
      </c>
      <c r="P198" s="613">
        <v>73225.777882352952</v>
      </c>
      <c r="Q198" s="613">
        <v>68647.10070588236</v>
      </c>
      <c r="R198" s="628"/>
      <c r="S198" s="628"/>
    </row>
    <row r="199" spans="1:19" hidden="1">
      <c r="A199" s="668">
        <f t="shared" ref="A199:A232" si="50">+A198+1</f>
        <v>67</v>
      </c>
      <c r="B199" s="625" t="str">
        <f t="shared" si="40"/>
        <v>67B</v>
      </c>
      <c r="C199" s="613">
        <f t="shared" si="41"/>
        <v>195814.36</v>
      </c>
      <c r="D199" s="626">
        <f t="shared" si="42"/>
        <v>182034.42</v>
      </c>
      <c r="E199" s="613">
        <f t="shared" si="43"/>
        <v>246495.72</v>
      </c>
      <c r="F199" s="626">
        <f t="shared" si="44"/>
        <v>229149.21</v>
      </c>
      <c r="G199" s="621">
        <f t="shared" si="45"/>
        <v>246495.72</v>
      </c>
      <c r="H199" s="621">
        <f t="shared" si="46"/>
        <v>229149.21</v>
      </c>
      <c r="I199" s="568">
        <f t="shared" si="47"/>
        <v>0</v>
      </c>
      <c r="J199" s="568">
        <f t="shared" si="48"/>
        <v>0</v>
      </c>
      <c r="M199" s="627">
        <f t="shared" si="49"/>
        <v>67</v>
      </c>
      <c r="N199" s="613">
        <v>61193.859439252352</v>
      </c>
      <c r="O199" s="613">
        <v>56887.496822429923</v>
      </c>
      <c r="P199" s="613">
        <v>77032.270117647073</v>
      </c>
      <c r="Q199" s="613">
        <v>71611.319529411776</v>
      </c>
      <c r="R199" s="628"/>
      <c r="S199" s="628"/>
    </row>
    <row r="200" spans="1:19" hidden="1">
      <c r="A200" s="668">
        <f t="shared" si="50"/>
        <v>68</v>
      </c>
      <c r="B200" s="625" t="str">
        <f t="shared" si="40"/>
        <v>68B</v>
      </c>
      <c r="C200" s="613">
        <f t="shared" si="41"/>
        <v>206036.7</v>
      </c>
      <c r="D200" s="626">
        <f t="shared" si="42"/>
        <v>190005.32</v>
      </c>
      <c r="E200" s="613">
        <f t="shared" si="43"/>
        <v>259363.84</v>
      </c>
      <c r="F200" s="626">
        <f t="shared" si="44"/>
        <v>239183.17</v>
      </c>
      <c r="G200" s="621">
        <f t="shared" si="45"/>
        <v>259363.84</v>
      </c>
      <c r="H200" s="621">
        <f t="shared" si="46"/>
        <v>239183.17</v>
      </c>
      <c r="I200" s="568">
        <f t="shared" si="47"/>
        <v>0</v>
      </c>
      <c r="J200" s="568">
        <f t="shared" si="48"/>
        <v>0</v>
      </c>
      <c r="M200" s="627">
        <f t="shared" si="49"/>
        <v>68</v>
      </c>
      <c r="N200" s="613">
        <v>64388.438130841139</v>
      </c>
      <c r="O200" s="613">
        <v>59378.479626168242</v>
      </c>
      <c r="P200" s="613">
        <v>81053.680941176484</v>
      </c>
      <c r="Q200" s="613">
        <v>74747.027294117666</v>
      </c>
      <c r="R200" s="628"/>
      <c r="S200" s="628"/>
    </row>
    <row r="201" spans="1:19" hidden="1">
      <c r="A201" s="668">
        <f t="shared" si="50"/>
        <v>69</v>
      </c>
      <c r="B201" s="625" t="str">
        <f t="shared" si="40"/>
        <v>69B</v>
      </c>
      <c r="C201" s="613">
        <f t="shared" si="41"/>
        <v>216221.4</v>
      </c>
      <c r="D201" s="626">
        <f t="shared" si="42"/>
        <v>198435.31</v>
      </c>
      <c r="E201" s="613">
        <f t="shared" si="43"/>
        <v>272184.58</v>
      </c>
      <c r="F201" s="626">
        <f t="shared" si="44"/>
        <v>249795.03</v>
      </c>
      <c r="G201" s="621">
        <f t="shared" si="45"/>
        <v>272184.58</v>
      </c>
      <c r="H201" s="621">
        <f t="shared" si="46"/>
        <v>249795.03</v>
      </c>
      <c r="I201" s="568">
        <f t="shared" si="47"/>
        <v>0</v>
      </c>
      <c r="J201" s="568">
        <f t="shared" si="48"/>
        <v>0</v>
      </c>
      <c r="M201" s="627">
        <f t="shared" si="49"/>
        <v>69</v>
      </c>
      <c r="N201" s="613">
        <v>67571.25364485984</v>
      </c>
      <c r="O201" s="613">
        <v>62012.930841121502</v>
      </c>
      <c r="P201" s="613">
        <v>85060.284000000029</v>
      </c>
      <c r="Q201" s="613">
        <v>78063.336470588241</v>
      </c>
      <c r="R201" s="628"/>
      <c r="S201" s="628"/>
    </row>
    <row r="202" spans="1:19" hidden="1">
      <c r="A202" s="668">
        <f t="shared" si="50"/>
        <v>70</v>
      </c>
      <c r="B202" s="625" t="str">
        <f t="shared" si="40"/>
        <v>70B</v>
      </c>
      <c r="C202" s="613">
        <f t="shared" si="41"/>
        <v>227069.71</v>
      </c>
      <c r="D202" s="626">
        <f t="shared" si="42"/>
        <v>207066.25</v>
      </c>
      <c r="E202" s="613">
        <f t="shared" si="43"/>
        <v>285840.69</v>
      </c>
      <c r="F202" s="626">
        <f t="shared" si="44"/>
        <v>260659.87</v>
      </c>
      <c r="G202" s="621">
        <f t="shared" si="45"/>
        <v>285840.69</v>
      </c>
      <c r="H202" s="621">
        <f t="shared" si="46"/>
        <v>260659.87</v>
      </c>
      <c r="I202" s="568">
        <f t="shared" si="47"/>
        <v>0</v>
      </c>
      <c r="J202" s="568">
        <f t="shared" si="48"/>
        <v>0</v>
      </c>
      <c r="M202" s="627">
        <f t="shared" si="49"/>
        <v>70</v>
      </c>
      <c r="N202" s="613">
        <v>70961.455327102827</v>
      </c>
      <c r="O202" s="613">
        <v>64710.183177570099</v>
      </c>
      <c r="P202" s="613">
        <v>89327.949647058849</v>
      </c>
      <c r="Q202" s="613">
        <v>81458.701176470597</v>
      </c>
      <c r="R202" s="628"/>
      <c r="S202" s="628"/>
    </row>
    <row r="203" spans="1:19" hidden="1">
      <c r="A203" s="668">
        <f t="shared" si="50"/>
        <v>71</v>
      </c>
      <c r="B203" s="625" t="str">
        <f t="shared" si="40"/>
        <v>71B</v>
      </c>
      <c r="C203" s="613">
        <f t="shared" si="41"/>
        <v>238454.85</v>
      </c>
      <c r="D203" s="626">
        <f t="shared" si="42"/>
        <v>215763.67</v>
      </c>
      <c r="E203" s="613">
        <f t="shared" si="43"/>
        <v>300172.58</v>
      </c>
      <c r="F203" s="626">
        <f t="shared" si="44"/>
        <v>271608.38</v>
      </c>
      <c r="G203" s="621">
        <f t="shared" si="45"/>
        <v>300172.58</v>
      </c>
      <c r="H203" s="621">
        <f t="shared" si="46"/>
        <v>271608.38</v>
      </c>
      <c r="I203" s="568">
        <f t="shared" si="47"/>
        <v>0</v>
      </c>
      <c r="J203" s="568">
        <f t="shared" si="48"/>
        <v>0</v>
      </c>
      <c r="M203" s="627">
        <f t="shared" si="49"/>
        <v>71</v>
      </c>
      <c r="N203" s="613">
        <v>74519.42186915889</v>
      </c>
      <c r="O203" s="613">
        <v>67428.208785046736</v>
      </c>
      <c r="P203" s="613">
        <v>93806.801647058848</v>
      </c>
      <c r="Q203" s="613">
        <v>84880.215764705892</v>
      </c>
      <c r="R203" s="628"/>
      <c r="S203" s="628"/>
    </row>
    <row r="204" spans="1:19" hidden="1">
      <c r="A204" s="668">
        <f t="shared" si="50"/>
        <v>72</v>
      </c>
      <c r="B204" s="625" t="str">
        <f t="shared" si="40"/>
        <v>72B</v>
      </c>
      <c r="C204" s="613">
        <f t="shared" si="41"/>
        <v>249875.36</v>
      </c>
      <c r="D204" s="626">
        <f t="shared" si="42"/>
        <v>225235.53</v>
      </c>
      <c r="E204" s="613">
        <f t="shared" si="43"/>
        <v>314548.98</v>
      </c>
      <c r="F204" s="626">
        <f t="shared" si="44"/>
        <v>283531.78000000003</v>
      </c>
      <c r="G204" s="621">
        <f t="shared" si="45"/>
        <v>314548.98</v>
      </c>
      <c r="H204" s="621">
        <f t="shared" si="46"/>
        <v>283531.78000000003</v>
      </c>
      <c r="I204" s="568">
        <f t="shared" si="47"/>
        <v>0</v>
      </c>
      <c r="J204" s="568">
        <f t="shared" si="48"/>
        <v>0</v>
      </c>
      <c r="M204" s="627">
        <f t="shared" si="49"/>
        <v>72</v>
      </c>
      <c r="N204" s="613">
        <v>78088.439252336466</v>
      </c>
      <c r="O204" s="613">
        <v>70388.255514018703</v>
      </c>
      <c r="P204" s="613">
        <v>98299.564705882367</v>
      </c>
      <c r="Q204" s="613">
        <v>88606.39223529413</v>
      </c>
      <c r="R204" s="628"/>
      <c r="S204" s="628"/>
    </row>
    <row r="205" spans="1:19" hidden="1">
      <c r="A205" s="668">
        <f t="shared" si="50"/>
        <v>73</v>
      </c>
      <c r="B205" s="625" t="str">
        <f t="shared" si="40"/>
        <v>73B</v>
      </c>
      <c r="C205" s="613">
        <f t="shared" si="41"/>
        <v>261954.86</v>
      </c>
      <c r="D205" s="626">
        <f t="shared" si="42"/>
        <v>234791.29</v>
      </c>
      <c r="E205" s="613">
        <f t="shared" si="43"/>
        <v>329754.94</v>
      </c>
      <c r="F205" s="626">
        <f t="shared" si="44"/>
        <v>295560.8</v>
      </c>
      <c r="G205" s="621">
        <f t="shared" si="45"/>
        <v>329754.94</v>
      </c>
      <c r="H205" s="621">
        <f t="shared" si="46"/>
        <v>295560.8</v>
      </c>
      <c r="I205" s="568">
        <f t="shared" si="47"/>
        <v>0</v>
      </c>
      <c r="J205" s="568">
        <f t="shared" si="48"/>
        <v>0</v>
      </c>
      <c r="M205" s="627">
        <f t="shared" si="49"/>
        <v>73</v>
      </c>
      <c r="N205" s="613">
        <v>81863.398878504682</v>
      </c>
      <c r="O205" s="613">
        <v>73374.523925233661</v>
      </c>
      <c r="P205" s="613">
        <v>103051.57270588237</v>
      </c>
      <c r="Q205" s="613">
        <v>92365.577176470615</v>
      </c>
      <c r="R205" s="628"/>
      <c r="S205" s="628"/>
    </row>
    <row r="206" spans="1:19" hidden="1">
      <c r="A206" s="668">
        <f t="shared" si="50"/>
        <v>74</v>
      </c>
      <c r="B206" s="625" t="str">
        <f t="shared" si="40"/>
        <v>74B</v>
      </c>
      <c r="C206" s="613">
        <f t="shared" si="41"/>
        <v>274114.51</v>
      </c>
      <c r="D206" s="626">
        <f t="shared" si="42"/>
        <v>244513.15</v>
      </c>
      <c r="E206" s="613">
        <f t="shared" si="43"/>
        <v>345061.8</v>
      </c>
      <c r="F206" s="626">
        <f t="shared" si="44"/>
        <v>307798.90000000002</v>
      </c>
      <c r="G206" s="621">
        <f t="shared" si="45"/>
        <v>345061.8</v>
      </c>
      <c r="H206" s="621">
        <f t="shared" si="46"/>
        <v>307798.90000000002</v>
      </c>
      <c r="I206" s="568">
        <f t="shared" si="47"/>
        <v>0</v>
      </c>
      <c r="J206" s="568">
        <f t="shared" si="48"/>
        <v>0</v>
      </c>
      <c r="M206" s="627">
        <f t="shared" si="49"/>
        <v>74</v>
      </c>
      <c r="N206" s="613">
        <v>85663.405794392544</v>
      </c>
      <c r="O206" s="613">
        <v>76412.696635514032</v>
      </c>
      <c r="P206" s="613">
        <v>107835.11082352944</v>
      </c>
      <c r="Q206" s="613">
        <v>96190.100470588251</v>
      </c>
      <c r="R206" s="628"/>
      <c r="S206" s="628"/>
    </row>
    <row r="207" spans="1:19" hidden="1">
      <c r="A207" s="668">
        <f t="shared" si="50"/>
        <v>75</v>
      </c>
      <c r="B207" s="625" t="str">
        <f t="shared" si="40"/>
        <v>75B</v>
      </c>
      <c r="C207" s="613">
        <f t="shared" si="41"/>
        <v>286723.08</v>
      </c>
      <c r="D207" s="626">
        <f t="shared" si="42"/>
        <v>254510.63</v>
      </c>
      <c r="E207" s="613">
        <f t="shared" si="43"/>
        <v>360933.76</v>
      </c>
      <c r="F207" s="626">
        <f t="shared" si="44"/>
        <v>320383.96999999997</v>
      </c>
      <c r="G207" s="621">
        <f t="shared" si="45"/>
        <v>360933.76</v>
      </c>
      <c r="H207" s="621">
        <f t="shared" si="46"/>
        <v>320383.96999999997</v>
      </c>
      <c r="I207" s="568">
        <f t="shared" si="47"/>
        <v>0</v>
      </c>
      <c r="J207" s="568">
        <f t="shared" si="48"/>
        <v>0</v>
      </c>
      <c r="M207" s="627">
        <f t="shared" si="49"/>
        <v>75</v>
      </c>
      <c r="N207" s="613">
        <v>89603.704485981332</v>
      </c>
      <c r="O207" s="613">
        <v>79537.004299065447</v>
      </c>
      <c r="P207" s="613">
        <v>112795.25152941179</v>
      </c>
      <c r="Q207" s="613">
        <v>100123.05247058827</v>
      </c>
      <c r="R207" s="628"/>
      <c r="S207" s="628"/>
    </row>
    <row r="208" spans="1:19" hidden="1">
      <c r="A208" s="668">
        <f t="shared" si="50"/>
        <v>76</v>
      </c>
      <c r="B208" s="625" t="str">
        <f t="shared" si="40"/>
        <v>76B</v>
      </c>
      <c r="C208" s="613">
        <f t="shared" si="41"/>
        <v>301550.75</v>
      </c>
      <c r="D208" s="626">
        <f t="shared" si="42"/>
        <v>265812.53999999998</v>
      </c>
      <c r="E208" s="613">
        <f t="shared" si="43"/>
        <v>379599.18</v>
      </c>
      <c r="F208" s="626">
        <f t="shared" si="44"/>
        <v>334611.08</v>
      </c>
      <c r="G208" s="621">
        <f t="shared" si="45"/>
        <v>379599.18</v>
      </c>
      <c r="H208" s="621">
        <f t="shared" si="46"/>
        <v>334611.08</v>
      </c>
      <c r="I208" s="568">
        <f t="shared" si="47"/>
        <v>0</v>
      </c>
      <c r="J208" s="568">
        <f t="shared" si="48"/>
        <v>0</v>
      </c>
      <c r="M208" s="627">
        <f t="shared" si="49"/>
        <v>76</v>
      </c>
      <c r="N208" s="613">
        <v>94237.491588785051</v>
      </c>
      <c r="O208" s="613">
        <v>83068.96093457946</v>
      </c>
      <c r="P208" s="613">
        <v>118628.37176470589</v>
      </c>
      <c r="Q208" s="613">
        <v>104569.16258823533</v>
      </c>
      <c r="R208" s="628"/>
      <c r="S208" s="628"/>
    </row>
    <row r="209" spans="1:19" hidden="1">
      <c r="A209" s="668">
        <f t="shared" si="50"/>
        <v>77</v>
      </c>
      <c r="B209" s="625" t="str">
        <f t="shared" si="40"/>
        <v>77B</v>
      </c>
      <c r="C209" s="613">
        <f t="shared" si="41"/>
        <v>316826.84000000003</v>
      </c>
      <c r="D209" s="626">
        <f t="shared" si="42"/>
        <v>277867.83</v>
      </c>
      <c r="E209" s="613">
        <f t="shared" si="43"/>
        <v>398829.08</v>
      </c>
      <c r="F209" s="626">
        <f t="shared" si="44"/>
        <v>349786.57</v>
      </c>
      <c r="G209" s="621">
        <f t="shared" si="45"/>
        <v>398829.08</v>
      </c>
      <c r="H209" s="621">
        <f t="shared" si="46"/>
        <v>349786.57</v>
      </c>
      <c r="I209" s="568">
        <f t="shared" si="47"/>
        <v>0</v>
      </c>
      <c r="J209" s="568">
        <f t="shared" si="48"/>
        <v>0</v>
      </c>
      <c r="M209" s="627">
        <f t="shared" si="49"/>
        <v>77</v>
      </c>
      <c r="N209" s="613">
        <v>99011.41644859816</v>
      </c>
      <c r="O209" s="613">
        <v>86836.354392523383</v>
      </c>
      <c r="P209" s="613">
        <v>124637.90070588239</v>
      </c>
      <c r="Q209" s="613">
        <v>109311.64611764708</v>
      </c>
      <c r="R209" s="628"/>
      <c r="S209" s="628"/>
    </row>
    <row r="210" spans="1:19" hidden="1">
      <c r="A210" s="668">
        <f t="shared" si="50"/>
        <v>78</v>
      </c>
      <c r="B210" s="625" t="str">
        <f t="shared" si="40"/>
        <v>78B</v>
      </c>
      <c r="C210" s="613">
        <f t="shared" si="41"/>
        <v>333075.38</v>
      </c>
      <c r="D210" s="626">
        <f t="shared" si="42"/>
        <v>290372.59999999998</v>
      </c>
      <c r="E210" s="613">
        <f t="shared" si="43"/>
        <v>419283.12</v>
      </c>
      <c r="F210" s="626">
        <f t="shared" si="44"/>
        <v>365527.86</v>
      </c>
      <c r="G210" s="621">
        <f t="shared" si="45"/>
        <v>419283.12</v>
      </c>
      <c r="H210" s="621">
        <f t="shared" si="46"/>
        <v>365527.86</v>
      </c>
      <c r="I210" s="568">
        <f t="shared" si="47"/>
        <v>0</v>
      </c>
      <c r="J210" s="568">
        <f t="shared" si="48"/>
        <v>0</v>
      </c>
      <c r="M210" s="627">
        <f t="shared" si="49"/>
        <v>78</v>
      </c>
      <c r="N210" s="613">
        <v>104089.23943925236</v>
      </c>
      <c r="O210" s="613">
        <v>90744.212897196267</v>
      </c>
      <c r="P210" s="613">
        <v>131029.9837647059</v>
      </c>
      <c r="Q210" s="613">
        <v>114230.95035294119</v>
      </c>
      <c r="R210" s="628"/>
      <c r="S210" s="628"/>
    </row>
    <row r="211" spans="1:19" hidden="1">
      <c r="A211" s="668">
        <f t="shared" si="50"/>
        <v>79</v>
      </c>
      <c r="B211" s="625" t="str">
        <f t="shared" si="40"/>
        <v>79B</v>
      </c>
      <c r="C211" s="613">
        <f t="shared" si="41"/>
        <v>351517.87</v>
      </c>
      <c r="D211" s="626">
        <f t="shared" si="42"/>
        <v>302875.21000000002</v>
      </c>
      <c r="E211" s="613">
        <f t="shared" si="43"/>
        <v>442498.97</v>
      </c>
      <c r="F211" s="626">
        <f t="shared" si="44"/>
        <v>381266.44</v>
      </c>
      <c r="G211" s="621">
        <f t="shared" si="45"/>
        <v>442498.97</v>
      </c>
      <c r="H211" s="621">
        <f t="shared" si="46"/>
        <v>381266.44</v>
      </c>
      <c r="I211" s="568">
        <f t="shared" si="47"/>
        <v>0</v>
      </c>
      <c r="J211" s="568">
        <f t="shared" si="48"/>
        <v>0</v>
      </c>
      <c r="M211" s="627">
        <f t="shared" si="49"/>
        <v>79</v>
      </c>
      <c r="N211" s="613">
        <v>109852.69588785048</v>
      </c>
      <c r="O211" s="613">
        <v>94651.397570093468</v>
      </c>
      <c r="P211" s="613">
        <v>138285.15835294122</v>
      </c>
      <c r="Q211" s="613">
        <v>119149.40635294119</v>
      </c>
      <c r="R211" s="628"/>
      <c r="S211" s="628"/>
    </row>
    <row r="212" spans="1:19" hidden="1">
      <c r="A212" s="668">
        <f t="shared" si="50"/>
        <v>80</v>
      </c>
      <c r="B212" s="625" t="str">
        <f t="shared" si="40"/>
        <v>80B</v>
      </c>
      <c r="C212" s="613">
        <f t="shared" si="41"/>
        <v>369130.36</v>
      </c>
      <c r="D212" s="626">
        <f t="shared" si="42"/>
        <v>316002.99</v>
      </c>
      <c r="E212" s="613">
        <f t="shared" si="43"/>
        <v>464669.98</v>
      </c>
      <c r="F212" s="626">
        <f t="shared" si="44"/>
        <v>397792</v>
      </c>
      <c r="G212" s="621">
        <f t="shared" si="45"/>
        <v>464669.98</v>
      </c>
      <c r="H212" s="621">
        <f t="shared" si="46"/>
        <v>397792</v>
      </c>
      <c r="I212" s="568">
        <f t="shared" si="47"/>
        <v>0</v>
      </c>
      <c r="J212" s="568">
        <f t="shared" si="48"/>
        <v>0</v>
      </c>
      <c r="M212" s="627">
        <f t="shared" si="49"/>
        <v>80</v>
      </c>
      <c r="N212" s="613">
        <v>115356.76560747666</v>
      </c>
      <c r="O212" s="613">
        <v>98753.954953271037</v>
      </c>
      <c r="P212" s="613">
        <v>145213.81082352943</v>
      </c>
      <c r="Q212" s="613">
        <v>124313.80211764706</v>
      </c>
      <c r="R212" s="628"/>
      <c r="S212" s="628"/>
    </row>
    <row r="213" spans="1:19" hidden="1">
      <c r="A213" s="668">
        <f t="shared" si="50"/>
        <v>81</v>
      </c>
      <c r="B213" s="625" t="str">
        <f t="shared" si="40"/>
        <v>81B</v>
      </c>
      <c r="C213" s="613">
        <f t="shared" si="41"/>
        <v>389313.15</v>
      </c>
      <c r="D213" s="626">
        <f t="shared" si="42"/>
        <v>329244.31</v>
      </c>
      <c r="E213" s="613">
        <f t="shared" si="43"/>
        <v>490076.55</v>
      </c>
      <c r="F213" s="626">
        <f t="shared" si="44"/>
        <v>414460.48</v>
      </c>
      <c r="G213" s="621">
        <f t="shared" si="45"/>
        <v>490076.55</v>
      </c>
      <c r="H213" s="621">
        <f t="shared" si="46"/>
        <v>414460.48</v>
      </c>
      <c r="I213" s="568">
        <f t="shared" si="47"/>
        <v>0</v>
      </c>
      <c r="J213" s="568">
        <f t="shared" si="48"/>
        <v>0</v>
      </c>
      <c r="M213" s="627">
        <f t="shared" si="49"/>
        <v>81</v>
      </c>
      <c r="N213" s="613">
        <v>121664.08130841123</v>
      </c>
      <c r="O213" s="613">
        <v>102891.99439252338</v>
      </c>
      <c r="P213" s="613">
        <v>153153.60823529414</v>
      </c>
      <c r="Q213" s="613">
        <v>129522.8635294118</v>
      </c>
      <c r="R213" s="628"/>
      <c r="S213" s="628"/>
    </row>
    <row r="214" spans="1:19" hidden="1">
      <c r="A214" s="668">
        <f t="shared" si="50"/>
        <v>82</v>
      </c>
      <c r="B214" s="625" t="str">
        <f t="shared" si="40"/>
        <v>82B</v>
      </c>
      <c r="C214" s="613">
        <f t="shared" si="41"/>
        <v>409893.42</v>
      </c>
      <c r="D214" s="626">
        <f t="shared" si="42"/>
        <v>342627.51</v>
      </c>
      <c r="E214" s="613">
        <f t="shared" si="43"/>
        <v>515983.48</v>
      </c>
      <c r="F214" s="626">
        <f t="shared" si="44"/>
        <v>431307.57</v>
      </c>
      <c r="G214" s="621">
        <f t="shared" si="45"/>
        <v>515983.48</v>
      </c>
      <c r="H214" s="621">
        <f t="shared" si="46"/>
        <v>431307.57</v>
      </c>
      <c r="I214" s="568">
        <f t="shared" si="47"/>
        <v>0</v>
      </c>
      <c r="J214" s="568">
        <f t="shared" si="48"/>
        <v>0</v>
      </c>
      <c r="M214" s="627">
        <f t="shared" si="49"/>
        <v>82</v>
      </c>
      <c r="N214" s="613">
        <v>128095.61308411218</v>
      </c>
      <c r="O214" s="613">
        <v>107074.37196261685</v>
      </c>
      <c r="P214" s="613">
        <v>161249.77176470592</v>
      </c>
      <c r="Q214" s="613">
        <v>134787.73882352945</v>
      </c>
      <c r="R214" s="628"/>
      <c r="S214" s="628"/>
    </row>
    <row r="215" spans="1:19" hidden="1">
      <c r="A215" s="668">
        <f t="shared" si="50"/>
        <v>83</v>
      </c>
      <c r="B215" s="625" t="str">
        <f t="shared" si="40"/>
        <v>83B</v>
      </c>
      <c r="C215" s="613">
        <f t="shared" si="41"/>
        <v>431542.92</v>
      </c>
      <c r="D215" s="626">
        <f t="shared" si="42"/>
        <v>357785.38</v>
      </c>
      <c r="E215" s="613">
        <f t="shared" si="43"/>
        <v>543236.38</v>
      </c>
      <c r="F215" s="626">
        <f t="shared" si="44"/>
        <v>450388.65</v>
      </c>
      <c r="G215" s="621">
        <f t="shared" si="45"/>
        <v>543236.38</v>
      </c>
      <c r="H215" s="621">
        <f t="shared" si="46"/>
        <v>450388.65</v>
      </c>
      <c r="I215" s="568">
        <f t="shared" si="47"/>
        <v>0</v>
      </c>
      <c r="J215" s="568">
        <f t="shared" si="48"/>
        <v>0</v>
      </c>
      <c r="M215" s="627">
        <f t="shared" si="49"/>
        <v>83</v>
      </c>
      <c r="N215" s="613">
        <v>134861.28841121498</v>
      </c>
      <c r="O215" s="613">
        <v>111811.35158878507</v>
      </c>
      <c r="P215" s="613">
        <v>169766.56305882358</v>
      </c>
      <c r="Q215" s="613">
        <v>140750.76023529415</v>
      </c>
      <c r="R215" s="628"/>
      <c r="S215" s="628"/>
    </row>
    <row r="216" spans="1:19" hidden="1">
      <c r="A216" s="668">
        <f t="shared" si="50"/>
        <v>84</v>
      </c>
      <c r="B216" s="625" t="str">
        <f t="shared" si="40"/>
        <v>84B</v>
      </c>
      <c r="C216" s="613">
        <f t="shared" si="41"/>
        <v>455136.45</v>
      </c>
      <c r="D216" s="626">
        <f t="shared" si="42"/>
        <v>372569.49</v>
      </c>
      <c r="E216" s="613">
        <f t="shared" si="43"/>
        <v>572936.47</v>
      </c>
      <c r="F216" s="626">
        <f t="shared" si="44"/>
        <v>468999.24</v>
      </c>
      <c r="G216" s="621">
        <f t="shared" si="45"/>
        <v>572936.47</v>
      </c>
      <c r="H216" s="621">
        <f t="shared" si="46"/>
        <v>468999.24</v>
      </c>
      <c r="I216" s="568">
        <f t="shared" si="47"/>
        <v>0</v>
      </c>
      <c r="J216" s="568">
        <f t="shared" si="48"/>
        <v>0</v>
      </c>
      <c r="M216" s="627">
        <f t="shared" si="49"/>
        <v>84</v>
      </c>
      <c r="N216" s="613">
        <v>142234.49046728975</v>
      </c>
      <c r="O216" s="613">
        <v>116431.52728971966</v>
      </c>
      <c r="P216" s="613">
        <v>179048.12329411769</v>
      </c>
      <c r="Q216" s="613">
        <v>146566.7461176471</v>
      </c>
      <c r="R216" s="628"/>
      <c r="S216" s="628"/>
    </row>
    <row r="217" spans="1:19" hidden="1">
      <c r="A217" s="668">
        <f t="shared" si="50"/>
        <v>85</v>
      </c>
      <c r="B217" s="625" t="str">
        <f t="shared" si="40"/>
        <v>85B</v>
      </c>
      <c r="C217" s="613">
        <f t="shared" si="41"/>
        <v>478496.73</v>
      </c>
      <c r="D217" s="626">
        <f t="shared" si="42"/>
        <v>386864.57</v>
      </c>
      <c r="E217" s="613">
        <f t="shared" si="43"/>
        <v>602342.93999999994</v>
      </c>
      <c r="F217" s="626">
        <f t="shared" si="44"/>
        <v>486994.23</v>
      </c>
      <c r="G217" s="621">
        <f t="shared" si="45"/>
        <v>602342.93999999994</v>
      </c>
      <c r="H217" s="621">
        <f t="shared" si="46"/>
        <v>486994.23</v>
      </c>
      <c r="I217" s="568">
        <f t="shared" si="47"/>
        <v>0</v>
      </c>
      <c r="J217" s="568">
        <f t="shared" si="48"/>
        <v>0</v>
      </c>
      <c r="M217" s="627">
        <f t="shared" si="49"/>
        <v>85</v>
      </c>
      <c r="N217" s="613">
        <v>149534.80317757014</v>
      </c>
      <c r="O217" s="613">
        <v>120898.87794392525</v>
      </c>
      <c r="P217" s="613">
        <v>188237.9287058824</v>
      </c>
      <c r="Q217" s="613">
        <v>152190.35223529415</v>
      </c>
      <c r="R217" s="628"/>
      <c r="S217" s="628"/>
    </row>
    <row r="218" spans="1:19" hidden="1">
      <c r="A218" s="668">
        <f t="shared" si="50"/>
        <v>86</v>
      </c>
      <c r="B218" s="625" t="str">
        <f t="shared" si="40"/>
        <v>86B</v>
      </c>
      <c r="C218" s="613">
        <f t="shared" si="41"/>
        <v>478496.73</v>
      </c>
      <c r="D218" s="626">
        <f t="shared" si="42"/>
        <v>386864.57</v>
      </c>
      <c r="E218" s="613">
        <f t="shared" si="43"/>
        <v>602342.93999999994</v>
      </c>
      <c r="F218" s="626">
        <f t="shared" si="44"/>
        <v>486994.23</v>
      </c>
      <c r="G218" s="621"/>
      <c r="H218" s="621"/>
      <c r="I218" s="569"/>
      <c r="J218" s="569"/>
      <c r="M218" s="627">
        <f t="shared" si="49"/>
        <v>86</v>
      </c>
      <c r="N218" s="613">
        <v>149534.80317757014</v>
      </c>
      <c r="O218" s="613">
        <v>120898.87794392525</v>
      </c>
      <c r="P218" s="613">
        <v>188237.9287058824</v>
      </c>
      <c r="Q218" s="613">
        <v>152190.35223529415</v>
      </c>
      <c r="R218" s="628"/>
      <c r="S218" s="628"/>
    </row>
    <row r="219" spans="1:19" hidden="1">
      <c r="A219" s="668">
        <f t="shared" si="50"/>
        <v>87</v>
      </c>
      <c r="B219" s="625" t="str">
        <f t="shared" si="40"/>
        <v>87B</v>
      </c>
      <c r="C219" s="613">
        <f t="shared" si="41"/>
        <v>478496.73</v>
      </c>
      <c r="D219" s="626">
        <f t="shared" si="42"/>
        <v>386864.57</v>
      </c>
      <c r="E219" s="613">
        <f t="shared" si="43"/>
        <v>602342.93999999994</v>
      </c>
      <c r="F219" s="626">
        <f t="shared" si="44"/>
        <v>486994.23</v>
      </c>
      <c r="G219" s="621"/>
      <c r="H219" s="621"/>
      <c r="I219" s="569"/>
      <c r="J219" s="569"/>
      <c r="M219" s="627">
        <f t="shared" si="49"/>
        <v>87</v>
      </c>
      <c r="N219" s="613">
        <v>149534.80317757014</v>
      </c>
      <c r="O219" s="613">
        <v>120898.87794392525</v>
      </c>
      <c r="P219" s="613">
        <v>188237.9287058824</v>
      </c>
      <c r="Q219" s="613">
        <v>152190.35223529415</v>
      </c>
      <c r="R219" s="628"/>
      <c r="S219" s="628"/>
    </row>
    <row r="220" spans="1:19" hidden="1">
      <c r="A220" s="668">
        <f t="shared" si="50"/>
        <v>88</v>
      </c>
      <c r="B220" s="625" t="str">
        <f t="shared" si="40"/>
        <v>88B</v>
      </c>
      <c r="C220" s="613">
        <f t="shared" si="41"/>
        <v>478496.73</v>
      </c>
      <c r="D220" s="626">
        <f t="shared" si="42"/>
        <v>386864.57</v>
      </c>
      <c r="E220" s="613">
        <f t="shared" si="43"/>
        <v>602342.93999999994</v>
      </c>
      <c r="F220" s="626">
        <f t="shared" si="44"/>
        <v>486994.23</v>
      </c>
      <c r="G220" s="621"/>
      <c r="H220" s="621"/>
      <c r="I220" s="569"/>
      <c r="J220" s="569"/>
      <c r="M220" s="627">
        <f t="shared" si="49"/>
        <v>88</v>
      </c>
      <c r="N220" s="613">
        <v>149534.80317757014</v>
      </c>
      <c r="O220" s="613">
        <v>120898.87794392525</v>
      </c>
      <c r="P220" s="613">
        <v>188237.9287058824</v>
      </c>
      <c r="Q220" s="613">
        <v>152190.35223529415</v>
      </c>
      <c r="R220" s="628"/>
      <c r="S220" s="628"/>
    </row>
    <row r="221" spans="1:19" hidden="1">
      <c r="A221" s="668">
        <f t="shared" si="50"/>
        <v>89</v>
      </c>
      <c r="B221" s="625" t="str">
        <f t="shared" si="40"/>
        <v>89B</v>
      </c>
      <c r="C221" s="613">
        <f t="shared" si="41"/>
        <v>478496.73</v>
      </c>
      <c r="D221" s="626">
        <f t="shared" si="42"/>
        <v>386864.57</v>
      </c>
      <c r="E221" s="613">
        <f t="shared" si="43"/>
        <v>602342.93999999994</v>
      </c>
      <c r="F221" s="626">
        <f t="shared" si="44"/>
        <v>486994.23</v>
      </c>
      <c r="G221" s="621"/>
      <c r="H221" s="621"/>
      <c r="I221" s="569"/>
      <c r="J221" s="569"/>
      <c r="M221" s="627">
        <f t="shared" si="49"/>
        <v>89</v>
      </c>
      <c r="N221" s="613">
        <v>149534.80317757014</v>
      </c>
      <c r="O221" s="613">
        <v>120898.87794392525</v>
      </c>
      <c r="P221" s="613">
        <v>188237.9287058824</v>
      </c>
      <c r="Q221" s="613">
        <v>152190.35223529415</v>
      </c>
      <c r="R221" s="628"/>
      <c r="S221" s="628"/>
    </row>
    <row r="222" spans="1:19" hidden="1">
      <c r="A222" s="668">
        <f t="shared" si="50"/>
        <v>90</v>
      </c>
      <c r="B222" s="625" t="str">
        <f t="shared" si="40"/>
        <v>90B</v>
      </c>
      <c r="C222" s="613">
        <f t="shared" si="41"/>
        <v>478496.73</v>
      </c>
      <c r="D222" s="626">
        <f t="shared" si="42"/>
        <v>386864.57</v>
      </c>
      <c r="E222" s="613">
        <f t="shared" si="43"/>
        <v>602342.93999999994</v>
      </c>
      <c r="F222" s="626">
        <f t="shared" si="44"/>
        <v>486994.23</v>
      </c>
      <c r="G222" s="621"/>
      <c r="H222" s="621"/>
      <c r="I222" s="569"/>
      <c r="J222" s="569"/>
      <c r="M222" s="627">
        <f t="shared" si="49"/>
        <v>90</v>
      </c>
      <c r="N222" s="613">
        <v>149534.80317757014</v>
      </c>
      <c r="O222" s="613">
        <v>120898.87794392525</v>
      </c>
      <c r="P222" s="613">
        <v>188237.9287058824</v>
      </c>
      <c r="Q222" s="613">
        <v>152190.35223529415</v>
      </c>
      <c r="R222" s="628"/>
      <c r="S222" s="628"/>
    </row>
    <row r="223" spans="1:19" hidden="1">
      <c r="A223" s="668">
        <f t="shared" si="50"/>
        <v>91</v>
      </c>
      <c r="B223" s="625" t="str">
        <f t="shared" si="40"/>
        <v>91B</v>
      </c>
      <c r="C223" s="613">
        <f t="shared" si="41"/>
        <v>478496.73</v>
      </c>
      <c r="D223" s="626">
        <f t="shared" si="42"/>
        <v>386864.57</v>
      </c>
      <c r="E223" s="613">
        <f t="shared" si="43"/>
        <v>602342.93999999994</v>
      </c>
      <c r="F223" s="626">
        <f t="shared" si="44"/>
        <v>486994.23</v>
      </c>
      <c r="G223" s="621"/>
      <c r="H223" s="621"/>
      <c r="I223" s="569"/>
      <c r="J223" s="569"/>
      <c r="M223" s="627">
        <f t="shared" si="49"/>
        <v>91</v>
      </c>
      <c r="N223" s="613">
        <v>149534.80317757014</v>
      </c>
      <c r="O223" s="613">
        <v>120898.87794392525</v>
      </c>
      <c r="P223" s="613">
        <v>188237.9287058824</v>
      </c>
      <c r="Q223" s="613">
        <v>152190.35223529415</v>
      </c>
      <c r="R223" s="628"/>
      <c r="S223" s="628"/>
    </row>
    <row r="224" spans="1:19" hidden="1">
      <c r="A224" s="668">
        <f t="shared" si="50"/>
        <v>92</v>
      </c>
      <c r="B224" s="625" t="str">
        <f t="shared" si="40"/>
        <v>92B</v>
      </c>
      <c r="C224" s="613">
        <f t="shared" si="41"/>
        <v>478496.73</v>
      </c>
      <c r="D224" s="626">
        <f t="shared" si="42"/>
        <v>386864.57</v>
      </c>
      <c r="E224" s="613">
        <f t="shared" si="43"/>
        <v>602342.93999999994</v>
      </c>
      <c r="F224" s="626">
        <f t="shared" si="44"/>
        <v>486994.23</v>
      </c>
      <c r="G224" s="621"/>
      <c r="H224" s="621"/>
      <c r="I224" s="569"/>
      <c r="J224" s="569"/>
      <c r="M224" s="627">
        <f t="shared" si="49"/>
        <v>92</v>
      </c>
      <c r="N224" s="613">
        <v>149534.80317757014</v>
      </c>
      <c r="O224" s="613">
        <v>120898.87794392525</v>
      </c>
      <c r="P224" s="613">
        <v>188237.9287058824</v>
      </c>
      <c r="Q224" s="613">
        <v>152190.35223529415</v>
      </c>
      <c r="R224" s="628"/>
      <c r="S224" s="628"/>
    </row>
    <row r="225" spans="1:45" hidden="1">
      <c r="A225" s="668">
        <f t="shared" si="50"/>
        <v>93</v>
      </c>
      <c r="B225" s="625" t="str">
        <f t="shared" si="40"/>
        <v>93B</v>
      </c>
      <c r="C225" s="613">
        <f t="shared" si="41"/>
        <v>478496.73</v>
      </c>
      <c r="D225" s="626">
        <f t="shared" si="42"/>
        <v>386864.57</v>
      </c>
      <c r="E225" s="613">
        <f t="shared" si="43"/>
        <v>602342.93999999994</v>
      </c>
      <c r="F225" s="626">
        <f t="shared" si="44"/>
        <v>486994.23</v>
      </c>
      <c r="G225" s="621"/>
      <c r="H225" s="621"/>
      <c r="I225" s="569"/>
      <c r="J225" s="569"/>
      <c r="M225" s="627">
        <f t="shared" si="49"/>
        <v>93</v>
      </c>
      <c r="N225" s="613">
        <v>149534.80317757014</v>
      </c>
      <c r="O225" s="613">
        <v>120898.87794392525</v>
      </c>
      <c r="P225" s="613">
        <v>188237.9287058824</v>
      </c>
      <c r="Q225" s="613">
        <v>152190.35223529415</v>
      </c>
      <c r="R225" s="628"/>
      <c r="S225" s="628"/>
    </row>
    <row r="226" spans="1:45" hidden="1">
      <c r="A226" s="668">
        <f t="shared" si="50"/>
        <v>94</v>
      </c>
      <c r="B226" s="625" t="str">
        <f t="shared" si="40"/>
        <v>94B</v>
      </c>
      <c r="C226" s="613">
        <f t="shared" si="41"/>
        <v>478496.73</v>
      </c>
      <c r="D226" s="626">
        <f t="shared" si="42"/>
        <v>386864.57</v>
      </c>
      <c r="E226" s="613">
        <f t="shared" si="43"/>
        <v>602342.93999999994</v>
      </c>
      <c r="F226" s="626">
        <f t="shared" si="44"/>
        <v>486994.23</v>
      </c>
      <c r="G226" s="621"/>
      <c r="H226" s="621"/>
      <c r="I226" s="569"/>
      <c r="J226" s="569"/>
      <c r="M226" s="627">
        <f t="shared" si="49"/>
        <v>94</v>
      </c>
      <c r="N226" s="613">
        <v>149534.80317757014</v>
      </c>
      <c r="O226" s="613">
        <v>120898.87794392525</v>
      </c>
      <c r="P226" s="613">
        <v>188237.9287058824</v>
      </c>
      <c r="Q226" s="613">
        <v>152190.35223529415</v>
      </c>
      <c r="R226" s="628"/>
      <c r="S226" s="628"/>
    </row>
    <row r="227" spans="1:45" hidden="1">
      <c r="A227" s="668">
        <f t="shared" si="50"/>
        <v>95</v>
      </c>
      <c r="B227" s="625" t="str">
        <f t="shared" si="40"/>
        <v>95B</v>
      </c>
      <c r="C227" s="613">
        <f t="shared" si="41"/>
        <v>478496.73</v>
      </c>
      <c r="D227" s="626">
        <f t="shared" si="42"/>
        <v>386864.57</v>
      </c>
      <c r="E227" s="613">
        <f t="shared" si="43"/>
        <v>602342.93999999994</v>
      </c>
      <c r="F227" s="626">
        <f t="shared" si="44"/>
        <v>486994.23</v>
      </c>
      <c r="G227" s="621"/>
      <c r="H227" s="621"/>
      <c r="I227" s="569"/>
      <c r="J227" s="569"/>
      <c r="M227" s="627">
        <f t="shared" si="49"/>
        <v>95</v>
      </c>
      <c r="N227" s="613">
        <v>149534.80317757014</v>
      </c>
      <c r="O227" s="613">
        <v>120898.87794392525</v>
      </c>
      <c r="P227" s="613">
        <v>188237.9287058824</v>
      </c>
      <c r="Q227" s="613">
        <v>152190.35223529415</v>
      </c>
      <c r="R227" s="628"/>
      <c r="S227" s="628"/>
    </row>
    <row r="228" spans="1:45" hidden="1">
      <c r="A228" s="668">
        <f t="shared" si="50"/>
        <v>96</v>
      </c>
      <c r="B228" s="625" t="str">
        <f t="shared" ref="B228:B232" si="51">+CONCATENATE(A228,$H$36)</f>
        <v>96B</v>
      </c>
      <c r="C228" s="613">
        <f t="shared" si="41"/>
        <v>478496.73</v>
      </c>
      <c r="D228" s="626">
        <f t="shared" si="42"/>
        <v>386864.57</v>
      </c>
      <c r="E228" s="613">
        <f t="shared" si="43"/>
        <v>602342.93999999994</v>
      </c>
      <c r="F228" s="626">
        <f t="shared" si="44"/>
        <v>486994.23</v>
      </c>
      <c r="G228" s="621"/>
      <c r="H228" s="621"/>
      <c r="I228" s="569"/>
      <c r="J228" s="569"/>
      <c r="M228" s="627">
        <f t="shared" si="49"/>
        <v>96</v>
      </c>
      <c r="N228" s="613">
        <v>149534.80317757014</v>
      </c>
      <c r="O228" s="613">
        <v>120898.87794392525</v>
      </c>
      <c r="P228" s="613">
        <v>188237.9287058824</v>
      </c>
      <c r="Q228" s="613">
        <v>152190.35223529415</v>
      </c>
      <c r="R228" s="628"/>
      <c r="S228" s="628"/>
    </row>
    <row r="229" spans="1:45" hidden="1">
      <c r="A229" s="668">
        <f t="shared" si="50"/>
        <v>97</v>
      </c>
      <c r="B229" s="625" t="str">
        <f t="shared" si="51"/>
        <v>97B</v>
      </c>
      <c r="C229" s="613">
        <f t="shared" si="41"/>
        <v>478496.73</v>
      </c>
      <c r="D229" s="626">
        <f t="shared" si="42"/>
        <v>386864.57</v>
      </c>
      <c r="E229" s="613">
        <f t="shared" si="43"/>
        <v>602342.93999999994</v>
      </c>
      <c r="F229" s="626">
        <f t="shared" si="44"/>
        <v>486994.23</v>
      </c>
      <c r="G229" s="621"/>
      <c r="H229" s="621"/>
      <c r="I229" s="569"/>
      <c r="J229" s="569"/>
      <c r="M229" s="627">
        <f t="shared" si="49"/>
        <v>97</v>
      </c>
      <c r="N229" s="613">
        <v>149534.80317757014</v>
      </c>
      <c r="O229" s="613">
        <v>120898.87794392525</v>
      </c>
      <c r="P229" s="613">
        <v>188237.9287058824</v>
      </c>
      <c r="Q229" s="613">
        <v>152190.35223529415</v>
      </c>
      <c r="R229" s="628"/>
      <c r="S229" s="628"/>
    </row>
    <row r="230" spans="1:45" hidden="1">
      <c r="A230" s="668">
        <f t="shared" si="50"/>
        <v>98</v>
      </c>
      <c r="B230" s="625" t="str">
        <f t="shared" si="51"/>
        <v>98B</v>
      </c>
      <c r="C230" s="613">
        <f t="shared" si="41"/>
        <v>478496.73</v>
      </c>
      <c r="D230" s="626">
        <f t="shared" si="42"/>
        <v>386864.57</v>
      </c>
      <c r="E230" s="613">
        <f t="shared" si="43"/>
        <v>602342.93999999994</v>
      </c>
      <c r="F230" s="626">
        <f t="shared" si="44"/>
        <v>486994.23</v>
      </c>
      <c r="G230" s="621"/>
      <c r="H230" s="621"/>
      <c r="I230" s="569"/>
      <c r="J230" s="569"/>
      <c r="M230" s="627">
        <f t="shared" si="49"/>
        <v>98</v>
      </c>
      <c r="N230" s="613">
        <v>149534.80317757014</v>
      </c>
      <c r="O230" s="613">
        <v>120898.87794392525</v>
      </c>
      <c r="P230" s="613">
        <v>188237.9287058824</v>
      </c>
      <c r="Q230" s="613">
        <v>152190.35223529415</v>
      </c>
      <c r="R230" s="628"/>
      <c r="S230" s="628"/>
    </row>
    <row r="231" spans="1:45" hidden="1">
      <c r="A231" s="668">
        <f t="shared" si="50"/>
        <v>99</v>
      </c>
      <c r="B231" s="625" t="str">
        <f t="shared" si="51"/>
        <v>99B</v>
      </c>
      <c r="C231" s="613">
        <f t="shared" si="41"/>
        <v>478496.73</v>
      </c>
      <c r="D231" s="626">
        <f t="shared" si="42"/>
        <v>386864.57</v>
      </c>
      <c r="E231" s="613">
        <f t="shared" si="43"/>
        <v>602342.93999999994</v>
      </c>
      <c r="F231" s="626">
        <f t="shared" si="44"/>
        <v>486994.23</v>
      </c>
      <c r="G231" s="621"/>
      <c r="H231" s="621"/>
      <c r="I231" s="569"/>
      <c r="J231" s="569"/>
      <c r="M231" s="627">
        <f t="shared" si="49"/>
        <v>99</v>
      </c>
      <c r="N231" s="613">
        <v>149534.80317757014</v>
      </c>
      <c r="O231" s="613">
        <v>120898.87794392525</v>
      </c>
      <c r="P231" s="613">
        <v>188237.9287058824</v>
      </c>
      <c r="Q231" s="613">
        <v>152190.35223529415</v>
      </c>
      <c r="R231" s="628"/>
      <c r="S231" s="628"/>
    </row>
    <row r="232" spans="1:45" ht="13.5" hidden="1" thickBot="1">
      <c r="A232" s="669">
        <f t="shared" si="50"/>
        <v>100</v>
      </c>
      <c r="B232" s="629" t="str">
        <f t="shared" si="51"/>
        <v>100B</v>
      </c>
      <c r="C232" s="630">
        <f t="shared" si="41"/>
        <v>478496.73</v>
      </c>
      <c r="D232" s="631">
        <f t="shared" si="42"/>
        <v>386864.57</v>
      </c>
      <c r="E232" s="630">
        <f t="shared" si="43"/>
        <v>602342.93999999994</v>
      </c>
      <c r="F232" s="631">
        <f t="shared" si="44"/>
        <v>486994.23</v>
      </c>
      <c r="G232" s="621"/>
      <c r="H232" s="621"/>
      <c r="I232" s="569"/>
      <c r="J232" s="569"/>
      <c r="M232" s="632">
        <f t="shared" si="49"/>
        <v>100</v>
      </c>
      <c r="N232" s="613">
        <v>149534.80317757014</v>
      </c>
      <c r="O232" s="613">
        <v>120898.87794392525</v>
      </c>
      <c r="P232" s="613">
        <v>188237.9287058824</v>
      </c>
      <c r="Q232" s="613">
        <v>152190.35223529415</v>
      </c>
      <c r="R232" s="628"/>
      <c r="S232" s="628"/>
    </row>
    <row r="233" spans="1:45" ht="13.5" hidden="1" thickTop="1"/>
    <row r="235" spans="1:45" hidden="1">
      <c r="B235" s="633"/>
      <c r="C235" s="623"/>
      <c r="D235" s="634" t="s">
        <v>354</v>
      </c>
      <c r="E235" s="634"/>
      <c r="F235" s="635"/>
      <c r="M235" s="623"/>
      <c r="N235" s="634" t="s">
        <v>354</v>
      </c>
      <c r="O235" s="634"/>
      <c r="P235" s="635"/>
      <c r="Q235" s="707" t="s">
        <v>374</v>
      </c>
      <c r="W235" s="623"/>
      <c r="X235" s="634" t="s">
        <v>354</v>
      </c>
      <c r="Y235" s="634"/>
      <c r="Z235" s="635"/>
      <c r="AA235" s="707" t="s">
        <v>378</v>
      </c>
      <c r="AC235" s="623"/>
      <c r="AD235" s="634" t="s">
        <v>354</v>
      </c>
      <c r="AE235" s="634"/>
      <c r="AF235" s="635"/>
      <c r="AG235" s="707" t="s">
        <v>379</v>
      </c>
      <c r="AI235" s="623"/>
      <c r="AJ235" s="634" t="s">
        <v>354</v>
      </c>
      <c r="AK235" s="634"/>
      <c r="AL235" s="635"/>
      <c r="AM235" s="707" t="s">
        <v>381</v>
      </c>
      <c r="AO235" s="623"/>
      <c r="AP235" s="634" t="s">
        <v>354</v>
      </c>
      <c r="AQ235" s="634"/>
      <c r="AR235" s="635"/>
      <c r="AS235" s="707" t="s">
        <v>382</v>
      </c>
    </row>
    <row r="236" spans="1:45" hidden="1">
      <c r="B236" s="678" t="s">
        <v>40</v>
      </c>
      <c r="C236" s="636" t="s">
        <v>300</v>
      </c>
      <c r="D236" s="637" t="s">
        <v>300</v>
      </c>
      <c r="E236" s="638" t="s">
        <v>299</v>
      </c>
      <c r="F236" s="639" t="s">
        <v>299</v>
      </c>
      <c r="M236" s="636" t="s">
        <v>300</v>
      </c>
      <c r="N236" s="637" t="s">
        <v>300</v>
      </c>
      <c r="O236" s="638" t="s">
        <v>299</v>
      </c>
      <c r="P236" s="639" t="s">
        <v>299</v>
      </c>
      <c r="W236" s="636" t="s">
        <v>300</v>
      </c>
      <c r="X236" s="637" t="s">
        <v>300</v>
      </c>
      <c r="Y236" s="638" t="s">
        <v>299</v>
      </c>
      <c r="Z236" s="639" t="s">
        <v>299</v>
      </c>
      <c r="AC236" s="636" t="s">
        <v>300</v>
      </c>
      <c r="AD236" s="637" t="s">
        <v>300</v>
      </c>
      <c r="AE236" s="638" t="s">
        <v>299</v>
      </c>
      <c r="AF236" s="639" t="s">
        <v>299</v>
      </c>
      <c r="AI236" s="636" t="s">
        <v>300</v>
      </c>
      <c r="AJ236" s="637" t="s">
        <v>300</v>
      </c>
      <c r="AK236" s="638" t="s">
        <v>299</v>
      </c>
      <c r="AL236" s="639" t="s">
        <v>299</v>
      </c>
      <c r="AO236" s="636" t="s">
        <v>300</v>
      </c>
      <c r="AP236" s="637" t="s">
        <v>300</v>
      </c>
      <c r="AQ236" s="638" t="s">
        <v>299</v>
      </c>
      <c r="AR236" s="639" t="s">
        <v>299</v>
      </c>
    </row>
    <row r="237" spans="1:45" hidden="1">
      <c r="A237" s="640" t="s">
        <v>6</v>
      </c>
      <c r="B237" s="623" t="s">
        <v>364</v>
      </c>
      <c r="C237" s="641" t="s">
        <v>7</v>
      </c>
      <c r="D237" s="642" t="s">
        <v>8</v>
      </c>
      <c r="E237" s="642" t="s">
        <v>7</v>
      </c>
      <c r="F237" s="643" t="s">
        <v>8</v>
      </c>
      <c r="H237" s="667" t="s">
        <v>365</v>
      </c>
      <c r="I237" s="662" t="s">
        <v>361</v>
      </c>
      <c r="J237" s="663" t="s">
        <v>366</v>
      </c>
      <c r="M237" s="641" t="s">
        <v>7</v>
      </c>
      <c r="N237" s="642" t="s">
        <v>8</v>
      </c>
      <c r="O237" s="642" t="s">
        <v>7</v>
      </c>
      <c r="P237" s="643" t="s">
        <v>8</v>
      </c>
      <c r="W237" s="641" t="s">
        <v>7</v>
      </c>
      <c r="X237" s="642" t="s">
        <v>8</v>
      </c>
      <c r="Y237" s="642" t="s">
        <v>7</v>
      </c>
      <c r="Z237" s="643" t="s">
        <v>8</v>
      </c>
      <c r="AC237" s="641" t="s">
        <v>7</v>
      </c>
      <c r="AD237" s="642" t="s">
        <v>8</v>
      </c>
      <c r="AE237" s="642" t="s">
        <v>7</v>
      </c>
      <c r="AF237" s="643" t="s">
        <v>8</v>
      </c>
      <c r="AI237" s="641" t="s">
        <v>7</v>
      </c>
      <c r="AJ237" s="642" t="s">
        <v>8</v>
      </c>
      <c r="AK237" s="642" t="s">
        <v>7</v>
      </c>
      <c r="AL237" s="643" t="s">
        <v>8</v>
      </c>
      <c r="AO237" s="641" t="s">
        <v>7</v>
      </c>
      <c r="AP237" s="642" t="s">
        <v>8</v>
      </c>
      <c r="AQ237" s="642" t="s">
        <v>7</v>
      </c>
      <c r="AR237" s="643" t="s">
        <v>8</v>
      </c>
    </row>
    <row r="238" spans="1:45" hidden="1">
      <c r="A238" s="644">
        <v>0</v>
      </c>
      <c r="B238" s="633" t="str">
        <f>+CONCATENATE(A238,$B$236)</f>
        <v>0A</v>
      </c>
      <c r="C238" s="645">
        <v>14817.67</v>
      </c>
      <c r="D238" s="646">
        <v>14826.89</v>
      </c>
      <c r="E238" s="646">
        <v>14817.67</v>
      </c>
      <c r="F238" s="647">
        <v>14826.89</v>
      </c>
      <c r="G238" s="729"/>
      <c r="H238" s="625" t="s">
        <v>356</v>
      </c>
      <c r="I238" s="588">
        <v>1</v>
      </c>
      <c r="J238" s="664" t="s">
        <v>40</v>
      </c>
      <c r="K238" s="729"/>
      <c r="M238" s="645">
        <v>6340.3653325526066</v>
      </c>
      <c r="N238" s="646">
        <v>6344.3072101346825</v>
      </c>
      <c r="O238" s="646">
        <v>6340.3653325526066</v>
      </c>
      <c r="P238" s="647">
        <v>6344.3072101346825</v>
      </c>
      <c r="W238" s="645">
        <v>7228.090626519639</v>
      </c>
      <c r="X238" s="646">
        <v>7232.584413061496</v>
      </c>
      <c r="Y238" s="646">
        <v>7228.090626519639</v>
      </c>
      <c r="Z238" s="647">
        <v>7232.584413061496</v>
      </c>
      <c r="AC238" s="645">
        <v>8312.0313164727868</v>
      </c>
      <c r="AD238" s="646">
        <v>8317.1990013283721</v>
      </c>
      <c r="AE238" s="646">
        <v>8312.0313164727868</v>
      </c>
      <c r="AF238" s="647">
        <v>8317.1990013283721</v>
      </c>
      <c r="AI238" s="645">
        <v>9558.7207185329789</v>
      </c>
      <c r="AJ238" s="646">
        <v>9564.6634844364253</v>
      </c>
      <c r="AK238" s="646">
        <v>9558.7207185329789</v>
      </c>
      <c r="AL238" s="647">
        <v>9564.6634844364253</v>
      </c>
      <c r="AO238" s="645">
        <v>9750.18</v>
      </c>
      <c r="AP238" s="646">
        <v>9756.24</v>
      </c>
      <c r="AQ238" s="646">
        <v>9750.18</v>
      </c>
      <c r="AR238" s="647">
        <v>9756.24</v>
      </c>
    </row>
    <row r="239" spans="1:45" hidden="1">
      <c r="A239" s="644">
        <v>1</v>
      </c>
      <c r="B239" s="633" t="str">
        <f t="shared" ref="B239:B302" si="52">+CONCATENATE(A239,$B$236)</f>
        <v>1A</v>
      </c>
      <c r="C239" s="645">
        <v>14817.67</v>
      </c>
      <c r="D239" s="646">
        <v>14826.89</v>
      </c>
      <c r="E239" s="646">
        <v>14817.67</v>
      </c>
      <c r="F239" s="647">
        <v>14826.89</v>
      </c>
      <c r="H239" s="625" t="s">
        <v>357</v>
      </c>
      <c r="I239" s="588">
        <v>2</v>
      </c>
      <c r="J239" s="664" t="s">
        <v>40</v>
      </c>
      <c r="K239" s="729"/>
      <c r="M239" s="645">
        <v>6340.3653325526066</v>
      </c>
      <c r="N239" s="646">
        <v>6344.3072101346825</v>
      </c>
      <c r="O239" s="646">
        <v>6340.3653325526066</v>
      </c>
      <c r="P239" s="647">
        <v>6344.3072101346825</v>
      </c>
      <c r="W239" s="645">
        <v>7228.090626519639</v>
      </c>
      <c r="X239" s="646">
        <v>7232.584413061496</v>
      </c>
      <c r="Y239" s="646">
        <v>7228.090626519639</v>
      </c>
      <c r="Z239" s="647">
        <v>7232.584413061496</v>
      </c>
      <c r="AC239" s="645">
        <v>8312.0313164727868</v>
      </c>
      <c r="AD239" s="646">
        <v>8317.1990013283721</v>
      </c>
      <c r="AE239" s="646">
        <v>8312.0313164727868</v>
      </c>
      <c r="AF239" s="647">
        <v>8317.1990013283721</v>
      </c>
      <c r="AI239" s="645">
        <v>9558.7207185329789</v>
      </c>
      <c r="AJ239" s="646">
        <v>9564.6634844364253</v>
      </c>
      <c r="AK239" s="646">
        <v>9558.7207185329789</v>
      </c>
      <c r="AL239" s="647">
        <v>9564.6634844364253</v>
      </c>
      <c r="AO239" s="645">
        <v>9750.18</v>
      </c>
      <c r="AP239" s="646">
        <v>9756.24</v>
      </c>
      <c r="AQ239" s="646">
        <v>9750.18</v>
      </c>
      <c r="AR239" s="647">
        <v>9756.24</v>
      </c>
    </row>
    <row r="240" spans="1:45" hidden="1">
      <c r="A240" s="644">
        <v>2</v>
      </c>
      <c r="B240" s="633" t="str">
        <f t="shared" si="52"/>
        <v>2A</v>
      </c>
      <c r="C240" s="645">
        <v>14817.67</v>
      </c>
      <c r="D240" s="646">
        <v>14826.89</v>
      </c>
      <c r="E240" s="646">
        <v>14817.67</v>
      </c>
      <c r="F240" s="647">
        <v>14826.89</v>
      </c>
      <c r="H240" s="625" t="s">
        <v>358</v>
      </c>
      <c r="I240" s="588">
        <v>3</v>
      </c>
      <c r="J240" s="664" t="s">
        <v>52</v>
      </c>
      <c r="K240" s="729"/>
      <c r="M240" s="645">
        <v>6340.3653325526066</v>
      </c>
      <c r="N240" s="646">
        <v>6344.3072101346825</v>
      </c>
      <c r="O240" s="646">
        <v>6340.3653325526066</v>
      </c>
      <c r="P240" s="647">
        <v>6344.3072101346825</v>
      </c>
      <c r="W240" s="645">
        <v>7228.090626519639</v>
      </c>
      <c r="X240" s="646">
        <v>7232.584413061496</v>
      </c>
      <c r="Y240" s="646">
        <v>7228.090626519639</v>
      </c>
      <c r="Z240" s="647">
        <v>7232.584413061496</v>
      </c>
      <c r="AC240" s="645">
        <v>8312.0313164727868</v>
      </c>
      <c r="AD240" s="646">
        <v>8317.1990013283721</v>
      </c>
      <c r="AE240" s="646">
        <v>8312.0313164727868</v>
      </c>
      <c r="AF240" s="647">
        <v>8317.1990013283721</v>
      </c>
      <c r="AI240" s="645">
        <v>9558.7207185329789</v>
      </c>
      <c r="AJ240" s="646">
        <v>9564.6634844364253</v>
      </c>
      <c r="AK240" s="646">
        <v>9558.7207185329789</v>
      </c>
      <c r="AL240" s="647">
        <v>9564.6634844364253</v>
      </c>
      <c r="AO240" s="645">
        <v>9750.18</v>
      </c>
      <c r="AP240" s="646">
        <v>9756.24</v>
      </c>
      <c r="AQ240" s="646">
        <v>9750.18</v>
      </c>
      <c r="AR240" s="647">
        <v>9756.24</v>
      </c>
    </row>
    <row r="241" spans="1:44" hidden="1">
      <c r="A241" s="644">
        <v>3</v>
      </c>
      <c r="B241" s="633" t="str">
        <f t="shared" si="52"/>
        <v>3A</v>
      </c>
      <c r="C241" s="645">
        <v>14817.67</v>
      </c>
      <c r="D241" s="646">
        <v>14826.89</v>
      </c>
      <c r="E241" s="646">
        <v>14817.67</v>
      </c>
      <c r="F241" s="647">
        <v>14826.89</v>
      </c>
      <c r="H241" s="625" t="s">
        <v>359</v>
      </c>
      <c r="I241" s="588">
        <v>4</v>
      </c>
      <c r="J241" s="664" t="s">
        <v>52</v>
      </c>
      <c r="K241" s="729"/>
      <c r="M241" s="645">
        <v>6340.3653325526066</v>
      </c>
      <c r="N241" s="646">
        <v>6344.3072101346825</v>
      </c>
      <c r="O241" s="646">
        <v>6340.3653325526066</v>
      </c>
      <c r="P241" s="647">
        <v>6344.3072101346825</v>
      </c>
      <c r="W241" s="645">
        <v>7228.090626519639</v>
      </c>
      <c r="X241" s="646">
        <v>7232.584413061496</v>
      </c>
      <c r="Y241" s="646">
        <v>7228.090626519639</v>
      </c>
      <c r="Z241" s="647">
        <v>7232.584413061496</v>
      </c>
      <c r="AC241" s="645">
        <v>8312.0313164727868</v>
      </c>
      <c r="AD241" s="646">
        <v>8317.1990013283721</v>
      </c>
      <c r="AE241" s="646">
        <v>8312.0313164727868</v>
      </c>
      <c r="AF241" s="647">
        <v>8317.1990013283721</v>
      </c>
      <c r="AI241" s="645">
        <v>9558.7207185329789</v>
      </c>
      <c r="AJ241" s="646">
        <v>9564.6634844364253</v>
      </c>
      <c r="AK241" s="646">
        <v>9558.7207185329789</v>
      </c>
      <c r="AL241" s="647">
        <v>9564.6634844364253</v>
      </c>
      <c r="AO241" s="645">
        <v>9750.18</v>
      </c>
      <c r="AP241" s="646">
        <v>9756.24</v>
      </c>
      <c r="AQ241" s="646">
        <v>9750.18</v>
      </c>
      <c r="AR241" s="647">
        <v>9756.24</v>
      </c>
    </row>
    <row r="242" spans="1:44" hidden="1">
      <c r="A242" s="644">
        <v>4</v>
      </c>
      <c r="B242" s="633" t="str">
        <f t="shared" si="52"/>
        <v>4A</v>
      </c>
      <c r="C242" s="645">
        <v>14817.67</v>
      </c>
      <c r="D242" s="646">
        <v>14826.89</v>
      </c>
      <c r="E242" s="646">
        <v>14817.67</v>
      </c>
      <c r="F242" s="647">
        <v>14826.89</v>
      </c>
      <c r="H242" s="629" t="s">
        <v>360</v>
      </c>
      <c r="I242" s="665">
        <v>5</v>
      </c>
      <c r="J242" s="666" t="s">
        <v>52</v>
      </c>
      <c r="K242" s="729"/>
      <c r="M242" s="645">
        <v>6340.3653325526066</v>
      </c>
      <c r="N242" s="646">
        <v>6344.3072101346825</v>
      </c>
      <c r="O242" s="646">
        <v>6340.3653325526066</v>
      </c>
      <c r="P242" s="647">
        <v>6344.3072101346825</v>
      </c>
      <c r="W242" s="645">
        <v>7228.090626519639</v>
      </c>
      <c r="X242" s="646">
        <v>7232.584413061496</v>
      </c>
      <c r="Y242" s="646">
        <v>7228.090626519639</v>
      </c>
      <c r="Z242" s="647">
        <v>7232.584413061496</v>
      </c>
      <c r="AC242" s="645">
        <v>8312.0313164727868</v>
      </c>
      <c r="AD242" s="646">
        <v>8317.1990013283721</v>
      </c>
      <c r="AE242" s="646">
        <v>8312.0313164727868</v>
      </c>
      <c r="AF242" s="647">
        <v>8317.1990013283721</v>
      </c>
      <c r="AI242" s="645">
        <v>9558.7207185329789</v>
      </c>
      <c r="AJ242" s="646">
        <v>9564.6634844364253</v>
      </c>
      <c r="AK242" s="646">
        <v>9558.7207185329789</v>
      </c>
      <c r="AL242" s="647">
        <v>9564.6634844364253</v>
      </c>
      <c r="AO242" s="645">
        <v>9750.18</v>
      </c>
      <c r="AP242" s="646">
        <v>9756.24</v>
      </c>
      <c r="AQ242" s="646">
        <v>9750.18</v>
      </c>
      <c r="AR242" s="647">
        <v>9756.24</v>
      </c>
    </row>
    <row r="243" spans="1:44" hidden="1">
      <c r="A243" s="644">
        <v>5</v>
      </c>
      <c r="B243" s="633" t="str">
        <f t="shared" si="52"/>
        <v>5A</v>
      </c>
      <c r="C243" s="645">
        <v>14817.67</v>
      </c>
      <c r="D243" s="646">
        <v>14826.89</v>
      </c>
      <c r="E243" s="646">
        <v>14817.67</v>
      </c>
      <c r="F243" s="647">
        <v>14826.89</v>
      </c>
      <c r="K243" s="729"/>
      <c r="M243" s="645">
        <v>6340.3653325526066</v>
      </c>
      <c r="N243" s="646">
        <v>6344.3072101346825</v>
      </c>
      <c r="O243" s="646">
        <v>6340.3653325526066</v>
      </c>
      <c r="P243" s="647">
        <v>6344.3072101346825</v>
      </c>
      <c r="W243" s="645">
        <v>7228.090626519639</v>
      </c>
      <c r="X243" s="646">
        <v>7232.584413061496</v>
      </c>
      <c r="Y243" s="646">
        <v>7228.090626519639</v>
      </c>
      <c r="Z243" s="647">
        <v>7232.584413061496</v>
      </c>
      <c r="AC243" s="645">
        <v>8312.0313164727868</v>
      </c>
      <c r="AD243" s="646">
        <v>8317.1990013283721</v>
      </c>
      <c r="AE243" s="646">
        <v>8312.0313164727868</v>
      </c>
      <c r="AF243" s="647">
        <v>8317.1990013283721</v>
      </c>
      <c r="AI243" s="645">
        <v>9558.7207185329789</v>
      </c>
      <c r="AJ243" s="646">
        <v>9564.6634844364253</v>
      </c>
      <c r="AK243" s="646">
        <v>9558.7207185329789</v>
      </c>
      <c r="AL243" s="647">
        <v>9564.6634844364253</v>
      </c>
      <c r="AO243" s="645">
        <v>9750.18</v>
      </c>
      <c r="AP243" s="646">
        <v>9756.24</v>
      </c>
      <c r="AQ243" s="646">
        <v>9750.18</v>
      </c>
      <c r="AR243" s="647">
        <v>9756.24</v>
      </c>
    </row>
    <row r="244" spans="1:44" hidden="1">
      <c r="A244" s="644">
        <v>6</v>
      </c>
      <c r="B244" s="633" t="str">
        <f t="shared" si="52"/>
        <v>6A</v>
      </c>
      <c r="C244" s="645">
        <v>14817.67</v>
      </c>
      <c r="D244" s="646">
        <v>14826.89</v>
      </c>
      <c r="E244" s="646">
        <v>14817.67</v>
      </c>
      <c r="F244" s="647">
        <v>14826.89</v>
      </c>
      <c r="K244" s="729"/>
      <c r="M244" s="645">
        <v>6340.3653325526066</v>
      </c>
      <c r="N244" s="646">
        <v>6344.3072101346825</v>
      </c>
      <c r="O244" s="646">
        <v>6340.3653325526066</v>
      </c>
      <c r="P244" s="647">
        <v>6344.3072101346825</v>
      </c>
      <c r="W244" s="645">
        <v>7228.090626519639</v>
      </c>
      <c r="X244" s="646">
        <v>7232.584413061496</v>
      </c>
      <c r="Y244" s="646">
        <v>7228.090626519639</v>
      </c>
      <c r="Z244" s="647">
        <v>7232.584413061496</v>
      </c>
      <c r="AC244" s="645">
        <v>8312.0313164727868</v>
      </c>
      <c r="AD244" s="646">
        <v>8317.1990013283721</v>
      </c>
      <c r="AE244" s="646">
        <v>8312.0313164727868</v>
      </c>
      <c r="AF244" s="647">
        <v>8317.1990013283721</v>
      </c>
      <c r="AI244" s="645">
        <v>9558.7207185329789</v>
      </c>
      <c r="AJ244" s="646">
        <v>9564.6634844364253</v>
      </c>
      <c r="AK244" s="646">
        <v>9558.7207185329789</v>
      </c>
      <c r="AL244" s="647">
        <v>9564.6634844364253</v>
      </c>
      <c r="AO244" s="645">
        <v>9750.18</v>
      </c>
      <c r="AP244" s="646">
        <v>9756.24</v>
      </c>
      <c r="AQ244" s="646">
        <v>9750.18</v>
      </c>
      <c r="AR244" s="647">
        <v>9756.24</v>
      </c>
    </row>
    <row r="245" spans="1:44" hidden="1">
      <c r="A245" s="644">
        <v>7</v>
      </c>
      <c r="B245" s="633" t="str">
        <f t="shared" si="52"/>
        <v>7A</v>
      </c>
      <c r="C245" s="645">
        <v>14817.67</v>
      </c>
      <c r="D245" s="646">
        <v>14826.89</v>
      </c>
      <c r="E245" s="646">
        <v>14817.67</v>
      </c>
      <c r="F245" s="647">
        <v>14826.89</v>
      </c>
      <c r="K245" s="729"/>
      <c r="M245" s="645">
        <v>6340.3653325526066</v>
      </c>
      <c r="N245" s="646">
        <v>6344.3072101346825</v>
      </c>
      <c r="O245" s="646">
        <v>6340.3653325526066</v>
      </c>
      <c r="P245" s="647">
        <v>6344.3072101346825</v>
      </c>
      <c r="W245" s="645">
        <v>7228.090626519639</v>
      </c>
      <c r="X245" s="646">
        <v>7232.584413061496</v>
      </c>
      <c r="Y245" s="646">
        <v>7228.090626519639</v>
      </c>
      <c r="Z245" s="647">
        <v>7232.584413061496</v>
      </c>
      <c r="AC245" s="645">
        <v>8312.0313164727868</v>
      </c>
      <c r="AD245" s="646">
        <v>8317.1990013283721</v>
      </c>
      <c r="AE245" s="646">
        <v>8312.0313164727868</v>
      </c>
      <c r="AF245" s="647">
        <v>8317.1990013283721</v>
      </c>
      <c r="AI245" s="645">
        <v>9558.7207185329789</v>
      </c>
      <c r="AJ245" s="646">
        <v>9564.6634844364253</v>
      </c>
      <c r="AK245" s="646">
        <v>9558.7207185329789</v>
      </c>
      <c r="AL245" s="647">
        <v>9564.6634844364253</v>
      </c>
      <c r="AO245" s="645">
        <v>9750.18</v>
      </c>
      <c r="AP245" s="646">
        <v>9756.24</v>
      </c>
      <c r="AQ245" s="646">
        <v>9750.18</v>
      </c>
      <c r="AR245" s="647">
        <v>9756.24</v>
      </c>
    </row>
    <row r="246" spans="1:44" hidden="1">
      <c r="A246" s="644">
        <v>8</v>
      </c>
      <c r="B246" s="633" t="str">
        <f t="shared" si="52"/>
        <v>8A</v>
      </c>
      <c r="C246" s="645">
        <v>14817.67</v>
      </c>
      <c r="D246" s="646">
        <v>14826.89</v>
      </c>
      <c r="E246" s="646">
        <v>14817.67</v>
      </c>
      <c r="F246" s="647">
        <v>14826.89</v>
      </c>
      <c r="K246" s="729"/>
      <c r="M246" s="645">
        <v>6340.3653325526066</v>
      </c>
      <c r="N246" s="646">
        <v>6344.3072101346825</v>
      </c>
      <c r="O246" s="646">
        <v>6340.3653325526066</v>
      </c>
      <c r="P246" s="647">
        <v>6344.3072101346825</v>
      </c>
      <c r="W246" s="645">
        <v>7228.090626519639</v>
      </c>
      <c r="X246" s="646">
        <v>7232.584413061496</v>
      </c>
      <c r="Y246" s="646">
        <v>7228.090626519639</v>
      </c>
      <c r="Z246" s="647">
        <v>7232.584413061496</v>
      </c>
      <c r="AC246" s="645">
        <v>8312.0313164727868</v>
      </c>
      <c r="AD246" s="646">
        <v>8317.1990013283721</v>
      </c>
      <c r="AE246" s="646">
        <v>8312.0313164727868</v>
      </c>
      <c r="AF246" s="647">
        <v>8317.1990013283721</v>
      </c>
      <c r="AI246" s="645">
        <v>9558.7207185329789</v>
      </c>
      <c r="AJ246" s="646">
        <v>9564.6634844364253</v>
      </c>
      <c r="AK246" s="646">
        <v>9558.7207185329789</v>
      </c>
      <c r="AL246" s="647">
        <v>9564.6634844364253</v>
      </c>
      <c r="AO246" s="645">
        <v>9750.18</v>
      </c>
      <c r="AP246" s="646">
        <v>9756.24</v>
      </c>
      <c r="AQ246" s="646">
        <v>9750.18</v>
      </c>
      <c r="AR246" s="647">
        <v>9756.24</v>
      </c>
    </row>
    <row r="247" spans="1:44" hidden="1">
      <c r="A247" s="644">
        <v>9</v>
      </c>
      <c r="B247" s="633" t="str">
        <f t="shared" si="52"/>
        <v>9A</v>
      </c>
      <c r="C247" s="645">
        <v>14817.67</v>
      </c>
      <c r="D247" s="646">
        <v>14826.89</v>
      </c>
      <c r="E247" s="646">
        <v>14817.67</v>
      </c>
      <c r="F247" s="647">
        <v>14826.89</v>
      </c>
      <c r="K247" s="729"/>
      <c r="M247" s="645">
        <v>6340.3653325526066</v>
      </c>
      <c r="N247" s="646">
        <v>6344.3072101346825</v>
      </c>
      <c r="O247" s="646">
        <v>6340.3653325526066</v>
      </c>
      <c r="P247" s="647">
        <v>6344.3072101346825</v>
      </c>
      <c r="W247" s="645">
        <v>7228.090626519639</v>
      </c>
      <c r="X247" s="646">
        <v>7232.584413061496</v>
      </c>
      <c r="Y247" s="646">
        <v>7228.090626519639</v>
      </c>
      <c r="Z247" s="647">
        <v>7232.584413061496</v>
      </c>
      <c r="AC247" s="645">
        <v>8312.0313164727868</v>
      </c>
      <c r="AD247" s="646">
        <v>8317.1990013283721</v>
      </c>
      <c r="AE247" s="646">
        <v>8312.0313164727868</v>
      </c>
      <c r="AF247" s="647">
        <v>8317.1990013283721</v>
      </c>
      <c r="AI247" s="645">
        <v>9558.7207185329789</v>
      </c>
      <c r="AJ247" s="646">
        <v>9564.6634844364253</v>
      </c>
      <c r="AK247" s="646">
        <v>9558.7207185329789</v>
      </c>
      <c r="AL247" s="647">
        <v>9564.6634844364253</v>
      </c>
      <c r="AO247" s="645">
        <v>9750.18</v>
      </c>
      <c r="AP247" s="646">
        <v>9756.24</v>
      </c>
      <c r="AQ247" s="646">
        <v>9750.18</v>
      </c>
      <c r="AR247" s="647">
        <v>9756.24</v>
      </c>
    </row>
    <row r="248" spans="1:44" hidden="1">
      <c r="A248" s="644">
        <v>10</v>
      </c>
      <c r="B248" s="633" t="str">
        <f t="shared" si="52"/>
        <v>10A</v>
      </c>
      <c r="C248" s="645">
        <v>14817.67</v>
      </c>
      <c r="D248" s="646">
        <v>14826.89</v>
      </c>
      <c r="E248" s="646">
        <v>14817.67</v>
      </c>
      <c r="F248" s="647">
        <v>14826.89</v>
      </c>
      <c r="K248" s="729"/>
      <c r="M248" s="645">
        <v>6340.3653325526066</v>
      </c>
      <c r="N248" s="646">
        <v>6344.3072101346825</v>
      </c>
      <c r="O248" s="646">
        <v>6340.3653325526066</v>
      </c>
      <c r="P248" s="647">
        <v>6344.3072101346825</v>
      </c>
      <c r="W248" s="645">
        <v>7228.090626519639</v>
      </c>
      <c r="X248" s="646">
        <v>7232.584413061496</v>
      </c>
      <c r="Y248" s="646">
        <v>7228.090626519639</v>
      </c>
      <c r="Z248" s="647">
        <v>7232.584413061496</v>
      </c>
      <c r="AC248" s="645">
        <v>8312.0313164727868</v>
      </c>
      <c r="AD248" s="646">
        <v>8317.1990013283721</v>
      </c>
      <c r="AE248" s="646">
        <v>8312.0313164727868</v>
      </c>
      <c r="AF248" s="647">
        <v>8317.1990013283721</v>
      </c>
      <c r="AI248" s="645">
        <v>9558.7207185329789</v>
      </c>
      <c r="AJ248" s="646">
        <v>9564.6634844364253</v>
      </c>
      <c r="AK248" s="646">
        <v>9558.7207185329789</v>
      </c>
      <c r="AL248" s="647">
        <v>9564.6634844364253</v>
      </c>
      <c r="AO248" s="645">
        <v>9750.18</v>
      </c>
      <c r="AP248" s="646">
        <v>9756.24</v>
      </c>
      <c r="AQ248" s="646">
        <v>9750.18</v>
      </c>
      <c r="AR248" s="647">
        <v>9756.24</v>
      </c>
    </row>
    <row r="249" spans="1:44" hidden="1">
      <c r="A249" s="644">
        <v>11</v>
      </c>
      <c r="B249" s="633" t="str">
        <f t="shared" si="52"/>
        <v>11A</v>
      </c>
      <c r="C249" s="645">
        <v>14995.93</v>
      </c>
      <c r="D249" s="646">
        <v>14859.73</v>
      </c>
      <c r="E249" s="646">
        <v>14995.93</v>
      </c>
      <c r="F249" s="647">
        <v>14859.73</v>
      </c>
      <c r="K249" s="729"/>
      <c r="M249" s="645">
        <v>6416.6417772905133</v>
      </c>
      <c r="N249" s="646">
        <v>6358.3598923623085</v>
      </c>
      <c r="O249" s="646">
        <v>6416.6417772905133</v>
      </c>
      <c r="P249" s="647">
        <v>6358.3598923623085</v>
      </c>
      <c r="W249" s="645">
        <v>7315.0466655358232</v>
      </c>
      <c r="X249" s="646">
        <v>7248.6046351400983</v>
      </c>
      <c r="Y249" s="646">
        <v>7315.0466655358232</v>
      </c>
      <c r="Z249" s="647">
        <v>7248.6046351400983</v>
      </c>
      <c r="AC249" s="645">
        <v>8412.0274782263623</v>
      </c>
      <c r="AD249" s="646">
        <v>8335.6216518587389</v>
      </c>
      <c r="AE249" s="646">
        <v>8412.0274782263623</v>
      </c>
      <c r="AF249" s="647">
        <v>8335.6216518587389</v>
      </c>
      <c r="AI249" s="645">
        <v>9673.7149175121594</v>
      </c>
      <c r="AJ249" s="646">
        <v>9585.8492770074809</v>
      </c>
      <c r="AK249" s="646">
        <v>9673.7149175121594</v>
      </c>
      <c r="AL249" s="647">
        <v>9585.8492770074809</v>
      </c>
      <c r="AO249" s="645">
        <v>9867.4699999999993</v>
      </c>
      <c r="AP249" s="646">
        <v>9777.85</v>
      </c>
      <c r="AQ249" s="646">
        <v>9867.4699999999993</v>
      </c>
      <c r="AR249" s="647">
        <v>9777.85</v>
      </c>
    </row>
    <row r="250" spans="1:44" hidden="1">
      <c r="A250" s="644">
        <v>12</v>
      </c>
      <c r="B250" s="633" t="str">
        <f t="shared" si="52"/>
        <v>12A</v>
      </c>
      <c r="C250" s="645">
        <v>14926.82</v>
      </c>
      <c r="D250" s="646">
        <v>15062.87</v>
      </c>
      <c r="E250" s="646">
        <v>14926.82</v>
      </c>
      <c r="F250" s="647">
        <v>15062.87</v>
      </c>
      <c r="K250" s="729"/>
      <c r="M250" s="645">
        <v>6387.0665601775381</v>
      </c>
      <c r="N250" s="646">
        <v>6445.2816336213027</v>
      </c>
      <c r="O250" s="646">
        <v>6387.0665601775381</v>
      </c>
      <c r="P250" s="647">
        <v>6445.2816336213027</v>
      </c>
      <c r="W250" s="645">
        <v>7281.3305721596207</v>
      </c>
      <c r="X250" s="646">
        <v>7347.6964366817556</v>
      </c>
      <c r="Y250" s="646">
        <v>7281.3305721596207</v>
      </c>
      <c r="Z250" s="647">
        <v>7347.6964366817556</v>
      </c>
      <c r="AC250" s="645">
        <v>8373.2552438296461</v>
      </c>
      <c r="AD250" s="646">
        <v>8449.5734823183611</v>
      </c>
      <c r="AE250" s="646">
        <v>8373.2552438296461</v>
      </c>
      <c r="AF250" s="647">
        <v>8449.5734823183611</v>
      </c>
      <c r="AI250" s="645">
        <v>9629.1273857619817</v>
      </c>
      <c r="AJ250" s="646">
        <v>9716.8923014208412</v>
      </c>
      <c r="AK250" s="646">
        <v>9629.1273857619817</v>
      </c>
      <c r="AL250" s="647">
        <v>9716.8923014208412</v>
      </c>
      <c r="AO250" s="645">
        <v>9821.99</v>
      </c>
      <c r="AP250" s="646">
        <v>9911.51</v>
      </c>
      <c r="AQ250" s="646">
        <v>9821.99</v>
      </c>
      <c r="AR250" s="647">
        <v>9911.51</v>
      </c>
    </row>
    <row r="251" spans="1:44" hidden="1">
      <c r="A251" s="644">
        <v>13</v>
      </c>
      <c r="B251" s="633" t="str">
        <f t="shared" si="52"/>
        <v>13A</v>
      </c>
      <c r="C251" s="645">
        <v>14823.76</v>
      </c>
      <c r="D251" s="646">
        <v>14963.77</v>
      </c>
      <c r="E251" s="646">
        <v>14823.76</v>
      </c>
      <c r="F251" s="647">
        <v>14963.77</v>
      </c>
      <c r="K251" s="729"/>
      <c r="M251" s="645">
        <v>6342.9709804458425</v>
      </c>
      <c r="N251" s="646">
        <v>6402.8786114954701</v>
      </c>
      <c r="O251" s="646">
        <v>6342.9709804458425</v>
      </c>
      <c r="P251" s="647">
        <v>6402.8786114954701</v>
      </c>
      <c r="W251" s="645">
        <v>7231.06109558968</v>
      </c>
      <c r="X251" s="646">
        <v>7299.3564955761158</v>
      </c>
      <c r="Y251" s="646">
        <v>7231.06109558968</v>
      </c>
      <c r="Z251" s="647">
        <v>7299.3564955761158</v>
      </c>
      <c r="AC251" s="645">
        <v>8315.4472437502063</v>
      </c>
      <c r="AD251" s="646">
        <v>8393.9843751712651</v>
      </c>
      <c r="AE251" s="646">
        <v>8315.4472437502063</v>
      </c>
      <c r="AF251" s="647">
        <v>8393.9843751712651</v>
      </c>
      <c r="AI251" s="645">
        <v>9562.6489875200023</v>
      </c>
      <c r="AJ251" s="646">
        <v>9652.9655992729986</v>
      </c>
      <c r="AK251" s="646">
        <v>9562.6489875200023</v>
      </c>
      <c r="AL251" s="647">
        <v>9652.9655992729986</v>
      </c>
      <c r="AO251" s="645">
        <v>9754.18</v>
      </c>
      <c r="AP251" s="646">
        <v>9846.31</v>
      </c>
      <c r="AQ251" s="646">
        <v>9754.18</v>
      </c>
      <c r="AR251" s="647">
        <v>9846.31</v>
      </c>
    </row>
    <row r="252" spans="1:44" hidden="1">
      <c r="A252" s="644">
        <v>14</v>
      </c>
      <c r="B252" s="633" t="str">
        <f t="shared" si="52"/>
        <v>14A</v>
      </c>
      <c r="C252" s="645">
        <v>14438.87</v>
      </c>
      <c r="D252" s="646">
        <v>14659.09</v>
      </c>
      <c r="E252" s="646">
        <v>14438.87</v>
      </c>
      <c r="F252" s="647">
        <v>14659.09</v>
      </c>
      <c r="K252" s="729"/>
      <c r="M252" s="645">
        <v>6178.2806712964057</v>
      </c>
      <c r="N252" s="646">
        <v>6272.5071348543861</v>
      </c>
      <c r="O252" s="646">
        <v>6178.2806712964057</v>
      </c>
      <c r="P252" s="647">
        <v>6272.5071348543861</v>
      </c>
      <c r="W252" s="645">
        <v>7043.3122171883115</v>
      </c>
      <c r="X252" s="646">
        <v>7150.7314875758966</v>
      </c>
      <c r="Y252" s="646">
        <v>7043.3122171883115</v>
      </c>
      <c r="Z252" s="647">
        <v>7150.7314875758966</v>
      </c>
      <c r="AC252" s="645">
        <v>8099.5431222413927</v>
      </c>
      <c r="AD252" s="646">
        <v>8223.071227461649</v>
      </c>
      <c r="AE252" s="646">
        <v>8099.5431222413927</v>
      </c>
      <c r="AF252" s="647">
        <v>8223.071227461649</v>
      </c>
      <c r="AI252" s="645">
        <v>9314.3622425707872</v>
      </c>
      <c r="AJ252" s="646">
        <v>9456.4178501272618</v>
      </c>
      <c r="AK252" s="646">
        <v>9314.3622425707872</v>
      </c>
      <c r="AL252" s="647">
        <v>9456.4178501272618</v>
      </c>
      <c r="AO252" s="645">
        <v>9500.92</v>
      </c>
      <c r="AP252" s="646">
        <v>9645.82</v>
      </c>
      <c r="AQ252" s="646">
        <v>9500.92</v>
      </c>
      <c r="AR252" s="647">
        <v>9645.82</v>
      </c>
    </row>
    <row r="253" spans="1:44" hidden="1">
      <c r="A253" s="644">
        <v>15</v>
      </c>
      <c r="B253" s="633" t="str">
        <f t="shared" si="52"/>
        <v>15A</v>
      </c>
      <c r="C253" s="645">
        <v>14497.69</v>
      </c>
      <c r="D253" s="646">
        <v>14421.18</v>
      </c>
      <c r="E253" s="646">
        <v>14497.69</v>
      </c>
      <c r="F253" s="647">
        <v>14421.18</v>
      </c>
      <c r="K253" s="729"/>
      <c r="M253" s="645">
        <v>6203.4463304362125</v>
      </c>
      <c r="N253" s="646">
        <v>6170.7087030596513</v>
      </c>
      <c r="O253" s="646">
        <v>6203.4463304362125</v>
      </c>
      <c r="P253" s="647">
        <v>6170.7087030596513</v>
      </c>
      <c r="W253" s="645">
        <v>7072.0013629075211</v>
      </c>
      <c r="X253" s="646">
        <v>7034.6800848480216</v>
      </c>
      <c r="Y253" s="646">
        <v>7072.0013629075211</v>
      </c>
      <c r="Z253" s="647">
        <v>7034.6800848480216</v>
      </c>
      <c r="AC253" s="645">
        <v>8132.5345566301658</v>
      </c>
      <c r="AD253" s="646">
        <v>8089.6164959651278</v>
      </c>
      <c r="AE253" s="646">
        <v>8132.5345566301658</v>
      </c>
      <c r="AF253" s="647">
        <v>8089.6164959651278</v>
      </c>
      <c r="AI253" s="645">
        <v>9352.3019344967688</v>
      </c>
      <c r="AJ253" s="646">
        <v>9302.9467600443895</v>
      </c>
      <c r="AK253" s="646">
        <v>9352.3019344967688</v>
      </c>
      <c r="AL253" s="647">
        <v>9302.9467600443895</v>
      </c>
      <c r="AO253" s="645">
        <v>9539.6200000000008</v>
      </c>
      <c r="AP253" s="646">
        <v>9489.2800000000007</v>
      </c>
      <c r="AQ253" s="646">
        <v>9539.6200000000008</v>
      </c>
      <c r="AR253" s="647">
        <v>9489.2800000000007</v>
      </c>
    </row>
    <row r="254" spans="1:44" hidden="1">
      <c r="A254" s="644">
        <v>16</v>
      </c>
      <c r="B254" s="633" t="str">
        <f t="shared" si="52"/>
        <v>16A</v>
      </c>
      <c r="C254" s="645">
        <v>14226.58</v>
      </c>
      <c r="D254" s="646">
        <v>13874.27</v>
      </c>
      <c r="E254" s="646">
        <v>14226.58</v>
      </c>
      <c r="F254" s="647">
        <v>13874.27</v>
      </c>
      <c r="K254" s="729"/>
      <c r="M254" s="645">
        <v>6087.4393229501502</v>
      </c>
      <c r="N254" s="646">
        <v>5936.690343554269</v>
      </c>
      <c r="O254" s="646">
        <v>6087.4393229501502</v>
      </c>
      <c r="P254" s="647">
        <v>5936.690343554269</v>
      </c>
      <c r="W254" s="645">
        <v>6939.7520177293281</v>
      </c>
      <c r="X254" s="646">
        <v>6767.8964182839109</v>
      </c>
      <c r="Y254" s="646">
        <v>6939.7520177293281</v>
      </c>
      <c r="Z254" s="647">
        <v>6767.8964182839109</v>
      </c>
      <c r="AC254" s="645">
        <v>7980.4528028858213</v>
      </c>
      <c r="AD254" s="646">
        <v>7782.8253521091929</v>
      </c>
      <c r="AE254" s="646">
        <v>7980.4528028858213</v>
      </c>
      <c r="AF254" s="647">
        <v>7782.8253521091929</v>
      </c>
      <c r="AI254" s="645">
        <v>9177.4100272025862</v>
      </c>
      <c r="AJ254" s="646">
        <v>8950.1412000813907</v>
      </c>
      <c r="AK254" s="646">
        <v>9177.4100272025862</v>
      </c>
      <c r="AL254" s="647">
        <v>8950.1412000813907</v>
      </c>
      <c r="AO254" s="645">
        <v>9361.23</v>
      </c>
      <c r="AP254" s="646">
        <v>9129.41</v>
      </c>
      <c r="AQ254" s="646">
        <v>9361.23</v>
      </c>
      <c r="AR254" s="647">
        <v>9129.41</v>
      </c>
    </row>
    <row r="255" spans="1:44" hidden="1">
      <c r="A255" s="644">
        <v>17</v>
      </c>
      <c r="B255" s="633" t="str">
        <f t="shared" si="52"/>
        <v>17A</v>
      </c>
      <c r="C255" s="645">
        <v>14304.85</v>
      </c>
      <c r="D255" s="646">
        <v>14094.12</v>
      </c>
      <c r="E255" s="646">
        <v>14304.85</v>
      </c>
      <c r="F255" s="647">
        <v>14094.12</v>
      </c>
      <c r="K255" s="729"/>
      <c r="M255" s="645">
        <v>6120.9341471503876</v>
      </c>
      <c r="N255" s="646">
        <v>6030.7609136485544</v>
      </c>
      <c r="O255" s="646">
        <v>6120.9341471503876</v>
      </c>
      <c r="P255" s="647">
        <v>6030.7609136485544</v>
      </c>
      <c r="W255" s="645">
        <v>6977.9365090228594</v>
      </c>
      <c r="X255" s="646">
        <v>6875.1379682997849</v>
      </c>
      <c r="Y255" s="646">
        <v>6977.9365090228594</v>
      </c>
      <c r="Z255" s="647">
        <v>6875.1379682997849</v>
      </c>
      <c r="AC255" s="645">
        <v>8024.3635261784884</v>
      </c>
      <c r="AD255" s="646">
        <v>7906.149085611999</v>
      </c>
      <c r="AE255" s="646">
        <v>8024.3635261784884</v>
      </c>
      <c r="AF255" s="647">
        <v>7906.149085611999</v>
      </c>
      <c r="AI255" s="645">
        <v>9227.90674990761</v>
      </c>
      <c r="AJ255" s="646">
        <v>9091.9617829976196</v>
      </c>
      <c r="AK255" s="646">
        <v>9227.90674990761</v>
      </c>
      <c r="AL255" s="647">
        <v>9091.9617829976196</v>
      </c>
      <c r="AO255" s="645">
        <v>9412.74</v>
      </c>
      <c r="AP255" s="646">
        <v>9274.07</v>
      </c>
      <c r="AQ255" s="646">
        <v>9412.74</v>
      </c>
      <c r="AR255" s="647">
        <v>9274.07</v>
      </c>
    </row>
    <row r="256" spans="1:44" hidden="1">
      <c r="A256" s="644">
        <v>18</v>
      </c>
      <c r="B256" s="633" t="str">
        <f t="shared" si="52"/>
        <v>18A</v>
      </c>
      <c r="C256" s="645">
        <v>14723.31</v>
      </c>
      <c r="D256" s="646">
        <v>13316.53</v>
      </c>
      <c r="E256" s="646">
        <v>14723.31</v>
      </c>
      <c r="F256" s="647">
        <v>13316.53</v>
      </c>
      <c r="K256" s="729"/>
      <c r="M256" s="645">
        <v>6299.9889254548461</v>
      </c>
      <c r="N256" s="646">
        <v>5698.0397211275795</v>
      </c>
      <c r="O256" s="646">
        <v>6299.9889254548461</v>
      </c>
      <c r="P256" s="647">
        <v>5698.0397211275795</v>
      </c>
      <c r="W256" s="645">
        <v>7182.0610502462532</v>
      </c>
      <c r="X256" s="646">
        <v>6495.831917817507</v>
      </c>
      <c r="Y256" s="646">
        <v>7182.0610502462532</v>
      </c>
      <c r="Z256" s="647">
        <v>6495.831917817507</v>
      </c>
      <c r="AC256" s="645">
        <v>8259.0990416525729</v>
      </c>
      <c r="AD256" s="646">
        <v>7469.9614486489581</v>
      </c>
      <c r="AE256" s="646">
        <v>8259.0990416525729</v>
      </c>
      <c r="AF256" s="647">
        <v>7469.9614486489581</v>
      </c>
      <c r="AI256" s="645">
        <v>9497.8493367083756</v>
      </c>
      <c r="AJ256" s="646">
        <v>8590.352050808131</v>
      </c>
      <c r="AK256" s="646">
        <v>9497.8493367083756</v>
      </c>
      <c r="AL256" s="647">
        <v>8590.352050808131</v>
      </c>
      <c r="AO256" s="645">
        <v>9688.08</v>
      </c>
      <c r="AP256" s="646">
        <v>8762.41</v>
      </c>
      <c r="AQ256" s="646">
        <v>9688.08</v>
      </c>
      <c r="AR256" s="647">
        <v>8762.41</v>
      </c>
    </row>
    <row r="257" spans="1:44" hidden="1">
      <c r="A257" s="644">
        <v>19</v>
      </c>
      <c r="B257" s="633" t="str">
        <f t="shared" si="52"/>
        <v>19A</v>
      </c>
      <c r="C257" s="645">
        <v>15223.12</v>
      </c>
      <c r="D257" s="646">
        <v>13514.47</v>
      </c>
      <c r="E257" s="646">
        <v>15223.12</v>
      </c>
      <c r="F257" s="647">
        <v>13514.47</v>
      </c>
      <c r="K257" s="729"/>
      <c r="M257" s="645">
        <v>6513.8524871535692</v>
      </c>
      <c r="N257" s="646">
        <v>5782.7344129051744</v>
      </c>
      <c r="O257" s="646">
        <v>6513.8524871535692</v>
      </c>
      <c r="P257" s="647">
        <v>5782.7344129051744</v>
      </c>
      <c r="W257" s="645">
        <v>7425.8680116104651</v>
      </c>
      <c r="X257" s="646">
        <v>6592.3848569061356</v>
      </c>
      <c r="Y257" s="646">
        <v>7425.8680116104651</v>
      </c>
      <c r="Z257" s="647">
        <v>6592.3848569061356</v>
      </c>
      <c r="AC257" s="645">
        <v>8539.4678420378532</v>
      </c>
      <c r="AD257" s="646">
        <v>7580.9936831449731</v>
      </c>
      <c r="AE257" s="646">
        <v>8539.4678420378532</v>
      </c>
      <c r="AF257" s="647">
        <v>7580.9936831449731</v>
      </c>
      <c r="AI257" s="645">
        <v>9820.2695681819823</v>
      </c>
      <c r="AJ257" s="646">
        <v>8718.037580360784</v>
      </c>
      <c r="AK257" s="646">
        <v>9820.2695681819823</v>
      </c>
      <c r="AL257" s="647">
        <v>8718.037580360784</v>
      </c>
      <c r="AO257" s="645">
        <v>10016.959999999999</v>
      </c>
      <c r="AP257" s="646">
        <v>8892.65</v>
      </c>
      <c r="AQ257" s="646">
        <v>10016.959999999999</v>
      </c>
      <c r="AR257" s="647">
        <v>8892.65</v>
      </c>
    </row>
    <row r="258" spans="1:44" hidden="1">
      <c r="A258" s="644">
        <v>20</v>
      </c>
      <c r="B258" s="633" t="str">
        <f t="shared" si="52"/>
        <v>20A</v>
      </c>
      <c r="C258" s="645">
        <v>15685.04</v>
      </c>
      <c r="D258" s="646">
        <v>15682.49</v>
      </c>
      <c r="E258" s="646">
        <v>15685.04</v>
      </c>
      <c r="F258" s="647">
        <v>15682.49</v>
      </c>
      <c r="K258" s="729"/>
      <c r="M258" s="645">
        <v>6711.5031286277081</v>
      </c>
      <c r="N258" s="646">
        <v>6710.4118743818217</v>
      </c>
      <c r="O258" s="646">
        <v>6711.5031286277081</v>
      </c>
      <c r="P258" s="647">
        <v>6710.4118743818217</v>
      </c>
      <c r="W258" s="645">
        <v>7651.1920543166361</v>
      </c>
      <c r="X258" s="646">
        <v>7649.9480117146531</v>
      </c>
      <c r="Y258" s="646">
        <v>7651.1920543166361</v>
      </c>
      <c r="Z258" s="647">
        <v>7649.9480117146531</v>
      </c>
      <c r="AC258" s="645">
        <v>8798.5819838080643</v>
      </c>
      <c r="AD258" s="646">
        <v>8797.1513817858959</v>
      </c>
      <c r="AE258" s="646">
        <v>8798.5819838080643</v>
      </c>
      <c r="AF258" s="647">
        <v>8797.1513817858959</v>
      </c>
      <c r="AI258" s="645">
        <v>10118.247237069643</v>
      </c>
      <c r="AJ258" s="646">
        <v>10116.602064587898</v>
      </c>
      <c r="AK258" s="646">
        <v>10118.247237069643</v>
      </c>
      <c r="AL258" s="647">
        <v>10116.602064587898</v>
      </c>
      <c r="AO258" s="645">
        <v>10320.91</v>
      </c>
      <c r="AP258" s="646">
        <v>10319.23</v>
      </c>
      <c r="AQ258" s="646">
        <v>10320.91</v>
      </c>
      <c r="AR258" s="647">
        <v>10319.23</v>
      </c>
    </row>
    <row r="259" spans="1:44" hidden="1">
      <c r="A259" s="644">
        <v>21</v>
      </c>
      <c r="B259" s="633" t="str">
        <f t="shared" si="52"/>
        <v>21A</v>
      </c>
      <c r="C259" s="645">
        <v>16510.29</v>
      </c>
      <c r="D259" s="646">
        <v>20335.689999999999</v>
      </c>
      <c r="E259" s="646">
        <v>16510.29</v>
      </c>
      <c r="F259" s="647">
        <v>20335.689999999999</v>
      </c>
      <c r="K259" s="729"/>
      <c r="M259" s="645">
        <v>7064.6240943982939</v>
      </c>
      <c r="N259" s="646">
        <v>8701.483192731559</v>
      </c>
      <c r="O259" s="646">
        <v>7064.6240943982939</v>
      </c>
      <c r="P259" s="647">
        <v>8701.483192731559</v>
      </c>
      <c r="W259" s="645">
        <v>8053.754084868644</v>
      </c>
      <c r="X259" s="646">
        <v>9919.7925992191704</v>
      </c>
      <c r="Y259" s="646">
        <v>8053.754084868644</v>
      </c>
      <c r="Z259" s="647">
        <v>9919.7925992191704</v>
      </c>
      <c r="AC259" s="645">
        <v>9261.5131197977535</v>
      </c>
      <c r="AD259" s="646">
        <v>11407.386957090017</v>
      </c>
      <c r="AE259" s="646">
        <v>9261.5131197977535</v>
      </c>
      <c r="AF259" s="647">
        <v>11407.386957090017</v>
      </c>
      <c r="AI259" s="645">
        <v>10650.6116221832</v>
      </c>
      <c r="AJ259" s="646">
        <v>13118.336769853555</v>
      </c>
      <c r="AK259" s="646">
        <v>10650.6116221832</v>
      </c>
      <c r="AL259" s="647">
        <v>13118.336769853555</v>
      </c>
      <c r="AO259" s="645">
        <v>10863.94</v>
      </c>
      <c r="AP259" s="646">
        <v>13381.09</v>
      </c>
      <c r="AQ259" s="646">
        <v>10863.94</v>
      </c>
      <c r="AR259" s="647">
        <v>13381.09</v>
      </c>
    </row>
    <row r="260" spans="1:44" hidden="1">
      <c r="A260" s="644">
        <v>22</v>
      </c>
      <c r="B260" s="633" t="str">
        <f t="shared" si="52"/>
        <v>22A</v>
      </c>
      <c r="C260" s="645">
        <v>17250.82</v>
      </c>
      <c r="D260" s="646">
        <v>21318.45</v>
      </c>
      <c r="E260" s="646">
        <v>17250.82</v>
      </c>
      <c r="F260" s="647">
        <v>21318.45</v>
      </c>
      <c r="K260" s="729"/>
      <c r="M260" s="645">
        <v>7381.4886946117058</v>
      </c>
      <c r="N260" s="646">
        <v>9121.9946758092719</v>
      </c>
      <c r="O260" s="646">
        <v>7381.4886946117058</v>
      </c>
      <c r="P260" s="647">
        <v>9121.9946758092719</v>
      </c>
      <c r="W260" s="645">
        <v>8414.9834346853659</v>
      </c>
      <c r="X260" s="646">
        <v>10399.180607599788</v>
      </c>
      <c r="Y260" s="646">
        <v>8414.9834346853659</v>
      </c>
      <c r="Z260" s="647">
        <v>10399.180607599788</v>
      </c>
      <c r="AC260" s="645">
        <v>9676.9132334999013</v>
      </c>
      <c r="AD260" s="646">
        <v>11958.665066938487</v>
      </c>
      <c r="AE260" s="646">
        <v>9676.9132334999013</v>
      </c>
      <c r="AF260" s="647">
        <v>11958.665066938487</v>
      </c>
      <c r="AI260" s="645">
        <v>11128.315990964456</v>
      </c>
      <c r="AJ260" s="646">
        <v>13752.298949452077</v>
      </c>
      <c r="AK260" s="646">
        <v>11128.315990964456</v>
      </c>
      <c r="AL260" s="647">
        <v>13752.298949452077</v>
      </c>
      <c r="AO260" s="645">
        <v>11351.21</v>
      </c>
      <c r="AP260" s="646">
        <v>14027.75</v>
      </c>
      <c r="AQ260" s="646">
        <v>11351.21</v>
      </c>
      <c r="AR260" s="647">
        <v>14027.75</v>
      </c>
    </row>
    <row r="261" spans="1:44" hidden="1">
      <c r="A261" s="644">
        <v>23</v>
      </c>
      <c r="B261" s="633" t="str">
        <f t="shared" si="52"/>
        <v>23A</v>
      </c>
      <c r="C261" s="645">
        <v>18389.66</v>
      </c>
      <c r="D261" s="646">
        <v>22338.83</v>
      </c>
      <c r="E261" s="646">
        <v>18389.66</v>
      </c>
      <c r="F261" s="647">
        <v>22338.83</v>
      </c>
      <c r="K261" s="729"/>
      <c r="M261" s="645">
        <v>7868.7893916365674</v>
      </c>
      <c r="N261" s="646">
        <v>9558.6077266374959</v>
      </c>
      <c r="O261" s="646">
        <v>7868.7893916365674</v>
      </c>
      <c r="P261" s="647">
        <v>9558.6077266374959</v>
      </c>
      <c r="W261" s="645">
        <v>8970.5119280322706</v>
      </c>
      <c r="X261" s="646">
        <v>10896.924591515788</v>
      </c>
      <c r="Y261" s="646">
        <v>8970.5119280322706</v>
      </c>
      <c r="Z261" s="647">
        <v>10896.924591515788</v>
      </c>
      <c r="AC261" s="645">
        <v>10315.750026296979</v>
      </c>
      <c r="AD261" s="646">
        <v>12531.051855603842</v>
      </c>
      <c r="AE261" s="646">
        <v>10315.750026296979</v>
      </c>
      <c r="AF261" s="647">
        <v>12531.051855603842</v>
      </c>
      <c r="AI261" s="645">
        <v>11862.969441435558</v>
      </c>
      <c r="AJ261" s="646">
        <v>14410.535816893504</v>
      </c>
      <c r="AK261" s="646">
        <v>11862.969441435558</v>
      </c>
      <c r="AL261" s="647">
        <v>14410.535816893504</v>
      </c>
      <c r="AO261" s="645">
        <v>12100.58</v>
      </c>
      <c r="AP261" s="646">
        <v>14699.17</v>
      </c>
      <c r="AQ261" s="646">
        <v>12100.58</v>
      </c>
      <c r="AR261" s="647">
        <v>14699.17</v>
      </c>
    </row>
    <row r="262" spans="1:44" hidden="1">
      <c r="A262" s="644">
        <v>24</v>
      </c>
      <c r="B262" s="633" t="str">
        <f t="shared" si="52"/>
        <v>24A</v>
      </c>
      <c r="C262" s="645">
        <v>19154.38</v>
      </c>
      <c r="D262" s="646">
        <v>23402.93</v>
      </c>
      <c r="E262" s="646">
        <v>19154.38</v>
      </c>
      <c r="F262" s="647">
        <v>23402.93</v>
      </c>
      <c r="K262" s="729"/>
      <c r="M262" s="645">
        <v>8196.0097719384848</v>
      </c>
      <c r="N262" s="646">
        <v>10013.92799310947</v>
      </c>
      <c r="O262" s="646">
        <v>8196.0097719384848</v>
      </c>
      <c r="P262" s="647">
        <v>10013.92799310947</v>
      </c>
      <c r="W262" s="645">
        <v>9343.5469882555699</v>
      </c>
      <c r="X262" s="646">
        <v>11415.99502003722</v>
      </c>
      <c r="Y262" s="646">
        <v>9343.5469882555699</v>
      </c>
      <c r="Z262" s="647">
        <v>11415.99502003722</v>
      </c>
      <c r="AC262" s="645">
        <v>10744.726261229907</v>
      </c>
      <c r="AD262" s="646">
        <v>13127.963250363506</v>
      </c>
      <c r="AE262" s="646">
        <v>10744.726261229907</v>
      </c>
      <c r="AF262" s="647">
        <v>13127.963250363506</v>
      </c>
      <c r="AI262" s="645">
        <v>12356.286161319102</v>
      </c>
      <c r="AJ262" s="646">
        <v>15096.975641164863</v>
      </c>
      <c r="AK262" s="646">
        <v>12356.286161319102</v>
      </c>
      <c r="AL262" s="647">
        <v>15096.975641164863</v>
      </c>
      <c r="AO262" s="645">
        <v>12603.77</v>
      </c>
      <c r="AP262" s="646">
        <v>15399.36</v>
      </c>
      <c r="AQ262" s="646">
        <v>12603.77</v>
      </c>
      <c r="AR262" s="647">
        <v>15399.36</v>
      </c>
    </row>
    <row r="263" spans="1:44" hidden="1">
      <c r="A263" s="644">
        <v>25</v>
      </c>
      <c r="B263" s="633" t="str">
        <f t="shared" si="52"/>
        <v>25A</v>
      </c>
      <c r="C263" s="645">
        <v>19910.939999999999</v>
      </c>
      <c r="D263" s="646">
        <v>24500.49</v>
      </c>
      <c r="E263" s="646">
        <v>19910.939999999999</v>
      </c>
      <c r="F263" s="647">
        <v>24500.49</v>
      </c>
      <c r="K263" s="729"/>
      <c r="M263" s="645">
        <v>8519.733684554607</v>
      </c>
      <c r="N263" s="646">
        <v>10483.568187746838</v>
      </c>
      <c r="O263" s="646">
        <v>8519.733684554607</v>
      </c>
      <c r="P263" s="647">
        <v>10483.568187746838</v>
      </c>
      <c r="W263" s="645">
        <v>9712.5960344276173</v>
      </c>
      <c r="X263" s="646">
        <v>11951.390334131615</v>
      </c>
      <c r="Y263" s="646">
        <v>9712.5960344276173</v>
      </c>
      <c r="Z263" s="647">
        <v>11951.390334131615</v>
      </c>
      <c r="AC263" s="645">
        <v>11169.118730499969</v>
      </c>
      <c r="AD263" s="646">
        <v>13743.647647169168</v>
      </c>
      <c r="AE263" s="646">
        <v>11169.118730499969</v>
      </c>
      <c r="AF263" s="647">
        <v>13743.647647169168</v>
      </c>
      <c r="AI263" s="645">
        <v>12844.331614271334</v>
      </c>
      <c r="AJ263" s="646">
        <v>15805.004157390558</v>
      </c>
      <c r="AK263" s="646">
        <v>12844.331614271334</v>
      </c>
      <c r="AL263" s="647">
        <v>15805.004157390558</v>
      </c>
      <c r="AO263" s="645">
        <v>13101.59</v>
      </c>
      <c r="AP263" s="646">
        <v>16121.57</v>
      </c>
      <c r="AQ263" s="646">
        <v>13101.59</v>
      </c>
      <c r="AR263" s="647">
        <v>16121.57</v>
      </c>
    </row>
    <row r="264" spans="1:44" hidden="1">
      <c r="A264" s="644">
        <v>26</v>
      </c>
      <c r="B264" s="633" t="str">
        <f t="shared" si="52"/>
        <v>26A</v>
      </c>
      <c r="C264" s="645">
        <v>21262.65</v>
      </c>
      <c r="D264" s="646">
        <v>25674.41</v>
      </c>
      <c r="E264" s="646">
        <v>21262.65</v>
      </c>
      <c r="F264" s="647">
        <v>25674.41</v>
      </c>
      <c r="K264" s="729"/>
      <c r="M264" s="645">
        <v>9098.1207053686776</v>
      </c>
      <c r="N264" s="646">
        <v>10985.879198276325</v>
      </c>
      <c r="O264" s="646">
        <v>9098.1207053686776</v>
      </c>
      <c r="P264" s="647">
        <v>10985.879198276325</v>
      </c>
      <c r="W264" s="645">
        <v>10371.964002103336</v>
      </c>
      <c r="X264" s="646">
        <v>12524.030760411919</v>
      </c>
      <c r="Y264" s="646">
        <v>10371.964002103336</v>
      </c>
      <c r="Z264" s="647">
        <v>12524.030760411919</v>
      </c>
      <c r="AC264" s="645">
        <v>11927.36699820861</v>
      </c>
      <c r="AD264" s="646">
        <v>14402.162516760956</v>
      </c>
      <c r="AE264" s="646">
        <v>11927.36699820861</v>
      </c>
      <c r="AF264" s="647">
        <v>14402.162516760956</v>
      </c>
      <c r="AI264" s="645">
        <v>13716.306604545309</v>
      </c>
      <c r="AJ264" s="646">
        <v>16562.287123222814</v>
      </c>
      <c r="AK264" s="646">
        <v>13716.306604545309</v>
      </c>
      <c r="AL264" s="647">
        <v>16562.287123222814</v>
      </c>
      <c r="AO264" s="645">
        <v>13991.03</v>
      </c>
      <c r="AP264" s="646">
        <v>16894.02</v>
      </c>
      <c r="AQ264" s="646">
        <v>13991.03</v>
      </c>
      <c r="AR264" s="647">
        <v>16894.02</v>
      </c>
    </row>
    <row r="265" spans="1:44" hidden="1">
      <c r="A265" s="644">
        <v>27</v>
      </c>
      <c r="B265" s="633" t="str">
        <f t="shared" si="52"/>
        <v>27A</v>
      </c>
      <c r="C265" s="645">
        <v>22199.24</v>
      </c>
      <c r="D265" s="646">
        <v>26860.560000000001</v>
      </c>
      <c r="E265" s="646">
        <v>22199.24</v>
      </c>
      <c r="F265" s="647">
        <v>26860.560000000001</v>
      </c>
      <c r="K265" s="729"/>
      <c r="M265" s="645">
        <v>9498.8782595463817</v>
      </c>
      <c r="N265" s="646">
        <v>11493.423775087098</v>
      </c>
      <c r="O265" s="646">
        <v>9498.8782595463817</v>
      </c>
      <c r="P265" s="647">
        <v>11493.423775087098</v>
      </c>
      <c r="W265" s="645">
        <v>10828.832300525593</v>
      </c>
      <c r="X265" s="646">
        <v>13102.637513456835</v>
      </c>
      <c r="Y265" s="646">
        <v>10828.832300525593</v>
      </c>
      <c r="Z265" s="647">
        <v>13102.637513456835</v>
      </c>
      <c r="AC265" s="645">
        <v>12452.748291859873</v>
      </c>
      <c r="AD265" s="646">
        <v>15067.538436867222</v>
      </c>
      <c r="AE265" s="646">
        <v>12452.748291859873</v>
      </c>
      <c r="AF265" s="647">
        <v>15067.538436867222</v>
      </c>
      <c r="AI265" s="645">
        <v>14320.487804729364</v>
      </c>
      <c r="AJ265" s="646">
        <v>17327.460201977723</v>
      </c>
      <c r="AK265" s="646">
        <v>14320.487804729364</v>
      </c>
      <c r="AL265" s="647">
        <v>17327.460201977723</v>
      </c>
      <c r="AO265" s="645">
        <v>14607.32</v>
      </c>
      <c r="AP265" s="646">
        <v>17674.52</v>
      </c>
      <c r="AQ265" s="646">
        <v>14607.32</v>
      </c>
      <c r="AR265" s="647">
        <v>17674.52</v>
      </c>
    </row>
    <row r="266" spans="1:44" hidden="1">
      <c r="A266" s="644">
        <v>28</v>
      </c>
      <c r="B266" s="633" t="str">
        <f t="shared" si="52"/>
        <v>28A</v>
      </c>
      <c r="C266" s="645">
        <v>23516.91</v>
      </c>
      <c r="D266" s="646">
        <v>28136.86</v>
      </c>
      <c r="E266" s="646">
        <v>23516.91</v>
      </c>
      <c r="F266" s="647">
        <v>28136.86</v>
      </c>
      <c r="K266" s="729"/>
      <c r="M266" s="645">
        <v>10062.7003767521</v>
      </c>
      <c r="N266" s="646">
        <v>12039.540848915702</v>
      </c>
      <c r="O266" s="646">
        <v>10062.7003767521</v>
      </c>
      <c r="P266" s="647">
        <v>12039.540848915702</v>
      </c>
      <c r="W266" s="645">
        <v>11471.596107758513</v>
      </c>
      <c r="X266" s="646">
        <v>13725.217364188191</v>
      </c>
      <c r="Y266" s="646">
        <v>11471.596107758513</v>
      </c>
      <c r="Z266" s="647">
        <v>13725.217364188191</v>
      </c>
      <c r="AC266" s="645">
        <v>13191.902401966516</v>
      </c>
      <c r="AD266" s="646">
        <v>15783.481759063186</v>
      </c>
      <c r="AE266" s="646">
        <v>13191.902401966516</v>
      </c>
      <c r="AF266" s="647">
        <v>15783.481759063186</v>
      </c>
      <c r="AI266" s="645">
        <v>15170.50477861432</v>
      </c>
      <c r="AJ266" s="646">
        <v>18150.78509172007</v>
      </c>
      <c r="AK266" s="646">
        <v>15170.50477861432</v>
      </c>
      <c r="AL266" s="647">
        <v>18150.78509172007</v>
      </c>
      <c r="AO266" s="645">
        <v>15474.36</v>
      </c>
      <c r="AP266" s="646">
        <v>18514.330000000002</v>
      </c>
      <c r="AQ266" s="646">
        <v>15474.36</v>
      </c>
      <c r="AR266" s="647">
        <v>18514.330000000002</v>
      </c>
    </row>
    <row r="267" spans="1:44" hidden="1">
      <c r="A267" s="644">
        <v>29</v>
      </c>
      <c r="B267" s="633" t="str">
        <f t="shared" si="52"/>
        <v>29A</v>
      </c>
      <c r="C267" s="645">
        <v>24740.53</v>
      </c>
      <c r="D267" s="646">
        <v>29435.43</v>
      </c>
      <c r="E267" s="646">
        <v>24740.53</v>
      </c>
      <c r="F267" s="647">
        <v>29435.43</v>
      </c>
      <c r="K267" s="729"/>
      <c r="M267" s="645">
        <v>10586.279709828948</v>
      </c>
      <c r="N267" s="646">
        <v>12595.189694524688</v>
      </c>
      <c r="O267" s="646">
        <v>10586.279709828948</v>
      </c>
      <c r="P267" s="647">
        <v>12595.189694524688</v>
      </c>
      <c r="W267" s="645">
        <v>12068.482670465233</v>
      </c>
      <c r="X267" s="646">
        <v>14358.663546218499</v>
      </c>
      <c r="Y267" s="646">
        <v>12068.482670465233</v>
      </c>
      <c r="Z267" s="647">
        <v>14358.663546218499</v>
      </c>
      <c r="AC267" s="645">
        <v>13878.299413010767</v>
      </c>
      <c r="AD267" s="646">
        <v>16511.920951983389</v>
      </c>
      <c r="AE267" s="646">
        <v>13878.299413010767</v>
      </c>
      <c r="AF267" s="647">
        <v>16511.920951983389</v>
      </c>
      <c r="AI267" s="645">
        <v>15959.851820366321</v>
      </c>
      <c r="AJ267" s="646">
        <v>18988.480059466234</v>
      </c>
      <c r="AK267" s="646">
        <v>15959.851820366321</v>
      </c>
      <c r="AL267" s="647">
        <v>18988.480059466234</v>
      </c>
      <c r="AO267" s="645">
        <v>16279.52</v>
      </c>
      <c r="AP267" s="646">
        <v>19368.810000000001</v>
      </c>
      <c r="AQ267" s="646">
        <v>16279.52</v>
      </c>
      <c r="AR267" s="647">
        <v>19368.810000000001</v>
      </c>
    </row>
    <row r="268" spans="1:44" hidden="1">
      <c r="A268" s="644">
        <v>30</v>
      </c>
      <c r="B268" s="633" t="str">
        <f t="shared" si="52"/>
        <v>30A</v>
      </c>
      <c r="C268" s="645">
        <v>25888.69</v>
      </c>
      <c r="D268" s="646">
        <v>30832.27</v>
      </c>
      <c r="E268" s="646">
        <v>25888.69</v>
      </c>
      <c r="F268" s="647">
        <v>30832.27</v>
      </c>
      <c r="K268" s="729"/>
      <c r="M268" s="645">
        <v>11077.566825425512</v>
      </c>
      <c r="N268" s="646">
        <v>13192.885234342486</v>
      </c>
      <c r="O268" s="646">
        <v>11077.566825425512</v>
      </c>
      <c r="P268" s="647">
        <v>13192.885234342486</v>
      </c>
      <c r="W268" s="645">
        <v>12628.555727603052</v>
      </c>
      <c r="X268" s="646">
        <v>15040.043451361966</v>
      </c>
      <c r="Y268" s="646">
        <v>12628.555727603052</v>
      </c>
      <c r="Z268" s="647">
        <v>15040.043451361966</v>
      </c>
      <c r="AC268" s="645">
        <v>14522.362282582699</v>
      </c>
      <c r="AD268" s="646">
        <v>17295.482116696516</v>
      </c>
      <c r="AE268" s="646">
        <v>14522.362282582699</v>
      </c>
      <c r="AF268" s="647">
        <v>17295.482116696516</v>
      </c>
      <c r="AI268" s="645">
        <v>16700.515186638084</v>
      </c>
      <c r="AJ268" s="646">
        <v>19889.564530182535</v>
      </c>
      <c r="AK268" s="646">
        <v>16700.515186638084</v>
      </c>
      <c r="AL268" s="647">
        <v>19889.564530182535</v>
      </c>
      <c r="AO268" s="645">
        <v>17035.009999999998</v>
      </c>
      <c r="AP268" s="646">
        <v>20287.939999999999</v>
      </c>
      <c r="AQ268" s="646">
        <v>17035.009999999998</v>
      </c>
      <c r="AR268" s="647">
        <v>20287.939999999999</v>
      </c>
    </row>
    <row r="269" spans="1:44" hidden="1">
      <c r="A269" s="644">
        <v>31</v>
      </c>
      <c r="B269" s="633" t="str">
        <f t="shared" si="52"/>
        <v>31A</v>
      </c>
      <c r="C269" s="645">
        <v>26964.03</v>
      </c>
      <c r="D269" s="646">
        <v>32273.87</v>
      </c>
      <c r="E269" s="646">
        <v>26964.03</v>
      </c>
      <c r="F269" s="647">
        <v>32273.87</v>
      </c>
      <c r="K269" s="729"/>
      <c r="M269" s="645">
        <v>11537.697518777308</v>
      </c>
      <c r="N269" s="646">
        <v>13809.733399700308</v>
      </c>
      <c r="O269" s="646">
        <v>11537.697518777308</v>
      </c>
      <c r="P269" s="647">
        <v>13809.733399700308</v>
      </c>
      <c r="W269" s="645">
        <v>13153.110099023021</v>
      </c>
      <c r="X269" s="646">
        <v>15743.257573601461</v>
      </c>
      <c r="Y269" s="646">
        <v>13153.110099023021</v>
      </c>
      <c r="Z269" s="647">
        <v>15743.257573601461</v>
      </c>
      <c r="AC269" s="645">
        <v>15125.580004623755</v>
      </c>
      <c r="AD269" s="646">
        <v>18104.15180669666</v>
      </c>
      <c r="AE269" s="646">
        <v>15125.580004623755</v>
      </c>
      <c r="AF269" s="647">
        <v>18104.15180669666</v>
      </c>
      <c r="AI269" s="645">
        <v>17394.207199808563</v>
      </c>
      <c r="AJ269" s="646">
        <v>20819.523456700896</v>
      </c>
      <c r="AK269" s="646">
        <v>17394.207199808563</v>
      </c>
      <c r="AL269" s="647">
        <v>20819.523456700896</v>
      </c>
      <c r="AO269" s="645">
        <v>17742.599999999999</v>
      </c>
      <c r="AP269" s="646">
        <v>21236.52</v>
      </c>
      <c r="AQ269" s="646">
        <v>17742.599999999999</v>
      </c>
      <c r="AR269" s="647">
        <v>21236.52</v>
      </c>
    </row>
    <row r="270" spans="1:44" hidden="1">
      <c r="A270" s="644">
        <v>32</v>
      </c>
      <c r="B270" s="633" t="str">
        <f t="shared" si="52"/>
        <v>32A</v>
      </c>
      <c r="C270" s="645">
        <v>28618.45</v>
      </c>
      <c r="D270" s="646">
        <v>33760.54</v>
      </c>
      <c r="E270" s="646">
        <v>28618.45</v>
      </c>
      <c r="F270" s="647">
        <v>33760.54</v>
      </c>
      <c r="K270" s="729"/>
      <c r="M270" s="645">
        <v>12245.609737429528</v>
      </c>
      <c r="N270" s="646">
        <v>14445.867813567047</v>
      </c>
      <c r="O270" s="646">
        <v>12245.609737429528</v>
      </c>
      <c r="P270" s="647">
        <v>14445.867813567047</v>
      </c>
      <c r="W270" s="645">
        <v>13960.138306966808</v>
      </c>
      <c r="X270" s="646">
        <v>16468.458244684178</v>
      </c>
      <c r="Y270" s="646">
        <v>13960.138306966808</v>
      </c>
      <c r="Z270" s="647">
        <v>16468.458244684178</v>
      </c>
      <c r="AC270" s="645">
        <v>16053.631973575839</v>
      </c>
      <c r="AD270" s="646">
        <v>18938.105197741661</v>
      </c>
      <c r="AE270" s="646">
        <v>16053.631973575839</v>
      </c>
      <c r="AF270" s="647">
        <v>18938.105197741661</v>
      </c>
      <c r="AI270" s="645">
        <v>18461.454091181204</v>
      </c>
      <c r="AJ270" s="646">
        <v>21778.558288712979</v>
      </c>
      <c r="AK270" s="646">
        <v>18461.454091181204</v>
      </c>
      <c r="AL270" s="647">
        <v>21778.558288712979</v>
      </c>
      <c r="AO270" s="645">
        <v>18831.22</v>
      </c>
      <c r="AP270" s="646">
        <v>22214.77</v>
      </c>
      <c r="AQ270" s="646">
        <v>18831.22</v>
      </c>
      <c r="AR270" s="647">
        <v>22214.77</v>
      </c>
    </row>
    <row r="271" spans="1:44" hidden="1">
      <c r="A271" s="644">
        <v>33</v>
      </c>
      <c r="B271" s="633" t="str">
        <f t="shared" si="52"/>
        <v>33A</v>
      </c>
      <c r="C271" s="645">
        <v>29654.6</v>
      </c>
      <c r="D271" s="646">
        <v>34993.32</v>
      </c>
      <c r="E271" s="646">
        <v>29654.6</v>
      </c>
      <c r="F271" s="647">
        <v>34993.32</v>
      </c>
      <c r="K271" s="729"/>
      <c r="M271" s="645">
        <v>12688.970748186388</v>
      </c>
      <c r="N271" s="646">
        <v>14973.366753731154</v>
      </c>
      <c r="O271" s="646">
        <v>12688.970748186388</v>
      </c>
      <c r="P271" s="647">
        <v>14973.366753731154</v>
      </c>
      <c r="W271" s="645">
        <v>14465.575044115476</v>
      </c>
      <c r="X271" s="646">
        <v>17069.813205308223</v>
      </c>
      <c r="Y271" s="646">
        <v>14465.575044115476</v>
      </c>
      <c r="Z271" s="647">
        <v>17069.813205308223</v>
      </c>
      <c r="AC271" s="645">
        <v>16634.865138010922</v>
      </c>
      <c r="AD271" s="646">
        <v>19629.640697681862</v>
      </c>
      <c r="AE271" s="646">
        <v>16634.865138010922</v>
      </c>
      <c r="AF271" s="647">
        <v>19629.640697681862</v>
      </c>
      <c r="AI271" s="645">
        <v>19129.864168050564</v>
      </c>
      <c r="AJ271" s="646">
        <v>22573.814521419827</v>
      </c>
      <c r="AK271" s="646">
        <v>19129.864168050564</v>
      </c>
      <c r="AL271" s="647">
        <v>22573.814521419827</v>
      </c>
      <c r="AO271" s="645">
        <v>19513.02</v>
      </c>
      <c r="AP271" s="646">
        <v>23025.95</v>
      </c>
      <c r="AQ271" s="646">
        <v>19513.02</v>
      </c>
      <c r="AR271" s="647">
        <v>23025.95</v>
      </c>
    </row>
    <row r="272" spans="1:44" hidden="1">
      <c r="A272" s="644">
        <v>34</v>
      </c>
      <c r="B272" s="633" t="str">
        <f t="shared" si="52"/>
        <v>34A</v>
      </c>
      <c r="C272" s="645">
        <v>31347.85</v>
      </c>
      <c r="D272" s="646">
        <v>36612.239999999998</v>
      </c>
      <c r="E272" s="646">
        <v>31347.85</v>
      </c>
      <c r="F272" s="647">
        <v>36612.239999999998</v>
      </c>
      <c r="K272" s="729"/>
      <c r="M272" s="645">
        <v>13413.496755969842</v>
      </c>
      <c r="N272" s="646">
        <v>15666.090494920232</v>
      </c>
      <c r="O272" s="646">
        <v>13413.496755969842</v>
      </c>
      <c r="P272" s="647">
        <v>15666.090494920232</v>
      </c>
      <c r="W272" s="645">
        <v>15291.543165958847</v>
      </c>
      <c r="X272" s="646">
        <v>17859.526371322358</v>
      </c>
      <c r="Y272" s="646">
        <v>15291.543165958847</v>
      </c>
      <c r="Z272" s="647">
        <v>17859.526371322358</v>
      </c>
      <c r="AC272" s="645">
        <v>17584.697292851521</v>
      </c>
      <c r="AD272" s="646">
        <v>20537.781022162133</v>
      </c>
      <c r="AE272" s="646">
        <v>17584.697292851521</v>
      </c>
      <c r="AF272" s="647">
        <v>20537.781022162133</v>
      </c>
      <c r="AI272" s="645">
        <v>20222.157971084071</v>
      </c>
      <c r="AJ272" s="646">
        <v>23618.163297842442</v>
      </c>
      <c r="AK272" s="646">
        <v>20222.157971084071</v>
      </c>
      <c r="AL272" s="647">
        <v>23618.163297842442</v>
      </c>
      <c r="AO272" s="645">
        <v>20627.189999999999</v>
      </c>
      <c r="AP272" s="646">
        <v>24091.22</v>
      </c>
      <c r="AQ272" s="646">
        <v>20627.189999999999</v>
      </c>
      <c r="AR272" s="647">
        <v>24091.22</v>
      </c>
    </row>
    <row r="273" spans="1:44" hidden="1">
      <c r="A273" s="644">
        <v>35</v>
      </c>
      <c r="B273" s="633" t="str">
        <f t="shared" si="52"/>
        <v>35A</v>
      </c>
      <c r="C273" s="645">
        <v>33109.69</v>
      </c>
      <c r="D273" s="646">
        <v>38314.959999999999</v>
      </c>
      <c r="E273" s="646">
        <v>33109.69</v>
      </c>
      <c r="F273" s="647">
        <v>38314.959999999999</v>
      </c>
      <c r="K273" s="729"/>
      <c r="M273" s="645">
        <v>14167.375275918133</v>
      </c>
      <c r="N273" s="646">
        <v>16394.669732759838</v>
      </c>
      <c r="O273" s="646">
        <v>14167.375275918133</v>
      </c>
      <c r="P273" s="647">
        <v>16394.669732759838</v>
      </c>
      <c r="W273" s="645">
        <v>16150.973494933112</v>
      </c>
      <c r="X273" s="646">
        <v>18690.115222830245</v>
      </c>
      <c r="Y273" s="646">
        <v>16150.973494933112</v>
      </c>
      <c r="Z273" s="647">
        <v>18690.115222830245</v>
      </c>
      <c r="AC273" s="645">
        <v>18573.009722492476</v>
      </c>
      <c r="AD273" s="646">
        <v>21492.926841656506</v>
      </c>
      <c r="AE273" s="646">
        <v>18573.009722492476</v>
      </c>
      <c r="AF273" s="647">
        <v>21492.926841656506</v>
      </c>
      <c r="AI273" s="645">
        <v>21358.703556381686</v>
      </c>
      <c r="AJ273" s="646">
        <v>24716.567741522442</v>
      </c>
      <c r="AK273" s="646">
        <v>21358.703556381686</v>
      </c>
      <c r="AL273" s="647">
        <v>24716.567741522442</v>
      </c>
      <c r="AO273" s="645">
        <v>21786.5</v>
      </c>
      <c r="AP273" s="646">
        <v>25211.62</v>
      </c>
      <c r="AQ273" s="646">
        <v>21786.5</v>
      </c>
      <c r="AR273" s="647">
        <v>25211.62</v>
      </c>
    </row>
    <row r="274" spans="1:44" hidden="1">
      <c r="A274" s="644">
        <v>36</v>
      </c>
      <c r="B274" s="633" t="str">
        <f t="shared" si="52"/>
        <v>36A</v>
      </c>
      <c r="C274" s="645">
        <v>34552.22</v>
      </c>
      <c r="D274" s="646">
        <v>40075.089999999997</v>
      </c>
      <c r="E274" s="646">
        <v>34552.22</v>
      </c>
      <c r="F274" s="647">
        <v>40075.089999999997</v>
      </c>
      <c r="K274" s="729"/>
      <c r="M274" s="645">
        <v>14784.624310182611</v>
      </c>
      <c r="N274" s="646">
        <v>17147.813326379262</v>
      </c>
      <c r="O274" s="646">
        <v>14784.624310182611</v>
      </c>
      <c r="P274" s="647">
        <v>17147.813326379262</v>
      </c>
      <c r="W274" s="645">
        <v>16854.644612414162</v>
      </c>
      <c r="X274" s="646">
        <v>19548.707727195011</v>
      </c>
      <c r="Y274" s="646">
        <v>16854.644612414162</v>
      </c>
      <c r="Z274" s="647">
        <v>19548.707727195011</v>
      </c>
      <c r="AC274" s="645">
        <v>19382.204939766081</v>
      </c>
      <c r="AD274" s="646">
        <v>22480.275804629469</v>
      </c>
      <c r="AE274" s="646">
        <v>19382.204939766081</v>
      </c>
      <c r="AF274" s="647">
        <v>22480.275804629469</v>
      </c>
      <c r="AI274" s="645">
        <v>22289.266831974983</v>
      </c>
      <c r="AJ274" s="646">
        <v>25852.005353516022</v>
      </c>
      <c r="AK274" s="646">
        <v>22289.266831974983</v>
      </c>
      <c r="AL274" s="647">
        <v>25852.005353516022</v>
      </c>
      <c r="AO274" s="645">
        <v>22735.71</v>
      </c>
      <c r="AP274" s="646">
        <v>26369.8</v>
      </c>
      <c r="AQ274" s="646">
        <v>22735.71</v>
      </c>
      <c r="AR274" s="647">
        <v>26369.8</v>
      </c>
    </row>
    <row r="275" spans="1:44" hidden="1">
      <c r="A275" s="644">
        <v>37</v>
      </c>
      <c r="B275" s="633" t="str">
        <f t="shared" si="52"/>
        <v>37A</v>
      </c>
      <c r="C275" s="645">
        <v>36451.370000000003</v>
      </c>
      <c r="D275" s="646">
        <v>41974.07</v>
      </c>
      <c r="E275" s="646">
        <v>36451.370000000003</v>
      </c>
      <c r="F275" s="647">
        <v>41974.07</v>
      </c>
      <c r="K275" s="729"/>
      <c r="M275" s="645">
        <v>15597.252395450196</v>
      </c>
      <c r="N275" s="646">
        <v>17960.374600162409</v>
      </c>
      <c r="O275" s="646">
        <v>15597.252395450196</v>
      </c>
      <c r="P275" s="647">
        <v>17960.374600162409</v>
      </c>
      <c r="W275" s="645">
        <v>17781.050132899287</v>
      </c>
      <c r="X275" s="646">
        <v>20475.037081806549</v>
      </c>
      <c r="Y275" s="646">
        <v>17781.050132899287</v>
      </c>
      <c r="Z275" s="647">
        <v>20475.037081806549</v>
      </c>
      <c r="AC275" s="645">
        <v>20447.536310927011</v>
      </c>
      <c r="AD275" s="646">
        <v>23545.519587911494</v>
      </c>
      <c r="AE275" s="646">
        <v>20447.536310927011</v>
      </c>
      <c r="AF275" s="647">
        <v>23545.519587911494</v>
      </c>
      <c r="AI275" s="645">
        <v>23514.383131698018</v>
      </c>
      <c r="AJ275" s="646">
        <v>27077.020928393238</v>
      </c>
      <c r="AK275" s="646">
        <v>23514.383131698018</v>
      </c>
      <c r="AL275" s="647">
        <v>27077.020928393238</v>
      </c>
      <c r="AO275" s="645">
        <v>23985.360000000001</v>
      </c>
      <c r="AP275" s="646">
        <v>27619.35</v>
      </c>
      <c r="AQ275" s="646">
        <v>23985.360000000001</v>
      </c>
      <c r="AR275" s="647">
        <v>27619.35</v>
      </c>
    </row>
    <row r="276" spans="1:44" hidden="1">
      <c r="A276" s="644">
        <v>38</v>
      </c>
      <c r="B276" s="633" t="str">
        <f t="shared" si="52"/>
        <v>38A</v>
      </c>
      <c r="C276" s="645">
        <v>38456.53</v>
      </c>
      <c r="D276" s="646">
        <v>43881.18</v>
      </c>
      <c r="E276" s="646">
        <v>38456.53</v>
      </c>
      <c r="F276" s="647">
        <v>43881.18</v>
      </c>
      <c r="K276" s="729"/>
      <c r="M276" s="645">
        <v>16455.245478653884</v>
      </c>
      <c r="N276" s="646">
        <v>18776.410071136539</v>
      </c>
      <c r="O276" s="646">
        <v>16455.245478653884</v>
      </c>
      <c r="P276" s="647">
        <v>18776.410071136539</v>
      </c>
      <c r="W276" s="645">
        <v>18759.172281552583</v>
      </c>
      <c r="X276" s="646">
        <v>21405.327061844804</v>
      </c>
      <c r="Y276" s="646">
        <v>18759.172281552583</v>
      </c>
      <c r="Z276" s="647">
        <v>21405.327061844804</v>
      </c>
      <c r="AC276" s="645">
        <v>21572.33985186664</v>
      </c>
      <c r="AD276" s="646">
        <v>24615.317940896741</v>
      </c>
      <c r="AE276" s="646">
        <v>21572.33985186664</v>
      </c>
      <c r="AF276" s="647">
        <v>24615.317940896741</v>
      </c>
      <c r="AI276" s="645">
        <v>24807.891601733641</v>
      </c>
      <c r="AJ276" s="646">
        <v>28307.274195253154</v>
      </c>
      <c r="AK276" s="646">
        <v>24807.891601733641</v>
      </c>
      <c r="AL276" s="647">
        <v>28307.274195253154</v>
      </c>
      <c r="AO276" s="645">
        <v>25304.78</v>
      </c>
      <c r="AP276" s="646">
        <v>28874.25</v>
      </c>
      <c r="AQ276" s="646">
        <v>25304.78</v>
      </c>
      <c r="AR276" s="647">
        <v>28874.25</v>
      </c>
    </row>
    <row r="277" spans="1:44" hidden="1">
      <c r="A277" s="644">
        <v>39</v>
      </c>
      <c r="B277" s="633" t="str">
        <f t="shared" si="52"/>
        <v>39A</v>
      </c>
      <c r="C277" s="645">
        <v>40600.550000000003</v>
      </c>
      <c r="D277" s="646">
        <v>45897.27</v>
      </c>
      <c r="E277" s="646">
        <v>40600.550000000003</v>
      </c>
      <c r="F277" s="647">
        <v>45897.27</v>
      </c>
      <c r="K277" s="729"/>
      <c r="M277" s="645">
        <v>17372.656242021279</v>
      </c>
      <c r="N277" s="646">
        <v>19639.079958251161</v>
      </c>
      <c r="O277" s="646">
        <v>17372.656242021279</v>
      </c>
      <c r="P277" s="647">
        <v>19639.079958251161</v>
      </c>
      <c r="W277" s="645">
        <v>19805.03128045264</v>
      </c>
      <c r="X277" s="646">
        <v>22388.780821649463</v>
      </c>
      <c r="Y277" s="646">
        <v>19805.03128045264</v>
      </c>
      <c r="Z277" s="647">
        <v>22388.780821649463</v>
      </c>
      <c r="AC277" s="645">
        <v>22775.038213115331</v>
      </c>
      <c r="AD277" s="646">
        <v>25746.252633359953</v>
      </c>
      <c r="AE277" s="646">
        <v>22775.038213115331</v>
      </c>
      <c r="AF277" s="647">
        <v>25746.252633359953</v>
      </c>
      <c r="AI277" s="645">
        <v>26190.978034652901</v>
      </c>
      <c r="AJ277" s="646">
        <v>29607.833404496258</v>
      </c>
      <c r="AK277" s="646">
        <v>26190.978034652901</v>
      </c>
      <c r="AL277" s="647">
        <v>29607.833404496258</v>
      </c>
      <c r="AO277" s="645">
        <v>26715.56</v>
      </c>
      <c r="AP277" s="646">
        <v>30200.86</v>
      </c>
      <c r="AQ277" s="646">
        <v>26715.56</v>
      </c>
      <c r="AR277" s="647">
        <v>30200.86</v>
      </c>
    </row>
    <row r="278" spans="1:44" hidden="1">
      <c r="A278" s="644">
        <v>40</v>
      </c>
      <c r="B278" s="633" t="str">
        <f t="shared" si="52"/>
        <v>40A</v>
      </c>
      <c r="C278" s="645">
        <v>42041.21</v>
      </c>
      <c r="D278" s="646">
        <v>47993.51</v>
      </c>
      <c r="E278" s="646">
        <v>42041.21</v>
      </c>
      <c r="F278" s="647">
        <v>47993.51</v>
      </c>
      <c r="K278" s="729"/>
      <c r="M278" s="645">
        <v>17989.103538472456</v>
      </c>
      <c r="N278" s="646">
        <v>20536.046407379326</v>
      </c>
      <c r="O278" s="646">
        <v>17989.103538472456</v>
      </c>
      <c r="P278" s="647">
        <v>20536.046407379326</v>
      </c>
      <c r="W278" s="645">
        <v>20507.788407450596</v>
      </c>
      <c r="X278" s="646">
        <v>23411.333063230737</v>
      </c>
      <c r="Y278" s="646">
        <v>20507.788407450596</v>
      </c>
      <c r="Z278" s="647">
        <v>23411.333063230737</v>
      </c>
      <c r="AC278" s="645">
        <v>23583.182375842032</v>
      </c>
      <c r="AD278" s="646">
        <v>26922.149103662727</v>
      </c>
      <c r="AE278" s="646">
        <v>23583.182375842032</v>
      </c>
      <c r="AF278" s="647">
        <v>26922.149103662727</v>
      </c>
      <c r="AI278" s="645">
        <v>27120.332612096339</v>
      </c>
      <c r="AJ278" s="646">
        <v>30960.098034594241</v>
      </c>
      <c r="AK278" s="646">
        <v>27120.332612096339</v>
      </c>
      <c r="AL278" s="647">
        <v>30960.098034594241</v>
      </c>
      <c r="AO278" s="645">
        <v>27663.53</v>
      </c>
      <c r="AP278" s="646">
        <v>31580.21</v>
      </c>
      <c r="AQ278" s="646">
        <v>27663.53</v>
      </c>
      <c r="AR278" s="647">
        <v>31580.21</v>
      </c>
    </row>
    <row r="279" spans="1:44" hidden="1">
      <c r="A279" s="644">
        <v>41</v>
      </c>
      <c r="B279" s="633" t="str">
        <f t="shared" si="52"/>
        <v>41A</v>
      </c>
      <c r="C279" s="645">
        <v>43619.85</v>
      </c>
      <c r="D279" s="646">
        <v>50193.64</v>
      </c>
      <c r="E279" s="646">
        <v>43619.85</v>
      </c>
      <c r="F279" s="647">
        <v>50193.64</v>
      </c>
      <c r="K279" s="729"/>
      <c r="M279" s="645">
        <v>18664.589916675508</v>
      </c>
      <c r="N279" s="646">
        <v>21477.464764156197</v>
      </c>
      <c r="O279" s="646">
        <v>18664.589916675508</v>
      </c>
      <c r="P279" s="647">
        <v>21477.464764156197</v>
      </c>
      <c r="W279" s="645">
        <v>21277.850778078307</v>
      </c>
      <c r="X279" s="646">
        <v>24484.560999374426</v>
      </c>
      <c r="Y279" s="646">
        <v>21277.850778078307</v>
      </c>
      <c r="Z279" s="647">
        <v>24484.560999374426</v>
      </c>
      <c r="AC279" s="645">
        <v>24468.725027563985</v>
      </c>
      <c r="AD279" s="646">
        <v>28156.320709399108</v>
      </c>
      <c r="AE279" s="646">
        <v>24468.725027563985</v>
      </c>
      <c r="AF279" s="647">
        <v>28156.320709399108</v>
      </c>
      <c r="AI279" s="645">
        <v>28138.694378297107</v>
      </c>
      <c r="AJ279" s="646">
        <v>32379.378262111906</v>
      </c>
      <c r="AK279" s="646">
        <v>28138.694378297107</v>
      </c>
      <c r="AL279" s="647">
        <v>32379.378262111906</v>
      </c>
      <c r="AO279" s="645">
        <v>28702.29</v>
      </c>
      <c r="AP279" s="646">
        <v>33027.910000000003</v>
      </c>
      <c r="AQ279" s="646">
        <v>28702.29</v>
      </c>
      <c r="AR279" s="647">
        <v>33027.910000000003</v>
      </c>
    </row>
    <row r="280" spans="1:44" hidden="1">
      <c r="A280" s="644">
        <v>42</v>
      </c>
      <c r="B280" s="633" t="str">
        <f t="shared" si="52"/>
        <v>42A</v>
      </c>
      <c r="C280" s="645">
        <v>45341.72</v>
      </c>
      <c r="D280" s="646">
        <v>52488.76</v>
      </c>
      <c r="E280" s="646">
        <v>45341.72</v>
      </c>
      <c r="F280" s="647">
        <v>52488.76</v>
      </c>
      <c r="K280" s="729"/>
      <c r="M280" s="645">
        <v>19401.364696606663</v>
      </c>
      <c r="N280" s="646">
        <v>22459.526773968599</v>
      </c>
      <c r="O280" s="646">
        <v>19401.364696606663</v>
      </c>
      <c r="P280" s="647">
        <v>22459.526773968599</v>
      </c>
      <c r="W280" s="645">
        <v>22117.782643413328</v>
      </c>
      <c r="X280" s="646">
        <v>25604.123175285869</v>
      </c>
      <c r="Y280" s="646">
        <v>22117.782643413328</v>
      </c>
      <c r="Z280" s="647">
        <v>25604.123175285869</v>
      </c>
      <c r="AC280" s="645">
        <v>25434.614960204432</v>
      </c>
      <c r="AD280" s="646">
        <v>29443.77494147134</v>
      </c>
      <c r="AE280" s="646">
        <v>25434.614960204432</v>
      </c>
      <c r="AF280" s="647">
        <v>29443.77494147134</v>
      </c>
      <c r="AI280" s="645">
        <v>29249.454403064494</v>
      </c>
      <c r="AJ280" s="646">
        <v>33859.932770837462</v>
      </c>
      <c r="AK280" s="646">
        <v>29249.454403064494</v>
      </c>
      <c r="AL280" s="647">
        <v>33859.932770837462</v>
      </c>
      <c r="AO280" s="645">
        <v>29835.3</v>
      </c>
      <c r="AP280" s="646">
        <v>34538.120000000003</v>
      </c>
      <c r="AQ280" s="646">
        <v>29835.3</v>
      </c>
      <c r="AR280" s="647">
        <v>34538.120000000003</v>
      </c>
    </row>
    <row r="281" spans="1:44" hidden="1">
      <c r="A281" s="644">
        <v>43</v>
      </c>
      <c r="B281" s="633" t="str">
        <f t="shared" si="52"/>
        <v>43A</v>
      </c>
      <c r="C281" s="645">
        <v>47204.9</v>
      </c>
      <c r="D281" s="646">
        <v>54882.09</v>
      </c>
      <c r="E281" s="646">
        <v>47204.9</v>
      </c>
      <c r="F281" s="647">
        <v>54882.09</v>
      </c>
      <c r="K281" s="729"/>
      <c r="M281" s="645">
        <v>20198.60386995778</v>
      </c>
      <c r="N281" s="646">
        <v>23483.613207495</v>
      </c>
      <c r="O281" s="646">
        <v>20198.60386995778</v>
      </c>
      <c r="P281" s="647">
        <v>23483.613207495</v>
      </c>
      <c r="W281" s="645">
        <v>23026.644624348035</v>
      </c>
      <c r="X281" s="646">
        <v>26771.593685685941</v>
      </c>
      <c r="Y281" s="646">
        <v>23026.644624348035</v>
      </c>
      <c r="Z281" s="647">
        <v>26771.593685685941</v>
      </c>
      <c r="AC281" s="645">
        <v>26479.771923256834</v>
      </c>
      <c r="AD281" s="646">
        <v>30786.321949376856</v>
      </c>
      <c r="AE281" s="646">
        <v>26479.771923256834</v>
      </c>
      <c r="AF281" s="647">
        <v>30786.321949376856</v>
      </c>
      <c r="AI281" s="645">
        <v>30451.370413300054</v>
      </c>
      <c r="AJ281" s="646">
        <v>35403.843207584549</v>
      </c>
      <c r="AK281" s="646">
        <v>30451.370413300054</v>
      </c>
      <c r="AL281" s="647">
        <v>35403.843207584549</v>
      </c>
      <c r="AO281" s="645">
        <v>31061.29</v>
      </c>
      <c r="AP281" s="646">
        <v>36112.959999999999</v>
      </c>
      <c r="AQ281" s="646">
        <v>31061.29</v>
      </c>
      <c r="AR281" s="647">
        <v>36112.959999999999</v>
      </c>
    </row>
    <row r="282" spans="1:44" hidden="1">
      <c r="A282" s="644">
        <v>44</v>
      </c>
      <c r="B282" s="633" t="str">
        <f t="shared" si="52"/>
        <v>44A</v>
      </c>
      <c r="C282" s="645">
        <v>49265.59</v>
      </c>
      <c r="D282" s="646">
        <v>57644.22</v>
      </c>
      <c r="E282" s="646">
        <v>49265.59</v>
      </c>
      <c r="F282" s="647">
        <v>57644.22</v>
      </c>
      <c r="K282" s="729"/>
      <c r="M282" s="645">
        <v>21080.359571127989</v>
      </c>
      <c r="N282" s="646">
        <v>24665.508367273316</v>
      </c>
      <c r="O282" s="646">
        <v>21080.359571127989</v>
      </c>
      <c r="P282" s="647">
        <v>24665.508367273316</v>
      </c>
      <c r="W282" s="645">
        <v>24031.856435375132</v>
      </c>
      <c r="X282" s="646">
        <v>28118.967989507528</v>
      </c>
      <c r="Y282" s="646">
        <v>24031.856435375132</v>
      </c>
      <c r="Z282" s="647">
        <v>28118.967989507528</v>
      </c>
      <c r="AC282" s="645">
        <v>27635.727553128163</v>
      </c>
      <c r="AD282" s="646">
        <v>32335.751527263637</v>
      </c>
      <c r="AE282" s="646">
        <v>27635.727553128163</v>
      </c>
      <c r="AF282" s="647">
        <v>32335.751527263637</v>
      </c>
      <c r="AI282" s="645">
        <v>31780.703353499415</v>
      </c>
      <c r="AJ282" s="646">
        <v>37185.665730161265</v>
      </c>
      <c r="AK282" s="646">
        <v>31780.703353499415</v>
      </c>
      <c r="AL282" s="647">
        <v>37185.665730161265</v>
      </c>
      <c r="AO282" s="645">
        <v>32417.25</v>
      </c>
      <c r="AP282" s="646">
        <v>37930.47</v>
      </c>
      <c r="AQ282" s="646">
        <v>32417.25</v>
      </c>
      <c r="AR282" s="647">
        <v>37930.47</v>
      </c>
    </row>
    <row r="283" spans="1:44" hidden="1">
      <c r="A283" s="644">
        <v>45</v>
      </c>
      <c r="B283" s="633" t="str">
        <f t="shared" si="52"/>
        <v>45A</v>
      </c>
      <c r="C283" s="645">
        <v>51507</v>
      </c>
      <c r="D283" s="646">
        <v>60373.05</v>
      </c>
      <c r="E283" s="646">
        <v>51507</v>
      </c>
      <c r="F283" s="647">
        <v>60373.05</v>
      </c>
      <c r="K283" s="729"/>
      <c r="M283" s="645">
        <v>22039.438430292361</v>
      </c>
      <c r="N283" s="646">
        <v>25833.150410370672</v>
      </c>
      <c r="O283" s="646">
        <v>22039.438430292361</v>
      </c>
      <c r="P283" s="647">
        <v>25833.150410370672</v>
      </c>
      <c r="W283" s="645">
        <v>25125.217550771336</v>
      </c>
      <c r="X283" s="646">
        <v>29450.093573629725</v>
      </c>
      <c r="Y283" s="646">
        <v>25125.217550771336</v>
      </c>
      <c r="Z283" s="647">
        <v>29450.093573629725</v>
      </c>
      <c r="AC283" s="645">
        <v>28893.05155485596</v>
      </c>
      <c r="AD283" s="646">
        <v>33866.49569098332</v>
      </c>
      <c r="AE283" s="646">
        <v>28893.05155485596</v>
      </c>
      <c r="AF283" s="647">
        <v>33866.49569098332</v>
      </c>
      <c r="AI283" s="645">
        <v>33226.60851526248</v>
      </c>
      <c r="AJ283" s="646">
        <v>38946.000285629445</v>
      </c>
      <c r="AK283" s="646">
        <v>33226.60851526248</v>
      </c>
      <c r="AL283" s="647">
        <v>38946.000285629445</v>
      </c>
      <c r="AO283" s="645">
        <v>33892.11</v>
      </c>
      <c r="AP283" s="646">
        <v>39726.06</v>
      </c>
      <c r="AQ283" s="646">
        <v>33892.11</v>
      </c>
      <c r="AR283" s="647">
        <v>39726.06</v>
      </c>
    </row>
    <row r="284" spans="1:44" hidden="1">
      <c r="A284" s="644">
        <v>46</v>
      </c>
      <c r="B284" s="633" t="str">
        <f t="shared" si="52"/>
        <v>46A</v>
      </c>
      <c r="C284" s="645">
        <v>53983.5</v>
      </c>
      <c r="D284" s="646">
        <v>62705.79</v>
      </c>
      <c r="E284" s="646">
        <v>53983.5</v>
      </c>
      <c r="F284" s="647">
        <v>62705.79</v>
      </c>
      <c r="K284" s="729"/>
      <c r="M284" s="645">
        <v>23099.113114531505</v>
      </c>
      <c r="N284" s="646">
        <v>26831.313987933601</v>
      </c>
      <c r="O284" s="646">
        <v>23099.113114531505</v>
      </c>
      <c r="P284" s="647">
        <v>26831.313987933601</v>
      </c>
      <c r="W284" s="645">
        <v>26333.259083170775</v>
      </c>
      <c r="X284" s="646">
        <v>30588.011725076572</v>
      </c>
      <c r="Y284" s="646">
        <v>26333.259083170775</v>
      </c>
      <c r="Z284" s="647">
        <v>30588.011725076572</v>
      </c>
      <c r="AC284" s="645">
        <v>30282.253706259922</v>
      </c>
      <c r="AD284" s="646">
        <v>35175.05860187245</v>
      </c>
      <c r="AE284" s="646">
        <v>30282.253706259922</v>
      </c>
      <c r="AF284" s="647">
        <v>35175.05860187245</v>
      </c>
      <c r="AI284" s="645">
        <v>34824.171719883634</v>
      </c>
      <c r="AJ284" s="646">
        <v>40450.829482197922</v>
      </c>
      <c r="AK284" s="646">
        <v>34824.171719883634</v>
      </c>
      <c r="AL284" s="647">
        <v>40450.829482197922</v>
      </c>
      <c r="AO284" s="645">
        <v>35521.68</v>
      </c>
      <c r="AP284" s="646">
        <v>41261.03</v>
      </c>
      <c r="AQ284" s="646">
        <v>35521.68</v>
      </c>
      <c r="AR284" s="647">
        <v>41261.03</v>
      </c>
    </row>
    <row r="285" spans="1:44" hidden="1">
      <c r="A285" s="644">
        <v>47</v>
      </c>
      <c r="B285" s="633" t="str">
        <f t="shared" si="52"/>
        <v>47A</v>
      </c>
      <c r="C285" s="645">
        <v>56687.7</v>
      </c>
      <c r="D285" s="646">
        <v>65929.48</v>
      </c>
      <c r="E285" s="646">
        <v>56687.7</v>
      </c>
      <c r="F285" s="647">
        <v>65929.48</v>
      </c>
      <c r="K285" s="729"/>
      <c r="M285" s="645">
        <v>24256.221213581852</v>
      </c>
      <c r="N285" s="646">
        <v>28210.703895722352</v>
      </c>
      <c r="O285" s="646">
        <v>24256.221213581852</v>
      </c>
      <c r="P285" s="647">
        <v>28210.703895722352</v>
      </c>
      <c r="W285" s="645">
        <v>27652.375847890169</v>
      </c>
      <c r="X285" s="646">
        <v>32160.53235123261</v>
      </c>
      <c r="Y285" s="646">
        <v>27652.375847890169</v>
      </c>
      <c r="Z285" s="647">
        <v>32160.53235123261</v>
      </c>
      <c r="AC285" s="645">
        <v>31799.188181071757</v>
      </c>
      <c r="AD285" s="646">
        <v>36983.397949811981</v>
      </c>
      <c r="AE285" s="646">
        <v>31799.188181071757</v>
      </c>
      <c r="AF285" s="647">
        <v>36983.397949811981</v>
      </c>
      <c r="AI285" s="645">
        <v>36568.625324660701</v>
      </c>
      <c r="AJ285" s="646">
        <v>42530.394649022041</v>
      </c>
      <c r="AK285" s="646">
        <v>36568.625324660701</v>
      </c>
      <c r="AL285" s="647">
        <v>42530.394649022041</v>
      </c>
      <c r="AO285" s="645">
        <v>37301.07</v>
      </c>
      <c r="AP285" s="646">
        <v>43382.25</v>
      </c>
      <c r="AQ285" s="646">
        <v>37301.07</v>
      </c>
      <c r="AR285" s="647">
        <v>43382.25</v>
      </c>
    </row>
    <row r="286" spans="1:44" hidden="1">
      <c r="A286" s="644">
        <v>48</v>
      </c>
      <c r="B286" s="633" t="str">
        <f t="shared" si="52"/>
        <v>48A</v>
      </c>
      <c r="C286" s="645">
        <v>59652.51</v>
      </c>
      <c r="D286" s="646">
        <v>68627.649999999994</v>
      </c>
      <c r="E286" s="646">
        <v>59652.51</v>
      </c>
      <c r="F286" s="647">
        <v>68627.649999999994</v>
      </c>
      <c r="K286" s="729"/>
      <c r="M286" s="645">
        <v>25524.837680165841</v>
      </c>
      <c r="N286" s="646">
        <v>29365.22861737428</v>
      </c>
      <c r="O286" s="646">
        <v>25524.837680165841</v>
      </c>
      <c r="P286" s="647">
        <v>29365.22861737428</v>
      </c>
      <c r="W286" s="645">
        <v>29098.61345563264</v>
      </c>
      <c r="X286" s="646">
        <v>33476.704035506489</v>
      </c>
      <c r="Y286" s="646">
        <v>29098.61345563264</v>
      </c>
      <c r="Z286" s="647">
        <v>33476.704035506489</v>
      </c>
      <c r="AC286" s="645">
        <v>33462.30682578143</v>
      </c>
      <c r="AD286" s="646">
        <v>38496.945693306021</v>
      </c>
      <c r="AE286" s="646">
        <v>33462.30682578143</v>
      </c>
      <c r="AF286" s="647">
        <v>38496.945693306021</v>
      </c>
      <c r="AI286" s="645">
        <v>38481.188697113306</v>
      </c>
      <c r="AJ286" s="646">
        <v>44270.953559760674</v>
      </c>
      <c r="AK286" s="646">
        <v>38481.188697113306</v>
      </c>
      <c r="AL286" s="647">
        <v>44270.953559760674</v>
      </c>
      <c r="AO286" s="645">
        <v>39251.94</v>
      </c>
      <c r="AP286" s="646">
        <v>45157.67</v>
      </c>
      <c r="AQ286" s="646">
        <v>39251.94</v>
      </c>
      <c r="AR286" s="647">
        <v>45157.67</v>
      </c>
    </row>
    <row r="287" spans="1:44" hidden="1">
      <c r="A287" s="644">
        <v>49</v>
      </c>
      <c r="B287" s="633" t="str">
        <f t="shared" si="52"/>
        <v>49A</v>
      </c>
      <c r="C287" s="645">
        <v>62897.74</v>
      </c>
      <c r="D287" s="646">
        <v>71540.77</v>
      </c>
      <c r="E287" s="646">
        <v>62897.74</v>
      </c>
      <c r="F287" s="647">
        <v>71540.77</v>
      </c>
      <c r="K287" s="729"/>
      <c r="M287" s="645">
        <v>26913.447572807581</v>
      </c>
      <c r="N287" s="646">
        <v>30611.730482607978</v>
      </c>
      <c r="O287" s="646">
        <v>26913.447572807581</v>
      </c>
      <c r="P287" s="647">
        <v>30611.730482607978</v>
      </c>
      <c r="W287" s="645">
        <v>30681.644972344209</v>
      </c>
      <c r="X287" s="646">
        <v>34897.730739090402</v>
      </c>
      <c r="Y287" s="646">
        <v>30681.644972344209</v>
      </c>
      <c r="Z287" s="647">
        <v>34897.730739090402</v>
      </c>
      <c r="AC287" s="645">
        <v>35282.73330101031</v>
      </c>
      <c r="AD287" s="646">
        <v>40131.072750097075</v>
      </c>
      <c r="AE287" s="646">
        <v>35282.73330101031</v>
      </c>
      <c r="AF287" s="647">
        <v>40131.072750097075</v>
      </c>
      <c r="AI287" s="645">
        <v>40574.653892660754</v>
      </c>
      <c r="AJ287" s="646">
        <v>46150.177008246479</v>
      </c>
      <c r="AK287" s="646">
        <v>40574.653892660754</v>
      </c>
      <c r="AL287" s="647">
        <v>46150.177008246479</v>
      </c>
      <c r="AO287" s="645">
        <v>41387.339999999997</v>
      </c>
      <c r="AP287" s="646">
        <v>47074.53</v>
      </c>
      <c r="AQ287" s="646">
        <v>41387.339999999997</v>
      </c>
      <c r="AR287" s="647">
        <v>47074.53</v>
      </c>
    </row>
    <row r="288" spans="1:44" hidden="1">
      <c r="A288" s="644">
        <v>50</v>
      </c>
      <c r="B288" s="633" t="str">
        <f t="shared" si="52"/>
        <v>50A</v>
      </c>
      <c r="C288" s="645">
        <v>66435.17</v>
      </c>
      <c r="D288" s="646">
        <v>74621.53</v>
      </c>
      <c r="E288" s="646">
        <v>66435.17</v>
      </c>
      <c r="F288" s="647">
        <v>74621.53</v>
      </c>
      <c r="K288" s="729"/>
      <c r="M288" s="645">
        <v>28427.084023335061</v>
      </c>
      <c r="N288" s="646">
        <v>31929.965611637526</v>
      </c>
      <c r="O288" s="646">
        <v>28427.084023335061</v>
      </c>
      <c r="P288" s="647">
        <v>31929.965611637526</v>
      </c>
      <c r="W288" s="645">
        <v>32407.208227168747</v>
      </c>
      <c r="X288" s="646">
        <v>36400.534202286311</v>
      </c>
      <c r="Y288" s="646">
        <v>32407.208227168747</v>
      </c>
      <c r="Z288" s="647">
        <v>36400.534202286311</v>
      </c>
      <c r="AC288" s="645">
        <v>37267.065893636143</v>
      </c>
      <c r="AD288" s="646">
        <v>41859.239992875941</v>
      </c>
      <c r="AE288" s="646">
        <v>37267.065893636143</v>
      </c>
      <c r="AF288" s="647">
        <v>41859.239992875941</v>
      </c>
      <c r="AI288" s="645">
        <v>42856.608849688244</v>
      </c>
      <c r="AJ288" s="646">
        <v>48137.54536619562</v>
      </c>
      <c r="AK288" s="646">
        <v>42856.608849688244</v>
      </c>
      <c r="AL288" s="647">
        <v>48137.54536619562</v>
      </c>
      <c r="AO288" s="645">
        <v>43715</v>
      </c>
      <c r="AP288" s="646">
        <v>49101.71</v>
      </c>
      <c r="AQ288" s="646">
        <v>43715</v>
      </c>
      <c r="AR288" s="647">
        <v>49101.71</v>
      </c>
    </row>
    <row r="289" spans="1:44" hidden="1">
      <c r="A289" s="644">
        <v>51</v>
      </c>
      <c r="B289" s="633" t="str">
        <f t="shared" si="52"/>
        <v>51A</v>
      </c>
      <c r="C289" s="645">
        <v>70243.240000000005</v>
      </c>
      <c r="D289" s="646">
        <v>77943.740000000005</v>
      </c>
      <c r="E289" s="646">
        <v>70243.240000000005</v>
      </c>
      <c r="F289" s="647">
        <v>77943.740000000005</v>
      </c>
      <c r="K289" s="729"/>
      <c r="M289" s="645">
        <v>30056.527046895269</v>
      </c>
      <c r="N289" s="646">
        <v>33351.513566109155</v>
      </c>
      <c r="O289" s="646">
        <v>30056.527046895269</v>
      </c>
      <c r="P289" s="647">
        <v>33351.513566109155</v>
      </c>
      <c r="W289" s="645">
        <v>34264.792329550692</v>
      </c>
      <c r="X289" s="646">
        <v>38021.115494678153</v>
      </c>
      <c r="Y289" s="646">
        <v>34264.792329550692</v>
      </c>
      <c r="Z289" s="647">
        <v>38021.115494678153</v>
      </c>
      <c r="AC289" s="645">
        <v>39403.217476369602</v>
      </c>
      <c r="AD289" s="646">
        <v>43722.847292406572</v>
      </c>
      <c r="AE289" s="646">
        <v>39403.217476369602</v>
      </c>
      <c r="AF289" s="647">
        <v>43722.847292406572</v>
      </c>
      <c r="AI289" s="645">
        <v>45313.153539472456</v>
      </c>
      <c r="AJ289" s="646">
        <v>50280.667910732896</v>
      </c>
      <c r="AK289" s="646">
        <v>45313.153539472456</v>
      </c>
      <c r="AL289" s="647">
        <v>50280.667910732896</v>
      </c>
      <c r="AO289" s="645">
        <v>46220.74</v>
      </c>
      <c r="AP289" s="646">
        <v>51287.75</v>
      </c>
      <c r="AQ289" s="646">
        <v>46220.74</v>
      </c>
      <c r="AR289" s="647">
        <v>51287.75</v>
      </c>
    </row>
    <row r="290" spans="1:44" hidden="1">
      <c r="A290" s="644">
        <v>52</v>
      </c>
      <c r="B290" s="633" t="str">
        <f t="shared" si="52"/>
        <v>52A</v>
      </c>
      <c r="C290" s="645">
        <v>74396.33</v>
      </c>
      <c r="D290" s="646">
        <v>81502.350000000006</v>
      </c>
      <c r="E290" s="646">
        <v>74396.33</v>
      </c>
      <c r="F290" s="647">
        <v>81502.350000000006</v>
      </c>
      <c r="K290" s="729"/>
      <c r="M290" s="645">
        <v>31833.601180577403</v>
      </c>
      <c r="N290" s="646">
        <v>34874.21410802591</v>
      </c>
      <c r="O290" s="646">
        <v>31833.601180577403</v>
      </c>
      <c r="P290" s="647">
        <v>34874.21410802591</v>
      </c>
      <c r="W290" s="645">
        <v>36290.677623943819</v>
      </c>
      <c r="X290" s="646">
        <v>39757.011919686505</v>
      </c>
      <c r="Y290" s="646">
        <v>36290.677623943819</v>
      </c>
      <c r="Z290" s="647">
        <v>39757.011919686505</v>
      </c>
      <c r="AC290" s="645">
        <v>41732.909075530632</v>
      </c>
      <c r="AD290" s="646">
        <v>45719.062640604294</v>
      </c>
      <c r="AE290" s="646">
        <v>41732.909075530632</v>
      </c>
      <c r="AF290" s="647">
        <v>45719.062640604294</v>
      </c>
      <c r="AI290" s="645">
        <v>47992.26656357287</v>
      </c>
      <c r="AJ290" s="646">
        <v>52576.287871843466</v>
      </c>
      <c r="AK290" s="646">
        <v>47992.26656357287</v>
      </c>
      <c r="AL290" s="647">
        <v>52576.287871843466</v>
      </c>
      <c r="AO290" s="645">
        <v>48953.52</v>
      </c>
      <c r="AP290" s="646">
        <v>53629.35</v>
      </c>
      <c r="AQ290" s="646">
        <v>48953.52</v>
      </c>
      <c r="AR290" s="647">
        <v>53629.35</v>
      </c>
    </row>
    <row r="291" spans="1:44" hidden="1">
      <c r="A291" s="644">
        <v>53</v>
      </c>
      <c r="B291" s="633" t="str">
        <f t="shared" si="52"/>
        <v>53A</v>
      </c>
      <c r="C291" s="645">
        <v>78935.66</v>
      </c>
      <c r="D291" s="646">
        <v>85319.58</v>
      </c>
      <c r="E291" s="646">
        <v>78935.66</v>
      </c>
      <c r="F291" s="647">
        <v>85319.58</v>
      </c>
      <c r="K291" s="729"/>
      <c r="M291" s="645">
        <v>33775.944656274136</v>
      </c>
      <c r="N291" s="646">
        <v>36507.576738673386</v>
      </c>
      <c r="O291" s="646">
        <v>33775.944656274136</v>
      </c>
      <c r="P291" s="647">
        <v>36507.576738673386</v>
      </c>
      <c r="W291" s="645">
        <v>38504.971900976096</v>
      </c>
      <c r="X291" s="646">
        <v>41619.064419985792</v>
      </c>
      <c r="Y291" s="646">
        <v>38504.971900976096</v>
      </c>
      <c r="Z291" s="647">
        <v>41619.064419985792</v>
      </c>
      <c r="AC291" s="645">
        <v>44279.263891150993</v>
      </c>
      <c r="AD291" s="646">
        <v>47860.352712233704</v>
      </c>
      <c r="AE291" s="646">
        <v>44279.263891150993</v>
      </c>
      <c r="AF291" s="647">
        <v>47860.352712233704</v>
      </c>
      <c r="AI291" s="645">
        <v>50920.53928128627</v>
      </c>
      <c r="AJ291" s="646">
        <v>55038.741752582529</v>
      </c>
      <c r="AK291" s="646">
        <v>50920.53928128627</v>
      </c>
      <c r="AL291" s="647">
        <v>55038.741752582529</v>
      </c>
      <c r="AO291" s="645">
        <v>51940.44</v>
      </c>
      <c r="AP291" s="646">
        <v>56141.13</v>
      </c>
      <c r="AQ291" s="646">
        <v>51940.44</v>
      </c>
      <c r="AR291" s="647">
        <v>56141.13</v>
      </c>
    </row>
    <row r="292" spans="1:44" hidden="1">
      <c r="A292" s="644">
        <v>54</v>
      </c>
      <c r="B292" s="633" t="str">
        <f t="shared" si="52"/>
        <v>54A</v>
      </c>
      <c r="C292" s="645">
        <v>83849</v>
      </c>
      <c r="D292" s="646">
        <v>89378.78</v>
      </c>
      <c r="E292" s="646">
        <v>83849</v>
      </c>
      <c r="F292" s="647">
        <v>89378.78</v>
      </c>
      <c r="K292" s="729"/>
      <c r="M292" s="645">
        <v>35878.323907704173</v>
      </c>
      <c r="N292" s="646">
        <v>38244.47489971108</v>
      </c>
      <c r="O292" s="646">
        <v>35878.323907704173</v>
      </c>
      <c r="P292" s="647">
        <v>38244.47489971108</v>
      </c>
      <c r="W292" s="645">
        <v>40901.708833882927</v>
      </c>
      <c r="X292" s="646">
        <v>43599.148635726291</v>
      </c>
      <c r="Y292" s="646">
        <v>40901.708833882927</v>
      </c>
      <c r="Z292" s="647">
        <v>43599.148635726291</v>
      </c>
      <c r="AC292" s="645">
        <v>47035.420872716248</v>
      </c>
      <c r="AD292" s="646">
        <v>50137.374800211226</v>
      </c>
      <c r="AE292" s="646">
        <v>47035.420872716248</v>
      </c>
      <c r="AF292" s="647">
        <v>50137.374800211226</v>
      </c>
      <c r="AI292" s="645">
        <v>54090.081579690013</v>
      </c>
      <c r="AJ292" s="646">
        <v>57657.285569395783</v>
      </c>
      <c r="AK292" s="646">
        <v>54090.081579690013</v>
      </c>
      <c r="AL292" s="647">
        <v>57657.285569395783</v>
      </c>
      <c r="AO292" s="645">
        <v>55173.47</v>
      </c>
      <c r="AP292" s="646">
        <v>58812.12</v>
      </c>
      <c r="AQ292" s="646">
        <v>55173.47</v>
      </c>
      <c r="AR292" s="647">
        <v>58812.12</v>
      </c>
    </row>
    <row r="293" spans="1:44" hidden="1">
      <c r="A293" s="644">
        <v>55</v>
      </c>
      <c r="B293" s="633" t="str">
        <f t="shared" si="52"/>
        <v>55A</v>
      </c>
      <c r="C293" s="645">
        <v>89084.92</v>
      </c>
      <c r="D293" s="646">
        <v>93607.91</v>
      </c>
      <c r="E293" s="646">
        <v>89084.92</v>
      </c>
      <c r="F293" s="647">
        <v>93607.91</v>
      </c>
      <c r="K293" s="729"/>
      <c r="M293" s="645">
        <v>38118.73568599132</v>
      </c>
      <c r="N293" s="646">
        <v>40054.086226316467</v>
      </c>
      <c r="O293" s="646">
        <v>38118.73568599132</v>
      </c>
      <c r="P293" s="647">
        <v>40054.086226316467</v>
      </c>
      <c r="W293" s="645">
        <v>43455.804461628388</v>
      </c>
      <c r="X293" s="646">
        <v>45662.126710558165</v>
      </c>
      <c r="Y293" s="646">
        <v>43455.804461628388</v>
      </c>
      <c r="Z293" s="647">
        <v>45662.126710558165</v>
      </c>
      <c r="AC293" s="645">
        <v>49972.534412105924</v>
      </c>
      <c r="AD293" s="646">
        <v>52509.721696400593</v>
      </c>
      <c r="AE293" s="646">
        <v>49972.534412105924</v>
      </c>
      <c r="AF293" s="647">
        <v>52509.721696400593</v>
      </c>
      <c r="AI293" s="645">
        <v>57467.721409560327</v>
      </c>
      <c r="AJ293" s="646">
        <v>60385.451593411133</v>
      </c>
      <c r="AK293" s="646">
        <v>57467.721409560327</v>
      </c>
      <c r="AL293" s="647">
        <v>60385.451593411133</v>
      </c>
      <c r="AO293" s="645">
        <v>58618.76</v>
      </c>
      <c r="AP293" s="646">
        <v>61594.93</v>
      </c>
      <c r="AQ293" s="646">
        <v>58618.76</v>
      </c>
      <c r="AR293" s="647">
        <v>61594.93</v>
      </c>
    </row>
    <row r="294" spans="1:44" hidden="1">
      <c r="A294" s="644">
        <v>56</v>
      </c>
      <c r="B294" s="633" t="str">
        <f t="shared" si="52"/>
        <v>56A</v>
      </c>
      <c r="C294" s="645">
        <v>94792.24</v>
      </c>
      <c r="D294" s="646">
        <v>99314.13</v>
      </c>
      <c r="E294" s="646">
        <v>94792.24</v>
      </c>
      <c r="F294" s="647">
        <v>99314.13</v>
      </c>
      <c r="K294" s="729"/>
      <c r="M294" s="645">
        <v>40560.851335808751</v>
      </c>
      <c r="N294" s="646">
        <v>42495.734195742785</v>
      </c>
      <c r="O294" s="646">
        <v>40560.851335808751</v>
      </c>
      <c r="P294" s="647">
        <v>42495.734195742785</v>
      </c>
      <c r="W294" s="645">
        <v>46239.844861744525</v>
      </c>
      <c r="X294" s="646">
        <v>48445.63394955916</v>
      </c>
      <c r="Y294" s="646">
        <v>46239.844861744525</v>
      </c>
      <c r="Z294" s="647">
        <v>48445.63394955916</v>
      </c>
      <c r="AC294" s="645">
        <v>53174.0757579196</v>
      </c>
      <c r="AD294" s="646">
        <v>55710.649927061881</v>
      </c>
      <c r="AE294" s="646">
        <v>53174.0757579196</v>
      </c>
      <c r="AF294" s="647">
        <v>55710.649927061881</v>
      </c>
      <c r="AI294" s="645">
        <v>61149.449548964803</v>
      </c>
      <c r="AJ294" s="646">
        <v>64066.474658894847</v>
      </c>
      <c r="AK294" s="646">
        <v>61149.449548964803</v>
      </c>
      <c r="AL294" s="647">
        <v>64066.474658894847</v>
      </c>
      <c r="AO294" s="645">
        <v>62374.23</v>
      </c>
      <c r="AP294" s="646">
        <v>65349.68</v>
      </c>
      <c r="AQ294" s="646">
        <v>62374.23</v>
      </c>
      <c r="AR294" s="647">
        <v>65349.68</v>
      </c>
    </row>
    <row r="295" spans="1:44" hidden="1">
      <c r="A295" s="644">
        <v>57</v>
      </c>
      <c r="B295" s="633" t="str">
        <f t="shared" si="52"/>
        <v>57A</v>
      </c>
      <c r="C295" s="645">
        <v>100915.72</v>
      </c>
      <c r="D295" s="646">
        <v>103185.13</v>
      </c>
      <c r="E295" s="646">
        <v>100915.72</v>
      </c>
      <c r="F295" s="647">
        <v>103185.13</v>
      </c>
      <c r="K295" s="729"/>
      <c r="M295" s="645">
        <v>43181.041862158811</v>
      </c>
      <c r="N295" s="646">
        <v>44152.102247533097</v>
      </c>
      <c r="O295" s="646">
        <v>43181.041862158811</v>
      </c>
      <c r="P295" s="647">
        <v>44152.102247533097</v>
      </c>
      <c r="W295" s="645">
        <v>49226.89270360471</v>
      </c>
      <c r="X295" s="646">
        <v>50333.912898998198</v>
      </c>
      <c r="Y295" s="646">
        <v>49226.89270360471</v>
      </c>
      <c r="Z295" s="647">
        <v>50333.912898998198</v>
      </c>
      <c r="AC295" s="645">
        <v>56609.067996983329</v>
      </c>
      <c r="AD295" s="646">
        <v>57882.099424995336</v>
      </c>
      <c r="AE295" s="646">
        <v>56609.067996983329</v>
      </c>
      <c r="AF295" s="647">
        <v>57882.099424995336</v>
      </c>
      <c r="AI295" s="645">
        <v>65099.642977431293</v>
      </c>
      <c r="AJ295" s="646">
        <v>66563.611461544962</v>
      </c>
      <c r="AK295" s="646">
        <v>65099.642977431293</v>
      </c>
      <c r="AL295" s="647">
        <v>66563.611461544962</v>
      </c>
      <c r="AO295" s="645">
        <v>66403.539999999994</v>
      </c>
      <c r="AP295" s="646">
        <v>67896.83</v>
      </c>
      <c r="AQ295" s="646">
        <v>66403.539999999994</v>
      </c>
      <c r="AR295" s="647">
        <v>67896.83</v>
      </c>
    </row>
    <row r="296" spans="1:44" hidden="1">
      <c r="A296" s="644">
        <v>58</v>
      </c>
      <c r="B296" s="633" t="str">
        <f t="shared" si="52"/>
        <v>58A</v>
      </c>
      <c r="C296" s="645">
        <v>105307.08</v>
      </c>
      <c r="D296" s="646">
        <v>107360.54</v>
      </c>
      <c r="E296" s="646">
        <v>105307.08</v>
      </c>
      <c r="F296" s="647">
        <v>107360.54</v>
      </c>
      <c r="K296" s="729"/>
      <c r="M296" s="645">
        <v>45060.070321099382</v>
      </c>
      <c r="N296" s="646">
        <v>45938.730423490437</v>
      </c>
      <c r="O296" s="646">
        <v>45060.070321099382</v>
      </c>
      <c r="P296" s="647">
        <v>45938.730423490437</v>
      </c>
      <c r="W296" s="645">
        <v>51369.007121097449</v>
      </c>
      <c r="X296" s="646">
        <v>52370.689913314818</v>
      </c>
      <c r="Y296" s="646">
        <v>51369.007121097449</v>
      </c>
      <c r="Z296" s="647">
        <v>52370.689913314818</v>
      </c>
      <c r="AC296" s="645">
        <v>59072.418699358357</v>
      </c>
      <c r="AD296" s="646">
        <v>60224.31609084025</v>
      </c>
      <c r="AE296" s="646">
        <v>59072.418699358357</v>
      </c>
      <c r="AF296" s="647">
        <v>60224.31609084025</v>
      </c>
      <c r="AI296" s="645">
        <v>67932.462116254857</v>
      </c>
      <c r="AJ296" s="646">
        <v>69257.128138597807</v>
      </c>
      <c r="AK296" s="646">
        <v>67932.462116254857</v>
      </c>
      <c r="AL296" s="647">
        <v>69257.128138597807</v>
      </c>
      <c r="AO296" s="645">
        <v>69293.100000000006</v>
      </c>
      <c r="AP296" s="646">
        <v>70644.3</v>
      </c>
      <c r="AQ296" s="646">
        <v>69293.100000000006</v>
      </c>
      <c r="AR296" s="647">
        <v>70644.3</v>
      </c>
    </row>
    <row r="297" spans="1:44" hidden="1">
      <c r="A297" s="644">
        <v>59</v>
      </c>
      <c r="B297" s="633" t="str">
        <f t="shared" si="52"/>
        <v>59A</v>
      </c>
      <c r="C297" s="645">
        <v>112211.9</v>
      </c>
      <c r="D297" s="646">
        <v>109213.73</v>
      </c>
      <c r="E297" s="646">
        <v>112211.9</v>
      </c>
      <c r="F297" s="647">
        <v>109213.73</v>
      </c>
      <c r="K297" s="729"/>
      <c r="M297" s="645">
        <v>48014.58551559702</v>
      </c>
      <c r="N297" s="646">
        <v>46731.693661837271</v>
      </c>
      <c r="O297" s="646">
        <v>48014.58551559702</v>
      </c>
      <c r="P297" s="647">
        <v>46731.693661837271</v>
      </c>
      <c r="W297" s="645">
        <v>54737.188994406097</v>
      </c>
      <c r="X297" s="646">
        <v>53274.677278339717</v>
      </c>
      <c r="Y297" s="646">
        <v>54737.188994406097</v>
      </c>
      <c r="Z297" s="647">
        <v>53274.677278339717</v>
      </c>
      <c r="AC297" s="645">
        <v>62945.700684478943</v>
      </c>
      <c r="AD297" s="646">
        <v>61263.867429642523</v>
      </c>
      <c r="AE297" s="646">
        <v>62945.700684478943</v>
      </c>
      <c r="AF297" s="647">
        <v>61263.867429642523</v>
      </c>
      <c r="AI297" s="645">
        <v>72386.682673210569</v>
      </c>
      <c r="AJ297" s="646">
        <v>70452.597758700824</v>
      </c>
      <c r="AK297" s="646">
        <v>72386.682673210569</v>
      </c>
      <c r="AL297" s="647">
        <v>70452.597758700824</v>
      </c>
      <c r="AO297" s="645">
        <v>73836.539999999994</v>
      </c>
      <c r="AP297" s="646">
        <v>71863.710000000006</v>
      </c>
      <c r="AQ297" s="646">
        <v>73836.539999999994</v>
      </c>
      <c r="AR297" s="647">
        <v>71863.710000000006</v>
      </c>
    </row>
    <row r="298" spans="1:44" hidden="1">
      <c r="A298" s="644">
        <v>60</v>
      </c>
      <c r="B298" s="633" t="str">
        <f t="shared" si="52"/>
        <v>60A</v>
      </c>
      <c r="C298" s="648">
        <v>142665.79999999999</v>
      </c>
      <c r="D298" s="649">
        <v>141644.60999999999</v>
      </c>
      <c r="E298" s="649">
        <v>179591.07</v>
      </c>
      <c r="F298" s="650">
        <v>178305.56</v>
      </c>
      <c r="K298" s="729"/>
      <c r="M298" s="648">
        <v>50807.851377131294</v>
      </c>
      <c r="N298" s="649">
        <v>50444.171417422127</v>
      </c>
      <c r="O298" s="649">
        <v>63958.118792388799</v>
      </c>
      <c r="P298" s="650">
        <v>63500.309901931389</v>
      </c>
      <c r="W298" s="648">
        <v>57922.822760237475</v>
      </c>
      <c r="X298" s="649">
        <v>57508.214205128097</v>
      </c>
      <c r="Y298" s="649">
        <v>72914.612180534226</v>
      </c>
      <c r="Z298" s="650">
        <v>72392.693175867142</v>
      </c>
      <c r="AC298" s="648">
        <v>81094.651473648802</v>
      </c>
      <c r="AD298" s="649">
        <v>80514.180172832494</v>
      </c>
      <c r="AE298" s="649">
        <v>102083.85538447557</v>
      </c>
      <c r="AF298" s="650">
        <v>101353.14445285973</v>
      </c>
      <c r="AI298" s="648">
        <v>92437.752976358519</v>
      </c>
      <c r="AJ298" s="649">
        <v>91776.08834447882</v>
      </c>
      <c r="AK298" s="649">
        <v>116362.8184525925</v>
      </c>
      <c r="AL298" s="650">
        <v>115529.89944540277</v>
      </c>
      <c r="AO298" s="648">
        <v>94291.03</v>
      </c>
      <c r="AP298" s="649">
        <v>93616.1</v>
      </c>
      <c r="AQ298" s="649">
        <v>118695.76</v>
      </c>
      <c r="AR298" s="650">
        <v>117846.14</v>
      </c>
    </row>
    <row r="299" spans="1:44" hidden="1">
      <c r="A299" s="644">
        <v>61</v>
      </c>
      <c r="B299" s="633" t="str">
        <f t="shared" si="52"/>
        <v>61A</v>
      </c>
      <c r="C299" s="648">
        <v>150551.67999999999</v>
      </c>
      <c r="D299" s="649">
        <v>147861.16</v>
      </c>
      <c r="E299" s="649">
        <v>189517.99</v>
      </c>
      <c r="F299" s="650">
        <v>186131.1</v>
      </c>
      <c r="K299" s="729"/>
      <c r="M299" s="648">
        <v>53616.263721593394</v>
      </c>
      <c r="N299" s="649">
        <v>52658.082968322407</v>
      </c>
      <c r="O299" s="649">
        <v>67493.41433188814</v>
      </c>
      <c r="P299" s="650">
        <v>66287.233854241131</v>
      </c>
      <c r="W299" s="648">
        <v>61124.516318551563</v>
      </c>
      <c r="X299" s="649">
        <v>60032.154952352037</v>
      </c>
      <c r="Y299" s="649">
        <v>76944.97936570608</v>
      </c>
      <c r="Z299" s="650">
        <v>75569.889175313729</v>
      </c>
      <c r="AC299" s="648">
        <v>85577.171676637678</v>
      </c>
      <c r="AD299" s="649">
        <v>84047.81485226618</v>
      </c>
      <c r="AE299" s="649">
        <v>107726.55728706153</v>
      </c>
      <c r="AF299" s="650">
        <v>105801.36693167624</v>
      </c>
      <c r="AI299" s="648">
        <v>97547.264981229324</v>
      </c>
      <c r="AJ299" s="649">
        <v>95803.989613803904</v>
      </c>
      <c r="AK299" s="649">
        <v>122794.7923881357</v>
      </c>
      <c r="AL299" s="650">
        <v>120600.31633737666</v>
      </c>
      <c r="AO299" s="648">
        <v>99502.98</v>
      </c>
      <c r="AP299" s="649">
        <v>97724.75</v>
      </c>
      <c r="AQ299" s="649">
        <v>125256.69</v>
      </c>
      <c r="AR299" s="650">
        <v>123018.22</v>
      </c>
    </row>
    <row r="300" spans="1:44" hidden="1">
      <c r="A300" s="644">
        <v>62</v>
      </c>
      <c r="B300" s="633" t="str">
        <f t="shared" si="52"/>
        <v>62A</v>
      </c>
      <c r="C300" s="648">
        <v>158581.37</v>
      </c>
      <c r="D300" s="649">
        <v>154257.89000000001</v>
      </c>
      <c r="E300" s="649">
        <v>199625.96</v>
      </c>
      <c r="F300" s="650">
        <v>194183.46</v>
      </c>
      <c r="K300" s="729"/>
      <c r="M300" s="648">
        <v>56475.892751977248</v>
      </c>
      <c r="N300" s="649">
        <v>54936.165200413583</v>
      </c>
      <c r="O300" s="649">
        <v>71093.182640724306</v>
      </c>
      <c r="P300" s="650">
        <v>69154.937369932391</v>
      </c>
      <c r="W300" s="648">
        <v>64384.598786071692</v>
      </c>
      <c r="X300" s="649">
        <v>62629.252640723396</v>
      </c>
      <c r="Y300" s="649">
        <v>81048.84788364319</v>
      </c>
      <c r="Z300" s="650">
        <v>78839.176853616518</v>
      </c>
      <c r="AC300" s="648">
        <v>90141.439073847185</v>
      </c>
      <c r="AD300" s="649">
        <v>87683.872658932218</v>
      </c>
      <c r="AE300" s="649">
        <v>113472.16448119588</v>
      </c>
      <c r="AF300" s="650">
        <v>110378.52205300877</v>
      </c>
      <c r="AI300" s="648">
        <v>102749.95855613661</v>
      </c>
      <c r="AJ300" s="649">
        <v>99948.640429025312</v>
      </c>
      <c r="AK300" s="649">
        <v>129344.06547654847</v>
      </c>
      <c r="AL300" s="650">
        <v>125817.70030477302</v>
      </c>
      <c r="AO300" s="648">
        <v>104809.98</v>
      </c>
      <c r="AP300" s="649">
        <v>101952.5</v>
      </c>
      <c r="AQ300" s="649">
        <v>131937.26999999999</v>
      </c>
      <c r="AR300" s="650">
        <v>128340.2</v>
      </c>
    </row>
    <row r="301" spans="1:44" hidden="1">
      <c r="A301" s="644">
        <v>63</v>
      </c>
      <c r="B301" s="633" t="str">
        <f t="shared" si="52"/>
        <v>63A</v>
      </c>
      <c r="C301" s="648">
        <v>167401.19</v>
      </c>
      <c r="D301" s="649">
        <v>160985.35999999999</v>
      </c>
      <c r="E301" s="649">
        <v>210728.56</v>
      </c>
      <c r="F301" s="650">
        <v>202652.16</v>
      </c>
      <c r="K301" s="729"/>
      <c r="M301" s="648">
        <v>59616.913907353483</v>
      </c>
      <c r="N301" s="649">
        <v>57332.031980236665</v>
      </c>
      <c r="O301" s="649">
        <v>75047.173977492028</v>
      </c>
      <c r="P301" s="650">
        <v>72170.910845709674</v>
      </c>
      <c r="W301" s="648">
        <v>67965.478644945309</v>
      </c>
      <c r="X301" s="649">
        <v>65360.629053686534</v>
      </c>
      <c r="Y301" s="649">
        <v>85556.543705989985</v>
      </c>
      <c r="Z301" s="650">
        <v>82277.497749934802</v>
      </c>
      <c r="AC301" s="648">
        <v>95154.837770357379</v>
      </c>
      <c r="AD301" s="649">
        <v>91507.926938355988</v>
      </c>
      <c r="AE301" s="649">
        <v>119783.14872268516</v>
      </c>
      <c r="AF301" s="650">
        <v>115192.33155769517</v>
      </c>
      <c r="AI301" s="648">
        <v>108464.6055995436</v>
      </c>
      <c r="AJ301" s="649">
        <v>104307.58369379076</v>
      </c>
      <c r="AK301" s="649">
        <v>136537.79763707254</v>
      </c>
      <c r="AL301" s="650">
        <v>131304.8406498307</v>
      </c>
      <c r="AO301" s="648">
        <v>110639.2</v>
      </c>
      <c r="AP301" s="649">
        <v>106398.83</v>
      </c>
      <c r="AQ301" s="649">
        <v>139275.23000000001</v>
      </c>
      <c r="AR301" s="650">
        <v>133937.35999999999</v>
      </c>
    </row>
    <row r="302" spans="1:44" hidden="1">
      <c r="A302" s="644">
        <v>64</v>
      </c>
      <c r="B302" s="633" t="str">
        <f t="shared" si="52"/>
        <v>64A</v>
      </c>
      <c r="C302" s="648">
        <v>176292.86</v>
      </c>
      <c r="D302" s="649">
        <v>168136.38</v>
      </c>
      <c r="E302" s="649">
        <v>221921.6</v>
      </c>
      <c r="F302" s="650">
        <v>211654.03</v>
      </c>
      <c r="K302" s="729"/>
      <c r="M302" s="648">
        <v>62783.520355876921</v>
      </c>
      <c r="N302" s="649">
        <v>59878.736740560242</v>
      </c>
      <c r="O302" s="649">
        <v>79033.37268328038</v>
      </c>
      <c r="P302" s="650">
        <v>75376.762720469967</v>
      </c>
      <c r="W302" s="648">
        <v>71575.526680785028</v>
      </c>
      <c r="X302" s="649">
        <v>68263.966322565233</v>
      </c>
      <c r="Y302" s="649">
        <v>90100.957115811747</v>
      </c>
      <c r="Z302" s="650">
        <v>85932.287017817434</v>
      </c>
      <c r="AC302" s="648">
        <v>100209.07327406148</v>
      </c>
      <c r="AD302" s="649">
        <v>95572.7344306421</v>
      </c>
      <c r="AE302" s="649">
        <v>126145.53929793621</v>
      </c>
      <c r="AF302" s="650">
        <v>120309.20687151419</v>
      </c>
      <c r="AI302" s="648">
        <v>114225.8014920687</v>
      </c>
      <c r="AJ302" s="649">
        <v>108940.95548885284</v>
      </c>
      <c r="AK302" s="649">
        <v>143790.12658413354</v>
      </c>
      <c r="AL302" s="650">
        <v>137137.4380859677</v>
      </c>
      <c r="AO302" s="648">
        <v>116515.9</v>
      </c>
      <c r="AP302" s="649">
        <v>111125.1</v>
      </c>
      <c r="AQ302" s="649">
        <v>146672.95999999999</v>
      </c>
      <c r="AR302" s="650">
        <v>139886.89000000001</v>
      </c>
    </row>
    <row r="303" spans="1:44" hidden="1">
      <c r="A303" s="644">
        <v>65</v>
      </c>
      <c r="B303" s="633" t="str">
        <f t="shared" ref="B303:B338" si="53">+CONCATENATE(A303,$B$236)</f>
        <v>65A</v>
      </c>
      <c r="C303" s="648">
        <v>185704.63</v>
      </c>
      <c r="D303" s="649">
        <v>175521.49</v>
      </c>
      <c r="E303" s="649">
        <v>233769.36</v>
      </c>
      <c r="F303" s="650">
        <v>220950.58</v>
      </c>
      <c r="K303" s="729"/>
      <c r="M303" s="648">
        <v>66135.355106860952</v>
      </c>
      <c r="N303" s="649">
        <v>62508.812676841953</v>
      </c>
      <c r="O303" s="649">
        <v>83252.741134519107</v>
      </c>
      <c r="P303" s="650">
        <v>78687.564193201048</v>
      </c>
      <c r="W303" s="648">
        <v>75396.741806804683</v>
      </c>
      <c r="X303" s="649">
        <v>71262.349804134414</v>
      </c>
      <c r="Y303" s="649">
        <v>94911.19262738945</v>
      </c>
      <c r="Z303" s="650">
        <v>89706.722694616255</v>
      </c>
      <c r="AC303" s="648">
        <v>105558.95254588322</v>
      </c>
      <c r="AD303" s="649">
        <v>99770.611050514213</v>
      </c>
      <c r="AE303" s="649">
        <v>132880.09320481773</v>
      </c>
      <c r="AF303" s="650">
        <v>125593.59273417674</v>
      </c>
      <c r="AI303" s="648">
        <v>120323.99427784933</v>
      </c>
      <c r="AJ303" s="649">
        <v>113726.00943459995</v>
      </c>
      <c r="AK303" s="649">
        <v>151466.67514976332</v>
      </c>
      <c r="AL303" s="650">
        <v>143160.97658237879</v>
      </c>
      <c r="AO303" s="648">
        <v>122736.36</v>
      </c>
      <c r="AP303" s="649">
        <v>116006.09</v>
      </c>
      <c r="AQ303" s="649">
        <v>154503.41</v>
      </c>
      <c r="AR303" s="650">
        <v>146031.19</v>
      </c>
    </row>
    <row r="304" spans="1:44" hidden="1">
      <c r="A304" s="644">
        <v>66</v>
      </c>
      <c r="B304" s="633" t="str">
        <f t="shared" si="53"/>
        <v>66A</v>
      </c>
      <c r="C304" s="648">
        <v>195556.46</v>
      </c>
      <c r="D304" s="649">
        <v>183328.66</v>
      </c>
      <c r="E304" s="649">
        <v>246171.07</v>
      </c>
      <c r="F304" s="650">
        <v>230778.44</v>
      </c>
      <c r="K304" s="729"/>
      <c r="M304" s="648">
        <v>69643.905540825246</v>
      </c>
      <c r="N304" s="649">
        <v>65289.196447910326</v>
      </c>
      <c r="O304" s="649">
        <v>87669.386974921188</v>
      </c>
      <c r="P304" s="650">
        <v>82187.576705016545</v>
      </c>
      <c r="W304" s="648">
        <v>79396.618586151002</v>
      </c>
      <c r="X304" s="649">
        <v>74432.089755970315</v>
      </c>
      <c r="Y304" s="649">
        <v>99946.331631978333</v>
      </c>
      <c r="Z304" s="650">
        <v>93696.865928103813</v>
      </c>
      <c r="AC304" s="648">
        <v>111158.96645924696</v>
      </c>
      <c r="AD304" s="649">
        <v>104208.39471517169</v>
      </c>
      <c r="AE304" s="649">
        <v>139929.52248399323</v>
      </c>
      <c r="AF304" s="650">
        <v>131179.97922968675</v>
      </c>
      <c r="AI304" s="648">
        <v>126707.30924845372</v>
      </c>
      <c r="AJ304" s="649">
        <v>118784.52738494128</v>
      </c>
      <c r="AK304" s="649">
        <v>159502.14223040646</v>
      </c>
      <c r="AL304" s="650">
        <v>149528.75800222025</v>
      </c>
      <c r="AO304" s="648">
        <v>129247.65</v>
      </c>
      <c r="AP304" s="649">
        <v>121166.02</v>
      </c>
      <c r="AQ304" s="649">
        <v>162699.98000000001</v>
      </c>
      <c r="AR304" s="650">
        <v>152526.64000000001</v>
      </c>
    </row>
    <row r="305" spans="1:44" hidden="1">
      <c r="A305" s="644">
        <v>67</v>
      </c>
      <c r="B305" s="633" t="str">
        <f t="shared" si="53"/>
        <v>67A</v>
      </c>
      <c r="C305" s="648">
        <v>205722.06</v>
      </c>
      <c r="D305" s="649">
        <v>191244.9</v>
      </c>
      <c r="E305" s="649">
        <v>258967.77</v>
      </c>
      <c r="F305" s="650">
        <v>240743.57</v>
      </c>
      <c r="K305" s="729"/>
      <c r="M305" s="648">
        <v>73264.201471346139</v>
      </c>
      <c r="N305" s="649">
        <v>68108.419154972478</v>
      </c>
      <c r="O305" s="649">
        <v>92226.700675694519</v>
      </c>
      <c r="P305" s="650">
        <v>85736.480583318291</v>
      </c>
      <c r="W305" s="648">
        <v>83523.889349219666</v>
      </c>
      <c r="X305" s="649">
        <v>77646.107525993517</v>
      </c>
      <c r="Y305" s="649">
        <v>105141.83718078237</v>
      </c>
      <c r="Z305" s="650">
        <v>97742.747120956541</v>
      </c>
      <c r="AC305" s="648">
        <v>116937.33788727406</v>
      </c>
      <c r="AD305" s="649">
        <v>108708.16938894794</v>
      </c>
      <c r="AE305" s="649">
        <v>147203.47239927435</v>
      </c>
      <c r="AF305" s="650">
        <v>136844.40146608738</v>
      </c>
      <c r="AI305" s="648">
        <v>133293.92946277431</v>
      </c>
      <c r="AJ305" s="649">
        <v>123913.70732696202</v>
      </c>
      <c r="AK305" s="649">
        <v>167793.53473549226</v>
      </c>
      <c r="AL305" s="650">
        <v>155985.49039982277</v>
      </c>
      <c r="AO305" s="648">
        <v>135966.32</v>
      </c>
      <c r="AP305" s="649">
        <v>126398.04</v>
      </c>
      <c r="AQ305" s="649">
        <v>171157.61</v>
      </c>
      <c r="AR305" s="650">
        <v>159112.82</v>
      </c>
    </row>
    <row r="306" spans="1:44" hidden="1">
      <c r="A306" s="644">
        <v>68</v>
      </c>
      <c r="B306" s="633" t="str">
        <f t="shared" si="53"/>
        <v>68A</v>
      </c>
      <c r="C306" s="648">
        <v>216461.63</v>
      </c>
      <c r="D306" s="649">
        <v>199619.1</v>
      </c>
      <c r="E306" s="649">
        <v>272486.99</v>
      </c>
      <c r="F306" s="650">
        <v>251285.22</v>
      </c>
      <c r="K306" s="729"/>
      <c r="M306" s="648">
        <v>77088.903149281177</v>
      </c>
      <c r="N306" s="649">
        <v>71090.742343394886</v>
      </c>
      <c r="O306" s="649">
        <v>97041.325140859815</v>
      </c>
      <c r="P306" s="650">
        <v>89490.699185214733</v>
      </c>
      <c r="W306" s="648">
        <v>87884.190196374344</v>
      </c>
      <c r="X306" s="649">
        <v>81046.065854766479</v>
      </c>
      <c r="Y306" s="649">
        <v>110630.68648249474</v>
      </c>
      <c r="Z306" s="650">
        <v>102022.69466423546</v>
      </c>
      <c r="AC306" s="648">
        <v>123041.96229385598</v>
      </c>
      <c r="AD306" s="649">
        <v>113468.26951110648</v>
      </c>
      <c r="AE306" s="649">
        <v>154888.11724050101</v>
      </c>
      <c r="AF306" s="650">
        <v>142836.52750221637</v>
      </c>
      <c r="AI306" s="648">
        <v>140252.43723923888</v>
      </c>
      <c r="AJ306" s="649">
        <v>129339.62569813605</v>
      </c>
      <c r="AK306" s="649">
        <v>176553.06805410064</v>
      </c>
      <c r="AL306" s="650">
        <v>162815.76411412418</v>
      </c>
      <c r="AO306" s="648">
        <v>143064.34</v>
      </c>
      <c r="AP306" s="649">
        <v>131932.74</v>
      </c>
      <c r="AQ306" s="649">
        <v>180092.76</v>
      </c>
      <c r="AR306" s="650">
        <v>166080.04</v>
      </c>
    </row>
    <row r="307" spans="1:44" hidden="1">
      <c r="A307" s="644">
        <v>69</v>
      </c>
      <c r="B307" s="633" t="str">
        <f t="shared" si="53"/>
        <v>69A</v>
      </c>
      <c r="C307" s="648">
        <v>227161.64</v>
      </c>
      <c r="D307" s="649">
        <v>208475.63</v>
      </c>
      <c r="E307" s="649">
        <v>285956.42</v>
      </c>
      <c r="F307" s="650">
        <v>262434.02</v>
      </c>
      <c r="K307" s="729"/>
      <c r="M307" s="648">
        <v>80899.521391078437</v>
      </c>
      <c r="N307" s="649">
        <v>74244.832743108462</v>
      </c>
      <c r="O307" s="649">
        <v>101838.22104523993</v>
      </c>
      <c r="P307" s="650">
        <v>93461.14239426596</v>
      </c>
      <c r="W307" s="648">
        <v>92228.43540737922</v>
      </c>
      <c r="X307" s="649">
        <v>84641.845133766023</v>
      </c>
      <c r="Y307" s="649">
        <v>116099.32457164208</v>
      </c>
      <c r="Z307" s="650">
        <v>106549.14622721136</v>
      </c>
      <c r="AC307" s="648">
        <v>129124.10806152303</v>
      </c>
      <c r="AD307" s="649">
        <v>118502.52809021027</v>
      </c>
      <c r="AE307" s="649">
        <v>162544.46544215255</v>
      </c>
      <c r="AF307" s="650">
        <v>149173.77065473533</v>
      </c>
      <c r="AI307" s="648">
        <v>147185.32218073838</v>
      </c>
      <c r="AJ307" s="649">
        <v>135078.05039690333</v>
      </c>
      <c r="AK307" s="649">
        <v>185280.3467451648</v>
      </c>
      <c r="AL307" s="650">
        <v>170039.42814669013</v>
      </c>
      <c r="AO307" s="648">
        <v>150136.22</v>
      </c>
      <c r="AP307" s="649">
        <v>137786.21</v>
      </c>
      <c r="AQ307" s="649">
        <v>188995.01</v>
      </c>
      <c r="AR307" s="650">
        <v>173448.53</v>
      </c>
    </row>
    <row r="308" spans="1:44" hidden="1">
      <c r="A308" s="644">
        <v>70</v>
      </c>
      <c r="B308" s="633" t="str">
        <f t="shared" si="53"/>
        <v>70A</v>
      </c>
      <c r="C308" s="648">
        <v>238558.85</v>
      </c>
      <c r="D308" s="649">
        <v>217543.27</v>
      </c>
      <c r="E308" s="649">
        <v>300303.5</v>
      </c>
      <c r="F308" s="650">
        <v>273848.59000000003</v>
      </c>
      <c r="K308" s="729"/>
      <c r="M308" s="648">
        <v>84958.432225472148</v>
      </c>
      <c r="N308" s="649">
        <v>77474.111634935849</v>
      </c>
      <c r="O308" s="649">
        <v>106947.67350735904</v>
      </c>
      <c r="P308" s="650">
        <v>97526.234646330995</v>
      </c>
      <c r="W308" s="648">
        <v>96855.743323139948</v>
      </c>
      <c r="X308" s="649">
        <v>88323.342064354292</v>
      </c>
      <c r="Y308" s="649">
        <v>121924.28865383498</v>
      </c>
      <c r="Z308" s="650">
        <v>111183.50118689303</v>
      </c>
      <c r="AC308" s="648">
        <v>135602.55480855331</v>
      </c>
      <c r="AD308" s="649">
        <v>123656.79537658139</v>
      </c>
      <c r="AE308" s="649">
        <v>170699.68664135534</v>
      </c>
      <c r="AF308" s="650">
        <v>155662.08359169654</v>
      </c>
      <c r="AI308" s="648">
        <v>154569.94063818463</v>
      </c>
      <c r="AJ308" s="649">
        <v>140953.27000181793</v>
      </c>
      <c r="AK308" s="649">
        <v>194576.27821512654</v>
      </c>
      <c r="AL308" s="650">
        <v>177435.29282581786</v>
      </c>
      <c r="AO308" s="648">
        <v>157668.89000000001</v>
      </c>
      <c r="AP308" s="649">
        <v>143779.23000000001</v>
      </c>
      <c r="AQ308" s="649">
        <v>198477.31</v>
      </c>
      <c r="AR308" s="650">
        <v>180992.67</v>
      </c>
    </row>
    <row r="309" spans="1:44" hidden="1">
      <c r="A309" s="644">
        <v>71</v>
      </c>
      <c r="B309" s="633" t="str">
        <f t="shared" si="53"/>
        <v>71A</v>
      </c>
      <c r="C309" s="648">
        <v>250520.06</v>
      </c>
      <c r="D309" s="649">
        <v>226680.75</v>
      </c>
      <c r="E309" s="649">
        <v>315360.53999999998</v>
      </c>
      <c r="F309" s="650">
        <v>285351.07</v>
      </c>
      <c r="K309" s="729"/>
      <c r="M309" s="648">
        <v>89218.199135978488</v>
      </c>
      <c r="N309" s="649">
        <v>80728.26127568743</v>
      </c>
      <c r="O309" s="649">
        <v>112309.96832411412</v>
      </c>
      <c r="P309" s="650">
        <v>101622.63478233592</v>
      </c>
      <c r="W309" s="648">
        <v>101712.03456690312</v>
      </c>
      <c r="X309" s="649">
        <v>92033.192565164543</v>
      </c>
      <c r="Y309" s="649">
        <v>128037.5023371604</v>
      </c>
      <c r="Z309" s="650">
        <v>115853.54828791303</v>
      </c>
      <c r="AC309" s="648">
        <v>142401.58888701425</v>
      </c>
      <c r="AD309" s="649">
        <v>128850.75898273828</v>
      </c>
      <c r="AE309" s="649">
        <v>179258.47071659443</v>
      </c>
      <c r="AF309" s="650">
        <v>162200.36719003526</v>
      </c>
      <c r="AI309" s="648">
        <v>162319.98852915855</v>
      </c>
      <c r="AJ309" s="649">
        <v>146873.73844294736</v>
      </c>
      <c r="AK309" s="649">
        <v>204332.22085435255</v>
      </c>
      <c r="AL309" s="650">
        <v>184888.11780465141</v>
      </c>
      <c r="AO309" s="648">
        <v>165574.32</v>
      </c>
      <c r="AP309" s="649">
        <v>149818.39000000001</v>
      </c>
      <c r="AQ309" s="649">
        <v>208428.85</v>
      </c>
      <c r="AR309" s="650">
        <v>188594.92</v>
      </c>
    </row>
    <row r="310" spans="1:44" hidden="1">
      <c r="A310" s="644">
        <v>72</v>
      </c>
      <c r="B310" s="633" t="str">
        <f t="shared" si="53"/>
        <v>72A</v>
      </c>
      <c r="C310" s="648">
        <v>262518.40999999997</v>
      </c>
      <c r="D310" s="649">
        <v>236631.87</v>
      </c>
      <c r="E310" s="649">
        <v>330464.36</v>
      </c>
      <c r="F310" s="650">
        <v>297877.76000000001</v>
      </c>
      <c r="K310" s="729"/>
      <c r="M310" s="648">
        <v>93491.196639517773</v>
      </c>
      <c r="N310" s="649">
        <v>84272.170123784934</v>
      </c>
      <c r="O310" s="649">
        <v>117688.91812268706</v>
      </c>
      <c r="P310" s="650">
        <v>106083.7906264116</v>
      </c>
      <c r="W310" s="648">
        <v>106583.40917425061</v>
      </c>
      <c r="X310" s="649">
        <v>96073.379239525326</v>
      </c>
      <c r="Y310" s="649">
        <v>134169.7033134684</v>
      </c>
      <c r="Z310" s="650">
        <v>120939.43033681421</v>
      </c>
      <c r="AC310" s="648">
        <v>149221.74037748363</v>
      </c>
      <c r="AD310" s="649">
        <v>134507.20862784574</v>
      </c>
      <c r="AE310" s="649">
        <v>187843.83788695</v>
      </c>
      <c r="AF310" s="650">
        <v>169320.83909622932</v>
      </c>
      <c r="AI310" s="648">
        <v>170094.10762679362</v>
      </c>
      <c r="AJ310" s="649">
        <v>153321.38308431505</v>
      </c>
      <c r="AK310" s="649">
        <v>214118.46489490487</v>
      </c>
      <c r="AL310" s="650">
        <v>193004.5645884907</v>
      </c>
      <c r="AO310" s="648">
        <v>173504.3</v>
      </c>
      <c r="AP310" s="649">
        <v>156395.29999999999</v>
      </c>
      <c r="AQ310" s="649">
        <v>218411.3</v>
      </c>
      <c r="AR310" s="650">
        <v>196874.09</v>
      </c>
    </row>
    <row r="311" spans="1:44" hidden="1">
      <c r="A311" s="644">
        <v>73</v>
      </c>
      <c r="B311" s="633" t="str">
        <f t="shared" si="53"/>
        <v>73A</v>
      </c>
      <c r="C311" s="648">
        <v>275209.11</v>
      </c>
      <c r="D311" s="649">
        <v>246671.13</v>
      </c>
      <c r="E311" s="649">
        <v>346439.7</v>
      </c>
      <c r="F311" s="650">
        <v>310515.42</v>
      </c>
      <c r="K311" s="729"/>
      <c r="M311" s="648">
        <v>98010.757999630034</v>
      </c>
      <c r="N311" s="649">
        <v>87847.472818068505</v>
      </c>
      <c r="O311" s="649">
        <v>123378.24830541664</v>
      </c>
      <c r="P311" s="650">
        <v>110584.46578274507</v>
      </c>
      <c r="W311" s="648">
        <v>111735.87566358599</v>
      </c>
      <c r="X311" s="649">
        <v>100149.35605535266</v>
      </c>
      <c r="Y311" s="649">
        <v>140655.74936474941</v>
      </c>
      <c r="Z311" s="650">
        <v>126070.36585791453</v>
      </c>
      <c r="AC311" s="648">
        <v>156435.43360358695</v>
      </c>
      <c r="AD311" s="649">
        <v>140213.76613907769</v>
      </c>
      <c r="AE311" s="649">
        <v>196924.60465392709</v>
      </c>
      <c r="AF311" s="650">
        <v>176504.38796330956</v>
      </c>
      <c r="AI311" s="648">
        <v>178316.81504786742</v>
      </c>
      <c r="AJ311" s="649">
        <v>159826.1444216278</v>
      </c>
      <c r="AK311" s="649">
        <v>224469.40247202135</v>
      </c>
      <c r="AL311" s="650">
        <v>201192.91121310793</v>
      </c>
      <c r="AO311" s="648">
        <v>181891.87</v>
      </c>
      <c r="AP311" s="649">
        <v>163030.48000000001</v>
      </c>
      <c r="AQ311" s="649">
        <v>228969.76</v>
      </c>
      <c r="AR311" s="650">
        <v>205226.6</v>
      </c>
    </row>
    <row r="312" spans="1:44" hidden="1">
      <c r="A312" s="644">
        <v>74</v>
      </c>
      <c r="B312" s="633" t="str">
        <f t="shared" si="53"/>
        <v>74A</v>
      </c>
      <c r="C312" s="648">
        <v>287984</v>
      </c>
      <c r="D312" s="649">
        <v>256884.89</v>
      </c>
      <c r="E312" s="649">
        <v>362521.04</v>
      </c>
      <c r="F312" s="650">
        <v>323372.74</v>
      </c>
      <c r="K312" s="729"/>
      <c r="M312" s="648">
        <v>102560.30716729596</v>
      </c>
      <c r="N312" s="649">
        <v>91484.917809942126</v>
      </c>
      <c r="O312" s="649">
        <v>129105.32784589021</v>
      </c>
      <c r="P312" s="650">
        <v>115163.36712545657</v>
      </c>
      <c r="W312" s="648">
        <v>116922.5293585366</v>
      </c>
      <c r="X312" s="649">
        <v>104296.17738027965</v>
      </c>
      <c r="Y312" s="649">
        <v>147184.8310748637</v>
      </c>
      <c r="Z312" s="650">
        <v>131290.48211399908</v>
      </c>
      <c r="AC312" s="648">
        <v>163696.99051091485</v>
      </c>
      <c r="AD312" s="649">
        <v>146019.50926489959</v>
      </c>
      <c r="AE312" s="649">
        <v>206065.62334903397</v>
      </c>
      <c r="AF312" s="650">
        <v>183812.79401581478</v>
      </c>
      <c r="AI312" s="648">
        <v>186594.08107497974</v>
      </c>
      <c r="AJ312" s="649">
        <v>166443.96494562752</v>
      </c>
      <c r="AK312" s="649">
        <v>234889.01970615095</v>
      </c>
      <c r="AL312" s="650">
        <v>209523.5794021429</v>
      </c>
      <c r="AO312" s="648">
        <v>190335.08</v>
      </c>
      <c r="AP312" s="649">
        <v>169780.98</v>
      </c>
      <c r="AQ312" s="649">
        <v>239598.28</v>
      </c>
      <c r="AR312" s="650">
        <v>213724.29</v>
      </c>
    </row>
    <row r="313" spans="1:44" hidden="1">
      <c r="A313" s="644">
        <v>75</v>
      </c>
      <c r="B313" s="633" t="str">
        <f t="shared" si="53"/>
        <v>75A</v>
      </c>
      <c r="C313" s="648">
        <v>301230.53000000003</v>
      </c>
      <c r="D313" s="649">
        <v>267388.21000000002</v>
      </c>
      <c r="E313" s="649">
        <v>379196.08</v>
      </c>
      <c r="F313" s="650">
        <v>336594.57</v>
      </c>
      <c r="K313" s="729"/>
      <c r="M313" s="648">
        <v>107277.82032700149</v>
      </c>
      <c r="N313" s="649">
        <v>95225.487668068701</v>
      </c>
      <c r="O313" s="649">
        <v>135043.84441163714</v>
      </c>
      <c r="P313" s="650">
        <v>119872.08447627471</v>
      </c>
      <c r="W313" s="648">
        <v>122300.66819362422</v>
      </c>
      <c r="X313" s="649">
        <v>108560.56485272593</v>
      </c>
      <c r="Y313" s="649">
        <v>153954.95878491519</v>
      </c>
      <c r="Z313" s="650">
        <v>136658.59340284325</v>
      </c>
      <c r="AC313" s="648">
        <v>171226.63553898354</v>
      </c>
      <c r="AD313" s="649">
        <v>151989.8504766546</v>
      </c>
      <c r="AE313" s="649">
        <v>215544.11767848517</v>
      </c>
      <c r="AF313" s="650">
        <v>191328.40001178873</v>
      </c>
      <c r="AI313" s="648">
        <v>195176.93400616781</v>
      </c>
      <c r="AJ313" s="649">
        <v>173249.40668670356</v>
      </c>
      <c r="AK313" s="649">
        <v>245693.31692541123</v>
      </c>
      <c r="AL313" s="650">
        <v>218090.42959385033</v>
      </c>
      <c r="AO313" s="648">
        <v>199090.01</v>
      </c>
      <c r="AP313" s="649">
        <v>176722.86</v>
      </c>
      <c r="AQ313" s="649">
        <v>250619.19</v>
      </c>
      <c r="AR313" s="650">
        <v>222462.9</v>
      </c>
    </row>
    <row r="314" spans="1:44" hidden="1">
      <c r="A314" s="644">
        <v>76</v>
      </c>
      <c r="B314" s="633" t="str">
        <f t="shared" si="53"/>
        <v>76A</v>
      </c>
      <c r="C314" s="648">
        <v>316808.44</v>
      </c>
      <c r="D314" s="649">
        <v>279261.98</v>
      </c>
      <c r="E314" s="649">
        <v>398805.92</v>
      </c>
      <c r="F314" s="650">
        <v>351541.55</v>
      </c>
      <c r="K314" s="729"/>
      <c r="M314" s="648">
        <v>112825.61082405542</v>
      </c>
      <c r="N314" s="649">
        <v>99454.114280339112</v>
      </c>
      <c r="O314" s="649">
        <v>142027.53362557563</v>
      </c>
      <c r="P314" s="650">
        <v>125195.17915289744</v>
      </c>
      <c r="W314" s="648">
        <v>128625.35378771767</v>
      </c>
      <c r="X314" s="649">
        <v>113381.35500902857</v>
      </c>
      <c r="Y314" s="649">
        <v>161916.62182689164</v>
      </c>
      <c r="Z314" s="650">
        <v>142727.11748195361</v>
      </c>
      <c r="AC314" s="648">
        <v>180081.49014537036</v>
      </c>
      <c r="AD314" s="649">
        <v>158739.1813780714</v>
      </c>
      <c r="AE314" s="649">
        <v>226690.81700652506</v>
      </c>
      <c r="AF314" s="650">
        <v>199824.6165582781</v>
      </c>
      <c r="AI314" s="648">
        <v>205270.35999509049</v>
      </c>
      <c r="AJ314" s="649">
        <v>180942.79917663365</v>
      </c>
      <c r="AK314" s="649">
        <v>258399.1590526434</v>
      </c>
      <c r="AL314" s="650">
        <v>227775.05308117412</v>
      </c>
      <c r="AO314" s="648">
        <v>209385.8</v>
      </c>
      <c r="AP314" s="649">
        <v>184570.5</v>
      </c>
      <c r="AQ314" s="649">
        <v>263579.77</v>
      </c>
      <c r="AR314" s="650">
        <v>232341.69</v>
      </c>
    </row>
    <row r="315" spans="1:44" hidden="1">
      <c r="A315" s="644">
        <v>77</v>
      </c>
      <c r="B315" s="633" t="str">
        <f t="shared" si="53"/>
        <v>77A</v>
      </c>
      <c r="C315" s="648">
        <v>332857.46000000002</v>
      </c>
      <c r="D315" s="649">
        <v>291927.23</v>
      </c>
      <c r="E315" s="649">
        <v>419008.81</v>
      </c>
      <c r="F315" s="650">
        <v>367484.87</v>
      </c>
      <c r="K315" s="729"/>
      <c r="M315" s="648">
        <v>118541.18091463977</v>
      </c>
      <c r="N315" s="649">
        <v>103964.61706368842</v>
      </c>
      <c r="O315" s="649">
        <v>149222.42773960537</v>
      </c>
      <c r="P315" s="650">
        <v>130873.10618605482</v>
      </c>
      <c r="W315" s="648">
        <v>135141.31430085294</v>
      </c>
      <c r="X315" s="649">
        <v>118523.49438705972</v>
      </c>
      <c r="Y315" s="649">
        <v>170119.06623754432</v>
      </c>
      <c r="Z315" s="650">
        <v>149200.16352253399</v>
      </c>
      <c r="AC315" s="648">
        <v>189204.13855316694</v>
      </c>
      <c r="AD315" s="649">
        <v>165938.41616703305</v>
      </c>
      <c r="AE315" s="649">
        <v>238174.62147281019</v>
      </c>
      <c r="AF315" s="650">
        <v>208887.18270438272</v>
      </c>
      <c r="AI315" s="648">
        <v>215669.03740088819</v>
      </c>
      <c r="AJ315" s="649">
        <v>189149.02578896561</v>
      </c>
      <c r="AK315" s="649">
        <v>271489.25884582399</v>
      </c>
      <c r="AL315" s="650">
        <v>238105.24422846254</v>
      </c>
      <c r="AO315" s="648">
        <v>219992.95999999999</v>
      </c>
      <c r="AP315" s="649">
        <v>192941.25</v>
      </c>
      <c r="AQ315" s="649">
        <v>276932.31</v>
      </c>
      <c r="AR315" s="650">
        <v>242878.99</v>
      </c>
    </row>
    <row r="316" spans="1:44" hidden="1">
      <c r="A316" s="644">
        <v>78</v>
      </c>
      <c r="B316" s="633" t="str">
        <f t="shared" si="53"/>
        <v>78A</v>
      </c>
      <c r="C316" s="648">
        <v>349928.14</v>
      </c>
      <c r="D316" s="649">
        <v>305064.71000000002</v>
      </c>
      <c r="E316" s="649">
        <v>440497.77</v>
      </c>
      <c r="F316" s="650">
        <v>384022.63</v>
      </c>
      <c r="K316" s="729"/>
      <c r="M316" s="648">
        <v>124620.5923136288</v>
      </c>
      <c r="N316" s="649">
        <v>108643.29128740015</v>
      </c>
      <c r="O316" s="649">
        <v>156875.33385362683</v>
      </c>
      <c r="P316" s="650">
        <v>136762.73138531545</v>
      </c>
      <c r="W316" s="648">
        <v>142072.06731255591</v>
      </c>
      <c r="X316" s="649">
        <v>123857.35540396004</v>
      </c>
      <c r="Y316" s="649">
        <v>178843.66120521742</v>
      </c>
      <c r="Z316" s="650">
        <v>155914.55327322023</v>
      </c>
      <c r="AC316" s="648">
        <v>198907.51579119451</v>
      </c>
      <c r="AD316" s="649">
        <v>173406.07018598297</v>
      </c>
      <c r="AE316" s="649">
        <v>250389.46105479772</v>
      </c>
      <c r="AF316" s="650">
        <v>218287.64129294324</v>
      </c>
      <c r="AI316" s="648">
        <v>226729.67298986626</v>
      </c>
      <c r="AJ316" s="649">
        <v>197661.2167284743</v>
      </c>
      <c r="AK316" s="649">
        <v>285412.64717547863</v>
      </c>
      <c r="AL316" s="650">
        <v>248820.59046996172</v>
      </c>
      <c r="AO316" s="648">
        <v>231275.35</v>
      </c>
      <c r="AP316" s="649">
        <v>201624.1</v>
      </c>
      <c r="AQ316" s="649">
        <v>291134.84999999998</v>
      </c>
      <c r="AR316" s="650">
        <v>253809.16</v>
      </c>
    </row>
    <row r="317" spans="1:44" hidden="1">
      <c r="A317" s="644">
        <v>79</v>
      </c>
      <c r="B317" s="633" t="str">
        <f t="shared" si="53"/>
        <v>79A</v>
      </c>
      <c r="C317" s="648">
        <v>369303.77</v>
      </c>
      <c r="D317" s="649">
        <v>318199.90999999997</v>
      </c>
      <c r="E317" s="649">
        <v>464888.28</v>
      </c>
      <c r="F317" s="650">
        <v>400557.54</v>
      </c>
      <c r="K317" s="729"/>
      <c r="M317" s="648">
        <v>131520.87672599859</v>
      </c>
      <c r="N317" s="649">
        <v>113321.15876763425</v>
      </c>
      <c r="O317" s="649">
        <v>165561.5742315512</v>
      </c>
      <c r="P317" s="650">
        <v>142651.34103690431</v>
      </c>
      <c r="W317" s="648">
        <v>149938.64580740687</v>
      </c>
      <c r="X317" s="649">
        <v>129190.29670356862</v>
      </c>
      <c r="Y317" s="649">
        <v>188746.29531050046</v>
      </c>
      <c r="Z317" s="650">
        <v>162627.78526213934</v>
      </c>
      <c r="AC317" s="648">
        <v>209921.09232165266</v>
      </c>
      <c r="AD317" s="649">
        <v>180872.43655785927</v>
      </c>
      <c r="AE317" s="649">
        <v>264253.61033431574</v>
      </c>
      <c r="AF317" s="650">
        <v>227686.47896106989</v>
      </c>
      <c r="AI317" s="648">
        <v>239283.7717893355</v>
      </c>
      <c r="AJ317" s="649">
        <v>206171.93991147922</v>
      </c>
      <c r="AK317" s="649">
        <v>301216.04213481065</v>
      </c>
      <c r="AL317" s="650">
        <v>259534.08906503857</v>
      </c>
      <c r="AO317" s="648">
        <v>244081.14</v>
      </c>
      <c r="AP317" s="649">
        <v>210305.46</v>
      </c>
      <c r="AQ317" s="649">
        <v>307255.09000000003</v>
      </c>
      <c r="AR317" s="650">
        <v>264737.46000000002</v>
      </c>
    </row>
    <row r="318" spans="1:44" hidden="1">
      <c r="A318" s="644">
        <v>80</v>
      </c>
      <c r="B318" s="633" t="str">
        <f t="shared" si="53"/>
        <v>80A</v>
      </c>
      <c r="C318" s="648">
        <v>387807.41</v>
      </c>
      <c r="D318" s="649">
        <v>331991.93</v>
      </c>
      <c r="E318" s="649">
        <v>488181.09</v>
      </c>
      <c r="F318" s="650">
        <v>417919.25</v>
      </c>
      <c r="K318" s="729"/>
      <c r="M318" s="648">
        <v>138110.61099911368</v>
      </c>
      <c r="N318" s="649">
        <v>118232.93575674962</v>
      </c>
      <c r="O318" s="649">
        <v>173856.88678711958</v>
      </c>
      <c r="P318" s="650">
        <v>148834.40148202601</v>
      </c>
      <c r="W318" s="648">
        <v>157451.18570021779</v>
      </c>
      <c r="X318" s="649">
        <v>134789.90346250348</v>
      </c>
      <c r="Y318" s="649">
        <v>198203.25729321534</v>
      </c>
      <c r="Z318" s="650">
        <v>169676.70200573967</v>
      </c>
      <c r="AC318" s="648">
        <v>220438.99830857571</v>
      </c>
      <c r="AD318" s="649">
        <v>188712.14700127082</v>
      </c>
      <c r="AE318" s="649">
        <v>277493.7978707953</v>
      </c>
      <c r="AF318" s="650">
        <v>237555.29093101149</v>
      </c>
      <c r="AI318" s="648">
        <v>251272.86820667054</v>
      </c>
      <c r="AJ318" s="649">
        <v>215108.2286087645</v>
      </c>
      <c r="AK318" s="649">
        <v>316308.19880133815</v>
      </c>
      <c r="AL318" s="650">
        <v>270783.29954279767</v>
      </c>
      <c r="AO318" s="648">
        <v>256310.61</v>
      </c>
      <c r="AP318" s="649">
        <v>219420.91</v>
      </c>
      <c r="AQ318" s="649">
        <v>322649.82</v>
      </c>
      <c r="AR318" s="650">
        <v>276212.2</v>
      </c>
    </row>
    <row r="319" spans="1:44" hidden="1">
      <c r="A319" s="644">
        <v>81</v>
      </c>
      <c r="B319" s="633" t="str">
        <f t="shared" si="53"/>
        <v>81A</v>
      </c>
      <c r="C319" s="648">
        <v>409011.4</v>
      </c>
      <c r="D319" s="649">
        <v>345903.23</v>
      </c>
      <c r="E319" s="649">
        <v>514873.17</v>
      </c>
      <c r="F319" s="650">
        <v>435431.12</v>
      </c>
      <c r="K319" s="729"/>
      <c r="M319" s="648">
        <v>145662.02959717394</v>
      </c>
      <c r="N319" s="649">
        <v>123187.19355241487</v>
      </c>
      <c r="O319" s="649">
        <v>183362.79019879544</v>
      </c>
      <c r="P319" s="650">
        <v>155070.9377659811</v>
      </c>
      <c r="W319" s="648">
        <v>166060.08116003801</v>
      </c>
      <c r="X319" s="649">
        <v>140437.93990625686</v>
      </c>
      <c r="Y319" s="649">
        <v>209040.33746028313</v>
      </c>
      <c r="Z319" s="650">
        <v>176786.58317611163</v>
      </c>
      <c r="AC319" s="648">
        <v>232491.8531871617</v>
      </c>
      <c r="AD319" s="649">
        <v>196619.66126059089</v>
      </c>
      <c r="AE319" s="649">
        <v>292666.21518854471</v>
      </c>
      <c r="AF319" s="650">
        <v>247509.45593980275</v>
      </c>
      <c r="AI319" s="648">
        <v>265011.61424824712</v>
      </c>
      <c r="AJ319" s="649">
        <v>224121.80516994599</v>
      </c>
      <c r="AK319" s="649">
        <v>333602.85558308754</v>
      </c>
      <c r="AL319" s="650">
        <v>282129.80180216738</v>
      </c>
      <c r="AO319" s="648">
        <v>270324.8</v>
      </c>
      <c r="AP319" s="649">
        <v>228615.2</v>
      </c>
      <c r="AQ319" s="649">
        <v>340291.22</v>
      </c>
      <c r="AR319" s="650">
        <v>287786.19</v>
      </c>
    </row>
    <row r="320" spans="1:44" hidden="1">
      <c r="A320" s="644">
        <v>82</v>
      </c>
      <c r="B320" s="633" t="str">
        <f t="shared" si="53"/>
        <v>82A</v>
      </c>
      <c r="C320" s="648">
        <v>430632.98</v>
      </c>
      <c r="D320" s="649">
        <v>359963.58</v>
      </c>
      <c r="E320" s="649">
        <v>542090.92000000004</v>
      </c>
      <c r="F320" s="650">
        <v>453130.63</v>
      </c>
      <c r="K320" s="729"/>
      <c r="M320" s="648">
        <v>153362.16559287923</v>
      </c>
      <c r="N320" s="649">
        <v>128194.53506890722</v>
      </c>
      <c r="O320" s="649">
        <v>193055.90256985975</v>
      </c>
      <c r="P320" s="650">
        <v>161374.29708674207</v>
      </c>
      <c r="W320" s="648">
        <v>174838.51993317838</v>
      </c>
      <c r="X320" s="649">
        <v>146146.49374780574</v>
      </c>
      <c r="Y320" s="649">
        <v>220090.84273941279</v>
      </c>
      <c r="Z320" s="650">
        <v>183972.64507076723</v>
      </c>
      <c r="AC320" s="648">
        <v>244782.07660630203</v>
      </c>
      <c r="AD320" s="649">
        <v>204611.90269735936</v>
      </c>
      <c r="AE320" s="649">
        <v>308137.437610286</v>
      </c>
      <c r="AF320" s="650">
        <v>257570.27751314646</v>
      </c>
      <c r="AI320" s="648">
        <v>279020.93071731058</v>
      </c>
      <c r="AJ320" s="649">
        <v>233231.96010907268</v>
      </c>
      <c r="AK320" s="649">
        <v>351238.11278532032</v>
      </c>
      <c r="AL320" s="650">
        <v>293597.87919612671</v>
      </c>
      <c r="AO320" s="648">
        <v>284614.99</v>
      </c>
      <c r="AP320" s="649">
        <v>237908</v>
      </c>
      <c r="AQ320" s="649">
        <v>358280.04</v>
      </c>
      <c r="AR320" s="650">
        <v>299484.19</v>
      </c>
    </row>
    <row r="321" spans="1:44" hidden="1">
      <c r="A321" s="644">
        <v>83</v>
      </c>
      <c r="B321" s="633" t="str">
        <f t="shared" si="53"/>
        <v>83A</v>
      </c>
      <c r="C321" s="648">
        <v>453377.88</v>
      </c>
      <c r="D321" s="649">
        <v>375888.4</v>
      </c>
      <c r="E321" s="649">
        <v>570722.75</v>
      </c>
      <c r="F321" s="650">
        <v>473177.16</v>
      </c>
      <c r="K321" s="729"/>
      <c r="M321" s="648">
        <v>161462.35415422733</v>
      </c>
      <c r="N321" s="649">
        <v>133865.87256710461</v>
      </c>
      <c r="O321" s="649">
        <v>203252.61052355682</v>
      </c>
      <c r="P321" s="650">
        <v>168513.51017270816</v>
      </c>
      <c r="W321" s="648">
        <v>184073.03337246642</v>
      </c>
      <c r="X321" s="649">
        <v>152612.02747571759</v>
      </c>
      <c r="Y321" s="649">
        <v>231715.46553945783</v>
      </c>
      <c r="Z321" s="650">
        <v>192111.61105766802</v>
      </c>
      <c r="AC321" s="648">
        <v>257710.82581432344</v>
      </c>
      <c r="AD321" s="649">
        <v>213663.95125560163</v>
      </c>
      <c r="AE321" s="649">
        <v>324412.45131920732</v>
      </c>
      <c r="AF321" s="650">
        <v>268965.20922763972</v>
      </c>
      <c r="AI321" s="648">
        <v>293758.08666862157</v>
      </c>
      <c r="AJ321" s="649">
        <v>243550.16252256598</v>
      </c>
      <c r="AK321" s="649">
        <v>369789.59145344148</v>
      </c>
      <c r="AL321" s="650">
        <v>306586.67517546541</v>
      </c>
      <c r="AO321" s="648">
        <v>299647.61</v>
      </c>
      <c r="AP321" s="649">
        <v>248433.07</v>
      </c>
      <c r="AQ321" s="649">
        <v>377203.46</v>
      </c>
      <c r="AR321" s="650">
        <v>312733.39</v>
      </c>
    </row>
    <row r="322" spans="1:44" hidden="1">
      <c r="A322" s="644">
        <v>84</v>
      </c>
      <c r="B322" s="633" t="str">
        <f t="shared" si="53"/>
        <v>84A</v>
      </c>
      <c r="C322" s="648">
        <v>478165.18</v>
      </c>
      <c r="D322" s="649">
        <v>391420.55</v>
      </c>
      <c r="E322" s="649">
        <v>601925.57999999996</v>
      </c>
      <c r="F322" s="650">
        <v>492729.4</v>
      </c>
      <c r="K322" s="729"/>
      <c r="M322" s="648">
        <v>170289.90263499378</v>
      </c>
      <c r="N322" s="649">
        <v>139397.3668459107</v>
      </c>
      <c r="O322" s="649">
        <v>214364.9362581686</v>
      </c>
      <c r="P322" s="650">
        <v>175476.68532367586</v>
      </c>
      <c r="W322" s="648">
        <v>194136.76392197324</v>
      </c>
      <c r="X322" s="649">
        <v>158918.13478051819</v>
      </c>
      <c r="Y322" s="649">
        <v>244383.92634883689</v>
      </c>
      <c r="Z322" s="650">
        <v>200049.88731194651</v>
      </c>
      <c r="AC322" s="648">
        <v>271800.51762397762</v>
      </c>
      <c r="AD322" s="649">
        <v>222492.79539110011</v>
      </c>
      <c r="AE322" s="649">
        <v>342148.8868913601</v>
      </c>
      <c r="AF322" s="650">
        <v>280079.1659629143</v>
      </c>
      <c r="AI322" s="648">
        <v>309818.57188369217</v>
      </c>
      <c r="AJ322" s="649">
        <v>253613.93983011349</v>
      </c>
      <c r="AK322" s="649">
        <v>390006.90813594195</v>
      </c>
      <c r="AL322" s="650">
        <v>319255.19484496641</v>
      </c>
      <c r="AO322" s="648">
        <v>316030.09000000003</v>
      </c>
      <c r="AP322" s="649">
        <v>258698.62</v>
      </c>
      <c r="AQ322" s="649">
        <v>397826.11</v>
      </c>
      <c r="AR322" s="650">
        <v>325655.90000000002</v>
      </c>
    </row>
    <row r="323" spans="1:44" hidden="1">
      <c r="A323" s="644">
        <v>85</v>
      </c>
      <c r="B323" s="633" t="str">
        <f t="shared" si="53"/>
        <v>85A</v>
      </c>
      <c r="C323" s="648">
        <v>502707.44</v>
      </c>
      <c r="D323" s="649">
        <v>406438.93</v>
      </c>
      <c r="E323" s="649">
        <v>632819.94999999995</v>
      </c>
      <c r="F323" s="650">
        <v>511634.89</v>
      </c>
      <c r="K323" s="729"/>
      <c r="M323" s="648">
        <v>179030.18452129586</v>
      </c>
      <c r="N323" s="649">
        <v>144745.89170399358</v>
      </c>
      <c r="O323" s="649">
        <v>225367.40875033705</v>
      </c>
      <c r="P323" s="650">
        <v>182209.53426267428</v>
      </c>
      <c r="W323" s="648">
        <v>204101.00733815235</v>
      </c>
      <c r="X323" s="649">
        <v>165015.65020355579</v>
      </c>
      <c r="Y323" s="649">
        <v>256927.15041390943</v>
      </c>
      <c r="Z323" s="650">
        <v>207725.58319741726</v>
      </c>
      <c r="AC323" s="648">
        <v>285750.92281017563</v>
      </c>
      <c r="AD323" s="649">
        <v>231029.60117028726</v>
      </c>
      <c r="AE323" s="649">
        <v>359709.98518457403</v>
      </c>
      <c r="AF323" s="650">
        <v>290825.49794377334</v>
      </c>
      <c r="AI323" s="648">
        <v>325720.28778095957</v>
      </c>
      <c r="AJ323" s="649">
        <v>263344.82996261591</v>
      </c>
      <c r="AK323" s="649">
        <v>410024.36226544331</v>
      </c>
      <c r="AL323" s="650">
        <v>331504.66830588115</v>
      </c>
      <c r="AO323" s="648">
        <v>332250.61</v>
      </c>
      <c r="AP323" s="649">
        <v>268624.59999999998</v>
      </c>
      <c r="AQ323" s="649">
        <v>418244.89</v>
      </c>
      <c r="AR323" s="650">
        <v>338150.97</v>
      </c>
    </row>
    <row r="324" spans="1:44" hidden="1">
      <c r="A324" s="644">
        <v>86</v>
      </c>
      <c r="B324" s="633" t="str">
        <f t="shared" si="53"/>
        <v>86A</v>
      </c>
      <c r="C324" s="648">
        <v>502707.44</v>
      </c>
      <c r="D324" s="649">
        <v>406438.93</v>
      </c>
      <c r="E324" s="649">
        <v>632819.94999999995</v>
      </c>
      <c r="F324" s="650">
        <v>511634.89</v>
      </c>
      <c r="K324" s="729"/>
      <c r="M324" s="648">
        <v>179030.18452129586</v>
      </c>
      <c r="N324" s="649">
        <v>144745.89170399358</v>
      </c>
      <c r="O324" s="649">
        <v>225367.40875033705</v>
      </c>
      <c r="P324" s="650">
        <v>182209.53426267428</v>
      </c>
      <c r="W324" s="648">
        <v>204101.00733815235</v>
      </c>
      <c r="X324" s="649">
        <v>165015.65020355579</v>
      </c>
      <c r="Y324" s="649">
        <v>256927.15041390943</v>
      </c>
      <c r="Z324" s="650">
        <v>207725.58319741726</v>
      </c>
      <c r="AC324" s="648">
        <v>285750.92281017563</v>
      </c>
      <c r="AD324" s="649">
        <v>231029.60117028726</v>
      </c>
      <c r="AE324" s="649">
        <v>359709.98518457403</v>
      </c>
      <c r="AF324" s="650">
        <v>290825.49794377334</v>
      </c>
      <c r="AI324" s="648">
        <v>325720.28778095957</v>
      </c>
      <c r="AJ324" s="649">
        <v>263344.82996261591</v>
      </c>
      <c r="AK324" s="649">
        <v>410024.36226544331</v>
      </c>
      <c r="AL324" s="650">
        <v>331504.66830588115</v>
      </c>
      <c r="AO324" s="648">
        <v>332250.61</v>
      </c>
      <c r="AP324" s="649">
        <v>268624.59999999998</v>
      </c>
      <c r="AQ324" s="649">
        <v>418244.89</v>
      </c>
      <c r="AR324" s="650">
        <v>338150.97</v>
      </c>
    </row>
    <row r="325" spans="1:44" hidden="1">
      <c r="A325" s="644">
        <v>87</v>
      </c>
      <c r="B325" s="633" t="str">
        <f t="shared" si="53"/>
        <v>87A</v>
      </c>
      <c r="C325" s="648">
        <v>502707.44</v>
      </c>
      <c r="D325" s="649">
        <v>406438.93</v>
      </c>
      <c r="E325" s="649">
        <v>632819.94999999995</v>
      </c>
      <c r="F325" s="650">
        <v>511634.89</v>
      </c>
      <c r="K325" s="729"/>
      <c r="M325" s="648">
        <v>179030.18452129586</v>
      </c>
      <c r="N325" s="649">
        <v>144745.89170399358</v>
      </c>
      <c r="O325" s="649">
        <v>225367.40875033705</v>
      </c>
      <c r="P325" s="650">
        <v>182209.53426267428</v>
      </c>
      <c r="W325" s="648">
        <v>204101.00733815235</v>
      </c>
      <c r="X325" s="649">
        <v>165015.65020355579</v>
      </c>
      <c r="Y325" s="649">
        <v>256927.15041390943</v>
      </c>
      <c r="Z325" s="650">
        <v>207725.58319741726</v>
      </c>
      <c r="AC325" s="648">
        <v>285750.92281017563</v>
      </c>
      <c r="AD325" s="649">
        <v>231029.60117028726</v>
      </c>
      <c r="AE325" s="649">
        <v>359709.98518457403</v>
      </c>
      <c r="AF325" s="650">
        <v>290825.49794377334</v>
      </c>
      <c r="AI325" s="648">
        <v>325720.28778095957</v>
      </c>
      <c r="AJ325" s="649">
        <v>263344.82996261591</v>
      </c>
      <c r="AK325" s="649">
        <v>410024.36226544331</v>
      </c>
      <c r="AL325" s="650">
        <v>331504.66830588115</v>
      </c>
      <c r="AO325" s="648">
        <v>332250.61</v>
      </c>
      <c r="AP325" s="649">
        <v>268624.59999999998</v>
      </c>
      <c r="AQ325" s="649">
        <v>418244.89</v>
      </c>
      <c r="AR325" s="650">
        <v>338150.97</v>
      </c>
    </row>
    <row r="326" spans="1:44" hidden="1">
      <c r="A326" s="644">
        <v>88</v>
      </c>
      <c r="B326" s="633" t="str">
        <f t="shared" si="53"/>
        <v>88A</v>
      </c>
      <c r="C326" s="648">
        <v>502707.44</v>
      </c>
      <c r="D326" s="649">
        <v>406438.93</v>
      </c>
      <c r="E326" s="649">
        <v>632819.94999999995</v>
      </c>
      <c r="F326" s="650">
        <v>511634.89</v>
      </c>
      <c r="K326" s="729"/>
      <c r="M326" s="648">
        <v>179030.18452129586</v>
      </c>
      <c r="N326" s="649">
        <v>144745.89170399358</v>
      </c>
      <c r="O326" s="649">
        <v>225367.40875033705</v>
      </c>
      <c r="P326" s="650">
        <v>182209.53426267428</v>
      </c>
      <c r="W326" s="648">
        <v>204101.00733815235</v>
      </c>
      <c r="X326" s="649">
        <v>165015.65020355579</v>
      </c>
      <c r="Y326" s="649">
        <v>256927.15041390943</v>
      </c>
      <c r="Z326" s="650">
        <v>207725.58319741726</v>
      </c>
      <c r="AC326" s="648">
        <v>285750.92281017563</v>
      </c>
      <c r="AD326" s="649">
        <v>231029.60117028726</v>
      </c>
      <c r="AE326" s="649">
        <v>359709.98518457403</v>
      </c>
      <c r="AF326" s="650">
        <v>290825.49794377334</v>
      </c>
      <c r="AI326" s="648">
        <v>325720.28778095957</v>
      </c>
      <c r="AJ326" s="649">
        <v>263344.82996261591</v>
      </c>
      <c r="AK326" s="649">
        <v>410024.36226544331</v>
      </c>
      <c r="AL326" s="650">
        <v>331504.66830588115</v>
      </c>
      <c r="AO326" s="648">
        <v>332250.61</v>
      </c>
      <c r="AP326" s="649">
        <v>268624.59999999998</v>
      </c>
      <c r="AQ326" s="649">
        <v>418244.89</v>
      </c>
      <c r="AR326" s="650">
        <v>338150.97</v>
      </c>
    </row>
    <row r="327" spans="1:44" hidden="1">
      <c r="A327" s="644">
        <v>89</v>
      </c>
      <c r="B327" s="633" t="str">
        <f t="shared" si="53"/>
        <v>89A</v>
      </c>
      <c r="C327" s="648">
        <v>502707.44</v>
      </c>
      <c r="D327" s="649">
        <v>406438.93</v>
      </c>
      <c r="E327" s="649">
        <v>632819.94999999995</v>
      </c>
      <c r="F327" s="650">
        <v>511634.89</v>
      </c>
      <c r="K327" s="729"/>
      <c r="M327" s="648">
        <v>179030.18452129586</v>
      </c>
      <c r="N327" s="649">
        <v>144745.89170399358</v>
      </c>
      <c r="O327" s="649">
        <v>225367.40875033705</v>
      </c>
      <c r="P327" s="650">
        <v>182209.53426267428</v>
      </c>
      <c r="W327" s="648">
        <v>204101.00733815235</v>
      </c>
      <c r="X327" s="649">
        <v>165015.65020355579</v>
      </c>
      <c r="Y327" s="649">
        <v>256927.15041390943</v>
      </c>
      <c r="Z327" s="650">
        <v>207725.58319741726</v>
      </c>
      <c r="AC327" s="648">
        <v>285750.92281017563</v>
      </c>
      <c r="AD327" s="649">
        <v>231029.60117028726</v>
      </c>
      <c r="AE327" s="649">
        <v>359709.98518457403</v>
      </c>
      <c r="AF327" s="650">
        <v>290825.49794377334</v>
      </c>
      <c r="AI327" s="648">
        <v>325720.28778095957</v>
      </c>
      <c r="AJ327" s="649">
        <v>263344.82996261591</v>
      </c>
      <c r="AK327" s="649">
        <v>410024.36226544331</v>
      </c>
      <c r="AL327" s="650">
        <v>331504.66830588115</v>
      </c>
      <c r="AO327" s="648">
        <v>332250.61</v>
      </c>
      <c r="AP327" s="649">
        <v>268624.59999999998</v>
      </c>
      <c r="AQ327" s="649">
        <v>418244.89</v>
      </c>
      <c r="AR327" s="650">
        <v>338150.97</v>
      </c>
    </row>
    <row r="328" spans="1:44" hidden="1">
      <c r="A328" s="644">
        <v>90</v>
      </c>
      <c r="B328" s="633" t="str">
        <f t="shared" si="53"/>
        <v>90A</v>
      </c>
      <c r="C328" s="648">
        <v>502707.44</v>
      </c>
      <c r="D328" s="649">
        <v>406438.93</v>
      </c>
      <c r="E328" s="649">
        <v>632819.94999999995</v>
      </c>
      <c r="F328" s="650">
        <v>511634.89</v>
      </c>
      <c r="K328" s="729"/>
      <c r="M328" s="648">
        <v>179030.18452129586</v>
      </c>
      <c r="N328" s="649">
        <v>144745.89170399358</v>
      </c>
      <c r="O328" s="649">
        <v>225367.40875033705</v>
      </c>
      <c r="P328" s="650">
        <v>182209.53426267428</v>
      </c>
      <c r="W328" s="648">
        <v>204101.00733815235</v>
      </c>
      <c r="X328" s="649">
        <v>165015.65020355579</v>
      </c>
      <c r="Y328" s="649">
        <v>256927.15041390943</v>
      </c>
      <c r="Z328" s="650">
        <v>207725.58319741726</v>
      </c>
      <c r="AC328" s="648">
        <v>285750.92281017563</v>
      </c>
      <c r="AD328" s="649">
        <v>231029.60117028726</v>
      </c>
      <c r="AE328" s="649">
        <v>359709.98518457403</v>
      </c>
      <c r="AF328" s="650">
        <v>290825.49794377334</v>
      </c>
      <c r="AI328" s="648">
        <v>325720.28778095957</v>
      </c>
      <c r="AJ328" s="649">
        <v>263344.82996261591</v>
      </c>
      <c r="AK328" s="649">
        <v>410024.36226544331</v>
      </c>
      <c r="AL328" s="650">
        <v>331504.66830588115</v>
      </c>
      <c r="AO328" s="648">
        <v>332250.61</v>
      </c>
      <c r="AP328" s="649">
        <v>268624.59999999998</v>
      </c>
      <c r="AQ328" s="649">
        <v>418244.89</v>
      </c>
      <c r="AR328" s="650">
        <v>338150.97</v>
      </c>
    </row>
    <row r="329" spans="1:44" hidden="1">
      <c r="A329" s="644">
        <v>91</v>
      </c>
      <c r="B329" s="633" t="str">
        <f t="shared" si="53"/>
        <v>91A</v>
      </c>
      <c r="C329" s="648">
        <v>502707.44</v>
      </c>
      <c r="D329" s="649">
        <v>406438.93</v>
      </c>
      <c r="E329" s="649">
        <v>632819.94999999995</v>
      </c>
      <c r="F329" s="650">
        <v>511634.89</v>
      </c>
      <c r="K329" s="729"/>
      <c r="M329" s="648">
        <v>179030.18452129586</v>
      </c>
      <c r="N329" s="649">
        <v>144745.89170399358</v>
      </c>
      <c r="O329" s="649">
        <v>225367.40875033705</v>
      </c>
      <c r="P329" s="650">
        <v>182209.53426267428</v>
      </c>
      <c r="W329" s="648">
        <v>204101.00733815235</v>
      </c>
      <c r="X329" s="649">
        <v>165015.65020355579</v>
      </c>
      <c r="Y329" s="649">
        <v>256927.15041390943</v>
      </c>
      <c r="Z329" s="650">
        <v>207725.58319741726</v>
      </c>
      <c r="AC329" s="648">
        <v>285750.92281017563</v>
      </c>
      <c r="AD329" s="649">
        <v>231029.60117028726</v>
      </c>
      <c r="AE329" s="649">
        <v>359709.98518457403</v>
      </c>
      <c r="AF329" s="650">
        <v>290825.49794377334</v>
      </c>
      <c r="AI329" s="648">
        <v>325720.28778095957</v>
      </c>
      <c r="AJ329" s="649">
        <v>263344.82996261591</v>
      </c>
      <c r="AK329" s="649">
        <v>410024.36226544331</v>
      </c>
      <c r="AL329" s="650">
        <v>331504.66830588115</v>
      </c>
      <c r="AO329" s="648">
        <v>332250.61</v>
      </c>
      <c r="AP329" s="649">
        <v>268624.59999999998</v>
      </c>
      <c r="AQ329" s="649">
        <v>418244.89</v>
      </c>
      <c r="AR329" s="650">
        <v>338150.97</v>
      </c>
    </row>
    <row r="330" spans="1:44" hidden="1">
      <c r="A330" s="644">
        <v>92</v>
      </c>
      <c r="B330" s="633" t="str">
        <f t="shared" si="53"/>
        <v>92A</v>
      </c>
      <c r="C330" s="648">
        <v>502707.44</v>
      </c>
      <c r="D330" s="649">
        <v>406438.93</v>
      </c>
      <c r="E330" s="649">
        <v>632819.94999999995</v>
      </c>
      <c r="F330" s="650">
        <v>511634.89</v>
      </c>
      <c r="K330" s="729"/>
      <c r="M330" s="648">
        <v>179030.18452129586</v>
      </c>
      <c r="N330" s="649">
        <v>144745.89170399358</v>
      </c>
      <c r="O330" s="649">
        <v>225367.40875033705</v>
      </c>
      <c r="P330" s="650">
        <v>182209.53426267428</v>
      </c>
      <c r="W330" s="648">
        <v>204101.00733815235</v>
      </c>
      <c r="X330" s="649">
        <v>165015.65020355579</v>
      </c>
      <c r="Y330" s="649">
        <v>256927.15041390943</v>
      </c>
      <c r="Z330" s="650">
        <v>207725.58319741726</v>
      </c>
      <c r="AC330" s="648">
        <v>285750.92281017563</v>
      </c>
      <c r="AD330" s="649">
        <v>231029.60117028726</v>
      </c>
      <c r="AE330" s="649">
        <v>359709.98518457403</v>
      </c>
      <c r="AF330" s="650">
        <v>290825.49794377334</v>
      </c>
      <c r="AI330" s="648">
        <v>325720.28778095957</v>
      </c>
      <c r="AJ330" s="649">
        <v>263344.82996261591</v>
      </c>
      <c r="AK330" s="649">
        <v>410024.36226544331</v>
      </c>
      <c r="AL330" s="650">
        <v>331504.66830588115</v>
      </c>
      <c r="AO330" s="648">
        <v>332250.61</v>
      </c>
      <c r="AP330" s="649">
        <v>268624.59999999998</v>
      </c>
      <c r="AQ330" s="649">
        <v>418244.89</v>
      </c>
      <c r="AR330" s="650">
        <v>338150.97</v>
      </c>
    </row>
    <row r="331" spans="1:44" hidden="1">
      <c r="A331" s="644">
        <v>93</v>
      </c>
      <c r="B331" s="633" t="str">
        <f t="shared" si="53"/>
        <v>93A</v>
      </c>
      <c r="C331" s="648">
        <v>502707.44</v>
      </c>
      <c r="D331" s="649">
        <v>406438.93</v>
      </c>
      <c r="E331" s="649">
        <v>632819.94999999995</v>
      </c>
      <c r="F331" s="650">
        <v>511634.89</v>
      </c>
      <c r="K331" s="729"/>
      <c r="M331" s="648">
        <v>179030.18452129586</v>
      </c>
      <c r="N331" s="649">
        <v>144745.89170399358</v>
      </c>
      <c r="O331" s="649">
        <v>225367.40875033705</v>
      </c>
      <c r="P331" s="650">
        <v>182209.53426267428</v>
      </c>
      <c r="W331" s="648">
        <v>204101.00733815235</v>
      </c>
      <c r="X331" s="649">
        <v>165015.65020355579</v>
      </c>
      <c r="Y331" s="649">
        <v>256927.15041390943</v>
      </c>
      <c r="Z331" s="650">
        <v>207725.58319741726</v>
      </c>
      <c r="AC331" s="648">
        <v>285750.92281017563</v>
      </c>
      <c r="AD331" s="649">
        <v>231029.60117028726</v>
      </c>
      <c r="AE331" s="649">
        <v>359709.98518457403</v>
      </c>
      <c r="AF331" s="650">
        <v>290825.49794377334</v>
      </c>
      <c r="AI331" s="648">
        <v>325720.28778095957</v>
      </c>
      <c r="AJ331" s="649">
        <v>263344.82996261591</v>
      </c>
      <c r="AK331" s="649">
        <v>410024.36226544331</v>
      </c>
      <c r="AL331" s="650">
        <v>331504.66830588115</v>
      </c>
      <c r="AO331" s="648">
        <v>332250.61</v>
      </c>
      <c r="AP331" s="649">
        <v>268624.59999999998</v>
      </c>
      <c r="AQ331" s="649">
        <v>418244.89</v>
      </c>
      <c r="AR331" s="650">
        <v>338150.97</v>
      </c>
    </row>
    <row r="332" spans="1:44" hidden="1">
      <c r="A332" s="644">
        <v>94</v>
      </c>
      <c r="B332" s="633" t="str">
        <f t="shared" si="53"/>
        <v>94A</v>
      </c>
      <c r="C332" s="648">
        <v>502707.44</v>
      </c>
      <c r="D332" s="649">
        <v>406438.93</v>
      </c>
      <c r="E332" s="649">
        <v>632819.94999999995</v>
      </c>
      <c r="F332" s="650">
        <v>511634.89</v>
      </c>
      <c r="K332" s="729"/>
      <c r="M332" s="648">
        <v>179030.18452129586</v>
      </c>
      <c r="N332" s="649">
        <v>144745.89170399358</v>
      </c>
      <c r="O332" s="649">
        <v>225367.40875033705</v>
      </c>
      <c r="P332" s="650">
        <v>182209.53426267428</v>
      </c>
      <c r="W332" s="648">
        <v>204101.00733815235</v>
      </c>
      <c r="X332" s="649">
        <v>165015.65020355579</v>
      </c>
      <c r="Y332" s="649">
        <v>256927.15041390943</v>
      </c>
      <c r="Z332" s="650">
        <v>207725.58319741726</v>
      </c>
      <c r="AC332" s="648">
        <v>285750.92281017563</v>
      </c>
      <c r="AD332" s="649">
        <v>231029.60117028726</v>
      </c>
      <c r="AE332" s="649">
        <v>359709.98518457403</v>
      </c>
      <c r="AF332" s="650">
        <v>290825.49794377334</v>
      </c>
      <c r="AI332" s="648">
        <v>325720.28778095957</v>
      </c>
      <c r="AJ332" s="649">
        <v>263344.82996261591</v>
      </c>
      <c r="AK332" s="649">
        <v>410024.36226544331</v>
      </c>
      <c r="AL332" s="650">
        <v>331504.66830588115</v>
      </c>
      <c r="AO332" s="648">
        <v>332250.61</v>
      </c>
      <c r="AP332" s="649">
        <v>268624.59999999998</v>
      </c>
      <c r="AQ332" s="649">
        <v>418244.89</v>
      </c>
      <c r="AR332" s="650">
        <v>338150.97</v>
      </c>
    </row>
    <row r="333" spans="1:44" hidden="1">
      <c r="A333" s="644">
        <v>95</v>
      </c>
      <c r="B333" s="633" t="str">
        <f t="shared" si="53"/>
        <v>95A</v>
      </c>
      <c r="C333" s="648">
        <v>502707.44</v>
      </c>
      <c r="D333" s="649">
        <v>406438.93</v>
      </c>
      <c r="E333" s="649">
        <v>632819.94999999995</v>
      </c>
      <c r="F333" s="650">
        <v>511634.89</v>
      </c>
      <c r="K333" s="729"/>
      <c r="M333" s="648">
        <v>179030.18452129586</v>
      </c>
      <c r="N333" s="649">
        <v>144745.89170399358</v>
      </c>
      <c r="O333" s="649">
        <v>225367.40875033705</v>
      </c>
      <c r="P333" s="650">
        <v>182209.53426267428</v>
      </c>
      <c r="W333" s="648">
        <v>204101.00733815235</v>
      </c>
      <c r="X333" s="649">
        <v>165015.65020355579</v>
      </c>
      <c r="Y333" s="649">
        <v>256927.15041390943</v>
      </c>
      <c r="Z333" s="650">
        <v>207725.58319741726</v>
      </c>
      <c r="AC333" s="648">
        <v>285750.92281017563</v>
      </c>
      <c r="AD333" s="649">
        <v>231029.60117028726</v>
      </c>
      <c r="AE333" s="649">
        <v>359709.98518457403</v>
      </c>
      <c r="AF333" s="650">
        <v>290825.49794377334</v>
      </c>
      <c r="AI333" s="648">
        <v>325720.28778095957</v>
      </c>
      <c r="AJ333" s="649">
        <v>263344.82996261591</v>
      </c>
      <c r="AK333" s="649">
        <v>410024.36226544331</v>
      </c>
      <c r="AL333" s="650">
        <v>331504.66830588115</v>
      </c>
      <c r="AO333" s="648">
        <v>332250.61</v>
      </c>
      <c r="AP333" s="649">
        <v>268624.59999999998</v>
      </c>
      <c r="AQ333" s="649">
        <v>418244.89</v>
      </c>
      <c r="AR333" s="650">
        <v>338150.97</v>
      </c>
    </row>
    <row r="334" spans="1:44" hidden="1">
      <c r="A334" s="644">
        <v>96</v>
      </c>
      <c r="B334" s="633" t="str">
        <f t="shared" si="53"/>
        <v>96A</v>
      </c>
      <c r="C334" s="648">
        <v>502707.44</v>
      </c>
      <c r="D334" s="649">
        <v>406438.93</v>
      </c>
      <c r="E334" s="649">
        <v>632819.94999999995</v>
      </c>
      <c r="F334" s="650">
        <v>511634.89</v>
      </c>
      <c r="K334" s="729"/>
      <c r="M334" s="648">
        <v>179030.18452129586</v>
      </c>
      <c r="N334" s="649">
        <v>144745.89170399358</v>
      </c>
      <c r="O334" s="649">
        <v>225367.40875033705</v>
      </c>
      <c r="P334" s="650">
        <v>182209.53426267428</v>
      </c>
      <c r="W334" s="648">
        <v>204101.00733815235</v>
      </c>
      <c r="X334" s="649">
        <v>165015.65020355579</v>
      </c>
      <c r="Y334" s="649">
        <v>256927.15041390943</v>
      </c>
      <c r="Z334" s="650">
        <v>207725.58319741726</v>
      </c>
      <c r="AC334" s="648">
        <v>285750.92281017563</v>
      </c>
      <c r="AD334" s="649">
        <v>231029.60117028726</v>
      </c>
      <c r="AE334" s="649">
        <v>359709.98518457403</v>
      </c>
      <c r="AF334" s="650">
        <v>290825.49794377334</v>
      </c>
      <c r="AI334" s="648">
        <v>325720.28778095957</v>
      </c>
      <c r="AJ334" s="649">
        <v>263344.82996261591</v>
      </c>
      <c r="AK334" s="649">
        <v>410024.36226544331</v>
      </c>
      <c r="AL334" s="650">
        <v>331504.66830588115</v>
      </c>
      <c r="AO334" s="648">
        <v>332250.61</v>
      </c>
      <c r="AP334" s="649">
        <v>268624.59999999998</v>
      </c>
      <c r="AQ334" s="649">
        <v>418244.89</v>
      </c>
      <c r="AR334" s="650">
        <v>338150.97</v>
      </c>
    </row>
    <row r="335" spans="1:44" hidden="1">
      <c r="A335" s="644">
        <v>97</v>
      </c>
      <c r="B335" s="633" t="str">
        <f t="shared" si="53"/>
        <v>97A</v>
      </c>
      <c r="C335" s="648">
        <v>502707.44</v>
      </c>
      <c r="D335" s="649">
        <v>406438.93</v>
      </c>
      <c r="E335" s="649">
        <v>632819.94999999995</v>
      </c>
      <c r="F335" s="650">
        <v>511634.89</v>
      </c>
      <c r="K335" s="729"/>
      <c r="M335" s="648">
        <v>179030.18452129586</v>
      </c>
      <c r="N335" s="649">
        <v>144745.89170399358</v>
      </c>
      <c r="O335" s="649">
        <v>225367.40875033705</v>
      </c>
      <c r="P335" s="650">
        <v>182209.53426267428</v>
      </c>
      <c r="W335" s="648">
        <v>204101.00733815235</v>
      </c>
      <c r="X335" s="649">
        <v>165015.65020355579</v>
      </c>
      <c r="Y335" s="649">
        <v>256927.15041390943</v>
      </c>
      <c r="Z335" s="650">
        <v>207725.58319741726</v>
      </c>
      <c r="AC335" s="648">
        <v>285750.92281017563</v>
      </c>
      <c r="AD335" s="649">
        <v>231029.60117028726</v>
      </c>
      <c r="AE335" s="649">
        <v>359709.98518457403</v>
      </c>
      <c r="AF335" s="650">
        <v>290825.49794377334</v>
      </c>
      <c r="AI335" s="648">
        <v>325720.28778095957</v>
      </c>
      <c r="AJ335" s="649">
        <v>263344.82996261591</v>
      </c>
      <c r="AK335" s="649">
        <v>410024.36226544331</v>
      </c>
      <c r="AL335" s="650">
        <v>331504.66830588115</v>
      </c>
      <c r="AO335" s="648">
        <v>332250.61</v>
      </c>
      <c r="AP335" s="649">
        <v>268624.59999999998</v>
      </c>
      <c r="AQ335" s="649">
        <v>418244.89</v>
      </c>
      <c r="AR335" s="650">
        <v>338150.97</v>
      </c>
    </row>
    <row r="336" spans="1:44" hidden="1">
      <c r="A336" s="644">
        <v>98</v>
      </c>
      <c r="B336" s="633" t="str">
        <f t="shared" si="53"/>
        <v>98A</v>
      </c>
      <c r="C336" s="648">
        <v>502707.44</v>
      </c>
      <c r="D336" s="649">
        <v>406438.93</v>
      </c>
      <c r="E336" s="649">
        <v>632819.94999999995</v>
      </c>
      <c r="F336" s="650">
        <v>511634.89</v>
      </c>
      <c r="K336" s="729"/>
      <c r="M336" s="648">
        <v>179030.18452129586</v>
      </c>
      <c r="N336" s="649">
        <v>144745.89170399358</v>
      </c>
      <c r="O336" s="649">
        <v>225367.40875033705</v>
      </c>
      <c r="P336" s="650">
        <v>182209.53426267428</v>
      </c>
      <c r="W336" s="648">
        <v>204101.00733815235</v>
      </c>
      <c r="X336" s="649">
        <v>165015.65020355579</v>
      </c>
      <c r="Y336" s="649">
        <v>256927.15041390943</v>
      </c>
      <c r="Z336" s="650">
        <v>207725.58319741726</v>
      </c>
      <c r="AC336" s="648">
        <v>285750.92281017563</v>
      </c>
      <c r="AD336" s="649">
        <v>231029.60117028726</v>
      </c>
      <c r="AE336" s="649">
        <v>359709.98518457403</v>
      </c>
      <c r="AF336" s="650">
        <v>290825.49794377334</v>
      </c>
      <c r="AI336" s="648">
        <v>325720.28778095957</v>
      </c>
      <c r="AJ336" s="649">
        <v>263344.82996261591</v>
      </c>
      <c r="AK336" s="649">
        <v>410024.36226544331</v>
      </c>
      <c r="AL336" s="650">
        <v>331504.66830588115</v>
      </c>
      <c r="AO336" s="648">
        <v>332250.61</v>
      </c>
      <c r="AP336" s="649">
        <v>268624.59999999998</v>
      </c>
      <c r="AQ336" s="649">
        <v>418244.89</v>
      </c>
      <c r="AR336" s="650">
        <v>338150.97</v>
      </c>
    </row>
    <row r="337" spans="1:45" hidden="1">
      <c r="A337" s="644">
        <v>99</v>
      </c>
      <c r="B337" s="633" t="str">
        <f t="shared" si="53"/>
        <v>99A</v>
      </c>
      <c r="C337" s="648">
        <v>502707.44</v>
      </c>
      <c r="D337" s="649">
        <v>406438.93</v>
      </c>
      <c r="E337" s="649">
        <v>632819.94999999995</v>
      </c>
      <c r="F337" s="650">
        <v>511634.89</v>
      </c>
      <c r="K337" s="729"/>
      <c r="M337" s="648">
        <v>179030.18452129586</v>
      </c>
      <c r="N337" s="649">
        <v>144745.89170399358</v>
      </c>
      <c r="O337" s="649">
        <v>225367.40875033705</v>
      </c>
      <c r="P337" s="650">
        <v>182209.53426267428</v>
      </c>
      <c r="W337" s="648">
        <v>204101.00733815235</v>
      </c>
      <c r="X337" s="649">
        <v>165015.65020355579</v>
      </c>
      <c r="Y337" s="649">
        <v>256927.15041390943</v>
      </c>
      <c r="Z337" s="650">
        <v>207725.58319741726</v>
      </c>
      <c r="AC337" s="648">
        <v>285750.92281017563</v>
      </c>
      <c r="AD337" s="649">
        <v>231029.60117028726</v>
      </c>
      <c r="AE337" s="649">
        <v>359709.98518457403</v>
      </c>
      <c r="AF337" s="650">
        <v>290825.49794377334</v>
      </c>
      <c r="AI337" s="648">
        <v>325720.28778095957</v>
      </c>
      <c r="AJ337" s="649">
        <v>263344.82996261591</v>
      </c>
      <c r="AK337" s="649">
        <v>410024.36226544331</v>
      </c>
      <c r="AL337" s="650">
        <v>331504.66830588115</v>
      </c>
      <c r="AO337" s="648">
        <v>332250.61</v>
      </c>
      <c r="AP337" s="649">
        <v>268624.59999999998</v>
      </c>
      <c r="AQ337" s="649">
        <v>418244.89</v>
      </c>
      <c r="AR337" s="650">
        <v>338150.97</v>
      </c>
    </row>
    <row r="338" spans="1:45" hidden="1">
      <c r="A338" s="651">
        <v>100</v>
      </c>
      <c r="B338" s="633" t="str">
        <f t="shared" si="53"/>
        <v>100A</v>
      </c>
      <c r="C338" s="652">
        <v>502707.44</v>
      </c>
      <c r="D338" s="653">
        <v>406438.93</v>
      </c>
      <c r="E338" s="653">
        <v>632819.94999999995</v>
      </c>
      <c r="F338" s="654">
        <v>511634.89</v>
      </c>
      <c r="G338" s="503">
        <f>+E288/E338-1</f>
        <v>-0.89501726359922751</v>
      </c>
      <c r="K338" s="729"/>
      <c r="M338" s="652">
        <v>179030.18452129586</v>
      </c>
      <c r="N338" s="653">
        <v>144745.89170399358</v>
      </c>
      <c r="O338" s="653">
        <v>225367.40875033705</v>
      </c>
      <c r="P338" s="654">
        <v>182209.53426267428</v>
      </c>
      <c r="W338" s="652">
        <v>204101.00733815235</v>
      </c>
      <c r="X338" s="653">
        <v>165015.65020355579</v>
      </c>
      <c r="Y338" s="653">
        <v>256927.15041390943</v>
      </c>
      <c r="Z338" s="654">
        <v>207725.58319741726</v>
      </c>
      <c r="AC338" s="652">
        <v>285750.92281017563</v>
      </c>
      <c r="AD338" s="653">
        <v>231029.60117028726</v>
      </c>
      <c r="AE338" s="653">
        <v>359709.98518457403</v>
      </c>
      <c r="AF338" s="654">
        <v>290825.49794377334</v>
      </c>
      <c r="AI338" s="652">
        <v>325720.28778095957</v>
      </c>
      <c r="AJ338" s="653">
        <v>263344.82996261591</v>
      </c>
      <c r="AK338" s="653">
        <v>410024.36226544331</v>
      </c>
      <c r="AL338" s="654">
        <v>331504.66830588115</v>
      </c>
      <c r="AO338" s="652">
        <v>332250.61</v>
      </c>
      <c r="AP338" s="653">
        <v>268624.59999999998</v>
      </c>
      <c r="AQ338" s="653">
        <v>418244.89</v>
      </c>
      <c r="AR338" s="654">
        <v>338150.97</v>
      </c>
    </row>
    <row r="342" spans="1:45" hidden="1">
      <c r="C342" s="623" t="s">
        <v>52</v>
      </c>
      <c r="D342" s="634" t="s">
        <v>355</v>
      </c>
      <c r="E342" s="634"/>
      <c r="F342" s="635"/>
      <c r="M342" s="623" t="s">
        <v>52</v>
      </c>
      <c r="N342" s="634" t="s">
        <v>355</v>
      </c>
      <c r="O342" s="634"/>
      <c r="P342" s="635"/>
      <c r="Q342" s="707" t="s">
        <v>374</v>
      </c>
      <c r="W342" s="623" t="s">
        <v>52</v>
      </c>
      <c r="X342" s="634" t="s">
        <v>355</v>
      </c>
      <c r="Y342" s="634"/>
      <c r="Z342" s="635"/>
      <c r="AA342" s="707" t="s">
        <v>378</v>
      </c>
      <c r="AC342" s="623" t="s">
        <v>52</v>
      </c>
      <c r="AD342" s="634" t="s">
        <v>355</v>
      </c>
      <c r="AE342" s="634"/>
      <c r="AF342" s="635"/>
      <c r="AG342" s="707" t="s">
        <v>379</v>
      </c>
      <c r="AI342" s="623" t="s">
        <v>52</v>
      </c>
      <c r="AJ342" s="634" t="s">
        <v>355</v>
      </c>
      <c r="AK342" s="634"/>
      <c r="AL342" s="635"/>
      <c r="AM342" s="707" t="s">
        <v>381</v>
      </c>
      <c r="AO342" s="623" t="s">
        <v>52</v>
      </c>
      <c r="AP342" s="634" t="s">
        <v>355</v>
      </c>
      <c r="AQ342" s="634"/>
      <c r="AR342" s="635"/>
      <c r="AS342" s="707" t="s">
        <v>382</v>
      </c>
    </row>
    <row r="343" spans="1:45" hidden="1">
      <c r="B343" s="678" t="s">
        <v>52</v>
      </c>
      <c r="C343" s="655" t="s">
        <v>300</v>
      </c>
      <c r="D343" s="656" t="s">
        <v>300</v>
      </c>
      <c r="E343" s="657" t="s">
        <v>299</v>
      </c>
      <c r="F343" s="658" t="s">
        <v>299</v>
      </c>
      <c r="M343" s="655" t="s">
        <v>300</v>
      </c>
      <c r="N343" s="656" t="s">
        <v>300</v>
      </c>
      <c r="O343" s="657" t="s">
        <v>299</v>
      </c>
      <c r="P343" s="658" t="s">
        <v>299</v>
      </c>
      <c r="W343" s="655" t="s">
        <v>300</v>
      </c>
      <c r="X343" s="656" t="s">
        <v>300</v>
      </c>
      <c r="Y343" s="657" t="s">
        <v>299</v>
      </c>
      <c r="Z343" s="658" t="s">
        <v>299</v>
      </c>
      <c r="AC343" s="655" t="s">
        <v>300</v>
      </c>
      <c r="AD343" s="656" t="s">
        <v>300</v>
      </c>
      <c r="AE343" s="657" t="s">
        <v>299</v>
      </c>
      <c r="AF343" s="658" t="s">
        <v>299</v>
      </c>
      <c r="AI343" s="655" t="s">
        <v>300</v>
      </c>
      <c r="AJ343" s="656" t="s">
        <v>300</v>
      </c>
      <c r="AK343" s="657" t="s">
        <v>299</v>
      </c>
      <c r="AL343" s="658" t="s">
        <v>299</v>
      </c>
      <c r="AO343" s="655" t="s">
        <v>300</v>
      </c>
      <c r="AP343" s="656" t="s">
        <v>300</v>
      </c>
      <c r="AQ343" s="657" t="s">
        <v>299</v>
      </c>
      <c r="AR343" s="658" t="s">
        <v>299</v>
      </c>
    </row>
    <row r="344" spans="1:45" hidden="1">
      <c r="A344" s="640" t="s">
        <v>6</v>
      </c>
      <c r="B344" s="678" t="s">
        <v>362</v>
      </c>
      <c r="C344" s="641" t="s">
        <v>7</v>
      </c>
      <c r="D344" s="642" t="s">
        <v>8</v>
      </c>
      <c r="E344" s="642" t="s">
        <v>7</v>
      </c>
      <c r="F344" s="643" t="s">
        <v>8</v>
      </c>
      <c r="M344" s="641" t="s">
        <v>7</v>
      </c>
      <c r="N344" s="642" t="s">
        <v>8</v>
      </c>
      <c r="O344" s="642" t="s">
        <v>7</v>
      </c>
      <c r="P344" s="643" t="s">
        <v>8</v>
      </c>
      <c r="W344" s="641" t="s">
        <v>7</v>
      </c>
      <c r="X344" s="642" t="s">
        <v>8</v>
      </c>
      <c r="Y344" s="642" t="s">
        <v>7</v>
      </c>
      <c r="Z344" s="643" t="s">
        <v>8</v>
      </c>
      <c r="AC344" s="641" t="s">
        <v>7</v>
      </c>
      <c r="AD344" s="642" t="s">
        <v>8</v>
      </c>
      <c r="AE344" s="642" t="s">
        <v>7</v>
      </c>
      <c r="AF344" s="643" t="s">
        <v>8</v>
      </c>
      <c r="AI344" s="641" t="s">
        <v>7</v>
      </c>
      <c r="AJ344" s="642" t="s">
        <v>8</v>
      </c>
      <c r="AK344" s="642" t="s">
        <v>7</v>
      </c>
      <c r="AL344" s="643" t="s">
        <v>8</v>
      </c>
      <c r="AO344" s="641" t="s">
        <v>7</v>
      </c>
      <c r="AP344" s="642" t="s">
        <v>8</v>
      </c>
      <c r="AQ344" s="642" t="s">
        <v>7</v>
      </c>
      <c r="AR344" s="643" t="s">
        <v>8</v>
      </c>
    </row>
    <row r="345" spans="1:45" hidden="1">
      <c r="A345" s="644">
        <v>0</v>
      </c>
      <c r="B345" s="519" t="str">
        <f>+CONCATENATE(A345,$B$343)</f>
        <v>0B</v>
      </c>
      <c r="C345" s="659">
        <v>14321.05</v>
      </c>
      <c r="D345" s="660">
        <v>14329.95</v>
      </c>
      <c r="E345" s="660">
        <v>14321.05</v>
      </c>
      <c r="F345" s="661">
        <v>14329.95</v>
      </c>
      <c r="M345" s="659">
        <v>6127.31999161965</v>
      </c>
      <c r="N345" s="660">
        <v>6131.1294164786823</v>
      </c>
      <c r="O345" s="660">
        <v>6127.31999161965</v>
      </c>
      <c r="P345" s="661">
        <v>6131.1294164786823</v>
      </c>
      <c r="W345" s="659">
        <v>6985.4160371232028</v>
      </c>
      <c r="X345" s="660">
        <v>6989.7589500996564</v>
      </c>
      <c r="Y345" s="660">
        <v>6985.4160371232028</v>
      </c>
      <c r="Z345" s="661">
        <v>6989.7589500996564</v>
      </c>
      <c r="AC345" s="659">
        <v>8033.4248923753212</v>
      </c>
      <c r="AD345" s="660">
        <v>8038.4193644332563</v>
      </c>
      <c r="AE345" s="660">
        <v>8033.4248923753212</v>
      </c>
      <c r="AF345" s="661">
        <v>8038.4193644332563</v>
      </c>
      <c r="AI345" s="659">
        <v>9238.6976867928515</v>
      </c>
      <c r="AJ345" s="660">
        <v>9244.4414907203882</v>
      </c>
      <c r="AK345" s="660">
        <v>9238.6976867928515</v>
      </c>
      <c r="AL345" s="661">
        <v>9244.4414907203882</v>
      </c>
      <c r="AO345" s="659">
        <v>9423.2800000000007</v>
      </c>
      <c r="AP345" s="660">
        <v>9429.14</v>
      </c>
      <c r="AQ345" s="660">
        <v>9423.2800000000007</v>
      </c>
      <c r="AR345" s="661">
        <v>9429.14</v>
      </c>
    </row>
    <row r="346" spans="1:45" hidden="1">
      <c r="A346" s="644">
        <v>1</v>
      </c>
      <c r="B346" s="519" t="str">
        <f t="shared" ref="B346:B409" si="54">+CONCATENATE(A346,$B$343)</f>
        <v>1B</v>
      </c>
      <c r="C346" s="659">
        <v>14321.05</v>
      </c>
      <c r="D346" s="660">
        <v>14329.95</v>
      </c>
      <c r="E346" s="660">
        <v>14321.05</v>
      </c>
      <c r="F346" s="661">
        <v>14329.95</v>
      </c>
      <c r="M346" s="659">
        <v>6127.31999161965</v>
      </c>
      <c r="N346" s="660">
        <v>6131.1294164786823</v>
      </c>
      <c r="O346" s="660">
        <v>6127.31999161965</v>
      </c>
      <c r="P346" s="661">
        <v>6131.1294164786823</v>
      </c>
      <c r="W346" s="659">
        <v>6985.4160371232028</v>
      </c>
      <c r="X346" s="660">
        <v>6989.7589500996564</v>
      </c>
      <c r="Y346" s="660">
        <v>6985.4160371232028</v>
      </c>
      <c r="Z346" s="661">
        <v>6989.7589500996564</v>
      </c>
      <c r="AC346" s="659">
        <v>8033.4248923753212</v>
      </c>
      <c r="AD346" s="660">
        <v>8038.4193644332563</v>
      </c>
      <c r="AE346" s="660">
        <v>8033.4248923753212</v>
      </c>
      <c r="AF346" s="661">
        <v>8038.4193644332563</v>
      </c>
      <c r="AI346" s="659">
        <v>9238.6976867928515</v>
      </c>
      <c r="AJ346" s="660">
        <v>9244.4414907203882</v>
      </c>
      <c r="AK346" s="660">
        <v>9238.6976867928515</v>
      </c>
      <c r="AL346" s="661">
        <v>9244.4414907203882</v>
      </c>
      <c r="AO346" s="659">
        <v>9423.2800000000007</v>
      </c>
      <c r="AP346" s="660">
        <v>9429.14</v>
      </c>
      <c r="AQ346" s="660">
        <v>9423.2800000000007</v>
      </c>
      <c r="AR346" s="661">
        <v>9429.14</v>
      </c>
    </row>
    <row r="347" spans="1:45" hidden="1">
      <c r="A347" s="644">
        <v>2</v>
      </c>
      <c r="B347" s="519" t="str">
        <f t="shared" si="54"/>
        <v>2B</v>
      </c>
      <c r="C347" s="659">
        <v>14321.05</v>
      </c>
      <c r="D347" s="660">
        <v>14329.95</v>
      </c>
      <c r="E347" s="660">
        <v>14321.05</v>
      </c>
      <c r="F347" s="661">
        <v>14329.95</v>
      </c>
      <c r="M347" s="659">
        <v>6127.31999161965</v>
      </c>
      <c r="N347" s="660">
        <v>6131.1294164786823</v>
      </c>
      <c r="O347" s="660">
        <v>6127.31999161965</v>
      </c>
      <c r="P347" s="661">
        <v>6131.1294164786823</v>
      </c>
      <c r="W347" s="659">
        <v>6985.4160371232028</v>
      </c>
      <c r="X347" s="660">
        <v>6989.7589500996564</v>
      </c>
      <c r="Y347" s="660">
        <v>6985.4160371232028</v>
      </c>
      <c r="Z347" s="661">
        <v>6989.7589500996564</v>
      </c>
      <c r="AC347" s="659">
        <v>8033.4248923753212</v>
      </c>
      <c r="AD347" s="660">
        <v>8038.4193644332563</v>
      </c>
      <c r="AE347" s="660">
        <v>8033.4248923753212</v>
      </c>
      <c r="AF347" s="661">
        <v>8038.4193644332563</v>
      </c>
      <c r="AI347" s="659">
        <v>9238.6976867928515</v>
      </c>
      <c r="AJ347" s="660">
        <v>9244.4414907203882</v>
      </c>
      <c r="AK347" s="660">
        <v>9238.6976867928515</v>
      </c>
      <c r="AL347" s="661">
        <v>9244.4414907203882</v>
      </c>
      <c r="AO347" s="659">
        <v>9423.2800000000007</v>
      </c>
      <c r="AP347" s="660">
        <v>9429.14</v>
      </c>
      <c r="AQ347" s="660">
        <v>9423.2800000000007</v>
      </c>
      <c r="AR347" s="661">
        <v>9429.14</v>
      </c>
    </row>
    <row r="348" spans="1:45" hidden="1">
      <c r="A348" s="644">
        <v>3</v>
      </c>
      <c r="B348" s="519" t="str">
        <f t="shared" si="54"/>
        <v>3B</v>
      </c>
      <c r="C348" s="659">
        <v>14321.05</v>
      </c>
      <c r="D348" s="660">
        <v>14329.95</v>
      </c>
      <c r="E348" s="660">
        <v>14321.05</v>
      </c>
      <c r="F348" s="661">
        <v>14329.95</v>
      </c>
      <c r="M348" s="659">
        <v>6127.31999161965</v>
      </c>
      <c r="N348" s="660">
        <v>6131.1294164786823</v>
      </c>
      <c r="O348" s="660">
        <v>6127.31999161965</v>
      </c>
      <c r="P348" s="661">
        <v>6131.1294164786823</v>
      </c>
      <c r="W348" s="659">
        <v>6985.4160371232028</v>
      </c>
      <c r="X348" s="660">
        <v>6989.7589500996564</v>
      </c>
      <c r="Y348" s="660">
        <v>6985.4160371232028</v>
      </c>
      <c r="Z348" s="661">
        <v>6989.7589500996564</v>
      </c>
      <c r="AC348" s="659">
        <v>8033.4248923753212</v>
      </c>
      <c r="AD348" s="660">
        <v>8038.4193644332563</v>
      </c>
      <c r="AE348" s="660">
        <v>8033.4248923753212</v>
      </c>
      <c r="AF348" s="661">
        <v>8038.4193644332563</v>
      </c>
      <c r="AI348" s="659">
        <v>9238.6976867928515</v>
      </c>
      <c r="AJ348" s="660">
        <v>9244.4414907203882</v>
      </c>
      <c r="AK348" s="660">
        <v>9238.6976867928515</v>
      </c>
      <c r="AL348" s="661">
        <v>9244.4414907203882</v>
      </c>
      <c r="AO348" s="659">
        <v>9423.2800000000007</v>
      </c>
      <c r="AP348" s="660">
        <v>9429.14</v>
      </c>
      <c r="AQ348" s="660">
        <v>9423.2800000000007</v>
      </c>
      <c r="AR348" s="661">
        <v>9429.14</v>
      </c>
    </row>
    <row r="349" spans="1:45" hidden="1">
      <c r="A349" s="644">
        <v>4</v>
      </c>
      <c r="B349" s="519" t="str">
        <f t="shared" si="54"/>
        <v>4B</v>
      </c>
      <c r="C349" s="659">
        <v>14321.05</v>
      </c>
      <c r="D349" s="660">
        <v>14329.95</v>
      </c>
      <c r="E349" s="660">
        <v>14321.05</v>
      </c>
      <c r="F349" s="661">
        <v>14329.95</v>
      </c>
      <c r="M349" s="659">
        <v>6127.31999161965</v>
      </c>
      <c r="N349" s="660">
        <v>6131.1294164786823</v>
      </c>
      <c r="O349" s="660">
        <v>6127.31999161965</v>
      </c>
      <c r="P349" s="661">
        <v>6131.1294164786823</v>
      </c>
      <c r="W349" s="659">
        <v>6985.4160371232028</v>
      </c>
      <c r="X349" s="660">
        <v>6989.7589500996564</v>
      </c>
      <c r="Y349" s="660">
        <v>6985.4160371232028</v>
      </c>
      <c r="Z349" s="661">
        <v>6989.7589500996564</v>
      </c>
      <c r="AC349" s="659">
        <v>8033.4248923753212</v>
      </c>
      <c r="AD349" s="660">
        <v>8038.4193644332563</v>
      </c>
      <c r="AE349" s="660">
        <v>8033.4248923753212</v>
      </c>
      <c r="AF349" s="661">
        <v>8038.4193644332563</v>
      </c>
      <c r="AI349" s="659">
        <v>9238.6976867928515</v>
      </c>
      <c r="AJ349" s="660">
        <v>9244.4414907203882</v>
      </c>
      <c r="AK349" s="660">
        <v>9238.6976867928515</v>
      </c>
      <c r="AL349" s="661">
        <v>9244.4414907203882</v>
      </c>
      <c r="AO349" s="659">
        <v>9423.2800000000007</v>
      </c>
      <c r="AP349" s="660">
        <v>9429.14</v>
      </c>
      <c r="AQ349" s="660">
        <v>9423.2800000000007</v>
      </c>
      <c r="AR349" s="661">
        <v>9429.14</v>
      </c>
    </row>
    <row r="350" spans="1:45" hidden="1">
      <c r="A350" s="644">
        <v>5</v>
      </c>
      <c r="B350" s="519" t="str">
        <f t="shared" si="54"/>
        <v>5B</v>
      </c>
      <c r="C350" s="659">
        <v>14321.05</v>
      </c>
      <c r="D350" s="660">
        <v>14329.95</v>
      </c>
      <c r="E350" s="660">
        <v>14321.05</v>
      </c>
      <c r="F350" s="661">
        <v>14329.95</v>
      </c>
      <c r="M350" s="659">
        <v>6127.31999161965</v>
      </c>
      <c r="N350" s="660">
        <v>6131.1294164786823</v>
      </c>
      <c r="O350" s="660">
        <v>6127.31999161965</v>
      </c>
      <c r="P350" s="661">
        <v>6131.1294164786823</v>
      </c>
      <c r="W350" s="659">
        <v>6985.4160371232028</v>
      </c>
      <c r="X350" s="660">
        <v>6989.7589500996564</v>
      </c>
      <c r="Y350" s="660">
        <v>6985.4160371232028</v>
      </c>
      <c r="Z350" s="661">
        <v>6989.7589500996564</v>
      </c>
      <c r="AC350" s="659">
        <v>8033.4248923753212</v>
      </c>
      <c r="AD350" s="660">
        <v>8038.4193644332563</v>
      </c>
      <c r="AE350" s="660">
        <v>8033.4248923753212</v>
      </c>
      <c r="AF350" s="661">
        <v>8038.4193644332563</v>
      </c>
      <c r="AI350" s="659">
        <v>9238.6976867928515</v>
      </c>
      <c r="AJ350" s="660">
        <v>9244.4414907203882</v>
      </c>
      <c r="AK350" s="660">
        <v>9238.6976867928515</v>
      </c>
      <c r="AL350" s="661">
        <v>9244.4414907203882</v>
      </c>
      <c r="AO350" s="659">
        <v>9423.2800000000007</v>
      </c>
      <c r="AP350" s="660">
        <v>9429.14</v>
      </c>
      <c r="AQ350" s="660">
        <v>9423.2800000000007</v>
      </c>
      <c r="AR350" s="661">
        <v>9429.14</v>
      </c>
    </row>
    <row r="351" spans="1:45" hidden="1">
      <c r="A351" s="644">
        <v>6</v>
      </c>
      <c r="B351" s="519" t="str">
        <f t="shared" si="54"/>
        <v>6B</v>
      </c>
      <c r="C351" s="659">
        <v>14321.05</v>
      </c>
      <c r="D351" s="660">
        <v>14329.95</v>
      </c>
      <c r="E351" s="660">
        <v>14321.05</v>
      </c>
      <c r="F351" s="661">
        <v>14329.95</v>
      </c>
      <c r="M351" s="659">
        <v>6127.31999161965</v>
      </c>
      <c r="N351" s="660">
        <v>6131.1294164786823</v>
      </c>
      <c r="O351" s="660">
        <v>6127.31999161965</v>
      </c>
      <c r="P351" s="661">
        <v>6131.1294164786823</v>
      </c>
      <c r="W351" s="659">
        <v>6985.4160371232028</v>
      </c>
      <c r="X351" s="660">
        <v>6989.7589500996564</v>
      </c>
      <c r="Y351" s="660">
        <v>6985.4160371232028</v>
      </c>
      <c r="Z351" s="661">
        <v>6989.7589500996564</v>
      </c>
      <c r="AC351" s="659">
        <v>8033.4248923753212</v>
      </c>
      <c r="AD351" s="660">
        <v>8038.4193644332563</v>
      </c>
      <c r="AE351" s="660">
        <v>8033.4248923753212</v>
      </c>
      <c r="AF351" s="661">
        <v>8038.4193644332563</v>
      </c>
      <c r="AI351" s="659">
        <v>9238.6976867928515</v>
      </c>
      <c r="AJ351" s="660">
        <v>9244.4414907203882</v>
      </c>
      <c r="AK351" s="660">
        <v>9238.6976867928515</v>
      </c>
      <c r="AL351" s="661">
        <v>9244.4414907203882</v>
      </c>
      <c r="AO351" s="659">
        <v>9423.2800000000007</v>
      </c>
      <c r="AP351" s="660">
        <v>9429.14</v>
      </c>
      <c r="AQ351" s="660">
        <v>9423.2800000000007</v>
      </c>
      <c r="AR351" s="661">
        <v>9429.14</v>
      </c>
    </row>
    <row r="352" spans="1:45" hidden="1">
      <c r="A352" s="644">
        <v>7</v>
      </c>
      <c r="B352" s="519" t="str">
        <f t="shared" si="54"/>
        <v>7B</v>
      </c>
      <c r="C352" s="659">
        <v>14321.05</v>
      </c>
      <c r="D352" s="660">
        <v>14329.95</v>
      </c>
      <c r="E352" s="660">
        <v>14321.05</v>
      </c>
      <c r="F352" s="661">
        <v>14329.95</v>
      </c>
      <c r="M352" s="659">
        <v>6127.31999161965</v>
      </c>
      <c r="N352" s="660">
        <v>6131.1294164786823</v>
      </c>
      <c r="O352" s="660">
        <v>6127.31999161965</v>
      </c>
      <c r="P352" s="661">
        <v>6131.1294164786823</v>
      </c>
      <c r="W352" s="659">
        <v>6985.4160371232028</v>
      </c>
      <c r="X352" s="660">
        <v>6989.7589500996564</v>
      </c>
      <c r="Y352" s="660">
        <v>6985.4160371232028</v>
      </c>
      <c r="Z352" s="661">
        <v>6989.7589500996564</v>
      </c>
      <c r="AC352" s="659">
        <v>8033.4248923753212</v>
      </c>
      <c r="AD352" s="660">
        <v>8038.4193644332563</v>
      </c>
      <c r="AE352" s="660">
        <v>8033.4248923753212</v>
      </c>
      <c r="AF352" s="661">
        <v>8038.4193644332563</v>
      </c>
      <c r="AI352" s="659">
        <v>9238.6976867928515</v>
      </c>
      <c r="AJ352" s="660">
        <v>9244.4414907203882</v>
      </c>
      <c r="AK352" s="660">
        <v>9238.6976867928515</v>
      </c>
      <c r="AL352" s="661">
        <v>9244.4414907203882</v>
      </c>
      <c r="AO352" s="659">
        <v>9423.2800000000007</v>
      </c>
      <c r="AP352" s="660">
        <v>9429.14</v>
      </c>
      <c r="AQ352" s="660">
        <v>9423.2800000000007</v>
      </c>
      <c r="AR352" s="661">
        <v>9429.14</v>
      </c>
    </row>
    <row r="353" spans="1:44" hidden="1">
      <c r="A353" s="644">
        <v>8</v>
      </c>
      <c r="B353" s="519" t="str">
        <f t="shared" si="54"/>
        <v>8B</v>
      </c>
      <c r="C353" s="659">
        <v>14321.05</v>
      </c>
      <c r="D353" s="660">
        <v>14329.95</v>
      </c>
      <c r="E353" s="660">
        <v>14321.05</v>
      </c>
      <c r="F353" s="661">
        <v>14329.95</v>
      </c>
      <c r="M353" s="659">
        <v>6127.31999161965</v>
      </c>
      <c r="N353" s="660">
        <v>6131.1294164786823</v>
      </c>
      <c r="O353" s="660">
        <v>6127.31999161965</v>
      </c>
      <c r="P353" s="661">
        <v>6131.1294164786823</v>
      </c>
      <c r="W353" s="659">
        <v>6985.4160371232028</v>
      </c>
      <c r="X353" s="660">
        <v>6989.7589500996564</v>
      </c>
      <c r="Y353" s="660">
        <v>6985.4160371232028</v>
      </c>
      <c r="Z353" s="661">
        <v>6989.7589500996564</v>
      </c>
      <c r="AC353" s="659">
        <v>8033.4248923753212</v>
      </c>
      <c r="AD353" s="660">
        <v>8038.4193644332563</v>
      </c>
      <c r="AE353" s="660">
        <v>8033.4248923753212</v>
      </c>
      <c r="AF353" s="661">
        <v>8038.4193644332563</v>
      </c>
      <c r="AI353" s="659">
        <v>9238.6976867928515</v>
      </c>
      <c r="AJ353" s="660">
        <v>9244.4414907203882</v>
      </c>
      <c r="AK353" s="660">
        <v>9238.6976867928515</v>
      </c>
      <c r="AL353" s="661">
        <v>9244.4414907203882</v>
      </c>
      <c r="AO353" s="659">
        <v>9423.2800000000007</v>
      </c>
      <c r="AP353" s="660">
        <v>9429.14</v>
      </c>
      <c r="AQ353" s="660">
        <v>9423.2800000000007</v>
      </c>
      <c r="AR353" s="661">
        <v>9429.14</v>
      </c>
    </row>
    <row r="354" spans="1:44" hidden="1">
      <c r="A354" s="644">
        <v>9</v>
      </c>
      <c r="B354" s="519" t="str">
        <f t="shared" si="54"/>
        <v>9B</v>
      </c>
      <c r="C354" s="659">
        <v>14321.05</v>
      </c>
      <c r="D354" s="660">
        <v>14329.95</v>
      </c>
      <c r="E354" s="660">
        <v>14321.05</v>
      </c>
      <c r="F354" s="661">
        <v>14329.95</v>
      </c>
      <c r="M354" s="659">
        <v>6127.31999161965</v>
      </c>
      <c r="N354" s="660">
        <v>6131.1294164786823</v>
      </c>
      <c r="O354" s="660">
        <v>6127.31999161965</v>
      </c>
      <c r="P354" s="661">
        <v>6131.1294164786823</v>
      </c>
      <c r="W354" s="659">
        <v>6985.4160371232028</v>
      </c>
      <c r="X354" s="660">
        <v>6989.7589500996564</v>
      </c>
      <c r="Y354" s="660">
        <v>6985.4160371232028</v>
      </c>
      <c r="Z354" s="661">
        <v>6989.7589500996564</v>
      </c>
      <c r="AC354" s="659">
        <v>8033.4248923753212</v>
      </c>
      <c r="AD354" s="660">
        <v>8038.4193644332563</v>
      </c>
      <c r="AE354" s="660">
        <v>8033.4248923753212</v>
      </c>
      <c r="AF354" s="661">
        <v>8038.4193644332563</v>
      </c>
      <c r="AI354" s="659">
        <v>9238.6976867928515</v>
      </c>
      <c r="AJ354" s="660">
        <v>9244.4414907203882</v>
      </c>
      <c r="AK354" s="660">
        <v>9238.6976867928515</v>
      </c>
      <c r="AL354" s="661">
        <v>9244.4414907203882</v>
      </c>
      <c r="AO354" s="659">
        <v>9423.2800000000007</v>
      </c>
      <c r="AP354" s="660">
        <v>9429.14</v>
      </c>
      <c r="AQ354" s="660">
        <v>9423.2800000000007</v>
      </c>
      <c r="AR354" s="661">
        <v>9429.14</v>
      </c>
    </row>
    <row r="355" spans="1:44" hidden="1">
      <c r="A355" s="644">
        <v>10</v>
      </c>
      <c r="B355" s="519" t="str">
        <f t="shared" si="54"/>
        <v>10B</v>
      </c>
      <c r="C355" s="659">
        <v>14321.05</v>
      </c>
      <c r="D355" s="660">
        <v>14329.95</v>
      </c>
      <c r="E355" s="660">
        <v>14321.05</v>
      </c>
      <c r="F355" s="661">
        <v>14329.95</v>
      </c>
      <c r="M355" s="659">
        <v>6127.31999161965</v>
      </c>
      <c r="N355" s="660">
        <v>6131.1294164786823</v>
      </c>
      <c r="O355" s="660">
        <v>6127.31999161965</v>
      </c>
      <c r="P355" s="661">
        <v>6131.1294164786823</v>
      </c>
      <c r="W355" s="659">
        <v>6985.4160371232028</v>
      </c>
      <c r="X355" s="660">
        <v>6989.7589500996564</v>
      </c>
      <c r="Y355" s="660">
        <v>6985.4160371232028</v>
      </c>
      <c r="Z355" s="661">
        <v>6989.7589500996564</v>
      </c>
      <c r="AC355" s="659">
        <v>8033.4248923753212</v>
      </c>
      <c r="AD355" s="660">
        <v>8038.4193644332563</v>
      </c>
      <c r="AE355" s="660">
        <v>8033.4248923753212</v>
      </c>
      <c r="AF355" s="661">
        <v>8038.4193644332563</v>
      </c>
      <c r="AI355" s="659">
        <v>9238.6976867928515</v>
      </c>
      <c r="AJ355" s="660">
        <v>9244.4414907203882</v>
      </c>
      <c r="AK355" s="660">
        <v>9238.6976867928515</v>
      </c>
      <c r="AL355" s="661">
        <v>9244.4414907203882</v>
      </c>
      <c r="AO355" s="659">
        <v>9423.2800000000007</v>
      </c>
      <c r="AP355" s="660">
        <v>9429.14</v>
      </c>
      <c r="AQ355" s="660">
        <v>9423.2800000000007</v>
      </c>
      <c r="AR355" s="661">
        <v>9429.14</v>
      </c>
    </row>
    <row r="356" spans="1:44" hidden="1">
      <c r="A356" s="644">
        <v>11</v>
      </c>
      <c r="B356" s="519" t="str">
        <f t="shared" si="54"/>
        <v>11B</v>
      </c>
      <c r="C356" s="645">
        <v>14239.16</v>
      </c>
      <c r="D356" s="646">
        <v>14109.83</v>
      </c>
      <c r="E356" s="646">
        <v>14239.16</v>
      </c>
      <c r="F356" s="647">
        <v>14109.83</v>
      </c>
      <c r="M356" s="645">
        <v>6093.217788867194</v>
      </c>
      <c r="N356" s="646">
        <v>6037.8735402182992</v>
      </c>
      <c r="O356" s="646">
        <v>6093.217788867194</v>
      </c>
      <c r="P356" s="647">
        <v>6037.8735402182992</v>
      </c>
      <c r="W356" s="645">
        <v>6946.0061024301258</v>
      </c>
      <c r="X356" s="646">
        <v>6882.916040303674</v>
      </c>
      <c r="Y356" s="646">
        <v>6946.0061024301258</v>
      </c>
      <c r="Z356" s="647">
        <v>6882.916040303674</v>
      </c>
      <c r="AC356" s="645">
        <v>7987.6875899469169</v>
      </c>
      <c r="AD356" s="646">
        <v>7915.136011548484</v>
      </c>
      <c r="AE356" s="646">
        <v>7987.6875899469169</v>
      </c>
      <c r="AF356" s="647">
        <v>7915.136011548484</v>
      </c>
      <c r="AI356" s="645">
        <v>9185.9865029597822</v>
      </c>
      <c r="AJ356" s="646">
        <v>9102.5508637423427</v>
      </c>
      <c r="AK356" s="646">
        <v>9185.9865029597822</v>
      </c>
      <c r="AL356" s="647">
        <v>9102.5508637423427</v>
      </c>
      <c r="AO356" s="645">
        <v>9369.6200000000008</v>
      </c>
      <c r="AP356" s="646">
        <v>9284.52</v>
      </c>
      <c r="AQ356" s="646">
        <v>9369.6200000000008</v>
      </c>
      <c r="AR356" s="647">
        <v>9284.52</v>
      </c>
    </row>
    <row r="357" spans="1:44" hidden="1">
      <c r="A357" s="644">
        <v>12</v>
      </c>
      <c r="B357" s="519" t="str">
        <f t="shared" si="54"/>
        <v>12B</v>
      </c>
      <c r="C357" s="645">
        <v>14173.53</v>
      </c>
      <c r="D357" s="646">
        <v>14302.71</v>
      </c>
      <c r="E357" s="646">
        <v>14173.53</v>
      </c>
      <c r="F357" s="647">
        <v>14302.71</v>
      </c>
      <c r="M357" s="645">
        <v>6065.1332790445986</v>
      </c>
      <c r="N357" s="646">
        <v>6120.4140837707018</v>
      </c>
      <c r="O357" s="646">
        <v>6065.1332790445986</v>
      </c>
      <c r="P357" s="647">
        <v>6120.4140837707018</v>
      </c>
      <c r="W357" s="645">
        <v>6913.9909696429932</v>
      </c>
      <c r="X357" s="646">
        <v>6977.0087084273064</v>
      </c>
      <c r="Y357" s="646">
        <v>6913.9909696429932</v>
      </c>
      <c r="Z357" s="647">
        <v>6977.0087084273064</v>
      </c>
      <c r="AC357" s="645">
        <v>7950.8711986159578</v>
      </c>
      <c r="AD357" s="646">
        <v>8023.3396074556604</v>
      </c>
      <c r="AE357" s="646">
        <v>7950.8711986159578</v>
      </c>
      <c r="AF357" s="647">
        <v>8023.3396074556604</v>
      </c>
      <c r="AI357" s="645">
        <v>9143.6469810336221</v>
      </c>
      <c r="AJ357" s="646">
        <v>9226.9869737406862</v>
      </c>
      <c r="AK357" s="646">
        <v>9143.6469810336221</v>
      </c>
      <c r="AL357" s="647">
        <v>9226.9869737406862</v>
      </c>
      <c r="AO357" s="645">
        <v>9326.44</v>
      </c>
      <c r="AP357" s="646">
        <v>9411.44</v>
      </c>
      <c r="AQ357" s="646">
        <v>9326.44</v>
      </c>
      <c r="AR357" s="647">
        <v>9411.44</v>
      </c>
    </row>
    <row r="358" spans="1:44" hidden="1">
      <c r="A358" s="644">
        <v>13</v>
      </c>
      <c r="B358" s="519" t="str">
        <f t="shared" si="54"/>
        <v>13B</v>
      </c>
      <c r="C358" s="645">
        <v>14075.68</v>
      </c>
      <c r="D358" s="646">
        <v>14208.62</v>
      </c>
      <c r="E358" s="646">
        <v>14075.68</v>
      </c>
      <c r="F358" s="647">
        <v>14208.62</v>
      </c>
      <c r="M358" s="645">
        <v>6023.2602900018737</v>
      </c>
      <c r="N358" s="646">
        <v>6080.1483407720416</v>
      </c>
      <c r="O358" s="646">
        <v>6023.2602900018737</v>
      </c>
      <c r="P358" s="647">
        <v>6080.1483407720416</v>
      </c>
      <c r="W358" s="645">
        <v>6866.2575638308508</v>
      </c>
      <c r="X358" s="646">
        <v>6931.1074939493683</v>
      </c>
      <c r="Y358" s="646">
        <v>6866.2575638308508</v>
      </c>
      <c r="Z358" s="647">
        <v>6931.1074939493683</v>
      </c>
      <c r="AC358" s="645">
        <v>7895.9792898544392</v>
      </c>
      <c r="AD358" s="646">
        <v>7970.5546608486256</v>
      </c>
      <c r="AE358" s="646">
        <v>7895.9792898544392</v>
      </c>
      <c r="AF358" s="647">
        <v>7970.5546608486256</v>
      </c>
      <c r="AI358" s="645">
        <v>9080.5202841858863</v>
      </c>
      <c r="AJ358" s="646">
        <v>9166.2833218224605</v>
      </c>
      <c r="AK358" s="646">
        <v>9080.5202841858863</v>
      </c>
      <c r="AL358" s="647">
        <v>9166.2833218224605</v>
      </c>
      <c r="AO358" s="645">
        <v>9262.0499999999993</v>
      </c>
      <c r="AP358" s="646">
        <v>9349.52</v>
      </c>
      <c r="AQ358" s="646">
        <v>9262.0499999999993</v>
      </c>
      <c r="AR358" s="647">
        <v>9349.52</v>
      </c>
    </row>
    <row r="359" spans="1:44" hidden="1">
      <c r="A359" s="644">
        <v>14</v>
      </c>
      <c r="B359" s="519" t="str">
        <f t="shared" si="54"/>
        <v>14B</v>
      </c>
      <c r="C359" s="645">
        <v>13710.21</v>
      </c>
      <c r="D359" s="646">
        <v>13919.31</v>
      </c>
      <c r="E359" s="646">
        <v>13710.21</v>
      </c>
      <c r="F359" s="647">
        <v>13919.31</v>
      </c>
      <c r="M359" s="645">
        <v>5866.8710203195751</v>
      </c>
      <c r="N359" s="646">
        <v>5956.3480994305701</v>
      </c>
      <c r="O359" s="646">
        <v>5866.8710203195751</v>
      </c>
      <c r="P359" s="647">
        <v>5956.3480994305701</v>
      </c>
      <c r="W359" s="645">
        <v>6687.9805254567164</v>
      </c>
      <c r="X359" s="646">
        <v>6789.9805456542772</v>
      </c>
      <c r="Y359" s="646">
        <v>6687.9805254567164</v>
      </c>
      <c r="Z359" s="647">
        <v>6789.9805456542772</v>
      </c>
      <c r="AC359" s="645">
        <v>7690.9663275860421</v>
      </c>
      <c r="AD359" s="646">
        <v>7808.2631285809839</v>
      </c>
      <c r="AE359" s="646">
        <v>7690.9663275860421</v>
      </c>
      <c r="AF359" s="647">
        <v>7808.2631285809839</v>
      </c>
      <c r="AI359" s="645">
        <v>8844.7516361106282</v>
      </c>
      <c r="AJ359" s="646">
        <v>8979.64509791001</v>
      </c>
      <c r="AK359" s="646">
        <v>8844.7516361106282</v>
      </c>
      <c r="AL359" s="647">
        <v>8979.64509791001</v>
      </c>
      <c r="AO359" s="645">
        <v>9021.57</v>
      </c>
      <c r="AP359" s="646">
        <v>9159.16</v>
      </c>
      <c r="AQ359" s="646">
        <v>9021.57</v>
      </c>
      <c r="AR359" s="647">
        <v>9159.16</v>
      </c>
    </row>
    <row r="360" spans="1:44" hidden="1">
      <c r="A360" s="644">
        <v>15</v>
      </c>
      <c r="B360" s="519" t="str">
        <f t="shared" si="54"/>
        <v>15B</v>
      </c>
      <c r="C360" s="645">
        <v>13766.06</v>
      </c>
      <c r="D360" s="646">
        <v>13693.41</v>
      </c>
      <c r="E360" s="646">
        <v>13766.06</v>
      </c>
      <c r="F360" s="647">
        <v>13693.41</v>
      </c>
      <c r="M360" s="645">
        <v>5890.7682312378993</v>
      </c>
      <c r="N360" s="646">
        <v>5859.6807090698157</v>
      </c>
      <c r="O360" s="646">
        <v>5890.7682312378993</v>
      </c>
      <c r="P360" s="647">
        <v>5859.6807090698157</v>
      </c>
      <c r="W360" s="645">
        <v>6715.2223176626367</v>
      </c>
      <c r="X360" s="646">
        <v>6679.7838800142299</v>
      </c>
      <c r="Y360" s="646">
        <v>6715.2223176626367</v>
      </c>
      <c r="Z360" s="647">
        <v>6679.7838800142299</v>
      </c>
      <c r="AC360" s="645">
        <v>7722.2935280408501</v>
      </c>
      <c r="AD360" s="646">
        <v>7681.5404442633589</v>
      </c>
      <c r="AE360" s="646">
        <v>7722.2935280408501</v>
      </c>
      <c r="AF360" s="647">
        <v>7681.5404442633589</v>
      </c>
      <c r="AI360" s="645">
        <v>8880.7784883520144</v>
      </c>
      <c r="AJ360" s="646">
        <v>8833.9116982680898</v>
      </c>
      <c r="AK360" s="646">
        <v>8880.7784883520144</v>
      </c>
      <c r="AL360" s="647">
        <v>8833.9116982680898</v>
      </c>
      <c r="AO360" s="645">
        <v>9058.31</v>
      </c>
      <c r="AP360" s="646">
        <v>9010.51</v>
      </c>
      <c r="AQ360" s="646">
        <v>9058.31</v>
      </c>
      <c r="AR360" s="647">
        <v>9010.51</v>
      </c>
    </row>
    <row r="361" spans="1:44" hidden="1">
      <c r="A361" s="644">
        <v>16</v>
      </c>
      <c r="B361" s="519" t="str">
        <f t="shared" si="54"/>
        <v>16B</v>
      </c>
      <c r="C361" s="645">
        <v>13508.63</v>
      </c>
      <c r="D361" s="646">
        <v>13174.1</v>
      </c>
      <c r="E361" s="646">
        <v>13508.63</v>
      </c>
      <c r="F361" s="647">
        <v>13174.1</v>
      </c>
      <c r="M361" s="645">
        <v>5780.6084332967084</v>
      </c>
      <c r="N361" s="646">
        <v>5637.4577955036757</v>
      </c>
      <c r="O361" s="646">
        <v>5780.6084332967084</v>
      </c>
      <c r="P361" s="647">
        <v>5637.4577955036757</v>
      </c>
      <c r="W361" s="645">
        <v>6589.6448879275622</v>
      </c>
      <c r="X361" s="646">
        <v>6426.4593202798924</v>
      </c>
      <c r="Y361" s="646">
        <v>6589.6448879275622</v>
      </c>
      <c r="Z361" s="647">
        <v>6426.4593202798924</v>
      </c>
      <c r="AC361" s="645">
        <v>7577.8834509000662</v>
      </c>
      <c r="AD361" s="646">
        <v>7390.2252032199058</v>
      </c>
      <c r="AE361" s="646">
        <v>7577.8834509000662</v>
      </c>
      <c r="AF361" s="647">
        <v>7390.2252032199058</v>
      </c>
      <c r="AI361" s="645">
        <v>8714.7042641702665</v>
      </c>
      <c r="AJ361" s="646">
        <v>8498.8938545933306</v>
      </c>
      <c r="AK361" s="646">
        <v>8714.7042641702665</v>
      </c>
      <c r="AL361" s="647">
        <v>8498.8938545933306</v>
      </c>
      <c r="AO361" s="645">
        <v>8888.92</v>
      </c>
      <c r="AP361" s="646">
        <v>8668.7900000000009</v>
      </c>
      <c r="AQ361" s="646">
        <v>8888.92</v>
      </c>
      <c r="AR361" s="647">
        <v>8668.7900000000009</v>
      </c>
    </row>
    <row r="362" spans="1:44" hidden="1">
      <c r="A362" s="644">
        <v>17</v>
      </c>
      <c r="B362" s="519" t="str">
        <f t="shared" si="54"/>
        <v>17B</v>
      </c>
      <c r="C362" s="645">
        <v>13582.96</v>
      </c>
      <c r="D362" s="646">
        <v>13382.85</v>
      </c>
      <c r="E362" s="646">
        <v>13582.96</v>
      </c>
      <c r="F362" s="647">
        <v>13382.85</v>
      </c>
      <c r="M362" s="645">
        <v>5812.4149865897689</v>
      </c>
      <c r="N362" s="646">
        <v>5726.7868387948238</v>
      </c>
      <c r="O362" s="646">
        <v>5812.4149865897689</v>
      </c>
      <c r="P362" s="647">
        <v>5726.7868387948238</v>
      </c>
      <c r="W362" s="645">
        <v>6625.9029901202193</v>
      </c>
      <c r="X362" s="646">
        <v>6528.290586012462</v>
      </c>
      <c r="Y362" s="646">
        <v>6625.9029901202193</v>
      </c>
      <c r="Z362" s="647">
        <v>6528.290586012462</v>
      </c>
      <c r="AC362" s="645">
        <v>7619.5791230098275</v>
      </c>
      <c r="AD362" s="646">
        <v>7507.3279419111468</v>
      </c>
      <c r="AE362" s="646">
        <v>7619.5791230098275</v>
      </c>
      <c r="AF362" s="647">
        <v>7507.3279419111468</v>
      </c>
      <c r="AI362" s="645">
        <v>8762.6550480384485</v>
      </c>
      <c r="AJ362" s="646">
        <v>8633.5641412018394</v>
      </c>
      <c r="AK362" s="646">
        <v>8762.6550480384485</v>
      </c>
      <c r="AL362" s="647">
        <v>8633.5641412018394</v>
      </c>
      <c r="AO362" s="645">
        <v>8937.83</v>
      </c>
      <c r="AP362" s="646">
        <v>8806.16</v>
      </c>
      <c r="AQ362" s="646">
        <v>8937.83</v>
      </c>
      <c r="AR362" s="647">
        <v>8806.16</v>
      </c>
    </row>
    <row r="363" spans="1:44" hidden="1">
      <c r="A363" s="644">
        <v>18</v>
      </c>
      <c r="B363" s="519" t="str">
        <f t="shared" si="54"/>
        <v>18B</v>
      </c>
      <c r="C363" s="645">
        <v>13980.3</v>
      </c>
      <c r="D363" s="646">
        <v>12644.51</v>
      </c>
      <c r="E363" s="646">
        <v>13980.3</v>
      </c>
      <c r="F363" s="647">
        <v>12644.51</v>
      </c>
      <c r="M363" s="645">
        <v>5982.4446996723482</v>
      </c>
      <c r="N363" s="646">
        <v>5410.836103290625</v>
      </c>
      <c r="O363" s="646">
        <v>5982.4446996723482</v>
      </c>
      <c r="P363" s="647">
        <v>5410.836103290625</v>
      </c>
      <c r="W363" s="645">
        <v>6819.7295470543695</v>
      </c>
      <c r="X363" s="646">
        <v>6168.1203421572118</v>
      </c>
      <c r="Y363" s="646">
        <v>6819.7295470543695</v>
      </c>
      <c r="Z363" s="647">
        <v>6168.1203421572118</v>
      </c>
      <c r="AC363" s="645">
        <v>7842.4735404050816</v>
      </c>
      <c r="AD363" s="646">
        <v>7093.1435394378723</v>
      </c>
      <c r="AE363" s="646">
        <v>7842.4735404050816</v>
      </c>
      <c r="AF363" s="647">
        <v>7093.1435394378723</v>
      </c>
      <c r="AI363" s="645">
        <v>9018.9876958444056</v>
      </c>
      <c r="AJ363" s="646">
        <v>8157.2445195325536</v>
      </c>
      <c r="AK363" s="646">
        <v>9018.9876958444056</v>
      </c>
      <c r="AL363" s="647">
        <v>8157.2445195325536</v>
      </c>
      <c r="AO363" s="645">
        <v>9199.2800000000007</v>
      </c>
      <c r="AP363" s="646">
        <v>8320.31</v>
      </c>
      <c r="AQ363" s="646">
        <v>9199.2800000000007</v>
      </c>
      <c r="AR363" s="647">
        <v>8320.31</v>
      </c>
    </row>
    <row r="364" spans="1:44" hidden="1">
      <c r="A364" s="644">
        <v>19</v>
      </c>
      <c r="B364" s="519" t="str">
        <f t="shared" si="54"/>
        <v>19B</v>
      </c>
      <c r="C364" s="645">
        <v>14454.88</v>
      </c>
      <c r="D364" s="646">
        <v>12832.46</v>
      </c>
      <c r="E364" s="646">
        <v>14454.88</v>
      </c>
      <c r="F364" s="647">
        <v>12832.46</v>
      </c>
      <c r="M364" s="645">
        <v>6185.5286965295654</v>
      </c>
      <c r="N364" s="646">
        <v>5491.2618494166272</v>
      </c>
      <c r="O364" s="646">
        <v>6185.5286965295654</v>
      </c>
      <c r="P364" s="647">
        <v>5491.2618494166272</v>
      </c>
      <c r="W364" s="645">
        <v>7051.2365652432572</v>
      </c>
      <c r="X364" s="646">
        <v>6259.802232209523</v>
      </c>
      <c r="Y364" s="646">
        <v>7051.2365652432572</v>
      </c>
      <c r="Z364" s="647">
        <v>6259.802232209523</v>
      </c>
      <c r="AC364" s="645">
        <v>8108.6992978984463</v>
      </c>
      <c r="AD364" s="646">
        <v>7198.5748167207294</v>
      </c>
      <c r="AE364" s="646">
        <v>8108.6992978984463</v>
      </c>
      <c r="AF364" s="647">
        <v>7198.5748167207294</v>
      </c>
      <c r="AI364" s="645">
        <v>9325.1521755559315</v>
      </c>
      <c r="AJ364" s="646">
        <v>8278.4924125183843</v>
      </c>
      <c r="AK364" s="646">
        <v>9325.1521755559315</v>
      </c>
      <c r="AL364" s="647">
        <v>8278.4924125183843</v>
      </c>
      <c r="AO364" s="645">
        <v>9511.57</v>
      </c>
      <c r="AP364" s="646">
        <v>8443.99</v>
      </c>
      <c r="AQ364" s="646">
        <v>9511.57</v>
      </c>
      <c r="AR364" s="647">
        <v>8443.99</v>
      </c>
    </row>
    <row r="365" spans="1:44" hidden="1">
      <c r="A365" s="644">
        <v>20</v>
      </c>
      <c r="B365" s="519" t="str">
        <f t="shared" si="54"/>
        <v>20B</v>
      </c>
      <c r="C365" s="645">
        <v>14893.49</v>
      </c>
      <c r="D365" s="646">
        <v>14891.06</v>
      </c>
      <c r="E365" s="646">
        <v>14893.49</v>
      </c>
      <c r="F365" s="647">
        <v>14891.06</v>
      </c>
      <c r="M365" s="645">
        <v>6373.2169681225869</v>
      </c>
      <c r="N365" s="646">
        <v>6372.1807173836505</v>
      </c>
      <c r="O365" s="646">
        <v>6373.2169681225869</v>
      </c>
      <c r="P365" s="647">
        <v>6372.1807173836505</v>
      </c>
      <c r="W365" s="645">
        <v>7265.1931190729301</v>
      </c>
      <c r="X365" s="646">
        <v>7264.0118378179841</v>
      </c>
      <c r="Y365" s="646">
        <v>7265.1931190729301</v>
      </c>
      <c r="Z365" s="647">
        <v>7264.0118378179841</v>
      </c>
      <c r="AC365" s="645">
        <v>8354.7425758067657</v>
      </c>
      <c r="AD365" s="646">
        <v>8353.3841396808475</v>
      </c>
      <c r="AE365" s="646">
        <v>8354.7425758067657</v>
      </c>
      <c r="AF365" s="647">
        <v>8353.3841396808475</v>
      </c>
      <c r="AI365" s="645">
        <v>9608.1064354163627</v>
      </c>
      <c r="AJ365" s="646">
        <v>9606.5442090802317</v>
      </c>
      <c r="AK365" s="646">
        <v>9608.1064354163627</v>
      </c>
      <c r="AL365" s="647">
        <v>9606.5442090802317</v>
      </c>
      <c r="AO365" s="645">
        <v>9800.18</v>
      </c>
      <c r="AP365" s="646">
        <v>9798.59</v>
      </c>
      <c r="AQ365" s="646">
        <v>9800.18</v>
      </c>
      <c r="AR365" s="647">
        <v>9798.59</v>
      </c>
    </row>
    <row r="366" spans="1:44" hidden="1">
      <c r="A366" s="644">
        <v>21</v>
      </c>
      <c r="B366" s="519" t="str">
        <f t="shared" si="54"/>
        <v>21B</v>
      </c>
      <c r="C366" s="645">
        <v>15677.1</v>
      </c>
      <c r="D366" s="646">
        <v>19309.45</v>
      </c>
      <c r="E366" s="646">
        <v>15677.1</v>
      </c>
      <c r="F366" s="647">
        <v>19309.45</v>
      </c>
      <c r="M366" s="645">
        <v>6708.5392480526116</v>
      </c>
      <c r="N366" s="646">
        <v>8262.8942084825321</v>
      </c>
      <c r="O366" s="646">
        <v>6708.5392480526116</v>
      </c>
      <c r="P366" s="647">
        <v>8262.8942084825321</v>
      </c>
      <c r="W366" s="645">
        <v>7647.446090061474</v>
      </c>
      <c r="X366" s="646">
        <v>9419.3438647011626</v>
      </c>
      <c r="Y366" s="646">
        <v>7647.446090061474</v>
      </c>
      <c r="Z366" s="647">
        <v>9419.3438647011626</v>
      </c>
      <c r="AC366" s="645">
        <v>8794.3214168788018</v>
      </c>
      <c r="AD366" s="646">
        <v>10831.947882567094</v>
      </c>
      <c r="AE366" s="646">
        <v>8794.3214168788018</v>
      </c>
      <c r="AF366" s="647">
        <v>10831.947882567094</v>
      </c>
      <c r="AI366" s="645">
        <v>10113.630124920259</v>
      </c>
      <c r="AJ366" s="646">
        <v>12456.937746946409</v>
      </c>
      <c r="AK366" s="646">
        <v>10113.630124920259</v>
      </c>
      <c r="AL366" s="647">
        <v>12456.937746946409</v>
      </c>
      <c r="AO366" s="645">
        <v>10315.81</v>
      </c>
      <c r="AP366" s="646">
        <v>12705.96</v>
      </c>
      <c r="AQ366" s="646">
        <v>10315.81</v>
      </c>
      <c r="AR366" s="647">
        <v>12705.96</v>
      </c>
    </row>
    <row r="367" spans="1:44" hidden="1">
      <c r="A367" s="644">
        <v>22</v>
      </c>
      <c r="B367" s="519" t="str">
        <f t="shared" si="54"/>
        <v>22B</v>
      </c>
      <c r="C367" s="645">
        <v>16380.25</v>
      </c>
      <c r="D367" s="646">
        <v>20242.599999999999</v>
      </c>
      <c r="E367" s="646">
        <v>16380.25</v>
      </c>
      <c r="F367" s="647">
        <v>20242.599999999999</v>
      </c>
      <c r="M367" s="645">
        <v>7009.4326258808378</v>
      </c>
      <c r="N367" s="646">
        <v>8662.2102585354278</v>
      </c>
      <c r="O367" s="646">
        <v>7009.4326258808378</v>
      </c>
      <c r="P367" s="647">
        <v>8662.2102585354278</v>
      </c>
      <c r="W367" s="645">
        <v>7990.4515940489227</v>
      </c>
      <c r="X367" s="646">
        <v>9874.5469801278632</v>
      </c>
      <c r="Y367" s="646">
        <v>7990.4515940489227</v>
      </c>
      <c r="Z367" s="647">
        <v>9874.5469801278632</v>
      </c>
      <c r="AC367" s="645">
        <v>9188.766910746921</v>
      </c>
      <c r="AD367" s="646">
        <v>11355.417085211027</v>
      </c>
      <c r="AE367" s="646">
        <v>9188.766910746921</v>
      </c>
      <c r="AF367" s="647">
        <v>11355.417085211027</v>
      </c>
      <c r="AI367" s="645">
        <v>10567.249641460454</v>
      </c>
      <c r="AJ367" s="646">
        <v>13058.936883248914</v>
      </c>
      <c r="AK367" s="646">
        <v>10567.249641460454</v>
      </c>
      <c r="AL367" s="647">
        <v>13058.936883248914</v>
      </c>
      <c r="AO367" s="645">
        <v>10778.5</v>
      </c>
      <c r="AP367" s="646">
        <v>13320</v>
      </c>
      <c r="AQ367" s="646">
        <v>10778.5</v>
      </c>
      <c r="AR367" s="647">
        <v>13320</v>
      </c>
    </row>
    <row r="368" spans="1:44" hidden="1">
      <c r="A368" s="644">
        <v>23</v>
      </c>
      <c r="B368" s="519" t="str">
        <f t="shared" si="54"/>
        <v>23B</v>
      </c>
      <c r="C368" s="645">
        <v>17461.62</v>
      </c>
      <c r="D368" s="646">
        <v>21211.49</v>
      </c>
      <c r="E368" s="646">
        <v>17461.62</v>
      </c>
      <c r="F368" s="647">
        <v>21211.49</v>
      </c>
      <c r="M368" s="645">
        <v>7472.171450751478</v>
      </c>
      <c r="N368" s="646">
        <v>9076.8162939811973</v>
      </c>
      <c r="O368" s="646">
        <v>7472.171450751478</v>
      </c>
      <c r="P368" s="647">
        <v>9076.8162939811973</v>
      </c>
      <c r="W368" s="645">
        <v>8517.9539438345146</v>
      </c>
      <c r="X368" s="646">
        <v>10347.180021010203</v>
      </c>
      <c r="Y368" s="646">
        <v>8517.9539438345146</v>
      </c>
      <c r="Z368" s="647">
        <v>10347.180021010203</v>
      </c>
      <c r="AC368" s="645">
        <v>9795.3779489341869</v>
      </c>
      <c r="AD368" s="646">
        <v>11898.930151508788</v>
      </c>
      <c r="AE368" s="646">
        <v>9795.3779489341869</v>
      </c>
      <c r="AF368" s="647">
        <v>11898.930151508788</v>
      </c>
      <c r="AI368" s="645">
        <v>11264.863405968197</v>
      </c>
      <c r="AJ368" s="646">
        <v>13683.986828551882</v>
      </c>
      <c r="AK368" s="646">
        <v>11264.863405968197</v>
      </c>
      <c r="AL368" s="647">
        <v>13683.986828551882</v>
      </c>
      <c r="AO368" s="645">
        <v>11490.06</v>
      </c>
      <c r="AP368" s="646">
        <v>13957.54</v>
      </c>
      <c r="AQ368" s="646">
        <v>11490.06</v>
      </c>
      <c r="AR368" s="647">
        <v>13957.54</v>
      </c>
    </row>
    <row r="369" spans="1:44" hidden="1">
      <c r="A369" s="644">
        <v>24</v>
      </c>
      <c r="B369" s="519" t="str">
        <f t="shared" si="54"/>
        <v>24B</v>
      </c>
      <c r="C369" s="645">
        <v>18187.75</v>
      </c>
      <c r="D369" s="646">
        <v>22221.89</v>
      </c>
      <c r="E369" s="646">
        <v>18187.75</v>
      </c>
      <c r="F369" s="647">
        <v>22221.89</v>
      </c>
      <c r="M369" s="645">
        <v>7782.8986366124673</v>
      </c>
      <c r="N369" s="646">
        <v>9509.1866278087273</v>
      </c>
      <c r="O369" s="646">
        <v>7782.8986366124673</v>
      </c>
      <c r="P369" s="647">
        <v>9509.1866278087273</v>
      </c>
      <c r="W369" s="645">
        <v>8872.1695658536028</v>
      </c>
      <c r="X369" s="646">
        <v>10840.063597691636</v>
      </c>
      <c r="Y369" s="646">
        <v>8872.1695658536028</v>
      </c>
      <c r="Z369" s="647">
        <v>10840.063597691636</v>
      </c>
      <c r="AC369" s="645">
        <v>10202.714724405392</v>
      </c>
      <c r="AD369" s="646">
        <v>12465.730694250831</v>
      </c>
      <c r="AE369" s="646">
        <v>10202.714724405392</v>
      </c>
      <c r="AF369" s="647">
        <v>12465.730694250831</v>
      </c>
      <c r="AI369" s="645">
        <v>11733.308131616577</v>
      </c>
      <c r="AJ369" s="646">
        <v>14335.817796759951</v>
      </c>
      <c r="AK369" s="646">
        <v>11733.308131616577</v>
      </c>
      <c r="AL369" s="647">
        <v>14335.817796759951</v>
      </c>
      <c r="AO369" s="645">
        <v>11967.87</v>
      </c>
      <c r="AP369" s="646">
        <v>14622.4</v>
      </c>
      <c r="AQ369" s="646">
        <v>11967.87</v>
      </c>
      <c r="AR369" s="647">
        <v>14622.4</v>
      </c>
    </row>
    <row r="370" spans="1:44" hidden="1">
      <c r="A370" s="644">
        <v>25</v>
      </c>
      <c r="B370" s="519" t="str">
        <f t="shared" si="54"/>
        <v>25B</v>
      </c>
      <c r="C370" s="645">
        <v>18906.13</v>
      </c>
      <c r="D370" s="646">
        <v>23264.07</v>
      </c>
      <c r="E370" s="646">
        <v>18906.13</v>
      </c>
      <c r="F370" s="647">
        <v>23264.07</v>
      </c>
      <c r="M370" s="645">
        <v>8090.3055905140072</v>
      </c>
      <c r="N370" s="646">
        <v>9955.155109088013</v>
      </c>
      <c r="O370" s="646">
        <v>8090.3055905140072</v>
      </c>
      <c r="P370" s="647">
        <v>9955.155109088013</v>
      </c>
      <c r="W370" s="645">
        <v>9222.6002663007184</v>
      </c>
      <c r="X370" s="646">
        <v>11348.448477371656</v>
      </c>
      <c r="Y370" s="646">
        <v>9222.6002663007184</v>
      </c>
      <c r="Z370" s="647">
        <v>11348.448477371656</v>
      </c>
      <c r="AC370" s="645">
        <v>10605.698959636416</v>
      </c>
      <c r="AD370" s="646">
        <v>13050.357245747242</v>
      </c>
      <c r="AE370" s="646">
        <v>10605.698959636416</v>
      </c>
      <c r="AF370" s="647">
        <v>13050.357245747242</v>
      </c>
      <c r="AI370" s="645">
        <v>12196.74735655531</v>
      </c>
      <c r="AJ370" s="646">
        <v>15008.149000358468</v>
      </c>
      <c r="AK370" s="646">
        <v>12196.74735655531</v>
      </c>
      <c r="AL370" s="647">
        <v>15008.149000358468</v>
      </c>
      <c r="AO370" s="645">
        <v>12440.57</v>
      </c>
      <c r="AP370" s="646">
        <v>15308.17</v>
      </c>
      <c r="AQ370" s="646">
        <v>12440.57</v>
      </c>
      <c r="AR370" s="647">
        <v>15308.17</v>
      </c>
    </row>
    <row r="371" spans="1:44" hidden="1">
      <c r="A371" s="644">
        <v>26</v>
      </c>
      <c r="B371" s="519" t="str">
        <f t="shared" si="54"/>
        <v>26B</v>
      </c>
      <c r="C371" s="645">
        <v>20189.63</v>
      </c>
      <c r="D371" s="646">
        <v>24378.75</v>
      </c>
      <c r="E371" s="646">
        <v>20189.63</v>
      </c>
      <c r="F371" s="647">
        <v>24378.75</v>
      </c>
      <c r="M371" s="645">
        <v>8639.5396301244182</v>
      </c>
      <c r="N371" s="646">
        <v>10432.14766861259</v>
      </c>
      <c r="O371" s="646">
        <v>8639.5396301244182</v>
      </c>
      <c r="P371" s="647">
        <v>10432.14766861259</v>
      </c>
      <c r="W371" s="645">
        <v>9848.7034392033092</v>
      </c>
      <c r="X371" s="646">
        <v>11892.199471357942</v>
      </c>
      <c r="Y371" s="646">
        <v>9848.7034392033092</v>
      </c>
      <c r="Z371" s="647">
        <v>11892.199471357942</v>
      </c>
      <c r="AC371" s="645">
        <v>11325.697829558329</v>
      </c>
      <c r="AD371" s="646">
        <v>13675.653711462413</v>
      </c>
      <c r="AE371" s="646">
        <v>11325.697829558329</v>
      </c>
      <c r="AF371" s="647">
        <v>13675.653711462413</v>
      </c>
      <c r="AI371" s="645">
        <v>13024.759196874787</v>
      </c>
      <c r="AJ371" s="646">
        <v>15727.251347530537</v>
      </c>
      <c r="AK371" s="646">
        <v>13024.759196874787</v>
      </c>
      <c r="AL371" s="647">
        <v>15727.251347530537</v>
      </c>
      <c r="AO371" s="645">
        <v>13285.13</v>
      </c>
      <c r="AP371" s="646">
        <v>16041.65</v>
      </c>
      <c r="AQ371" s="646">
        <v>13285.13</v>
      </c>
      <c r="AR371" s="647">
        <v>16041.65</v>
      </c>
    </row>
    <row r="372" spans="1:44" hidden="1">
      <c r="A372" s="644">
        <v>27</v>
      </c>
      <c r="B372" s="519" t="str">
        <f t="shared" si="54"/>
        <v>27B</v>
      </c>
      <c r="C372" s="645">
        <v>21078.95</v>
      </c>
      <c r="D372" s="646">
        <v>25505.040000000001</v>
      </c>
      <c r="E372" s="646">
        <v>21078.95</v>
      </c>
      <c r="F372" s="647">
        <v>25505.040000000001</v>
      </c>
      <c r="M372" s="645">
        <v>9020.0974270051411</v>
      </c>
      <c r="N372" s="646">
        <v>10914.110002089204</v>
      </c>
      <c r="O372" s="646">
        <v>9020.0974270051411</v>
      </c>
      <c r="P372" s="647">
        <v>10914.110002089204</v>
      </c>
      <c r="W372" s="645">
        <v>10282.522953137392</v>
      </c>
      <c r="X372" s="646">
        <v>12441.615793811832</v>
      </c>
      <c r="Y372" s="646">
        <v>10282.522953137392</v>
      </c>
      <c r="Z372" s="647">
        <v>12441.615793811832</v>
      </c>
      <c r="AC372" s="645">
        <v>11824.576566004547</v>
      </c>
      <c r="AD372" s="646">
        <v>14307.465125944731</v>
      </c>
      <c r="AE372" s="646">
        <v>11824.576566004547</v>
      </c>
      <c r="AF372" s="647">
        <v>14307.465125944731</v>
      </c>
      <c r="AI372" s="645">
        <v>13598.478848276309</v>
      </c>
      <c r="AJ372" s="646">
        <v>16453.846004682004</v>
      </c>
      <c r="AK372" s="646">
        <v>13598.478848276309</v>
      </c>
      <c r="AL372" s="647">
        <v>16453.846004682004</v>
      </c>
      <c r="AO372" s="645">
        <v>13870.32</v>
      </c>
      <c r="AP372" s="646">
        <v>16782.77</v>
      </c>
      <c r="AQ372" s="646">
        <v>13870.32</v>
      </c>
      <c r="AR372" s="647">
        <v>16782.77</v>
      </c>
    </row>
    <row r="373" spans="1:44" hidden="1">
      <c r="A373" s="644">
        <v>28</v>
      </c>
      <c r="B373" s="519" t="str">
        <f t="shared" si="54"/>
        <v>28B</v>
      </c>
      <c r="C373" s="645">
        <v>22330.12</v>
      </c>
      <c r="D373" s="646">
        <v>26716.93</v>
      </c>
      <c r="E373" s="646">
        <v>22330.12</v>
      </c>
      <c r="F373" s="647">
        <v>26716.93</v>
      </c>
      <c r="M373" s="645">
        <v>9555.5006914468922</v>
      </c>
      <c r="N373" s="646">
        <v>11432.700626991076</v>
      </c>
      <c r="O373" s="646">
        <v>9555.5006914468922</v>
      </c>
      <c r="P373" s="647">
        <v>11432.700626991076</v>
      </c>
      <c r="W373" s="645">
        <v>10892.859637453545</v>
      </c>
      <c r="X373" s="646">
        <v>13032.786792460995</v>
      </c>
      <c r="Y373" s="646">
        <v>10892.859637453545</v>
      </c>
      <c r="Z373" s="647">
        <v>13032.786792460995</v>
      </c>
      <c r="AC373" s="645">
        <v>12526.444472123412</v>
      </c>
      <c r="AD373" s="646">
        <v>14987.293099000264</v>
      </c>
      <c r="AE373" s="646">
        <v>12526.444472123412</v>
      </c>
      <c r="AF373" s="647">
        <v>14987.293099000264</v>
      </c>
      <c r="AI373" s="645">
        <v>14405.639749333957</v>
      </c>
      <c r="AJ373" s="646">
        <v>17235.660580490185</v>
      </c>
      <c r="AK373" s="646">
        <v>14405.639749333957</v>
      </c>
      <c r="AL373" s="647">
        <v>17235.660580490185</v>
      </c>
      <c r="AO373" s="645">
        <v>14693.62</v>
      </c>
      <c r="AP373" s="646">
        <v>17580.22</v>
      </c>
      <c r="AQ373" s="646">
        <v>14693.62</v>
      </c>
      <c r="AR373" s="647">
        <v>17580.22</v>
      </c>
    </row>
    <row r="374" spans="1:44" hidden="1">
      <c r="A374" s="644">
        <v>29</v>
      </c>
      <c r="B374" s="519" t="str">
        <f t="shared" si="54"/>
        <v>29B</v>
      </c>
      <c r="C374" s="645">
        <v>23492</v>
      </c>
      <c r="D374" s="646">
        <v>27949.97</v>
      </c>
      <c r="E374" s="646">
        <v>23492</v>
      </c>
      <c r="F374" s="647">
        <v>27949.97</v>
      </c>
      <c r="M374" s="645">
        <v>10052.689566393592</v>
      </c>
      <c r="N374" s="646">
        <v>11960.342584877939</v>
      </c>
      <c r="O374" s="646">
        <v>10052.689566393592</v>
      </c>
      <c r="P374" s="647">
        <v>11960.342584877939</v>
      </c>
      <c r="W374" s="645">
        <v>11459.633562020947</v>
      </c>
      <c r="X374" s="646">
        <v>13634.275921255401</v>
      </c>
      <c r="Y374" s="646">
        <v>11459.633562020947</v>
      </c>
      <c r="Z374" s="647">
        <v>13634.275921255401</v>
      </c>
      <c r="AC374" s="645">
        <v>13178.216580700837</v>
      </c>
      <c r="AD374" s="646">
        <v>15678.986595767878</v>
      </c>
      <c r="AE374" s="646">
        <v>13178.216580700837</v>
      </c>
      <c r="AF374" s="647">
        <v>15678.986595767878</v>
      </c>
      <c r="AI374" s="645">
        <v>15155.189568975517</v>
      </c>
      <c r="AJ374" s="646">
        <v>18031.120725111912</v>
      </c>
      <c r="AK374" s="646">
        <v>15155.189568975517</v>
      </c>
      <c r="AL374" s="647">
        <v>18031.120725111912</v>
      </c>
      <c r="AO374" s="645">
        <v>15458.15</v>
      </c>
      <c r="AP374" s="646">
        <v>18391.580000000002</v>
      </c>
      <c r="AQ374" s="646">
        <v>15458.15</v>
      </c>
      <c r="AR374" s="647">
        <v>18391.580000000002</v>
      </c>
    </row>
    <row r="375" spans="1:44" hidden="1">
      <c r="A375" s="644">
        <v>30</v>
      </c>
      <c r="B375" s="519" t="str">
        <f t="shared" si="54"/>
        <v>30B</v>
      </c>
      <c r="C375" s="645">
        <v>24582.21</v>
      </c>
      <c r="D375" s="646">
        <v>29276.31</v>
      </c>
      <c r="E375" s="646">
        <v>24582.21</v>
      </c>
      <c r="F375" s="647">
        <v>29276.31</v>
      </c>
      <c r="M375" s="645">
        <v>10519.213878657489</v>
      </c>
      <c r="N375" s="646">
        <v>12527.911918175239</v>
      </c>
      <c r="O375" s="646">
        <v>10519.213878657489</v>
      </c>
      <c r="P375" s="647">
        <v>12527.911918175239</v>
      </c>
      <c r="W375" s="645">
        <v>11991.4512045542</v>
      </c>
      <c r="X375" s="646">
        <v>14281.28054003634</v>
      </c>
      <c r="Y375" s="646">
        <v>11991.4512045542</v>
      </c>
      <c r="Z375" s="647">
        <v>14281.28054003634</v>
      </c>
      <c r="AC375" s="645">
        <v>13789.79006922563</v>
      </c>
      <c r="AD375" s="646">
        <v>16423.021468162642</v>
      </c>
      <c r="AE375" s="646">
        <v>13789.79006922563</v>
      </c>
      <c r="AF375" s="647">
        <v>16423.021468162642</v>
      </c>
      <c r="AI375" s="645">
        <v>15858.510241935654</v>
      </c>
      <c r="AJ375" s="646">
        <v>18886.774406929875</v>
      </c>
      <c r="AK375" s="646">
        <v>15858.510241935654</v>
      </c>
      <c r="AL375" s="647">
        <v>18886.774406929875</v>
      </c>
      <c r="AO375" s="645">
        <v>16175.53</v>
      </c>
      <c r="AP375" s="646">
        <v>19264.34</v>
      </c>
      <c r="AQ375" s="646">
        <v>16175.53</v>
      </c>
      <c r="AR375" s="647">
        <v>19264.34</v>
      </c>
    </row>
    <row r="376" spans="1:44" hidden="1">
      <c r="A376" s="644">
        <v>31</v>
      </c>
      <c r="B376" s="519" t="str">
        <f t="shared" si="54"/>
        <v>31B</v>
      </c>
      <c r="C376" s="645">
        <v>25603.29</v>
      </c>
      <c r="D376" s="646">
        <v>30645.16</v>
      </c>
      <c r="E376" s="646">
        <v>25603.29</v>
      </c>
      <c r="F376" s="647">
        <v>30645.16</v>
      </c>
      <c r="M376" s="645">
        <v>10956.152174926045</v>
      </c>
      <c r="N376" s="646">
        <v>13113.668509339577</v>
      </c>
      <c r="O376" s="646">
        <v>10956.152174926045</v>
      </c>
      <c r="P376" s="647">
        <v>13113.668509339577</v>
      </c>
      <c r="W376" s="645">
        <v>12489.542061869681</v>
      </c>
      <c r="X376" s="646">
        <v>14949.017850230626</v>
      </c>
      <c r="Y376" s="646">
        <v>12489.542061869681</v>
      </c>
      <c r="Z376" s="647">
        <v>14949.017850230626</v>
      </c>
      <c r="AC376" s="645">
        <v>14362.578820196199</v>
      </c>
      <c r="AD376" s="646">
        <v>17190.898280726538</v>
      </c>
      <c r="AE376" s="646">
        <v>14362.578820196199</v>
      </c>
      <c r="AF376" s="647">
        <v>17190.898280726538</v>
      </c>
      <c r="AI376" s="645">
        <v>16517.227758890745</v>
      </c>
      <c r="AJ376" s="646">
        <v>19769.846755055423</v>
      </c>
      <c r="AK376" s="646">
        <v>16517.227758890745</v>
      </c>
      <c r="AL376" s="647">
        <v>19769.846755055423</v>
      </c>
      <c r="AO376" s="645">
        <v>16847.419999999998</v>
      </c>
      <c r="AP376" s="646">
        <v>20165.060000000001</v>
      </c>
      <c r="AQ376" s="646">
        <v>16847.419999999998</v>
      </c>
      <c r="AR376" s="647">
        <v>20165.060000000001</v>
      </c>
    </row>
    <row r="377" spans="1:44" hidden="1">
      <c r="A377" s="644">
        <v>32</v>
      </c>
      <c r="B377" s="519" t="str">
        <f t="shared" si="54"/>
        <v>32B</v>
      </c>
      <c r="C377" s="645">
        <v>27174.21</v>
      </c>
      <c r="D377" s="646">
        <v>32056.799999999999</v>
      </c>
      <c r="E377" s="646">
        <v>27174.21</v>
      </c>
      <c r="F377" s="647">
        <v>32056.799999999999</v>
      </c>
      <c r="M377" s="645">
        <v>11628.382832855892</v>
      </c>
      <c r="N377" s="646">
        <v>13717.739246216546</v>
      </c>
      <c r="O377" s="646">
        <v>11628.382832855892</v>
      </c>
      <c r="P377" s="647">
        <v>13717.739246216546</v>
      </c>
      <c r="W377" s="645">
        <v>13255.85608740026</v>
      </c>
      <c r="X377" s="646">
        <v>15637.632498522551</v>
      </c>
      <c r="Y377" s="646">
        <v>13255.85608740026</v>
      </c>
      <c r="Z377" s="647">
        <v>15637.632498522551</v>
      </c>
      <c r="AC377" s="645">
        <v>15243.81574130851</v>
      </c>
      <c r="AD377" s="646">
        <v>17982.783372577047</v>
      </c>
      <c r="AE377" s="646">
        <v>15243.81574130851</v>
      </c>
      <c r="AF377" s="647">
        <v>17982.783372577047</v>
      </c>
      <c r="AI377" s="645">
        <v>17530.666300657915</v>
      </c>
      <c r="AJ377" s="646">
        <v>20680.529062509337</v>
      </c>
      <c r="AK377" s="646">
        <v>17530.666300657915</v>
      </c>
      <c r="AL377" s="647">
        <v>20680.529062509337</v>
      </c>
      <c r="AO377" s="645">
        <v>17881.12</v>
      </c>
      <c r="AP377" s="646">
        <v>21093.95</v>
      </c>
      <c r="AQ377" s="646">
        <v>17881.12</v>
      </c>
      <c r="AR377" s="647">
        <v>21093.95</v>
      </c>
    </row>
    <row r="378" spans="1:44" hidden="1">
      <c r="A378" s="644">
        <v>33</v>
      </c>
      <c r="B378" s="519" t="str">
        <f t="shared" si="54"/>
        <v>33B</v>
      </c>
      <c r="C378" s="645">
        <v>28158.080000000002</v>
      </c>
      <c r="D378" s="646">
        <v>33227.370000000003</v>
      </c>
      <c r="E378" s="646">
        <v>28158.080000000002</v>
      </c>
      <c r="F378" s="647">
        <v>33227.370000000003</v>
      </c>
      <c r="M378" s="645">
        <v>12049.396704503652</v>
      </c>
      <c r="N378" s="646">
        <v>14218.650164633709</v>
      </c>
      <c r="O378" s="646">
        <v>12049.396704503652</v>
      </c>
      <c r="P378" s="647">
        <v>14218.650164633709</v>
      </c>
      <c r="W378" s="645">
        <v>13735.793785838698</v>
      </c>
      <c r="X378" s="646">
        <v>16208.649392495476</v>
      </c>
      <c r="Y378" s="646">
        <v>13735.793785838698</v>
      </c>
      <c r="Z378" s="647">
        <v>16208.649392495476</v>
      </c>
      <c r="AC378" s="645">
        <v>15795.728933037955</v>
      </c>
      <c r="AD378" s="646">
        <v>18639.434761933273</v>
      </c>
      <c r="AE378" s="646">
        <v>15795.728933037955</v>
      </c>
      <c r="AF378" s="647">
        <v>18639.434761933273</v>
      </c>
      <c r="AI378" s="645">
        <v>18165.376543508792</v>
      </c>
      <c r="AJ378" s="646">
        <v>21435.690144092918</v>
      </c>
      <c r="AK378" s="646">
        <v>18165.376543508792</v>
      </c>
      <c r="AL378" s="647">
        <v>21435.690144092918</v>
      </c>
      <c r="AO378" s="645">
        <v>18528.52</v>
      </c>
      <c r="AP378" s="646">
        <v>21864.21</v>
      </c>
      <c r="AQ378" s="646">
        <v>18528.52</v>
      </c>
      <c r="AR378" s="647">
        <v>21864.21</v>
      </c>
    </row>
    <row r="379" spans="1:44" hidden="1">
      <c r="A379" s="644">
        <v>34</v>
      </c>
      <c r="B379" s="519" t="str">
        <f t="shared" si="54"/>
        <v>34B</v>
      </c>
      <c r="C379" s="645">
        <v>29765.87</v>
      </c>
      <c r="D379" s="646">
        <v>34764.6</v>
      </c>
      <c r="E379" s="646">
        <v>29765.87</v>
      </c>
      <c r="F379" s="647">
        <v>34764.6</v>
      </c>
      <c r="M379" s="645">
        <v>12737.403751234444</v>
      </c>
      <c r="N379" s="646">
        <v>14876.457904115505</v>
      </c>
      <c r="O379" s="646">
        <v>12737.403751234444</v>
      </c>
      <c r="P379" s="647">
        <v>14876.457904115505</v>
      </c>
      <c r="W379" s="645">
        <v>14520.092215781326</v>
      </c>
      <c r="X379" s="646">
        <v>16958.521911579646</v>
      </c>
      <c r="Y379" s="646">
        <v>14520.092215781326</v>
      </c>
      <c r="Z379" s="647">
        <v>16958.521911579646</v>
      </c>
      <c r="AC379" s="645">
        <v>16697.647351087686</v>
      </c>
      <c r="AD379" s="646">
        <v>19501.764470027723</v>
      </c>
      <c r="AE379" s="646">
        <v>16697.647351087686</v>
      </c>
      <c r="AF379" s="647">
        <v>19501.764470027723</v>
      </c>
      <c r="AI379" s="645">
        <v>19202.599184189297</v>
      </c>
      <c r="AJ379" s="646">
        <v>22427.385045834752</v>
      </c>
      <c r="AK379" s="646">
        <v>19202.599184189297</v>
      </c>
      <c r="AL379" s="647">
        <v>22427.385045834752</v>
      </c>
      <c r="AO379" s="645">
        <v>19586.47</v>
      </c>
      <c r="AP379" s="646">
        <v>22875.73</v>
      </c>
      <c r="AQ379" s="646">
        <v>19586.47</v>
      </c>
      <c r="AR379" s="647">
        <v>22875.73</v>
      </c>
    </row>
    <row r="380" spans="1:44" hidden="1">
      <c r="A380" s="644">
        <v>35</v>
      </c>
      <c r="B380" s="519" t="str">
        <f t="shared" si="54"/>
        <v>35B</v>
      </c>
      <c r="C380" s="645">
        <v>31438.799999999999</v>
      </c>
      <c r="D380" s="646">
        <v>36381.39</v>
      </c>
      <c r="E380" s="646">
        <v>31438.799999999999</v>
      </c>
      <c r="F380" s="647">
        <v>36381.39</v>
      </c>
      <c r="M380" s="645">
        <v>13453.283828045194</v>
      </c>
      <c r="N380" s="646">
        <v>15568.313882162351</v>
      </c>
      <c r="O380" s="646">
        <v>13453.283828045194</v>
      </c>
      <c r="P380" s="647">
        <v>15568.313882162351</v>
      </c>
      <c r="W380" s="645">
        <v>15336.16470070395</v>
      </c>
      <c r="X380" s="646">
        <v>17747.207957612081</v>
      </c>
      <c r="Y380" s="646">
        <v>15336.16470070395</v>
      </c>
      <c r="Z380" s="647">
        <v>17747.207957612081</v>
      </c>
      <c r="AC380" s="645">
        <v>17636.104928605942</v>
      </c>
      <c r="AD380" s="646">
        <v>20408.728507973723</v>
      </c>
      <c r="AE380" s="646">
        <v>17636.104928605942</v>
      </c>
      <c r="AF380" s="647">
        <v>20408.728507973723</v>
      </c>
      <c r="AI380" s="645">
        <v>20281.842525094718</v>
      </c>
      <c r="AJ380" s="646">
        <v>23470.410241478043</v>
      </c>
      <c r="AK380" s="646">
        <v>20281.842525094718</v>
      </c>
      <c r="AL380" s="647">
        <v>23470.410241478043</v>
      </c>
      <c r="AO380" s="645">
        <v>20687.29</v>
      </c>
      <c r="AP380" s="646">
        <v>23939.599999999999</v>
      </c>
      <c r="AQ380" s="646">
        <v>20687.29</v>
      </c>
      <c r="AR380" s="647">
        <v>23939.599999999999</v>
      </c>
    </row>
    <row r="381" spans="1:44" hidden="1">
      <c r="A381" s="644">
        <v>36</v>
      </c>
      <c r="B381" s="519" t="str">
        <f t="shared" si="54"/>
        <v>36B</v>
      </c>
      <c r="C381" s="645">
        <v>32808.54</v>
      </c>
      <c r="D381" s="646">
        <v>38052.69</v>
      </c>
      <c r="E381" s="646">
        <v>32808.54</v>
      </c>
      <c r="F381" s="647">
        <v>38052.69</v>
      </c>
      <c r="M381" s="645">
        <v>14039.421082746288</v>
      </c>
      <c r="N381" s="646">
        <v>16283.496075822386</v>
      </c>
      <c r="O381" s="646">
        <v>14039.421082746288</v>
      </c>
      <c r="P381" s="647">
        <v>16283.496075822386</v>
      </c>
      <c r="W381" s="645">
        <v>16004.335950951085</v>
      </c>
      <c r="X381" s="646">
        <v>18562.48488577117</v>
      </c>
      <c r="Y381" s="646">
        <v>16004.335950951085</v>
      </c>
      <c r="Z381" s="647">
        <v>18562.48488577117</v>
      </c>
      <c r="AC381" s="645">
        <v>18404.48075852223</v>
      </c>
      <c r="AD381" s="646">
        <v>21346.271220345952</v>
      </c>
      <c r="AE381" s="646">
        <v>18404.48075852223</v>
      </c>
      <c r="AF381" s="647">
        <v>21346.271220345952</v>
      </c>
      <c r="AI381" s="645">
        <v>21165.48875228253</v>
      </c>
      <c r="AJ381" s="646">
        <v>24548.601470769328</v>
      </c>
      <c r="AK381" s="646">
        <v>21165.48875228253</v>
      </c>
      <c r="AL381" s="647">
        <v>24548.601470769328</v>
      </c>
      <c r="AO381" s="645">
        <v>21588.6</v>
      </c>
      <c r="AP381" s="646">
        <v>25039.35</v>
      </c>
      <c r="AQ381" s="646">
        <v>21588.6</v>
      </c>
      <c r="AR381" s="647">
        <v>25039.35</v>
      </c>
    </row>
    <row r="382" spans="1:44" hidden="1">
      <c r="A382" s="644">
        <v>37</v>
      </c>
      <c r="B382" s="519" t="str">
        <f t="shared" si="54"/>
        <v>37B</v>
      </c>
      <c r="C382" s="645">
        <v>34611.839999999997</v>
      </c>
      <c r="D382" s="646">
        <v>39855.839999999997</v>
      </c>
      <c r="E382" s="646">
        <v>34611.839999999997</v>
      </c>
      <c r="F382" s="647">
        <v>39855.839999999997</v>
      </c>
      <c r="M382" s="645">
        <v>14811.089515665473</v>
      </c>
      <c r="N382" s="646">
        <v>17055.10106481878</v>
      </c>
      <c r="O382" s="646">
        <v>14811.089515665473</v>
      </c>
      <c r="P382" s="647">
        <v>17055.10106481878</v>
      </c>
      <c r="W382" s="645">
        <v>16884.004761395136</v>
      </c>
      <c r="X382" s="646">
        <v>19442.081372873086</v>
      </c>
      <c r="Y382" s="646">
        <v>16884.004761395136</v>
      </c>
      <c r="Z382" s="647">
        <v>19442.081372873086</v>
      </c>
      <c r="AC382" s="645">
        <v>19416.072101350019</v>
      </c>
      <c r="AD382" s="646">
        <v>22357.779393615023</v>
      </c>
      <c r="AE382" s="646">
        <v>19416.072101350019</v>
      </c>
      <c r="AF382" s="647">
        <v>22357.779393615023</v>
      </c>
      <c r="AI382" s="645">
        <v>22328.837257978008</v>
      </c>
      <c r="AJ382" s="646">
        <v>25711.854329954436</v>
      </c>
      <c r="AK382" s="646">
        <v>22328.837257978008</v>
      </c>
      <c r="AL382" s="647">
        <v>25711.854329954436</v>
      </c>
      <c r="AO382" s="645">
        <v>22775.21</v>
      </c>
      <c r="AP382" s="646">
        <v>26225.86</v>
      </c>
      <c r="AQ382" s="646">
        <v>22775.21</v>
      </c>
      <c r="AR382" s="647">
        <v>26225.86</v>
      </c>
    </row>
    <row r="383" spans="1:44" hidden="1">
      <c r="A383" s="644">
        <v>38</v>
      </c>
      <c r="B383" s="519" t="str">
        <f t="shared" si="54"/>
        <v>38B</v>
      </c>
      <c r="C383" s="645">
        <v>36515.81</v>
      </c>
      <c r="D383" s="646">
        <v>41666.699999999997</v>
      </c>
      <c r="E383" s="646">
        <v>36515.81</v>
      </c>
      <c r="F383" s="647">
        <v>41666.699999999997</v>
      </c>
      <c r="M383" s="645">
        <v>15625.836372160438</v>
      </c>
      <c r="N383" s="646">
        <v>17830.005137800363</v>
      </c>
      <c r="O383" s="646">
        <v>15625.836372160438</v>
      </c>
      <c r="P383" s="647">
        <v>17830.005137800363</v>
      </c>
      <c r="W383" s="645">
        <v>17812.781121151987</v>
      </c>
      <c r="X383" s="646">
        <v>20325.438673766257</v>
      </c>
      <c r="Y383" s="646">
        <v>17812.781121151987</v>
      </c>
      <c r="Z383" s="647">
        <v>20325.438673766257</v>
      </c>
      <c r="AC383" s="645">
        <v>20484.135574555199</v>
      </c>
      <c r="AD383" s="646">
        <v>23373.61238393802</v>
      </c>
      <c r="AE383" s="646">
        <v>20484.135574555199</v>
      </c>
      <c r="AF383" s="647">
        <v>23373.61238393802</v>
      </c>
      <c r="AI383" s="645">
        <v>23557.12974421836</v>
      </c>
      <c r="AJ383" s="646">
        <v>26880.080807679056</v>
      </c>
      <c r="AK383" s="646">
        <v>23557.12974421836</v>
      </c>
      <c r="AL383" s="647">
        <v>26880.080807679056</v>
      </c>
      <c r="AO383" s="645">
        <v>24028.06</v>
      </c>
      <c r="AP383" s="646">
        <v>27417.439999999999</v>
      </c>
      <c r="AQ383" s="646">
        <v>24028.06</v>
      </c>
      <c r="AR383" s="647">
        <v>27417.439999999999</v>
      </c>
    </row>
    <row r="384" spans="1:44" hidden="1">
      <c r="A384" s="644">
        <v>39</v>
      </c>
      <c r="B384" s="519" t="str">
        <f t="shared" si="54"/>
        <v>39B</v>
      </c>
      <c r="C384" s="645">
        <v>38551.629999999997</v>
      </c>
      <c r="D384" s="646">
        <v>43581.05</v>
      </c>
      <c r="E384" s="646">
        <v>38551.629999999997</v>
      </c>
      <c r="F384" s="647">
        <v>43581.05</v>
      </c>
      <c r="M384" s="645">
        <v>16497.006023991755</v>
      </c>
      <c r="N384" s="646">
        <v>18649.193068890767</v>
      </c>
      <c r="O384" s="646">
        <v>16497.006023991755</v>
      </c>
      <c r="P384" s="647">
        <v>18649.193068890767</v>
      </c>
      <c r="W384" s="645">
        <v>18805.877039851661</v>
      </c>
      <c r="X384" s="646">
        <v>21259.277667472888</v>
      </c>
      <c r="Y384" s="646">
        <v>18805.877039851661</v>
      </c>
      <c r="Z384" s="647">
        <v>21259.277667472888</v>
      </c>
      <c r="AC384" s="645">
        <v>21626.164508657206</v>
      </c>
      <c r="AD384" s="646">
        <v>24447.497726254267</v>
      </c>
      <c r="AE384" s="646">
        <v>21626.164508657206</v>
      </c>
      <c r="AF384" s="647">
        <v>24447.497726254267</v>
      </c>
      <c r="AI384" s="645">
        <v>24870.483860352528</v>
      </c>
      <c r="AJ384" s="646">
        <v>28115.068549645683</v>
      </c>
      <c r="AK384" s="646">
        <v>24870.483860352528</v>
      </c>
      <c r="AL384" s="647">
        <v>28115.068549645683</v>
      </c>
      <c r="AO384" s="645">
        <v>25367.67</v>
      </c>
      <c r="AP384" s="646">
        <v>28677.11</v>
      </c>
      <c r="AQ384" s="646">
        <v>25367.67</v>
      </c>
      <c r="AR384" s="647">
        <v>28677.11</v>
      </c>
    </row>
    <row r="385" spans="1:44" hidden="1">
      <c r="A385" s="644">
        <v>40</v>
      </c>
      <c r="B385" s="519" t="str">
        <f t="shared" si="54"/>
        <v>40B</v>
      </c>
      <c r="C385" s="645">
        <v>39919.589999999997</v>
      </c>
      <c r="D385" s="646">
        <v>45571.51</v>
      </c>
      <c r="E385" s="646">
        <v>39919.589999999997</v>
      </c>
      <c r="F385" s="647">
        <v>45571.51</v>
      </c>
      <c r="M385" s="645">
        <v>17082.381951619343</v>
      </c>
      <c r="N385" s="646">
        <v>19500.948880347736</v>
      </c>
      <c r="O385" s="646">
        <v>17082.381951619343</v>
      </c>
      <c r="P385" s="647">
        <v>19500.948880347736</v>
      </c>
      <c r="W385" s="645">
        <v>19473.180409993114</v>
      </c>
      <c r="X385" s="646">
        <v>22230.242643477843</v>
      </c>
      <c r="Y385" s="646">
        <v>19473.180409993114</v>
      </c>
      <c r="Z385" s="647">
        <v>22230.242643477843</v>
      </c>
      <c r="AC385" s="645">
        <v>22393.542303868733</v>
      </c>
      <c r="AD385" s="646">
        <v>25564.076775385034</v>
      </c>
      <c r="AE385" s="646">
        <v>22393.542303868733</v>
      </c>
      <c r="AF385" s="647">
        <v>25564.076775385034</v>
      </c>
      <c r="AI385" s="645">
        <v>25752.982329415834</v>
      </c>
      <c r="AJ385" s="646">
        <v>29399.154833605</v>
      </c>
      <c r="AK385" s="646">
        <v>25752.982329415834</v>
      </c>
      <c r="AL385" s="647">
        <v>29399.154833605</v>
      </c>
      <c r="AO385" s="645">
        <v>26267.81</v>
      </c>
      <c r="AP385" s="646">
        <v>29986.87</v>
      </c>
      <c r="AQ385" s="646">
        <v>26267.81</v>
      </c>
      <c r="AR385" s="647">
        <v>29986.87</v>
      </c>
    </row>
    <row r="386" spans="1:44" hidden="1">
      <c r="A386" s="644">
        <v>41</v>
      </c>
      <c r="B386" s="519" t="str">
        <f t="shared" si="54"/>
        <v>41B</v>
      </c>
      <c r="C386" s="645">
        <v>41418.559999999998</v>
      </c>
      <c r="D386" s="646">
        <v>47660.61</v>
      </c>
      <c r="E386" s="646">
        <v>41418.559999999998</v>
      </c>
      <c r="F386" s="647">
        <v>47660.61</v>
      </c>
      <c r="M386" s="645">
        <v>17723.821159020805</v>
      </c>
      <c r="N386" s="646">
        <v>20394.916048435643</v>
      </c>
      <c r="O386" s="646">
        <v>17723.821159020805</v>
      </c>
      <c r="P386" s="647">
        <v>20394.916048435643</v>
      </c>
      <c r="W386" s="645">
        <v>20204.393506805271</v>
      </c>
      <c r="X386" s="646">
        <v>23249.326749786345</v>
      </c>
      <c r="Y386" s="646">
        <v>20204.393506805271</v>
      </c>
      <c r="Z386" s="647">
        <v>23249.326749786345</v>
      </c>
      <c r="AC386" s="645">
        <v>23234.414265810959</v>
      </c>
      <c r="AD386" s="646">
        <v>26735.991304257197</v>
      </c>
      <c r="AE386" s="646">
        <v>23234.414265810959</v>
      </c>
      <c r="AF386" s="647">
        <v>26735.991304257197</v>
      </c>
      <c r="AI386" s="645">
        <v>26720.000431480836</v>
      </c>
      <c r="AJ386" s="646">
        <v>30746.87792913404</v>
      </c>
      <c r="AK386" s="646">
        <v>26720.000431480836</v>
      </c>
      <c r="AL386" s="647">
        <v>30746.87792913404</v>
      </c>
      <c r="AO386" s="645">
        <v>27254.16</v>
      </c>
      <c r="AP386" s="646">
        <v>31361.53</v>
      </c>
      <c r="AQ386" s="646">
        <v>27254.16</v>
      </c>
      <c r="AR386" s="647">
        <v>31361.53</v>
      </c>
    </row>
    <row r="387" spans="1:44" hidden="1">
      <c r="A387" s="644">
        <v>42</v>
      </c>
      <c r="B387" s="519" t="str">
        <f t="shared" si="54"/>
        <v>42B</v>
      </c>
      <c r="C387" s="645">
        <v>43053.54</v>
      </c>
      <c r="D387" s="646">
        <v>49839.9</v>
      </c>
      <c r="E387" s="646">
        <v>43053.54</v>
      </c>
      <c r="F387" s="647">
        <v>49839.9</v>
      </c>
      <c r="M387" s="645">
        <v>18423.459591596806</v>
      </c>
      <c r="N387" s="646">
        <v>21327.478269555359</v>
      </c>
      <c r="O387" s="646">
        <v>18423.459591596806</v>
      </c>
      <c r="P387" s="647">
        <v>21327.478269555359</v>
      </c>
      <c r="W387" s="645">
        <v>21001.951216140162</v>
      </c>
      <c r="X387" s="646">
        <v>24312.407555896447</v>
      </c>
      <c r="Y387" s="646">
        <v>21001.951216140162</v>
      </c>
      <c r="Z387" s="647">
        <v>24312.407555896447</v>
      </c>
      <c r="AC387" s="645">
        <v>24151.580436294451</v>
      </c>
      <c r="AD387" s="646">
        <v>27958.50064802319</v>
      </c>
      <c r="AE387" s="646">
        <v>24151.580436294451</v>
      </c>
      <c r="AF387" s="647">
        <v>27958.50064802319</v>
      </c>
      <c r="AI387" s="645">
        <v>27774.758265730161</v>
      </c>
      <c r="AJ387" s="646">
        <v>32152.785985141432</v>
      </c>
      <c r="AK387" s="646">
        <v>27774.758265730161</v>
      </c>
      <c r="AL387" s="647">
        <v>32152.785985141432</v>
      </c>
      <c r="AO387" s="645">
        <v>28330</v>
      </c>
      <c r="AP387" s="646">
        <v>32795.550000000003</v>
      </c>
      <c r="AQ387" s="646">
        <v>28330</v>
      </c>
      <c r="AR387" s="647">
        <v>32795.550000000003</v>
      </c>
    </row>
    <row r="388" spans="1:44" hidden="1">
      <c r="A388" s="644">
        <v>43</v>
      </c>
      <c r="B388" s="519" t="str">
        <f t="shared" si="54"/>
        <v>43B</v>
      </c>
      <c r="C388" s="645">
        <v>44822.69</v>
      </c>
      <c r="D388" s="646">
        <v>52112.45</v>
      </c>
      <c r="E388" s="646">
        <v>44822.69</v>
      </c>
      <c r="F388" s="647">
        <v>52112.45</v>
      </c>
      <c r="M388" s="645">
        <v>19180.514774299561</v>
      </c>
      <c r="N388" s="646">
        <v>22299.946718111249</v>
      </c>
      <c r="O388" s="646">
        <v>19180.514774299561</v>
      </c>
      <c r="P388" s="647">
        <v>22299.946718111249</v>
      </c>
      <c r="W388" s="645">
        <v>21864.961550111391</v>
      </c>
      <c r="X388" s="646">
        <v>25420.979744212367</v>
      </c>
      <c r="Y388" s="646">
        <v>21864.961550111391</v>
      </c>
      <c r="Z388" s="647">
        <v>25420.979744212367</v>
      </c>
      <c r="AC388" s="645">
        <v>25144.015057428198</v>
      </c>
      <c r="AD388" s="646">
        <v>29233.323644230088</v>
      </c>
      <c r="AE388" s="646">
        <v>25144.015057428198</v>
      </c>
      <c r="AF388" s="647">
        <v>29233.323644230088</v>
      </c>
      <c r="AI388" s="645">
        <v>28916.076191869186</v>
      </c>
      <c r="AJ388" s="646">
        <v>33618.855696174927</v>
      </c>
      <c r="AK388" s="646">
        <v>28916.076191869186</v>
      </c>
      <c r="AL388" s="647">
        <v>33618.855696174927</v>
      </c>
      <c r="AO388" s="645">
        <v>29494.13</v>
      </c>
      <c r="AP388" s="646">
        <v>34290.92</v>
      </c>
      <c r="AQ388" s="646">
        <v>29494.13</v>
      </c>
      <c r="AR388" s="647">
        <v>34290.92</v>
      </c>
    </row>
    <row r="389" spans="1:44" hidden="1">
      <c r="A389" s="644">
        <v>44</v>
      </c>
      <c r="B389" s="519" t="str">
        <f t="shared" si="54"/>
        <v>44B</v>
      </c>
      <c r="C389" s="645">
        <v>46779.39</v>
      </c>
      <c r="D389" s="646">
        <v>54735.19</v>
      </c>
      <c r="E389" s="646">
        <v>46779.39</v>
      </c>
      <c r="F389" s="647">
        <v>54735.19</v>
      </c>
      <c r="M389" s="645">
        <v>20017.826519334216</v>
      </c>
      <c r="N389" s="646">
        <v>23422.269712301862</v>
      </c>
      <c r="O389" s="646">
        <v>20017.826519334216</v>
      </c>
      <c r="P389" s="647">
        <v>23422.269712301862</v>
      </c>
      <c r="W389" s="645">
        <v>22819.460911889229</v>
      </c>
      <c r="X389" s="646">
        <v>26700.37966666204</v>
      </c>
      <c r="Y389" s="646">
        <v>22819.460911889229</v>
      </c>
      <c r="Z389" s="647">
        <v>26700.37966666204</v>
      </c>
      <c r="AC389" s="645">
        <v>26241.659170354862</v>
      </c>
      <c r="AD389" s="646">
        <v>30704.593138156233</v>
      </c>
      <c r="AE389" s="646">
        <v>26241.659170354862</v>
      </c>
      <c r="AF389" s="647">
        <v>30704.593138156233</v>
      </c>
      <c r="AI389" s="645">
        <v>30178.386953633042</v>
      </c>
      <c r="AJ389" s="646">
        <v>35310.84246471501</v>
      </c>
      <c r="AK389" s="646">
        <v>30178.386953633042</v>
      </c>
      <c r="AL389" s="647">
        <v>35310.84246471501</v>
      </c>
      <c r="AO389" s="645">
        <v>30781.68</v>
      </c>
      <c r="AP389" s="646">
        <v>36016.74</v>
      </c>
      <c r="AQ389" s="646">
        <v>30781.68</v>
      </c>
      <c r="AR389" s="647">
        <v>36016.74</v>
      </c>
    </row>
    <row r="390" spans="1:44" hidden="1">
      <c r="A390" s="644">
        <v>45</v>
      </c>
      <c r="B390" s="519" t="str">
        <f t="shared" si="54"/>
        <v>45B</v>
      </c>
      <c r="C390" s="645">
        <v>48907.68</v>
      </c>
      <c r="D390" s="646">
        <v>57326.3</v>
      </c>
      <c r="E390" s="646">
        <v>48907.68</v>
      </c>
      <c r="F390" s="647">
        <v>57326.3</v>
      </c>
      <c r="M390" s="645">
        <v>20928.564031013484</v>
      </c>
      <c r="N390" s="646">
        <v>24531.058002963509</v>
      </c>
      <c r="O390" s="646">
        <v>20928.564031013484</v>
      </c>
      <c r="P390" s="647">
        <v>24531.058002963509</v>
      </c>
      <c r="W390" s="645">
        <v>23857.662488303307</v>
      </c>
      <c r="X390" s="646">
        <v>27964.35060945525</v>
      </c>
      <c r="Y390" s="646">
        <v>23857.662488303307</v>
      </c>
      <c r="Z390" s="647">
        <v>27964.35060945525</v>
      </c>
      <c r="AC390" s="645">
        <v>27435.558185917882</v>
      </c>
      <c r="AD390" s="646">
        <v>32158.119792886726</v>
      </c>
      <c r="AE390" s="646">
        <v>27435.558185917882</v>
      </c>
      <c r="AF390" s="647">
        <v>32158.119792886726</v>
      </c>
      <c r="AI390" s="645">
        <v>31551.392610071307</v>
      </c>
      <c r="AJ390" s="646">
        <v>36982.424644375016</v>
      </c>
      <c r="AK390" s="646">
        <v>31551.392610071307</v>
      </c>
      <c r="AL390" s="647">
        <v>36982.424644375016</v>
      </c>
      <c r="AO390" s="645">
        <v>32182.13</v>
      </c>
      <c r="AP390" s="646">
        <v>37721.730000000003</v>
      </c>
      <c r="AQ390" s="646">
        <v>32182.13</v>
      </c>
      <c r="AR390" s="647">
        <v>37721.730000000003</v>
      </c>
    </row>
    <row r="391" spans="1:44" hidden="1">
      <c r="A391" s="644">
        <v>46</v>
      </c>
      <c r="B391" s="519" t="str">
        <f t="shared" si="54"/>
        <v>46B</v>
      </c>
      <c r="C391" s="645">
        <v>51259.21</v>
      </c>
      <c r="D391" s="646">
        <v>59541.33</v>
      </c>
      <c r="E391" s="646">
        <v>51259.21</v>
      </c>
      <c r="F391" s="647">
        <v>59541.33</v>
      </c>
      <c r="M391" s="645">
        <v>21934.826942443244</v>
      </c>
      <c r="N391" s="646">
        <v>25478.910209476111</v>
      </c>
      <c r="O391" s="646">
        <v>21934.826942443244</v>
      </c>
      <c r="P391" s="647">
        <v>25478.910209476111</v>
      </c>
      <c r="W391" s="645">
        <v>25004.758910198918</v>
      </c>
      <c r="X391" s="646">
        <v>29044.861341021016</v>
      </c>
      <c r="Y391" s="646">
        <v>25004.758910198918</v>
      </c>
      <c r="Z391" s="647">
        <v>29044.861341021016</v>
      </c>
      <c r="AC391" s="645">
        <v>28754.682833741386</v>
      </c>
      <c r="AD391" s="646">
        <v>33400.67300030656</v>
      </c>
      <c r="AE391" s="646">
        <v>28754.682833741386</v>
      </c>
      <c r="AF391" s="647">
        <v>33400.67300030656</v>
      </c>
      <c r="AI391" s="645">
        <v>33068.410028964725</v>
      </c>
      <c r="AJ391" s="646">
        <v>38411.383509382875</v>
      </c>
      <c r="AK391" s="646">
        <v>33068.410028964725</v>
      </c>
      <c r="AL391" s="647">
        <v>38411.383509382875</v>
      </c>
      <c r="AO391" s="645">
        <v>33729.47</v>
      </c>
      <c r="AP391" s="646">
        <v>39179.26</v>
      </c>
      <c r="AQ391" s="646">
        <v>33729.47</v>
      </c>
      <c r="AR391" s="647">
        <v>39179.26</v>
      </c>
    </row>
    <row r="392" spans="1:44" hidden="1">
      <c r="A392" s="644">
        <v>47</v>
      </c>
      <c r="B392" s="519" t="str">
        <f t="shared" si="54"/>
        <v>47B</v>
      </c>
      <c r="C392" s="645">
        <v>53826.94</v>
      </c>
      <c r="D392" s="646">
        <v>62602.33</v>
      </c>
      <c r="E392" s="646">
        <v>53826.94</v>
      </c>
      <c r="F392" s="647">
        <v>62602.33</v>
      </c>
      <c r="M392" s="645">
        <v>23033.612241278021</v>
      </c>
      <c r="N392" s="646">
        <v>26788.77343943989</v>
      </c>
      <c r="O392" s="646">
        <v>23033.612241278021</v>
      </c>
      <c r="P392" s="647">
        <v>26788.77343943989</v>
      </c>
      <c r="W392" s="645">
        <v>26257.326872714799</v>
      </c>
      <c r="X392" s="646">
        <v>30538.049062835365</v>
      </c>
      <c r="Y392" s="646">
        <v>26257.326872714799</v>
      </c>
      <c r="Z392" s="647">
        <v>30538.049062835365</v>
      </c>
      <c r="AC392" s="645">
        <v>30195.096421378868</v>
      </c>
      <c r="AD392" s="646">
        <v>35117.791709837315</v>
      </c>
      <c r="AE392" s="646">
        <v>30195.096421378868</v>
      </c>
      <c r="AF392" s="647">
        <v>35117.791709837315</v>
      </c>
      <c r="AI392" s="645">
        <v>34724.911942155573</v>
      </c>
      <c r="AJ392" s="646">
        <v>40386.101362592519</v>
      </c>
      <c r="AK392" s="646">
        <v>34724.911942155573</v>
      </c>
      <c r="AL392" s="647">
        <v>40386.101362592519</v>
      </c>
      <c r="AO392" s="645">
        <v>35419.089999999997</v>
      </c>
      <c r="AP392" s="646">
        <v>41193.449999999997</v>
      </c>
      <c r="AQ392" s="646">
        <v>35419.089999999997</v>
      </c>
      <c r="AR392" s="647">
        <v>41193.449999999997</v>
      </c>
    </row>
    <row r="393" spans="1:44" hidden="1">
      <c r="A393" s="644">
        <v>48</v>
      </c>
      <c r="B393" s="519" t="str">
        <f t="shared" si="54"/>
        <v>48B</v>
      </c>
      <c r="C393" s="645">
        <v>56642.13</v>
      </c>
      <c r="D393" s="646">
        <v>65164.33</v>
      </c>
      <c r="E393" s="646">
        <v>56642.13</v>
      </c>
      <c r="F393" s="647">
        <v>65164.33</v>
      </c>
      <c r="M393" s="645">
        <v>24238.285447252667</v>
      </c>
      <c r="N393" s="646">
        <v>27885.105573260047</v>
      </c>
      <c r="O393" s="646">
        <v>24238.285447252667</v>
      </c>
      <c r="P393" s="647">
        <v>27885.105573260047</v>
      </c>
      <c r="W393" s="645">
        <v>27630.602493261686</v>
      </c>
      <c r="X393" s="646">
        <v>31787.820522788512</v>
      </c>
      <c r="Y393" s="646">
        <v>27630.602493261686</v>
      </c>
      <c r="Z393" s="647">
        <v>31787.820522788512</v>
      </c>
      <c r="AC393" s="645">
        <v>31774.320002535998</v>
      </c>
      <c r="AD393" s="646">
        <v>36554.989407870584</v>
      </c>
      <c r="AE393" s="646">
        <v>31774.320002535998</v>
      </c>
      <c r="AF393" s="647">
        <v>36554.989407870584</v>
      </c>
      <c r="AI393" s="645">
        <v>36541.047881162871</v>
      </c>
      <c r="AJ393" s="646">
        <v>42038.904944048838</v>
      </c>
      <c r="AK393" s="646">
        <v>36541.047881162871</v>
      </c>
      <c r="AL393" s="647">
        <v>42038.904944048838</v>
      </c>
      <c r="AO393" s="645">
        <v>37271.53</v>
      </c>
      <c r="AP393" s="646">
        <v>42879.3</v>
      </c>
      <c r="AQ393" s="646">
        <v>37271.53</v>
      </c>
      <c r="AR393" s="647">
        <v>42879.3</v>
      </c>
    </row>
    <row r="394" spans="1:44" hidden="1">
      <c r="A394" s="644">
        <v>49</v>
      </c>
      <c r="B394" s="519" t="str">
        <f t="shared" si="54"/>
        <v>49B</v>
      </c>
      <c r="C394" s="645">
        <v>59723.59</v>
      </c>
      <c r="D394" s="646">
        <v>67930.44</v>
      </c>
      <c r="E394" s="646">
        <v>59723.59</v>
      </c>
      <c r="F394" s="647">
        <v>67930.44</v>
      </c>
      <c r="M394" s="645">
        <v>25556.903938561743</v>
      </c>
      <c r="N394" s="646">
        <v>29068.778840790539</v>
      </c>
      <c r="O394" s="646">
        <v>25556.903938561743</v>
      </c>
      <c r="P394" s="647">
        <v>29068.778840790539</v>
      </c>
      <c r="W394" s="645">
        <v>29133.770836291296</v>
      </c>
      <c r="X394" s="646">
        <v>33137.15711708719</v>
      </c>
      <c r="Y394" s="646">
        <v>29133.770836291296</v>
      </c>
      <c r="Z394" s="647">
        <v>33137.15711708719</v>
      </c>
      <c r="AC394" s="645">
        <v>33502.916111171442</v>
      </c>
      <c r="AD394" s="646">
        <v>38106.683865088227</v>
      </c>
      <c r="AE394" s="646">
        <v>33502.916111171442</v>
      </c>
      <c r="AF394" s="647">
        <v>38106.683865088227</v>
      </c>
      <c r="AI394" s="645">
        <v>38528.964952804316</v>
      </c>
      <c r="AJ394" s="646">
        <v>43823.381888121898</v>
      </c>
      <c r="AK394" s="646">
        <v>38528.964952804316</v>
      </c>
      <c r="AL394" s="647">
        <v>43823.381888121898</v>
      </c>
      <c r="AO394" s="645">
        <v>39299.19</v>
      </c>
      <c r="AP394" s="646">
        <v>44699.45</v>
      </c>
      <c r="AQ394" s="646">
        <v>39299.19</v>
      </c>
      <c r="AR394" s="647">
        <v>44699.45</v>
      </c>
    </row>
    <row r="395" spans="1:44" hidden="1">
      <c r="A395" s="644">
        <v>50</v>
      </c>
      <c r="B395" s="519" t="str">
        <f t="shared" si="54"/>
        <v>50B</v>
      </c>
      <c r="C395" s="645">
        <v>63082.5</v>
      </c>
      <c r="D395" s="646">
        <v>70855.740000000005</v>
      </c>
      <c r="E395" s="646">
        <v>63082.5</v>
      </c>
      <c r="F395" s="647">
        <v>70855.740000000005</v>
      </c>
      <c r="M395" s="645">
        <v>26994.247157388945</v>
      </c>
      <c r="N395" s="646">
        <v>30320.569733425375</v>
      </c>
      <c r="O395" s="646">
        <v>26994.247157388945</v>
      </c>
      <c r="P395" s="647">
        <v>30320.569733425375</v>
      </c>
      <c r="W395" s="645">
        <v>30772.280260244846</v>
      </c>
      <c r="X395" s="646">
        <v>34564.144873063087</v>
      </c>
      <c r="Y395" s="646">
        <v>30772.280260244846</v>
      </c>
      <c r="Z395" s="647">
        <v>34564.144873063087</v>
      </c>
      <c r="AC395" s="645">
        <v>35387.150187376159</v>
      </c>
      <c r="AD395" s="646">
        <v>39747.67470519519</v>
      </c>
      <c r="AE395" s="646">
        <v>35387.150187376159</v>
      </c>
      <c r="AF395" s="647">
        <v>39747.67470519519</v>
      </c>
      <c r="AI395" s="645">
        <v>40695.868527528175</v>
      </c>
      <c r="AJ395" s="646">
        <v>45710.551302167973</v>
      </c>
      <c r="AK395" s="646">
        <v>40695.868527528175</v>
      </c>
      <c r="AL395" s="647">
        <v>45710.551302167973</v>
      </c>
      <c r="AO395" s="645">
        <v>41509.410000000003</v>
      </c>
      <c r="AP395" s="646">
        <v>46624.34</v>
      </c>
      <c r="AQ395" s="646">
        <v>41509.410000000003</v>
      </c>
      <c r="AR395" s="647">
        <v>46624.34</v>
      </c>
    </row>
    <row r="396" spans="1:44" hidden="1">
      <c r="A396" s="644">
        <v>51</v>
      </c>
      <c r="B396" s="519" t="str">
        <f t="shared" si="54"/>
        <v>51B</v>
      </c>
      <c r="C396" s="645">
        <v>66698.39</v>
      </c>
      <c r="D396" s="646">
        <v>74010.289999999994</v>
      </c>
      <c r="E396" s="646">
        <v>66698.39</v>
      </c>
      <c r="F396" s="647">
        <v>74010.289999999994</v>
      </c>
      <c r="M396" s="645">
        <v>28541.559842388953</v>
      </c>
      <c r="N396" s="646">
        <v>31670.46607867091</v>
      </c>
      <c r="O396" s="646">
        <v>28541.559842388953</v>
      </c>
      <c r="P396" s="647">
        <v>31670.46607867091</v>
      </c>
      <c r="W396" s="645">
        <v>32536.150143907042</v>
      </c>
      <c r="X396" s="646">
        <v>36102.968623767527</v>
      </c>
      <c r="Y396" s="646">
        <v>32536.150143907042</v>
      </c>
      <c r="Z396" s="647">
        <v>36102.968623767527</v>
      </c>
      <c r="AC396" s="645">
        <v>37415.544832045482</v>
      </c>
      <c r="AD396" s="646">
        <v>41517.273406284301</v>
      </c>
      <c r="AE396" s="646">
        <v>37415.544832045482</v>
      </c>
      <c r="AF396" s="647">
        <v>41517.273406284301</v>
      </c>
      <c r="AI396" s="645">
        <v>43028.559386902678</v>
      </c>
      <c r="AJ396" s="646">
        <v>47745.622103424452</v>
      </c>
      <c r="AK396" s="646">
        <v>43028.559386902678</v>
      </c>
      <c r="AL396" s="647">
        <v>47745.622103424452</v>
      </c>
      <c r="AO396" s="645">
        <v>43888.74</v>
      </c>
      <c r="AP396" s="646">
        <v>48700.1</v>
      </c>
      <c r="AQ396" s="646">
        <v>43888.74</v>
      </c>
      <c r="AR396" s="647">
        <v>48700.1</v>
      </c>
    </row>
    <row r="397" spans="1:44" hidden="1">
      <c r="A397" s="644">
        <v>52</v>
      </c>
      <c r="B397" s="519" t="str">
        <f t="shared" si="54"/>
        <v>52B</v>
      </c>
      <c r="C397" s="645">
        <v>70641.89</v>
      </c>
      <c r="D397" s="646">
        <v>77389.31</v>
      </c>
      <c r="E397" s="646">
        <v>70641.89</v>
      </c>
      <c r="F397" s="647">
        <v>77389.31</v>
      </c>
      <c r="M397" s="645">
        <v>30229.062448785036</v>
      </c>
      <c r="N397" s="646">
        <v>33116.416523023552</v>
      </c>
      <c r="O397" s="646">
        <v>30229.062448785036</v>
      </c>
      <c r="P397" s="647">
        <v>33116.416523023552</v>
      </c>
      <c r="W397" s="645">
        <v>34459.83050591706</v>
      </c>
      <c r="X397" s="646">
        <v>37751.289914471337</v>
      </c>
      <c r="Y397" s="646">
        <v>34459.83050591706</v>
      </c>
      <c r="Z397" s="647">
        <v>37751.289914471337</v>
      </c>
      <c r="AC397" s="645">
        <v>39627.716478320908</v>
      </c>
      <c r="AD397" s="646">
        <v>43412.790819289999</v>
      </c>
      <c r="AE397" s="646">
        <v>39627.716478320908</v>
      </c>
      <c r="AF397" s="647">
        <v>43412.790819289999</v>
      </c>
      <c r="AI397" s="645">
        <v>45572.597152036578</v>
      </c>
      <c r="AJ397" s="646">
        <v>49925.501721389242</v>
      </c>
      <c r="AK397" s="646">
        <v>45572.597152036578</v>
      </c>
      <c r="AL397" s="647">
        <v>49925.501721389242</v>
      </c>
      <c r="AO397" s="645">
        <v>46483.63</v>
      </c>
      <c r="AP397" s="646">
        <v>50923.55</v>
      </c>
      <c r="AQ397" s="646">
        <v>46483.63</v>
      </c>
      <c r="AR397" s="647">
        <v>50923.55</v>
      </c>
    </row>
    <row r="398" spans="1:44" hidden="1">
      <c r="A398" s="644">
        <v>53</v>
      </c>
      <c r="B398" s="519" t="str">
        <f t="shared" si="54"/>
        <v>53B</v>
      </c>
      <c r="C398" s="645">
        <v>74952.149999999994</v>
      </c>
      <c r="D398" s="646">
        <v>81013.91</v>
      </c>
      <c r="E398" s="646">
        <v>74952.149999999994</v>
      </c>
      <c r="F398" s="647">
        <v>81013.91</v>
      </c>
      <c r="M398" s="645">
        <v>32073.50417219428</v>
      </c>
      <c r="N398" s="646">
        <v>34667.451251494029</v>
      </c>
      <c r="O398" s="646">
        <v>32073.50417219428</v>
      </c>
      <c r="P398" s="647">
        <v>34667.451251494029</v>
      </c>
      <c r="W398" s="645">
        <v>36562.414708599747</v>
      </c>
      <c r="X398" s="646">
        <v>39519.402767539068</v>
      </c>
      <c r="Y398" s="646">
        <v>36562.414708599747</v>
      </c>
      <c r="Z398" s="647">
        <v>39519.402767539068</v>
      </c>
      <c r="AC398" s="645">
        <v>42045.621889707036</v>
      </c>
      <c r="AD398" s="646">
        <v>45446.064744738127</v>
      </c>
      <c r="AE398" s="646">
        <v>42045.621889707036</v>
      </c>
      <c r="AF398" s="647">
        <v>45446.064744738127</v>
      </c>
      <c r="AI398" s="645">
        <v>48353.232501668987</v>
      </c>
      <c r="AJ398" s="646">
        <v>52263.803842705769</v>
      </c>
      <c r="AK398" s="646">
        <v>48353.232501668987</v>
      </c>
      <c r="AL398" s="647">
        <v>52263.803842705769</v>
      </c>
      <c r="AO398" s="645">
        <v>49319.85</v>
      </c>
      <c r="AP398" s="646">
        <v>53308.6</v>
      </c>
      <c r="AQ398" s="646">
        <v>49319.85</v>
      </c>
      <c r="AR398" s="647">
        <v>53308.6</v>
      </c>
    </row>
    <row r="399" spans="1:44" hidden="1">
      <c r="A399" s="644">
        <v>54</v>
      </c>
      <c r="B399" s="519" t="str">
        <f t="shared" si="54"/>
        <v>54B</v>
      </c>
      <c r="C399" s="645">
        <v>79617.53</v>
      </c>
      <c r="D399" s="646">
        <v>84868.25</v>
      </c>
      <c r="E399" s="646">
        <v>79617.53</v>
      </c>
      <c r="F399" s="647">
        <v>84868.25</v>
      </c>
      <c r="M399" s="645">
        <v>34069.915238664638</v>
      </c>
      <c r="N399" s="646">
        <v>36316.802912317842</v>
      </c>
      <c r="O399" s="646">
        <v>34069.915238664638</v>
      </c>
      <c r="P399" s="647">
        <v>36316.802912317842</v>
      </c>
      <c r="W399" s="645">
        <v>38838.237423487517</v>
      </c>
      <c r="X399" s="646">
        <v>41399.592693142455</v>
      </c>
      <c r="Y399" s="646">
        <v>38838.237423487517</v>
      </c>
      <c r="Z399" s="647">
        <v>41399.592693142455</v>
      </c>
      <c r="AC399" s="645">
        <v>44662.746117436756</v>
      </c>
      <c r="AD399" s="646">
        <v>47608.223763030815</v>
      </c>
      <c r="AE399" s="646">
        <v>44662.746117436756</v>
      </c>
      <c r="AF399" s="647">
        <v>47608.223763030815</v>
      </c>
      <c r="AI399" s="645">
        <v>51362.973125820507</v>
      </c>
      <c r="AJ399" s="646">
        <v>54750.326172933943</v>
      </c>
      <c r="AK399" s="646">
        <v>51362.973125820507</v>
      </c>
      <c r="AL399" s="647">
        <v>54750.326172933943</v>
      </c>
      <c r="AO399" s="645">
        <v>52389.760000000002</v>
      </c>
      <c r="AP399" s="646">
        <v>55844.83</v>
      </c>
      <c r="AQ399" s="646">
        <v>52389.760000000002</v>
      </c>
      <c r="AR399" s="647">
        <v>55844.83</v>
      </c>
    </row>
    <row r="400" spans="1:44" hidden="1">
      <c r="A400" s="644">
        <v>55</v>
      </c>
      <c r="B400" s="519" t="str">
        <f t="shared" si="54"/>
        <v>55B</v>
      </c>
      <c r="C400" s="645">
        <v>84589.23</v>
      </c>
      <c r="D400" s="646">
        <v>88883.96</v>
      </c>
      <c r="E400" s="646">
        <v>84589.23</v>
      </c>
      <c r="F400" s="647">
        <v>88883.96</v>
      </c>
      <c r="M400" s="645">
        <v>36197.401449623292</v>
      </c>
      <c r="N400" s="646">
        <v>38035.202709113648</v>
      </c>
      <c r="O400" s="646">
        <v>36197.401449623292</v>
      </c>
      <c r="P400" s="647">
        <v>38035.202709113648</v>
      </c>
      <c r="W400" s="645">
        <v>41263.480163235727</v>
      </c>
      <c r="X400" s="646">
        <v>43358.494522774476</v>
      </c>
      <c r="Y400" s="646">
        <v>41263.480163235727</v>
      </c>
      <c r="Z400" s="647">
        <v>43358.494522774476</v>
      </c>
      <c r="AC400" s="645">
        <v>47451.698653501771</v>
      </c>
      <c r="AD400" s="646">
        <v>49860.89898440757</v>
      </c>
      <c r="AE400" s="646">
        <v>47451.698653501771</v>
      </c>
      <c r="AF400" s="647">
        <v>49860.89898440757</v>
      </c>
      <c r="AI400" s="645">
        <v>54570.319440407526</v>
      </c>
      <c r="AJ400" s="646">
        <v>57340.943788620665</v>
      </c>
      <c r="AK400" s="646">
        <v>54570.319440407526</v>
      </c>
      <c r="AL400" s="647">
        <v>57340.943788620665</v>
      </c>
      <c r="AO400" s="645">
        <v>55661.22</v>
      </c>
      <c r="AP400" s="646">
        <v>58487.24</v>
      </c>
      <c r="AQ400" s="646">
        <v>55661.22</v>
      </c>
      <c r="AR400" s="647">
        <v>58487.24</v>
      </c>
    </row>
    <row r="401" spans="1:44" hidden="1">
      <c r="A401" s="644">
        <v>56</v>
      </c>
      <c r="B401" s="519" t="str">
        <f t="shared" si="54"/>
        <v>56B</v>
      </c>
      <c r="C401" s="645">
        <v>90008.52</v>
      </c>
      <c r="D401" s="646">
        <v>94302.22</v>
      </c>
      <c r="E401" s="646">
        <v>90008.52</v>
      </c>
      <c r="F401" s="647">
        <v>94302.22</v>
      </c>
      <c r="M401" s="645">
        <v>38516.424863491018</v>
      </c>
      <c r="N401" s="646">
        <v>40353.782015521814</v>
      </c>
      <c r="O401" s="646">
        <v>38516.424863491018</v>
      </c>
      <c r="P401" s="647">
        <v>40353.782015521814</v>
      </c>
      <c r="W401" s="645">
        <v>43907.067072903403</v>
      </c>
      <c r="X401" s="646">
        <v>46001.575169047173</v>
      </c>
      <c r="Y401" s="646">
        <v>43907.067072903403</v>
      </c>
      <c r="Z401" s="647">
        <v>46001.575169047173</v>
      </c>
      <c r="AC401" s="645">
        <v>50491.740087371378</v>
      </c>
      <c r="AD401" s="646">
        <v>52900.358231366044</v>
      </c>
      <c r="AE401" s="646">
        <v>50491.740087371378</v>
      </c>
      <c r="AF401" s="647">
        <v>52900.358231366044</v>
      </c>
      <c r="AI401" s="645">
        <v>58066.422569817762</v>
      </c>
      <c r="AJ401" s="646">
        <v>60836.377392458257</v>
      </c>
      <c r="AK401" s="646">
        <v>58066.422569817762</v>
      </c>
      <c r="AL401" s="647">
        <v>60836.377392458257</v>
      </c>
      <c r="AO401" s="645">
        <v>59227.22</v>
      </c>
      <c r="AP401" s="646">
        <v>62052.55</v>
      </c>
      <c r="AQ401" s="646">
        <v>59227.22</v>
      </c>
      <c r="AR401" s="647">
        <v>62052.55</v>
      </c>
    </row>
    <row r="402" spans="1:44" hidden="1">
      <c r="A402" s="644">
        <v>57</v>
      </c>
      <c r="B402" s="519" t="str">
        <f t="shared" si="54"/>
        <v>57B</v>
      </c>
      <c r="C402" s="645">
        <v>95822.98</v>
      </c>
      <c r="D402" s="646">
        <v>97977.86</v>
      </c>
      <c r="E402" s="646">
        <v>95822.98</v>
      </c>
      <c r="F402" s="647">
        <v>97977.86</v>
      </c>
      <c r="M402" s="645">
        <v>41004.547479573703</v>
      </c>
      <c r="N402" s="646">
        <v>41926.662601406992</v>
      </c>
      <c r="O402" s="646">
        <v>41004.547479573703</v>
      </c>
      <c r="P402" s="647">
        <v>41926.662601406992</v>
      </c>
      <c r="W402" s="645">
        <v>46743.419797153838</v>
      </c>
      <c r="X402" s="646">
        <v>47794.591359591621</v>
      </c>
      <c r="Y402" s="646">
        <v>46743.419797153838</v>
      </c>
      <c r="Z402" s="647">
        <v>47794.591359591621</v>
      </c>
      <c r="AC402" s="645">
        <v>53753.456118441507</v>
      </c>
      <c r="AD402" s="646">
        <v>54962.270208203357</v>
      </c>
      <c r="AE402" s="646">
        <v>53753.456118441507</v>
      </c>
      <c r="AF402" s="647">
        <v>54962.270208203357</v>
      </c>
      <c r="AI402" s="645">
        <v>61817.45553154841</v>
      </c>
      <c r="AJ402" s="646">
        <v>63207.613795513993</v>
      </c>
      <c r="AK402" s="646">
        <v>61817.45553154841</v>
      </c>
      <c r="AL402" s="647">
        <v>63207.613795513993</v>
      </c>
      <c r="AO402" s="645">
        <v>63053.24</v>
      </c>
      <c r="AP402" s="646">
        <v>64471.19</v>
      </c>
      <c r="AQ402" s="646">
        <v>63053.24</v>
      </c>
      <c r="AR402" s="647">
        <v>64471.19</v>
      </c>
    </row>
    <row r="403" spans="1:44" hidden="1">
      <c r="A403" s="644">
        <v>58</v>
      </c>
      <c r="B403" s="519" t="str">
        <f t="shared" si="54"/>
        <v>58B</v>
      </c>
      <c r="C403" s="645">
        <v>99992.73</v>
      </c>
      <c r="D403" s="646">
        <v>101942.56</v>
      </c>
      <c r="E403" s="646">
        <v>99992.73</v>
      </c>
      <c r="F403" s="647">
        <v>101942.56</v>
      </c>
      <c r="M403" s="645">
        <v>42788.865512150391</v>
      </c>
      <c r="N403" s="646">
        <v>43623.23768876234</v>
      </c>
      <c r="O403" s="646">
        <v>42788.865512150391</v>
      </c>
      <c r="P403" s="647">
        <v>43623.23768876234</v>
      </c>
      <c r="W403" s="645">
        <v>48777.465579268915</v>
      </c>
      <c r="X403" s="646">
        <v>49728.613959527604</v>
      </c>
      <c r="Y403" s="646">
        <v>48777.465579268915</v>
      </c>
      <c r="Z403" s="647">
        <v>49728.613959527604</v>
      </c>
      <c r="AC403" s="645">
        <v>56092.544511338281</v>
      </c>
      <c r="AD403" s="646">
        <v>57186.335101377124</v>
      </c>
      <c r="AE403" s="646">
        <v>56092.544511338281</v>
      </c>
      <c r="AF403" s="647">
        <v>57186.335101377124</v>
      </c>
      <c r="AI403" s="645">
        <v>64507.449871515135</v>
      </c>
      <c r="AJ403" s="646">
        <v>65765.329011631577</v>
      </c>
      <c r="AK403" s="646">
        <v>64507.449871515135</v>
      </c>
      <c r="AL403" s="647">
        <v>65765.329011631577</v>
      </c>
      <c r="AO403" s="645">
        <v>65797.009999999995</v>
      </c>
      <c r="AP403" s="646">
        <v>67080.03</v>
      </c>
      <c r="AQ403" s="646">
        <v>65797.009999999995</v>
      </c>
      <c r="AR403" s="647">
        <v>67080.03</v>
      </c>
    </row>
    <row r="404" spans="1:44" hidden="1">
      <c r="A404" s="644">
        <v>59</v>
      </c>
      <c r="B404" s="519" t="str">
        <f t="shared" si="54"/>
        <v>59B</v>
      </c>
      <c r="C404" s="645">
        <v>106549.09</v>
      </c>
      <c r="D404" s="646">
        <v>103702.23</v>
      </c>
      <c r="E404" s="646">
        <v>106549.09</v>
      </c>
      <c r="F404" s="647">
        <v>103702.23</v>
      </c>
      <c r="M404" s="645">
        <v>45594.46151788428</v>
      </c>
      <c r="N404" s="646">
        <v>44376.232460406412</v>
      </c>
      <c r="O404" s="646">
        <v>45594.46151788428</v>
      </c>
      <c r="P404" s="647">
        <v>44376.232460406412</v>
      </c>
      <c r="W404" s="645">
        <v>51975.724307585959</v>
      </c>
      <c r="X404" s="646">
        <v>50586.995599601905</v>
      </c>
      <c r="Y404" s="646">
        <v>51975.724307585959</v>
      </c>
      <c r="Z404" s="647">
        <v>50586.995599601905</v>
      </c>
      <c r="AC404" s="645">
        <v>59770.441014291209</v>
      </c>
      <c r="AD404" s="646">
        <v>58173.446870752181</v>
      </c>
      <c r="AE404" s="646">
        <v>59770.441014291209</v>
      </c>
      <c r="AF404" s="647">
        <v>58173.446870752181</v>
      </c>
      <c r="AI404" s="645">
        <v>68737.097971164098</v>
      </c>
      <c r="AJ404" s="646">
        <v>66900.525561106595</v>
      </c>
      <c r="AK404" s="646">
        <v>68737.097971164098</v>
      </c>
      <c r="AL404" s="647">
        <v>66900.525561106595</v>
      </c>
      <c r="AO404" s="645">
        <v>70111.210000000006</v>
      </c>
      <c r="AP404" s="646">
        <v>68237.919999999998</v>
      </c>
      <c r="AQ404" s="646">
        <v>70111.210000000006</v>
      </c>
      <c r="AR404" s="647">
        <v>68237.919999999998</v>
      </c>
    </row>
    <row r="405" spans="1:44" hidden="1">
      <c r="A405" s="644">
        <v>60</v>
      </c>
      <c r="B405" s="519" t="str">
        <f t="shared" si="54"/>
        <v>60B</v>
      </c>
      <c r="C405" s="648">
        <v>135794.93</v>
      </c>
      <c r="D405" s="649">
        <v>134822.91</v>
      </c>
      <c r="E405" s="649">
        <v>170941.85</v>
      </c>
      <c r="F405" s="650">
        <v>169718.26</v>
      </c>
      <c r="M405" s="648">
        <v>48360.684223645621</v>
      </c>
      <c r="N405" s="649">
        <v>48014.520959243549</v>
      </c>
      <c r="O405" s="649">
        <v>60877.567199177422</v>
      </c>
      <c r="P405" s="650">
        <v>60441.808736930121</v>
      </c>
      <c r="W405" s="648">
        <v>55133.016027916048</v>
      </c>
      <c r="X405" s="649">
        <v>54738.376764412329</v>
      </c>
      <c r="Y405" s="649">
        <v>69402.737823376665</v>
      </c>
      <c r="Z405" s="650">
        <v>68905.956632848465</v>
      </c>
      <c r="AC405" s="648">
        <v>77184.370095396313</v>
      </c>
      <c r="AD405" s="649">
        <v>76631.888385470942</v>
      </c>
      <c r="AE405" s="649">
        <v>97161.50117891065</v>
      </c>
      <c r="AF405" s="650">
        <v>96466.024202886969</v>
      </c>
      <c r="AI405" s="648">
        <v>87986.07648741208</v>
      </c>
      <c r="AJ405" s="649">
        <v>87356.276724489755</v>
      </c>
      <c r="AK405" s="649">
        <v>110758.94334297757</v>
      </c>
      <c r="AL405" s="650">
        <v>109966.136582593</v>
      </c>
      <c r="AO405" s="648">
        <v>89746.39</v>
      </c>
      <c r="AP405" s="649">
        <v>89103.99</v>
      </c>
      <c r="AQ405" s="649">
        <v>112974.87</v>
      </c>
      <c r="AR405" s="650">
        <v>112166.2</v>
      </c>
    </row>
    <row r="406" spans="1:44" hidden="1">
      <c r="A406" s="644">
        <v>61</v>
      </c>
      <c r="B406" s="519" t="str">
        <f t="shared" si="54"/>
        <v>61B</v>
      </c>
      <c r="C406" s="648">
        <v>143301.01</v>
      </c>
      <c r="D406" s="649">
        <v>140740.07</v>
      </c>
      <c r="E406" s="649">
        <v>180390.69</v>
      </c>
      <c r="F406" s="650">
        <v>177166.91</v>
      </c>
      <c r="M406" s="648">
        <v>51033.829001057944</v>
      </c>
      <c r="N406" s="649">
        <v>50121.799155627989</v>
      </c>
      <c r="O406" s="649">
        <v>64242.584742508217</v>
      </c>
      <c r="P406" s="650">
        <v>63094.500113555223</v>
      </c>
      <c r="W406" s="648">
        <v>58180.502560084533</v>
      </c>
      <c r="X406" s="649">
        <v>57140.753911089167</v>
      </c>
      <c r="Y406" s="649">
        <v>73238.985575635816</v>
      </c>
      <c r="Z406" s="650">
        <v>71930.125511606355</v>
      </c>
      <c r="AC406" s="648">
        <v>81450.748851830169</v>
      </c>
      <c r="AD406" s="649">
        <v>79995.135676421589</v>
      </c>
      <c r="AE406" s="649">
        <v>102532.11914289209</v>
      </c>
      <c r="AF406" s="650">
        <v>100699.75902796601</v>
      </c>
      <c r="AI406" s="648">
        <v>92849.521341906657</v>
      </c>
      <c r="AJ406" s="649">
        <v>91190.199745717022</v>
      </c>
      <c r="AK406" s="649">
        <v>116881.16215981188</v>
      </c>
      <c r="AL406" s="650">
        <v>114792.36909166729</v>
      </c>
      <c r="AO406" s="648">
        <v>94707.14</v>
      </c>
      <c r="AP406" s="649">
        <v>93014.62</v>
      </c>
      <c r="AQ406" s="649">
        <v>119219.58</v>
      </c>
      <c r="AR406" s="650">
        <v>117088.99</v>
      </c>
    </row>
    <row r="407" spans="1:44" hidden="1">
      <c r="A407" s="644">
        <v>62</v>
      </c>
      <c r="B407" s="519" t="str">
        <f t="shared" si="54"/>
        <v>62B</v>
      </c>
      <c r="C407" s="648">
        <v>150943.99</v>
      </c>
      <c r="D407" s="649">
        <v>146828.73000000001</v>
      </c>
      <c r="E407" s="649">
        <v>190011.84</v>
      </c>
      <c r="F407" s="650">
        <v>184831.47</v>
      </c>
      <c r="M407" s="648">
        <v>53755.723605666433</v>
      </c>
      <c r="N407" s="649">
        <v>52290.157243512935</v>
      </c>
      <c r="O407" s="649">
        <v>67668.969715368323</v>
      </c>
      <c r="P407" s="650">
        <v>65824.080294775122</v>
      </c>
      <c r="W407" s="648">
        <v>61283.56574604343</v>
      </c>
      <c r="X407" s="649">
        <v>59612.764452974145</v>
      </c>
      <c r="Y407" s="649">
        <v>77145.194527372325</v>
      </c>
      <c r="Z407" s="650">
        <v>75041.950546685097</v>
      </c>
      <c r="AC407" s="648">
        <v>85794.933056321694</v>
      </c>
      <c r="AD407" s="649">
        <v>83455.867381140255</v>
      </c>
      <c r="AE407" s="649">
        <v>108000.68043560497</v>
      </c>
      <c r="AF407" s="650">
        <v>105056.20952684713</v>
      </c>
      <c r="AI407" s="648">
        <v>97801.660268730586</v>
      </c>
      <c r="AJ407" s="649">
        <v>95135.24981346319</v>
      </c>
      <c r="AK407" s="649">
        <v>123115.03116181382</v>
      </c>
      <c r="AL407" s="650">
        <v>119758.49094165364</v>
      </c>
      <c r="AO407" s="648">
        <v>99758.35</v>
      </c>
      <c r="AP407" s="649">
        <v>97038.6</v>
      </c>
      <c r="AQ407" s="649">
        <v>125578.16</v>
      </c>
      <c r="AR407" s="650">
        <v>122154.47</v>
      </c>
    </row>
    <row r="408" spans="1:44" hidden="1">
      <c r="A408" s="644">
        <v>63</v>
      </c>
      <c r="B408" s="519" t="str">
        <f t="shared" si="54"/>
        <v>63B</v>
      </c>
      <c r="C408" s="648">
        <v>159339.04</v>
      </c>
      <c r="D408" s="649">
        <v>153232.20000000001</v>
      </c>
      <c r="E408" s="649">
        <v>200579.74</v>
      </c>
      <c r="F408" s="650">
        <v>192892.3</v>
      </c>
      <c r="M408" s="648">
        <v>56745.457044843351</v>
      </c>
      <c r="N408" s="649">
        <v>54570.626770179406</v>
      </c>
      <c r="O408" s="649">
        <v>71432.516515273397</v>
      </c>
      <c r="P408" s="650">
        <v>68694.788993049355</v>
      </c>
      <c r="W408" s="648">
        <v>64691.975371909393</v>
      </c>
      <c r="X408" s="649">
        <v>62212.586291379856</v>
      </c>
      <c r="Y408" s="649">
        <v>81435.78076228594</v>
      </c>
      <c r="Z408" s="650">
        <v>78314.66744914875</v>
      </c>
      <c r="AC408" s="648">
        <v>90566.592017738629</v>
      </c>
      <c r="AD408" s="649">
        <v>87095.530606819681</v>
      </c>
      <c r="AE408" s="649">
        <v>114007.3570105651</v>
      </c>
      <c r="AF408" s="650">
        <v>109637.9032344671</v>
      </c>
      <c r="AI408" s="648">
        <v>103241.09768115198</v>
      </c>
      <c r="AJ408" s="649">
        <v>99284.272297772492</v>
      </c>
      <c r="AK408" s="649">
        <v>129962.3229633325</v>
      </c>
      <c r="AL408" s="650">
        <v>124981.37806896065</v>
      </c>
      <c r="AO408" s="648">
        <v>105306.62</v>
      </c>
      <c r="AP408" s="649">
        <v>101270.63</v>
      </c>
      <c r="AQ408" s="649">
        <v>132562.45000000001</v>
      </c>
      <c r="AR408" s="650">
        <v>127481.85</v>
      </c>
    </row>
    <row r="409" spans="1:44" hidden="1">
      <c r="A409" s="644">
        <v>64</v>
      </c>
      <c r="B409" s="519" t="str">
        <f t="shared" si="54"/>
        <v>64B</v>
      </c>
      <c r="C409" s="648">
        <v>167802.48</v>
      </c>
      <c r="D409" s="649">
        <v>160038.82</v>
      </c>
      <c r="E409" s="649">
        <v>211233.71</v>
      </c>
      <c r="F409" s="650">
        <v>201460.63</v>
      </c>
      <c r="M409" s="648">
        <v>59759.543458002125</v>
      </c>
      <c r="N409" s="649">
        <v>56994.669145258042</v>
      </c>
      <c r="O409" s="649">
        <v>75226.719411837999</v>
      </c>
      <c r="P409" s="650">
        <v>71746.230571089545</v>
      </c>
      <c r="W409" s="648">
        <v>68128.148312675126</v>
      </c>
      <c r="X409" s="649">
        <v>64976.086627717385</v>
      </c>
      <c r="Y409" s="649">
        <v>85761.316111249878</v>
      </c>
      <c r="Z409" s="650">
        <v>81793.426696067778</v>
      </c>
      <c r="AC409" s="648">
        <v>95377.118687231152</v>
      </c>
      <c r="AD409" s="649">
        <v>90964.338230379144</v>
      </c>
      <c r="AE409" s="649">
        <v>120062.9611709851</v>
      </c>
      <c r="AF409" s="650">
        <v>114508.04930177142</v>
      </c>
      <c r="AI409" s="648">
        <v>108724.84221341382</v>
      </c>
      <c r="AJ409" s="649">
        <v>103694.50720751997</v>
      </c>
      <c r="AK409" s="649">
        <v>136865.38960982682</v>
      </c>
      <c r="AL409" s="650">
        <v>130533.08554358399</v>
      </c>
      <c r="AO409" s="648">
        <v>110900.07</v>
      </c>
      <c r="AP409" s="649">
        <v>105769.1</v>
      </c>
      <c r="AQ409" s="649">
        <v>139603.62</v>
      </c>
      <c r="AR409" s="650">
        <v>133144.63</v>
      </c>
    </row>
    <row r="410" spans="1:44" hidden="1">
      <c r="A410" s="644">
        <v>65</v>
      </c>
      <c r="B410" s="519" t="str">
        <f t="shared" ref="B410:B445" si="55">+CONCATENATE(A410,$B$343)</f>
        <v>65B</v>
      </c>
      <c r="C410" s="648">
        <v>176760.98</v>
      </c>
      <c r="D410" s="649">
        <v>167068.26999999999</v>
      </c>
      <c r="E410" s="649">
        <v>222510.88</v>
      </c>
      <c r="F410" s="650">
        <v>210309.46</v>
      </c>
      <c r="M410" s="648">
        <v>62949.936626943352</v>
      </c>
      <c r="N410" s="649">
        <v>59498.067112131692</v>
      </c>
      <c r="O410" s="649">
        <v>79242.861400975773</v>
      </c>
      <c r="P410" s="650">
        <v>74897.56683527166</v>
      </c>
      <c r="W410" s="648">
        <v>71765.317648517303</v>
      </c>
      <c r="X410" s="649">
        <v>67830.055351435614</v>
      </c>
      <c r="Y410" s="649">
        <v>90339.87045166298</v>
      </c>
      <c r="Z410" s="650">
        <v>85386.069677689535</v>
      </c>
      <c r="AC410" s="648">
        <v>100469.03355680991</v>
      </c>
      <c r="AD410" s="649">
        <v>94959.798556739959</v>
      </c>
      <c r="AE410" s="649">
        <v>126472.78341857252</v>
      </c>
      <c r="AF410" s="650">
        <v>119537.6287714256</v>
      </c>
      <c r="AI410" s="648">
        <v>114529.35432679142</v>
      </c>
      <c r="AJ410" s="649">
        <v>108249.11946182884</v>
      </c>
      <c r="AK410" s="649">
        <v>144172.2460349022</v>
      </c>
      <c r="AL410" s="650">
        <v>136266.53861665516</v>
      </c>
      <c r="AO410" s="648">
        <v>116820.72</v>
      </c>
      <c r="AP410" s="649">
        <v>110414.83</v>
      </c>
      <c r="AQ410" s="649">
        <v>147056.67000000001</v>
      </c>
      <c r="AR410" s="650">
        <v>138992.79</v>
      </c>
    </row>
    <row r="411" spans="1:44" hidden="1">
      <c r="A411" s="644">
        <v>66</v>
      </c>
      <c r="B411" s="519" t="str">
        <f t="shared" si="55"/>
        <v>66B</v>
      </c>
      <c r="C411" s="648">
        <v>186138.34</v>
      </c>
      <c r="D411" s="649">
        <v>174499.44</v>
      </c>
      <c r="E411" s="649">
        <v>234315.32</v>
      </c>
      <c r="F411" s="650">
        <v>219664</v>
      </c>
      <c r="M411" s="648">
        <v>66289.497246427709</v>
      </c>
      <c r="N411" s="649">
        <v>62144.533316244931</v>
      </c>
      <c r="O411" s="649">
        <v>83446.778886679589</v>
      </c>
      <c r="P411" s="650">
        <v>78229.000762802461</v>
      </c>
      <c r="W411" s="648">
        <v>75572.543541119609</v>
      </c>
      <c r="X411" s="649">
        <v>70847.127297191342</v>
      </c>
      <c r="Y411" s="649">
        <v>95132.495987056449</v>
      </c>
      <c r="Z411" s="650">
        <v>89184.030832934994</v>
      </c>
      <c r="AC411" s="648">
        <v>105799.02189234013</v>
      </c>
      <c r="AD411" s="649">
        <v>99183.597914056736</v>
      </c>
      <c r="AE411" s="649">
        <v>133182.29814682814</v>
      </c>
      <c r="AF411" s="650">
        <v>124854.64678593028</v>
      </c>
      <c r="AI411" s="648">
        <v>120605.25752827323</v>
      </c>
      <c r="AJ411" s="649">
        <v>113064.02606611974</v>
      </c>
      <c r="AK411" s="649">
        <v>151820.73594735572</v>
      </c>
      <c r="AL411" s="650">
        <v>142327.65634205667</v>
      </c>
      <c r="AO411" s="648">
        <v>123018.18</v>
      </c>
      <c r="AP411" s="649">
        <v>115326.07</v>
      </c>
      <c r="AQ411" s="649">
        <v>154858.18</v>
      </c>
      <c r="AR411" s="650">
        <v>145175.17000000001</v>
      </c>
    </row>
    <row r="412" spans="1:44" hidden="1">
      <c r="A412" s="644">
        <v>67</v>
      </c>
      <c r="B412" s="519" t="str">
        <f t="shared" si="55"/>
        <v>67B</v>
      </c>
      <c r="C412" s="648">
        <v>195814.36</v>
      </c>
      <c r="D412" s="649">
        <v>182034.42</v>
      </c>
      <c r="E412" s="649">
        <v>246495.72</v>
      </c>
      <c r="F412" s="650">
        <v>229149.21</v>
      </c>
      <c r="M412" s="648">
        <v>69735.42112524921</v>
      </c>
      <c r="N412" s="649">
        <v>64827.967773655015</v>
      </c>
      <c r="O412" s="649">
        <v>87784.588945901909</v>
      </c>
      <c r="P412" s="650">
        <v>81606.971197424544</v>
      </c>
      <c r="W412" s="648">
        <v>79501.027587446501</v>
      </c>
      <c r="X412" s="649">
        <v>73906.344455204904</v>
      </c>
      <c r="Y412" s="649">
        <v>100077.76413949145</v>
      </c>
      <c r="Z412" s="650">
        <v>93035.045373022629</v>
      </c>
      <c r="AC412" s="648">
        <v>111298.76756908715</v>
      </c>
      <c r="AD412" s="649">
        <v>103466.39915255141</v>
      </c>
      <c r="AE412" s="649">
        <v>140105.50741049787</v>
      </c>
      <c r="AF412" s="650">
        <v>130245.93775674117</v>
      </c>
      <c r="AI412" s="648">
        <v>126874.67506938289</v>
      </c>
      <c r="AJ412" s="649">
        <v>117946.19167665506</v>
      </c>
      <c r="AK412" s="649">
        <v>159712.82626381132</v>
      </c>
      <c r="AL412" s="650">
        <v>148473.44128708343</v>
      </c>
      <c r="AO412" s="648">
        <v>129413.03</v>
      </c>
      <c r="AP412" s="649">
        <v>120305.91</v>
      </c>
      <c r="AQ412" s="649">
        <v>162908.16</v>
      </c>
      <c r="AR412" s="650">
        <v>151443.91</v>
      </c>
    </row>
    <row r="413" spans="1:44" hidden="1">
      <c r="A413" s="644">
        <v>68</v>
      </c>
      <c r="B413" s="519" t="str">
        <f t="shared" si="55"/>
        <v>68B</v>
      </c>
      <c r="C413" s="648">
        <v>206036.7</v>
      </c>
      <c r="D413" s="649">
        <v>190005.32</v>
      </c>
      <c r="E413" s="649">
        <v>259363.84</v>
      </c>
      <c r="F413" s="650">
        <v>239183.17</v>
      </c>
      <c r="M413" s="648">
        <v>73375.905520531407</v>
      </c>
      <c r="N413" s="649">
        <v>67666.646955295611</v>
      </c>
      <c r="O413" s="649">
        <v>92367.316361139528</v>
      </c>
      <c r="P413" s="650">
        <v>85180.367343725055</v>
      </c>
      <c r="W413" s="648">
        <v>83651.318009026945</v>
      </c>
      <c r="X413" s="649">
        <v>77142.546492705849</v>
      </c>
      <c r="Y413" s="649">
        <v>105302.24737606918</v>
      </c>
      <c r="Z413" s="650">
        <v>97108.852643759121</v>
      </c>
      <c r="AC413" s="648">
        <v>117109.03471900042</v>
      </c>
      <c r="AD413" s="649">
        <v>107996.97327603985</v>
      </c>
      <c r="AE413" s="649">
        <v>147419.60841097697</v>
      </c>
      <c r="AF413" s="650">
        <v>135949.1310651325</v>
      </c>
      <c r="AI413" s="648">
        <v>133498.07057332649</v>
      </c>
      <c r="AJ413" s="649">
        <v>123110.80519709268</v>
      </c>
      <c r="AK413" s="649">
        <v>168050.51236877567</v>
      </c>
      <c r="AL413" s="650">
        <v>154974.77830692838</v>
      </c>
      <c r="AO413" s="648">
        <v>136168.93</v>
      </c>
      <c r="AP413" s="649">
        <v>125573.85</v>
      </c>
      <c r="AQ413" s="649">
        <v>171412.66</v>
      </c>
      <c r="AR413" s="650">
        <v>158075.32</v>
      </c>
    </row>
    <row r="414" spans="1:44" hidden="1">
      <c r="A414" s="644">
        <v>69</v>
      </c>
      <c r="B414" s="519" t="str">
        <f t="shared" si="55"/>
        <v>69B</v>
      </c>
      <c r="C414" s="648">
        <v>216221.4</v>
      </c>
      <c r="D414" s="649">
        <v>198435.31</v>
      </c>
      <c r="E414" s="649">
        <v>272184.58</v>
      </c>
      <c r="F414" s="650">
        <v>249795.03</v>
      </c>
      <c r="M414" s="648">
        <v>77002.984810315495</v>
      </c>
      <c r="N414" s="649">
        <v>70668.820156857837</v>
      </c>
      <c r="O414" s="649">
        <v>96933.169114161879</v>
      </c>
      <c r="P414" s="650">
        <v>88959.573609221057</v>
      </c>
      <c r="W414" s="648">
        <v>87786.326101414787</v>
      </c>
      <c r="X414" s="649">
        <v>80565.137919966539</v>
      </c>
      <c r="Y414" s="649">
        <v>110507.49285707511</v>
      </c>
      <c r="Z414" s="650">
        <v>101417.2912639579</v>
      </c>
      <c r="AC414" s="648">
        <v>122897.90712149549</v>
      </c>
      <c r="AD414" s="649">
        <v>112788.4862829332</v>
      </c>
      <c r="AE414" s="649">
        <v>154706.77720000024</v>
      </c>
      <c r="AF414" s="650">
        <v>141980.8003796924</v>
      </c>
      <c r="AI414" s="648">
        <v>140097.07720319575</v>
      </c>
      <c r="AJ414" s="649">
        <v>128572.8751653244</v>
      </c>
      <c r="AK414" s="649">
        <v>176357.49718519935</v>
      </c>
      <c r="AL414" s="650">
        <v>161850.56050223197</v>
      </c>
      <c r="AO414" s="648">
        <v>142899.97</v>
      </c>
      <c r="AP414" s="649">
        <v>131145.20000000001</v>
      </c>
      <c r="AQ414" s="649">
        <v>179885.84</v>
      </c>
      <c r="AR414" s="650">
        <v>165088.67000000001</v>
      </c>
    </row>
    <row r="415" spans="1:44" hidden="1">
      <c r="A415" s="644">
        <v>70</v>
      </c>
      <c r="B415" s="519" t="str">
        <f t="shared" si="55"/>
        <v>70B</v>
      </c>
      <c r="C415" s="648">
        <v>227069.71</v>
      </c>
      <c r="D415" s="649">
        <v>207066.25</v>
      </c>
      <c r="E415" s="649">
        <v>285840.69</v>
      </c>
      <c r="F415" s="650">
        <v>260659.87</v>
      </c>
      <c r="M415" s="648">
        <v>80866.397645804929</v>
      </c>
      <c r="N415" s="649">
        <v>73742.560386464174</v>
      </c>
      <c r="O415" s="649">
        <v>101796.52409530735</v>
      </c>
      <c r="P415" s="650">
        <v>92828.870133549019</v>
      </c>
      <c r="W415" s="648">
        <v>92190.763408307757</v>
      </c>
      <c r="X415" s="649">
        <v>84069.318476239132</v>
      </c>
      <c r="Y415" s="649">
        <v>116051.90217281094</v>
      </c>
      <c r="Z415" s="650">
        <v>105828.436199501</v>
      </c>
      <c r="AC415" s="648">
        <v>129063.97137209018</v>
      </c>
      <c r="AD415" s="649">
        <v>117694.22132923441</v>
      </c>
      <c r="AE415" s="649">
        <v>162468.76396251351</v>
      </c>
      <c r="AF415" s="650">
        <v>148156.25508503625</v>
      </c>
      <c r="AI415" s="648">
        <v>147126.06247713891</v>
      </c>
      <c r="AJ415" s="649">
        <v>134165.1521830335</v>
      </c>
      <c r="AK415" s="649">
        <v>185205.7492359278</v>
      </c>
      <c r="AL415" s="650">
        <v>168890.25039511273</v>
      </c>
      <c r="AO415" s="648">
        <v>150069.57999999999</v>
      </c>
      <c r="AP415" s="649">
        <v>136849.35999999999</v>
      </c>
      <c r="AQ415" s="649">
        <v>188911.12</v>
      </c>
      <c r="AR415" s="650">
        <v>172269.2</v>
      </c>
    </row>
    <row r="416" spans="1:44" hidden="1">
      <c r="A416" s="644">
        <v>71</v>
      </c>
      <c r="B416" s="519" t="str">
        <f t="shared" si="55"/>
        <v>71B</v>
      </c>
      <c r="C416" s="648">
        <v>238454.85</v>
      </c>
      <c r="D416" s="649">
        <v>215763.67</v>
      </c>
      <c r="E416" s="649">
        <v>300172.58</v>
      </c>
      <c r="F416" s="650">
        <v>271608.38</v>
      </c>
      <c r="M416" s="648">
        <v>84920.992296860277</v>
      </c>
      <c r="N416" s="649">
        <v>76839.973461950212</v>
      </c>
      <c r="O416" s="649">
        <v>106900.54324428296</v>
      </c>
      <c r="P416" s="650">
        <v>96727.966593278485</v>
      </c>
      <c r="W416" s="648">
        <v>96813.155243161862</v>
      </c>
      <c r="X416" s="649">
        <v>87600.486975553897</v>
      </c>
      <c r="Y416" s="649">
        <v>121870.67777668613</v>
      </c>
      <c r="Z416" s="650">
        <v>110273.55419275611</v>
      </c>
      <c r="AC416" s="648">
        <v>135535.16463905509</v>
      </c>
      <c r="AD416" s="649">
        <v>122637.73858906135</v>
      </c>
      <c r="AE416" s="649">
        <v>170614.85431033996</v>
      </c>
      <c r="AF416" s="650">
        <v>154379.2709297596</v>
      </c>
      <c r="AI416" s="648">
        <v>154502.87859999228</v>
      </c>
      <c r="AJ416" s="649">
        <v>139800.49891453347</v>
      </c>
      <c r="AK416" s="649">
        <v>194491.85894351971</v>
      </c>
      <c r="AL416" s="650">
        <v>175984.15745711862</v>
      </c>
      <c r="AO416" s="648">
        <v>157593.98000000001</v>
      </c>
      <c r="AP416" s="649">
        <v>142597.45000000001</v>
      </c>
      <c r="AQ416" s="649">
        <v>198383.01</v>
      </c>
      <c r="AR416" s="650">
        <v>179505.03</v>
      </c>
    </row>
    <row r="417" spans="1:44" hidden="1">
      <c r="A417" s="644">
        <v>72</v>
      </c>
      <c r="B417" s="519" t="str">
        <f t="shared" si="55"/>
        <v>72B</v>
      </c>
      <c r="C417" s="648">
        <v>249875.36</v>
      </c>
      <c r="D417" s="649">
        <v>225235.53</v>
      </c>
      <c r="E417" s="649">
        <v>314548.98</v>
      </c>
      <c r="F417" s="650">
        <v>283531.78000000003</v>
      </c>
      <c r="M417" s="648">
        <v>88988.180287614407</v>
      </c>
      <c r="N417" s="649">
        <v>80213.189452685212</v>
      </c>
      <c r="O417" s="649">
        <v>112020.41518558518</v>
      </c>
      <c r="P417" s="650">
        <v>100974.25025220372</v>
      </c>
      <c r="W417" s="648">
        <v>101449.90396337862</v>
      </c>
      <c r="X417" s="649">
        <v>91446.081269107846</v>
      </c>
      <c r="Y417" s="649">
        <v>127707.52616566484</v>
      </c>
      <c r="Z417" s="650">
        <v>115114.47877405339</v>
      </c>
      <c r="AC417" s="648">
        <v>142026.45706316901</v>
      </c>
      <c r="AD417" s="649">
        <v>128021.441396833</v>
      </c>
      <c r="AE417" s="649">
        <v>178786.24595010691</v>
      </c>
      <c r="AF417" s="650">
        <v>161156.4026995427</v>
      </c>
      <c r="AI417" s="648">
        <v>161902.60669292536</v>
      </c>
      <c r="AJ417" s="649">
        <v>145937.63375730839</v>
      </c>
      <c r="AK417" s="649">
        <v>203806.81077815307</v>
      </c>
      <c r="AL417" s="650">
        <v>183709.72720037642</v>
      </c>
      <c r="AO417" s="648">
        <v>165141.75</v>
      </c>
      <c r="AP417" s="649">
        <v>148857.37</v>
      </c>
      <c r="AQ417" s="649">
        <v>207884.33</v>
      </c>
      <c r="AR417" s="650">
        <v>187385.16</v>
      </c>
    </row>
    <row r="418" spans="1:44" hidden="1">
      <c r="A418" s="644">
        <v>73</v>
      </c>
      <c r="B418" s="519" t="str">
        <f t="shared" si="55"/>
        <v>73B</v>
      </c>
      <c r="C418" s="648">
        <v>261954.86</v>
      </c>
      <c r="D418" s="649">
        <v>234791.29</v>
      </c>
      <c r="E418" s="649">
        <v>329754.94</v>
      </c>
      <c r="F418" s="650">
        <v>295560.8</v>
      </c>
      <c r="M418" s="648">
        <v>93290.056352858883</v>
      </c>
      <c r="N418" s="649">
        <v>83616.287200684499</v>
      </c>
      <c r="O418" s="649">
        <v>117435.71799712825</v>
      </c>
      <c r="P418" s="650">
        <v>105258.14977027343</v>
      </c>
      <c r="W418" s="648">
        <v>106354.20599844509</v>
      </c>
      <c r="X418" s="649">
        <v>95325.741900403737</v>
      </c>
      <c r="Y418" s="649">
        <v>133881.17696274852</v>
      </c>
      <c r="Z418" s="650">
        <v>119998.28686286118</v>
      </c>
      <c r="AC418" s="648">
        <v>148892.31513889099</v>
      </c>
      <c r="AD418" s="649">
        <v>133452.83593289208</v>
      </c>
      <c r="AE418" s="649">
        <v>187429.1496454275</v>
      </c>
      <c r="AF418" s="650">
        <v>167993.5699390524</v>
      </c>
      <c r="AI418" s="648">
        <v>169729.31970561884</v>
      </c>
      <c r="AJ418" s="649">
        <v>152129.13463361739</v>
      </c>
      <c r="AK418" s="649">
        <v>213659.2612764849</v>
      </c>
      <c r="AL418" s="650">
        <v>191503.73418584777</v>
      </c>
      <c r="AO418" s="648">
        <v>173125.05</v>
      </c>
      <c r="AP418" s="649">
        <v>155172.75</v>
      </c>
      <c r="AQ418" s="649">
        <v>217933.89</v>
      </c>
      <c r="AR418" s="650">
        <v>195335.1</v>
      </c>
    </row>
    <row r="419" spans="1:44" hidden="1">
      <c r="A419" s="644">
        <v>74</v>
      </c>
      <c r="B419" s="519" t="str">
        <f t="shared" si="55"/>
        <v>74B</v>
      </c>
      <c r="C419" s="648">
        <v>274114.51</v>
      </c>
      <c r="D419" s="649">
        <v>244513.15</v>
      </c>
      <c r="E419" s="649">
        <v>345061.8</v>
      </c>
      <c r="F419" s="650">
        <v>307798.90000000002</v>
      </c>
      <c r="M419" s="648">
        <v>97620.475858779435</v>
      </c>
      <c r="N419" s="649">
        <v>87078.534153958695</v>
      </c>
      <c r="O419" s="649">
        <v>122886.9519634047</v>
      </c>
      <c r="P419" s="650">
        <v>109616.50769968919</v>
      </c>
      <c r="W419" s="648">
        <v>111291.04863953378</v>
      </c>
      <c r="X419" s="649">
        <v>99272.834871312094</v>
      </c>
      <c r="Y419" s="649">
        <v>140095.79064035427</v>
      </c>
      <c r="Z419" s="650">
        <v>124966.9803674164</v>
      </c>
      <c r="AC419" s="648">
        <v>155803.72896975387</v>
      </c>
      <c r="AD419" s="649">
        <v>138978.63347883569</v>
      </c>
      <c r="AE419" s="649">
        <v>196129.39999721953</v>
      </c>
      <c r="AF419" s="650">
        <v>174949.573908652</v>
      </c>
      <c r="AI419" s="648">
        <v>177607.96385607138</v>
      </c>
      <c r="AJ419" s="649">
        <v>158428.24991991741</v>
      </c>
      <c r="AK419" s="649">
        <v>223577.08391293688</v>
      </c>
      <c r="AL419" s="650">
        <v>199433.20872271957</v>
      </c>
      <c r="AO419" s="648">
        <v>181161.32</v>
      </c>
      <c r="AP419" s="649">
        <v>161597.89000000001</v>
      </c>
      <c r="AQ419" s="649">
        <v>228050.14</v>
      </c>
      <c r="AR419" s="650">
        <v>203423.22</v>
      </c>
    </row>
    <row r="420" spans="1:44" hidden="1">
      <c r="A420" s="644">
        <v>75</v>
      </c>
      <c r="B420" s="519" t="str">
        <f t="shared" si="55"/>
        <v>75B</v>
      </c>
      <c r="C420" s="648">
        <v>286723.08</v>
      </c>
      <c r="D420" s="649">
        <v>254510.63</v>
      </c>
      <c r="E420" s="649">
        <v>360933.76</v>
      </c>
      <c r="F420" s="650">
        <v>320383.96999999997</v>
      </c>
      <c r="M420" s="648">
        <v>102110.76934794869</v>
      </c>
      <c r="N420" s="649">
        <v>90638.938950111275</v>
      </c>
      <c r="O420" s="649">
        <v>128539.43906153539</v>
      </c>
      <c r="P420" s="650">
        <v>114098.42903131655</v>
      </c>
      <c r="W420" s="648">
        <v>116410.15369114034</v>
      </c>
      <c r="X420" s="649">
        <v>103331.83150966345</v>
      </c>
      <c r="Y420" s="649">
        <v>146539.84052884724</v>
      </c>
      <c r="Z420" s="650">
        <v>130076.54084157637</v>
      </c>
      <c r="AC420" s="648">
        <v>162970.30405174015</v>
      </c>
      <c r="AD420" s="649">
        <v>144661.09239949132</v>
      </c>
      <c r="AE420" s="649">
        <v>205150.85333571996</v>
      </c>
      <c r="AF420" s="650">
        <v>182102.78690288906</v>
      </c>
      <c r="AI420" s="648">
        <v>185777.47826082827</v>
      </c>
      <c r="AJ420" s="649">
        <v>164905.95084060167</v>
      </c>
      <c r="AK420" s="649">
        <v>233861.06086951323</v>
      </c>
      <c r="AL420" s="650">
        <v>207587.49105816914</v>
      </c>
      <c r="AO420" s="648">
        <v>189494.28</v>
      </c>
      <c r="AP420" s="649">
        <v>168205.19</v>
      </c>
      <c r="AQ420" s="649">
        <v>238539.86</v>
      </c>
      <c r="AR420" s="650">
        <v>211740.64</v>
      </c>
    </row>
    <row r="421" spans="1:44" hidden="1">
      <c r="A421" s="644">
        <v>76</v>
      </c>
      <c r="B421" s="519" t="str">
        <f t="shared" si="55"/>
        <v>76B</v>
      </c>
      <c r="C421" s="648">
        <v>301550.75</v>
      </c>
      <c r="D421" s="649">
        <v>265812.53999999998</v>
      </c>
      <c r="E421" s="649">
        <v>379599.18</v>
      </c>
      <c r="F421" s="650">
        <v>334611.08</v>
      </c>
      <c r="M421" s="648">
        <v>107391.34975225459</v>
      </c>
      <c r="N421" s="649">
        <v>94663.893179680599</v>
      </c>
      <c r="O421" s="649">
        <v>135186.75792342637</v>
      </c>
      <c r="P421" s="650">
        <v>119165.1361203038</v>
      </c>
      <c r="W421" s="648">
        <v>122430.21582923863</v>
      </c>
      <c r="X421" s="649">
        <v>107920.43213872513</v>
      </c>
      <c r="Y421" s="649">
        <v>154118.03639680627</v>
      </c>
      <c r="Z421" s="650">
        <v>135852.7792805128</v>
      </c>
      <c r="AC421" s="648">
        <v>171398.1887847101</v>
      </c>
      <c r="AD421" s="649">
        <v>151084.97911365429</v>
      </c>
      <c r="AE421" s="649">
        <v>215760.07294075275</v>
      </c>
      <c r="AF421" s="650">
        <v>190189.32664895302</v>
      </c>
      <c r="AI421" s="648">
        <v>195384.81857889632</v>
      </c>
      <c r="AJ421" s="649">
        <v>172228.84000948697</v>
      </c>
      <c r="AK421" s="649">
        <v>245955.00691696367</v>
      </c>
      <c r="AL421" s="650">
        <v>216805.71624723653</v>
      </c>
      <c r="AO421" s="648">
        <v>199293.84</v>
      </c>
      <c r="AP421" s="649">
        <v>175674.58</v>
      </c>
      <c r="AQ421" s="649">
        <v>250875.77</v>
      </c>
      <c r="AR421" s="650">
        <v>221143.3</v>
      </c>
    </row>
    <row r="422" spans="1:44" hidden="1">
      <c r="A422" s="644">
        <v>77</v>
      </c>
      <c r="B422" s="519" t="str">
        <f t="shared" si="55"/>
        <v>77B</v>
      </c>
      <c r="C422" s="648">
        <v>316826.84000000003</v>
      </c>
      <c r="D422" s="649">
        <v>277867.83</v>
      </c>
      <c r="E422" s="649">
        <v>398829.08</v>
      </c>
      <c r="F422" s="650">
        <v>349786.57</v>
      </c>
      <c r="M422" s="648">
        <v>112831.62862287962</v>
      </c>
      <c r="N422" s="649">
        <v>98957.1469757585</v>
      </c>
      <c r="O422" s="649">
        <v>142035.10897233084</v>
      </c>
      <c r="P422" s="650">
        <v>124569.58501654303</v>
      </c>
      <c r="W422" s="648">
        <v>128632.34028189165</v>
      </c>
      <c r="X422" s="649">
        <v>112814.90445959734</v>
      </c>
      <c r="Y422" s="649">
        <v>161925.41659014596</v>
      </c>
      <c r="Z422" s="650">
        <v>142014.05620208132</v>
      </c>
      <c r="AC422" s="648">
        <v>180080.95464117784</v>
      </c>
      <c r="AD422" s="649">
        <v>157937.07591976027</v>
      </c>
      <c r="AE422" s="649">
        <v>226690.14290124745</v>
      </c>
      <c r="AF422" s="650">
        <v>198814.90733428643</v>
      </c>
      <c r="AI422" s="648">
        <v>205282.70982067543</v>
      </c>
      <c r="AJ422" s="649">
        <v>180039.86590677747</v>
      </c>
      <c r="AK422" s="649">
        <v>258414.70530367381</v>
      </c>
      <c r="AL422" s="650">
        <v>226638.41943559039</v>
      </c>
      <c r="AO422" s="648">
        <v>209389.75</v>
      </c>
      <c r="AP422" s="649">
        <v>183641.88</v>
      </c>
      <c r="AQ422" s="649">
        <v>263584.75</v>
      </c>
      <c r="AR422" s="650">
        <v>231172.72</v>
      </c>
    </row>
    <row r="423" spans="1:44" hidden="1">
      <c r="A423" s="644">
        <v>78</v>
      </c>
      <c r="B423" s="519" t="str">
        <f t="shared" si="55"/>
        <v>78B</v>
      </c>
      <c r="C423" s="648">
        <v>333075.38</v>
      </c>
      <c r="D423" s="649">
        <v>290372.59999999998</v>
      </c>
      <c r="E423" s="649">
        <v>419283.12</v>
      </c>
      <c r="F423" s="650">
        <v>365527.86</v>
      </c>
      <c r="M423" s="648">
        <v>118618.2243352201</v>
      </c>
      <c r="N423" s="649">
        <v>103410.4722116309</v>
      </c>
      <c r="O423" s="649">
        <v>149319.41181021821</v>
      </c>
      <c r="P423" s="650">
        <v>130175.53560758241</v>
      </c>
      <c r="W423" s="648">
        <v>135229.27908201618</v>
      </c>
      <c r="X423" s="649">
        <v>117891.86429894609</v>
      </c>
      <c r="Y423" s="649">
        <v>170229.79837383211</v>
      </c>
      <c r="Z423" s="650">
        <v>148405.05270573209</v>
      </c>
      <c r="AC423" s="648">
        <v>189316.44731924342</v>
      </c>
      <c r="AD423" s="649">
        <v>165044.64912056871</v>
      </c>
      <c r="AE423" s="649">
        <v>238315.9983901064</v>
      </c>
      <c r="AF423" s="650">
        <v>207762.08771648057</v>
      </c>
      <c r="AI423" s="648">
        <v>215810.68023964606</v>
      </c>
      <c r="AJ423" s="649">
        <v>188142.12130528997</v>
      </c>
      <c r="AK423" s="649">
        <v>271667.56218402501</v>
      </c>
      <c r="AL423" s="650">
        <v>236837.72917254144</v>
      </c>
      <c r="AO423" s="648">
        <v>220128.35</v>
      </c>
      <c r="AP423" s="649">
        <v>191906.24</v>
      </c>
      <c r="AQ423" s="649">
        <v>277102.75</v>
      </c>
      <c r="AR423" s="650">
        <v>241576.09</v>
      </c>
    </row>
    <row r="424" spans="1:44" hidden="1">
      <c r="A424" s="644">
        <v>79</v>
      </c>
      <c r="B424" s="519" t="str">
        <f t="shared" si="55"/>
        <v>79B</v>
      </c>
      <c r="C424" s="648">
        <v>351517.87</v>
      </c>
      <c r="D424" s="649">
        <v>302875.21000000002</v>
      </c>
      <c r="E424" s="649">
        <v>442498.97</v>
      </c>
      <c r="F424" s="650">
        <v>381266.44</v>
      </c>
      <c r="M424" s="648">
        <v>125186.15559928767</v>
      </c>
      <c r="N424" s="649">
        <v>107863.02956093629</v>
      </c>
      <c r="O424" s="649">
        <v>157587.2782249857</v>
      </c>
      <c r="P424" s="650">
        <v>135780.51956494336</v>
      </c>
      <c r="W424" s="648">
        <v>142716.97007450709</v>
      </c>
      <c r="X424" s="649">
        <v>122967.94871845566</v>
      </c>
      <c r="Y424" s="649">
        <v>179655.47997614427</v>
      </c>
      <c r="Z424" s="650">
        <v>154794.94721029126</v>
      </c>
      <c r="AC424" s="648">
        <v>199798.96313937838</v>
      </c>
      <c r="AD424" s="649">
        <v>172150.99676301441</v>
      </c>
      <c r="AE424" s="649">
        <v>251511.63595192344</v>
      </c>
      <c r="AF424" s="650">
        <v>216707.72533697111</v>
      </c>
      <c r="AI424" s="648">
        <v>227760.19071166209</v>
      </c>
      <c r="AJ424" s="649">
        <v>196242.97963245612</v>
      </c>
      <c r="AK424" s="649">
        <v>286709.88713115116</v>
      </c>
      <c r="AL424" s="650">
        <v>247035.2802432095</v>
      </c>
      <c r="AO424" s="648">
        <v>232316.93</v>
      </c>
      <c r="AP424" s="649">
        <v>200169.17</v>
      </c>
      <c r="AQ424" s="649">
        <v>292446.02</v>
      </c>
      <c r="AR424" s="650">
        <v>251977.66</v>
      </c>
    </row>
    <row r="425" spans="1:44" hidden="1">
      <c r="A425" s="644">
        <v>80</v>
      </c>
      <c r="B425" s="519" t="str">
        <f t="shared" si="55"/>
        <v>80B</v>
      </c>
      <c r="C425" s="648">
        <v>369130.36</v>
      </c>
      <c r="D425" s="649">
        <v>316002.99</v>
      </c>
      <c r="E425" s="649">
        <v>464669.98</v>
      </c>
      <c r="F425" s="650">
        <v>397792</v>
      </c>
      <c r="M425" s="648">
        <v>131458.49441429399</v>
      </c>
      <c r="N425" s="649">
        <v>112538.23013543831</v>
      </c>
      <c r="O425" s="649">
        <v>165483.04590975834</v>
      </c>
      <c r="P425" s="650">
        <v>141665.77205284586</v>
      </c>
      <c r="W425" s="648">
        <v>149867.67445290339</v>
      </c>
      <c r="X425" s="649">
        <v>128297.85486733749</v>
      </c>
      <c r="Y425" s="649">
        <v>188656.9548995372</v>
      </c>
      <c r="Z425" s="650">
        <v>161504.35848006015</v>
      </c>
      <c r="AC425" s="648">
        <v>209809.70902176309</v>
      </c>
      <c r="AD425" s="649">
        <v>179612.68629874964</v>
      </c>
      <c r="AE425" s="649">
        <v>264113.39841563115</v>
      </c>
      <c r="AF425" s="650">
        <v>226100.67569372014</v>
      </c>
      <c r="AI425" s="648">
        <v>239171.90854799235</v>
      </c>
      <c r="AJ425" s="649">
        <v>204748.90881740756</v>
      </c>
      <c r="AK425" s="649">
        <v>301075.22605453152</v>
      </c>
      <c r="AL425" s="650">
        <v>257742.74404073658</v>
      </c>
      <c r="AO425" s="648">
        <v>243956.96</v>
      </c>
      <c r="AP425" s="649">
        <v>208845.27</v>
      </c>
      <c r="AQ425" s="649">
        <v>307098.77</v>
      </c>
      <c r="AR425" s="650">
        <v>262899.34000000003</v>
      </c>
    </row>
    <row r="426" spans="1:44" hidden="1">
      <c r="A426" s="644">
        <v>81</v>
      </c>
      <c r="B426" s="519" t="str">
        <f t="shared" si="55"/>
        <v>81B</v>
      </c>
      <c r="C426" s="648">
        <v>389313.15</v>
      </c>
      <c r="D426" s="649">
        <v>329244.31</v>
      </c>
      <c r="E426" s="649">
        <v>490076.55</v>
      </c>
      <c r="F426" s="650">
        <v>414460.48</v>
      </c>
      <c r="M426" s="648">
        <v>138646.19789639267</v>
      </c>
      <c r="N426" s="649">
        <v>117253.86542259675</v>
      </c>
      <c r="O426" s="649">
        <v>174531.09617545901</v>
      </c>
      <c r="P426" s="650">
        <v>147601.92470844535</v>
      </c>
      <c r="W426" s="648">
        <v>158061.92930359664</v>
      </c>
      <c r="X426" s="649">
        <v>133673.85812375118</v>
      </c>
      <c r="Y426" s="649">
        <v>198972.07571158637</v>
      </c>
      <c r="Z426" s="650">
        <v>168271.797873428</v>
      </c>
      <c r="AC426" s="648">
        <v>221281.39050444603</v>
      </c>
      <c r="AD426" s="649">
        <v>187138.91023627171</v>
      </c>
      <c r="AE426" s="649">
        <v>278554.22098794969</v>
      </c>
      <c r="AF426" s="650">
        <v>235574.86347389506</v>
      </c>
      <c r="AI426" s="648">
        <v>252249.01526178763</v>
      </c>
      <c r="AJ426" s="649">
        <v>213328.40378782392</v>
      </c>
      <c r="AK426" s="649">
        <v>317536.99568248558</v>
      </c>
      <c r="AL426" s="650">
        <v>268542.81417996669</v>
      </c>
      <c r="AO426" s="648">
        <v>257295.7</v>
      </c>
      <c r="AP426" s="649">
        <v>217596.41</v>
      </c>
      <c r="AQ426" s="649">
        <v>323889.88</v>
      </c>
      <c r="AR426" s="650">
        <v>273915.49</v>
      </c>
    </row>
    <row r="427" spans="1:44" hidden="1">
      <c r="A427" s="644">
        <v>82</v>
      </c>
      <c r="B427" s="519" t="str">
        <f t="shared" si="55"/>
        <v>82B</v>
      </c>
      <c r="C427" s="648">
        <v>409893.42</v>
      </c>
      <c r="D427" s="649">
        <v>342627.51</v>
      </c>
      <c r="E427" s="649">
        <v>515983.48</v>
      </c>
      <c r="F427" s="650">
        <v>431307.57</v>
      </c>
      <c r="M427" s="648">
        <v>145975.45578221307</v>
      </c>
      <c r="N427" s="649">
        <v>122020.02764586356</v>
      </c>
      <c r="O427" s="649">
        <v>183757.33845525645</v>
      </c>
      <c r="P427" s="650">
        <v>153601.68186008709</v>
      </c>
      <c r="W427" s="648">
        <v>166417.56154864444</v>
      </c>
      <c r="X427" s="649">
        <v>139107.46400558311</v>
      </c>
      <c r="Y427" s="649">
        <v>209490.34218476416</v>
      </c>
      <c r="Z427" s="650">
        <v>175111.74880702817</v>
      </c>
      <c r="AC427" s="648">
        <v>232978.99491731264</v>
      </c>
      <c r="AD427" s="649">
        <v>194745.7759140624</v>
      </c>
      <c r="AE427" s="649">
        <v>293279.44066061702</v>
      </c>
      <c r="AF427" s="650">
        <v>245150.56497417265</v>
      </c>
      <c r="AI427" s="648">
        <v>265583.66209919646</v>
      </c>
      <c r="AJ427" s="649">
        <v>221999.82605282837</v>
      </c>
      <c r="AK427" s="649">
        <v>334322.96287781192</v>
      </c>
      <c r="AL427" s="650">
        <v>279458.60456061916</v>
      </c>
      <c r="AO427" s="648">
        <v>270897.13</v>
      </c>
      <c r="AP427" s="649">
        <v>226441.32</v>
      </c>
      <c r="AQ427" s="649">
        <v>341011.68</v>
      </c>
      <c r="AR427" s="650">
        <v>285049.67</v>
      </c>
    </row>
    <row r="428" spans="1:44" hidden="1">
      <c r="A428" s="644">
        <v>83</v>
      </c>
      <c r="B428" s="519" t="str">
        <f t="shared" si="55"/>
        <v>83B</v>
      </c>
      <c r="C428" s="648">
        <v>431542.92</v>
      </c>
      <c r="D428" s="649">
        <v>357785.38</v>
      </c>
      <c r="E428" s="649">
        <v>543236.38</v>
      </c>
      <c r="F428" s="650">
        <v>450388.65</v>
      </c>
      <c r="M428" s="648">
        <v>153685.49764679899</v>
      </c>
      <c r="N428" s="649">
        <v>127418.20439300098</v>
      </c>
      <c r="O428" s="649">
        <v>193462.92056714703</v>
      </c>
      <c r="P428" s="650">
        <v>160397.0337653071</v>
      </c>
      <c r="W428" s="648">
        <v>175207.30198594535</v>
      </c>
      <c r="X428" s="649">
        <v>145261.59043905349</v>
      </c>
      <c r="Y428" s="649">
        <v>220555.07426466071</v>
      </c>
      <c r="Z428" s="650">
        <v>182858.70796445556</v>
      </c>
      <c r="AC428" s="648">
        <v>245284.33621428767</v>
      </c>
      <c r="AD428" s="649">
        <v>203361.34615629844</v>
      </c>
      <c r="AE428" s="649">
        <v>308769.69382269168</v>
      </c>
      <c r="AF428" s="650">
        <v>255996.04751439922</v>
      </c>
      <c r="AI428" s="648">
        <v>279611.09665908455</v>
      </c>
      <c r="AJ428" s="649">
        <v>231821.11786850472</v>
      </c>
      <c r="AK428" s="649">
        <v>351981.02755908313</v>
      </c>
      <c r="AL428" s="650">
        <v>291821.87778741185</v>
      </c>
      <c r="AO428" s="648">
        <v>285205.21000000002</v>
      </c>
      <c r="AP428" s="649">
        <v>236459.11</v>
      </c>
      <c r="AQ428" s="649">
        <v>359023.03</v>
      </c>
      <c r="AR428" s="650">
        <v>297660.28999999998</v>
      </c>
    </row>
    <row r="429" spans="1:44" hidden="1">
      <c r="A429" s="644">
        <v>84</v>
      </c>
      <c r="B429" s="519" t="str">
        <f t="shared" si="55"/>
        <v>84B</v>
      </c>
      <c r="C429" s="648">
        <v>455136.45</v>
      </c>
      <c r="D429" s="649">
        <v>372569.49</v>
      </c>
      <c r="E429" s="649">
        <v>572936.47</v>
      </c>
      <c r="F429" s="650">
        <v>468999.24</v>
      </c>
      <c r="M429" s="648">
        <v>162087.86604018908</v>
      </c>
      <c r="N429" s="649">
        <v>132683.27348865356</v>
      </c>
      <c r="O429" s="649">
        <v>204040.0196035321</v>
      </c>
      <c r="P429" s="650">
        <v>167024.82662689334</v>
      </c>
      <c r="W429" s="648">
        <v>184786.32095025372</v>
      </c>
      <c r="X429" s="649">
        <v>151263.96909640028</v>
      </c>
      <c r="Y429" s="649">
        <v>232613.36872561352</v>
      </c>
      <c r="Z429" s="650">
        <v>190414.64345076276</v>
      </c>
      <c r="AC429" s="648">
        <v>258694.64093111354</v>
      </c>
      <c r="AD429" s="649">
        <v>211764.47461034101</v>
      </c>
      <c r="AE429" s="649">
        <v>325650.90093681356</v>
      </c>
      <c r="AF429" s="650">
        <v>266574.10333301756</v>
      </c>
      <c r="AI429" s="648">
        <v>294898.13074481743</v>
      </c>
      <c r="AJ429" s="649">
        <v>241400.23734537713</v>
      </c>
      <c r="AK429" s="649">
        <v>371224.70576112322</v>
      </c>
      <c r="AL429" s="650">
        <v>303880.29877594532</v>
      </c>
      <c r="AO429" s="648">
        <v>300798.09000000003</v>
      </c>
      <c r="AP429" s="649">
        <v>246229.87</v>
      </c>
      <c r="AQ429" s="649">
        <v>378651.71</v>
      </c>
      <c r="AR429" s="650">
        <v>309959.96000000002</v>
      </c>
    </row>
    <row r="430" spans="1:44" hidden="1">
      <c r="A430" s="644">
        <v>85</v>
      </c>
      <c r="B430" s="519" t="str">
        <f t="shared" si="55"/>
        <v>85B</v>
      </c>
      <c r="C430" s="648">
        <v>478496.73</v>
      </c>
      <c r="D430" s="649">
        <v>386864.57</v>
      </c>
      <c r="E430" s="649">
        <v>602342.93999999994</v>
      </c>
      <c r="F430" s="650">
        <v>486994.23</v>
      </c>
      <c r="M430" s="648">
        <v>170407.17104664631</v>
      </c>
      <c r="N430" s="649">
        <v>137774.18591091136</v>
      </c>
      <c r="O430" s="649">
        <v>214512.55649401352</v>
      </c>
      <c r="P430" s="650">
        <v>173433.38697020605</v>
      </c>
      <c r="W430" s="648">
        <v>194270.64449995788</v>
      </c>
      <c r="X430" s="649">
        <v>157067.80253422042</v>
      </c>
      <c r="Y430" s="649">
        <v>244552.4583705352</v>
      </c>
      <c r="Z430" s="650">
        <v>197720.64554307747</v>
      </c>
      <c r="AC430" s="648">
        <v>271972.37524904357</v>
      </c>
      <c r="AD430" s="649">
        <v>219889.64642771304</v>
      </c>
      <c r="AE430" s="649">
        <v>342365.22531350196</v>
      </c>
      <c r="AF430" s="650">
        <v>276802.26079723873</v>
      </c>
      <c r="AI430" s="648">
        <v>310034.04162720224</v>
      </c>
      <c r="AJ430" s="649">
        <v>250662.5010409035</v>
      </c>
      <c r="AK430" s="649">
        <v>390278.14651894884</v>
      </c>
      <c r="AL430" s="650">
        <v>315539.85425149027</v>
      </c>
      <c r="AO430" s="648">
        <v>316236.82</v>
      </c>
      <c r="AP430" s="649">
        <v>255677.45</v>
      </c>
      <c r="AQ430" s="649">
        <v>398086.35</v>
      </c>
      <c r="AR430" s="650">
        <v>321852.78999999998</v>
      </c>
    </row>
    <row r="431" spans="1:44" hidden="1">
      <c r="A431" s="644">
        <v>86</v>
      </c>
      <c r="B431" s="519" t="str">
        <f t="shared" si="55"/>
        <v>86B</v>
      </c>
      <c r="C431" s="648">
        <v>478496.73</v>
      </c>
      <c r="D431" s="649">
        <v>386864.57</v>
      </c>
      <c r="E431" s="649">
        <v>602342.93999999994</v>
      </c>
      <c r="F431" s="650">
        <v>486994.23</v>
      </c>
      <c r="M431" s="648">
        <v>170407.17104664631</v>
      </c>
      <c r="N431" s="649">
        <v>137774.18591091136</v>
      </c>
      <c r="O431" s="649">
        <v>214512.55649401352</v>
      </c>
      <c r="P431" s="650">
        <v>173433.38697020605</v>
      </c>
      <c r="W431" s="648">
        <v>194270.64449995788</v>
      </c>
      <c r="X431" s="649">
        <v>157067.80253422042</v>
      </c>
      <c r="Y431" s="649">
        <v>244552.4583705352</v>
      </c>
      <c r="Z431" s="650">
        <v>197720.64554307747</v>
      </c>
      <c r="AC431" s="648">
        <v>271972.37524904357</v>
      </c>
      <c r="AD431" s="649">
        <v>219889.64642771304</v>
      </c>
      <c r="AE431" s="649">
        <v>342365.22531350196</v>
      </c>
      <c r="AF431" s="650">
        <v>276802.26079723873</v>
      </c>
      <c r="AI431" s="648">
        <v>310034.04162720224</v>
      </c>
      <c r="AJ431" s="649">
        <v>250662.5010409035</v>
      </c>
      <c r="AK431" s="649">
        <v>390278.14651894884</v>
      </c>
      <c r="AL431" s="650">
        <v>315539.85425149027</v>
      </c>
      <c r="AO431" s="648">
        <v>316236.82</v>
      </c>
      <c r="AP431" s="649">
        <v>255677.45</v>
      </c>
      <c r="AQ431" s="649">
        <v>398086.35</v>
      </c>
      <c r="AR431" s="650">
        <v>321852.78999999998</v>
      </c>
    </row>
    <row r="432" spans="1:44" hidden="1">
      <c r="A432" s="644">
        <v>87</v>
      </c>
      <c r="B432" s="519" t="str">
        <f t="shared" si="55"/>
        <v>87B</v>
      </c>
      <c r="C432" s="648">
        <v>478496.73</v>
      </c>
      <c r="D432" s="649">
        <v>386864.57</v>
      </c>
      <c r="E432" s="649">
        <v>602342.93999999994</v>
      </c>
      <c r="F432" s="650">
        <v>486994.23</v>
      </c>
      <c r="M432" s="648">
        <v>170407.17104664631</v>
      </c>
      <c r="N432" s="649">
        <v>137774.18591091136</v>
      </c>
      <c r="O432" s="649">
        <v>214512.55649401352</v>
      </c>
      <c r="P432" s="650">
        <v>173433.38697020605</v>
      </c>
      <c r="W432" s="648">
        <v>194270.64449995788</v>
      </c>
      <c r="X432" s="649">
        <v>157067.80253422042</v>
      </c>
      <c r="Y432" s="649">
        <v>244552.4583705352</v>
      </c>
      <c r="Z432" s="650">
        <v>197720.64554307747</v>
      </c>
      <c r="AC432" s="648">
        <v>271972.37524904357</v>
      </c>
      <c r="AD432" s="649">
        <v>219889.64642771304</v>
      </c>
      <c r="AE432" s="649">
        <v>342365.22531350196</v>
      </c>
      <c r="AF432" s="650">
        <v>276802.26079723873</v>
      </c>
      <c r="AI432" s="648">
        <v>310034.04162720224</v>
      </c>
      <c r="AJ432" s="649">
        <v>250662.5010409035</v>
      </c>
      <c r="AK432" s="649">
        <v>390278.14651894884</v>
      </c>
      <c r="AL432" s="650">
        <v>315539.85425149027</v>
      </c>
      <c r="AO432" s="648">
        <v>316236.82</v>
      </c>
      <c r="AP432" s="649">
        <v>255677.45</v>
      </c>
      <c r="AQ432" s="649">
        <v>398086.35</v>
      </c>
      <c r="AR432" s="650">
        <v>321852.78999999998</v>
      </c>
    </row>
    <row r="433" spans="1:44" hidden="1">
      <c r="A433" s="644">
        <v>88</v>
      </c>
      <c r="B433" s="519" t="str">
        <f t="shared" si="55"/>
        <v>88B</v>
      </c>
      <c r="C433" s="648">
        <v>478496.73</v>
      </c>
      <c r="D433" s="649">
        <v>386864.57</v>
      </c>
      <c r="E433" s="649">
        <v>602342.93999999994</v>
      </c>
      <c r="F433" s="650">
        <v>486994.23</v>
      </c>
      <c r="M433" s="648">
        <v>170407.17104664631</v>
      </c>
      <c r="N433" s="649">
        <v>137774.18591091136</v>
      </c>
      <c r="O433" s="649">
        <v>214512.55649401352</v>
      </c>
      <c r="P433" s="650">
        <v>173433.38697020605</v>
      </c>
      <c r="W433" s="648">
        <v>194270.64449995788</v>
      </c>
      <c r="X433" s="649">
        <v>157067.80253422042</v>
      </c>
      <c r="Y433" s="649">
        <v>244552.4583705352</v>
      </c>
      <c r="Z433" s="650">
        <v>197720.64554307747</v>
      </c>
      <c r="AC433" s="648">
        <v>271972.37524904357</v>
      </c>
      <c r="AD433" s="649">
        <v>219889.64642771304</v>
      </c>
      <c r="AE433" s="649">
        <v>342365.22531350196</v>
      </c>
      <c r="AF433" s="650">
        <v>276802.26079723873</v>
      </c>
      <c r="AI433" s="648">
        <v>310034.04162720224</v>
      </c>
      <c r="AJ433" s="649">
        <v>250662.5010409035</v>
      </c>
      <c r="AK433" s="649">
        <v>390278.14651894884</v>
      </c>
      <c r="AL433" s="650">
        <v>315539.85425149027</v>
      </c>
      <c r="AO433" s="648">
        <v>316236.82</v>
      </c>
      <c r="AP433" s="649">
        <v>255677.45</v>
      </c>
      <c r="AQ433" s="649">
        <v>398086.35</v>
      </c>
      <c r="AR433" s="650">
        <v>321852.78999999998</v>
      </c>
    </row>
    <row r="434" spans="1:44" hidden="1">
      <c r="A434" s="644">
        <v>89</v>
      </c>
      <c r="B434" s="519" t="str">
        <f t="shared" si="55"/>
        <v>89B</v>
      </c>
      <c r="C434" s="648">
        <v>478496.73</v>
      </c>
      <c r="D434" s="649">
        <v>386864.57</v>
      </c>
      <c r="E434" s="649">
        <v>602342.93999999994</v>
      </c>
      <c r="F434" s="650">
        <v>486994.23</v>
      </c>
      <c r="M434" s="648">
        <v>170407.17104664631</v>
      </c>
      <c r="N434" s="649">
        <v>137774.18591091136</v>
      </c>
      <c r="O434" s="649">
        <v>214512.55649401352</v>
      </c>
      <c r="P434" s="650">
        <v>173433.38697020605</v>
      </c>
      <c r="W434" s="648">
        <v>194270.64449995788</v>
      </c>
      <c r="X434" s="649">
        <v>157067.80253422042</v>
      </c>
      <c r="Y434" s="649">
        <v>244552.4583705352</v>
      </c>
      <c r="Z434" s="650">
        <v>197720.64554307747</v>
      </c>
      <c r="AC434" s="648">
        <v>271972.37524904357</v>
      </c>
      <c r="AD434" s="649">
        <v>219889.64642771304</v>
      </c>
      <c r="AE434" s="649">
        <v>342365.22531350196</v>
      </c>
      <c r="AF434" s="650">
        <v>276802.26079723873</v>
      </c>
      <c r="AI434" s="648">
        <v>310034.04162720224</v>
      </c>
      <c r="AJ434" s="649">
        <v>250662.5010409035</v>
      </c>
      <c r="AK434" s="649">
        <v>390278.14651894884</v>
      </c>
      <c r="AL434" s="650">
        <v>315539.85425149027</v>
      </c>
      <c r="AO434" s="648">
        <v>316236.82</v>
      </c>
      <c r="AP434" s="649">
        <v>255677.45</v>
      </c>
      <c r="AQ434" s="649">
        <v>398086.35</v>
      </c>
      <c r="AR434" s="650">
        <v>321852.78999999998</v>
      </c>
    </row>
    <row r="435" spans="1:44" hidden="1">
      <c r="A435" s="644">
        <v>90</v>
      </c>
      <c r="B435" s="519" t="str">
        <f t="shared" si="55"/>
        <v>90B</v>
      </c>
      <c r="C435" s="648">
        <v>478496.73</v>
      </c>
      <c r="D435" s="649">
        <v>386864.57</v>
      </c>
      <c r="E435" s="649">
        <v>602342.93999999994</v>
      </c>
      <c r="F435" s="650">
        <v>486994.23</v>
      </c>
      <c r="M435" s="648">
        <v>170407.17104664631</v>
      </c>
      <c r="N435" s="649">
        <v>137774.18591091136</v>
      </c>
      <c r="O435" s="649">
        <v>214512.55649401352</v>
      </c>
      <c r="P435" s="650">
        <v>173433.38697020605</v>
      </c>
      <c r="W435" s="648">
        <v>194270.64449995788</v>
      </c>
      <c r="X435" s="649">
        <v>157067.80253422042</v>
      </c>
      <c r="Y435" s="649">
        <v>244552.4583705352</v>
      </c>
      <c r="Z435" s="650">
        <v>197720.64554307747</v>
      </c>
      <c r="AC435" s="648">
        <v>271972.37524904357</v>
      </c>
      <c r="AD435" s="649">
        <v>219889.64642771304</v>
      </c>
      <c r="AE435" s="649">
        <v>342365.22531350196</v>
      </c>
      <c r="AF435" s="650">
        <v>276802.26079723873</v>
      </c>
      <c r="AI435" s="648">
        <v>310034.04162720224</v>
      </c>
      <c r="AJ435" s="649">
        <v>250662.5010409035</v>
      </c>
      <c r="AK435" s="649">
        <v>390278.14651894884</v>
      </c>
      <c r="AL435" s="650">
        <v>315539.85425149027</v>
      </c>
      <c r="AO435" s="648">
        <v>316236.82</v>
      </c>
      <c r="AP435" s="649">
        <v>255677.45</v>
      </c>
      <c r="AQ435" s="649">
        <v>398086.35</v>
      </c>
      <c r="AR435" s="650">
        <v>321852.78999999998</v>
      </c>
    </row>
    <row r="436" spans="1:44" hidden="1">
      <c r="A436" s="644">
        <v>91</v>
      </c>
      <c r="B436" s="519" t="str">
        <f t="shared" si="55"/>
        <v>91B</v>
      </c>
      <c r="C436" s="648">
        <v>478496.73</v>
      </c>
      <c r="D436" s="649">
        <v>386864.57</v>
      </c>
      <c r="E436" s="649">
        <v>602342.93999999994</v>
      </c>
      <c r="F436" s="650">
        <v>486994.23</v>
      </c>
      <c r="M436" s="648">
        <v>170407.17104664631</v>
      </c>
      <c r="N436" s="649">
        <v>137774.18591091136</v>
      </c>
      <c r="O436" s="649">
        <v>214512.55649401352</v>
      </c>
      <c r="P436" s="650">
        <v>173433.38697020605</v>
      </c>
      <c r="W436" s="648">
        <v>194270.64449995788</v>
      </c>
      <c r="X436" s="649">
        <v>157067.80253422042</v>
      </c>
      <c r="Y436" s="649">
        <v>244552.4583705352</v>
      </c>
      <c r="Z436" s="650">
        <v>197720.64554307747</v>
      </c>
      <c r="AC436" s="648">
        <v>271972.37524904357</v>
      </c>
      <c r="AD436" s="649">
        <v>219889.64642771304</v>
      </c>
      <c r="AE436" s="649">
        <v>342365.22531350196</v>
      </c>
      <c r="AF436" s="650">
        <v>276802.26079723873</v>
      </c>
      <c r="AI436" s="648">
        <v>310034.04162720224</v>
      </c>
      <c r="AJ436" s="649">
        <v>250662.5010409035</v>
      </c>
      <c r="AK436" s="649">
        <v>390278.14651894884</v>
      </c>
      <c r="AL436" s="650">
        <v>315539.85425149027</v>
      </c>
      <c r="AO436" s="648">
        <v>316236.82</v>
      </c>
      <c r="AP436" s="649">
        <v>255677.45</v>
      </c>
      <c r="AQ436" s="649">
        <v>398086.35</v>
      </c>
      <c r="AR436" s="650">
        <v>321852.78999999998</v>
      </c>
    </row>
    <row r="437" spans="1:44" hidden="1">
      <c r="A437" s="644">
        <v>92</v>
      </c>
      <c r="B437" s="519" t="str">
        <f t="shared" si="55"/>
        <v>92B</v>
      </c>
      <c r="C437" s="648">
        <v>478496.73</v>
      </c>
      <c r="D437" s="649">
        <v>386864.57</v>
      </c>
      <c r="E437" s="649">
        <v>602342.93999999994</v>
      </c>
      <c r="F437" s="650">
        <v>486994.23</v>
      </c>
      <c r="M437" s="648">
        <v>170407.17104664631</v>
      </c>
      <c r="N437" s="649">
        <v>137774.18591091136</v>
      </c>
      <c r="O437" s="649">
        <v>214512.55649401352</v>
      </c>
      <c r="P437" s="650">
        <v>173433.38697020605</v>
      </c>
      <c r="W437" s="648">
        <v>194270.64449995788</v>
      </c>
      <c r="X437" s="649">
        <v>157067.80253422042</v>
      </c>
      <c r="Y437" s="649">
        <v>244552.4583705352</v>
      </c>
      <c r="Z437" s="650">
        <v>197720.64554307747</v>
      </c>
      <c r="AC437" s="648">
        <v>271972.37524904357</v>
      </c>
      <c r="AD437" s="649">
        <v>219889.64642771304</v>
      </c>
      <c r="AE437" s="649">
        <v>342365.22531350196</v>
      </c>
      <c r="AF437" s="650">
        <v>276802.26079723873</v>
      </c>
      <c r="AI437" s="648">
        <v>310034.04162720224</v>
      </c>
      <c r="AJ437" s="649">
        <v>250662.5010409035</v>
      </c>
      <c r="AK437" s="649">
        <v>390278.14651894884</v>
      </c>
      <c r="AL437" s="650">
        <v>315539.85425149027</v>
      </c>
      <c r="AO437" s="648">
        <v>316236.82</v>
      </c>
      <c r="AP437" s="649">
        <v>255677.45</v>
      </c>
      <c r="AQ437" s="649">
        <v>398086.35</v>
      </c>
      <c r="AR437" s="650">
        <v>321852.78999999998</v>
      </c>
    </row>
    <row r="438" spans="1:44" hidden="1">
      <c r="A438" s="644">
        <v>93</v>
      </c>
      <c r="B438" s="519" t="str">
        <f t="shared" si="55"/>
        <v>93B</v>
      </c>
      <c r="C438" s="648">
        <v>478496.73</v>
      </c>
      <c r="D438" s="649">
        <v>386864.57</v>
      </c>
      <c r="E438" s="649">
        <v>602342.93999999994</v>
      </c>
      <c r="F438" s="650">
        <v>486994.23</v>
      </c>
      <c r="M438" s="648">
        <v>170407.17104664631</v>
      </c>
      <c r="N438" s="649">
        <v>137774.18591091136</v>
      </c>
      <c r="O438" s="649">
        <v>214512.55649401352</v>
      </c>
      <c r="P438" s="650">
        <v>173433.38697020605</v>
      </c>
      <c r="W438" s="648">
        <v>194270.64449995788</v>
      </c>
      <c r="X438" s="649">
        <v>157067.80253422042</v>
      </c>
      <c r="Y438" s="649">
        <v>244552.4583705352</v>
      </c>
      <c r="Z438" s="650">
        <v>197720.64554307747</v>
      </c>
      <c r="AC438" s="648">
        <v>271972.37524904357</v>
      </c>
      <c r="AD438" s="649">
        <v>219889.64642771304</v>
      </c>
      <c r="AE438" s="649">
        <v>342365.22531350196</v>
      </c>
      <c r="AF438" s="650">
        <v>276802.26079723873</v>
      </c>
      <c r="AI438" s="648">
        <v>310034.04162720224</v>
      </c>
      <c r="AJ438" s="649">
        <v>250662.5010409035</v>
      </c>
      <c r="AK438" s="649">
        <v>390278.14651894884</v>
      </c>
      <c r="AL438" s="650">
        <v>315539.85425149027</v>
      </c>
      <c r="AO438" s="648">
        <v>316236.82</v>
      </c>
      <c r="AP438" s="649">
        <v>255677.45</v>
      </c>
      <c r="AQ438" s="649">
        <v>398086.35</v>
      </c>
      <c r="AR438" s="650">
        <v>321852.78999999998</v>
      </c>
    </row>
    <row r="439" spans="1:44" hidden="1">
      <c r="A439" s="644">
        <v>94</v>
      </c>
      <c r="B439" s="519" t="str">
        <f t="shared" si="55"/>
        <v>94B</v>
      </c>
      <c r="C439" s="648">
        <v>478496.73</v>
      </c>
      <c r="D439" s="649">
        <v>386864.57</v>
      </c>
      <c r="E439" s="649">
        <v>602342.93999999994</v>
      </c>
      <c r="F439" s="650">
        <v>486994.23</v>
      </c>
      <c r="M439" s="648">
        <v>170407.17104664631</v>
      </c>
      <c r="N439" s="649">
        <v>137774.18591091136</v>
      </c>
      <c r="O439" s="649">
        <v>214512.55649401352</v>
      </c>
      <c r="P439" s="650">
        <v>173433.38697020605</v>
      </c>
      <c r="W439" s="648">
        <v>194270.64449995788</v>
      </c>
      <c r="X439" s="649">
        <v>157067.80253422042</v>
      </c>
      <c r="Y439" s="649">
        <v>244552.4583705352</v>
      </c>
      <c r="Z439" s="650">
        <v>197720.64554307747</v>
      </c>
      <c r="AC439" s="648">
        <v>271972.37524904357</v>
      </c>
      <c r="AD439" s="649">
        <v>219889.64642771304</v>
      </c>
      <c r="AE439" s="649">
        <v>342365.22531350196</v>
      </c>
      <c r="AF439" s="650">
        <v>276802.26079723873</v>
      </c>
      <c r="AI439" s="648">
        <v>310034.04162720224</v>
      </c>
      <c r="AJ439" s="649">
        <v>250662.5010409035</v>
      </c>
      <c r="AK439" s="649">
        <v>390278.14651894884</v>
      </c>
      <c r="AL439" s="650">
        <v>315539.85425149027</v>
      </c>
      <c r="AO439" s="648">
        <v>316236.82</v>
      </c>
      <c r="AP439" s="649">
        <v>255677.45</v>
      </c>
      <c r="AQ439" s="649">
        <v>398086.35</v>
      </c>
      <c r="AR439" s="650">
        <v>321852.78999999998</v>
      </c>
    </row>
    <row r="440" spans="1:44" hidden="1">
      <c r="A440" s="644">
        <v>95</v>
      </c>
      <c r="B440" s="519" t="str">
        <f t="shared" si="55"/>
        <v>95B</v>
      </c>
      <c r="C440" s="648">
        <v>478496.73</v>
      </c>
      <c r="D440" s="649">
        <v>386864.57</v>
      </c>
      <c r="E440" s="649">
        <v>602342.93999999994</v>
      </c>
      <c r="F440" s="650">
        <v>486994.23</v>
      </c>
      <c r="M440" s="648">
        <v>170407.17104664631</v>
      </c>
      <c r="N440" s="649">
        <v>137774.18591091136</v>
      </c>
      <c r="O440" s="649">
        <v>214512.55649401352</v>
      </c>
      <c r="P440" s="650">
        <v>173433.38697020605</v>
      </c>
      <c r="W440" s="648">
        <v>194270.64449995788</v>
      </c>
      <c r="X440" s="649">
        <v>157067.80253422042</v>
      </c>
      <c r="Y440" s="649">
        <v>244552.4583705352</v>
      </c>
      <c r="Z440" s="650">
        <v>197720.64554307747</v>
      </c>
      <c r="AC440" s="648">
        <v>271972.37524904357</v>
      </c>
      <c r="AD440" s="649">
        <v>219889.64642771304</v>
      </c>
      <c r="AE440" s="649">
        <v>342365.22531350196</v>
      </c>
      <c r="AF440" s="650">
        <v>276802.26079723873</v>
      </c>
      <c r="AI440" s="648">
        <v>310034.04162720224</v>
      </c>
      <c r="AJ440" s="649">
        <v>250662.5010409035</v>
      </c>
      <c r="AK440" s="649">
        <v>390278.14651894884</v>
      </c>
      <c r="AL440" s="650">
        <v>315539.85425149027</v>
      </c>
      <c r="AO440" s="648">
        <v>316236.82</v>
      </c>
      <c r="AP440" s="649">
        <v>255677.45</v>
      </c>
      <c r="AQ440" s="649">
        <v>398086.35</v>
      </c>
      <c r="AR440" s="650">
        <v>321852.78999999998</v>
      </c>
    </row>
    <row r="441" spans="1:44" hidden="1">
      <c r="A441" s="644">
        <v>96</v>
      </c>
      <c r="B441" s="519" t="str">
        <f t="shared" si="55"/>
        <v>96B</v>
      </c>
      <c r="C441" s="648">
        <v>478496.73</v>
      </c>
      <c r="D441" s="649">
        <v>386864.57</v>
      </c>
      <c r="E441" s="649">
        <v>602342.93999999994</v>
      </c>
      <c r="F441" s="650">
        <v>486994.23</v>
      </c>
      <c r="M441" s="648">
        <v>170407.17104664631</v>
      </c>
      <c r="N441" s="649">
        <v>137774.18591091136</v>
      </c>
      <c r="O441" s="649">
        <v>214512.55649401352</v>
      </c>
      <c r="P441" s="650">
        <v>173433.38697020605</v>
      </c>
      <c r="W441" s="648">
        <v>194270.64449995788</v>
      </c>
      <c r="X441" s="649">
        <v>157067.80253422042</v>
      </c>
      <c r="Y441" s="649">
        <v>244552.4583705352</v>
      </c>
      <c r="Z441" s="650">
        <v>197720.64554307747</v>
      </c>
      <c r="AC441" s="648">
        <v>271972.37524904357</v>
      </c>
      <c r="AD441" s="649">
        <v>219889.64642771304</v>
      </c>
      <c r="AE441" s="649">
        <v>342365.22531350196</v>
      </c>
      <c r="AF441" s="650">
        <v>276802.26079723873</v>
      </c>
      <c r="AI441" s="648">
        <v>310034.04162720224</v>
      </c>
      <c r="AJ441" s="649">
        <v>250662.5010409035</v>
      </c>
      <c r="AK441" s="649">
        <v>390278.14651894884</v>
      </c>
      <c r="AL441" s="650">
        <v>315539.85425149027</v>
      </c>
      <c r="AO441" s="648">
        <v>316236.82</v>
      </c>
      <c r="AP441" s="649">
        <v>255677.45</v>
      </c>
      <c r="AQ441" s="649">
        <v>398086.35</v>
      </c>
      <c r="AR441" s="650">
        <v>321852.78999999998</v>
      </c>
    </row>
    <row r="442" spans="1:44" hidden="1">
      <c r="A442" s="644">
        <v>97</v>
      </c>
      <c r="B442" s="519" t="str">
        <f t="shared" si="55"/>
        <v>97B</v>
      </c>
      <c r="C442" s="648">
        <v>478496.73</v>
      </c>
      <c r="D442" s="649">
        <v>386864.57</v>
      </c>
      <c r="E442" s="649">
        <v>602342.93999999994</v>
      </c>
      <c r="F442" s="650">
        <v>486994.23</v>
      </c>
      <c r="M442" s="648">
        <v>170407.17104664631</v>
      </c>
      <c r="N442" s="649">
        <v>137774.18591091136</v>
      </c>
      <c r="O442" s="649">
        <v>214512.55649401352</v>
      </c>
      <c r="P442" s="650">
        <v>173433.38697020605</v>
      </c>
      <c r="W442" s="648">
        <v>194270.64449995788</v>
      </c>
      <c r="X442" s="649">
        <v>157067.80253422042</v>
      </c>
      <c r="Y442" s="649">
        <v>244552.4583705352</v>
      </c>
      <c r="Z442" s="650">
        <v>197720.64554307747</v>
      </c>
      <c r="AC442" s="648">
        <v>271972.37524904357</v>
      </c>
      <c r="AD442" s="649">
        <v>219889.64642771304</v>
      </c>
      <c r="AE442" s="649">
        <v>342365.22531350196</v>
      </c>
      <c r="AF442" s="650">
        <v>276802.26079723873</v>
      </c>
      <c r="AI442" s="648">
        <v>310034.04162720224</v>
      </c>
      <c r="AJ442" s="649">
        <v>250662.5010409035</v>
      </c>
      <c r="AK442" s="649">
        <v>390278.14651894884</v>
      </c>
      <c r="AL442" s="650">
        <v>315539.85425149027</v>
      </c>
      <c r="AO442" s="648">
        <v>316236.82</v>
      </c>
      <c r="AP442" s="649">
        <v>255677.45</v>
      </c>
      <c r="AQ442" s="649">
        <v>398086.35</v>
      </c>
      <c r="AR442" s="650">
        <v>321852.78999999998</v>
      </c>
    </row>
    <row r="443" spans="1:44" hidden="1">
      <c r="A443" s="644">
        <v>98</v>
      </c>
      <c r="B443" s="519" t="str">
        <f t="shared" si="55"/>
        <v>98B</v>
      </c>
      <c r="C443" s="648">
        <v>478496.73</v>
      </c>
      <c r="D443" s="649">
        <v>386864.57</v>
      </c>
      <c r="E443" s="649">
        <v>602342.93999999994</v>
      </c>
      <c r="F443" s="650">
        <v>486994.23</v>
      </c>
      <c r="M443" s="648">
        <v>170407.17104664631</v>
      </c>
      <c r="N443" s="649">
        <v>137774.18591091136</v>
      </c>
      <c r="O443" s="649">
        <v>214512.55649401352</v>
      </c>
      <c r="P443" s="650">
        <v>173433.38697020605</v>
      </c>
      <c r="W443" s="648">
        <v>194270.64449995788</v>
      </c>
      <c r="X443" s="649">
        <v>157067.80253422042</v>
      </c>
      <c r="Y443" s="649">
        <v>244552.4583705352</v>
      </c>
      <c r="Z443" s="650">
        <v>197720.64554307747</v>
      </c>
      <c r="AC443" s="648">
        <v>271972.37524904357</v>
      </c>
      <c r="AD443" s="649">
        <v>219889.64642771304</v>
      </c>
      <c r="AE443" s="649">
        <v>342365.22531350196</v>
      </c>
      <c r="AF443" s="650">
        <v>276802.26079723873</v>
      </c>
      <c r="AI443" s="648">
        <v>310034.04162720224</v>
      </c>
      <c r="AJ443" s="649">
        <v>250662.5010409035</v>
      </c>
      <c r="AK443" s="649">
        <v>390278.14651894884</v>
      </c>
      <c r="AL443" s="650">
        <v>315539.85425149027</v>
      </c>
      <c r="AO443" s="648">
        <v>316236.82</v>
      </c>
      <c r="AP443" s="649">
        <v>255677.45</v>
      </c>
      <c r="AQ443" s="649">
        <v>398086.35</v>
      </c>
      <c r="AR443" s="650">
        <v>321852.78999999998</v>
      </c>
    </row>
    <row r="444" spans="1:44" hidden="1">
      <c r="A444" s="644">
        <v>99</v>
      </c>
      <c r="B444" s="519" t="str">
        <f t="shared" si="55"/>
        <v>99B</v>
      </c>
      <c r="C444" s="648">
        <v>478496.73</v>
      </c>
      <c r="D444" s="649">
        <v>386864.57</v>
      </c>
      <c r="E444" s="649">
        <v>602342.93999999994</v>
      </c>
      <c r="F444" s="650">
        <v>486994.23</v>
      </c>
      <c r="M444" s="648">
        <v>170407.17104664631</v>
      </c>
      <c r="N444" s="649">
        <v>137774.18591091136</v>
      </c>
      <c r="O444" s="649">
        <v>214512.55649401352</v>
      </c>
      <c r="P444" s="650">
        <v>173433.38697020605</v>
      </c>
      <c r="W444" s="648">
        <v>194270.64449995788</v>
      </c>
      <c r="X444" s="649">
        <v>157067.80253422042</v>
      </c>
      <c r="Y444" s="649">
        <v>244552.4583705352</v>
      </c>
      <c r="Z444" s="650">
        <v>197720.64554307747</v>
      </c>
      <c r="AC444" s="648">
        <v>271972.37524904357</v>
      </c>
      <c r="AD444" s="649">
        <v>219889.64642771304</v>
      </c>
      <c r="AE444" s="649">
        <v>342365.22531350196</v>
      </c>
      <c r="AF444" s="650">
        <v>276802.26079723873</v>
      </c>
      <c r="AI444" s="648">
        <v>310034.04162720224</v>
      </c>
      <c r="AJ444" s="649">
        <v>250662.5010409035</v>
      </c>
      <c r="AK444" s="649">
        <v>390278.14651894884</v>
      </c>
      <c r="AL444" s="650">
        <v>315539.85425149027</v>
      </c>
      <c r="AO444" s="648">
        <v>316236.82</v>
      </c>
      <c r="AP444" s="649">
        <v>255677.45</v>
      </c>
      <c r="AQ444" s="649">
        <v>398086.35</v>
      </c>
      <c r="AR444" s="650">
        <v>321852.78999999998</v>
      </c>
    </row>
    <row r="445" spans="1:44" hidden="1">
      <c r="A445" s="651">
        <v>100</v>
      </c>
      <c r="B445" s="529" t="str">
        <f t="shared" si="55"/>
        <v>100B</v>
      </c>
      <c r="C445" s="652">
        <v>478496.73</v>
      </c>
      <c r="D445" s="653">
        <v>386864.57</v>
      </c>
      <c r="E445" s="653">
        <v>602342.93999999994</v>
      </c>
      <c r="F445" s="654">
        <v>486994.23</v>
      </c>
      <c r="M445" s="652">
        <v>170407.17104664631</v>
      </c>
      <c r="N445" s="653">
        <v>137774.18591091136</v>
      </c>
      <c r="O445" s="653">
        <v>214512.55649401352</v>
      </c>
      <c r="P445" s="654">
        <v>173433.38697020605</v>
      </c>
      <c r="W445" s="652">
        <v>194270.64449995788</v>
      </c>
      <c r="X445" s="653">
        <v>157067.80253422042</v>
      </c>
      <c r="Y445" s="653">
        <v>244552.4583705352</v>
      </c>
      <c r="Z445" s="654">
        <v>197720.64554307747</v>
      </c>
      <c r="AC445" s="652">
        <v>271972.37524904357</v>
      </c>
      <c r="AD445" s="653">
        <v>219889.64642771304</v>
      </c>
      <c r="AE445" s="653">
        <v>342365.22531350196</v>
      </c>
      <c r="AF445" s="654">
        <v>276802.26079723873</v>
      </c>
      <c r="AI445" s="652">
        <v>310034.04162720224</v>
      </c>
      <c r="AJ445" s="653">
        <v>250662.5010409035</v>
      </c>
      <c r="AK445" s="653">
        <v>390278.14651894884</v>
      </c>
      <c r="AL445" s="654">
        <v>315539.85425149027</v>
      </c>
      <c r="AO445" s="652">
        <v>316236.82</v>
      </c>
      <c r="AP445" s="653">
        <v>255677.45</v>
      </c>
      <c r="AQ445" s="653">
        <v>398086.35</v>
      </c>
      <c r="AR445" s="654">
        <v>321852.78999999998</v>
      </c>
    </row>
  </sheetData>
  <sheetProtection algorithmName="SHA-512" hashValue="ormUSGMjBBdYhExpT+2e2xAWMTmsPYvPQP3UYdp9n9anzYpc7IvPlsKG8u+lNROvVtKPv4jgbjJzkLIc/99NIw==" saltValue="zmNJXxN9X+8ZwJowV5xUtg==" spinCount="100000" sheet="1" selectLockedCells="1" selectUnlockedCells="1"/>
  <mergeCells count="14">
    <mergeCell ref="E129:F129"/>
    <mergeCell ref="C129:D129"/>
    <mergeCell ref="M32:N32"/>
    <mergeCell ref="J32:K32"/>
    <mergeCell ref="C1:D1"/>
    <mergeCell ref="F5:G5"/>
    <mergeCell ref="F9:G9"/>
    <mergeCell ref="B36:C36"/>
    <mergeCell ref="A1:B1"/>
    <mergeCell ref="F1:G1"/>
    <mergeCell ref="C7:D7"/>
    <mergeCell ref="F15:G15"/>
    <mergeCell ref="F22:G22"/>
    <mergeCell ref="N17:O17"/>
  </mergeCells>
  <phoneticPr fontId="0" type="noConversion"/>
  <pageMargins left="0.75" right="0.75" top="1" bottom="1" header="0" footer="0"/>
  <pageSetup scale="90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AO298"/>
  <sheetViews>
    <sheetView showGridLines="0" showOutlineSymbols="0" workbookViewId="0"/>
  </sheetViews>
  <sheetFormatPr baseColWidth="10" defaultColWidth="11.453125" defaultRowHeight="12.5" zeroHeight="1"/>
  <cols>
    <col min="1" max="1" width="4.54296875" style="3" customWidth="1"/>
    <col min="2" max="2" width="6.1796875" style="3" hidden="1" customWidth="1"/>
    <col min="3" max="3" width="1.7265625" style="3" hidden="1" customWidth="1"/>
    <col min="4" max="4" width="13.54296875" style="3" hidden="1" customWidth="1"/>
    <col min="5" max="5" width="16.26953125" style="3" hidden="1" customWidth="1"/>
    <col min="6" max="6" width="13" style="3" hidden="1" customWidth="1"/>
    <col min="7" max="9" width="12.7265625" style="3" hidden="1" customWidth="1"/>
    <col min="10" max="10" width="13.7265625" style="3" hidden="1" customWidth="1"/>
    <col min="11" max="11" width="12.81640625" style="3" hidden="1" customWidth="1"/>
    <col min="12" max="12" width="10" style="3" hidden="1" customWidth="1"/>
    <col min="13" max="13" width="15.26953125" hidden="1" customWidth="1"/>
    <col min="14" max="14" width="14.7265625" hidden="1" customWidth="1"/>
    <col min="15" max="15" width="11.453125" hidden="1" customWidth="1"/>
    <col min="16" max="16" width="14.81640625" hidden="1" customWidth="1"/>
    <col min="17" max="17" width="13.7265625" hidden="1" customWidth="1"/>
    <col min="18" max="18" width="13.54296875" style="3" hidden="1" customWidth="1"/>
    <col min="19" max="19" width="11.7265625" style="3" hidden="1" customWidth="1"/>
    <col min="20" max="26" width="11.453125" style="3" hidden="1" customWidth="1"/>
    <col min="27" max="27" width="15.26953125" style="3" hidden="1" customWidth="1"/>
    <col min="28" max="41" width="11.453125" style="3" hidden="1" customWidth="1"/>
    <col min="42" max="50" width="11.453125" style="3" customWidth="1"/>
    <col min="51" max="16384" width="11.453125" style="3"/>
  </cols>
  <sheetData>
    <row r="1" spans="2:20">
      <c r="B1" s="35" t="s">
        <v>34</v>
      </c>
      <c r="C1" s="34"/>
      <c r="D1" s="34"/>
      <c r="E1" s="34"/>
      <c r="F1" s="34"/>
      <c r="G1" s="26"/>
      <c r="I1" s="84" t="s">
        <v>57</v>
      </c>
      <c r="J1" s="91"/>
      <c r="K1" s="91"/>
    </row>
    <row r="2" spans="2:20" hidden="1">
      <c r="G2" s="4"/>
      <c r="I2" s="767" t="str">
        <f>IF(ISERROR(VLOOKUP(E3,VALORES!$A$6:$B$11,2,FALSE)),"REGION NO VALIDA",VLOOKUP(E3,VALORES!$A$6:$B$11,2,FALSE))</f>
        <v>BAJA CALIFORNIA, BAJA CALIFORNIA SUR, MORELOS, QUINTANA ROO, QUERETARO, SAN LUIS POTOSI, SINALOA, SONORA</v>
      </c>
      <c r="J2" s="767"/>
      <c r="M2" s="690" t="s">
        <v>368</v>
      </c>
      <c r="N2" s="703">
        <v>68.09</v>
      </c>
      <c r="Q2" s="690" t="s">
        <v>373</v>
      </c>
      <c r="R2" s="703">
        <v>119.08</v>
      </c>
    </row>
    <row r="3" spans="2:20" hidden="1">
      <c r="B3" s="28" t="s">
        <v>11</v>
      </c>
      <c r="C3" s="29"/>
      <c r="D3" s="29"/>
      <c r="E3" s="130">
        <f>+COTIZACION!D14</f>
        <v>5</v>
      </c>
      <c r="F3" s="62" t="str">
        <f>IF(E3&gt;7,"NO PROCEDE"," ")</f>
        <v xml:space="preserve"> </v>
      </c>
      <c r="G3" s="142" t="s">
        <v>28</v>
      </c>
      <c r="I3" s="767"/>
      <c r="J3" s="767"/>
      <c r="M3" s="691" t="s">
        <v>369</v>
      </c>
      <c r="N3" s="692">
        <v>0.62</v>
      </c>
      <c r="Q3" s="691" t="s">
        <v>369</v>
      </c>
      <c r="R3" s="692">
        <v>0.7</v>
      </c>
    </row>
    <row r="4" spans="2:20" ht="10.5" hidden="1" customHeight="1" thickBot="1">
      <c r="E4" s="131"/>
      <c r="F4" s="25"/>
      <c r="G4" s="4"/>
      <c r="I4" s="767"/>
      <c r="J4" s="767"/>
      <c r="M4" s="693"/>
      <c r="N4" s="694">
        <f>ROUND((N2/(1-N3)),2)</f>
        <v>179.18</v>
      </c>
      <c r="Q4" s="693"/>
      <c r="R4" s="725">
        <f>ROUND(R2/(1-R3),2)</f>
        <v>396.93</v>
      </c>
    </row>
    <row r="5" spans="2:20" ht="13" hidden="1" thickBot="1">
      <c r="B5" s="28" t="s">
        <v>12</v>
      </c>
      <c r="C5" s="29"/>
      <c r="D5" s="29"/>
      <c r="E5" s="150">
        <f>+COTIZACION!D10</f>
        <v>100000000</v>
      </c>
      <c r="F5" s="25"/>
      <c r="G5" s="223">
        <f>VLOOKUP(E5,FACTORES!$J$33:$K$124,2)</f>
        <v>1.53</v>
      </c>
      <c r="I5" s="767"/>
      <c r="J5" s="767"/>
      <c r="T5" s="712"/>
    </row>
    <row r="6" spans="2:20" hidden="1">
      <c r="B6" s="28" t="s">
        <v>13</v>
      </c>
      <c r="C6" s="29"/>
      <c r="D6" s="29"/>
      <c r="E6" s="132">
        <f>+COTIZACION!D11</f>
        <v>12000</v>
      </c>
      <c r="F6" s="25"/>
      <c r="G6" s="224">
        <f>VLOOKUP(E6,FACTORES!$A$2:$B$29,2,0)</f>
        <v>0.84499999999999997</v>
      </c>
      <c r="H6" s="414"/>
      <c r="I6" s="767"/>
      <c r="J6" s="767"/>
      <c r="M6" s="690" t="s">
        <v>370</v>
      </c>
      <c r="N6" s="703">
        <v>48.6</v>
      </c>
      <c r="T6" s="712"/>
    </row>
    <row r="7" spans="2:20" hidden="1">
      <c r="B7" s="222" t="s">
        <v>177</v>
      </c>
      <c r="C7" s="221"/>
      <c r="D7" s="221"/>
      <c r="E7" s="150" t="str">
        <f>+COTIZACION!D15</f>
        <v>NO</v>
      </c>
      <c r="F7" s="25"/>
      <c r="G7" s="186">
        <f>IF(H7="SI",VLOOKUP(E6,FACTORES!$J$1:$K$21,2,0),0)</f>
        <v>0</v>
      </c>
      <c r="H7" s="394" t="str">
        <f>IF(VALUE(COTIZACION!D11)&gt;50000,"NO",COTIZACION!D15)</f>
        <v>NO</v>
      </c>
      <c r="I7" s="767"/>
      <c r="J7" s="767"/>
      <c r="M7" s="691" t="s">
        <v>369</v>
      </c>
      <c r="N7" s="692">
        <v>0.62</v>
      </c>
      <c r="T7" s="712"/>
    </row>
    <row r="8" spans="2:20" ht="13" hidden="1" thickBot="1">
      <c r="B8" s="28" t="s">
        <v>14</v>
      </c>
      <c r="C8" s="29"/>
      <c r="D8" s="29"/>
      <c r="E8" s="132">
        <f>+COTIZACION!D12</f>
        <v>0.1</v>
      </c>
      <c r="F8" s="63"/>
      <c r="G8" s="224">
        <f>VLOOKUP(E8,FACTORES!$C$2:$D$6,2)</f>
        <v>1</v>
      </c>
      <c r="H8" s="60"/>
      <c r="I8" s="767"/>
      <c r="J8" s="767"/>
      <c r="M8" s="693"/>
      <c r="N8" s="695">
        <f>ROUND((N6/(1-N7)),2)</f>
        <v>127.89</v>
      </c>
      <c r="T8" s="712"/>
    </row>
    <row r="9" spans="2:20" ht="11.25" hidden="1" customHeight="1">
      <c r="B9" s="28" t="s">
        <v>103</v>
      </c>
      <c r="C9" s="29"/>
      <c r="D9" s="29"/>
      <c r="E9" s="132">
        <f>+COTIZACION!D25</f>
        <v>0</v>
      </c>
      <c r="F9" s="63"/>
      <c r="G9" s="224">
        <f>VLOOKUP($E$9,FACTORES!$C$8:$D$13,2,FALSE)</f>
        <v>1</v>
      </c>
      <c r="H9" s="4"/>
      <c r="I9" s="767"/>
      <c r="J9" s="767"/>
      <c r="T9" s="712"/>
    </row>
    <row r="10" spans="2:20" ht="11.25" hidden="1" customHeight="1">
      <c r="B10" s="28" t="s">
        <v>130</v>
      </c>
      <c r="C10" s="29"/>
      <c r="D10" s="29"/>
      <c r="E10" s="416">
        <f>+COTIZACION!D17</f>
        <v>30000</v>
      </c>
      <c r="F10" s="417" t="str">
        <f>+COTIZACION!D16</f>
        <v>NO</v>
      </c>
      <c r="G10" s="418">
        <f>IF(F10="NO",20000,E10)</f>
        <v>20000</v>
      </c>
      <c r="H10" s="4"/>
      <c r="I10" s="160"/>
      <c r="J10" s="160"/>
      <c r="T10" s="712"/>
    </row>
    <row r="11" spans="2:20" ht="11.25" hidden="1" customHeight="1">
      <c r="B11" s="28" t="s">
        <v>156</v>
      </c>
      <c r="C11" s="29"/>
      <c r="D11" s="29"/>
      <c r="E11" s="193" t="str">
        <f>+COTIZACION!D19</f>
        <v>NO</v>
      </c>
      <c r="F11" s="63"/>
      <c r="G11" s="220">
        <f>IF(E11="NO",0,IF(SUM(COTIZACION!A30:A37)&gt;=1,VLOOKUP(E11,FACTORES!$M$33:$N$55,2,0)*(1-DESC),0))</f>
        <v>0</v>
      </c>
      <c r="H11" s="4"/>
      <c r="I11" s="160"/>
      <c r="J11" s="160"/>
      <c r="T11" s="712"/>
    </row>
    <row r="12" spans="2:20" ht="11.25" hidden="1" customHeight="1">
      <c r="B12" s="28" t="s">
        <v>176</v>
      </c>
      <c r="C12" s="29"/>
      <c r="D12" s="29"/>
      <c r="E12" s="212" t="str">
        <f>+COTIZACION!D18</f>
        <v>NO</v>
      </c>
      <c r="F12" s="63"/>
      <c r="G12" s="143">
        <f>IF(E12="NO",0,G23)</f>
        <v>0</v>
      </c>
      <c r="H12" s="4"/>
      <c r="I12" s="160"/>
      <c r="J12" s="160"/>
      <c r="M12" s="696" t="s">
        <v>371</v>
      </c>
      <c r="N12" s="704">
        <v>1194.8800000000001</v>
      </c>
      <c r="O12" s="697">
        <v>0.37</v>
      </c>
      <c r="P12" s="705"/>
      <c r="T12" s="712"/>
    </row>
    <row r="13" spans="2:20" hidden="1">
      <c r="E13" s="133"/>
      <c r="F13" s="64" t="s">
        <v>27</v>
      </c>
      <c r="H13" s="61"/>
      <c r="I13" s="83"/>
      <c r="J13" s="83"/>
      <c r="M13" s="698"/>
      <c r="N13" s="359">
        <v>20</v>
      </c>
      <c r="O13" s="699">
        <f>1-O12</f>
        <v>0.63</v>
      </c>
      <c r="S13" s="31"/>
      <c r="T13" s="712"/>
    </row>
    <row r="14" spans="2:20" ht="12.75" hidden="1" customHeight="1">
      <c r="B14" s="28" t="s">
        <v>45</v>
      </c>
      <c r="C14" s="29"/>
      <c r="D14" s="29"/>
      <c r="E14" s="130" t="str">
        <f>+COTIZACION!D21</f>
        <v>NO</v>
      </c>
      <c r="F14" s="130"/>
      <c r="G14" s="225">
        <f>IF(E14="SI",FACTORES!$G$2,FACTORES!$G$3)</f>
        <v>1</v>
      </c>
      <c r="H14" s="61"/>
      <c r="I14" s="85" t="s">
        <v>56</v>
      </c>
      <c r="J14" s="92"/>
      <c r="K14" s="91"/>
      <c r="M14" s="706">
        <f>ROUND(N12/O13,2)</f>
        <v>1896.63</v>
      </c>
      <c r="N14" s="359">
        <v>33</v>
      </c>
      <c r="O14" s="699"/>
      <c r="S14" s="31" t="s">
        <v>39</v>
      </c>
      <c r="T14" s="712"/>
    </row>
    <row r="15" spans="2:20" ht="12.75" hidden="1" customHeight="1">
      <c r="B15" s="28" t="s">
        <v>46</v>
      </c>
      <c r="C15" s="29"/>
      <c r="D15" s="29"/>
      <c r="E15" s="130" t="str">
        <f>+COTIZACION!D20</f>
        <v>NO</v>
      </c>
      <c r="F15" s="130" t="str">
        <f>+COTIZACION!D22</f>
        <v>C</v>
      </c>
      <c r="G15" s="226">
        <f>IF(E15="SI",(IF(F15="A",FACTORES!G6,IF(F15="B",FACTORES!G7,IF(F15="C",FACTORES!G8,"NO PROCEDE")))),1)</f>
        <v>1</v>
      </c>
      <c r="H15" s="61"/>
      <c r="I15" s="767" t="str">
        <f>IF(F14=F15,VLOOKUP(F14,VALORES!$A$31:$B$33,2,FALSE),"ZONAS DIFERENTES")</f>
        <v>ZONAS DIFERENTES</v>
      </c>
      <c r="J15" s="768"/>
      <c r="K15" s="87" t="s">
        <v>40</v>
      </c>
      <c r="M15" s="698"/>
      <c r="N15" s="359">
        <v>98</v>
      </c>
      <c r="O15" s="699"/>
      <c r="S15" s="31"/>
      <c r="T15" s="712"/>
    </row>
    <row r="16" spans="2:20" ht="21" hidden="1" customHeight="1" thickBot="1">
      <c r="B16" s="2"/>
      <c r="D16" s="2"/>
      <c r="E16" s="2"/>
      <c r="F16" s="32"/>
      <c r="G16" s="33">
        <f>+COTIZACION!D14</f>
        <v>5</v>
      </c>
      <c r="H16" s="188"/>
      <c r="I16" s="768"/>
      <c r="J16" s="768"/>
      <c r="K16" s="87" t="s">
        <v>52</v>
      </c>
      <c r="M16" s="698"/>
      <c r="N16" s="359">
        <v>16</v>
      </c>
      <c r="O16" s="699"/>
      <c r="T16" s="712"/>
    </row>
    <row r="17" spans="2:21" hidden="1">
      <c r="B17" s="28" t="s">
        <v>15</v>
      </c>
      <c r="C17" s="29"/>
      <c r="D17" s="29"/>
      <c r="E17" s="684" t="e">
        <f>+COTIZACION!#REF!</f>
        <v>#REF!</v>
      </c>
      <c r="F17" s="689" t="s">
        <v>372</v>
      </c>
      <c r="G17" s="685">
        <v>0</v>
      </c>
      <c r="I17" s="768"/>
      <c r="J17" s="768"/>
      <c r="K17" s="87" t="s">
        <v>38</v>
      </c>
      <c r="M17" s="698"/>
      <c r="N17" s="359">
        <v>16.3</v>
      </c>
      <c r="O17" s="699"/>
      <c r="T17" s="712"/>
    </row>
    <row r="18" spans="2:21" hidden="1">
      <c r="B18" s="2" t="s">
        <v>226</v>
      </c>
      <c r="C18" s="2"/>
      <c r="D18" s="2"/>
      <c r="E18" s="227"/>
      <c r="F18" s="686"/>
      <c r="G18" s="419">
        <f>(IF(COTIZACION!A16="NO",+FACTORES!G16,IF(AND(COTIZACION!A7=1,COTIZACION!A8=1),VLOOKUP(E10,FACTORES!$F$16:$G$19,2,0)*(1-DESC),VLOOKUP(E10,FACTORES!$F$23:$G$26,2,0)*(1-DESC))))</f>
        <v>3544.23</v>
      </c>
      <c r="H18" s="3" t="s">
        <v>289</v>
      </c>
      <c r="I18" s="719" t="s">
        <v>375</v>
      </c>
      <c r="J18" s="211"/>
      <c r="K18" s="87"/>
      <c r="M18" s="698"/>
      <c r="N18" s="359">
        <v>14</v>
      </c>
      <c r="O18" s="699"/>
      <c r="T18" s="712"/>
    </row>
    <row r="19" spans="2:21" hidden="1">
      <c r="B19" s="39" t="s">
        <v>174</v>
      </c>
      <c r="C19" s="2"/>
      <c r="D19" s="2"/>
      <c r="E19" s="227"/>
      <c r="F19" s="687">
        <f>ROUND(N4,2)</f>
        <v>179.18</v>
      </c>
      <c r="G19" s="184">
        <f>281*0+181.98*0+F19*(1-DESC)</f>
        <v>179.18</v>
      </c>
      <c r="I19" s="211"/>
      <c r="J19" s="211"/>
      <c r="K19" s="683">
        <f>+F19/DENTAL-1</f>
        <v>0</v>
      </c>
      <c r="M19" s="698"/>
      <c r="N19" s="359">
        <v>3.9</v>
      </c>
      <c r="O19" s="699"/>
      <c r="T19" s="712"/>
    </row>
    <row r="20" spans="2:21" hidden="1">
      <c r="B20" s="39" t="s">
        <v>173</v>
      </c>
      <c r="C20" s="2"/>
      <c r="D20" s="2"/>
      <c r="E20" s="227"/>
      <c r="F20" s="687"/>
      <c r="G20" s="184">
        <f>611*0+701.81*0+(684*1.135*0)+(M14)*(1-DESC)</f>
        <v>1896.63</v>
      </c>
      <c r="J20" s="211"/>
      <c r="K20" s="87"/>
      <c r="M20" s="698"/>
      <c r="N20" s="359">
        <v>10.39</v>
      </c>
      <c r="O20" s="699"/>
      <c r="T20" s="712"/>
    </row>
    <row r="21" spans="2:21" ht="13" hidden="1" thickBot="1">
      <c r="B21" s="39" t="s">
        <v>175</v>
      </c>
      <c r="C21" s="2"/>
      <c r="D21" s="2"/>
      <c r="E21" s="227"/>
      <c r="F21" s="688">
        <f>ROUND(N8,2)</f>
        <v>127.89</v>
      </c>
      <c r="G21" s="210">
        <f>122.5*0+153.74*0+F21*(1-DESC)</f>
        <v>127.89</v>
      </c>
      <c r="H21" s="188">
        <v>153.74</v>
      </c>
      <c r="I21" s="445" t="s">
        <v>321</v>
      </c>
      <c r="J21" s="211"/>
      <c r="K21" s="683">
        <f>F21/IKE-1</f>
        <v>0</v>
      </c>
      <c r="M21" s="698"/>
      <c r="N21" s="359">
        <v>13.3</v>
      </c>
      <c r="O21" s="699"/>
      <c r="T21" s="712"/>
    </row>
    <row r="22" spans="2:21" hidden="1">
      <c r="B22" s="39" t="s">
        <v>166</v>
      </c>
      <c r="C22" s="2"/>
      <c r="D22" s="2"/>
      <c r="E22" s="227"/>
      <c r="F22" s="25"/>
      <c r="G22" s="210">
        <f>88*(1-DESC)*0</f>
        <v>0</v>
      </c>
      <c r="H22" s="188"/>
      <c r="I22" s="211"/>
      <c r="J22" s="211"/>
      <c r="K22" s="87"/>
      <c r="M22" s="698"/>
      <c r="N22" s="359">
        <v>13.5</v>
      </c>
      <c r="O22" s="699"/>
      <c r="T22" s="712"/>
    </row>
    <row r="23" spans="2:21" ht="13" hidden="1" thickBot="1">
      <c r="B23" s="3" t="s">
        <v>178</v>
      </c>
      <c r="G23" s="210">
        <f>206.61*0+R4*(1-DESC)</f>
        <v>396.93</v>
      </c>
      <c r="H23" s="33"/>
      <c r="M23" s="698"/>
      <c r="N23" s="359">
        <v>20.5</v>
      </c>
      <c r="O23" s="699"/>
      <c r="T23" s="712"/>
    </row>
    <row r="24" spans="2:21" ht="12.75" hidden="1" customHeight="1" thickTop="1">
      <c r="B24" s="65"/>
      <c r="C24" s="113"/>
      <c r="D24" s="774" t="s">
        <v>48</v>
      </c>
      <c r="E24" s="775"/>
      <c r="F24" s="776" t="s">
        <v>49</v>
      </c>
      <c r="G24" s="775"/>
      <c r="H24" s="72" t="s">
        <v>44</v>
      </c>
      <c r="I24" s="69">
        <f>G17</f>
        <v>0</v>
      </c>
      <c r="J24" s="772" t="s">
        <v>42</v>
      </c>
      <c r="K24" s="773"/>
      <c r="L24" s="77"/>
      <c r="M24" s="698"/>
      <c r="N24" s="359">
        <v>56</v>
      </c>
      <c r="O24" s="699"/>
    </row>
    <row r="25" spans="2:21" ht="12.75" hidden="1" customHeight="1">
      <c r="B25" s="118"/>
      <c r="C25" s="117"/>
      <c r="D25" s="771" t="s">
        <v>47</v>
      </c>
      <c r="E25" s="770"/>
      <c r="F25" s="769" t="s">
        <v>47</v>
      </c>
      <c r="G25" s="770"/>
      <c r="H25" s="73" t="s">
        <v>41</v>
      </c>
      <c r="I25" s="187">
        <v>850</v>
      </c>
      <c r="J25" s="67" t="s">
        <v>43</v>
      </c>
      <c r="K25" s="134">
        <f>+COTIZACION!D26</f>
        <v>0.16</v>
      </c>
      <c r="L25" s="78"/>
      <c r="M25" s="698"/>
      <c r="N25" s="359">
        <v>0.78</v>
      </c>
      <c r="O25" s="699"/>
    </row>
    <row r="26" spans="2:21" ht="12.75" hidden="1" customHeight="1" thickBot="1">
      <c r="B26" s="765" t="s">
        <v>9</v>
      </c>
      <c r="C26" s="766"/>
      <c r="D26" s="213" t="s">
        <v>16</v>
      </c>
      <c r="E26" s="214" t="s">
        <v>17</v>
      </c>
      <c r="F26" s="412" t="s">
        <v>16</v>
      </c>
      <c r="G26" s="413" t="s">
        <v>17</v>
      </c>
      <c r="H26" s="215" t="s">
        <v>16</v>
      </c>
      <c r="I26" s="68" t="s">
        <v>17</v>
      </c>
      <c r="J26" s="215" t="s">
        <v>16</v>
      </c>
      <c r="K26" s="68" t="s">
        <v>17</v>
      </c>
      <c r="L26" s="77"/>
      <c r="M26" s="700"/>
      <c r="N26" s="701">
        <v>117</v>
      </c>
      <c r="O26" s="702"/>
    </row>
    <row r="27" spans="2:21" ht="15" hidden="1" customHeight="1" thickTop="1">
      <c r="B27" s="119">
        <v>0</v>
      </c>
      <c r="C27" s="114"/>
      <c r="D27" s="216">
        <f>FACTORES!F39</f>
        <v>14321.05</v>
      </c>
      <c r="E27" s="216">
        <f>FACTORES!G39</f>
        <v>14329.95</v>
      </c>
      <c r="F27" s="217">
        <f t="shared" ref="F27:G30" si="0">ROUND(D27*$G$5*$G$6*$G$8*$G$14*$G$15*$G$9,2)+ADIC+DENTAL+DEDXACC+ENFGVES+IKE+CVISION</f>
        <v>20718.670000000002</v>
      </c>
      <c r="G27" s="217">
        <f t="shared" si="0"/>
        <v>20730.18</v>
      </c>
      <c r="H27" s="217">
        <f>(F27*(1+$I$24))+$I$25</f>
        <v>21568.670000000002</v>
      </c>
      <c r="I27" s="217">
        <f>(G27*(1+$I$24))+$I$25</f>
        <v>21580.18</v>
      </c>
      <c r="J27" s="217">
        <f>H27*(1+$K$25)</f>
        <v>25019.657200000001</v>
      </c>
      <c r="K27" s="217">
        <f>I27*(1+$K$25)</f>
        <v>25033.0088</v>
      </c>
      <c r="L27" s="79"/>
      <c r="O27" s="190"/>
      <c r="T27" s="188"/>
      <c r="U27" s="188"/>
    </row>
    <row r="28" spans="2:21" ht="15" hidden="1" customHeight="1">
      <c r="B28" s="120">
        <f>+B27+1</f>
        <v>1</v>
      </c>
      <c r="C28" s="115"/>
      <c r="D28" s="218">
        <f>FACTORES!F40</f>
        <v>14321.05</v>
      </c>
      <c r="E28" s="218">
        <f>FACTORES!G40</f>
        <v>14329.95</v>
      </c>
      <c r="F28" s="218">
        <f t="shared" si="0"/>
        <v>20718.670000000002</v>
      </c>
      <c r="G28" s="218">
        <f t="shared" si="0"/>
        <v>20730.18</v>
      </c>
      <c r="H28" s="218">
        <f t="shared" ref="H28:H91" si="1">(F28*(1+$I$24))+$I$25</f>
        <v>21568.670000000002</v>
      </c>
      <c r="I28" s="218">
        <f t="shared" ref="I28:I91" si="2">(G28*(1+$I$24))+$I$25</f>
        <v>21580.18</v>
      </c>
      <c r="J28" s="218">
        <f t="shared" ref="J28:J91" si="3">H28*(1+$K$25)</f>
        <v>25019.657200000001</v>
      </c>
      <c r="K28" s="218">
        <f t="shared" ref="K28:K91" si="4">I28*(1+$K$25)</f>
        <v>25033.0088</v>
      </c>
      <c r="L28" s="79"/>
      <c r="O28" s="190"/>
      <c r="T28" s="188"/>
      <c r="U28" s="188"/>
    </row>
    <row r="29" spans="2:21" ht="15" hidden="1" customHeight="1">
      <c r="B29" s="120">
        <f t="shared" ref="B29:B92" si="5">+B28+1</f>
        <v>2</v>
      </c>
      <c r="C29" s="115"/>
      <c r="D29" s="218">
        <f>FACTORES!F41</f>
        <v>14321.05</v>
      </c>
      <c r="E29" s="218">
        <f>FACTORES!G41</f>
        <v>14329.95</v>
      </c>
      <c r="F29" s="218">
        <f t="shared" si="0"/>
        <v>20718.670000000002</v>
      </c>
      <c r="G29" s="218">
        <f t="shared" si="0"/>
        <v>20730.18</v>
      </c>
      <c r="H29" s="218">
        <f t="shared" si="1"/>
        <v>21568.670000000002</v>
      </c>
      <c r="I29" s="218">
        <f t="shared" si="2"/>
        <v>21580.18</v>
      </c>
      <c r="J29" s="218">
        <f t="shared" si="3"/>
        <v>25019.657200000001</v>
      </c>
      <c r="K29" s="218">
        <f t="shared" si="4"/>
        <v>25033.0088</v>
      </c>
      <c r="L29" s="79"/>
      <c r="O29" s="190"/>
      <c r="T29" s="188"/>
      <c r="U29" s="188"/>
    </row>
    <row r="30" spans="2:21" s="37" customFormat="1" ht="15" hidden="1" customHeight="1">
      <c r="B30" s="120">
        <f t="shared" si="5"/>
        <v>3</v>
      </c>
      <c r="C30" s="115"/>
      <c r="D30" s="218">
        <f>FACTORES!F42</f>
        <v>14321.05</v>
      </c>
      <c r="E30" s="218">
        <f>FACTORES!G42</f>
        <v>14329.95</v>
      </c>
      <c r="F30" s="218">
        <f t="shared" si="0"/>
        <v>20718.670000000002</v>
      </c>
      <c r="G30" s="218">
        <f t="shared" si="0"/>
        <v>20730.18</v>
      </c>
      <c r="H30" s="218">
        <f t="shared" si="1"/>
        <v>21568.670000000002</v>
      </c>
      <c r="I30" s="218">
        <f t="shared" si="2"/>
        <v>21580.18</v>
      </c>
      <c r="J30" s="218">
        <f t="shared" si="3"/>
        <v>25019.657200000001</v>
      </c>
      <c r="K30" s="218">
        <f t="shared" si="4"/>
        <v>25033.0088</v>
      </c>
      <c r="L30" s="79"/>
      <c r="M30"/>
      <c r="N30"/>
      <c r="O30" s="190"/>
      <c r="P30"/>
      <c r="Q30"/>
      <c r="R30" s="3"/>
      <c r="S30" s="3"/>
      <c r="T30" s="188"/>
      <c r="U30" s="188"/>
    </row>
    <row r="31" spans="2:21" s="37" customFormat="1" ht="15" hidden="1" customHeight="1">
      <c r="B31" s="120">
        <f t="shared" si="5"/>
        <v>4</v>
      </c>
      <c r="C31" s="115"/>
      <c r="D31" s="218">
        <f>FACTORES!F43</f>
        <v>14321.05</v>
      </c>
      <c r="E31" s="218">
        <f>FACTORES!G43</f>
        <v>14329.95</v>
      </c>
      <c r="F31" s="218">
        <f>ROUND(D31*$G$5*$G$6*$G$8*$G$14*$G$15*$G$9,2)+ADIC+DENTAL+DEDXACC+ENFGVES+IKE+CVISION</f>
        <v>20718.670000000002</v>
      </c>
      <c r="G31" s="218">
        <f t="shared" ref="G31:G43" si="6">ROUND(E31*$G$5*$G$6*$G$8*$G$14*$G$15*$G$9,2)+ADIC+DENTAL+DEDXACC+ENFGVES+IKE+CVISION</f>
        <v>20730.18</v>
      </c>
      <c r="H31" s="218">
        <f t="shared" si="1"/>
        <v>21568.670000000002</v>
      </c>
      <c r="I31" s="218">
        <f t="shared" si="2"/>
        <v>21580.18</v>
      </c>
      <c r="J31" s="218">
        <f t="shared" si="3"/>
        <v>25019.657200000001</v>
      </c>
      <c r="K31" s="218">
        <f t="shared" si="4"/>
        <v>25033.0088</v>
      </c>
      <c r="L31" s="79"/>
      <c r="M31"/>
      <c r="N31"/>
      <c r="O31" s="190"/>
      <c r="P31"/>
      <c r="Q31"/>
      <c r="R31" s="3"/>
      <c r="S31" s="3"/>
      <c r="T31" s="188"/>
      <c r="U31" s="188"/>
    </row>
    <row r="32" spans="2:21" s="37" customFormat="1" ht="15" hidden="1" customHeight="1">
      <c r="B32" s="120">
        <f t="shared" si="5"/>
        <v>5</v>
      </c>
      <c r="C32" s="115"/>
      <c r="D32" s="218">
        <f>FACTORES!F44</f>
        <v>14321.05</v>
      </c>
      <c r="E32" s="218">
        <f>FACTORES!G44</f>
        <v>14329.95</v>
      </c>
      <c r="F32" s="218">
        <f t="shared" ref="F32:F44" si="7">ROUND(D32*$G$5*$G$6*$G$8*$G$14*$G$15*$G$9,2)+ADIC+DENTAL+DEDXACC+ENFGVES+IKE+CVISION</f>
        <v>20718.670000000002</v>
      </c>
      <c r="G32" s="218">
        <f>ROUND(E32*$G$5*$G$6*$G$8*$G$14*$G$15*$G$9,2)+ADIC+DENTAL+DEDXACC+ENFGVES+IKE+CVISION</f>
        <v>20730.18</v>
      </c>
      <c r="H32" s="218">
        <f t="shared" si="1"/>
        <v>21568.670000000002</v>
      </c>
      <c r="I32" s="218">
        <f t="shared" si="2"/>
        <v>21580.18</v>
      </c>
      <c r="J32" s="218">
        <f t="shared" si="3"/>
        <v>25019.657200000001</v>
      </c>
      <c r="K32" s="218">
        <f t="shared" si="4"/>
        <v>25033.0088</v>
      </c>
      <c r="L32" s="79"/>
      <c r="M32"/>
      <c r="N32"/>
      <c r="O32" s="190"/>
      <c r="P32"/>
      <c r="Q32"/>
      <c r="R32" s="3"/>
      <c r="S32" s="3"/>
      <c r="T32" s="188"/>
      <c r="U32" s="188"/>
    </row>
    <row r="33" spans="2:21" s="37" customFormat="1" ht="15" hidden="1" customHeight="1">
      <c r="B33" s="120">
        <f t="shared" si="5"/>
        <v>6</v>
      </c>
      <c r="C33" s="115"/>
      <c r="D33" s="218">
        <f>FACTORES!F45</f>
        <v>14321.05</v>
      </c>
      <c r="E33" s="218">
        <f>FACTORES!G45</f>
        <v>14329.95</v>
      </c>
      <c r="F33" s="218">
        <f>ROUND(D33*$G$5*$G$6*$G$8*$G$14*$G$15*$G$9,2)+ADIC+DENTAL+DEDXACC+ENFGVES+IKE+CVISION</f>
        <v>20718.670000000002</v>
      </c>
      <c r="G33" s="218">
        <f>ROUND(E33*$G$5*$G$6*$G$8*$G$14*$G$15*$G$9,2)+ADIC+DENTAL+DEDXACC+ENFGVES+IKE+CVISION</f>
        <v>20730.18</v>
      </c>
      <c r="H33" s="218">
        <f t="shared" si="1"/>
        <v>21568.670000000002</v>
      </c>
      <c r="I33" s="218">
        <f t="shared" si="2"/>
        <v>21580.18</v>
      </c>
      <c r="J33" s="218">
        <f t="shared" si="3"/>
        <v>25019.657200000001</v>
      </c>
      <c r="K33" s="218">
        <f t="shared" si="4"/>
        <v>25033.0088</v>
      </c>
      <c r="L33" s="79"/>
      <c r="M33"/>
      <c r="N33"/>
      <c r="O33" s="190"/>
      <c r="P33"/>
      <c r="Q33"/>
      <c r="R33" s="3"/>
      <c r="S33" s="3"/>
      <c r="T33" s="188"/>
      <c r="U33" s="188"/>
    </row>
    <row r="34" spans="2:21" s="37" customFormat="1" ht="15" hidden="1" customHeight="1">
      <c r="B34" s="120">
        <f t="shared" si="5"/>
        <v>7</v>
      </c>
      <c r="C34" s="115"/>
      <c r="D34" s="218">
        <f>FACTORES!F46</f>
        <v>14321.05</v>
      </c>
      <c r="E34" s="218">
        <f>FACTORES!G46</f>
        <v>14329.95</v>
      </c>
      <c r="F34" s="218">
        <f>ROUND(D34*$G$5*$G$6*$G$8*$G$14*$G$15*$G$9,2)+ADIC+DENTAL+DEDXACC+ENFGVES+IKE+CVISION</f>
        <v>20718.670000000002</v>
      </c>
      <c r="G34" s="218">
        <f t="shared" si="6"/>
        <v>20730.18</v>
      </c>
      <c r="H34" s="218">
        <f t="shared" si="1"/>
        <v>21568.670000000002</v>
      </c>
      <c r="I34" s="218">
        <f t="shared" si="2"/>
        <v>21580.18</v>
      </c>
      <c r="J34" s="218">
        <f t="shared" si="3"/>
        <v>25019.657200000001</v>
      </c>
      <c r="K34" s="218">
        <f t="shared" si="4"/>
        <v>25033.0088</v>
      </c>
      <c r="L34" s="79"/>
      <c r="M34"/>
      <c r="N34"/>
      <c r="O34" s="190"/>
      <c r="P34"/>
      <c r="Q34"/>
      <c r="R34" s="3"/>
      <c r="S34" s="3"/>
      <c r="T34" s="188"/>
      <c r="U34" s="188"/>
    </row>
    <row r="35" spans="2:21" s="37" customFormat="1" ht="15" hidden="1" customHeight="1">
      <c r="B35" s="120">
        <f t="shared" si="5"/>
        <v>8</v>
      </c>
      <c r="C35" s="115"/>
      <c r="D35" s="218">
        <f>FACTORES!F47</f>
        <v>14321.05</v>
      </c>
      <c r="E35" s="218">
        <f>FACTORES!G47</f>
        <v>14329.95</v>
      </c>
      <c r="F35" s="218">
        <f>ROUND(D35*$G$5*$G$6*$G$8*$G$14*$G$15*$G$9,2)+ADIC+DENTAL+DEDXACC+ENFGVES+IKE+CVISION</f>
        <v>20718.670000000002</v>
      </c>
      <c r="G35" s="218">
        <f t="shared" si="6"/>
        <v>20730.18</v>
      </c>
      <c r="H35" s="218">
        <f t="shared" si="1"/>
        <v>21568.670000000002</v>
      </c>
      <c r="I35" s="218">
        <f t="shared" si="2"/>
        <v>21580.18</v>
      </c>
      <c r="J35" s="218">
        <f t="shared" si="3"/>
        <v>25019.657200000001</v>
      </c>
      <c r="K35" s="218">
        <f t="shared" si="4"/>
        <v>25033.0088</v>
      </c>
      <c r="L35" s="79"/>
      <c r="M35"/>
      <c r="N35"/>
      <c r="O35" s="190"/>
      <c r="P35"/>
      <c r="Q35"/>
      <c r="R35" s="3"/>
      <c r="S35" s="3"/>
      <c r="T35" s="188"/>
      <c r="U35" s="188"/>
    </row>
    <row r="36" spans="2:21" s="37" customFormat="1" ht="15" hidden="1" customHeight="1">
      <c r="B36" s="120">
        <f t="shared" si="5"/>
        <v>9</v>
      </c>
      <c r="C36" s="115"/>
      <c r="D36" s="218">
        <f>FACTORES!F48</f>
        <v>14321.05</v>
      </c>
      <c r="E36" s="218">
        <f>FACTORES!G48</f>
        <v>14329.95</v>
      </c>
      <c r="F36" s="218">
        <f>ROUND(D36*$G$5*$G$6*$G$8*$G$14*$G$15*$G$9,2)+ADIC+DENTAL+DEDXACC+ENFGVES+IKE+CVISION</f>
        <v>20718.670000000002</v>
      </c>
      <c r="G36" s="218">
        <f t="shared" si="6"/>
        <v>20730.18</v>
      </c>
      <c r="H36" s="218">
        <f t="shared" si="1"/>
        <v>21568.670000000002</v>
      </c>
      <c r="I36" s="218">
        <f t="shared" si="2"/>
        <v>21580.18</v>
      </c>
      <c r="J36" s="218">
        <f t="shared" si="3"/>
        <v>25019.657200000001</v>
      </c>
      <c r="K36" s="218">
        <f t="shared" si="4"/>
        <v>25033.0088</v>
      </c>
      <c r="L36" s="79"/>
      <c r="M36"/>
      <c r="N36"/>
      <c r="O36" s="190"/>
      <c r="P36"/>
      <c r="Q36"/>
      <c r="R36" s="3"/>
      <c r="S36" s="3"/>
      <c r="T36" s="188"/>
      <c r="U36" s="188"/>
    </row>
    <row r="37" spans="2:21" s="37" customFormat="1" ht="15" hidden="1" customHeight="1">
      <c r="B37" s="120">
        <f t="shared" si="5"/>
        <v>10</v>
      </c>
      <c r="C37" s="115"/>
      <c r="D37" s="218">
        <f>FACTORES!F49</f>
        <v>14321.05</v>
      </c>
      <c r="E37" s="218">
        <f>FACTORES!G49</f>
        <v>14329.95</v>
      </c>
      <c r="F37" s="218">
        <f t="shared" si="7"/>
        <v>20718.670000000002</v>
      </c>
      <c r="G37" s="218">
        <f t="shared" si="6"/>
        <v>20730.18</v>
      </c>
      <c r="H37" s="218">
        <f t="shared" si="1"/>
        <v>21568.670000000002</v>
      </c>
      <c r="I37" s="218">
        <f t="shared" si="2"/>
        <v>21580.18</v>
      </c>
      <c r="J37" s="218">
        <f t="shared" si="3"/>
        <v>25019.657200000001</v>
      </c>
      <c r="K37" s="218">
        <f t="shared" si="4"/>
        <v>25033.0088</v>
      </c>
      <c r="L37" s="79"/>
      <c r="M37"/>
      <c r="N37"/>
      <c r="O37" s="190"/>
      <c r="P37"/>
      <c r="Q37"/>
      <c r="R37" s="3"/>
      <c r="S37" s="3"/>
      <c r="T37" s="188"/>
      <c r="U37" s="188"/>
    </row>
    <row r="38" spans="2:21" s="37" customFormat="1" ht="15" hidden="1" customHeight="1">
      <c r="B38" s="120">
        <f t="shared" si="5"/>
        <v>11</v>
      </c>
      <c r="C38" s="115"/>
      <c r="D38" s="218">
        <f>FACTORES!F50</f>
        <v>14239.16</v>
      </c>
      <c r="E38" s="218">
        <f>FACTORES!G50</f>
        <v>14109.83</v>
      </c>
      <c r="F38" s="218">
        <f>ROUND(D38*$G$5*$G$6*$G$8*$G$14*$G$15*$G$9,2)+ADIC+DENTAL+DEDXACC+ENFGVES+IKE+CVISION</f>
        <v>20612.8</v>
      </c>
      <c r="G38" s="218">
        <f t="shared" si="6"/>
        <v>20445.59</v>
      </c>
      <c r="H38" s="218">
        <f t="shared" si="1"/>
        <v>21462.799999999999</v>
      </c>
      <c r="I38" s="218">
        <f t="shared" si="2"/>
        <v>21295.59</v>
      </c>
      <c r="J38" s="218">
        <f t="shared" si="3"/>
        <v>24896.847999999998</v>
      </c>
      <c r="K38" s="218">
        <f t="shared" si="4"/>
        <v>24702.884399999999</v>
      </c>
      <c r="L38" s="79">
        <f>+F38/F37-1</f>
        <v>-5.1098839838659149E-3</v>
      </c>
      <c r="M38"/>
      <c r="N38"/>
      <c r="O38" s="190"/>
      <c r="P38"/>
      <c r="Q38"/>
      <c r="R38" s="3"/>
      <c r="S38" s="3"/>
      <c r="T38" s="188"/>
      <c r="U38" s="188"/>
    </row>
    <row r="39" spans="2:21" s="37" customFormat="1" ht="15" hidden="1" customHeight="1">
      <c r="B39" s="120">
        <f t="shared" si="5"/>
        <v>12</v>
      </c>
      <c r="C39" s="115"/>
      <c r="D39" s="218">
        <f>FACTORES!F51</f>
        <v>14173.53</v>
      </c>
      <c r="E39" s="218">
        <f>FACTORES!G51</f>
        <v>14302.71</v>
      </c>
      <c r="F39" s="218">
        <f>ROUND(D39*$G$5*$G$6*$G$8*$G$14*$G$15*$G$9,2)+ADIC+DENTAL+DEDXACC+ENFGVES+IKE+CVISION</f>
        <v>20527.95</v>
      </c>
      <c r="G39" s="218">
        <f t="shared" si="6"/>
        <v>20694.96</v>
      </c>
      <c r="H39" s="218">
        <f t="shared" si="1"/>
        <v>21377.95</v>
      </c>
      <c r="I39" s="218">
        <f t="shared" si="2"/>
        <v>21544.959999999999</v>
      </c>
      <c r="J39" s="218">
        <f t="shared" si="3"/>
        <v>24798.421999999999</v>
      </c>
      <c r="K39" s="218">
        <f t="shared" si="4"/>
        <v>24992.153599999998</v>
      </c>
      <c r="L39" s="79"/>
      <c r="M39"/>
      <c r="N39"/>
      <c r="O39" s="190"/>
      <c r="P39"/>
      <c r="Q39"/>
      <c r="R39" s="3"/>
      <c r="S39" s="3"/>
      <c r="T39" s="188"/>
      <c r="U39" s="188"/>
    </row>
    <row r="40" spans="2:21" s="37" customFormat="1" ht="15" hidden="1" customHeight="1">
      <c r="B40" s="120">
        <f t="shared" si="5"/>
        <v>13</v>
      </c>
      <c r="C40" s="115"/>
      <c r="D40" s="218">
        <f>FACTORES!F52</f>
        <v>14075.68</v>
      </c>
      <c r="E40" s="218">
        <f>FACTORES!G52</f>
        <v>14208.62</v>
      </c>
      <c r="F40" s="218">
        <f>ROUND(D40*$G$5*$G$6*$G$8*$G$14*$G$15*$G$9,2)+ADIC+DENTAL+DEDXACC+ENFGVES+IKE+CVISION</f>
        <v>20401.440000000002</v>
      </c>
      <c r="G40" s="218">
        <f t="shared" si="6"/>
        <v>20573.310000000001</v>
      </c>
      <c r="H40" s="218">
        <f t="shared" si="1"/>
        <v>21251.440000000002</v>
      </c>
      <c r="I40" s="218">
        <f t="shared" si="2"/>
        <v>21423.31</v>
      </c>
      <c r="J40" s="218">
        <f t="shared" si="3"/>
        <v>24651.670400000003</v>
      </c>
      <c r="K40" s="218">
        <f t="shared" si="4"/>
        <v>24851.0396</v>
      </c>
      <c r="L40" s="79"/>
      <c r="M40"/>
      <c r="N40"/>
      <c r="O40" s="190"/>
      <c r="P40"/>
      <c r="Q40"/>
      <c r="R40" s="3"/>
      <c r="S40" s="3"/>
      <c r="T40" s="188"/>
      <c r="U40" s="188"/>
    </row>
    <row r="41" spans="2:21" s="37" customFormat="1" ht="15" hidden="1" customHeight="1">
      <c r="B41" s="120">
        <f t="shared" si="5"/>
        <v>14</v>
      </c>
      <c r="C41" s="115"/>
      <c r="D41" s="218">
        <f>FACTORES!F53</f>
        <v>13710.21</v>
      </c>
      <c r="E41" s="218">
        <f>FACTORES!G53</f>
        <v>13919.31</v>
      </c>
      <c r="F41" s="218">
        <f>ROUND(D41*$G$5*$G$6*$G$8*$G$14*$G$15*$G$9,2)+ADIC+DENTAL+DEDXACC+ENFGVES+IKE+CVISION</f>
        <v>19928.940000000002</v>
      </c>
      <c r="G41" s="218">
        <f t="shared" si="6"/>
        <v>20199.280000000002</v>
      </c>
      <c r="H41" s="218">
        <f t="shared" si="1"/>
        <v>20778.940000000002</v>
      </c>
      <c r="I41" s="218">
        <f t="shared" si="2"/>
        <v>21049.280000000002</v>
      </c>
      <c r="J41" s="218">
        <f t="shared" si="3"/>
        <v>24103.570400000001</v>
      </c>
      <c r="K41" s="218">
        <f t="shared" si="4"/>
        <v>24417.164800000002</v>
      </c>
      <c r="L41" s="79"/>
      <c r="M41"/>
      <c r="N41"/>
      <c r="O41" s="190"/>
      <c r="P41" s="79"/>
      <c r="Q41" s="79"/>
      <c r="R41" s="3"/>
      <c r="S41" s="3"/>
      <c r="T41" s="188"/>
      <c r="U41" s="188"/>
    </row>
    <row r="42" spans="2:21" s="37" customFormat="1" ht="15" hidden="1" customHeight="1">
      <c r="B42" s="120">
        <f t="shared" si="5"/>
        <v>15</v>
      </c>
      <c r="C42" s="115"/>
      <c r="D42" s="218">
        <f>FACTORES!F54</f>
        <v>13766.06</v>
      </c>
      <c r="E42" s="218">
        <f>FACTORES!G54</f>
        <v>13693.41</v>
      </c>
      <c r="F42" s="218">
        <f>ROUND(D42*$G$5*$G$6*$G$8*$G$14*$G$15*$G$9,2)+ADIC+DENTAL+DEDXACC+ENFGVES+IKE+CVISION</f>
        <v>20001.150000000001</v>
      </c>
      <c r="G42" s="218">
        <f t="shared" si="6"/>
        <v>19907.23</v>
      </c>
      <c r="H42" s="218">
        <f t="shared" si="1"/>
        <v>20851.150000000001</v>
      </c>
      <c r="I42" s="218">
        <f t="shared" si="2"/>
        <v>20757.23</v>
      </c>
      <c r="J42" s="218">
        <f t="shared" si="3"/>
        <v>24187.333999999999</v>
      </c>
      <c r="K42" s="218">
        <f t="shared" si="4"/>
        <v>24078.386799999997</v>
      </c>
      <c r="L42" s="79"/>
      <c r="M42"/>
      <c r="N42"/>
      <c r="O42" s="190"/>
      <c r="P42" s="79"/>
      <c r="Q42" s="79"/>
      <c r="R42" s="3"/>
      <c r="S42" s="3"/>
      <c r="T42" s="188"/>
      <c r="U42" s="188"/>
    </row>
    <row r="43" spans="2:21" s="37" customFormat="1" ht="15" hidden="1" customHeight="1">
      <c r="B43" s="120">
        <f t="shared" si="5"/>
        <v>16</v>
      </c>
      <c r="C43" s="115"/>
      <c r="D43" s="218">
        <f>FACTORES!F55</f>
        <v>13508.63</v>
      </c>
      <c r="E43" s="218">
        <f>FACTORES!G55</f>
        <v>13174.1</v>
      </c>
      <c r="F43" s="218">
        <f t="shared" si="7"/>
        <v>19668.330000000002</v>
      </c>
      <c r="G43" s="218">
        <f t="shared" si="6"/>
        <v>19235.84</v>
      </c>
      <c r="H43" s="218">
        <f t="shared" si="1"/>
        <v>20518.330000000002</v>
      </c>
      <c r="I43" s="218">
        <f t="shared" si="2"/>
        <v>20085.84</v>
      </c>
      <c r="J43" s="218">
        <f t="shared" si="3"/>
        <v>23801.2628</v>
      </c>
      <c r="K43" s="218">
        <f t="shared" si="4"/>
        <v>23299.574399999998</v>
      </c>
      <c r="L43" s="79"/>
      <c r="M43"/>
      <c r="N43"/>
      <c r="O43" s="190"/>
      <c r="P43" s="79"/>
      <c r="Q43" s="79"/>
      <c r="R43" s="3"/>
      <c r="S43" s="3"/>
      <c r="T43" s="188"/>
      <c r="U43" s="188"/>
    </row>
    <row r="44" spans="2:21" s="37" customFormat="1" ht="15" hidden="1" customHeight="1">
      <c r="B44" s="120">
        <f t="shared" si="5"/>
        <v>17</v>
      </c>
      <c r="C44" s="115"/>
      <c r="D44" s="218">
        <f>FACTORES!F56</f>
        <v>13582.96</v>
      </c>
      <c r="E44" s="218">
        <f>FACTORES!G56</f>
        <v>13382.85</v>
      </c>
      <c r="F44" s="218">
        <f t="shared" si="7"/>
        <v>19764.43</v>
      </c>
      <c r="G44" s="218">
        <f>ROUND(E44*$G$5*$G$6*$G$8*$G$14*$G$15*$G$9,2)+ADIC+DENTAL+DEDXACC+ENFGVES+IKE+CVISION</f>
        <v>19505.72</v>
      </c>
      <c r="H44" s="218">
        <f t="shared" si="1"/>
        <v>20614.43</v>
      </c>
      <c r="I44" s="218">
        <f t="shared" si="2"/>
        <v>20355.72</v>
      </c>
      <c r="J44" s="218">
        <f t="shared" si="3"/>
        <v>23912.738799999999</v>
      </c>
      <c r="K44" s="218">
        <f t="shared" si="4"/>
        <v>23612.635200000001</v>
      </c>
      <c r="L44" s="79"/>
      <c r="M44"/>
      <c r="N44"/>
      <c r="O44" s="190"/>
      <c r="P44" s="79"/>
      <c r="Q44" s="79"/>
      <c r="R44" s="3"/>
      <c r="S44" s="3"/>
      <c r="T44" s="188"/>
      <c r="U44" s="188"/>
    </row>
    <row r="45" spans="2:21" s="37" customFormat="1" ht="15" hidden="1" customHeight="1">
      <c r="B45" s="120">
        <f t="shared" si="5"/>
        <v>18</v>
      </c>
      <c r="C45" s="115"/>
      <c r="D45" s="218">
        <f>FACTORES!F57</f>
        <v>13980.3</v>
      </c>
      <c r="E45" s="218">
        <f>FACTORES!G57</f>
        <v>12644.51</v>
      </c>
      <c r="F45" s="218">
        <f t="shared" ref="F45:F76" si="8">ROUND(D45*$G$5*$G$6*$G$8*$G$14*$G$15*$G$9,2)+ADIC+DENTAL+DEDXACC+ENFGVES+IKE+CVISION</f>
        <v>20278.13</v>
      </c>
      <c r="G45" s="410">
        <f t="shared" ref="G45:G81" si="9">ROUND(E45*$G$5*$G$6*$G$8*$G$14*$G$15*$G$9,2)+ADIC+DENTAL+DEDXACC+ENFGVES+IKE+PARTO+CVISION</f>
        <v>22095.38</v>
      </c>
      <c r="H45" s="218">
        <f t="shared" si="1"/>
        <v>21128.13</v>
      </c>
      <c r="I45" s="218">
        <f t="shared" si="2"/>
        <v>22945.38</v>
      </c>
      <c r="J45" s="218">
        <f t="shared" si="3"/>
        <v>24508.630799999999</v>
      </c>
      <c r="K45" s="218">
        <f t="shared" si="4"/>
        <v>26616.640800000001</v>
      </c>
      <c r="L45" s="79">
        <v>21337.458333249637</v>
      </c>
      <c r="M45" s="711">
        <v>39743.884278671903</v>
      </c>
      <c r="N45">
        <f>IF(J45=L45,1,0)</f>
        <v>0</v>
      </c>
      <c r="O45">
        <f t="shared" ref="O45" si="10">IF(K45=M45,1,0)</f>
        <v>0</v>
      </c>
      <c r="P45" s="79"/>
      <c r="Q45" s="79"/>
      <c r="R45" s="3"/>
      <c r="S45" s="3"/>
      <c r="T45" s="188"/>
      <c r="U45" s="188"/>
    </row>
    <row r="46" spans="2:21" s="37" customFormat="1" ht="15" hidden="1" customHeight="1">
      <c r="B46" s="120">
        <f t="shared" si="5"/>
        <v>19</v>
      </c>
      <c r="C46" s="115"/>
      <c r="D46" s="218">
        <f>FACTORES!F58</f>
        <v>14454.88</v>
      </c>
      <c r="E46" s="218">
        <f>FACTORES!G58</f>
        <v>12832.46</v>
      </c>
      <c r="F46" s="218">
        <f t="shared" si="8"/>
        <v>20891.690000000002</v>
      </c>
      <c r="G46" s="410">
        <f t="shared" si="9"/>
        <v>22338.38</v>
      </c>
      <c r="H46" s="218">
        <f t="shared" si="1"/>
        <v>21741.690000000002</v>
      </c>
      <c r="I46" s="218">
        <f t="shared" si="2"/>
        <v>23188.38</v>
      </c>
      <c r="J46" s="218">
        <f t="shared" si="3"/>
        <v>25220.360400000001</v>
      </c>
      <c r="K46" s="218">
        <f t="shared" si="4"/>
        <v>26898.520799999998</v>
      </c>
      <c r="L46" s="79"/>
      <c r="M46"/>
      <c r="N46"/>
      <c r="O46" s="190"/>
      <c r="P46" s="79"/>
      <c r="Q46" s="79"/>
      <c r="R46" s="3"/>
      <c r="S46" s="3"/>
      <c r="T46" s="188"/>
      <c r="U46" s="188"/>
    </row>
    <row r="47" spans="2:21" s="37" customFormat="1" ht="15" hidden="1" customHeight="1">
      <c r="B47" s="120">
        <f t="shared" si="5"/>
        <v>20</v>
      </c>
      <c r="C47" s="115"/>
      <c r="D47" s="218">
        <f>FACTORES!F59</f>
        <v>14893.49</v>
      </c>
      <c r="E47" s="218">
        <f>FACTORES!G59</f>
        <v>14891.06</v>
      </c>
      <c r="F47" s="218">
        <f t="shared" si="8"/>
        <v>21458.75</v>
      </c>
      <c r="G47" s="410">
        <f t="shared" si="9"/>
        <v>24999.84</v>
      </c>
      <c r="H47" s="218">
        <f t="shared" si="1"/>
        <v>22308.75</v>
      </c>
      <c r="I47" s="218">
        <f t="shared" si="2"/>
        <v>25849.84</v>
      </c>
      <c r="J47" s="218">
        <f t="shared" si="3"/>
        <v>25878.149999999998</v>
      </c>
      <c r="K47" s="218">
        <f t="shared" si="4"/>
        <v>29985.814399999999</v>
      </c>
      <c r="L47" s="79"/>
      <c r="M47"/>
      <c r="N47"/>
      <c r="O47" s="190"/>
      <c r="P47" s="79"/>
      <c r="Q47" s="79"/>
      <c r="R47" s="3"/>
      <c r="S47" s="3"/>
      <c r="T47" s="188"/>
      <c r="U47" s="188"/>
    </row>
    <row r="48" spans="2:21" s="37" customFormat="1" ht="15" hidden="1" customHeight="1">
      <c r="B48" s="120">
        <f t="shared" si="5"/>
        <v>21</v>
      </c>
      <c r="C48" s="115"/>
      <c r="D48" s="218">
        <f>FACTORES!F60</f>
        <v>15677.1</v>
      </c>
      <c r="E48" s="218">
        <f>FACTORES!G60</f>
        <v>19309.45</v>
      </c>
      <c r="F48" s="218">
        <f t="shared" si="8"/>
        <v>22471.84</v>
      </c>
      <c r="G48" s="410">
        <f t="shared" si="9"/>
        <v>30712.15</v>
      </c>
      <c r="H48" s="218">
        <f t="shared" si="1"/>
        <v>23321.84</v>
      </c>
      <c r="I48" s="218">
        <f t="shared" si="2"/>
        <v>31562.15</v>
      </c>
      <c r="J48" s="218">
        <f t="shared" si="3"/>
        <v>27053.3344</v>
      </c>
      <c r="K48" s="218">
        <f t="shared" si="4"/>
        <v>36612.093999999997</v>
      </c>
      <c r="L48" s="79"/>
      <c r="M48"/>
      <c r="N48"/>
      <c r="O48" s="190"/>
      <c r="P48" s="79"/>
      <c r="Q48" s="79"/>
      <c r="R48" s="3"/>
      <c r="S48" s="3"/>
      <c r="T48" s="188"/>
      <c r="U48" s="188"/>
    </row>
    <row r="49" spans="2:21" s="37" customFormat="1" ht="15" hidden="1" customHeight="1">
      <c r="B49" s="120">
        <f t="shared" si="5"/>
        <v>22</v>
      </c>
      <c r="C49" s="115"/>
      <c r="D49" s="218">
        <f>FACTORES!F61</f>
        <v>16380.25</v>
      </c>
      <c r="E49" s="218">
        <f>FACTORES!G61</f>
        <v>20242.599999999999</v>
      </c>
      <c r="F49" s="218">
        <f t="shared" si="8"/>
        <v>23380.91</v>
      </c>
      <c r="G49" s="410">
        <f t="shared" si="9"/>
        <v>31918.58</v>
      </c>
      <c r="H49" s="218">
        <f t="shared" si="1"/>
        <v>24230.91</v>
      </c>
      <c r="I49" s="218">
        <f t="shared" si="2"/>
        <v>32768.58</v>
      </c>
      <c r="J49" s="218">
        <f t="shared" si="3"/>
        <v>28107.855599999999</v>
      </c>
      <c r="K49" s="218">
        <f t="shared" si="4"/>
        <v>38011.552799999998</v>
      </c>
      <c r="L49" s="79"/>
      <c r="M49"/>
      <c r="N49"/>
      <c r="O49" s="190"/>
      <c r="P49" s="79"/>
      <c r="Q49" s="79"/>
      <c r="R49" s="3"/>
      <c r="S49" s="3"/>
      <c r="T49" s="188"/>
      <c r="U49" s="188"/>
    </row>
    <row r="50" spans="2:21" s="37" customFormat="1" ht="15" hidden="1" customHeight="1">
      <c r="B50" s="120">
        <f t="shared" si="5"/>
        <v>23</v>
      </c>
      <c r="C50" s="115"/>
      <c r="D50" s="218">
        <f>FACTORES!F62</f>
        <v>17461.62</v>
      </c>
      <c r="E50" s="218">
        <f>FACTORES!G62</f>
        <v>21211.49</v>
      </c>
      <c r="F50" s="218">
        <f t="shared" si="8"/>
        <v>24778.959999999999</v>
      </c>
      <c r="G50" s="410">
        <f t="shared" si="9"/>
        <v>33171.200000000004</v>
      </c>
      <c r="H50" s="218">
        <f t="shared" si="1"/>
        <v>25628.959999999999</v>
      </c>
      <c r="I50" s="218">
        <f t="shared" si="2"/>
        <v>34021.200000000004</v>
      </c>
      <c r="J50" s="218">
        <f t="shared" si="3"/>
        <v>29729.593599999997</v>
      </c>
      <c r="K50" s="218">
        <f t="shared" si="4"/>
        <v>39464.592000000004</v>
      </c>
      <c r="L50" s="79"/>
      <c r="M50"/>
      <c r="N50"/>
      <c r="O50" s="190"/>
      <c r="P50" s="79"/>
      <c r="Q50" s="79"/>
      <c r="R50" s="3"/>
      <c r="S50" s="3"/>
      <c r="T50" s="188"/>
      <c r="U50" s="188"/>
    </row>
    <row r="51" spans="2:21" s="37" customFormat="1" ht="15" hidden="1" customHeight="1">
      <c r="B51" s="120">
        <f t="shared" si="5"/>
        <v>24</v>
      </c>
      <c r="C51" s="115"/>
      <c r="D51" s="218">
        <f>FACTORES!F63</f>
        <v>18187.75</v>
      </c>
      <c r="E51" s="218">
        <f>FACTORES!G63</f>
        <v>22221.89</v>
      </c>
      <c r="F51" s="218">
        <f t="shared" si="8"/>
        <v>25717.73</v>
      </c>
      <c r="G51" s="410">
        <f t="shared" si="9"/>
        <v>34477.5</v>
      </c>
      <c r="H51" s="218">
        <f t="shared" si="1"/>
        <v>26567.73</v>
      </c>
      <c r="I51" s="218">
        <f t="shared" si="2"/>
        <v>35327.5</v>
      </c>
      <c r="J51" s="218">
        <f t="shared" si="3"/>
        <v>30818.566799999997</v>
      </c>
      <c r="K51" s="218">
        <f t="shared" si="4"/>
        <v>40979.899999999994</v>
      </c>
      <c r="L51" s="79"/>
      <c r="M51"/>
      <c r="N51"/>
      <c r="O51" s="190"/>
      <c r="P51" s="79"/>
      <c r="Q51" s="79"/>
      <c r="R51" s="3"/>
      <c r="S51" s="3"/>
      <c r="T51" s="188"/>
      <c r="U51" s="188"/>
    </row>
    <row r="52" spans="2:21" s="37" customFormat="1" ht="15" hidden="1" customHeight="1">
      <c r="B52" s="120">
        <f t="shared" si="5"/>
        <v>25</v>
      </c>
      <c r="C52" s="115"/>
      <c r="D52" s="218">
        <f>FACTORES!F64</f>
        <v>18906.13</v>
      </c>
      <c r="E52" s="218">
        <f>FACTORES!G64</f>
        <v>23264.07</v>
      </c>
      <c r="F52" s="218">
        <f t="shared" si="8"/>
        <v>26646.49</v>
      </c>
      <c r="G52" s="410">
        <f t="shared" si="9"/>
        <v>35824.880000000005</v>
      </c>
      <c r="H52" s="218">
        <f t="shared" si="1"/>
        <v>27496.49</v>
      </c>
      <c r="I52" s="218">
        <f t="shared" si="2"/>
        <v>36674.880000000005</v>
      </c>
      <c r="J52" s="218">
        <f t="shared" si="3"/>
        <v>31895.928400000001</v>
      </c>
      <c r="K52" s="218">
        <f t="shared" si="4"/>
        <v>42542.860800000002</v>
      </c>
      <c r="L52" s="79"/>
      <c r="M52"/>
      <c r="N52"/>
      <c r="O52" s="190"/>
      <c r="P52" s="79"/>
      <c r="Q52" s="79"/>
      <c r="R52" s="3"/>
      <c r="S52" s="3"/>
      <c r="T52" s="188"/>
      <c r="U52" s="188"/>
    </row>
    <row r="53" spans="2:21" s="37" customFormat="1" ht="15" hidden="1" customHeight="1">
      <c r="B53" s="120">
        <f t="shared" si="5"/>
        <v>26</v>
      </c>
      <c r="C53" s="115"/>
      <c r="D53" s="218">
        <f>FACTORES!F65</f>
        <v>20189.63</v>
      </c>
      <c r="E53" s="218">
        <f>FACTORES!G65</f>
        <v>24378.75</v>
      </c>
      <c r="F53" s="218">
        <f t="shared" si="8"/>
        <v>28305.86</v>
      </c>
      <c r="G53" s="410">
        <f t="shared" si="9"/>
        <v>37266</v>
      </c>
      <c r="H53" s="218">
        <f t="shared" si="1"/>
        <v>29155.86</v>
      </c>
      <c r="I53" s="218">
        <f t="shared" si="2"/>
        <v>38116</v>
      </c>
      <c r="J53" s="218">
        <f t="shared" si="3"/>
        <v>33820.797599999998</v>
      </c>
      <c r="K53" s="218">
        <f t="shared" si="4"/>
        <v>44214.559999999998</v>
      </c>
      <c r="L53" s="79"/>
      <c r="M53"/>
      <c r="N53"/>
      <c r="O53" s="190"/>
      <c r="P53" s="79"/>
      <c r="Q53" s="79"/>
      <c r="R53" s="3"/>
      <c r="S53" s="3"/>
      <c r="T53" s="188"/>
      <c r="U53" s="188"/>
    </row>
    <row r="54" spans="2:21" s="37" customFormat="1" ht="15" hidden="1" customHeight="1">
      <c r="B54" s="120">
        <f t="shared" si="5"/>
        <v>27</v>
      </c>
      <c r="C54" s="115"/>
      <c r="D54" s="218">
        <f>FACTORES!F66</f>
        <v>21078.95</v>
      </c>
      <c r="E54" s="218">
        <f>FACTORES!G66</f>
        <v>25505.040000000001</v>
      </c>
      <c r="F54" s="218">
        <f t="shared" si="8"/>
        <v>29455.62</v>
      </c>
      <c r="G54" s="410">
        <f t="shared" si="9"/>
        <v>38722.120000000003</v>
      </c>
      <c r="H54" s="218">
        <f t="shared" si="1"/>
        <v>30305.62</v>
      </c>
      <c r="I54" s="218">
        <f t="shared" si="2"/>
        <v>39572.120000000003</v>
      </c>
      <c r="J54" s="218">
        <f t="shared" si="3"/>
        <v>35154.519199999995</v>
      </c>
      <c r="K54" s="218">
        <f t="shared" si="4"/>
        <v>45903.659200000002</v>
      </c>
      <c r="L54" s="79"/>
      <c r="M54"/>
      <c r="N54"/>
      <c r="O54" s="190"/>
      <c r="P54" s="79"/>
      <c r="Q54" s="79"/>
      <c r="R54" s="3"/>
      <c r="S54" s="3"/>
      <c r="T54" s="188"/>
      <c r="U54" s="188"/>
    </row>
    <row r="55" spans="2:21" s="37" customFormat="1" ht="15" hidden="1" customHeight="1">
      <c r="B55" s="120">
        <f t="shared" si="5"/>
        <v>28</v>
      </c>
      <c r="C55" s="115"/>
      <c r="D55" s="218">
        <f>FACTORES!F67</f>
        <v>22330.12</v>
      </c>
      <c r="E55" s="218">
        <f>FACTORES!G67</f>
        <v>26716.93</v>
      </c>
      <c r="F55" s="218">
        <f t="shared" si="8"/>
        <v>31073.200000000001</v>
      </c>
      <c r="G55" s="410">
        <f t="shared" si="9"/>
        <v>40288.910000000003</v>
      </c>
      <c r="H55" s="218">
        <f t="shared" si="1"/>
        <v>31923.200000000001</v>
      </c>
      <c r="I55" s="218">
        <f t="shared" si="2"/>
        <v>41138.910000000003</v>
      </c>
      <c r="J55" s="218">
        <f t="shared" si="3"/>
        <v>37030.911999999997</v>
      </c>
      <c r="K55" s="218">
        <f t="shared" si="4"/>
        <v>47721.135600000001</v>
      </c>
      <c r="L55" s="79"/>
      <c r="M55"/>
      <c r="N55"/>
      <c r="O55" s="190"/>
      <c r="P55" s="79"/>
      <c r="Q55" s="79"/>
      <c r="R55" s="3"/>
      <c r="S55" s="3"/>
      <c r="T55" s="188"/>
      <c r="U55" s="188"/>
    </row>
    <row r="56" spans="2:21" s="37" customFormat="1" ht="15" hidden="1" customHeight="1">
      <c r="B56" s="120">
        <f t="shared" si="5"/>
        <v>29</v>
      </c>
      <c r="C56" s="115"/>
      <c r="D56" s="218">
        <f>FACTORES!F68</f>
        <v>23492</v>
      </c>
      <c r="E56" s="218">
        <f>FACTORES!G68</f>
        <v>27949.97</v>
      </c>
      <c r="F56" s="218">
        <f t="shared" si="8"/>
        <v>32575.33</v>
      </c>
      <c r="G56" s="410">
        <f t="shared" si="9"/>
        <v>41883.050000000003</v>
      </c>
      <c r="H56" s="218">
        <f t="shared" si="1"/>
        <v>33425.33</v>
      </c>
      <c r="I56" s="218">
        <f t="shared" si="2"/>
        <v>42733.05</v>
      </c>
      <c r="J56" s="218">
        <f t="shared" si="3"/>
        <v>38773.382799999999</v>
      </c>
      <c r="K56" s="218">
        <f t="shared" si="4"/>
        <v>49570.338000000003</v>
      </c>
      <c r="L56" s="79"/>
      <c r="M56"/>
      <c r="N56"/>
      <c r="O56" s="190"/>
      <c r="P56" s="79"/>
      <c r="Q56" s="79"/>
      <c r="R56" s="3"/>
      <c r="S56" s="3"/>
      <c r="T56" s="188"/>
      <c r="U56" s="188"/>
    </row>
    <row r="57" spans="2:21" s="37" customFormat="1" ht="15" hidden="1" customHeight="1">
      <c r="B57" s="120">
        <f t="shared" si="5"/>
        <v>30</v>
      </c>
      <c r="C57" s="115"/>
      <c r="D57" s="218">
        <f>FACTORES!F69</f>
        <v>24582.21</v>
      </c>
      <c r="E57" s="218">
        <f>FACTORES!G69</f>
        <v>29276.31</v>
      </c>
      <c r="F57" s="218">
        <f t="shared" si="8"/>
        <v>33984.81</v>
      </c>
      <c r="G57" s="410">
        <f t="shared" si="9"/>
        <v>43597.81</v>
      </c>
      <c r="H57" s="218">
        <f t="shared" si="1"/>
        <v>34834.81</v>
      </c>
      <c r="I57" s="218">
        <f t="shared" si="2"/>
        <v>44447.81</v>
      </c>
      <c r="J57" s="218">
        <f t="shared" si="3"/>
        <v>40408.379599999993</v>
      </c>
      <c r="K57" s="218">
        <f t="shared" si="4"/>
        <v>51559.459599999995</v>
      </c>
      <c r="L57" s="79"/>
      <c r="M57"/>
      <c r="N57"/>
      <c r="O57" s="190"/>
      <c r="P57" s="79"/>
      <c r="Q57" s="79"/>
      <c r="R57" s="3"/>
      <c r="S57" s="3"/>
      <c r="T57" s="188"/>
      <c r="U57" s="188"/>
    </row>
    <row r="58" spans="2:21" s="37" customFormat="1" ht="15" hidden="1" customHeight="1">
      <c r="B58" s="120">
        <f t="shared" si="5"/>
        <v>31</v>
      </c>
      <c r="C58" s="115"/>
      <c r="D58" s="218">
        <f>FACTORES!F70</f>
        <v>25603.29</v>
      </c>
      <c r="E58" s="218">
        <f>FACTORES!G70</f>
        <v>30645.16</v>
      </c>
      <c r="F58" s="218">
        <f t="shared" si="8"/>
        <v>35304.909999999996</v>
      </c>
      <c r="G58" s="410">
        <f t="shared" si="9"/>
        <v>45367.53</v>
      </c>
      <c r="H58" s="218">
        <f t="shared" si="1"/>
        <v>36154.909999999996</v>
      </c>
      <c r="I58" s="218">
        <f t="shared" si="2"/>
        <v>46217.53</v>
      </c>
      <c r="J58" s="218">
        <f t="shared" si="3"/>
        <v>41939.695599999992</v>
      </c>
      <c r="K58" s="218">
        <f t="shared" si="4"/>
        <v>53612.334799999997</v>
      </c>
      <c r="L58" s="79"/>
      <c r="M58"/>
      <c r="N58"/>
      <c r="O58" s="190"/>
      <c r="P58" s="79"/>
      <c r="Q58" s="79"/>
      <c r="R58" s="3"/>
      <c r="S58" s="3"/>
      <c r="T58" s="188"/>
      <c r="U58" s="188"/>
    </row>
    <row r="59" spans="2:21" s="37" customFormat="1" ht="15" hidden="1" customHeight="1">
      <c r="B59" s="120">
        <f t="shared" si="5"/>
        <v>32</v>
      </c>
      <c r="C59" s="115"/>
      <c r="D59" s="218">
        <f>FACTORES!F71</f>
        <v>27174.21</v>
      </c>
      <c r="E59" s="218">
        <f>FACTORES!G71</f>
        <v>32056.799999999999</v>
      </c>
      <c r="F59" s="218">
        <f t="shared" si="8"/>
        <v>37335.879999999997</v>
      </c>
      <c r="G59" s="410">
        <f t="shared" si="9"/>
        <v>47192.56</v>
      </c>
      <c r="H59" s="218">
        <f t="shared" si="1"/>
        <v>38185.879999999997</v>
      </c>
      <c r="I59" s="218">
        <f t="shared" si="2"/>
        <v>48042.559999999998</v>
      </c>
      <c r="J59" s="218">
        <f t="shared" si="3"/>
        <v>44295.620799999997</v>
      </c>
      <c r="K59" s="218">
        <f t="shared" si="4"/>
        <v>55729.369599999991</v>
      </c>
      <c r="L59" s="79"/>
      <c r="M59"/>
      <c r="N59"/>
      <c r="O59" s="190"/>
      <c r="P59" s="79"/>
      <c r="Q59" s="79"/>
      <c r="R59" s="3"/>
      <c r="S59" s="3"/>
      <c r="T59" s="188"/>
      <c r="U59" s="188"/>
    </row>
    <row r="60" spans="2:21" s="37" customFormat="1" ht="15" hidden="1" customHeight="1">
      <c r="B60" s="120">
        <f t="shared" si="5"/>
        <v>33</v>
      </c>
      <c r="C60" s="115"/>
      <c r="D60" s="218">
        <f>FACTORES!F72</f>
        <v>28158.080000000002</v>
      </c>
      <c r="E60" s="218">
        <f>FACTORES!G72</f>
        <v>33227.370000000003</v>
      </c>
      <c r="F60" s="218">
        <f t="shared" si="8"/>
        <v>38607.869999999995</v>
      </c>
      <c r="G60" s="410">
        <f t="shared" si="9"/>
        <v>48705.94</v>
      </c>
      <c r="H60" s="218">
        <f t="shared" si="1"/>
        <v>39457.869999999995</v>
      </c>
      <c r="I60" s="218">
        <f t="shared" si="2"/>
        <v>49555.94</v>
      </c>
      <c r="J60" s="218">
        <f t="shared" si="3"/>
        <v>45771.129199999988</v>
      </c>
      <c r="K60" s="218">
        <f t="shared" si="4"/>
        <v>57484.890399999997</v>
      </c>
      <c r="L60" s="79"/>
      <c r="M60"/>
      <c r="N60"/>
      <c r="O60" s="190"/>
      <c r="P60" s="79"/>
      <c r="Q60" s="79"/>
      <c r="R60" s="3"/>
      <c r="S60" s="3"/>
      <c r="T60" s="188"/>
      <c r="U60" s="188"/>
    </row>
    <row r="61" spans="2:21" s="37" customFormat="1" ht="15" hidden="1" customHeight="1">
      <c r="B61" s="120">
        <f t="shared" si="5"/>
        <v>34</v>
      </c>
      <c r="C61" s="115"/>
      <c r="D61" s="218">
        <f>FACTORES!F73</f>
        <v>29765.87</v>
      </c>
      <c r="E61" s="218">
        <f>FACTORES!G73</f>
        <v>34764.6</v>
      </c>
      <c r="F61" s="218">
        <f t="shared" si="8"/>
        <v>40686.509999999995</v>
      </c>
      <c r="G61" s="410">
        <f t="shared" si="9"/>
        <v>50693.340000000004</v>
      </c>
      <c r="H61" s="218">
        <f t="shared" si="1"/>
        <v>41536.509999999995</v>
      </c>
      <c r="I61" s="218">
        <f t="shared" si="2"/>
        <v>51543.340000000004</v>
      </c>
      <c r="J61" s="218">
        <f t="shared" si="3"/>
        <v>48182.351599999987</v>
      </c>
      <c r="K61" s="218">
        <f t="shared" si="4"/>
        <v>59790.274400000002</v>
      </c>
      <c r="L61" s="79"/>
      <c r="M61"/>
      <c r="N61"/>
      <c r="O61" s="190"/>
      <c r="P61" s="79"/>
      <c r="Q61" s="79"/>
      <c r="R61" s="3"/>
      <c r="S61" s="3"/>
      <c r="T61" s="188"/>
      <c r="U61" s="188"/>
    </row>
    <row r="62" spans="2:21" s="37" customFormat="1" ht="15" hidden="1" customHeight="1">
      <c r="B62" s="120">
        <f t="shared" si="5"/>
        <v>35</v>
      </c>
      <c r="C62" s="115"/>
      <c r="D62" s="218">
        <f>FACTORES!F74</f>
        <v>31438.799999999999</v>
      </c>
      <c r="E62" s="218">
        <f>FACTORES!G74</f>
        <v>36381.39</v>
      </c>
      <c r="F62" s="218">
        <f t="shared" si="8"/>
        <v>42849.35</v>
      </c>
      <c r="G62" s="410">
        <f t="shared" si="9"/>
        <v>52783.61</v>
      </c>
      <c r="H62" s="218">
        <f t="shared" si="1"/>
        <v>43699.35</v>
      </c>
      <c r="I62" s="218">
        <f t="shared" si="2"/>
        <v>53633.61</v>
      </c>
      <c r="J62" s="218">
        <f t="shared" si="3"/>
        <v>50691.245999999992</v>
      </c>
      <c r="K62" s="218">
        <f t="shared" si="4"/>
        <v>62214.987599999993</v>
      </c>
      <c r="L62" s="79"/>
      <c r="M62"/>
      <c r="N62"/>
      <c r="O62" s="190"/>
      <c r="P62" s="79"/>
      <c r="Q62" s="79"/>
      <c r="R62" s="3"/>
      <c r="S62" s="3"/>
      <c r="T62" s="188"/>
      <c r="U62" s="188"/>
    </row>
    <row r="63" spans="2:21" s="37" customFormat="1" ht="15" hidden="1" customHeight="1">
      <c r="B63" s="120">
        <f t="shared" si="5"/>
        <v>36</v>
      </c>
      <c r="C63" s="115"/>
      <c r="D63" s="218">
        <f>FACTORES!F75</f>
        <v>32808.54</v>
      </c>
      <c r="E63" s="218">
        <f>FACTORES!G75</f>
        <v>38052.69</v>
      </c>
      <c r="F63" s="218">
        <f t="shared" si="8"/>
        <v>44620.219999999994</v>
      </c>
      <c r="G63" s="410">
        <f t="shared" si="9"/>
        <v>54944.35</v>
      </c>
      <c r="H63" s="218">
        <f t="shared" si="1"/>
        <v>45470.219999999994</v>
      </c>
      <c r="I63" s="218">
        <f t="shared" si="2"/>
        <v>55794.35</v>
      </c>
      <c r="J63" s="218">
        <f t="shared" si="3"/>
        <v>52745.455199999989</v>
      </c>
      <c r="K63" s="218">
        <f t="shared" si="4"/>
        <v>64721.445999999996</v>
      </c>
      <c r="L63" s="79"/>
      <c r="M63"/>
      <c r="N63"/>
      <c r="O63" s="190"/>
      <c r="P63" s="79"/>
      <c r="Q63" s="79"/>
      <c r="R63" s="3"/>
      <c r="S63" s="3"/>
      <c r="T63" s="188"/>
      <c r="U63" s="188"/>
    </row>
    <row r="64" spans="2:21" s="37" customFormat="1" ht="15" hidden="1" customHeight="1">
      <c r="B64" s="120">
        <f t="shared" si="5"/>
        <v>37</v>
      </c>
      <c r="C64" s="115"/>
      <c r="D64" s="218">
        <f>FACTORES!F76</f>
        <v>34611.839999999997</v>
      </c>
      <c r="E64" s="218">
        <f>FACTORES!G76</f>
        <v>39855.839999999997</v>
      </c>
      <c r="F64" s="218">
        <f t="shared" si="8"/>
        <v>46951.619999999995</v>
      </c>
      <c r="G64" s="410">
        <f t="shared" si="9"/>
        <v>57275.55</v>
      </c>
      <c r="H64" s="218">
        <f t="shared" si="1"/>
        <v>47801.619999999995</v>
      </c>
      <c r="I64" s="218">
        <f t="shared" si="2"/>
        <v>58125.55</v>
      </c>
      <c r="J64" s="218">
        <f t="shared" si="3"/>
        <v>55449.879199999988</v>
      </c>
      <c r="K64" s="218">
        <f t="shared" si="4"/>
        <v>67425.637999999992</v>
      </c>
      <c r="L64" s="79"/>
      <c r="M64"/>
      <c r="N64"/>
      <c r="O64" s="190"/>
      <c r="P64" s="79"/>
      <c r="Q64" s="79"/>
      <c r="R64" s="3"/>
      <c r="S64" s="3"/>
      <c r="T64" s="188"/>
      <c r="U64" s="188"/>
    </row>
    <row r="65" spans="2:21" s="37" customFormat="1" ht="15" hidden="1" customHeight="1">
      <c r="B65" s="120">
        <f t="shared" si="5"/>
        <v>38</v>
      </c>
      <c r="C65" s="115"/>
      <c r="D65" s="218">
        <f>FACTORES!F77</f>
        <v>36515.81</v>
      </c>
      <c r="E65" s="218">
        <f>FACTORES!G77</f>
        <v>41666.699999999997</v>
      </c>
      <c r="F65" s="218">
        <f t="shared" si="8"/>
        <v>49413.159999999996</v>
      </c>
      <c r="G65" s="410">
        <f t="shared" si="9"/>
        <v>59616.72</v>
      </c>
      <c r="H65" s="218">
        <f t="shared" si="1"/>
        <v>50263.159999999996</v>
      </c>
      <c r="I65" s="218">
        <f t="shared" si="2"/>
        <v>60466.720000000001</v>
      </c>
      <c r="J65" s="218">
        <f t="shared" si="3"/>
        <v>58305.265599999992</v>
      </c>
      <c r="K65" s="218">
        <f t="shared" si="4"/>
        <v>70141.395199999999</v>
      </c>
      <c r="L65" s="79"/>
      <c r="M65"/>
      <c r="N65"/>
      <c r="O65" s="190"/>
      <c r="P65" s="79"/>
      <c r="Q65" s="79"/>
      <c r="R65" s="3"/>
      <c r="S65" s="3"/>
      <c r="T65" s="188"/>
      <c r="U65" s="188"/>
    </row>
    <row r="66" spans="2:21" s="37" customFormat="1" ht="15" hidden="1" customHeight="1">
      <c r="B66" s="120">
        <f t="shared" si="5"/>
        <v>39</v>
      </c>
      <c r="C66" s="115"/>
      <c r="D66" s="218">
        <f>FACTORES!F78</f>
        <v>38551.629999999997</v>
      </c>
      <c r="E66" s="218">
        <f>FACTORES!G78</f>
        <v>43581.05</v>
      </c>
      <c r="F66" s="218">
        <f t="shared" si="8"/>
        <v>52045.17</v>
      </c>
      <c r="G66" s="410">
        <f t="shared" si="9"/>
        <v>62091.69</v>
      </c>
      <c r="H66" s="218">
        <f t="shared" si="1"/>
        <v>52895.17</v>
      </c>
      <c r="I66" s="218">
        <f t="shared" si="2"/>
        <v>62941.69</v>
      </c>
      <c r="J66" s="218">
        <f t="shared" si="3"/>
        <v>61358.397199999992</v>
      </c>
      <c r="K66" s="218">
        <f t="shared" si="4"/>
        <v>73012.36039999999</v>
      </c>
      <c r="L66" s="79"/>
      <c r="M66"/>
      <c r="N66"/>
      <c r="O66" s="190"/>
      <c r="P66" s="79"/>
      <c r="Q66" s="79"/>
      <c r="R66" s="3"/>
      <c r="S66" s="3"/>
      <c r="T66" s="188"/>
      <c r="U66" s="188"/>
    </row>
    <row r="67" spans="2:21" s="37" customFormat="1" ht="15" hidden="1" customHeight="1">
      <c r="B67" s="120">
        <f t="shared" si="5"/>
        <v>40</v>
      </c>
      <c r="C67" s="115"/>
      <c r="D67" s="218">
        <f>FACTORES!F79</f>
        <v>39919.589999999997</v>
      </c>
      <c r="E67" s="218">
        <f>FACTORES!G79</f>
        <v>45571.51</v>
      </c>
      <c r="F67" s="218">
        <f t="shared" si="8"/>
        <v>53813.74</v>
      </c>
      <c r="G67" s="410">
        <f t="shared" si="9"/>
        <v>64665.06</v>
      </c>
      <c r="H67" s="218">
        <f t="shared" si="1"/>
        <v>54663.74</v>
      </c>
      <c r="I67" s="218">
        <f t="shared" si="2"/>
        <v>65515.06</v>
      </c>
      <c r="J67" s="218">
        <f t="shared" si="3"/>
        <v>63409.938399999992</v>
      </c>
      <c r="K67" s="218">
        <f t="shared" si="4"/>
        <v>75997.469599999997</v>
      </c>
      <c r="L67" s="79"/>
      <c r="M67"/>
      <c r="N67"/>
      <c r="O67" s="190"/>
      <c r="P67" s="79"/>
      <c r="Q67" s="79"/>
      <c r="R67" s="3"/>
      <c r="S67" s="3"/>
      <c r="T67" s="188"/>
      <c r="U67" s="188"/>
    </row>
    <row r="68" spans="2:21" s="37" customFormat="1" ht="15" hidden="1" customHeight="1">
      <c r="B68" s="120">
        <f t="shared" si="5"/>
        <v>41</v>
      </c>
      <c r="C68" s="115"/>
      <c r="D68" s="218">
        <f>FACTORES!F80</f>
        <v>41418.559999999998</v>
      </c>
      <c r="E68" s="218">
        <f>FACTORES!G80</f>
        <v>47660.61</v>
      </c>
      <c r="F68" s="218">
        <f t="shared" si="8"/>
        <v>55751.689999999995</v>
      </c>
      <c r="G68" s="410">
        <f t="shared" si="9"/>
        <v>67365.95</v>
      </c>
      <c r="H68" s="218">
        <f t="shared" si="1"/>
        <v>56601.689999999995</v>
      </c>
      <c r="I68" s="218">
        <f t="shared" si="2"/>
        <v>68215.95</v>
      </c>
      <c r="J68" s="218">
        <f t="shared" si="3"/>
        <v>65657.960399999996</v>
      </c>
      <c r="K68" s="218">
        <f t="shared" si="4"/>
        <v>79130.501999999993</v>
      </c>
      <c r="L68" s="79"/>
      <c r="M68"/>
      <c r="N68"/>
      <c r="O68" s="190"/>
      <c r="P68" s="79"/>
      <c r="Q68" s="79"/>
      <c r="R68" s="3"/>
      <c r="S68" s="3"/>
      <c r="T68" s="188"/>
      <c r="U68" s="188"/>
    </row>
    <row r="69" spans="2:21" s="37" customFormat="1" ht="15" hidden="1" customHeight="1">
      <c r="B69" s="120">
        <f t="shared" si="5"/>
        <v>42</v>
      </c>
      <c r="C69" s="115"/>
      <c r="D69" s="218">
        <f>FACTORES!F81</f>
        <v>43053.54</v>
      </c>
      <c r="E69" s="218">
        <f>FACTORES!G81</f>
        <v>49839.9</v>
      </c>
      <c r="F69" s="218">
        <f t="shared" si="8"/>
        <v>57865.469999999994</v>
      </c>
      <c r="G69" s="410">
        <f t="shared" si="9"/>
        <v>70183.439999999988</v>
      </c>
      <c r="H69" s="218">
        <f t="shared" si="1"/>
        <v>58715.469999999994</v>
      </c>
      <c r="I69" s="218">
        <f t="shared" si="2"/>
        <v>71033.439999999988</v>
      </c>
      <c r="J69" s="218">
        <f t="shared" si="3"/>
        <v>68109.945199999987</v>
      </c>
      <c r="K69" s="218">
        <f t="shared" si="4"/>
        <v>82398.790399999983</v>
      </c>
      <c r="L69" s="79"/>
      <c r="M69"/>
      <c r="N69"/>
      <c r="O69" s="190"/>
      <c r="P69" s="79"/>
      <c r="Q69" s="79"/>
      <c r="R69" s="3"/>
      <c r="S69" s="3"/>
      <c r="T69" s="188"/>
      <c r="U69" s="188"/>
    </row>
    <row r="70" spans="2:21" s="37" customFormat="1" ht="15" hidden="1" customHeight="1">
      <c r="B70" s="120">
        <f t="shared" si="5"/>
        <v>43</v>
      </c>
      <c r="C70" s="115"/>
      <c r="D70" s="218">
        <f>FACTORES!F82</f>
        <v>44822.69</v>
      </c>
      <c r="E70" s="218">
        <f>FACTORES!G82</f>
        <v>52112.45</v>
      </c>
      <c r="F70" s="218">
        <f t="shared" si="8"/>
        <v>60152.71</v>
      </c>
      <c r="G70" s="410">
        <f t="shared" si="9"/>
        <v>73121.509999999995</v>
      </c>
      <c r="H70" s="218">
        <f t="shared" si="1"/>
        <v>61002.71</v>
      </c>
      <c r="I70" s="218">
        <f t="shared" si="2"/>
        <v>73971.509999999995</v>
      </c>
      <c r="J70" s="218">
        <f t="shared" si="3"/>
        <v>70763.143599999996</v>
      </c>
      <c r="K70" s="218">
        <f t="shared" si="4"/>
        <v>85806.951599999986</v>
      </c>
      <c r="L70" s="79"/>
      <c r="M70"/>
      <c r="N70"/>
      <c r="O70" s="190"/>
      <c r="P70" s="79"/>
      <c r="Q70" s="79"/>
      <c r="R70" s="3"/>
      <c r="S70" s="3"/>
      <c r="T70" s="188"/>
      <c r="U70" s="188"/>
    </row>
    <row r="71" spans="2:21" s="37" customFormat="1" ht="15" hidden="1" customHeight="1">
      <c r="B71" s="120">
        <f t="shared" si="5"/>
        <v>44</v>
      </c>
      <c r="C71" s="115"/>
      <c r="D71" s="218">
        <f>FACTORES!F83</f>
        <v>46779.39</v>
      </c>
      <c r="E71" s="218">
        <f>FACTORES!G83</f>
        <v>54735.19</v>
      </c>
      <c r="F71" s="218">
        <f t="shared" si="8"/>
        <v>62682.43</v>
      </c>
      <c r="G71" s="410">
        <f t="shared" si="9"/>
        <v>76512.319999999992</v>
      </c>
      <c r="H71" s="218">
        <f t="shared" si="1"/>
        <v>63532.43</v>
      </c>
      <c r="I71" s="218">
        <f t="shared" si="2"/>
        <v>77362.319999999992</v>
      </c>
      <c r="J71" s="218">
        <f t="shared" si="3"/>
        <v>73697.618799999997</v>
      </c>
      <c r="K71" s="218">
        <f t="shared" si="4"/>
        <v>89740.291199999978</v>
      </c>
      <c r="L71" s="79"/>
      <c r="M71"/>
      <c r="N71"/>
      <c r="O71" s="190"/>
      <c r="P71" s="79"/>
      <c r="Q71" s="79"/>
      <c r="R71" s="3"/>
      <c r="S71" s="3"/>
      <c r="T71" s="188"/>
      <c r="U71" s="188"/>
    </row>
    <row r="72" spans="2:21" s="37" customFormat="1" ht="15" hidden="1" customHeight="1">
      <c r="B72" s="120">
        <f t="shared" si="5"/>
        <v>45</v>
      </c>
      <c r="C72" s="115"/>
      <c r="D72" s="218">
        <f>FACTORES!F84</f>
        <v>48907.68</v>
      </c>
      <c r="E72" s="218">
        <f>FACTORES!G84</f>
        <v>57326.3</v>
      </c>
      <c r="F72" s="218">
        <f t="shared" si="8"/>
        <v>65433.99</v>
      </c>
      <c r="G72" s="410">
        <f t="shared" si="9"/>
        <v>79862.239999999991</v>
      </c>
      <c r="H72" s="218">
        <f t="shared" si="1"/>
        <v>66283.989999999991</v>
      </c>
      <c r="I72" s="218">
        <f t="shared" si="2"/>
        <v>80712.239999999991</v>
      </c>
      <c r="J72" s="218">
        <f t="shared" si="3"/>
        <v>76889.42839999999</v>
      </c>
      <c r="K72" s="218">
        <f t="shared" si="4"/>
        <v>93626.198399999979</v>
      </c>
      <c r="L72" s="79"/>
      <c r="M72"/>
      <c r="N72"/>
      <c r="O72" s="190"/>
      <c r="P72" s="79"/>
      <c r="Q72" s="79"/>
      <c r="R72" s="3"/>
      <c r="S72" s="3"/>
      <c r="T72" s="188"/>
      <c r="U72" s="188"/>
    </row>
    <row r="73" spans="2:21" s="37" customFormat="1" ht="15" hidden="1" customHeight="1">
      <c r="B73" s="120">
        <f t="shared" si="5"/>
        <v>46</v>
      </c>
      <c r="C73" s="115"/>
      <c r="D73" s="218">
        <f>FACTORES!F85</f>
        <v>51259.21</v>
      </c>
      <c r="E73" s="218">
        <f>FACTORES!G85</f>
        <v>59541.33</v>
      </c>
      <c r="F73" s="218">
        <f t="shared" si="8"/>
        <v>68474.17</v>
      </c>
      <c r="G73" s="410">
        <f t="shared" si="9"/>
        <v>82725.939999999988</v>
      </c>
      <c r="H73" s="218">
        <f t="shared" si="1"/>
        <v>69324.17</v>
      </c>
      <c r="I73" s="218">
        <f t="shared" si="2"/>
        <v>83575.939999999988</v>
      </c>
      <c r="J73" s="218">
        <f t="shared" si="3"/>
        <v>80416.037199999992</v>
      </c>
      <c r="K73" s="218">
        <f t="shared" si="4"/>
        <v>96948.090399999986</v>
      </c>
      <c r="L73" s="79"/>
      <c r="M73"/>
      <c r="N73"/>
      <c r="O73" s="190"/>
      <c r="P73" s="79"/>
      <c r="Q73" s="79"/>
      <c r="R73" s="3"/>
      <c r="S73" s="3"/>
      <c r="T73" s="188"/>
      <c r="U73" s="188"/>
    </row>
    <row r="74" spans="2:21" s="37" customFormat="1" ht="15" hidden="1" customHeight="1">
      <c r="B74" s="120">
        <f t="shared" si="5"/>
        <v>47</v>
      </c>
      <c r="C74" s="115"/>
      <c r="D74" s="218">
        <f>FACTORES!F86</f>
        <v>53826.94</v>
      </c>
      <c r="E74" s="218">
        <f>FACTORES!G86</f>
        <v>62602.33</v>
      </c>
      <c r="F74" s="218">
        <f t="shared" si="8"/>
        <v>71793.86</v>
      </c>
      <c r="G74" s="410">
        <f t="shared" si="9"/>
        <v>86683.349999999991</v>
      </c>
      <c r="H74" s="218">
        <f t="shared" si="1"/>
        <v>72643.86</v>
      </c>
      <c r="I74" s="218">
        <f t="shared" si="2"/>
        <v>87533.349999999991</v>
      </c>
      <c r="J74" s="218">
        <f t="shared" si="3"/>
        <v>84266.877599999993</v>
      </c>
      <c r="K74" s="218">
        <f t="shared" si="4"/>
        <v>101538.68599999999</v>
      </c>
      <c r="L74" s="79"/>
      <c r="M74"/>
      <c r="N74"/>
      <c r="O74" s="190"/>
      <c r="P74" s="79"/>
      <c r="Q74" s="79"/>
      <c r="R74" s="3"/>
      <c r="S74" s="3"/>
      <c r="T74" s="188"/>
      <c r="U74" s="188"/>
    </row>
    <row r="75" spans="2:21" s="37" customFormat="1" ht="15" hidden="1" customHeight="1">
      <c r="B75" s="120">
        <f t="shared" si="5"/>
        <v>48</v>
      </c>
      <c r="C75" s="115"/>
      <c r="D75" s="218">
        <f>FACTORES!F87</f>
        <v>56642.13</v>
      </c>
      <c r="E75" s="218">
        <f>FACTORES!G87</f>
        <v>65164.33</v>
      </c>
      <c r="F75" s="218">
        <f t="shared" si="8"/>
        <v>75433.48</v>
      </c>
      <c r="G75" s="410">
        <f t="shared" si="9"/>
        <v>89995.62999999999</v>
      </c>
      <c r="H75" s="218">
        <f t="shared" si="1"/>
        <v>76283.48</v>
      </c>
      <c r="I75" s="218">
        <f t="shared" si="2"/>
        <v>90845.62999999999</v>
      </c>
      <c r="J75" s="218">
        <f t="shared" si="3"/>
        <v>88488.83679999999</v>
      </c>
      <c r="K75" s="218">
        <f t="shared" si="4"/>
        <v>105380.93079999999</v>
      </c>
      <c r="L75" s="79"/>
      <c r="M75"/>
      <c r="N75"/>
      <c r="O75" s="190"/>
      <c r="P75" s="79"/>
      <c r="Q75" s="79"/>
      <c r="R75" s="3"/>
      <c r="S75" s="3"/>
      <c r="T75" s="188"/>
      <c r="U75" s="188"/>
    </row>
    <row r="76" spans="2:21" s="37" customFormat="1" ht="15" hidden="1" customHeight="1">
      <c r="B76" s="120">
        <f t="shared" si="5"/>
        <v>49</v>
      </c>
      <c r="C76" s="115"/>
      <c r="D76" s="218">
        <f>FACTORES!F88</f>
        <v>59723.59</v>
      </c>
      <c r="E76" s="218">
        <f>FACTORES!G88</f>
        <v>67930.44</v>
      </c>
      <c r="F76" s="218">
        <f t="shared" si="8"/>
        <v>79417.34</v>
      </c>
      <c r="G76" s="410">
        <f t="shared" si="9"/>
        <v>93571.799999999988</v>
      </c>
      <c r="H76" s="218">
        <f t="shared" si="1"/>
        <v>80267.34</v>
      </c>
      <c r="I76" s="218">
        <f t="shared" si="2"/>
        <v>94421.799999999988</v>
      </c>
      <c r="J76" s="218">
        <f t="shared" si="3"/>
        <v>93110.114399999991</v>
      </c>
      <c r="K76" s="218">
        <f t="shared" si="4"/>
        <v>109529.28799999999</v>
      </c>
      <c r="L76" s="79"/>
      <c r="M76"/>
      <c r="N76"/>
      <c r="O76" s="190"/>
      <c r="P76" s="79"/>
      <c r="Q76" s="79"/>
      <c r="R76" s="3"/>
      <c r="S76" s="3"/>
      <c r="T76" s="188"/>
      <c r="U76" s="188"/>
    </row>
    <row r="77" spans="2:21" s="37" customFormat="1" ht="15" hidden="1" customHeight="1">
      <c r="B77" s="120">
        <f t="shared" si="5"/>
        <v>50</v>
      </c>
      <c r="C77" s="115"/>
      <c r="D77" s="218">
        <f>FACTORES!F89</f>
        <v>63082.5</v>
      </c>
      <c r="E77" s="218">
        <f>FACTORES!G89</f>
        <v>70855.740000000005</v>
      </c>
      <c r="F77" s="218">
        <f t="shared" ref="F77:F112" si="11">ROUND(D77*$G$5*$G$6*$G$8*$G$14*$G$15*$G$9,2)+ADIC+DENTAL+DEDXACC+ENFGVES+IKE+CVISION</f>
        <v>83759.91</v>
      </c>
      <c r="G77" s="410">
        <f t="shared" si="9"/>
        <v>97353.76999999999</v>
      </c>
      <c r="H77" s="218">
        <f t="shared" si="1"/>
        <v>84609.91</v>
      </c>
      <c r="I77" s="218">
        <f t="shared" si="2"/>
        <v>98203.76999999999</v>
      </c>
      <c r="J77" s="218">
        <f t="shared" si="3"/>
        <v>98147.495599999995</v>
      </c>
      <c r="K77" s="218">
        <f t="shared" si="4"/>
        <v>113916.37319999999</v>
      </c>
      <c r="L77" s="79"/>
      <c r="M77"/>
      <c r="N77"/>
      <c r="O77" s="190"/>
      <c r="P77" s="79"/>
      <c r="Q77" s="79"/>
      <c r="R77" s="3"/>
      <c r="S77" s="3"/>
      <c r="T77" s="188"/>
      <c r="U77" s="188"/>
    </row>
    <row r="78" spans="2:21" s="37" customFormat="1" ht="15" hidden="1" customHeight="1">
      <c r="B78" s="120">
        <f t="shared" si="5"/>
        <v>51</v>
      </c>
      <c r="C78" s="115"/>
      <c r="D78" s="218">
        <f>FACTORES!F90</f>
        <v>66698.39</v>
      </c>
      <c r="E78" s="218">
        <f>FACTORES!G90</f>
        <v>74010.289999999994</v>
      </c>
      <c r="F78" s="218">
        <f t="shared" si="11"/>
        <v>88434.709999999992</v>
      </c>
      <c r="G78" s="410">
        <f t="shared" si="9"/>
        <v>101432.12999999999</v>
      </c>
      <c r="H78" s="218">
        <f t="shared" si="1"/>
        <v>89284.709999999992</v>
      </c>
      <c r="I78" s="218">
        <f t="shared" si="2"/>
        <v>102282.12999999999</v>
      </c>
      <c r="J78" s="218">
        <f t="shared" si="3"/>
        <v>103570.26359999998</v>
      </c>
      <c r="K78" s="218">
        <f t="shared" si="4"/>
        <v>118647.27079999998</v>
      </c>
      <c r="L78" s="79"/>
      <c r="M78"/>
      <c r="N78"/>
      <c r="O78" s="190"/>
      <c r="P78" s="79"/>
      <c r="Q78" s="79"/>
      <c r="R78" s="3"/>
      <c r="S78" s="3"/>
      <c r="T78" s="188"/>
      <c r="U78" s="188"/>
    </row>
    <row r="79" spans="2:21" s="37" customFormat="1" ht="15" hidden="1" customHeight="1">
      <c r="B79" s="120">
        <f t="shared" si="5"/>
        <v>52</v>
      </c>
      <c r="C79" s="115"/>
      <c r="D79" s="218">
        <f>FACTORES!F91</f>
        <v>70641.89</v>
      </c>
      <c r="E79" s="218">
        <f>FACTORES!G91</f>
        <v>77389.31</v>
      </c>
      <c r="F79" s="218">
        <f t="shared" si="11"/>
        <v>93533.069999999992</v>
      </c>
      <c r="G79" s="410">
        <f t="shared" si="9"/>
        <v>105800.7</v>
      </c>
      <c r="H79" s="218">
        <f t="shared" si="1"/>
        <v>94383.069999999992</v>
      </c>
      <c r="I79" s="218">
        <f t="shared" si="2"/>
        <v>106650.7</v>
      </c>
      <c r="J79" s="218">
        <f t="shared" si="3"/>
        <v>109484.36119999998</v>
      </c>
      <c r="K79" s="218">
        <f t="shared" si="4"/>
        <v>123714.81199999999</v>
      </c>
      <c r="L79" s="79"/>
      <c r="M79"/>
      <c r="N79"/>
      <c r="O79" s="190"/>
      <c r="P79" s="79"/>
      <c r="Q79" s="79"/>
      <c r="R79" s="3"/>
      <c r="S79" s="3"/>
      <c r="T79" s="188"/>
      <c r="U79" s="188"/>
    </row>
    <row r="80" spans="2:21" s="37" customFormat="1" ht="15" hidden="1" customHeight="1">
      <c r="B80" s="120">
        <f t="shared" si="5"/>
        <v>53</v>
      </c>
      <c r="C80" s="115"/>
      <c r="D80" s="218">
        <f>FACTORES!F92</f>
        <v>74952.149999999994</v>
      </c>
      <c r="E80" s="218">
        <f>FACTORES!G92</f>
        <v>81013.91</v>
      </c>
      <c r="F80" s="218">
        <f t="shared" si="11"/>
        <v>99105.59</v>
      </c>
      <c r="G80" s="410">
        <f t="shared" si="9"/>
        <v>110486.76</v>
      </c>
      <c r="H80" s="218">
        <f t="shared" si="1"/>
        <v>99955.59</v>
      </c>
      <c r="I80" s="218">
        <f t="shared" si="2"/>
        <v>111336.76</v>
      </c>
      <c r="J80" s="218">
        <f t="shared" si="3"/>
        <v>115948.48439999999</v>
      </c>
      <c r="K80" s="218">
        <f t="shared" si="4"/>
        <v>129150.64159999999</v>
      </c>
      <c r="L80" s="79"/>
      <c r="M80"/>
      <c r="N80"/>
      <c r="O80" s="190"/>
      <c r="P80" s="79"/>
      <c r="Q80" s="79"/>
      <c r="R80" s="3"/>
      <c r="S80" s="3"/>
      <c r="T80" s="188"/>
      <c r="U80" s="188"/>
    </row>
    <row r="81" spans="2:21" s="37" customFormat="1" ht="15" hidden="1" customHeight="1">
      <c r="B81" s="120">
        <f t="shared" si="5"/>
        <v>54</v>
      </c>
      <c r="C81" s="115"/>
      <c r="D81" s="218">
        <f>FACTORES!F93</f>
        <v>79617.53</v>
      </c>
      <c r="E81" s="218">
        <f>FACTORES!G93</f>
        <v>84868.25</v>
      </c>
      <c r="F81" s="218">
        <f t="shared" si="11"/>
        <v>105137.22</v>
      </c>
      <c r="G81" s="410">
        <f t="shared" si="9"/>
        <v>115469.84999999999</v>
      </c>
      <c r="H81" s="218">
        <f t="shared" si="1"/>
        <v>105987.22</v>
      </c>
      <c r="I81" s="218">
        <f t="shared" si="2"/>
        <v>116319.84999999999</v>
      </c>
      <c r="J81" s="218">
        <f t="shared" si="3"/>
        <v>122945.1752</v>
      </c>
      <c r="K81" s="218">
        <f t="shared" si="4"/>
        <v>134931.02599999998</v>
      </c>
      <c r="L81" s="79"/>
      <c r="M81"/>
      <c r="N81"/>
      <c r="O81" s="190"/>
      <c r="P81" s="79"/>
      <c r="Q81" s="79"/>
      <c r="R81" s="3"/>
      <c r="S81" s="3"/>
      <c r="T81" s="188"/>
      <c r="U81" s="188"/>
    </row>
    <row r="82" spans="2:21" s="37" customFormat="1" ht="15" hidden="1" customHeight="1">
      <c r="B82" s="120">
        <f t="shared" si="5"/>
        <v>55</v>
      </c>
      <c r="C82" s="115"/>
      <c r="D82" s="218">
        <f>FACTORES!F94</f>
        <v>84589.23</v>
      </c>
      <c r="E82" s="218">
        <f>FACTORES!G94</f>
        <v>88883.96</v>
      </c>
      <c r="F82" s="218">
        <f t="shared" si="11"/>
        <v>111564.89</v>
      </c>
      <c r="G82" s="218">
        <f t="shared" ref="G82:G112" si="12">ROUND(E82*$G$5*$G$6*$G$8*$G$14*$G$15*$G$9,2)+ADIC+DENTAL+DEDXACC+ENFGVES+IKE+CVISION</f>
        <v>117117.33</v>
      </c>
      <c r="H82" s="218">
        <f t="shared" si="1"/>
        <v>112414.89</v>
      </c>
      <c r="I82" s="218">
        <f t="shared" si="2"/>
        <v>117967.33</v>
      </c>
      <c r="J82" s="218">
        <f t="shared" si="3"/>
        <v>130401.27239999999</v>
      </c>
      <c r="K82" s="218">
        <f t="shared" si="4"/>
        <v>136842.10279999999</v>
      </c>
      <c r="L82" s="79"/>
      <c r="M82"/>
      <c r="N82"/>
      <c r="O82" s="190"/>
      <c r="P82" s="79"/>
      <c r="Q82" s="79"/>
      <c r="R82" s="3"/>
      <c r="S82" s="3"/>
      <c r="T82" s="188"/>
      <c r="U82" s="188"/>
    </row>
    <row r="83" spans="2:21" s="37" customFormat="1" ht="15" hidden="1" customHeight="1">
      <c r="B83" s="120">
        <f t="shared" si="5"/>
        <v>56</v>
      </c>
      <c r="C83" s="115"/>
      <c r="D83" s="218">
        <f>FACTORES!F95</f>
        <v>90008.52</v>
      </c>
      <c r="E83" s="218">
        <f>FACTORES!G95</f>
        <v>94302.22</v>
      </c>
      <c r="F83" s="218">
        <f t="shared" si="11"/>
        <v>118571.22</v>
      </c>
      <c r="G83" s="218">
        <f t="shared" si="12"/>
        <v>124122.33</v>
      </c>
      <c r="H83" s="218">
        <f t="shared" si="1"/>
        <v>119421.22</v>
      </c>
      <c r="I83" s="218">
        <f t="shared" si="2"/>
        <v>124972.33</v>
      </c>
      <c r="J83" s="218">
        <f t="shared" si="3"/>
        <v>138528.6152</v>
      </c>
      <c r="K83" s="218">
        <f t="shared" si="4"/>
        <v>144967.90279999998</v>
      </c>
      <c r="L83" s="79"/>
      <c r="M83"/>
      <c r="N83"/>
      <c r="O83" s="190"/>
      <c r="P83" s="79"/>
      <c r="Q83" s="79"/>
      <c r="R83" s="3"/>
      <c r="S83" s="3"/>
      <c r="T83" s="188"/>
      <c r="U83" s="188"/>
    </row>
    <row r="84" spans="2:21" s="37" customFormat="1" ht="15" hidden="1" customHeight="1">
      <c r="B84" s="120">
        <f t="shared" si="5"/>
        <v>57</v>
      </c>
      <c r="C84" s="115"/>
      <c r="D84" s="218">
        <f>FACTORES!F96</f>
        <v>95822.98</v>
      </c>
      <c r="E84" s="218">
        <f>FACTORES!G96</f>
        <v>97977.86</v>
      </c>
      <c r="F84" s="218">
        <f t="shared" si="11"/>
        <v>126088.44</v>
      </c>
      <c r="G84" s="218">
        <f t="shared" si="12"/>
        <v>128874.37999999999</v>
      </c>
      <c r="H84" s="218">
        <f t="shared" si="1"/>
        <v>126938.44</v>
      </c>
      <c r="I84" s="218">
        <f t="shared" si="2"/>
        <v>129724.37999999999</v>
      </c>
      <c r="J84" s="218">
        <f t="shared" si="3"/>
        <v>147248.59039999999</v>
      </c>
      <c r="K84" s="218">
        <f t="shared" si="4"/>
        <v>150480.28079999998</v>
      </c>
      <c r="L84" s="79"/>
      <c r="M84"/>
      <c r="N84"/>
      <c r="O84" s="190"/>
      <c r="P84" s="79"/>
      <c r="Q84" s="79"/>
      <c r="R84" s="3"/>
      <c r="S84" s="3"/>
      <c r="T84" s="188"/>
      <c r="U84" s="188"/>
    </row>
    <row r="85" spans="2:21" s="37" customFormat="1" ht="15" hidden="1" customHeight="1">
      <c r="B85" s="120">
        <f t="shared" si="5"/>
        <v>58</v>
      </c>
      <c r="C85" s="115"/>
      <c r="D85" s="218">
        <f>FACTORES!F97</f>
        <v>99992.73</v>
      </c>
      <c r="E85" s="218">
        <f>FACTORES!G97</f>
        <v>101942.56</v>
      </c>
      <c r="F85" s="218">
        <f t="shared" si="11"/>
        <v>131479.30000000002</v>
      </c>
      <c r="G85" s="218">
        <f t="shared" si="12"/>
        <v>134000.14000000001</v>
      </c>
      <c r="H85" s="218">
        <f t="shared" si="1"/>
        <v>132329.30000000002</v>
      </c>
      <c r="I85" s="218">
        <f t="shared" si="2"/>
        <v>134850.14000000001</v>
      </c>
      <c r="J85" s="218">
        <f t="shared" si="3"/>
        <v>153501.98800000001</v>
      </c>
      <c r="K85" s="218">
        <f t="shared" si="4"/>
        <v>156426.1624</v>
      </c>
      <c r="L85" s="79"/>
      <c r="M85"/>
      <c r="N85"/>
      <c r="O85" s="190"/>
      <c r="P85" s="79"/>
      <c r="Q85" s="79"/>
      <c r="R85" s="3"/>
      <c r="S85" s="3"/>
      <c r="T85" s="188"/>
      <c r="U85" s="188"/>
    </row>
    <row r="86" spans="2:21" s="37" customFormat="1" ht="15" hidden="1" customHeight="1">
      <c r="B86" s="120">
        <f t="shared" si="5"/>
        <v>59</v>
      </c>
      <c r="C86" s="115"/>
      <c r="D86" s="218">
        <f>FACTORES!F98</f>
        <v>106549.09</v>
      </c>
      <c r="E86" s="218">
        <f>FACTORES!G98</f>
        <v>103702.23</v>
      </c>
      <c r="F86" s="218">
        <f t="shared" si="11"/>
        <v>139955.69</v>
      </c>
      <c r="G86" s="218">
        <f t="shared" si="12"/>
        <v>136275.13</v>
      </c>
      <c r="H86" s="218">
        <f t="shared" si="1"/>
        <v>140805.69</v>
      </c>
      <c r="I86" s="218">
        <f t="shared" si="2"/>
        <v>137125.13</v>
      </c>
      <c r="J86" s="218">
        <f t="shared" si="3"/>
        <v>163334.6004</v>
      </c>
      <c r="K86" s="218">
        <f t="shared" si="4"/>
        <v>159065.1508</v>
      </c>
      <c r="L86" s="79"/>
      <c r="M86"/>
      <c r="N86"/>
      <c r="O86" s="190"/>
      <c r="P86" s="79"/>
      <c r="Q86" s="79"/>
      <c r="R86" s="3"/>
      <c r="S86" s="3"/>
      <c r="T86" s="188"/>
      <c r="U86" s="188"/>
    </row>
    <row r="87" spans="2:21" s="37" customFormat="1" ht="15" hidden="1" customHeight="1">
      <c r="B87" s="120">
        <f t="shared" si="5"/>
        <v>60</v>
      </c>
      <c r="C87" s="115"/>
      <c r="D87" s="218">
        <f>FACTORES!F99</f>
        <v>170941.85</v>
      </c>
      <c r="E87" s="218">
        <f>FACTORES!G99</f>
        <v>169718.26</v>
      </c>
      <c r="F87" s="218">
        <f t="shared" si="11"/>
        <v>223205.87000000002</v>
      </c>
      <c r="G87" s="218">
        <f t="shared" si="12"/>
        <v>221623.95</v>
      </c>
      <c r="H87" s="218">
        <f t="shared" si="1"/>
        <v>224055.87000000002</v>
      </c>
      <c r="I87" s="218">
        <f t="shared" si="2"/>
        <v>222473.95</v>
      </c>
      <c r="J87" s="218">
        <f t="shared" si="3"/>
        <v>259904.80920000002</v>
      </c>
      <c r="K87" s="218">
        <f t="shared" si="4"/>
        <v>258069.78200000001</v>
      </c>
      <c r="L87" s="79"/>
      <c r="M87"/>
      <c r="N87"/>
      <c r="O87" s="190"/>
      <c r="P87" s="79"/>
      <c r="Q87" s="79"/>
      <c r="R87" s="3"/>
      <c r="S87" s="3"/>
      <c r="T87" s="188"/>
      <c r="U87" s="188"/>
    </row>
    <row r="88" spans="2:21" s="37" customFormat="1" ht="15" hidden="1" customHeight="1">
      <c r="B88" s="120">
        <f t="shared" si="5"/>
        <v>61</v>
      </c>
      <c r="C88" s="115"/>
      <c r="D88" s="218">
        <f>FACTORES!F100</f>
        <v>180390.69</v>
      </c>
      <c r="E88" s="218">
        <f>FACTORES!G100</f>
        <v>177166.91</v>
      </c>
      <c r="F88" s="218">
        <f t="shared" si="11"/>
        <v>235421.80000000002</v>
      </c>
      <c r="G88" s="218">
        <f t="shared" si="12"/>
        <v>231253.94</v>
      </c>
      <c r="H88" s="218">
        <f t="shared" si="1"/>
        <v>236271.80000000002</v>
      </c>
      <c r="I88" s="218">
        <f t="shared" si="2"/>
        <v>232103.94</v>
      </c>
      <c r="J88" s="218">
        <f t="shared" si="3"/>
        <v>274075.288</v>
      </c>
      <c r="K88" s="218">
        <f t="shared" si="4"/>
        <v>269240.57039999997</v>
      </c>
      <c r="L88" s="79">
        <f>+F88</f>
        <v>235421.80000000002</v>
      </c>
      <c r="M88"/>
      <c r="N88"/>
      <c r="O88" s="190"/>
      <c r="P88" s="79"/>
      <c r="Q88" s="79"/>
      <c r="R88" s="3"/>
      <c r="S88" s="3"/>
      <c r="T88" s="188"/>
      <c r="U88" s="188"/>
    </row>
    <row r="89" spans="2:21" s="37" customFormat="1" ht="15" hidden="1" customHeight="1">
      <c r="B89" s="120">
        <f t="shared" si="5"/>
        <v>62</v>
      </c>
      <c r="C89" s="115"/>
      <c r="D89" s="218">
        <f>FACTORES!F101</f>
        <v>190011.84</v>
      </c>
      <c r="E89" s="218">
        <f>FACTORES!G101</f>
        <v>184831.47</v>
      </c>
      <c r="F89" s="218">
        <f t="shared" si="11"/>
        <v>247860.51</v>
      </c>
      <c r="G89" s="218">
        <f t="shared" si="12"/>
        <v>241163.07</v>
      </c>
      <c r="H89" s="218">
        <f t="shared" si="1"/>
        <v>248710.51</v>
      </c>
      <c r="I89" s="218">
        <f t="shared" si="2"/>
        <v>242013.07</v>
      </c>
      <c r="J89" s="218">
        <f t="shared" si="3"/>
        <v>288504.19159999996</v>
      </c>
      <c r="K89" s="218">
        <f t="shared" si="4"/>
        <v>280735.16119999997</v>
      </c>
      <c r="L89" s="79"/>
      <c r="M89"/>
      <c r="N89"/>
      <c r="O89" s="190"/>
      <c r="P89" s="79"/>
      <c r="Q89" s="79"/>
      <c r="R89" s="3"/>
      <c r="S89" s="3"/>
      <c r="T89" s="188"/>
      <c r="U89" s="188"/>
    </row>
    <row r="90" spans="2:21" s="37" customFormat="1" ht="15" hidden="1" customHeight="1">
      <c r="B90" s="120">
        <f t="shared" si="5"/>
        <v>63</v>
      </c>
      <c r="C90" s="115"/>
      <c r="D90" s="218">
        <f>FACTORES!F102</f>
        <v>200579.74</v>
      </c>
      <c r="E90" s="218">
        <f>FACTORES!G102</f>
        <v>192892.3</v>
      </c>
      <c r="F90" s="218">
        <f t="shared" si="11"/>
        <v>261523.22</v>
      </c>
      <c r="G90" s="218">
        <f t="shared" si="12"/>
        <v>251584.51</v>
      </c>
      <c r="H90" s="218">
        <f t="shared" si="1"/>
        <v>262373.21999999997</v>
      </c>
      <c r="I90" s="218">
        <f t="shared" si="2"/>
        <v>252434.51</v>
      </c>
      <c r="J90" s="218">
        <f t="shared" si="3"/>
        <v>304352.93519999995</v>
      </c>
      <c r="K90" s="218">
        <f t="shared" si="4"/>
        <v>292824.03159999999</v>
      </c>
      <c r="L90" s="79"/>
      <c r="M90"/>
      <c r="N90"/>
      <c r="O90" s="190"/>
      <c r="P90" s="79"/>
      <c r="Q90" s="79"/>
      <c r="R90" s="3"/>
      <c r="S90" s="3"/>
      <c r="T90" s="188"/>
      <c r="U90" s="188"/>
    </row>
    <row r="91" spans="2:21" s="37" customFormat="1" ht="15" hidden="1" customHeight="1">
      <c r="B91" s="120">
        <f t="shared" si="5"/>
        <v>64</v>
      </c>
      <c r="C91" s="115"/>
      <c r="D91" s="218">
        <f>FACTORES!F103</f>
        <v>211233.71</v>
      </c>
      <c r="E91" s="218">
        <f>FACTORES!G103</f>
        <v>201460.63</v>
      </c>
      <c r="F91" s="218">
        <f t="shared" si="11"/>
        <v>275297.2</v>
      </c>
      <c r="G91" s="218">
        <f t="shared" si="12"/>
        <v>262662.08</v>
      </c>
      <c r="H91" s="218">
        <f t="shared" si="1"/>
        <v>276147.20000000001</v>
      </c>
      <c r="I91" s="218">
        <f t="shared" si="2"/>
        <v>263512.08</v>
      </c>
      <c r="J91" s="218">
        <f t="shared" si="3"/>
        <v>320330.75199999998</v>
      </c>
      <c r="K91" s="218">
        <f t="shared" si="4"/>
        <v>305674.01280000003</v>
      </c>
      <c r="L91" s="79"/>
      <c r="M91"/>
      <c r="N91"/>
      <c r="O91" s="190"/>
      <c r="P91" s="79"/>
      <c r="Q91" s="79"/>
      <c r="R91" s="3"/>
      <c r="S91" s="3"/>
      <c r="T91" s="188"/>
      <c r="U91" s="188"/>
    </row>
    <row r="92" spans="2:21" s="37" customFormat="1" ht="15" hidden="1" customHeight="1">
      <c r="B92" s="120">
        <f t="shared" si="5"/>
        <v>65</v>
      </c>
      <c r="C92" s="115"/>
      <c r="D92" s="218">
        <f>FACTORES!F104</f>
        <v>222510.88</v>
      </c>
      <c r="E92" s="218">
        <f>FACTORES!G104</f>
        <v>210309.46</v>
      </c>
      <c r="F92" s="218">
        <f t="shared" si="11"/>
        <v>289876.89</v>
      </c>
      <c r="G92" s="218">
        <f t="shared" si="12"/>
        <v>274102.29000000004</v>
      </c>
      <c r="H92" s="218">
        <f t="shared" ref="H92:H110" si="13">(F92*(1+$I$24))+$I$25</f>
        <v>290726.89</v>
      </c>
      <c r="I92" s="218">
        <f t="shared" ref="I92:I110" si="14">(G92*(1+$I$24))+$I$25</f>
        <v>274952.29000000004</v>
      </c>
      <c r="J92" s="218">
        <f t="shared" ref="J92:J110" si="15">H92*(1+$K$25)</f>
        <v>337243.1924</v>
      </c>
      <c r="K92" s="218">
        <f t="shared" ref="K92:K110" si="16">I92*(1+$K$25)</f>
        <v>318944.65640000004</v>
      </c>
      <c r="L92" s="79"/>
      <c r="M92"/>
      <c r="N92"/>
      <c r="O92" s="190"/>
      <c r="P92" s="79"/>
      <c r="Q92" s="79"/>
      <c r="R92" s="3"/>
      <c r="S92" s="3"/>
      <c r="T92" s="188"/>
      <c r="U92" s="188"/>
    </row>
    <row r="93" spans="2:21" s="37" customFormat="1" ht="15" hidden="1" customHeight="1">
      <c r="B93" s="120">
        <f t="shared" ref="B93:B127" si="17">+B92+1</f>
        <v>66</v>
      </c>
      <c r="C93" s="115"/>
      <c r="D93" s="218">
        <f>FACTORES!F105</f>
        <v>234315.32</v>
      </c>
      <c r="E93" s="218">
        <f>FACTORES!G105</f>
        <v>219664</v>
      </c>
      <c r="F93" s="218">
        <f t="shared" si="11"/>
        <v>305138.26</v>
      </c>
      <c r="G93" s="218">
        <f t="shared" si="12"/>
        <v>286196.3</v>
      </c>
      <c r="H93" s="218">
        <f t="shared" si="13"/>
        <v>305988.26</v>
      </c>
      <c r="I93" s="218">
        <f t="shared" si="14"/>
        <v>287046.3</v>
      </c>
      <c r="J93" s="218">
        <f t="shared" si="15"/>
        <v>354946.38159999996</v>
      </c>
      <c r="K93" s="218">
        <f t="shared" si="16"/>
        <v>332973.70799999998</v>
      </c>
      <c r="L93" s="79"/>
      <c r="M93"/>
      <c r="N93"/>
      <c r="O93" s="190"/>
      <c r="P93" s="79"/>
      <c r="Q93" s="79"/>
      <c r="R93" s="3"/>
      <c r="S93" s="3"/>
      <c r="T93" s="188"/>
      <c r="U93" s="188"/>
    </row>
    <row r="94" spans="2:21" s="37" customFormat="1" ht="15" hidden="1" customHeight="1">
      <c r="B94" s="120">
        <f t="shared" si="17"/>
        <v>67</v>
      </c>
      <c r="C94" s="115"/>
      <c r="D94" s="218">
        <f>FACTORES!F106</f>
        <v>246495.72</v>
      </c>
      <c r="E94" s="218">
        <f>FACTORES!G106</f>
        <v>229149.21</v>
      </c>
      <c r="F94" s="218">
        <f t="shared" si="11"/>
        <v>320885.69</v>
      </c>
      <c r="G94" s="218">
        <f t="shared" si="12"/>
        <v>298459.26</v>
      </c>
      <c r="H94" s="218">
        <f t="shared" si="13"/>
        <v>321735.69</v>
      </c>
      <c r="I94" s="218">
        <f t="shared" si="14"/>
        <v>299309.26</v>
      </c>
      <c r="J94" s="218">
        <f t="shared" si="15"/>
        <v>373213.40039999998</v>
      </c>
      <c r="K94" s="218">
        <f t="shared" si="16"/>
        <v>347198.74160000001</v>
      </c>
      <c r="L94" s="79"/>
      <c r="M94"/>
      <c r="N94"/>
      <c r="O94" s="190"/>
      <c r="P94" s="79"/>
      <c r="Q94" s="79"/>
      <c r="R94" s="3"/>
      <c r="S94" s="3"/>
      <c r="T94" s="188"/>
      <c r="U94" s="188"/>
    </row>
    <row r="95" spans="2:21" s="37" customFormat="1" ht="15" hidden="1" customHeight="1">
      <c r="B95" s="120">
        <f t="shared" si="17"/>
        <v>68</v>
      </c>
      <c r="C95" s="115"/>
      <c r="D95" s="218">
        <f>FACTORES!F107</f>
        <v>259363.84</v>
      </c>
      <c r="E95" s="218">
        <f>FACTORES!G107</f>
        <v>239183.17</v>
      </c>
      <c r="F95" s="218">
        <f t="shared" si="11"/>
        <v>337522.24</v>
      </c>
      <c r="G95" s="218">
        <f t="shared" si="12"/>
        <v>311431.66000000003</v>
      </c>
      <c r="H95" s="218">
        <f t="shared" si="13"/>
        <v>338372.24</v>
      </c>
      <c r="I95" s="218">
        <f t="shared" si="14"/>
        <v>312281.66000000003</v>
      </c>
      <c r="J95" s="218">
        <f t="shared" si="15"/>
        <v>392511.79839999997</v>
      </c>
      <c r="K95" s="218">
        <f t="shared" si="16"/>
        <v>362246.72560000001</v>
      </c>
      <c r="L95" s="79"/>
      <c r="M95"/>
      <c r="N95"/>
      <c r="O95" s="190"/>
      <c r="P95" s="79"/>
      <c r="Q95" s="79"/>
      <c r="R95" s="3"/>
      <c r="S95" s="3"/>
      <c r="T95" s="188"/>
      <c r="U95" s="188"/>
    </row>
    <row r="96" spans="2:21" s="37" customFormat="1" ht="15" hidden="1" customHeight="1">
      <c r="B96" s="120">
        <f t="shared" si="17"/>
        <v>69</v>
      </c>
      <c r="C96" s="115"/>
      <c r="D96" s="218">
        <f>FACTORES!F108</f>
        <v>272184.58</v>
      </c>
      <c r="E96" s="218">
        <f>FACTORES!G108</f>
        <v>249795.03</v>
      </c>
      <c r="F96" s="218">
        <f t="shared" si="11"/>
        <v>354097.53</v>
      </c>
      <c r="G96" s="218">
        <f t="shared" si="12"/>
        <v>325151.2</v>
      </c>
      <c r="H96" s="218">
        <f t="shared" si="13"/>
        <v>354947.53</v>
      </c>
      <c r="I96" s="218">
        <f t="shared" si="14"/>
        <v>326001.2</v>
      </c>
      <c r="J96" s="218">
        <f t="shared" si="15"/>
        <v>411739.1348</v>
      </c>
      <c r="K96" s="218">
        <f t="shared" si="16"/>
        <v>378161.39199999999</v>
      </c>
      <c r="L96" s="79"/>
      <c r="M96"/>
      <c r="N96"/>
      <c r="O96" s="190"/>
      <c r="P96" s="79"/>
      <c r="Q96" s="79"/>
      <c r="R96" s="3"/>
      <c r="S96" s="3"/>
      <c r="T96" s="188"/>
      <c r="U96" s="188"/>
    </row>
    <row r="97" spans="2:21" s="37" customFormat="1" ht="15" hidden="1" customHeight="1">
      <c r="B97" s="120">
        <f t="shared" si="17"/>
        <v>70</v>
      </c>
      <c r="C97" s="115"/>
      <c r="D97" s="218">
        <f>FACTORES!F109</f>
        <v>285840.69</v>
      </c>
      <c r="E97" s="218">
        <f>FACTORES!G109</f>
        <v>260659.87</v>
      </c>
      <c r="F97" s="218">
        <f t="shared" si="11"/>
        <v>371752.84</v>
      </c>
      <c r="G97" s="218">
        <f t="shared" si="12"/>
        <v>339197.81</v>
      </c>
      <c r="H97" s="218">
        <f t="shared" si="13"/>
        <v>372602.84</v>
      </c>
      <c r="I97" s="218">
        <f t="shared" si="14"/>
        <v>340047.81</v>
      </c>
      <c r="J97" s="218">
        <f t="shared" si="15"/>
        <v>432219.29440000001</v>
      </c>
      <c r="K97" s="218">
        <f t="shared" si="16"/>
        <v>394455.45959999994</v>
      </c>
      <c r="L97" s="79"/>
      <c r="M97"/>
      <c r="N97"/>
      <c r="O97" s="190"/>
      <c r="P97" s="79"/>
      <c r="Q97" s="79"/>
      <c r="R97" s="3"/>
      <c r="S97" s="3"/>
      <c r="T97" s="188"/>
      <c r="U97" s="188"/>
    </row>
    <row r="98" spans="2:21" s="37" customFormat="1" ht="15" hidden="1" customHeight="1">
      <c r="B98" s="120">
        <f t="shared" si="17"/>
        <v>71</v>
      </c>
      <c r="C98" s="115"/>
      <c r="D98" s="218">
        <f>FACTORES!F110</f>
        <v>300172.58</v>
      </c>
      <c r="E98" s="218">
        <f>FACTORES!G110</f>
        <v>271608.38</v>
      </c>
      <c r="F98" s="218">
        <f t="shared" si="11"/>
        <v>390281.82</v>
      </c>
      <c r="G98" s="218">
        <f t="shared" si="12"/>
        <v>353352.59</v>
      </c>
      <c r="H98" s="218">
        <f t="shared" si="13"/>
        <v>391131.82</v>
      </c>
      <c r="I98" s="218">
        <f t="shared" si="14"/>
        <v>354202.59</v>
      </c>
      <c r="J98" s="218">
        <f t="shared" si="15"/>
        <v>453712.91119999997</v>
      </c>
      <c r="K98" s="218">
        <f t="shared" si="16"/>
        <v>410875.00439999998</v>
      </c>
      <c r="L98" s="79"/>
      <c r="M98"/>
      <c r="N98"/>
      <c r="O98" s="190"/>
      <c r="P98" s="79"/>
      <c r="Q98" s="79"/>
      <c r="R98" s="3"/>
      <c r="S98" s="3"/>
      <c r="T98" s="188"/>
      <c r="U98" s="188"/>
    </row>
    <row r="99" spans="2:21" s="37" customFormat="1" ht="15" hidden="1" customHeight="1">
      <c r="B99" s="120">
        <f t="shared" si="17"/>
        <v>72</v>
      </c>
      <c r="C99" s="115"/>
      <c r="D99" s="218">
        <f>FACTORES!F111</f>
        <v>314548.98</v>
      </c>
      <c r="E99" s="218">
        <f>FACTORES!G111</f>
        <v>283531.78000000003</v>
      </c>
      <c r="F99" s="218">
        <f t="shared" si="11"/>
        <v>408868.35000000003</v>
      </c>
      <c r="G99" s="218">
        <f t="shared" si="12"/>
        <v>368767.76</v>
      </c>
      <c r="H99" s="218">
        <f t="shared" si="13"/>
        <v>409718.35000000003</v>
      </c>
      <c r="I99" s="218">
        <f t="shared" si="14"/>
        <v>369617.76</v>
      </c>
      <c r="J99" s="218">
        <f t="shared" si="15"/>
        <v>475273.28600000002</v>
      </c>
      <c r="K99" s="218">
        <f t="shared" si="16"/>
        <v>428756.60159999999</v>
      </c>
      <c r="L99" s="79"/>
      <c r="M99"/>
      <c r="N99"/>
      <c r="O99" s="190"/>
      <c r="P99" s="79"/>
      <c r="Q99" s="79"/>
      <c r="R99" s="3"/>
      <c r="S99" s="3"/>
      <c r="T99" s="188"/>
      <c r="U99" s="188"/>
    </row>
    <row r="100" spans="2:21" s="37" customFormat="1" ht="15" hidden="1" customHeight="1">
      <c r="B100" s="120">
        <f t="shared" si="17"/>
        <v>73</v>
      </c>
      <c r="C100" s="115"/>
      <c r="D100" s="218">
        <f>FACTORES!F112</f>
        <v>329754.94</v>
      </c>
      <c r="E100" s="218">
        <f>FACTORES!G112</f>
        <v>295560.8</v>
      </c>
      <c r="F100" s="218">
        <f t="shared" si="11"/>
        <v>428527.37</v>
      </c>
      <c r="G100" s="218">
        <f t="shared" si="12"/>
        <v>384319.48000000004</v>
      </c>
      <c r="H100" s="218">
        <f t="shared" si="13"/>
        <v>429377.37</v>
      </c>
      <c r="I100" s="218">
        <f t="shared" si="14"/>
        <v>385169.48000000004</v>
      </c>
      <c r="J100" s="218">
        <f t="shared" si="15"/>
        <v>498077.74919999996</v>
      </c>
      <c r="K100" s="218">
        <f t="shared" si="16"/>
        <v>446796.5968</v>
      </c>
      <c r="L100" s="79"/>
      <c r="M100"/>
      <c r="N100"/>
      <c r="O100" s="190"/>
      <c r="P100" s="79"/>
      <c r="Q100" s="79"/>
      <c r="R100" s="3"/>
      <c r="S100" s="3"/>
      <c r="T100" s="188"/>
      <c r="U100" s="188"/>
    </row>
    <row r="101" spans="2:21" s="37" customFormat="1" ht="15" hidden="1" customHeight="1">
      <c r="B101" s="120">
        <f t="shared" si="17"/>
        <v>74</v>
      </c>
      <c r="C101" s="115"/>
      <c r="D101" s="218">
        <f>FACTORES!F113</f>
        <v>345061.8</v>
      </c>
      <c r="E101" s="218">
        <f>FACTORES!G113</f>
        <v>307798.90000000002</v>
      </c>
      <c r="F101" s="218">
        <f t="shared" si="11"/>
        <v>448316.85000000003</v>
      </c>
      <c r="G101" s="218">
        <f t="shared" si="12"/>
        <v>400141.51</v>
      </c>
      <c r="H101" s="218">
        <f t="shared" si="13"/>
        <v>449166.85000000003</v>
      </c>
      <c r="I101" s="218">
        <f t="shared" si="14"/>
        <v>400991.51</v>
      </c>
      <c r="J101" s="218">
        <f t="shared" si="15"/>
        <v>521033.54600000003</v>
      </c>
      <c r="K101" s="218">
        <f t="shared" si="16"/>
        <v>465150.15159999998</v>
      </c>
      <c r="L101" s="79"/>
      <c r="M101"/>
      <c r="N101"/>
      <c r="O101" s="190"/>
      <c r="P101" s="79"/>
      <c r="Q101" s="79"/>
      <c r="R101" s="3"/>
      <c r="S101" s="3"/>
      <c r="T101" s="188"/>
      <c r="U101" s="188"/>
    </row>
    <row r="102" spans="2:21" s="37" customFormat="1" ht="15" hidden="1" customHeight="1">
      <c r="B102" s="120">
        <f t="shared" si="17"/>
        <v>75</v>
      </c>
      <c r="C102" s="115"/>
      <c r="D102" s="218">
        <f>FACTORES!F114</f>
        <v>360933.76</v>
      </c>
      <c r="E102" s="218">
        <f>FACTORES!G114</f>
        <v>320383.96999999997</v>
      </c>
      <c r="F102" s="218">
        <f t="shared" si="11"/>
        <v>468836.91000000003</v>
      </c>
      <c r="G102" s="218">
        <f t="shared" si="12"/>
        <v>416412.12</v>
      </c>
      <c r="H102" s="218">
        <f t="shared" si="13"/>
        <v>469686.91000000003</v>
      </c>
      <c r="I102" s="218">
        <f t="shared" si="14"/>
        <v>417262.12</v>
      </c>
      <c r="J102" s="218">
        <f t="shared" si="15"/>
        <v>544836.81559999997</v>
      </c>
      <c r="K102" s="218">
        <f t="shared" si="16"/>
        <v>484024.05919999996</v>
      </c>
      <c r="L102" s="79"/>
      <c r="M102"/>
      <c r="N102"/>
      <c r="O102" s="190"/>
      <c r="P102" s="79"/>
      <c r="Q102" s="79"/>
      <c r="R102" s="3"/>
      <c r="S102" s="3"/>
      <c r="T102" s="188"/>
      <c r="U102" s="188"/>
    </row>
    <row r="103" spans="2:21" s="37" customFormat="1" ht="15" hidden="1" customHeight="1">
      <c r="B103" s="120">
        <f t="shared" si="17"/>
        <v>76</v>
      </c>
      <c r="C103" s="115"/>
      <c r="D103" s="218">
        <f>FACTORES!F115</f>
        <v>379599.18</v>
      </c>
      <c r="E103" s="218">
        <f>FACTORES!G115</f>
        <v>334611.08</v>
      </c>
      <c r="F103" s="218">
        <f t="shared" si="11"/>
        <v>492968.5</v>
      </c>
      <c r="G103" s="218">
        <f t="shared" si="12"/>
        <v>434805.63</v>
      </c>
      <c r="H103" s="218">
        <f t="shared" si="13"/>
        <v>493818.5</v>
      </c>
      <c r="I103" s="218">
        <f t="shared" si="14"/>
        <v>435655.63</v>
      </c>
      <c r="J103" s="218">
        <f t="shared" si="15"/>
        <v>572829.46</v>
      </c>
      <c r="K103" s="218">
        <f t="shared" si="16"/>
        <v>505360.53079999995</v>
      </c>
      <c r="L103" s="79"/>
      <c r="M103"/>
      <c r="N103"/>
      <c r="O103" s="190"/>
      <c r="P103" s="79"/>
      <c r="Q103" s="79"/>
      <c r="R103" s="3"/>
      <c r="S103" s="3"/>
      <c r="T103" s="188"/>
      <c r="U103" s="188"/>
    </row>
    <row r="104" spans="2:21" s="37" customFormat="1" ht="15" hidden="1" customHeight="1">
      <c r="B104" s="120">
        <f t="shared" si="17"/>
        <v>77</v>
      </c>
      <c r="C104" s="115"/>
      <c r="D104" s="218">
        <f>FACTORES!F116</f>
        <v>398829.08</v>
      </c>
      <c r="E104" s="218">
        <f>FACTORES!G116</f>
        <v>349786.57</v>
      </c>
      <c r="F104" s="218">
        <f t="shared" si="11"/>
        <v>517829.88</v>
      </c>
      <c r="G104" s="218">
        <f t="shared" si="12"/>
        <v>454425.27</v>
      </c>
      <c r="H104" s="218">
        <f t="shared" si="13"/>
        <v>518679.88</v>
      </c>
      <c r="I104" s="218">
        <f t="shared" si="14"/>
        <v>455275.27</v>
      </c>
      <c r="J104" s="218">
        <f t="shared" si="15"/>
        <v>601668.66079999995</v>
      </c>
      <c r="K104" s="218">
        <f t="shared" si="16"/>
        <v>528119.31319999998</v>
      </c>
      <c r="L104" s="79"/>
      <c r="M104"/>
      <c r="N104"/>
      <c r="O104" s="190"/>
      <c r="P104" s="79"/>
      <c r="Q104" s="79"/>
      <c r="R104" s="3"/>
      <c r="S104" s="3"/>
      <c r="T104" s="188"/>
      <c r="U104" s="188"/>
    </row>
    <row r="105" spans="2:21" s="37" customFormat="1" ht="15" hidden="1" customHeight="1">
      <c r="B105" s="120">
        <f t="shared" si="17"/>
        <v>78</v>
      </c>
      <c r="C105" s="115"/>
      <c r="D105" s="218">
        <f>FACTORES!F117</f>
        <v>419283.12</v>
      </c>
      <c r="E105" s="218">
        <f>FACTORES!G117</f>
        <v>365527.86</v>
      </c>
      <c r="F105" s="218">
        <f t="shared" si="11"/>
        <v>544273.88000000012</v>
      </c>
      <c r="G105" s="218">
        <f t="shared" si="12"/>
        <v>474776.39</v>
      </c>
      <c r="H105" s="218">
        <f t="shared" si="13"/>
        <v>545123.88000000012</v>
      </c>
      <c r="I105" s="218">
        <f t="shared" si="14"/>
        <v>475626.39</v>
      </c>
      <c r="J105" s="218">
        <f t="shared" si="15"/>
        <v>632343.70080000011</v>
      </c>
      <c r="K105" s="218">
        <f t="shared" si="16"/>
        <v>551726.61239999998</v>
      </c>
      <c r="L105" s="79"/>
      <c r="M105"/>
      <c r="N105"/>
      <c r="O105" s="190"/>
      <c r="P105" s="79"/>
      <c r="Q105" s="79"/>
      <c r="R105" s="3"/>
      <c r="S105" s="3"/>
      <c r="T105" s="188"/>
      <c r="U105" s="188"/>
    </row>
    <row r="106" spans="2:21" s="37" customFormat="1" ht="15" hidden="1" customHeight="1">
      <c r="B106" s="120">
        <f t="shared" si="17"/>
        <v>79</v>
      </c>
      <c r="C106" s="115"/>
      <c r="D106" s="218">
        <f>FACTORES!F118</f>
        <v>442498.97</v>
      </c>
      <c r="E106" s="218">
        <f>FACTORES!G118</f>
        <v>381266.44</v>
      </c>
      <c r="F106" s="218">
        <f t="shared" si="11"/>
        <v>574288.49000000011</v>
      </c>
      <c r="G106" s="218">
        <f t="shared" si="12"/>
        <v>495124.02</v>
      </c>
      <c r="H106" s="218">
        <f t="shared" si="13"/>
        <v>575138.49000000011</v>
      </c>
      <c r="I106" s="218">
        <f t="shared" si="14"/>
        <v>495974.02</v>
      </c>
      <c r="J106" s="218">
        <f t="shared" si="15"/>
        <v>667160.64840000006</v>
      </c>
      <c r="K106" s="218">
        <f t="shared" si="16"/>
        <v>575329.86320000002</v>
      </c>
      <c r="L106" s="79"/>
      <c r="M106"/>
      <c r="N106"/>
      <c r="O106" s="190"/>
      <c r="P106" s="79"/>
      <c r="Q106" s="79"/>
      <c r="R106" s="3"/>
      <c r="S106" s="3"/>
      <c r="T106" s="188"/>
      <c r="U106" s="188"/>
    </row>
    <row r="107" spans="2:21" s="37" customFormat="1" ht="15" hidden="1" customHeight="1">
      <c r="B107" s="120">
        <f t="shared" si="17"/>
        <v>80</v>
      </c>
      <c r="C107" s="115"/>
      <c r="D107" s="218">
        <f>FACTORES!F119</f>
        <v>464669.98</v>
      </c>
      <c r="E107" s="218">
        <f>FACTORES!G119</f>
        <v>397792</v>
      </c>
      <c r="F107" s="218">
        <f t="shared" si="11"/>
        <v>602952.28</v>
      </c>
      <c r="G107" s="218">
        <f t="shared" si="12"/>
        <v>516489.09</v>
      </c>
      <c r="H107" s="218">
        <f t="shared" si="13"/>
        <v>603802.28</v>
      </c>
      <c r="I107" s="218">
        <f t="shared" si="14"/>
        <v>517339.09</v>
      </c>
      <c r="J107" s="218">
        <f t="shared" si="15"/>
        <v>700410.64480000001</v>
      </c>
      <c r="K107" s="218">
        <f t="shared" si="16"/>
        <v>600113.34439999994</v>
      </c>
      <c r="L107" s="79"/>
      <c r="M107"/>
      <c r="N107"/>
      <c r="O107" s="190"/>
      <c r="P107" s="79"/>
      <c r="Q107" s="79"/>
      <c r="R107" s="3"/>
      <c r="S107" s="3"/>
      <c r="T107" s="188"/>
      <c r="U107" s="188"/>
    </row>
    <row r="108" spans="2:21" s="37" customFormat="1" ht="15" hidden="1" customHeight="1">
      <c r="B108" s="120">
        <f t="shared" si="17"/>
        <v>81</v>
      </c>
      <c r="C108" s="115"/>
      <c r="D108" s="218">
        <f>FACTORES!F120</f>
        <v>490076.55</v>
      </c>
      <c r="E108" s="218">
        <f>FACTORES!G120</f>
        <v>414460.48</v>
      </c>
      <c r="F108" s="218">
        <f t="shared" si="11"/>
        <v>635799.17000000004</v>
      </c>
      <c r="G108" s="218">
        <f t="shared" si="12"/>
        <v>538038.93000000005</v>
      </c>
      <c r="H108" s="218">
        <f t="shared" si="13"/>
        <v>636649.17000000004</v>
      </c>
      <c r="I108" s="218">
        <f t="shared" si="14"/>
        <v>538888.93000000005</v>
      </c>
      <c r="J108" s="218">
        <f t="shared" si="15"/>
        <v>738513.03720000002</v>
      </c>
      <c r="K108" s="218">
        <f t="shared" si="16"/>
        <v>625111.15879999998</v>
      </c>
      <c r="L108" s="79"/>
      <c r="M108"/>
      <c r="N108"/>
      <c r="O108" s="190"/>
      <c r="P108" s="79"/>
      <c r="Q108" s="79"/>
      <c r="R108" s="3"/>
      <c r="S108" s="3"/>
      <c r="T108" s="188"/>
      <c r="U108" s="188"/>
    </row>
    <row r="109" spans="2:21" s="37" customFormat="1" ht="15" hidden="1" customHeight="1">
      <c r="B109" s="120">
        <f t="shared" si="17"/>
        <v>82</v>
      </c>
      <c r="C109" s="115"/>
      <c r="D109" s="218">
        <f>FACTORES!F121</f>
        <v>515983.48</v>
      </c>
      <c r="E109" s="218">
        <f>FACTORES!G121</f>
        <v>431307.57</v>
      </c>
      <c r="F109" s="218">
        <f t="shared" si="11"/>
        <v>669292.94000000006</v>
      </c>
      <c r="G109" s="218">
        <f t="shared" si="12"/>
        <v>559819.69000000006</v>
      </c>
      <c r="H109" s="218">
        <f t="shared" si="13"/>
        <v>670142.94000000006</v>
      </c>
      <c r="I109" s="218">
        <f t="shared" si="14"/>
        <v>560669.69000000006</v>
      </c>
      <c r="J109" s="218">
        <f t="shared" si="15"/>
        <v>777365.81040000007</v>
      </c>
      <c r="K109" s="218">
        <f t="shared" si="16"/>
        <v>650376.84039999999</v>
      </c>
      <c r="L109" s="79"/>
      <c r="M109"/>
      <c r="N109"/>
      <c r="O109" s="190"/>
      <c r="P109" s="79"/>
      <c r="Q109" s="79"/>
      <c r="R109" s="3"/>
      <c r="S109" s="3"/>
      <c r="T109" s="188"/>
      <c r="U109" s="188"/>
    </row>
    <row r="110" spans="2:21" s="37" customFormat="1" ht="15" hidden="1" customHeight="1">
      <c r="B110" s="120">
        <f t="shared" si="17"/>
        <v>83</v>
      </c>
      <c r="C110" s="115"/>
      <c r="D110" s="218">
        <f>FACTORES!F122</f>
        <v>543236.38</v>
      </c>
      <c r="E110" s="218">
        <f>FACTORES!G122</f>
        <v>450388.65</v>
      </c>
      <c r="F110" s="218">
        <f t="shared" si="11"/>
        <v>704526.85000000009</v>
      </c>
      <c r="G110" s="218">
        <f t="shared" si="12"/>
        <v>584488.67000000004</v>
      </c>
      <c r="H110" s="218">
        <f t="shared" si="13"/>
        <v>705376.85000000009</v>
      </c>
      <c r="I110" s="218">
        <f t="shared" si="14"/>
        <v>585338.67000000004</v>
      </c>
      <c r="J110" s="218">
        <f t="shared" si="15"/>
        <v>818237.14600000007</v>
      </c>
      <c r="K110" s="218">
        <f t="shared" si="16"/>
        <v>678992.85719999997</v>
      </c>
      <c r="L110" s="79"/>
      <c r="M110"/>
      <c r="N110"/>
      <c r="O110" s="190"/>
      <c r="P110" s="79"/>
      <c r="Q110" s="79"/>
      <c r="R110" s="3"/>
      <c r="S110" s="3"/>
      <c r="T110" s="188"/>
      <c r="U110" s="188"/>
    </row>
    <row r="111" spans="2:21" s="37" customFormat="1" ht="15" hidden="1" customHeight="1">
      <c r="B111" s="120">
        <f t="shared" si="17"/>
        <v>84</v>
      </c>
      <c r="C111" s="115"/>
      <c r="D111" s="218">
        <f>FACTORES!F123</f>
        <v>572936.47</v>
      </c>
      <c r="E111" s="218">
        <f>FACTORES!G123</f>
        <v>468999.24</v>
      </c>
      <c r="F111" s="218">
        <f t="shared" si="11"/>
        <v>742924.62000000011</v>
      </c>
      <c r="G111" s="218">
        <f t="shared" si="12"/>
        <v>608549.37000000011</v>
      </c>
      <c r="H111" s="218">
        <f t="shared" ref="H111:I113" si="18">(F111*(1+$I$24))+$I$25</f>
        <v>743774.62000000011</v>
      </c>
      <c r="I111" s="218">
        <f t="shared" si="18"/>
        <v>609399.37000000011</v>
      </c>
      <c r="J111" s="218">
        <f t="shared" ref="J111:K113" si="19">H111*(1+$K$25)</f>
        <v>862778.55920000002</v>
      </c>
      <c r="K111" s="218">
        <f t="shared" si="19"/>
        <v>706903.2692000001</v>
      </c>
      <c r="L111" s="79"/>
      <c r="M111"/>
      <c r="N111"/>
      <c r="O111" s="190"/>
      <c r="P111" s="79"/>
      <c r="Q111" s="79"/>
      <c r="R111" s="3"/>
      <c r="S111" s="3"/>
      <c r="T111" s="188"/>
      <c r="U111" s="188"/>
    </row>
    <row r="112" spans="2:21" s="37" customFormat="1" ht="15" hidden="1" customHeight="1">
      <c r="B112" s="120">
        <f t="shared" si="17"/>
        <v>85</v>
      </c>
      <c r="C112" s="115"/>
      <c r="D112" s="218">
        <f>FACTORES!$F$124</f>
        <v>602342.93999999994</v>
      </c>
      <c r="E112" s="218">
        <f>FACTORES!$G$124</f>
        <v>486994.23</v>
      </c>
      <c r="F112" s="218">
        <f t="shared" si="11"/>
        <v>780942.77</v>
      </c>
      <c r="G112" s="218">
        <f t="shared" si="12"/>
        <v>631814.19000000006</v>
      </c>
      <c r="H112" s="218">
        <f t="shared" si="18"/>
        <v>781792.77</v>
      </c>
      <c r="I112" s="218">
        <f t="shared" si="18"/>
        <v>632664.19000000006</v>
      </c>
      <c r="J112" s="218">
        <f t="shared" si="19"/>
        <v>906879.61319999991</v>
      </c>
      <c r="K112" s="218">
        <f t="shared" si="19"/>
        <v>733890.46039999998</v>
      </c>
      <c r="L112" s="79"/>
      <c r="M112"/>
      <c r="N112"/>
      <c r="O112" s="190"/>
      <c r="P112" s="79"/>
      <c r="Q112" s="79"/>
      <c r="R112" s="3"/>
      <c r="S112" s="3"/>
      <c r="T112" s="188"/>
      <c r="U112" s="188"/>
    </row>
    <row r="113" spans="2:21" s="37" customFormat="1" ht="15" hidden="1" customHeight="1">
      <c r="B113" s="120">
        <f t="shared" si="17"/>
        <v>86</v>
      </c>
      <c r="C113" s="115"/>
      <c r="D113" s="218">
        <f>FACTORES!$F$124</f>
        <v>602342.93999999994</v>
      </c>
      <c r="E113" s="218">
        <f>FACTORES!$G$124</f>
        <v>486994.23</v>
      </c>
      <c r="F113" s="218">
        <f t="shared" ref="F113" si="20">ROUND(D113*$G$5*$G$6*$G$8*$G$14*$G$15*$G$9,2)+ADIC+DENTAL+DEDXACC+ENFGVES+IKE+CVISION</f>
        <v>780942.77</v>
      </c>
      <c r="G113" s="218">
        <f t="shared" ref="G113" si="21">ROUND(E113*$G$5*$G$6*$G$8*$G$14*$G$15*$G$9,2)+ADIC+DENTAL+DEDXACC+ENFGVES+IKE+CVISION</f>
        <v>631814.19000000006</v>
      </c>
      <c r="H113" s="218">
        <f t="shared" si="18"/>
        <v>781792.77</v>
      </c>
      <c r="I113" s="218">
        <f t="shared" si="18"/>
        <v>632664.19000000006</v>
      </c>
      <c r="J113" s="218">
        <f t="shared" si="19"/>
        <v>906879.61319999991</v>
      </c>
      <c r="K113" s="218">
        <f t="shared" si="19"/>
        <v>733890.46039999998</v>
      </c>
      <c r="L113" s="79"/>
      <c r="M113"/>
      <c r="N113"/>
      <c r="O113" s="190"/>
      <c r="P113" s="79"/>
      <c r="Q113" s="79"/>
      <c r="R113" s="3"/>
      <c r="S113" s="3"/>
      <c r="T113" s="188"/>
      <c r="U113" s="188"/>
    </row>
    <row r="114" spans="2:21" s="37" customFormat="1" ht="15" hidden="1" customHeight="1">
      <c r="B114" s="120">
        <f t="shared" si="17"/>
        <v>87</v>
      </c>
      <c r="C114" s="115"/>
      <c r="D114" s="218">
        <f>FACTORES!$F$124</f>
        <v>602342.93999999994</v>
      </c>
      <c r="E114" s="218">
        <f>FACTORES!$G$124</f>
        <v>486994.23</v>
      </c>
      <c r="F114" s="218">
        <f t="shared" ref="F114:F127" si="22">ROUND(D114*$G$5*$G$6*$G$8*$G$14*$G$15*$G$9,2)+ADIC+DENTAL+DEDXACC+ENFGVES+IKE+CVISION</f>
        <v>780942.77</v>
      </c>
      <c r="G114" s="218">
        <f t="shared" ref="G114:G127" si="23">ROUND(E114*$G$5*$G$6*$G$8*$G$14*$G$15*$G$9,2)+ADIC+DENTAL+DEDXACC+ENFGVES+IKE+CVISION</f>
        <v>631814.19000000006</v>
      </c>
      <c r="H114" s="218">
        <f t="shared" ref="H114:H127" si="24">(F114*(1+$I$24))+$I$25</f>
        <v>781792.77</v>
      </c>
      <c r="I114" s="218">
        <f t="shared" ref="I114:I127" si="25">(G114*(1+$I$24))+$I$25</f>
        <v>632664.19000000006</v>
      </c>
      <c r="J114" s="218">
        <f t="shared" ref="J114:J127" si="26">H114*(1+$K$25)</f>
        <v>906879.61319999991</v>
      </c>
      <c r="K114" s="218">
        <f t="shared" ref="K114:K127" si="27">I114*(1+$K$25)</f>
        <v>733890.46039999998</v>
      </c>
      <c r="L114" s="79"/>
      <c r="M114" s="79"/>
      <c r="N114" s="79"/>
      <c r="O114" s="190"/>
      <c r="P114" s="79"/>
      <c r="Q114" s="79"/>
      <c r="R114" s="3"/>
      <c r="S114" s="3"/>
      <c r="T114" s="188"/>
      <c r="U114" s="188"/>
    </row>
    <row r="115" spans="2:21" s="37" customFormat="1" ht="15" hidden="1" customHeight="1">
      <c r="B115" s="120">
        <f t="shared" si="17"/>
        <v>88</v>
      </c>
      <c r="C115" s="115"/>
      <c r="D115" s="218">
        <f>FACTORES!$F$124</f>
        <v>602342.93999999994</v>
      </c>
      <c r="E115" s="218">
        <f>FACTORES!$G$124</f>
        <v>486994.23</v>
      </c>
      <c r="F115" s="218">
        <f t="shared" si="22"/>
        <v>780942.77</v>
      </c>
      <c r="G115" s="218">
        <f t="shared" si="23"/>
        <v>631814.19000000006</v>
      </c>
      <c r="H115" s="218">
        <f t="shared" si="24"/>
        <v>781792.77</v>
      </c>
      <c r="I115" s="218">
        <f t="shared" si="25"/>
        <v>632664.19000000006</v>
      </c>
      <c r="J115" s="218">
        <f t="shared" si="26"/>
        <v>906879.61319999991</v>
      </c>
      <c r="K115" s="218">
        <f t="shared" si="27"/>
        <v>733890.46039999998</v>
      </c>
      <c r="M115" s="189"/>
      <c r="R115" s="81"/>
      <c r="S115" s="81"/>
    </row>
    <row r="116" spans="2:21" s="37" customFormat="1" ht="15" hidden="1" customHeight="1">
      <c r="B116" s="120">
        <f t="shared" si="17"/>
        <v>89</v>
      </c>
      <c r="C116" s="115"/>
      <c r="D116" s="218">
        <f>FACTORES!$F$124</f>
        <v>602342.93999999994</v>
      </c>
      <c r="E116" s="218">
        <f>FACTORES!$G$124</f>
        <v>486994.23</v>
      </c>
      <c r="F116" s="218">
        <f t="shared" si="22"/>
        <v>780942.77</v>
      </c>
      <c r="G116" s="218">
        <f t="shared" si="23"/>
        <v>631814.19000000006</v>
      </c>
      <c r="H116" s="218">
        <f t="shared" si="24"/>
        <v>781792.77</v>
      </c>
      <c r="I116" s="218">
        <f t="shared" si="25"/>
        <v>632664.19000000006</v>
      </c>
      <c r="J116" s="218">
        <f t="shared" si="26"/>
        <v>906879.61319999991</v>
      </c>
      <c r="K116" s="218">
        <f t="shared" si="27"/>
        <v>733890.46039999998</v>
      </c>
      <c r="M116" s="189"/>
      <c r="N116" s="189"/>
      <c r="O116" s="189"/>
      <c r="P116" s="189"/>
      <c r="R116" s="81"/>
      <c r="S116" s="81"/>
    </row>
    <row r="117" spans="2:21" s="37" customFormat="1" ht="15" hidden="1" customHeight="1">
      <c r="B117" s="120">
        <f t="shared" si="17"/>
        <v>90</v>
      </c>
      <c r="C117" s="115"/>
      <c r="D117" s="218">
        <f>FACTORES!$F$124</f>
        <v>602342.93999999994</v>
      </c>
      <c r="E117" s="218">
        <f>FACTORES!$G$124</f>
        <v>486994.23</v>
      </c>
      <c r="F117" s="218">
        <f t="shared" si="22"/>
        <v>780942.77</v>
      </c>
      <c r="G117" s="218">
        <f t="shared" si="23"/>
        <v>631814.19000000006</v>
      </c>
      <c r="H117" s="218">
        <f t="shared" si="24"/>
        <v>781792.77</v>
      </c>
      <c r="I117" s="218">
        <f t="shared" si="25"/>
        <v>632664.19000000006</v>
      </c>
      <c r="J117" s="218">
        <f t="shared" si="26"/>
        <v>906879.61319999991</v>
      </c>
      <c r="K117" s="218">
        <f t="shared" si="27"/>
        <v>733890.46039999998</v>
      </c>
      <c r="O117" s="189"/>
      <c r="P117" s="189"/>
      <c r="R117" s="81"/>
      <c r="S117" s="81"/>
    </row>
    <row r="118" spans="2:21" s="37" customFormat="1" ht="15" hidden="1" customHeight="1">
      <c r="B118" s="120">
        <f t="shared" si="17"/>
        <v>91</v>
      </c>
      <c r="C118" s="115"/>
      <c r="D118" s="218">
        <f>FACTORES!$F$124</f>
        <v>602342.93999999994</v>
      </c>
      <c r="E118" s="218">
        <f>FACTORES!$G$124</f>
        <v>486994.23</v>
      </c>
      <c r="F118" s="218">
        <f t="shared" si="22"/>
        <v>780942.77</v>
      </c>
      <c r="G118" s="218">
        <f t="shared" si="23"/>
        <v>631814.19000000006</v>
      </c>
      <c r="H118" s="218">
        <f t="shared" si="24"/>
        <v>781792.77</v>
      </c>
      <c r="I118" s="218">
        <f t="shared" si="25"/>
        <v>632664.19000000006</v>
      </c>
      <c r="J118" s="218">
        <f t="shared" si="26"/>
        <v>906879.61319999991</v>
      </c>
      <c r="K118" s="218">
        <f t="shared" si="27"/>
        <v>733890.46039999998</v>
      </c>
      <c r="O118" s="189"/>
      <c r="P118" s="189"/>
      <c r="R118" s="81"/>
      <c r="S118" s="81"/>
    </row>
    <row r="119" spans="2:21" s="37" customFormat="1" ht="15" hidden="1" customHeight="1">
      <c r="B119" s="120">
        <f t="shared" si="17"/>
        <v>92</v>
      </c>
      <c r="C119" s="115"/>
      <c r="D119" s="218">
        <f>FACTORES!$F$124</f>
        <v>602342.93999999994</v>
      </c>
      <c r="E119" s="218">
        <f>FACTORES!$G$124</f>
        <v>486994.23</v>
      </c>
      <c r="F119" s="218">
        <f t="shared" si="22"/>
        <v>780942.77</v>
      </c>
      <c r="G119" s="218">
        <f t="shared" si="23"/>
        <v>631814.19000000006</v>
      </c>
      <c r="H119" s="218">
        <f t="shared" si="24"/>
        <v>781792.77</v>
      </c>
      <c r="I119" s="218">
        <f t="shared" si="25"/>
        <v>632664.19000000006</v>
      </c>
      <c r="J119" s="218">
        <f t="shared" si="26"/>
        <v>906879.61319999991</v>
      </c>
      <c r="K119" s="218">
        <f t="shared" si="27"/>
        <v>733890.46039999998</v>
      </c>
      <c r="O119" s="189"/>
      <c r="P119" s="189"/>
      <c r="R119" s="81"/>
      <c r="S119" s="81"/>
    </row>
    <row r="120" spans="2:21" s="37" customFormat="1" ht="15" hidden="1" customHeight="1">
      <c r="B120" s="120">
        <f t="shared" si="17"/>
        <v>93</v>
      </c>
      <c r="C120" s="115"/>
      <c r="D120" s="218">
        <f>FACTORES!$F$124</f>
        <v>602342.93999999994</v>
      </c>
      <c r="E120" s="218">
        <f>FACTORES!$G$124</f>
        <v>486994.23</v>
      </c>
      <c r="F120" s="218">
        <f t="shared" si="22"/>
        <v>780942.77</v>
      </c>
      <c r="G120" s="218">
        <f t="shared" si="23"/>
        <v>631814.19000000006</v>
      </c>
      <c r="H120" s="218">
        <f t="shared" si="24"/>
        <v>781792.77</v>
      </c>
      <c r="I120" s="218">
        <f t="shared" si="25"/>
        <v>632664.19000000006</v>
      </c>
      <c r="J120" s="218">
        <f t="shared" si="26"/>
        <v>906879.61319999991</v>
      </c>
      <c r="K120" s="218">
        <f t="shared" si="27"/>
        <v>733890.46039999998</v>
      </c>
      <c r="O120" s="189"/>
      <c r="P120" s="189"/>
      <c r="R120" s="81"/>
      <c r="S120" s="81"/>
    </row>
    <row r="121" spans="2:21" s="37" customFormat="1" ht="15" hidden="1">
      <c r="B121" s="120">
        <f t="shared" si="17"/>
        <v>94</v>
      </c>
      <c r="C121" s="115"/>
      <c r="D121" s="218">
        <f>FACTORES!$F$124</f>
        <v>602342.93999999994</v>
      </c>
      <c r="E121" s="218">
        <f>FACTORES!$G$124</f>
        <v>486994.23</v>
      </c>
      <c r="F121" s="218">
        <f t="shared" si="22"/>
        <v>780942.77</v>
      </c>
      <c r="G121" s="218">
        <f t="shared" si="23"/>
        <v>631814.19000000006</v>
      </c>
      <c r="H121" s="218">
        <f t="shared" si="24"/>
        <v>781792.77</v>
      </c>
      <c r="I121" s="218">
        <f t="shared" si="25"/>
        <v>632664.19000000006</v>
      </c>
      <c r="J121" s="218">
        <f t="shared" si="26"/>
        <v>906879.61319999991</v>
      </c>
      <c r="K121" s="218">
        <f t="shared" si="27"/>
        <v>733890.46039999998</v>
      </c>
      <c r="O121" s="189"/>
      <c r="P121" s="189"/>
      <c r="R121" s="81"/>
      <c r="S121" s="81"/>
    </row>
    <row r="122" spans="2:21" s="37" customFormat="1" ht="15" hidden="1">
      <c r="B122" s="120">
        <f t="shared" si="17"/>
        <v>95</v>
      </c>
      <c r="C122" s="115"/>
      <c r="D122" s="218">
        <f>FACTORES!$F$124</f>
        <v>602342.93999999994</v>
      </c>
      <c r="E122" s="218">
        <f>FACTORES!$G$124</f>
        <v>486994.23</v>
      </c>
      <c r="F122" s="218">
        <f t="shared" si="22"/>
        <v>780942.77</v>
      </c>
      <c r="G122" s="218">
        <f t="shared" si="23"/>
        <v>631814.19000000006</v>
      </c>
      <c r="H122" s="218">
        <f t="shared" si="24"/>
        <v>781792.77</v>
      </c>
      <c r="I122" s="218">
        <f t="shared" si="25"/>
        <v>632664.19000000006</v>
      </c>
      <c r="J122" s="218">
        <f t="shared" si="26"/>
        <v>906879.61319999991</v>
      </c>
      <c r="K122" s="218">
        <f t="shared" si="27"/>
        <v>733890.46039999998</v>
      </c>
      <c r="O122" s="189"/>
      <c r="P122" s="189"/>
      <c r="R122" s="81"/>
      <c r="S122" s="81"/>
    </row>
    <row r="123" spans="2:21" s="37" customFormat="1" ht="15" hidden="1">
      <c r="B123" s="120">
        <f t="shared" si="17"/>
        <v>96</v>
      </c>
      <c r="C123" s="115"/>
      <c r="D123" s="218">
        <f>FACTORES!$F$124</f>
        <v>602342.93999999994</v>
      </c>
      <c r="E123" s="218">
        <f>FACTORES!$G$124</f>
        <v>486994.23</v>
      </c>
      <c r="F123" s="218">
        <f t="shared" si="22"/>
        <v>780942.77</v>
      </c>
      <c r="G123" s="218">
        <f t="shared" si="23"/>
        <v>631814.19000000006</v>
      </c>
      <c r="H123" s="218">
        <f t="shared" si="24"/>
        <v>781792.77</v>
      </c>
      <c r="I123" s="218">
        <f t="shared" si="25"/>
        <v>632664.19000000006</v>
      </c>
      <c r="J123" s="218">
        <f t="shared" si="26"/>
        <v>906879.61319999991</v>
      </c>
      <c r="K123" s="218">
        <f t="shared" si="27"/>
        <v>733890.46039999998</v>
      </c>
      <c r="O123" s="189"/>
      <c r="P123" s="189"/>
      <c r="R123" s="81"/>
      <c r="S123" s="81"/>
    </row>
    <row r="124" spans="2:21" s="37" customFormat="1" ht="15" hidden="1">
      <c r="B124" s="120">
        <f t="shared" si="17"/>
        <v>97</v>
      </c>
      <c r="C124" s="115"/>
      <c r="D124" s="218">
        <f>FACTORES!$F$124</f>
        <v>602342.93999999994</v>
      </c>
      <c r="E124" s="218">
        <f>FACTORES!$G$124</f>
        <v>486994.23</v>
      </c>
      <c r="F124" s="218">
        <f t="shared" si="22"/>
        <v>780942.77</v>
      </c>
      <c r="G124" s="218">
        <f t="shared" si="23"/>
        <v>631814.19000000006</v>
      </c>
      <c r="H124" s="218">
        <f t="shared" si="24"/>
        <v>781792.77</v>
      </c>
      <c r="I124" s="218">
        <f t="shared" si="25"/>
        <v>632664.19000000006</v>
      </c>
      <c r="J124" s="218">
        <f t="shared" si="26"/>
        <v>906879.61319999991</v>
      </c>
      <c r="K124" s="218">
        <f t="shared" si="27"/>
        <v>733890.46039999998</v>
      </c>
      <c r="O124" s="189"/>
      <c r="P124" s="189"/>
      <c r="R124" s="81"/>
      <c r="S124" s="81"/>
    </row>
    <row r="125" spans="2:21" s="37" customFormat="1" ht="15" hidden="1">
      <c r="B125" s="120">
        <f t="shared" si="17"/>
        <v>98</v>
      </c>
      <c r="C125" s="115"/>
      <c r="D125" s="218">
        <f>FACTORES!$F$124</f>
        <v>602342.93999999994</v>
      </c>
      <c r="E125" s="218">
        <f>FACTORES!$G$124</f>
        <v>486994.23</v>
      </c>
      <c r="F125" s="218">
        <f t="shared" si="22"/>
        <v>780942.77</v>
      </c>
      <c r="G125" s="218">
        <f t="shared" si="23"/>
        <v>631814.19000000006</v>
      </c>
      <c r="H125" s="218">
        <f t="shared" si="24"/>
        <v>781792.77</v>
      </c>
      <c r="I125" s="218">
        <f t="shared" si="25"/>
        <v>632664.19000000006</v>
      </c>
      <c r="J125" s="218">
        <f t="shared" si="26"/>
        <v>906879.61319999991</v>
      </c>
      <c r="K125" s="218">
        <f t="shared" si="27"/>
        <v>733890.46039999998</v>
      </c>
      <c r="O125" s="189"/>
      <c r="P125" s="189"/>
      <c r="R125" s="81"/>
      <c r="S125" s="81"/>
    </row>
    <row r="126" spans="2:21" s="37" customFormat="1" ht="9" hidden="1" customHeight="1">
      <c r="B126" s="120">
        <f t="shared" si="17"/>
        <v>99</v>
      </c>
      <c r="C126" s="115"/>
      <c r="D126" s="218">
        <f>FACTORES!$F$124</f>
        <v>602342.93999999994</v>
      </c>
      <c r="E126" s="218">
        <f>FACTORES!$G$124</f>
        <v>486994.23</v>
      </c>
      <c r="F126" s="218">
        <f t="shared" si="22"/>
        <v>780942.77</v>
      </c>
      <c r="G126" s="218">
        <f t="shared" si="23"/>
        <v>631814.19000000006</v>
      </c>
      <c r="H126" s="218">
        <f t="shared" si="24"/>
        <v>781792.77</v>
      </c>
      <c r="I126" s="218">
        <f t="shared" si="25"/>
        <v>632664.19000000006</v>
      </c>
      <c r="J126" s="218">
        <f t="shared" si="26"/>
        <v>906879.61319999991</v>
      </c>
      <c r="K126" s="218">
        <f t="shared" si="27"/>
        <v>733890.46039999998</v>
      </c>
      <c r="O126" s="189"/>
      <c r="P126" s="189"/>
    </row>
    <row r="127" spans="2:21" s="37" customFormat="1" ht="9" hidden="1" customHeight="1" thickBot="1">
      <c r="B127" s="121">
        <f t="shared" si="17"/>
        <v>100</v>
      </c>
      <c r="C127" s="116"/>
      <c r="D127" s="219">
        <f>FACTORES!$F$124</f>
        <v>602342.93999999994</v>
      </c>
      <c r="E127" s="219">
        <f>FACTORES!$G$124</f>
        <v>486994.23</v>
      </c>
      <c r="F127" s="219">
        <f t="shared" si="22"/>
        <v>780942.77</v>
      </c>
      <c r="G127" s="219">
        <f t="shared" si="23"/>
        <v>631814.19000000006</v>
      </c>
      <c r="H127" s="219">
        <f t="shared" si="24"/>
        <v>781792.77</v>
      </c>
      <c r="I127" s="219">
        <f t="shared" si="25"/>
        <v>632664.19000000006</v>
      </c>
      <c r="J127" s="219">
        <f t="shared" si="26"/>
        <v>906879.61319999991</v>
      </c>
      <c r="K127" s="219">
        <f t="shared" si="27"/>
        <v>733890.46039999998</v>
      </c>
      <c r="O127" s="189"/>
      <c r="P127" s="189"/>
    </row>
    <row r="128" spans="2:21" s="37" customFormat="1" ht="9" hidden="1" customHeight="1" thickTop="1">
      <c r="F128" s="57"/>
      <c r="G128" s="57"/>
      <c r="H128" s="189"/>
      <c r="I128" s="189"/>
      <c r="O128" s="189"/>
      <c r="P128" s="189"/>
    </row>
    <row r="129" spans="6:16" s="37" customFormat="1" ht="9" hidden="1" customHeight="1">
      <c r="F129" s="57"/>
      <c r="G129" s="57"/>
      <c r="H129" s="189"/>
      <c r="I129" s="189"/>
      <c r="O129" s="189"/>
      <c r="P129" s="189"/>
    </row>
    <row r="130" spans="6:16" s="37" customFormat="1" ht="9" hidden="1" customHeight="1">
      <c r="F130" s="57"/>
      <c r="G130" s="57"/>
      <c r="H130" s="189"/>
      <c r="I130" s="189"/>
    </row>
    <row r="131" spans="6:16" s="37" customFormat="1" ht="9" hidden="1" customHeight="1">
      <c r="F131" s="57"/>
      <c r="G131" s="57"/>
      <c r="H131" s="189"/>
      <c r="I131" s="189"/>
    </row>
    <row r="132" spans="6:16" s="37" customFormat="1" ht="9" hidden="1" customHeight="1"/>
    <row r="133" spans="6:16" s="37" customFormat="1" ht="9" hidden="1" customHeight="1"/>
    <row r="134" spans="6:16" s="37" customFormat="1" ht="9" hidden="1" customHeight="1"/>
    <row r="135" spans="6:16" s="37" customFormat="1" ht="9" hidden="1" customHeight="1"/>
    <row r="136" spans="6:16" s="37" customFormat="1" ht="9" hidden="1" customHeight="1"/>
    <row r="137" spans="6:16" s="37" customFormat="1" ht="9" hidden="1" customHeight="1"/>
    <row r="138" spans="6:16" s="37" customFormat="1" ht="9" hidden="1" customHeight="1"/>
    <row r="139" spans="6:16" s="37" customFormat="1" ht="9" hidden="1" customHeight="1"/>
    <row r="140" spans="6:16" s="37" customFormat="1" ht="9" hidden="1" customHeight="1"/>
    <row r="141" spans="6:16" s="37" customFormat="1" ht="9" hidden="1" customHeight="1"/>
    <row r="142" spans="6:16" s="37" customFormat="1" ht="9" hidden="1" customHeight="1"/>
    <row r="143" spans="6:16" s="37" customFormat="1" ht="9" hidden="1" customHeight="1"/>
    <row r="144" spans="6:16" s="37" customFormat="1" ht="9" hidden="1" customHeight="1"/>
    <row r="145" spans="19:27" s="37" customFormat="1" ht="10" hidden="1"/>
    <row r="146" spans="19:27" s="37" customFormat="1" ht="10" hidden="1"/>
    <row r="147" spans="19:27" s="37" customFormat="1" ht="10" hidden="1"/>
    <row r="148" spans="19:27" s="37" customFormat="1" ht="10" hidden="1">
      <c r="AA148" s="41"/>
    </row>
    <row r="149" spans="19:27" s="37" customFormat="1" ht="10" hidden="1"/>
    <row r="150" spans="19:27" s="37" customFormat="1" ht="8.25" hidden="1" customHeight="1"/>
    <row r="151" spans="19:27" s="37" customFormat="1" ht="6" hidden="1" customHeight="1"/>
    <row r="152" spans="19:27" s="37" customFormat="1" ht="10" hidden="1">
      <c r="T152" s="764"/>
      <c r="U152" s="764"/>
      <c r="V152" s="764"/>
      <c r="W152" s="764"/>
      <c r="X152" s="764"/>
      <c r="Y152" s="764"/>
      <c r="Z152" s="764"/>
      <c r="AA152" s="764"/>
    </row>
    <row r="153" spans="19:27" s="37" customFormat="1" ht="9" hidden="1" customHeight="1">
      <c r="T153" s="36"/>
      <c r="U153" s="36"/>
      <c r="V153" s="43"/>
      <c r="W153" s="43"/>
      <c r="AA153" s="44"/>
    </row>
    <row r="154" spans="19:27" s="37" customFormat="1" ht="10" hidden="1">
      <c r="T154" s="36"/>
      <c r="U154" s="36"/>
      <c r="V154" s="43"/>
      <c r="W154" s="43"/>
    </row>
    <row r="155" spans="19:27" s="37" customFormat="1" ht="10" hidden="1">
      <c r="T155" s="45"/>
      <c r="U155" s="36"/>
      <c r="V155" s="46"/>
      <c r="W155" s="36"/>
      <c r="Z155" s="40"/>
      <c r="AA155" s="36"/>
    </row>
    <row r="156" spans="19:27" s="37" customFormat="1" ht="10" hidden="1">
      <c r="T156" s="45"/>
      <c r="U156" s="40"/>
      <c r="V156" s="40"/>
      <c r="W156" s="40"/>
    </row>
    <row r="157" spans="19:27" s="37" customFormat="1" ht="10" hidden="1">
      <c r="T157" s="764"/>
      <c r="U157" s="764"/>
      <c r="V157" s="764"/>
      <c r="W157" s="764"/>
      <c r="X157" s="764"/>
      <c r="Y157" s="764"/>
      <c r="Z157" s="764"/>
      <c r="AA157" s="764"/>
    </row>
    <row r="158" spans="19:27" s="37" customFormat="1" ht="10" hidden="1">
      <c r="T158" s="45"/>
      <c r="U158" s="40"/>
      <c r="V158" s="40"/>
      <c r="W158" s="40"/>
    </row>
    <row r="159" spans="19:27" s="37" customFormat="1" ht="9" hidden="1" customHeight="1">
      <c r="S159" s="47"/>
      <c r="U159" s="40"/>
      <c r="V159" s="40"/>
      <c r="W159" s="40"/>
      <c r="Y159" s="38"/>
    </row>
    <row r="160" spans="19:27" s="37" customFormat="1" ht="9" hidden="1" customHeight="1">
      <c r="U160" s="40"/>
      <c r="V160" s="40"/>
      <c r="W160" s="40"/>
      <c r="Y160" s="38"/>
    </row>
    <row r="161" spans="19:26" s="37" customFormat="1" ht="9" hidden="1" customHeight="1">
      <c r="S161" s="47"/>
      <c r="U161" s="40"/>
      <c r="V161" s="40"/>
      <c r="W161" s="45"/>
      <c r="Y161" s="38"/>
    </row>
    <row r="162" spans="19:26" s="37" customFormat="1" ht="9" hidden="1" customHeight="1">
      <c r="U162" s="40"/>
      <c r="V162" s="40"/>
      <c r="W162" s="45"/>
      <c r="Y162" s="38"/>
    </row>
    <row r="163" spans="19:26" s="37" customFormat="1" ht="9" hidden="1" customHeight="1">
      <c r="U163" s="40"/>
      <c r="V163" s="40"/>
      <c r="W163" s="40"/>
    </row>
    <row r="164" spans="19:26" s="37" customFormat="1" ht="9" hidden="1" customHeight="1">
      <c r="S164" s="47"/>
      <c r="U164" s="40"/>
      <c r="V164" s="40"/>
      <c r="W164" s="45"/>
      <c r="Y164" s="48"/>
    </row>
    <row r="165" spans="19:26" s="37" customFormat="1" ht="9" hidden="1" customHeight="1">
      <c r="U165" s="36"/>
      <c r="V165" s="36"/>
      <c r="W165" s="45"/>
      <c r="Y165" s="48"/>
    </row>
    <row r="166" spans="19:26" s="37" customFormat="1" ht="9" hidden="1" customHeight="1">
      <c r="U166" s="27"/>
      <c r="V166" s="27"/>
    </row>
    <row r="167" spans="19:26" s="37" customFormat="1" ht="9" hidden="1" customHeight="1">
      <c r="S167" s="47"/>
      <c r="Z167" s="49"/>
    </row>
    <row r="168" spans="19:26" s="37" customFormat="1" ht="9" hidden="1" customHeight="1">
      <c r="S168" s="47"/>
      <c r="Z168" s="49"/>
    </row>
    <row r="169" spans="19:26" s="37" customFormat="1" ht="9" hidden="1" customHeight="1">
      <c r="S169" s="47"/>
    </row>
    <row r="170" spans="19:26" s="37" customFormat="1" ht="9" hidden="1" customHeight="1">
      <c r="S170" s="47"/>
      <c r="U170" s="50"/>
      <c r="V170" s="51"/>
    </row>
    <row r="171" spans="19:26" s="37" customFormat="1" ht="9" hidden="1" customHeight="1">
      <c r="S171" s="47"/>
      <c r="U171" s="52"/>
      <c r="V171" s="52"/>
    </row>
    <row r="172" spans="19:26" s="37" customFormat="1" ht="9" hidden="1" customHeight="1">
      <c r="S172" s="47"/>
      <c r="U172" s="45"/>
      <c r="V172" s="45"/>
    </row>
    <row r="173" spans="19:26" s="37" customFormat="1" ht="9" hidden="1" customHeight="1">
      <c r="S173" s="47"/>
      <c r="U173" s="45"/>
      <c r="V173" s="45"/>
    </row>
    <row r="174" spans="19:26" s="37" customFormat="1" ht="9" hidden="1" customHeight="1">
      <c r="S174" s="47"/>
    </row>
    <row r="175" spans="19:26" s="37" customFormat="1" ht="9" hidden="1" customHeight="1">
      <c r="S175" s="47"/>
    </row>
    <row r="176" spans="19:26" s="37" customFormat="1" ht="9" hidden="1" customHeight="1">
      <c r="S176" s="47"/>
    </row>
    <row r="177" spans="19:25" s="37" customFormat="1" ht="9" hidden="1" customHeight="1">
      <c r="S177" s="47"/>
      <c r="Y177" s="53"/>
    </row>
    <row r="178" spans="19:25" s="37" customFormat="1" ht="9" hidden="1" customHeight="1">
      <c r="S178" s="47"/>
      <c r="Y178" s="53"/>
    </row>
    <row r="179" spans="19:25" s="37" customFormat="1" ht="9" hidden="1" customHeight="1">
      <c r="S179" s="47"/>
      <c r="Y179" s="53"/>
    </row>
    <row r="180" spans="19:25" s="37" customFormat="1" ht="9" hidden="1" customHeight="1">
      <c r="S180" s="47"/>
      <c r="Y180" s="53"/>
    </row>
    <row r="181" spans="19:25" s="37" customFormat="1" ht="9" hidden="1" customHeight="1">
      <c r="S181" s="47"/>
      <c r="Y181" s="53"/>
    </row>
    <row r="182" spans="19:25" s="37" customFormat="1" ht="9" hidden="1" customHeight="1">
      <c r="S182" s="47"/>
      <c r="Y182" s="53"/>
    </row>
    <row r="183" spans="19:25" s="37" customFormat="1" ht="9" hidden="1" customHeight="1">
      <c r="S183" s="47"/>
      <c r="Y183" s="53"/>
    </row>
    <row r="184" spans="19:25" s="37" customFormat="1" ht="9" hidden="1" customHeight="1">
      <c r="S184" s="47"/>
      <c r="Y184" s="53"/>
    </row>
    <row r="185" spans="19:25" s="37" customFormat="1" ht="9" hidden="1" customHeight="1">
      <c r="S185" s="47"/>
      <c r="Y185" s="53"/>
    </row>
    <row r="186" spans="19:25" s="37" customFormat="1" ht="9" hidden="1" customHeight="1">
      <c r="S186" s="47"/>
    </row>
    <row r="187" spans="19:25" s="37" customFormat="1" ht="9" hidden="1" customHeight="1">
      <c r="S187" s="47"/>
    </row>
    <row r="188" spans="19:25" s="37" customFormat="1" ht="9" hidden="1" customHeight="1">
      <c r="S188" s="47"/>
    </row>
    <row r="189" spans="19:25" s="37" customFormat="1" ht="9" hidden="1" customHeight="1">
      <c r="S189" s="47"/>
    </row>
    <row r="190" spans="19:25" s="37" customFormat="1" ht="9" hidden="1" customHeight="1">
      <c r="S190" s="47"/>
    </row>
    <row r="191" spans="19:25" s="37" customFormat="1" ht="9" hidden="1" customHeight="1"/>
    <row r="192" spans="19:25" s="37" customFormat="1" ht="9" hidden="1" customHeight="1">
      <c r="S192" s="47"/>
    </row>
    <row r="193" spans="19:19" s="37" customFormat="1" ht="9" hidden="1" customHeight="1">
      <c r="S193" s="47"/>
    </row>
    <row r="194" spans="19:19" s="37" customFormat="1" ht="9" hidden="1" customHeight="1">
      <c r="S194" s="47"/>
    </row>
    <row r="195" spans="19:19" s="37" customFormat="1" ht="9" hidden="1" customHeight="1">
      <c r="S195" s="47"/>
    </row>
    <row r="196" spans="19:19" s="37" customFormat="1" ht="9" hidden="1" customHeight="1"/>
    <row r="197" spans="19:19" s="37" customFormat="1" ht="9" hidden="1" customHeight="1">
      <c r="S197" s="47"/>
    </row>
    <row r="198" spans="19:19" s="37" customFormat="1" ht="9" hidden="1" customHeight="1">
      <c r="S198" s="47"/>
    </row>
    <row r="199" spans="19:19" s="37" customFormat="1" ht="9" hidden="1" customHeight="1">
      <c r="S199" s="47"/>
    </row>
    <row r="200" spans="19:19" s="37" customFormat="1" ht="9" hidden="1" customHeight="1">
      <c r="S200" s="47"/>
    </row>
    <row r="201" spans="19:19" s="37" customFormat="1" ht="9" hidden="1" customHeight="1"/>
    <row r="202" spans="19:19" s="37" customFormat="1" ht="9" hidden="1" customHeight="1">
      <c r="S202" s="47"/>
    </row>
    <row r="203" spans="19:19" s="37" customFormat="1" ht="9" hidden="1" customHeight="1">
      <c r="S203" s="47"/>
    </row>
    <row r="204" spans="19:19" s="37" customFormat="1" ht="9" hidden="1" customHeight="1">
      <c r="S204" s="47"/>
    </row>
    <row r="205" spans="19:19" s="37" customFormat="1" ht="9" hidden="1" customHeight="1">
      <c r="S205" s="47"/>
    </row>
    <row r="206" spans="19:19" s="37" customFormat="1" ht="9" hidden="1" customHeight="1">
      <c r="S206" s="47"/>
    </row>
    <row r="207" spans="19:19" s="37" customFormat="1" ht="9" hidden="1" customHeight="1">
      <c r="S207" s="47"/>
    </row>
    <row r="208" spans="19:19" s="37" customFormat="1" ht="9" hidden="1" customHeight="1">
      <c r="S208" s="47"/>
    </row>
    <row r="209" spans="19:27" s="37" customFormat="1" ht="9" hidden="1" customHeight="1">
      <c r="S209" s="47"/>
    </row>
    <row r="210" spans="19:27" s="37" customFormat="1" ht="9" hidden="1" customHeight="1">
      <c r="S210" s="47"/>
    </row>
    <row r="211" spans="19:27" s="37" customFormat="1" ht="9" hidden="1" customHeight="1">
      <c r="S211" s="47"/>
    </row>
    <row r="212" spans="19:27" s="37" customFormat="1" ht="10" hidden="1"/>
    <row r="213" spans="19:27" s="37" customFormat="1" ht="10" hidden="1">
      <c r="T213" s="764"/>
      <c r="U213" s="764"/>
      <c r="V213" s="764"/>
      <c r="W213" s="764"/>
      <c r="X213" s="764"/>
      <c r="Y213" s="764"/>
      <c r="Z213" s="764"/>
      <c r="AA213" s="764"/>
    </row>
    <row r="214" spans="19:27" s="37" customFormat="1" ht="10" hidden="1">
      <c r="T214" s="764"/>
      <c r="U214" s="764"/>
      <c r="V214" s="764"/>
      <c r="W214" s="764"/>
      <c r="X214" s="36"/>
      <c r="Y214" s="36"/>
      <c r="Z214" s="36"/>
      <c r="AA214" s="36"/>
    </row>
    <row r="215" spans="19:27" s="37" customFormat="1" ht="10" hidden="1">
      <c r="T215" s="36"/>
      <c r="U215" s="36"/>
      <c r="V215" s="36"/>
      <c r="W215" s="36"/>
      <c r="X215" s="36"/>
      <c r="Y215" s="36"/>
      <c r="Z215" s="36"/>
      <c r="AA215" s="36"/>
    </row>
    <row r="216" spans="19:27" s="37" customFormat="1" ht="10" hidden="1">
      <c r="T216" s="27"/>
      <c r="X216" s="54"/>
      <c r="Y216" s="36"/>
      <c r="AA216" s="38"/>
    </row>
    <row r="217" spans="19:27" s="37" customFormat="1" ht="10" hidden="1">
      <c r="W217" s="55"/>
      <c r="X217" s="54"/>
      <c r="Y217" s="40"/>
      <c r="AA217" s="38"/>
    </row>
    <row r="218" spans="19:27" s="37" customFormat="1" ht="10" hidden="1">
      <c r="W218" s="56"/>
      <c r="X218" s="54"/>
      <c r="Y218" s="40"/>
      <c r="AA218" s="38"/>
    </row>
    <row r="219" spans="19:27" s="37" customFormat="1" ht="10" hidden="1">
      <c r="W219" s="56"/>
      <c r="X219" s="54"/>
      <c r="Y219" s="40"/>
      <c r="AA219" s="38"/>
    </row>
    <row r="220" spans="19:27" s="37" customFormat="1" ht="10" hidden="1">
      <c r="W220" s="57"/>
      <c r="X220" s="54"/>
      <c r="Y220" s="40"/>
      <c r="AA220" s="38"/>
    </row>
    <row r="221" spans="19:27" s="37" customFormat="1" ht="10" hidden="1">
      <c r="U221" s="58"/>
      <c r="V221" s="58"/>
      <c r="W221" s="58"/>
      <c r="X221" s="54"/>
      <c r="Y221" s="40"/>
      <c r="AA221" s="38"/>
    </row>
    <row r="222" spans="19:27" s="37" customFormat="1" ht="10" hidden="1">
      <c r="U222" s="58"/>
      <c r="V222" s="58"/>
      <c r="W222" s="58"/>
      <c r="X222" s="54"/>
      <c r="Y222" s="40"/>
      <c r="AA222" s="38"/>
    </row>
    <row r="223" spans="19:27" s="37" customFormat="1" ht="10" hidden="1">
      <c r="U223" s="58"/>
      <c r="V223" s="58"/>
      <c r="X223" s="54"/>
      <c r="Y223" s="40"/>
      <c r="AA223" s="38"/>
    </row>
    <row r="224" spans="19:27" s="37" customFormat="1" ht="10" hidden="1">
      <c r="U224" s="58"/>
      <c r="V224" s="58"/>
      <c r="X224" s="54"/>
      <c r="Y224" s="40"/>
      <c r="AA224" s="38"/>
    </row>
    <row r="225" spans="20:27" s="37" customFormat="1" ht="10" hidden="1">
      <c r="U225" s="59"/>
      <c r="V225" s="50"/>
      <c r="X225" s="54"/>
      <c r="Y225" s="40"/>
      <c r="AA225" s="38"/>
    </row>
    <row r="226" spans="20:27" s="37" customFormat="1" ht="10" hidden="1">
      <c r="U226" s="59"/>
      <c r="V226" s="50"/>
      <c r="X226" s="54"/>
      <c r="Y226" s="40"/>
      <c r="AA226" s="38"/>
    </row>
    <row r="227" spans="20:27" s="37" customFormat="1" ht="10" hidden="1">
      <c r="U227" s="58"/>
      <c r="V227" s="58"/>
      <c r="X227" s="54"/>
      <c r="Y227" s="40"/>
      <c r="AA227" s="38"/>
    </row>
    <row r="228" spans="20:27" s="37" customFormat="1" ht="10" hidden="1">
      <c r="T228" s="49"/>
      <c r="U228" s="58"/>
      <c r="V228" s="58"/>
      <c r="AA228" s="42"/>
    </row>
    <row r="229" spans="20:27" s="37" customFormat="1" ht="10" hidden="1">
      <c r="T229" s="49"/>
      <c r="U229" s="763"/>
      <c r="V229" s="763"/>
      <c r="W229" s="762"/>
      <c r="X229" s="762"/>
      <c r="AA229" s="38"/>
    </row>
    <row r="230" spans="20:27" s="37" customFormat="1" ht="10" hidden="1">
      <c r="T230" s="49"/>
      <c r="U230" s="58"/>
      <c r="V230" s="58"/>
      <c r="AA230" s="38"/>
    </row>
    <row r="231" spans="20:27" s="37" customFormat="1" ht="10" hidden="1">
      <c r="T231" s="41"/>
      <c r="U231" s="59"/>
      <c r="V231" s="59"/>
      <c r="AA231" s="38"/>
    </row>
    <row r="232" spans="20:27" s="37" customFormat="1" ht="10" hidden="1">
      <c r="T232" s="41"/>
      <c r="U232" s="59"/>
      <c r="V232" s="59"/>
      <c r="AA232" s="38"/>
    </row>
    <row r="233" spans="20:27" s="37" customFormat="1" ht="10" hidden="1">
      <c r="T233" s="36"/>
      <c r="V233" s="58"/>
      <c r="Y233" s="27"/>
      <c r="Z233" s="27"/>
      <c r="AA233" s="42"/>
    </row>
    <row r="234" spans="20:27" s="37" customFormat="1" ht="10" hidden="1">
      <c r="V234" s="58"/>
    </row>
    <row r="235" spans="20:27" s="37" customFormat="1" ht="10" hidden="1"/>
    <row r="236" spans="20:27" s="37" customFormat="1" ht="10" hidden="1"/>
    <row r="237" spans="20:27" s="37" customFormat="1" ht="10" hidden="1"/>
    <row r="238" spans="20:27" s="37" customFormat="1" ht="10" hidden="1"/>
    <row r="239" spans="20:27" s="37" customFormat="1" ht="10" hidden="1"/>
    <row r="240" spans="20:27" s="37" customFormat="1" ht="10" hidden="1"/>
    <row r="241" s="37" customFormat="1" ht="10" hidden="1"/>
    <row r="242" s="37" customFormat="1" ht="10" hidden="1"/>
    <row r="243" s="37" customFormat="1" ht="10" hidden="1"/>
    <row r="244" s="37" customFormat="1" ht="10" hidden="1"/>
    <row r="245" s="37" customFormat="1" ht="10" hidden="1"/>
    <row r="246" s="37" customFormat="1" ht="10" hidden="1"/>
    <row r="247" s="37" customFormat="1" ht="10" hidden="1"/>
    <row r="248" s="37" customFormat="1" ht="10" hidden="1"/>
    <row r="249" s="37" customFormat="1" ht="10" hidden="1"/>
    <row r="250" s="37" customFormat="1" ht="10" hidden="1"/>
    <row r="251" s="37" customFormat="1" ht="10" hidden="1"/>
    <row r="252" s="37" customFormat="1" ht="10" hidden="1"/>
    <row r="253" s="37" customFormat="1" ht="10" hidden="1"/>
    <row r="254" s="37" customFormat="1" ht="10" hidden="1"/>
    <row r="255" s="37" customFormat="1" ht="10" hidden="1"/>
    <row r="256" s="37" customFormat="1" ht="10" hidden="1"/>
    <row r="257" s="37" customFormat="1" ht="10" hidden="1"/>
    <row r="258" s="37" customFormat="1" ht="10" hidden="1"/>
    <row r="259" s="37" customFormat="1" ht="10" hidden="1"/>
    <row r="260" s="37" customFormat="1" ht="10" hidden="1"/>
    <row r="261" s="37" customFormat="1" ht="10" hidden="1"/>
    <row r="262" s="37" customFormat="1" ht="10" hidden="1"/>
    <row r="263" s="37" customFormat="1" ht="10" hidden="1"/>
    <row r="264" s="37" customFormat="1" ht="10" hidden="1"/>
    <row r="265" s="37" customFormat="1" ht="10" hidden="1"/>
    <row r="266" s="37" customFormat="1" ht="10" hidden="1"/>
    <row r="267" s="37" customFormat="1" ht="10" hidden="1"/>
    <row r="268" s="37" customFormat="1" ht="10" hidden="1"/>
    <row r="269" s="37" customFormat="1" ht="10" hidden="1"/>
    <row r="270" s="37" customFormat="1" ht="10" hidden="1"/>
    <row r="271" s="37" customFormat="1" ht="10" hidden="1"/>
    <row r="272" s="37" customFormat="1" ht="10" hidden="1"/>
    <row r="273" s="37" customFormat="1" ht="10" hidden="1"/>
    <row r="274" s="37" customFormat="1" ht="10" hidden="1"/>
    <row r="275" s="37" customFormat="1" ht="10" hidden="1"/>
    <row r="276" s="37" customFormat="1" ht="10" hidden="1"/>
    <row r="277" s="37" customFormat="1" ht="10" hidden="1"/>
    <row r="278" s="37" customFormat="1" ht="10" hidden="1"/>
    <row r="279" s="37" customFormat="1" ht="10" hidden="1"/>
    <row r="280" s="37" customFormat="1" ht="10" hidden="1"/>
    <row r="281" s="37" customFormat="1" ht="10" hidden="1"/>
    <row r="282" s="37" customFormat="1" ht="10" hidden="1"/>
    <row r="283" s="37" customFormat="1" ht="10" hidden="1"/>
    <row r="284" s="37" customFormat="1" ht="10" hidden="1"/>
    <row r="285" s="37" customFormat="1" ht="10" hidden="1"/>
    <row r="286" s="37" customFormat="1" ht="10" hidden="1"/>
    <row r="287" s="37" customFormat="1" ht="10" hidden="1"/>
    <row r="288" s="37" customFormat="1" ht="10" hidden="1"/>
    <row r="289" s="37" customFormat="1" ht="10" hidden="1"/>
    <row r="290" s="37" customFormat="1" ht="10" hidden="1"/>
    <row r="291" s="37" customFormat="1" ht="10" hidden="1"/>
    <row r="292" s="37" customFormat="1" ht="10" hidden="1"/>
    <row r="293" s="37" customFormat="1" ht="10" hidden="1"/>
    <row r="294" s="37" customFormat="1" ht="10" hidden="1"/>
    <row r="295" s="37" customFormat="1" ht="10" hidden="1"/>
    <row r="296" s="37" customFormat="1" ht="10" hidden="1"/>
    <row r="297" s="37" customFormat="1" ht="10" hidden="1"/>
    <row r="298" s="37" customFormat="1" ht="10" hidden="1"/>
  </sheetData>
  <sheetProtection algorithmName="SHA-512" hashValue="e1twW8deRBrVFuy4x/8natYLdNW7RtNKfz+uooXjzJJ0A2taDzPN7bUiC5+c2N/Bh/qNm5GPYlZ/0RJNGWJlhw==" saltValue="bAY6pIVA9OCarcSVtK1doA==" spinCount="100000" sheet="1" selectLockedCells="1" selectUnlockedCells="1"/>
  <mergeCells count="14">
    <mergeCell ref="B26:C26"/>
    <mergeCell ref="I2:J9"/>
    <mergeCell ref="I15:J17"/>
    <mergeCell ref="F25:G25"/>
    <mergeCell ref="D25:E25"/>
    <mergeCell ref="J24:K24"/>
    <mergeCell ref="D24:E24"/>
    <mergeCell ref="F24:G24"/>
    <mergeCell ref="W229:X229"/>
    <mergeCell ref="U229:V229"/>
    <mergeCell ref="T152:AA152"/>
    <mergeCell ref="T214:W214"/>
    <mergeCell ref="T157:AA157"/>
    <mergeCell ref="T213:AA213"/>
  </mergeCells>
  <phoneticPr fontId="0" type="noConversion"/>
  <dataValidations count="3">
    <dataValidation allowBlank="1" showDropDown="1" sqref="E14:E22"/>
    <dataValidation type="whole" allowBlank="1" showInputMessage="1" showErrorMessage="1" errorTitle="Reintentar" error="Suma Asegurada fuera de rango." sqref="E5:E8">
      <formula1>75000</formula1>
      <formula2>2000000</formula2>
    </dataValidation>
    <dataValidation type="list" allowBlank="1" showDropDown="1" showInputMessage="1" showErrorMessage="1" errorTitle="Reintentar" error="Zona no válida" sqref="F14:F15">
      <formula1>$K$15:$K$17</formula1>
    </dataValidation>
  </dataValidations>
  <printOptions horizontalCentered="1"/>
  <pageMargins left="0.75" right="0.75" top="1" bottom="1" header="0" footer="0"/>
  <pageSetup orientation="portrait" horizontalDpi="300" verticalDpi="300" r:id="rId1"/>
  <headerFooter alignWithMargins="0">
    <oddFooter>&amp;C&amp;"Tahoma,Negrita"&amp;8Advertencia: GENERALI MEXICO COMPAÑIA DE SEGUROS, S.A. se reserva el derecho de cambiar o modificar tarifas sin previo aviso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1"/>
  <dimension ref="B1:Z219"/>
  <sheetViews>
    <sheetView showGridLines="0" showOutlineSymbols="0" workbookViewId="0"/>
  </sheetViews>
  <sheetFormatPr baseColWidth="10" defaultColWidth="11.453125" defaultRowHeight="12.5" zeroHeight="1"/>
  <cols>
    <col min="1" max="1" width="5.54296875" style="3" customWidth="1"/>
    <col min="2" max="2" width="6.26953125" style="3" hidden="1" customWidth="1"/>
    <col min="3" max="3" width="2.1796875" style="3" hidden="1" customWidth="1"/>
    <col min="4" max="4" width="14.26953125" style="3" hidden="1" customWidth="1"/>
    <col min="5" max="5" width="16.81640625" style="3" hidden="1" customWidth="1"/>
    <col min="6" max="6" width="13" style="3" hidden="1" customWidth="1"/>
    <col min="7" max="9" width="12.7265625" style="3" hidden="1" customWidth="1"/>
    <col min="10" max="12" width="12.81640625" style="3" hidden="1" customWidth="1"/>
    <col min="13" max="14" width="11.453125" hidden="1" customWidth="1"/>
    <col min="15" max="15" width="11.7265625" style="3" hidden="1" customWidth="1"/>
    <col min="16" max="22" width="11.453125" style="3" hidden="1" customWidth="1"/>
    <col min="23" max="23" width="15.26953125" style="3" hidden="1" customWidth="1"/>
    <col min="24" max="26" width="11.453125" style="3" hidden="1" customWidth="1"/>
    <col min="27" max="41" width="0" style="3" hidden="1" customWidth="1"/>
    <col min="42" max="16384" width="11.453125" style="3"/>
  </cols>
  <sheetData>
    <row r="1" spans="2:15">
      <c r="C1" s="35" t="s">
        <v>34</v>
      </c>
      <c r="D1" s="34"/>
      <c r="E1" s="34"/>
      <c r="F1" s="34"/>
      <c r="G1" s="26"/>
      <c r="I1" s="84" t="s">
        <v>57</v>
      </c>
      <c r="J1" s="91"/>
      <c r="K1" s="91"/>
    </row>
    <row r="2" spans="2:15" hidden="1">
      <c r="G2" s="4"/>
      <c r="I2" s="767" t="str">
        <f>IF(ISERROR(VLOOKUP(E3,VALORES!$A$6:$B$11,2,FALSE)),"REGION NO VALIDA",VLOOKUP(E3,VALORES!$A$6:$B$11,2,FALSE))</f>
        <v>BAJA CALIFORNIA, BAJA CALIFORNIA SUR, MORELOS, QUINTANA ROO, QUERETARO, SAN LUIS POTOSI, SINALOA, SONORA</v>
      </c>
      <c r="J2" s="767"/>
    </row>
    <row r="3" spans="2:15" hidden="1">
      <c r="B3" s="28" t="s">
        <v>11</v>
      </c>
      <c r="C3" s="29"/>
      <c r="D3" s="29"/>
      <c r="E3" s="130">
        <f>+COTIZACION!D14</f>
        <v>5</v>
      </c>
      <c r="F3" s="62" t="str">
        <f>IF(E3&gt;7,"NO PROCEDE"," ")</f>
        <v xml:space="preserve"> </v>
      </c>
      <c r="G3" s="142" t="s">
        <v>28</v>
      </c>
      <c r="I3" s="767"/>
      <c r="J3" s="767"/>
    </row>
    <row r="4" spans="2:15" ht="10.5" hidden="1" customHeight="1">
      <c r="E4" s="131"/>
      <c r="F4" s="25"/>
      <c r="G4" s="4"/>
      <c r="I4" s="767"/>
      <c r="J4" s="767"/>
    </row>
    <row r="5" spans="2:15" hidden="1">
      <c r="B5" s="28" t="s">
        <v>12</v>
      </c>
      <c r="C5" s="122"/>
      <c r="D5" s="29"/>
      <c r="E5" s="132">
        <f>+COTIZACION!D10</f>
        <v>100000000</v>
      </c>
      <c r="F5" s="25"/>
      <c r="G5" s="139">
        <f>+TITULAR!G5</f>
        <v>1.53</v>
      </c>
      <c r="I5" s="767"/>
      <c r="J5" s="767"/>
    </row>
    <row r="6" spans="2:15" hidden="1">
      <c r="B6" s="28" t="s">
        <v>13</v>
      </c>
      <c r="C6" s="29"/>
      <c r="D6" s="29"/>
      <c r="E6" s="132">
        <f>+COTIZACION!D11</f>
        <v>12000</v>
      </c>
      <c r="F6" s="25"/>
      <c r="G6" s="140">
        <f>+TITULAR!G6</f>
        <v>0.84499999999999997</v>
      </c>
      <c r="I6" s="767"/>
      <c r="J6" s="767"/>
      <c r="M6" s="442"/>
    </row>
    <row r="7" spans="2:15" hidden="1">
      <c r="B7" s="28" t="s">
        <v>14</v>
      </c>
      <c r="C7" s="123"/>
      <c r="D7" s="29"/>
      <c r="E7" s="132">
        <f>+COTIZACION!D12</f>
        <v>0.1</v>
      </c>
      <c r="F7" s="63"/>
      <c r="G7" s="140">
        <f>+TITULAR!G8</f>
        <v>1</v>
      </c>
      <c r="H7" s="60"/>
      <c r="I7" s="767"/>
      <c r="J7" s="767"/>
    </row>
    <row r="8" spans="2:15" ht="11.25" hidden="1" customHeight="1">
      <c r="B8" s="28" t="s">
        <v>103</v>
      </c>
      <c r="C8" s="29"/>
      <c r="D8" s="29"/>
      <c r="E8" s="132">
        <f>+COTIZACION!$D$25</f>
        <v>0</v>
      </c>
      <c r="F8" s="63"/>
      <c r="G8" s="220">
        <f>+TITULAR!G9</f>
        <v>1</v>
      </c>
      <c r="H8" s="4"/>
      <c r="I8" s="767"/>
      <c r="J8" s="767"/>
    </row>
    <row r="9" spans="2:15" ht="11.25" hidden="1" customHeight="1">
      <c r="B9" s="28" t="s">
        <v>130</v>
      </c>
      <c r="C9" s="29"/>
      <c r="D9" s="29"/>
      <c r="E9" s="161">
        <f>+COTIZACION!D17</f>
        <v>30000</v>
      </c>
      <c r="F9" s="63"/>
      <c r="G9" s="141"/>
      <c r="H9" s="4"/>
      <c r="I9" s="160"/>
      <c r="J9" s="160"/>
    </row>
    <row r="10" spans="2:15" hidden="1">
      <c r="E10" s="133"/>
      <c r="F10" s="64" t="s">
        <v>27</v>
      </c>
      <c r="G10" s="146"/>
      <c r="H10" s="61"/>
      <c r="I10" s="83"/>
      <c r="J10" s="83"/>
      <c r="O10" s="31" t="s">
        <v>40</v>
      </c>
    </row>
    <row r="11" spans="2:15" ht="12.75" hidden="1" customHeight="1">
      <c r="B11" s="28" t="s">
        <v>45</v>
      </c>
      <c r="C11" s="29"/>
      <c r="D11" s="29"/>
      <c r="E11" s="130" t="str">
        <f>+COTIZACION!D21</f>
        <v>NO</v>
      </c>
      <c r="F11" s="130"/>
      <c r="G11" s="144">
        <f>+TITULAR!G14</f>
        <v>1</v>
      </c>
      <c r="H11" s="61"/>
      <c r="I11" s="85" t="s">
        <v>56</v>
      </c>
      <c r="J11" s="92"/>
      <c r="K11" s="91"/>
      <c r="O11" s="31" t="s">
        <v>39</v>
      </c>
    </row>
    <row r="12" spans="2:15" ht="12.75" hidden="1" customHeight="1">
      <c r="B12" s="28" t="s">
        <v>46</v>
      </c>
      <c r="C12" s="29"/>
      <c r="D12" s="29"/>
      <c r="E12" s="130" t="str">
        <f>+COTIZACION!D20</f>
        <v>NO</v>
      </c>
      <c r="F12" s="130" t="str">
        <f>+COTIZACION!D22</f>
        <v>C</v>
      </c>
      <c r="G12" s="145">
        <f>+TITULAR!G15</f>
        <v>1</v>
      </c>
      <c r="H12" s="443">
        <f>G12*G11*G8*G7*G6*G5</f>
        <v>1.2928500000000001</v>
      </c>
      <c r="I12" s="767" t="str">
        <f>IF(F11=F12,VLOOKUP(F11,VALORES!$A$31:$B$33,2,FALSE),"ZONAS DIFERENTES")</f>
        <v>ZONAS DIFERENTES</v>
      </c>
      <c r="J12" s="768"/>
      <c r="K12" s="87" t="s">
        <v>40</v>
      </c>
      <c r="O12" s="31"/>
    </row>
    <row r="13" spans="2:15" ht="21" hidden="1" customHeight="1">
      <c r="B13" s="2"/>
      <c r="D13" s="2"/>
      <c r="E13" s="2"/>
      <c r="F13" s="32"/>
      <c r="G13" s="137"/>
      <c r="I13" s="768"/>
      <c r="J13" s="768"/>
      <c r="K13" s="87" t="s">
        <v>52</v>
      </c>
    </row>
    <row r="14" spans="2:15" hidden="1">
      <c r="B14" s="28" t="s">
        <v>15</v>
      </c>
      <c r="C14" s="29"/>
      <c r="D14" s="29"/>
      <c r="E14" s="130" t="e">
        <f>+COTIZACION!#REF!</f>
        <v>#REF!</v>
      </c>
      <c r="F14" s="25"/>
      <c r="G14" s="138">
        <f>+TITULAR!G17</f>
        <v>0</v>
      </c>
      <c r="I14" s="768"/>
      <c r="J14" s="768"/>
      <c r="K14" s="87" t="s">
        <v>38</v>
      </c>
    </row>
    <row r="15" spans="2:15" hidden="1">
      <c r="H15" s="33"/>
    </row>
    <row r="16" spans="2:15" hidden="1">
      <c r="H16" s="33"/>
    </row>
    <row r="17" spans="2:16" ht="13" hidden="1" thickBot="1">
      <c r="H17" s="33"/>
    </row>
    <row r="18" spans="2:16" ht="12.75" hidden="1" customHeight="1" thickTop="1">
      <c r="B18" s="65"/>
      <c r="C18" s="113"/>
      <c r="D18" s="776" t="s">
        <v>48</v>
      </c>
      <c r="E18" s="775"/>
      <c r="F18" s="776" t="s">
        <v>49</v>
      </c>
      <c r="G18" s="775"/>
      <c r="H18" s="72" t="s">
        <v>44</v>
      </c>
      <c r="I18" s="69">
        <f>G14</f>
        <v>0</v>
      </c>
      <c r="J18" s="772" t="s">
        <v>42</v>
      </c>
      <c r="K18" s="773"/>
      <c r="L18" s="77"/>
      <c r="M18" s="772" t="s">
        <v>147</v>
      </c>
      <c r="N18" s="773"/>
    </row>
    <row r="19" spans="2:16" ht="12.75" hidden="1" customHeight="1">
      <c r="B19" s="118"/>
      <c r="C19" s="117"/>
      <c r="D19" s="769" t="s">
        <v>47</v>
      </c>
      <c r="E19" s="770"/>
      <c r="F19" s="769" t="s">
        <v>47</v>
      </c>
      <c r="G19" s="770"/>
      <c r="H19" s="73" t="s">
        <v>41</v>
      </c>
      <c r="I19" s="66">
        <v>0</v>
      </c>
      <c r="J19" s="67" t="s">
        <v>43</v>
      </c>
      <c r="K19" s="70">
        <f>+COTIZACION!D26</f>
        <v>0.16</v>
      </c>
      <c r="L19" s="78"/>
      <c r="M19" s="67" t="s">
        <v>43</v>
      </c>
      <c r="N19" s="70">
        <f>+COTIZACION!D26</f>
        <v>0.16</v>
      </c>
    </row>
    <row r="20" spans="2:16" ht="15" hidden="1" customHeight="1" thickBot="1">
      <c r="B20" s="765" t="s">
        <v>9</v>
      </c>
      <c r="C20" s="766"/>
      <c r="D20" s="213" t="s">
        <v>16</v>
      </c>
      <c r="E20" s="214" t="s">
        <v>17</v>
      </c>
      <c r="F20" s="71" t="s">
        <v>16</v>
      </c>
      <c r="G20" s="214" t="s">
        <v>17</v>
      </c>
      <c r="H20" s="215" t="s">
        <v>16</v>
      </c>
      <c r="I20" s="68" t="s">
        <v>17</v>
      </c>
      <c r="J20" s="215" t="s">
        <v>16</v>
      </c>
      <c r="K20" s="68" t="s">
        <v>17</v>
      </c>
      <c r="L20" s="77"/>
      <c r="M20" s="215" t="s">
        <v>16</v>
      </c>
      <c r="N20" s="68" t="s">
        <v>17</v>
      </c>
    </row>
    <row r="21" spans="2:16" ht="15" hidden="1" customHeight="1" thickTop="1">
      <c r="B21" s="119">
        <v>0</v>
      </c>
      <c r="C21" s="114"/>
      <c r="D21" s="216">
        <f>FACTORES!F39</f>
        <v>14321.05</v>
      </c>
      <c r="E21" s="216">
        <f>FACTORES!G39</f>
        <v>14329.95</v>
      </c>
      <c r="F21" s="217">
        <f t="shared" ref="F21:F38" si="0">ROUND(D21*$G$5*$G$6*$G$7*$G$11*$G$12*$G$8,2)+ADIC+DENTAL+IKE+CVISION</f>
        <v>20718.670000000002</v>
      </c>
      <c r="G21" s="217">
        <f t="shared" ref="G21:G38" si="1">ROUND(E21*$G$5*$G$6*$G$7*$G$11*$G$12*$G$8,2)+ADIC+DENTAL+IKE+CVISION</f>
        <v>20730.18</v>
      </c>
      <c r="H21" s="217">
        <f>(F21*(1+$I$18))+$I$19</f>
        <v>20718.670000000002</v>
      </c>
      <c r="I21" s="217">
        <f>(G21*(1+$I$18))+$I$19</f>
        <v>20730.18</v>
      </c>
      <c r="J21" s="217">
        <f>H21*(1+$K$19)</f>
        <v>24033.657200000001</v>
      </c>
      <c r="K21" s="217">
        <f>I21*(1+$K$19)</f>
        <v>24047.0088</v>
      </c>
      <c r="L21" s="79"/>
      <c r="M21" s="217">
        <f>(D21*$G$5*$G$6*$G$7*$G$11*$G$12*$G$8+(ADIC+DENTAL+CVISION+IKE)*(1-DESC))*(1+IVA)</f>
        <v>24033.656611300001</v>
      </c>
      <c r="N21" s="217">
        <f t="shared" ref="N21:N52" si="2">(E21*$G$5*$G$6*$G$7*$G$11*$G$12*$G$8+(ADIC+DENTAL+CVISION+IKE)*(1-DESC))*(1+IVA)</f>
        <v>24047.0039947</v>
      </c>
      <c r="O21" s="159"/>
      <c r="P21" s="159"/>
    </row>
    <row r="22" spans="2:16" ht="15" hidden="1" customHeight="1">
      <c r="B22" s="120">
        <f>+B21+1</f>
        <v>1</v>
      </c>
      <c r="C22" s="115"/>
      <c r="D22" s="218">
        <f>FACTORES!F40</f>
        <v>14321.05</v>
      </c>
      <c r="E22" s="218">
        <f>FACTORES!G40</f>
        <v>14329.95</v>
      </c>
      <c r="F22" s="218">
        <f t="shared" si="0"/>
        <v>20718.670000000002</v>
      </c>
      <c r="G22" s="218">
        <f t="shared" si="1"/>
        <v>20730.18</v>
      </c>
      <c r="H22" s="218">
        <f t="shared" ref="H22:H85" si="3">(F22*(1+$I$18))+$I$19</f>
        <v>20718.670000000002</v>
      </c>
      <c r="I22" s="218">
        <f t="shared" ref="I22:I85" si="4">(G22*(1+$I$18))+$I$19</f>
        <v>20730.18</v>
      </c>
      <c r="J22" s="218">
        <f t="shared" ref="J22:J85" si="5">H22*(1+$K$19)</f>
        <v>24033.657200000001</v>
      </c>
      <c r="K22" s="218">
        <f t="shared" ref="K22:K85" si="6">I22*(1+$K$19)</f>
        <v>24047.0088</v>
      </c>
      <c r="L22" s="79"/>
      <c r="M22" s="218">
        <f t="shared" ref="M22:M52" si="7">(D22*$G$5*$G$6*$G$7*$G$11*$G$12*$G$8+(ADIC+DENTAL+CVISION+IKE)*(1-DESC))*(1+IVA)</f>
        <v>24033.656611300001</v>
      </c>
      <c r="N22" s="218">
        <f t="shared" si="2"/>
        <v>24047.0039947</v>
      </c>
      <c r="O22" s="159"/>
      <c r="P22" s="159"/>
    </row>
    <row r="23" spans="2:16" ht="15" hidden="1" customHeight="1">
      <c r="B23" s="120">
        <f t="shared" ref="B23:B86" si="8">+B22+1</f>
        <v>2</v>
      </c>
      <c r="C23" s="115"/>
      <c r="D23" s="218">
        <f>FACTORES!F41</f>
        <v>14321.05</v>
      </c>
      <c r="E23" s="218">
        <f>FACTORES!G41</f>
        <v>14329.95</v>
      </c>
      <c r="F23" s="218">
        <f t="shared" si="0"/>
        <v>20718.670000000002</v>
      </c>
      <c r="G23" s="218">
        <f t="shared" si="1"/>
        <v>20730.18</v>
      </c>
      <c r="H23" s="218">
        <f t="shared" si="3"/>
        <v>20718.670000000002</v>
      </c>
      <c r="I23" s="218">
        <f t="shared" si="4"/>
        <v>20730.18</v>
      </c>
      <c r="J23" s="218">
        <f t="shared" si="5"/>
        <v>24033.657200000001</v>
      </c>
      <c r="K23" s="218">
        <f t="shared" si="6"/>
        <v>24047.0088</v>
      </c>
      <c r="L23" s="79"/>
      <c r="M23" s="218">
        <f t="shared" si="7"/>
        <v>24033.656611300001</v>
      </c>
      <c r="N23" s="218">
        <f t="shared" si="2"/>
        <v>24047.0039947</v>
      </c>
      <c r="O23" s="159"/>
      <c r="P23" s="159"/>
    </row>
    <row r="24" spans="2:16" s="37" customFormat="1" ht="15" hidden="1" customHeight="1">
      <c r="B24" s="120">
        <f t="shared" si="8"/>
        <v>3</v>
      </c>
      <c r="C24" s="115"/>
      <c r="D24" s="218">
        <f>FACTORES!F42</f>
        <v>14321.05</v>
      </c>
      <c r="E24" s="218">
        <f>FACTORES!G42</f>
        <v>14329.95</v>
      </c>
      <c r="F24" s="218">
        <f t="shared" si="0"/>
        <v>20718.670000000002</v>
      </c>
      <c r="G24" s="218">
        <f t="shared" si="1"/>
        <v>20730.18</v>
      </c>
      <c r="H24" s="218">
        <f t="shared" si="3"/>
        <v>20718.670000000002</v>
      </c>
      <c r="I24" s="218">
        <f t="shared" si="4"/>
        <v>20730.18</v>
      </c>
      <c r="J24" s="218">
        <f t="shared" si="5"/>
        <v>24033.657200000001</v>
      </c>
      <c r="K24" s="218">
        <f t="shared" si="6"/>
        <v>24047.0088</v>
      </c>
      <c r="L24" s="79"/>
      <c r="M24" s="218">
        <f t="shared" si="7"/>
        <v>24033.656611300001</v>
      </c>
      <c r="N24" s="218">
        <f t="shared" si="2"/>
        <v>24047.0039947</v>
      </c>
      <c r="O24" s="159"/>
      <c r="P24" s="159"/>
    </row>
    <row r="25" spans="2:16" s="37" customFormat="1" ht="15" hidden="1" customHeight="1">
      <c r="B25" s="120">
        <f t="shared" si="8"/>
        <v>4</v>
      </c>
      <c r="C25" s="115"/>
      <c r="D25" s="218">
        <f>FACTORES!F43</f>
        <v>14321.05</v>
      </c>
      <c r="E25" s="218">
        <f>FACTORES!G43</f>
        <v>14329.95</v>
      </c>
      <c r="F25" s="218">
        <f t="shared" si="0"/>
        <v>20718.670000000002</v>
      </c>
      <c r="G25" s="218">
        <f t="shared" si="1"/>
        <v>20730.18</v>
      </c>
      <c r="H25" s="218">
        <f t="shared" si="3"/>
        <v>20718.670000000002</v>
      </c>
      <c r="I25" s="218">
        <f t="shared" si="4"/>
        <v>20730.18</v>
      </c>
      <c r="J25" s="218">
        <f t="shared" si="5"/>
        <v>24033.657200000001</v>
      </c>
      <c r="K25" s="218">
        <f t="shared" si="6"/>
        <v>24047.0088</v>
      </c>
      <c r="L25" s="79"/>
      <c r="M25" s="218">
        <f t="shared" si="7"/>
        <v>24033.656611300001</v>
      </c>
      <c r="N25" s="218">
        <f t="shared" si="2"/>
        <v>24047.0039947</v>
      </c>
      <c r="O25" s="159"/>
      <c r="P25" s="159"/>
    </row>
    <row r="26" spans="2:16" s="37" customFormat="1" ht="15" hidden="1" customHeight="1">
      <c r="B26" s="120">
        <f t="shared" si="8"/>
        <v>5</v>
      </c>
      <c r="C26" s="115"/>
      <c r="D26" s="218">
        <f>FACTORES!F44</f>
        <v>14321.05</v>
      </c>
      <c r="E26" s="218">
        <f>FACTORES!G44</f>
        <v>14329.95</v>
      </c>
      <c r="F26" s="218">
        <f t="shared" si="0"/>
        <v>20718.670000000002</v>
      </c>
      <c r="G26" s="218">
        <f t="shared" si="1"/>
        <v>20730.18</v>
      </c>
      <c r="H26" s="218">
        <f t="shared" si="3"/>
        <v>20718.670000000002</v>
      </c>
      <c r="I26" s="218">
        <f t="shared" si="4"/>
        <v>20730.18</v>
      </c>
      <c r="J26" s="218">
        <f t="shared" si="5"/>
        <v>24033.657200000001</v>
      </c>
      <c r="K26" s="218">
        <f t="shared" si="6"/>
        <v>24047.0088</v>
      </c>
      <c r="L26" s="79"/>
      <c r="M26" s="218">
        <f t="shared" si="7"/>
        <v>24033.656611300001</v>
      </c>
      <c r="N26" s="218">
        <f t="shared" si="2"/>
        <v>24047.0039947</v>
      </c>
      <c r="O26" s="159"/>
      <c r="P26" s="159"/>
    </row>
    <row r="27" spans="2:16" s="37" customFormat="1" ht="15" hidden="1" customHeight="1">
      <c r="B27" s="120">
        <f t="shared" si="8"/>
        <v>6</v>
      </c>
      <c r="C27" s="115"/>
      <c r="D27" s="218">
        <f>FACTORES!F45</f>
        <v>14321.05</v>
      </c>
      <c r="E27" s="218">
        <f>FACTORES!G45</f>
        <v>14329.95</v>
      </c>
      <c r="F27" s="218">
        <f t="shared" si="0"/>
        <v>20718.670000000002</v>
      </c>
      <c r="G27" s="218">
        <f t="shared" si="1"/>
        <v>20730.18</v>
      </c>
      <c r="H27" s="218">
        <f t="shared" si="3"/>
        <v>20718.670000000002</v>
      </c>
      <c r="I27" s="218">
        <f t="shared" si="4"/>
        <v>20730.18</v>
      </c>
      <c r="J27" s="218">
        <f t="shared" si="5"/>
        <v>24033.657200000001</v>
      </c>
      <c r="K27" s="218">
        <f t="shared" si="6"/>
        <v>24047.0088</v>
      </c>
      <c r="L27" s="79"/>
      <c r="M27" s="218">
        <f t="shared" si="7"/>
        <v>24033.656611300001</v>
      </c>
      <c r="N27" s="218">
        <f t="shared" si="2"/>
        <v>24047.0039947</v>
      </c>
      <c r="O27" s="159"/>
      <c r="P27" s="159"/>
    </row>
    <row r="28" spans="2:16" s="37" customFormat="1" ht="15" hidden="1" customHeight="1">
      <c r="B28" s="120">
        <f t="shared" si="8"/>
        <v>7</v>
      </c>
      <c r="C28" s="115"/>
      <c r="D28" s="218">
        <f>FACTORES!F46</f>
        <v>14321.05</v>
      </c>
      <c r="E28" s="218">
        <f>FACTORES!G46</f>
        <v>14329.95</v>
      </c>
      <c r="F28" s="218">
        <f t="shared" si="0"/>
        <v>20718.670000000002</v>
      </c>
      <c r="G28" s="218">
        <f t="shared" si="1"/>
        <v>20730.18</v>
      </c>
      <c r="H28" s="218">
        <f t="shared" si="3"/>
        <v>20718.670000000002</v>
      </c>
      <c r="I28" s="218">
        <f t="shared" si="4"/>
        <v>20730.18</v>
      </c>
      <c r="J28" s="218">
        <f t="shared" si="5"/>
        <v>24033.657200000001</v>
      </c>
      <c r="K28" s="218">
        <f t="shared" si="6"/>
        <v>24047.0088</v>
      </c>
      <c r="L28" s="79"/>
      <c r="M28" s="218">
        <f t="shared" si="7"/>
        <v>24033.656611300001</v>
      </c>
      <c r="N28" s="218">
        <f t="shared" si="2"/>
        <v>24047.0039947</v>
      </c>
      <c r="O28" s="159"/>
      <c r="P28" s="159"/>
    </row>
    <row r="29" spans="2:16" s="37" customFormat="1" ht="15" hidden="1" customHeight="1">
      <c r="B29" s="120">
        <f t="shared" si="8"/>
        <v>8</v>
      </c>
      <c r="C29" s="115"/>
      <c r="D29" s="218">
        <f>FACTORES!F47</f>
        <v>14321.05</v>
      </c>
      <c r="E29" s="218">
        <f>FACTORES!G47</f>
        <v>14329.95</v>
      </c>
      <c r="F29" s="218">
        <f t="shared" si="0"/>
        <v>20718.670000000002</v>
      </c>
      <c r="G29" s="218">
        <f t="shared" si="1"/>
        <v>20730.18</v>
      </c>
      <c r="H29" s="218">
        <f t="shared" si="3"/>
        <v>20718.670000000002</v>
      </c>
      <c r="I29" s="218">
        <f t="shared" si="4"/>
        <v>20730.18</v>
      </c>
      <c r="J29" s="218">
        <f t="shared" si="5"/>
        <v>24033.657200000001</v>
      </c>
      <c r="K29" s="218">
        <f t="shared" si="6"/>
        <v>24047.0088</v>
      </c>
      <c r="L29" s="79"/>
      <c r="M29" s="218">
        <f t="shared" si="7"/>
        <v>24033.656611300001</v>
      </c>
      <c r="N29" s="218">
        <f t="shared" si="2"/>
        <v>24047.0039947</v>
      </c>
      <c r="O29" s="159"/>
      <c r="P29" s="159"/>
    </row>
    <row r="30" spans="2:16" s="37" customFormat="1" ht="15" hidden="1" customHeight="1">
      <c r="B30" s="120">
        <f t="shared" si="8"/>
        <v>9</v>
      </c>
      <c r="C30" s="115"/>
      <c r="D30" s="218">
        <f>FACTORES!F48</f>
        <v>14321.05</v>
      </c>
      <c r="E30" s="218">
        <f>FACTORES!G48</f>
        <v>14329.95</v>
      </c>
      <c r="F30" s="218">
        <f t="shared" si="0"/>
        <v>20718.670000000002</v>
      </c>
      <c r="G30" s="218">
        <f t="shared" si="1"/>
        <v>20730.18</v>
      </c>
      <c r="H30" s="218">
        <f t="shared" si="3"/>
        <v>20718.670000000002</v>
      </c>
      <c r="I30" s="218">
        <f t="shared" si="4"/>
        <v>20730.18</v>
      </c>
      <c r="J30" s="218">
        <f t="shared" si="5"/>
        <v>24033.657200000001</v>
      </c>
      <c r="K30" s="218">
        <f t="shared" si="6"/>
        <v>24047.0088</v>
      </c>
      <c r="L30" s="79"/>
      <c r="M30" s="218">
        <f t="shared" si="7"/>
        <v>24033.656611300001</v>
      </c>
      <c r="N30" s="218">
        <f t="shared" si="2"/>
        <v>24047.0039947</v>
      </c>
      <c r="O30" s="159"/>
      <c r="P30" s="159"/>
    </row>
    <row r="31" spans="2:16" s="37" customFormat="1" ht="15" hidden="1" customHeight="1">
      <c r="B31" s="120">
        <f t="shared" si="8"/>
        <v>10</v>
      </c>
      <c r="C31" s="115"/>
      <c r="D31" s="218">
        <f>FACTORES!F49</f>
        <v>14321.05</v>
      </c>
      <c r="E31" s="218">
        <f>FACTORES!G49</f>
        <v>14329.95</v>
      </c>
      <c r="F31" s="218">
        <f t="shared" si="0"/>
        <v>20718.670000000002</v>
      </c>
      <c r="G31" s="218">
        <f t="shared" si="1"/>
        <v>20730.18</v>
      </c>
      <c r="H31" s="218">
        <f t="shared" si="3"/>
        <v>20718.670000000002</v>
      </c>
      <c r="I31" s="218">
        <f t="shared" si="4"/>
        <v>20730.18</v>
      </c>
      <c r="J31" s="218">
        <f t="shared" si="5"/>
        <v>24033.657200000001</v>
      </c>
      <c r="K31" s="218">
        <f t="shared" si="6"/>
        <v>24047.0088</v>
      </c>
      <c r="L31" s="79"/>
      <c r="M31" s="218">
        <f t="shared" si="7"/>
        <v>24033.656611300001</v>
      </c>
      <c r="N31" s="218">
        <f t="shared" si="2"/>
        <v>24047.0039947</v>
      </c>
      <c r="O31" s="159"/>
      <c r="P31" s="159"/>
    </row>
    <row r="32" spans="2:16" s="37" customFormat="1" ht="15" hidden="1" customHeight="1">
      <c r="B32" s="120">
        <f t="shared" si="8"/>
        <v>11</v>
      </c>
      <c r="C32" s="115"/>
      <c r="D32" s="218">
        <f>FACTORES!F50</f>
        <v>14239.16</v>
      </c>
      <c r="E32" s="218">
        <f>FACTORES!G50</f>
        <v>14109.83</v>
      </c>
      <c r="F32" s="218">
        <f t="shared" si="0"/>
        <v>20612.8</v>
      </c>
      <c r="G32" s="218">
        <f t="shared" si="1"/>
        <v>20445.59</v>
      </c>
      <c r="H32" s="218">
        <f t="shared" si="3"/>
        <v>20612.8</v>
      </c>
      <c r="I32" s="218">
        <f t="shared" si="4"/>
        <v>20445.59</v>
      </c>
      <c r="J32" s="218">
        <f t="shared" si="5"/>
        <v>23910.847999999998</v>
      </c>
      <c r="K32" s="218">
        <f t="shared" si="6"/>
        <v>23716.884399999999</v>
      </c>
      <c r="L32" s="79"/>
      <c r="M32" s="218">
        <f t="shared" si="7"/>
        <v>23910.845686959994</v>
      </c>
      <c r="N32" s="218">
        <f t="shared" si="2"/>
        <v>23716.888709979998</v>
      </c>
      <c r="O32" s="159"/>
      <c r="P32" s="159"/>
    </row>
    <row r="33" spans="2:16" s="37" customFormat="1" ht="15" hidden="1" customHeight="1">
      <c r="B33" s="120">
        <f t="shared" si="8"/>
        <v>12</v>
      </c>
      <c r="C33" s="115"/>
      <c r="D33" s="218">
        <f>FACTORES!F51</f>
        <v>14173.53</v>
      </c>
      <c r="E33" s="218">
        <f>FACTORES!G51</f>
        <v>14302.71</v>
      </c>
      <c r="F33" s="218">
        <f t="shared" si="0"/>
        <v>20527.95</v>
      </c>
      <c r="G33" s="218">
        <f t="shared" si="1"/>
        <v>20694.96</v>
      </c>
      <c r="H33" s="218">
        <f t="shared" si="3"/>
        <v>20527.95</v>
      </c>
      <c r="I33" s="218">
        <f t="shared" si="4"/>
        <v>20694.96</v>
      </c>
      <c r="J33" s="218">
        <f t="shared" si="5"/>
        <v>23812.421999999999</v>
      </c>
      <c r="K33" s="218">
        <f t="shared" si="6"/>
        <v>24006.153599999998</v>
      </c>
      <c r="L33" s="79"/>
      <c r="M33" s="218">
        <f t="shared" si="7"/>
        <v>23812.419982179999</v>
      </c>
      <c r="N33" s="218">
        <f t="shared" si="2"/>
        <v>24006.152003259998</v>
      </c>
      <c r="O33" s="159"/>
      <c r="P33" s="159"/>
    </row>
    <row r="34" spans="2:16" s="37" customFormat="1" ht="15" hidden="1" customHeight="1">
      <c r="B34" s="120">
        <f t="shared" si="8"/>
        <v>13</v>
      </c>
      <c r="C34" s="115"/>
      <c r="D34" s="218">
        <f>FACTORES!F52</f>
        <v>14075.68</v>
      </c>
      <c r="E34" s="218">
        <f>FACTORES!G52</f>
        <v>14208.62</v>
      </c>
      <c r="F34" s="218">
        <f t="shared" si="0"/>
        <v>20401.440000000002</v>
      </c>
      <c r="G34" s="218">
        <f t="shared" si="1"/>
        <v>20573.310000000001</v>
      </c>
      <c r="H34" s="218">
        <f t="shared" si="3"/>
        <v>20401.440000000002</v>
      </c>
      <c r="I34" s="218">
        <f t="shared" si="4"/>
        <v>20573.310000000001</v>
      </c>
      <c r="J34" s="218">
        <f t="shared" si="5"/>
        <v>23665.670400000003</v>
      </c>
      <c r="K34" s="218">
        <f t="shared" si="6"/>
        <v>23865.0396</v>
      </c>
      <c r="L34" s="79"/>
      <c r="M34" s="218">
        <f t="shared" si="7"/>
        <v>23665.673750080001</v>
      </c>
      <c r="N34" s="218">
        <f t="shared" si="2"/>
        <v>23865.044665720001</v>
      </c>
      <c r="O34" s="159"/>
      <c r="P34" s="159"/>
    </row>
    <row r="35" spans="2:16" s="37" customFormat="1" ht="15" hidden="1" customHeight="1">
      <c r="B35" s="120">
        <f t="shared" si="8"/>
        <v>14</v>
      </c>
      <c r="C35" s="115"/>
      <c r="D35" s="218">
        <f>FACTORES!F53</f>
        <v>13710.21</v>
      </c>
      <c r="E35" s="218">
        <f>FACTORES!G53</f>
        <v>13919.31</v>
      </c>
      <c r="F35" s="218">
        <f t="shared" si="0"/>
        <v>19928.940000000002</v>
      </c>
      <c r="G35" s="218">
        <f t="shared" si="1"/>
        <v>20199.280000000002</v>
      </c>
      <c r="H35" s="218">
        <f t="shared" si="3"/>
        <v>19928.940000000002</v>
      </c>
      <c r="I35" s="218">
        <f t="shared" si="4"/>
        <v>20199.280000000002</v>
      </c>
      <c r="J35" s="218">
        <f t="shared" si="5"/>
        <v>23117.570400000001</v>
      </c>
      <c r="K35" s="218">
        <f t="shared" si="6"/>
        <v>23431.164800000002</v>
      </c>
      <c r="M35" s="218">
        <f t="shared" si="7"/>
        <v>23117.576198259998</v>
      </c>
      <c r="N35" s="218">
        <f t="shared" si="2"/>
        <v>23431.164722860001</v>
      </c>
      <c r="O35" s="81"/>
    </row>
    <row r="36" spans="2:16" s="37" customFormat="1" ht="15" hidden="1" customHeight="1">
      <c r="B36" s="120">
        <f t="shared" si="8"/>
        <v>15</v>
      </c>
      <c r="C36" s="115"/>
      <c r="D36" s="218">
        <f>FACTORES!F54</f>
        <v>13766.06</v>
      </c>
      <c r="E36" s="218">
        <f>FACTORES!G54</f>
        <v>13693.41</v>
      </c>
      <c r="F36" s="218">
        <f t="shared" si="0"/>
        <v>20001.150000000001</v>
      </c>
      <c r="G36" s="218">
        <f t="shared" si="1"/>
        <v>19907.23</v>
      </c>
      <c r="H36" s="218">
        <f t="shared" si="3"/>
        <v>20001.150000000001</v>
      </c>
      <c r="I36" s="218">
        <f t="shared" si="4"/>
        <v>19907.23</v>
      </c>
      <c r="J36" s="218">
        <f t="shared" si="5"/>
        <v>23201.333999999999</v>
      </c>
      <c r="K36" s="218">
        <f t="shared" si="6"/>
        <v>23092.386799999997</v>
      </c>
      <c r="M36" s="218">
        <f t="shared" si="7"/>
        <v>23201.334778359997</v>
      </c>
      <c r="N36" s="218">
        <f t="shared" si="2"/>
        <v>23092.381137460001</v>
      </c>
      <c r="O36" s="81"/>
    </row>
    <row r="37" spans="2:16" s="37" customFormat="1" ht="15" hidden="1" customHeight="1">
      <c r="B37" s="120">
        <f t="shared" si="8"/>
        <v>16</v>
      </c>
      <c r="C37" s="115"/>
      <c r="D37" s="218">
        <f>FACTORES!F55</f>
        <v>13508.63</v>
      </c>
      <c r="E37" s="218">
        <f>FACTORES!G55</f>
        <v>13174.1</v>
      </c>
      <c r="F37" s="218">
        <f t="shared" si="0"/>
        <v>19668.330000000002</v>
      </c>
      <c r="G37" s="218">
        <f t="shared" si="1"/>
        <v>19235.84</v>
      </c>
      <c r="H37" s="218">
        <f t="shared" si="3"/>
        <v>19668.330000000002</v>
      </c>
      <c r="I37" s="218">
        <f t="shared" si="4"/>
        <v>19235.84</v>
      </c>
      <c r="J37" s="218">
        <f t="shared" si="5"/>
        <v>22815.2628</v>
      </c>
      <c r="K37" s="218">
        <f t="shared" si="6"/>
        <v>22313.574399999998</v>
      </c>
      <c r="M37" s="218">
        <f t="shared" si="7"/>
        <v>22815.26546278</v>
      </c>
      <c r="N37" s="218">
        <f t="shared" si="2"/>
        <v>22313.568814599999</v>
      </c>
      <c r="O37" s="81"/>
    </row>
    <row r="38" spans="2:16" s="37" customFormat="1" ht="15" hidden="1" customHeight="1">
      <c r="B38" s="120">
        <f t="shared" si="8"/>
        <v>17</v>
      </c>
      <c r="C38" s="115"/>
      <c r="D38" s="218">
        <f>FACTORES!F56</f>
        <v>13582.96</v>
      </c>
      <c r="E38" s="218">
        <f>FACTORES!G56</f>
        <v>13382.85</v>
      </c>
      <c r="F38" s="218">
        <f t="shared" si="0"/>
        <v>19764.43</v>
      </c>
      <c r="G38" s="218">
        <f t="shared" si="1"/>
        <v>19505.72</v>
      </c>
      <c r="H38" s="218">
        <f t="shared" si="3"/>
        <v>19764.43</v>
      </c>
      <c r="I38" s="218">
        <f t="shared" si="4"/>
        <v>19505.72</v>
      </c>
      <c r="J38" s="218">
        <f t="shared" si="5"/>
        <v>22926.738799999999</v>
      </c>
      <c r="K38" s="218">
        <f t="shared" si="6"/>
        <v>22626.635200000001</v>
      </c>
      <c r="M38" s="218">
        <f t="shared" si="7"/>
        <v>22926.738609759999</v>
      </c>
      <c r="N38" s="218">
        <f t="shared" si="2"/>
        <v>22626.632442099999</v>
      </c>
      <c r="O38" s="81"/>
    </row>
    <row r="39" spans="2:16" s="37" customFormat="1" ht="15" hidden="1" customHeight="1">
      <c r="B39" s="120">
        <f t="shared" si="8"/>
        <v>18</v>
      </c>
      <c r="C39" s="115"/>
      <c r="D39" s="218">
        <f>FACTORES!F57</f>
        <v>13980.3</v>
      </c>
      <c r="E39" s="218">
        <f>FACTORES!G57</f>
        <v>12644.51</v>
      </c>
      <c r="F39" s="218">
        <f t="shared" ref="F39:F70" si="9">ROUND(D39*$G$5*$G$6*$G$7*$G$11*$G$12*$G$8,2)+ADIC+DENTAL+IKE+CVISION</f>
        <v>20278.13</v>
      </c>
      <c r="G39" s="410">
        <f t="shared" ref="G39:G75" si="10">ROUND(E39*$G$5*$G$6*$G$7*$G$11*$G$12*$G$8,2)+ADIC+DENTAL+IKE+PARTO+CVISION</f>
        <v>22095.38</v>
      </c>
      <c r="H39" s="218">
        <f t="shared" si="3"/>
        <v>20278.13</v>
      </c>
      <c r="I39" s="218">
        <f t="shared" si="4"/>
        <v>22095.38</v>
      </c>
      <c r="J39" s="218">
        <f t="shared" si="5"/>
        <v>23522.630799999999</v>
      </c>
      <c r="K39" s="218">
        <f t="shared" si="6"/>
        <v>25630.640800000001</v>
      </c>
      <c r="M39" s="218">
        <f t="shared" si="7"/>
        <v>23522.631791799999</v>
      </c>
      <c r="N39" s="218">
        <f t="shared" si="2"/>
        <v>21519.339514060001</v>
      </c>
      <c r="O39" s="81"/>
    </row>
    <row r="40" spans="2:16" s="37" customFormat="1" ht="15" hidden="1" customHeight="1">
      <c r="B40" s="120">
        <f t="shared" si="8"/>
        <v>19</v>
      </c>
      <c r="C40" s="115"/>
      <c r="D40" s="218">
        <f>FACTORES!F58</f>
        <v>14454.88</v>
      </c>
      <c r="E40" s="218">
        <f>FACTORES!G58</f>
        <v>12832.46</v>
      </c>
      <c r="F40" s="218">
        <f t="shared" si="9"/>
        <v>20891.690000000002</v>
      </c>
      <c r="G40" s="410">
        <f t="shared" si="10"/>
        <v>22338.38</v>
      </c>
      <c r="H40" s="218">
        <f t="shared" si="3"/>
        <v>20891.690000000002</v>
      </c>
      <c r="I40" s="218">
        <f t="shared" si="4"/>
        <v>22338.38</v>
      </c>
      <c r="J40" s="218">
        <f t="shared" si="5"/>
        <v>24234.360400000001</v>
      </c>
      <c r="K40" s="218">
        <f t="shared" si="6"/>
        <v>25912.520799999998</v>
      </c>
      <c r="M40" s="218">
        <f t="shared" si="7"/>
        <v>24234.362265279997</v>
      </c>
      <c r="N40" s="218">
        <f t="shared" si="2"/>
        <v>21801.209256759998</v>
      </c>
      <c r="O40" s="81"/>
    </row>
    <row r="41" spans="2:16" s="37" customFormat="1" ht="15" hidden="1" customHeight="1">
      <c r="B41" s="120">
        <f t="shared" si="8"/>
        <v>20</v>
      </c>
      <c r="C41" s="115"/>
      <c r="D41" s="218">
        <f>FACTORES!F59</f>
        <v>14893.49</v>
      </c>
      <c r="E41" s="218">
        <f>FACTORES!G59</f>
        <v>14891.06</v>
      </c>
      <c r="F41" s="218">
        <f t="shared" si="9"/>
        <v>21458.75</v>
      </c>
      <c r="G41" s="410">
        <f t="shared" si="10"/>
        <v>24999.84</v>
      </c>
      <c r="H41" s="218">
        <f t="shared" si="3"/>
        <v>21458.75</v>
      </c>
      <c r="I41" s="218">
        <f t="shared" si="4"/>
        <v>24999.84</v>
      </c>
      <c r="J41" s="218">
        <f t="shared" si="5"/>
        <v>24892.149999999998</v>
      </c>
      <c r="K41" s="218">
        <f t="shared" si="6"/>
        <v>28999.814399999999</v>
      </c>
      <c r="M41" s="218">
        <f t="shared" si="7"/>
        <v>24892.148313940001</v>
      </c>
      <c r="N41" s="218">
        <f t="shared" si="2"/>
        <v>24888.504028359996</v>
      </c>
      <c r="O41" s="81"/>
    </row>
    <row r="42" spans="2:16" s="37" customFormat="1" ht="15" hidden="1" customHeight="1">
      <c r="B42" s="120">
        <f t="shared" si="8"/>
        <v>21</v>
      </c>
      <c r="C42" s="115"/>
      <c r="D42" s="218">
        <f>FACTORES!F60</f>
        <v>15677.1</v>
      </c>
      <c r="E42" s="218">
        <f>FACTORES!G60</f>
        <v>19309.45</v>
      </c>
      <c r="F42" s="218">
        <f t="shared" si="9"/>
        <v>22471.84</v>
      </c>
      <c r="G42" s="410">
        <f t="shared" si="10"/>
        <v>30712.15</v>
      </c>
      <c r="H42" s="218">
        <f t="shared" si="3"/>
        <v>22471.84</v>
      </c>
      <c r="I42" s="218">
        <f t="shared" si="4"/>
        <v>30712.15</v>
      </c>
      <c r="J42" s="218">
        <f t="shared" si="5"/>
        <v>26067.3344</v>
      </c>
      <c r="K42" s="218">
        <f t="shared" si="6"/>
        <v>35626.093999999997</v>
      </c>
      <c r="M42" s="218">
        <f t="shared" si="7"/>
        <v>26067.332932599998</v>
      </c>
      <c r="N42" s="218">
        <f t="shared" si="2"/>
        <v>31514.790021699999</v>
      </c>
      <c r="O42" s="81"/>
    </row>
    <row r="43" spans="2:16" s="37" customFormat="1" ht="15" hidden="1" customHeight="1">
      <c r="B43" s="120">
        <f t="shared" si="8"/>
        <v>22</v>
      </c>
      <c r="C43" s="115"/>
      <c r="D43" s="218">
        <f>FACTORES!F61</f>
        <v>16380.25</v>
      </c>
      <c r="E43" s="218">
        <f>FACTORES!G61</f>
        <v>20242.599999999999</v>
      </c>
      <c r="F43" s="218">
        <f t="shared" si="9"/>
        <v>23380.91</v>
      </c>
      <c r="G43" s="410">
        <f t="shared" si="10"/>
        <v>31918.58</v>
      </c>
      <c r="H43" s="218">
        <f t="shared" si="3"/>
        <v>23380.91</v>
      </c>
      <c r="I43" s="218">
        <f t="shared" si="4"/>
        <v>31918.58</v>
      </c>
      <c r="J43" s="218">
        <f t="shared" si="5"/>
        <v>27121.855599999999</v>
      </c>
      <c r="K43" s="218">
        <f t="shared" si="6"/>
        <v>37025.552799999998</v>
      </c>
      <c r="M43" s="218">
        <f t="shared" si="7"/>
        <v>27121.8512065</v>
      </c>
      <c r="N43" s="218">
        <f t="shared" si="2"/>
        <v>32914.240675599998</v>
      </c>
      <c r="O43" s="81"/>
    </row>
    <row r="44" spans="2:16" s="37" customFormat="1" ht="15" hidden="1" customHeight="1">
      <c r="B44" s="120">
        <f t="shared" si="8"/>
        <v>23</v>
      </c>
      <c r="C44" s="115"/>
      <c r="D44" s="218">
        <f>FACTORES!F62</f>
        <v>17461.62</v>
      </c>
      <c r="E44" s="218">
        <f>FACTORES!G62</f>
        <v>21211.49</v>
      </c>
      <c r="F44" s="218">
        <f t="shared" si="9"/>
        <v>24778.959999999999</v>
      </c>
      <c r="G44" s="410">
        <f t="shared" si="10"/>
        <v>33171.200000000004</v>
      </c>
      <c r="H44" s="218">
        <f t="shared" si="3"/>
        <v>24778.959999999999</v>
      </c>
      <c r="I44" s="218">
        <f t="shared" si="4"/>
        <v>33171.200000000004</v>
      </c>
      <c r="J44" s="218">
        <f t="shared" si="5"/>
        <v>28743.593599999997</v>
      </c>
      <c r="K44" s="218">
        <f t="shared" si="6"/>
        <v>38478.592000000004</v>
      </c>
      <c r="M44" s="218">
        <f t="shared" si="7"/>
        <v>28743.588283719993</v>
      </c>
      <c r="N44" s="218">
        <f t="shared" si="2"/>
        <v>34367.290821939998</v>
      </c>
      <c r="O44" s="81"/>
    </row>
    <row r="45" spans="2:16" s="37" customFormat="1" ht="15" hidden="1" customHeight="1">
      <c r="B45" s="120">
        <f t="shared" si="8"/>
        <v>24</v>
      </c>
      <c r="C45" s="115"/>
      <c r="D45" s="218">
        <f>FACTORES!F63</f>
        <v>18187.75</v>
      </c>
      <c r="E45" s="218">
        <f>FACTORES!G63</f>
        <v>22221.89</v>
      </c>
      <c r="F45" s="218">
        <f t="shared" si="9"/>
        <v>25717.73</v>
      </c>
      <c r="G45" s="410">
        <f t="shared" si="10"/>
        <v>34477.5</v>
      </c>
      <c r="H45" s="218">
        <f t="shared" si="3"/>
        <v>25717.73</v>
      </c>
      <c r="I45" s="218">
        <f t="shared" si="4"/>
        <v>34477.5</v>
      </c>
      <c r="J45" s="218">
        <f t="shared" si="5"/>
        <v>29832.566799999997</v>
      </c>
      <c r="K45" s="218">
        <f t="shared" si="6"/>
        <v>39993.899999999994</v>
      </c>
      <c r="M45" s="218">
        <f t="shared" si="7"/>
        <v>29832.569801499998</v>
      </c>
      <c r="N45" s="218">
        <f t="shared" si="2"/>
        <v>35882.593764339996</v>
      </c>
      <c r="O45" s="81"/>
    </row>
    <row r="46" spans="2:16" s="37" customFormat="1" ht="15" hidden="1" customHeight="1">
      <c r="B46" s="120">
        <f t="shared" si="8"/>
        <v>25</v>
      </c>
      <c r="C46" s="115"/>
      <c r="D46" s="218">
        <f>FACTORES!F64</f>
        <v>18906.13</v>
      </c>
      <c r="E46" s="218">
        <f>FACTORES!G64</f>
        <v>23264.07</v>
      </c>
      <c r="F46" s="218">
        <f t="shared" si="9"/>
        <v>26646.49</v>
      </c>
      <c r="G46" s="410">
        <f t="shared" si="10"/>
        <v>35824.880000000005</v>
      </c>
      <c r="H46" s="218">
        <f t="shared" si="3"/>
        <v>26646.49</v>
      </c>
      <c r="I46" s="218">
        <f t="shared" si="4"/>
        <v>35824.880000000005</v>
      </c>
      <c r="J46" s="218">
        <f t="shared" si="5"/>
        <v>30909.928400000001</v>
      </c>
      <c r="K46" s="218">
        <f t="shared" si="6"/>
        <v>41556.860800000002</v>
      </c>
      <c r="M46" s="218">
        <f t="shared" si="7"/>
        <v>30909.928597779999</v>
      </c>
      <c r="N46" s="218">
        <f t="shared" si="2"/>
        <v>37445.557363419997</v>
      </c>
    </row>
    <row r="47" spans="2:16" s="37" customFormat="1" ht="15" hidden="1" customHeight="1">
      <c r="B47" s="120">
        <f t="shared" si="8"/>
        <v>26</v>
      </c>
      <c r="C47" s="115"/>
      <c r="D47" s="218">
        <f>FACTORES!F65</f>
        <v>20189.63</v>
      </c>
      <c r="E47" s="218">
        <f>FACTORES!G65</f>
        <v>24378.75</v>
      </c>
      <c r="F47" s="218">
        <f t="shared" si="9"/>
        <v>28305.86</v>
      </c>
      <c r="G47" s="410">
        <f t="shared" si="10"/>
        <v>37266</v>
      </c>
      <c r="H47" s="218">
        <f t="shared" si="3"/>
        <v>28305.86</v>
      </c>
      <c r="I47" s="218">
        <f t="shared" si="4"/>
        <v>37266</v>
      </c>
      <c r="J47" s="218">
        <f t="shared" si="5"/>
        <v>32834.797599999998</v>
      </c>
      <c r="K47" s="218">
        <f t="shared" si="6"/>
        <v>43228.56</v>
      </c>
      <c r="M47" s="218">
        <f t="shared" si="7"/>
        <v>32834.801248780001</v>
      </c>
      <c r="N47" s="218">
        <f t="shared" si="2"/>
        <v>39117.249647499993</v>
      </c>
    </row>
    <row r="48" spans="2:16" s="37" customFormat="1" ht="15" hidden="1" customHeight="1">
      <c r="B48" s="120">
        <f t="shared" si="8"/>
        <v>27</v>
      </c>
      <c r="C48" s="115"/>
      <c r="D48" s="218">
        <f>FACTORES!F66</f>
        <v>21078.95</v>
      </c>
      <c r="E48" s="218">
        <f>FACTORES!G66</f>
        <v>25505.040000000001</v>
      </c>
      <c r="F48" s="218">
        <f t="shared" si="9"/>
        <v>29455.62</v>
      </c>
      <c r="G48" s="410">
        <f t="shared" si="10"/>
        <v>38722.120000000003</v>
      </c>
      <c r="H48" s="218">
        <f t="shared" si="3"/>
        <v>29455.62</v>
      </c>
      <c r="I48" s="218">
        <f t="shared" si="4"/>
        <v>38722.120000000003</v>
      </c>
      <c r="J48" s="218">
        <f t="shared" si="5"/>
        <v>34168.519199999995</v>
      </c>
      <c r="K48" s="218">
        <f t="shared" si="6"/>
        <v>44917.659200000002</v>
      </c>
      <c r="M48" s="218">
        <f t="shared" si="7"/>
        <v>34168.519788700003</v>
      </c>
      <c r="N48" s="218">
        <f t="shared" si="2"/>
        <v>40806.353518239994</v>
      </c>
    </row>
    <row r="49" spans="2:14" s="37" customFormat="1" ht="15" hidden="1" customHeight="1">
      <c r="B49" s="120">
        <f t="shared" si="8"/>
        <v>28</v>
      </c>
      <c r="C49" s="115"/>
      <c r="D49" s="218">
        <f>FACTORES!F67</f>
        <v>22330.12</v>
      </c>
      <c r="E49" s="218">
        <f>FACTORES!G67</f>
        <v>26716.93</v>
      </c>
      <c r="F49" s="218">
        <f t="shared" si="9"/>
        <v>31073.200000000001</v>
      </c>
      <c r="G49" s="410">
        <f t="shared" si="10"/>
        <v>40288.910000000003</v>
      </c>
      <c r="H49" s="218">
        <f t="shared" si="3"/>
        <v>31073.200000000001</v>
      </c>
      <c r="I49" s="218">
        <f t="shared" si="4"/>
        <v>40288.910000000003</v>
      </c>
      <c r="J49" s="218">
        <f t="shared" si="5"/>
        <v>36044.911999999997</v>
      </c>
      <c r="K49" s="218">
        <f t="shared" si="6"/>
        <v>46735.135600000001</v>
      </c>
      <c r="M49" s="218">
        <f t="shared" si="7"/>
        <v>36044.906944719994</v>
      </c>
      <c r="N49" s="218">
        <f t="shared" si="2"/>
        <v>42623.832222579993</v>
      </c>
    </row>
    <row r="50" spans="2:14" s="37" customFormat="1" ht="15" hidden="1" customHeight="1">
      <c r="B50" s="120">
        <f t="shared" si="8"/>
        <v>29</v>
      </c>
      <c r="C50" s="115"/>
      <c r="D50" s="218">
        <f>FACTORES!F68</f>
        <v>23492</v>
      </c>
      <c r="E50" s="218">
        <f>FACTORES!G68</f>
        <v>27949.97</v>
      </c>
      <c r="F50" s="218">
        <f t="shared" si="9"/>
        <v>32575.33</v>
      </c>
      <c r="G50" s="410">
        <f t="shared" si="10"/>
        <v>41883.050000000003</v>
      </c>
      <c r="H50" s="218">
        <f t="shared" si="3"/>
        <v>32575.33</v>
      </c>
      <c r="I50" s="218">
        <f t="shared" si="4"/>
        <v>41883.050000000003</v>
      </c>
      <c r="J50" s="218">
        <f t="shared" si="5"/>
        <v>37787.382799999999</v>
      </c>
      <c r="K50" s="218">
        <f t="shared" si="6"/>
        <v>48584.338000000003</v>
      </c>
      <c r="M50" s="218">
        <f t="shared" si="7"/>
        <v>37787.385351999998</v>
      </c>
      <c r="N50" s="218">
        <f t="shared" si="2"/>
        <v>44473.029708819995</v>
      </c>
    </row>
    <row r="51" spans="2:14" s="37" customFormat="1" ht="15" hidden="1" customHeight="1">
      <c r="B51" s="120">
        <f t="shared" si="8"/>
        <v>30</v>
      </c>
      <c r="C51" s="115"/>
      <c r="D51" s="218">
        <f>FACTORES!F69</f>
        <v>24582.21</v>
      </c>
      <c r="E51" s="218">
        <f>FACTORES!G69</f>
        <v>29276.31</v>
      </c>
      <c r="F51" s="218">
        <f t="shared" si="9"/>
        <v>33984.81</v>
      </c>
      <c r="G51" s="410">
        <f t="shared" si="10"/>
        <v>43597.81</v>
      </c>
      <c r="H51" s="218">
        <f t="shared" si="3"/>
        <v>33984.81</v>
      </c>
      <c r="I51" s="218">
        <f t="shared" si="4"/>
        <v>43597.81</v>
      </c>
      <c r="J51" s="218">
        <f t="shared" si="5"/>
        <v>39422.379599999993</v>
      </c>
      <c r="K51" s="218">
        <f t="shared" si="6"/>
        <v>50573.459599999995</v>
      </c>
      <c r="M51" s="218">
        <f t="shared" si="7"/>
        <v>39422.379830260004</v>
      </c>
      <c r="N51" s="218">
        <f t="shared" si="2"/>
        <v>46462.149764859991</v>
      </c>
    </row>
    <row r="52" spans="2:14" s="37" customFormat="1" ht="15" hidden="1" customHeight="1">
      <c r="B52" s="120">
        <f t="shared" si="8"/>
        <v>31</v>
      </c>
      <c r="C52" s="115"/>
      <c r="D52" s="218">
        <f>FACTORES!F70</f>
        <v>25603.29</v>
      </c>
      <c r="E52" s="218">
        <f>FACTORES!G70</f>
        <v>30645.16</v>
      </c>
      <c r="F52" s="218">
        <f t="shared" si="9"/>
        <v>35304.909999999996</v>
      </c>
      <c r="G52" s="410">
        <f t="shared" si="10"/>
        <v>45367.53</v>
      </c>
      <c r="H52" s="218">
        <f t="shared" si="3"/>
        <v>35304.909999999996</v>
      </c>
      <c r="I52" s="218">
        <f t="shared" si="4"/>
        <v>45367.53</v>
      </c>
      <c r="J52" s="218">
        <f t="shared" si="5"/>
        <v>40953.695599999992</v>
      </c>
      <c r="K52" s="218">
        <f t="shared" si="6"/>
        <v>52626.334799999997</v>
      </c>
      <c r="M52" s="218">
        <f t="shared" si="7"/>
        <v>40953.699632739997</v>
      </c>
      <c r="N52" s="218">
        <f t="shared" si="2"/>
        <v>48515.022322959994</v>
      </c>
    </row>
    <row r="53" spans="2:14" s="37" customFormat="1" ht="15" hidden="1" customHeight="1">
      <c r="B53" s="120">
        <f t="shared" si="8"/>
        <v>32</v>
      </c>
      <c r="C53" s="115"/>
      <c r="D53" s="218">
        <f>FACTORES!F71</f>
        <v>27174.21</v>
      </c>
      <c r="E53" s="218">
        <f>FACTORES!G71</f>
        <v>32056.799999999999</v>
      </c>
      <c r="F53" s="218">
        <f t="shared" si="9"/>
        <v>37335.879999999997</v>
      </c>
      <c r="G53" s="410">
        <f t="shared" si="10"/>
        <v>47192.56</v>
      </c>
      <c r="H53" s="218">
        <f t="shared" si="3"/>
        <v>37335.879999999997</v>
      </c>
      <c r="I53" s="218">
        <f t="shared" si="4"/>
        <v>47192.56</v>
      </c>
      <c r="J53" s="218">
        <f t="shared" si="5"/>
        <v>43309.620799999997</v>
      </c>
      <c r="K53" s="218">
        <f t="shared" si="6"/>
        <v>54743.369599999991</v>
      </c>
      <c r="M53" s="218">
        <f t="shared" ref="M53:M84" si="11">(D53*$G$5*$G$6*$G$7*$G$11*$G$12*$G$8+(ADIC+DENTAL+CVISION+IKE)*(1-DESC))*(1+IVA)</f>
        <v>43309.617782259993</v>
      </c>
      <c r="N53" s="218">
        <f t="shared" ref="N53:N84" si="12">(E53*$G$5*$G$6*$G$7*$G$11*$G$12*$G$8+(ADIC+DENTAL+CVISION+IKE)*(1-DESC))*(1+IVA)</f>
        <v>50632.067300799994</v>
      </c>
    </row>
    <row r="54" spans="2:14" s="37" customFormat="1" ht="15" hidden="1" customHeight="1">
      <c r="B54" s="120">
        <f t="shared" si="8"/>
        <v>33</v>
      </c>
      <c r="C54" s="115"/>
      <c r="D54" s="218">
        <f>FACTORES!F72</f>
        <v>28158.080000000002</v>
      </c>
      <c r="E54" s="218">
        <f>FACTORES!G72</f>
        <v>33227.370000000003</v>
      </c>
      <c r="F54" s="218">
        <f t="shared" si="9"/>
        <v>38607.869999999995</v>
      </c>
      <c r="G54" s="410">
        <f t="shared" si="10"/>
        <v>48705.94</v>
      </c>
      <c r="H54" s="218">
        <f t="shared" si="3"/>
        <v>38607.869999999995</v>
      </c>
      <c r="I54" s="218">
        <f t="shared" si="4"/>
        <v>48705.94</v>
      </c>
      <c r="J54" s="218">
        <f t="shared" si="5"/>
        <v>44785.129199999988</v>
      </c>
      <c r="K54" s="218">
        <f t="shared" si="6"/>
        <v>56498.890399999997</v>
      </c>
      <c r="M54" s="218">
        <f t="shared" si="11"/>
        <v>44785.133524479992</v>
      </c>
      <c r="N54" s="218">
        <f t="shared" si="12"/>
        <v>52387.578153219998</v>
      </c>
    </row>
    <row r="55" spans="2:14" s="37" customFormat="1" ht="15" hidden="1" customHeight="1">
      <c r="B55" s="120">
        <f t="shared" si="8"/>
        <v>34</v>
      </c>
      <c r="C55" s="115"/>
      <c r="D55" s="218">
        <f>FACTORES!F73</f>
        <v>29765.87</v>
      </c>
      <c r="E55" s="218">
        <f>FACTORES!G73</f>
        <v>34764.6</v>
      </c>
      <c r="F55" s="218">
        <f t="shared" si="9"/>
        <v>40686.509999999995</v>
      </c>
      <c r="G55" s="410">
        <f t="shared" si="10"/>
        <v>50693.340000000004</v>
      </c>
      <c r="H55" s="218">
        <f t="shared" si="3"/>
        <v>40686.509999999995</v>
      </c>
      <c r="I55" s="218">
        <f t="shared" si="4"/>
        <v>50693.340000000004</v>
      </c>
      <c r="J55" s="218">
        <f t="shared" si="5"/>
        <v>47196.351599999987</v>
      </c>
      <c r="K55" s="218">
        <f t="shared" si="6"/>
        <v>58804.274400000002</v>
      </c>
      <c r="M55" s="218">
        <f t="shared" si="11"/>
        <v>47196.345834219996</v>
      </c>
      <c r="N55" s="218">
        <f t="shared" si="12"/>
        <v>54692.971207599985</v>
      </c>
    </row>
    <row r="56" spans="2:14" s="37" customFormat="1" ht="15" hidden="1" customHeight="1">
      <c r="B56" s="120">
        <f t="shared" si="8"/>
        <v>35</v>
      </c>
      <c r="C56" s="115"/>
      <c r="D56" s="218">
        <f>FACTORES!F74</f>
        <v>31438.799999999999</v>
      </c>
      <c r="E56" s="218">
        <f>FACTORES!G74</f>
        <v>36381.39</v>
      </c>
      <c r="F56" s="218">
        <f t="shared" si="9"/>
        <v>42849.35</v>
      </c>
      <c r="G56" s="410">
        <f t="shared" si="10"/>
        <v>52783.61</v>
      </c>
      <c r="H56" s="218">
        <f t="shared" si="3"/>
        <v>42849.35</v>
      </c>
      <c r="I56" s="218">
        <f t="shared" si="4"/>
        <v>52783.61</v>
      </c>
      <c r="J56" s="218">
        <f t="shared" si="5"/>
        <v>49705.245999999992</v>
      </c>
      <c r="K56" s="218">
        <f t="shared" si="6"/>
        <v>61228.987599999993</v>
      </c>
      <c r="M56" s="218">
        <f t="shared" si="11"/>
        <v>49705.248992799992</v>
      </c>
      <c r="N56" s="218">
        <f t="shared" si="12"/>
        <v>57117.680871339995</v>
      </c>
    </row>
    <row r="57" spans="2:14" s="37" customFormat="1" ht="15" hidden="1" customHeight="1">
      <c r="B57" s="120">
        <f t="shared" si="8"/>
        <v>36</v>
      </c>
      <c r="C57" s="115"/>
      <c r="D57" s="218">
        <f>FACTORES!F75</f>
        <v>32808.54</v>
      </c>
      <c r="E57" s="218">
        <f>FACTORES!G75</f>
        <v>38052.69</v>
      </c>
      <c r="F57" s="218">
        <f t="shared" si="9"/>
        <v>44620.219999999994</v>
      </c>
      <c r="G57" s="410">
        <f t="shared" si="10"/>
        <v>54944.35</v>
      </c>
      <c r="H57" s="218">
        <f t="shared" si="3"/>
        <v>44620.219999999994</v>
      </c>
      <c r="I57" s="218">
        <f t="shared" si="4"/>
        <v>54944.35</v>
      </c>
      <c r="J57" s="218">
        <f t="shared" si="5"/>
        <v>51759.455199999989</v>
      </c>
      <c r="K57" s="218">
        <f t="shared" si="6"/>
        <v>63735.445999999996</v>
      </c>
      <c r="M57" s="218">
        <f t="shared" si="11"/>
        <v>51759.456289239992</v>
      </c>
      <c r="N57" s="218">
        <f t="shared" si="12"/>
        <v>59624.13950913999</v>
      </c>
    </row>
    <row r="58" spans="2:14" s="37" customFormat="1" ht="15" hidden="1" customHeight="1">
      <c r="B58" s="120">
        <f t="shared" si="8"/>
        <v>37</v>
      </c>
      <c r="C58" s="115"/>
      <c r="D58" s="218">
        <f>FACTORES!F76</f>
        <v>34611.839999999997</v>
      </c>
      <c r="E58" s="218">
        <f>FACTORES!G76</f>
        <v>39855.839999999997</v>
      </c>
      <c r="F58" s="218">
        <f t="shared" si="9"/>
        <v>46951.619999999995</v>
      </c>
      <c r="G58" s="410">
        <f t="shared" si="10"/>
        <v>57275.55</v>
      </c>
      <c r="H58" s="218">
        <f t="shared" si="3"/>
        <v>46951.619999999995</v>
      </c>
      <c r="I58" s="218">
        <f t="shared" si="4"/>
        <v>57275.55</v>
      </c>
      <c r="J58" s="218">
        <f t="shared" si="5"/>
        <v>54463.879199999988</v>
      </c>
      <c r="K58" s="218">
        <f t="shared" si="6"/>
        <v>66439.637999999992</v>
      </c>
      <c r="M58" s="218">
        <f t="shared" si="11"/>
        <v>54463.876119039989</v>
      </c>
      <c r="N58" s="218">
        <f t="shared" si="12"/>
        <v>62328.334383039983</v>
      </c>
    </row>
    <row r="59" spans="2:14" s="37" customFormat="1" ht="15" hidden="1" customHeight="1">
      <c r="B59" s="120">
        <f t="shared" si="8"/>
        <v>38</v>
      </c>
      <c r="C59" s="115"/>
      <c r="D59" s="218">
        <f>FACTORES!F77</f>
        <v>36515.81</v>
      </c>
      <c r="E59" s="218">
        <f>FACTORES!G77</f>
        <v>41666.699999999997</v>
      </c>
      <c r="F59" s="218">
        <f t="shared" si="9"/>
        <v>49413.159999999996</v>
      </c>
      <c r="G59" s="410">
        <f t="shared" si="10"/>
        <v>59616.72</v>
      </c>
      <c r="H59" s="218">
        <f t="shared" si="3"/>
        <v>49413.159999999996</v>
      </c>
      <c r="I59" s="218">
        <f t="shared" si="4"/>
        <v>59616.72</v>
      </c>
      <c r="J59" s="218">
        <f t="shared" si="5"/>
        <v>57319.265599999992</v>
      </c>
      <c r="K59" s="218">
        <f t="shared" si="6"/>
        <v>69155.395199999999</v>
      </c>
      <c r="M59" s="218">
        <f t="shared" si="11"/>
        <v>57319.271351859985</v>
      </c>
      <c r="N59" s="218">
        <f t="shared" si="12"/>
        <v>65044.091990199995</v>
      </c>
    </row>
    <row r="60" spans="2:14" s="37" customFormat="1" ht="15" hidden="1" customHeight="1">
      <c r="B60" s="120">
        <f t="shared" si="8"/>
        <v>39</v>
      </c>
      <c r="C60" s="115"/>
      <c r="D60" s="218">
        <f>FACTORES!F78</f>
        <v>38551.629999999997</v>
      </c>
      <c r="E60" s="218">
        <f>FACTORES!G78</f>
        <v>43581.05</v>
      </c>
      <c r="F60" s="218">
        <f t="shared" si="9"/>
        <v>52045.17</v>
      </c>
      <c r="G60" s="410">
        <f t="shared" si="10"/>
        <v>62091.69</v>
      </c>
      <c r="H60" s="218">
        <f t="shared" si="3"/>
        <v>52045.17</v>
      </c>
      <c r="I60" s="218">
        <f t="shared" si="4"/>
        <v>62091.69</v>
      </c>
      <c r="J60" s="218">
        <f t="shared" si="5"/>
        <v>60372.397199999992</v>
      </c>
      <c r="K60" s="218">
        <f t="shared" si="6"/>
        <v>72026.36039999999</v>
      </c>
      <c r="M60" s="218">
        <f t="shared" si="11"/>
        <v>60372.402820779986</v>
      </c>
      <c r="N60" s="218">
        <f t="shared" si="12"/>
        <v>67915.054171299984</v>
      </c>
    </row>
    <row r="61" spans="2:14" s="37" customFormat="1" ht="15" hidden="1" customHeight="1">
      <c r="B61" s="120">
        <f t="shared" si="8"/>
        <v>40</v>
      </c>
      <c r="C61" s="115"/>
      <c r="D61" s="218">
        <f>FACTORES!F79</f>
        <v>39919.589999999997</v>
      </c>
      <c r="E61" s="218">
        <f>FACTORES!G79</f>
        <v>45571.51</v>
      </c>
      <c r="F61" s="218">
        <f t="shared" si="9"/>
        <v>53813.74</v>
      </c>
      <c r="G61" s="410">
        <f t="shared" si="10"/>
        <v>64665.06</v>
      </c>
      <c r="H61" s="218">
        <f t="shared" si="3"/>
        <v>53813.74</v>
      </c>
      <c r="I61" s="218">
        <f t="shared" si="4"/>
        <v>64665.06</v>
      </c>
      <c r="J61" s="218">
        <f t="shared" si="5"/>
        <v>62423.938399999992</v>
      </c>
      <c r="K61" s="218">
        <f t="shared" si="6"/>
        <v>75011.469599999997</v>
      </c>
      <c r="M61" s="218">
        <f t="shared" si="11"/>
        <v>62423.940640539986</v>
      </c>
      <c r="N61" s="218">
        <f t="shared" si="12"/>
        <v>70900.158976059989</v>
      </c>
    </row>
    <row r="62" spans="2:14" s="37" customFormat="1" ht="15" hidden="1" customHeight="1">
      <c r="B62" s="120">
        <f t="shared" si="8"/>
        <v>41</v>
      </c>
      <c r="C62" s="115"/>
      <c r="D62" s="218">
        <f>FACTORES!F80</f>
        <v>41418.559999999998</v>
      </c>
      <c r="E62" s="218">
        <f>FACTORES!G80</f>
        <v>47660.61</v>
      </c>
      <c r="F62" s="218">
        <f t="shared" si="9"/>
        <v>55751.689999999995</v>
      </c>
      <c r="G62" s="410">
        <f t="shared" si="10"/>
        <v>67365.95</v>
      </c>
      <c r="H62" s="218">
        <f t="shared" si="3"/>
        <v>55751.689999999995</v>
      </c>
      <c r="I62" s="218">
        <f t="shared" si="4"/>
        <v>67365.95</v>
      </c>
      <c r="J62" s="218">
        <f t="shared" si="5"/>
        <v>64671.960399999989</v>
      </c>
      <c r="K62" s="218">
        <f t="shared" si="6"/>
        <v>78144.501999999993</v>
      </c>
      <c r="M62" s="218">
        <f t="shared" si="11"/>
        <v>64671.954943359982</v>
      </c>
      <c r="N62" s="218">
        <f t="shared" si="12"/>
        <v>74033.194780659993</v>
      </c>
    </row>
    <row r="63" spans="2:14" s="37" customFormat="1" ht="15" hidden="1" customHeight="1">
      <c r="B63" s="120">
        <f t="shared" si="8"/>
        <v>42</v>
      </c>
      <c r="C63" s="115"/>
      <c r="D63" s="218">
        <f>FACTORES!F81</f>
        <v>43053.54</v>
      </c>
      <c r="E63" s="218">
        <f>FACTORES!G81</f>
        <v>49839.9</v>
      </c>
      <c r="F63" s="218">
        <f t="shared" si="9"/>
        <v>57865.469999999994</v>
      </c>
      <c r="G63" s="410">
        <f t="shared" si="10"/>
        <v>70183.439999999988</v>
      </c>
      <c r="H63" s="218">
        <f t="shared" si="3"/>
        <v>57865.469999999994</v>
      </c>
      <c r="I63" s="218">
        <f t="shared" si="4"/>
        <v>70183.439999999988</v>
      </c>
      <c r="J63" s="218">
        <f t="shared" si="5"/>
        <v>67123.945199999987</v>
      </c>
      <c r="K63" s="218">
        <f t="shared" si="6"/>
        <v>81412.790399999983</v>
      </c>
      <c r="M63" s="218">
        <f t="shared" si="11"/>
        <v>67123.944259240001</v>
      </c>
      <c r="N63" s="218">
        <f t="shared" si="12"/>
        <v>77301.489069400006</v>
      </c>
    </row>
    <row r="64" spans="2:14" s="37" customFormat="1" ht="15" hidden="1" customHeight="1">
      <c r="B64" s="120">
        <f t="shared" si="8"/>
        <v>43</v>
      </c>
      <c r="C64" s="115"/>
      <c r="D64" s="218">
        <f>FACTORES!F82</f>
        <v>44822.69</v>
      </c>
      <c r="E64" s="218">
        <f>FACTORES!G82</f>
        <v>52112.45</v>
      </c>
      <c r="F64" s="218">
        <f t="shared" si="9"/>
        <v>60152.71</v>
      </c>
      <c r="G64" s="410">
        <f t="shared" si="10"/>
        <v>73121.509999999995</v>
      </c>
      <c r="H64" s="218">
        <f t="shared" si="3"/>
        <v>60152.71</v>
      </c>
      <c r="I64" s="218">
        <f t="shared" si="4"/>
        <v>73121.509999999995</v>
      </c>
      <c r="J64" s="218">
        <f t="shared" si="5"/>
        <v>69777.143599999996</v>
      </c>
      <c r="K64" s="218">
        <f t="shared" si="6"/>
        <v>84820.951599999986</v>
      </c>
      <c r="M64" s="218">
        <f t="shared" si="11"/>
        <v>69777.149129139987</v>
      </c>
      <c r="N64" s="218">
        <f t="shared" si="12"/>
        <v>80709.645939699971</v>
      </c>
    </row>
    <row r="65" spans="2:23" s="37" customFormat="1" ht="15" hidden="1" customHeight="1">
      <c r="B65" s="120">
        <f t="shared" si="8"/>
        <v>44</v>
      </c>
      <c r="C65" s="115"/>
      <c r="D65" s="218">
        <f>FACTORES!F83</f>
        <v>46779.39</v>
      </c>
      <c r="E65" s="218">
        <f>FACTORES!G83</f>
        <v>54735.19</v>
      </c>
      <c r="F65" s="218">
        <f t="shared" si="9"/>
        <v>62682.43</v>
      </c>
      <c r="G65" s="410">
        <f t="shared" si="10"/>
        <v>76512.319999999992</v>
      </c>
      <c r="H65" s="218">
        <f t="shared" si="3"/>
        <v>62682.43</v>
      </c>
      <c r="I65" s="218">
        <f t="shared" si="4"/>
        <v>76512.319999999992</v>
      </c>
      <c r="J65" s="218">
        <f t="shared" si="5"/>
        <v>72711.618799999997</v>
      </c>
      <c r="K65" s="218">
        <f t="shared" si="6"/>
        <v>88754.291199999978</v>
      </c>
      <c r="M65" s="218">
        <f t="shared" si="11"/>
        <v>72711.62385933999</v>
      </c>
      <c r="N65" s="218">
        <f t="shared" si="12"/>
        <v>84642.984854139984</v>
      </c>
    </row>
    <row r="66" spans="2:23" s="37" customFormat="1" ht="15" hidden="1" customHeight="1">
      <c r="B66" s="120">
        <f t="shared" si="8"/>
        <v>45</v>
      </c>
      <c r="C66" s="115"/>
      <c r="D66" s="218">
        <f>FACTORES!F84</f>
        <v>48907.68</v>
      </c>
      <c r="E66" s="218">
        <f>FACTORES!G84</f>
        <v>57326.3</v>
      </c>
      <c r="F66" s="218">
        <f t="shared" si="9"/>
        <v>65433.99</v>
      </c>
      <c r="G66" s="410">
        <f t="shared" si="10"/>
        <v>79862.239999999991</v>
      </c>
      <c r="H66" s="218">
        <f t="shared" si="3"/>
        <v>65433.99</v>
      </c>
      <c r="I66" s="218">
        <f t="shared" si="4"/>
        <v>79862.239999999991</v>
      </c>
      <c r="J66" s="218">
        <f t="shared" si="5"/>
        <v>75903.42839999999</v>
      </c>
      <c r="K66" s="218">
        <f t="shared" si="6"/>
        <v>92640.198399999979</v>
      </c>
      <c r="M66" s="218">
        <f t="shared" si="11"/>
        <v>75903.433142080001</v>
      </c>
      <c r="N66" s="218">
        <f t="shared" si="12"/>
        <v>88528.888067799984</v>
      </c>
    </row>
    <row r="67" spans="2:23" s="37" customFormat="1" ht="15" hidden="1" customHeight="1">
      <c r="B67" s="120">
        <f t="shared" si="8"/>
        <v>46</v>
      </c>
      <c r="C67" s="115"/>
      <c r="D67" s="218">
        <f>FACTORES!F85</f>
        <v>51259.21</v>
      </c>
      <c r="E67" s="218">
        <f>FACTORES!G85</f>
        <v>59541.33</v>
      </c>
      <c r="F67" s="218">
        <f t="shared" si="9"/>
        <v>68474.17</v>
      </c>
      <c r="G67" s="410">
        <f t="shared" si="10"/>
        <v>82725.939999999988</v>
      </c>
      <c r="H67" s="218">
        <f t="shared" si="3"/>
        <v>68474.17</v>
      </c>
      <c r="I67" s="218">
        <f t="shared" si="4"/>
        <v>82725.939999999988</v>
      </c>
      <c r="J67" s="218">
        <f t="shared" si="5"/>
        <v>79430.037199999992</v>
      </c>
      <c r="K67" s="218">
        <f t="shared" si="6"/>
        <v>95962.090399999986</v>
      </c>
      <c r="M67" s="218">
        <f t="shared" si="11"/>
        <v>79430.036792259998</v>
      </c>
      <c r="N67" s="218">
        <f t="shared" si="12"/>
        <v>91850.781848979997</v>
      </c>
    </row>
    <row r="68" spans="2:23" s="37" customFormat="1" ht="15" hidden="1" customHeight="1">
      <c r="B68" s="120">
        <f t="shared" si="8"/>
        <v>47</v>
      </c>
      <c r="C68" s="115"/>
      <c r="D68" s="218">
        <f>FACTORES!F86</f>
        <v>53826.94</v>
      </c>
      <c r="E68" s="218">
        <f>FACTORES!G86</f>
        <v>62602.33</v>
      </c>
      <c r="F68" s="218">
        <f t="shared" si="9"/>
        <v>71793.86</v>
      </c>
      <c r="G68" s="410">
        <f t="shared" si="10"/>
        <v>86683.349999999991</v>
      </c>
      <c r="H68" s="218">
        <f t="shared" si="3"/>
        <v>71793.86</v>
      </c>
      <c r="I68" s="218">
        <f t="shared" si="4"/>
        <v>86683.349999999991</v>
      </c>
      <c r="J68" s="218">
        <f t="shared" si="5"/>
        <v>83280.877599999993</v>
      </c>
      <c r="K68" s="218">
        <f t="shared" si="6"/>
        <v>100552.68599999999</v>
      </c>
      <c r="M68" s="218">
        <f t="shared" si="11"/>
        <v>83280.876879639996</v>
      </c>
      <c r="N68" s="218">
        <f t="shared" si="12"/>
        <v>96441.381914979982</v>
      </c>
      <c r="W68" s="41"/>
    </row>
    <row r="69" spans="2:23" s="37" customFormat="1" ht="15" hidden="1" customHeight="1">
      <c r="B69" s="120">
        <f t="shared" si="8"/>
        <v>48</v>
      </c>
      <c r="C69" s="115"/>
      <c r="D69" s="218">
        <f>FACTORES!F87</f>
        <v>56642.13</v>
      </c>
      <c r="E69" s="218">
        <f>FACTORES!G87</f>
        <v>65164.33</v>
      </c>
      <c r="F69" s="218">
        <f t="shared" si="9"/>
        <v>75433.48</v>
      </c>
      <c r="G69" s="410">
        <f t="shared" si="10"/>
        <v>89995.62999999999</v>
      </c>
      <c r="H69" s="218">
        <f t="shared" si="3"/>
        <v>75433.48</v>
      </c>
      <c r="I69" s="218">
        <f t="shared" si="4"/>
        <v>89995.62999999999</v>
      </c>
      <c r="J69" s="218">
        <f t="shared" si="5"/>
        <v>87502.83679999999</v>
      </c>
      <c r="K69" s="218">
        <f t="shared" si="6"/>
        <v>104394.93079999999</v>
      </c>
      <c r="M69" s="218">
        <f t="shared" si="11"/>
        <v>87502.834213779977</v>
      </c>
      <c r="N69" s="218">
        <f t="shared" si="12"/>
        <v>100283.62868698</v>
      </c>
    </row>
    <row r="70" spans="2:23" s="37" customFormat="1" ht="15" hidden="1" customHeight="1">
      <c r="B70" s="120">
        <f t="shared" si="8"/>
        <v>49</v>
      </c>
      <c r="C70" s="115"/>
      <c r="D70" s="218">
        <f>FACTORES!F88</f>
        <v>59723.59</v>
      </c>
      <c r="E70" s="218">
        <f>FACTORES!G88</f>
        <v>67930.44</v>
      </c>
      <c r="F70" s="218">
        <f t="shared" si="9"/>
        <v>79417.34</v>
      </c>
      <c r="G70" s="410">
        <f t="shared" si="10"/>
        <v>93571.799999999988</v>
      </c>
      <c r="H70" s="218">
        <f t="shared" si="3"/>
        <v>79417.34</v>
      </c>
      <c r="I70" s="218">
        <f t="shared" si="4"/>
        <v>93571.799999999988</v>
      </c>
      <c r="J70" s="218">
        <f t="shared" si="5"/>
        <v>92124.114399999991</v>
      </c>
      <c r="K70" s="218">
        <f t="shared" si="6"/>
        <v>108543.28799999999</v>
      </c>
      <c r="M70" s="218">
        <f t="shared" si="11"/>
        <v>92124.118264539982</v>
      </c>
      <c r="N70" s="218">
        <f t="shared" si="12"/>
        <v>104431.98045063998</v>
      </c>
    </row>
    <row r="71" spans="2:23" s="37" customFormat="1" ht="15" hidden="1" customHeight="1">
      <c r="B71" s="120">
        <f t="shared" si="8"/>
        <v>50</v>
      </c>
      <c r="C71" s="115"/>
      <c r="D71" s="218">
        <f>FACTORES!F89</f>
        <v>63082.5</v>
      </c>
      <c r="E71" s="218">
        <f>FACTORES!G89</f>
        <v>70855.740000000005</v>
      </c>
      <c r="F71" s="218">
        <f t="shared" ref="F71:F106" si="13">ROUND(D71*$G$5*$G$6*$G$7*$G$11*$G$12*$G$8,2)+ADIC+DENTAL+IKE+CVISION</f>
        <v>83759.91</v>
      </c>
      <c r="G71" s="410">
        <f t="shared" si="10"/>
        <v>97353.76999999999</v>
      </c>
      <c r="H71" s="218">
        <f t="shared" si="3"/>
        <v>83759.91</v>
      </c>
      <c r="I71" s="218">
        <f t="shared" si="4"/>
        <v>97353.76999999999</v>
      </c>
      <c r="J71" s="218">
        <f t="shared" si="5"/>
        <v>97161.495599999995</v>
      </c>
      <c r="K71" s="218">
        <f t="shared" si="6"/>
        <v>112930.37319999999</v>
      </c>
      <c r="M71" s="218">
        <f t="shared" si="11"/>
        <v>97161.495744999993</v>
      </c>
      <c r="N71" s="218">
        <f t="shared" si="12"/>
        <v>108819.07041244001</v>
      </c>
    </row>
    <row r="72" spans="2:23" s="37" customFormat="1" ht="15" hidden="1" customHeight="1">
      <c r="B72" s="120">
        <f t="shared" si="8"/>
        <v>51</v>
      </c>
      <c r="C72" s="115"/>
      <c r="D72" s="218">
        <f>FACTORES!F90</f>
        <v>66698.39</v>
      </c>
      <c r="E72" s="218">
        <f>FACTORES!G90</f>
        <v>74010.289999999994</v>
      </c>
      <c r="F72" s="218">
        <f t="shared" si="13"/>
        <v>88434.709999999992</v>
      </c>
      <c r="G72" s="410">
        <f t="shared" si="10"/>
        <v>101432.12999999999</v>
      </c>
      <c r="H72" s="218">
        <f t="shared" si="3"/>
        <v>88434.709999999992</v>
      </c>
      <c r="I72" s="218">
        <f t="shared" si="4"/>
        <v>101432.12999999999</v>
      </c>
      <c r="J72" s="218">
        <f t="shared" si="5"/>
        <v>102584.26359999998</v>
      </c>
      <c r="K72" s="218">
        <f t="shared" si="6"/>
        <v>117661.27079999998</v>
      </c>
      <c r="M72" s="218">
        <f t="shared" si="11"/>
        <v>102584.26767333999</v>
      </c>
      <c r="N72" s="218">
        <f t="shared" si="12"/>
        <v>113549.96797473998</v>
      </c>
      <c r="P72" s="764"/>
      <c r="Q72" s="764"/>
      <c r="R72" s="764"/>
      <c r="S72" s="764"/>
      <c r="T72" s="764"/>
      <c r="U72" s="764"/>
      <c r="V72" s="764"/>
      <c r="W72" s="764"/>
    </row>
    <row r="73" spans="2:23" s="37" customFormat="1" ht="15" hidden="1" customHeight="1">
      <c r="B73" s="120">
        <f t="shared" si="8"/>
        <v>52</v>
      </c>
      <c r="C73" s="115"/>
      <c r="D73" s="218">
        <f>FACTORES!F91</f>
        <v>70641.89</v>
      </c>
      <c r="E73" s="218">
        <f>FACTORES!G91</f>
        <v>77389.31</v>
      </c>
      <c r="F73" s="218">
        <f t="shared" si="13"/>
        <v>93533.069999999992</v>
      </c>
      <c r="G73" s="410">
        <f t="shared" si="10"/>
        <v>105800.7</v>
      </c>
      <c r="H73" s="218">
        <f t="shared" si="3"/>
        <v>93533.069999999992</v>
      </c>
      <c r="I73" s="218">
        <f t="shared" si="4"/>
        <v>105800.7</v>
      </c>
      <c r="J73" s="218">
        <f t="shared" si="5"/>
        <v>108498.36119999998</v>
      </c>
      <c r="K73" s="218">
        <f t="shared" si="6"/>
        <v>122728.81199999999</v>
      </c>
      <c r="M73" s="218">
        <f t="shared" si="11"/>
        <v>108498.35828433999</v>
      </c>
      <c r="N73" s="218">
        <f t="shared" si="12"/>
        <v>118617.50454285998</v>
      </c>
      <c r="P73" s="36"/>
      <c r="Q73" s="36"/>
      <c r="R73" s="43"/>
      <c r="S73" s="43"/>
      <c r="W73" s="44"/>
    </row>
    <row r="74" spans="2:23" s="37" customFormat="1" ht="15" hidden="1" customHeight="1">
      <c r="B74" s="120">
        <f t="shared" si="8"/>
        <v>53</v>
      </c>
      <c r="C74" s="115"/>
      <c r="D74" s="218">
        <f>FACTORES!F92</f>
        <v>74952.149999999994</v>
      </c>
      <c r="E74" s="218">
        <f>FACTORES!G92</f>
        <v>81013.91</v>
      </c>
      <c r="F74" s="218">
        <f t="shared" si="13"/>
        <v>99105.59</v>
      </c>
      <c r="G74" s="410">
        <f t="shared" si="10"/>
        <v>110486.76</v>
      </c>
      <c r="H74" s="218">
        <f t="shared" si="3"/>
        <v>99105.59</v>
      </c>
      <c r="I74" s="218">
        <f t="shared" si="4"/>
        <v>110486.76</v>
      </c>
      <c r="J74" s="218">
        <f t="shared" si="5"/>
        <v>114962.48439999999</v>
      </c>
      <c r="K74" s="218">
        <f t="shared" si="6"/>
        <v>128164.64159999999</v>
      </c>
      <c r="M74" s="218">
        <f t="shared" si="11"/>
        <v>114962.48106789999</v>
      </c>
      <c r="N74" s="218">
        <f t="shared" si="12"/>
        <v>124053.33891045999</v>
      </c>
      <c r="P74" s="36"/>
      <c r="Q74" s="36"/>
      <c r="R74" s="43"/>
      <c r="S74" s="43"/>
    </row>
    <row r="75" spans="2:23" s="37" customFormat="1" ht="15" hidden="1" customHeight="1">
      <c r="B75" s="120">
        <f t="shared" si="8"/>
        <v>54</v>
      </c>
      <c r="C75" s="115"/>
      <c r="D75" s="218">
        <f>FACTORES!F93</f>
        <v>79617.53</v>
      </c>
      <c r="E75" s="218">
        <f>FACTORES!G93</f>
        <v>84868.25</v>
      </c>
      <c r="F75" s="218">
        <f t="shared" si="13"/>
        <v>105137.22</v>
      </c>
      <c r="G75" s="410">
        <f t="shared" si="10"/>
        <v>115469.84999999999</v>
      </c>
      <c r="H75" s="218">
        <f t="shared" si="3"/>
        <v>105137.22</v>
      </c>
      <c r="I75" s="218">
        <f t="shared" si="4"/>
        <v>115469.84999999999</v>
      </c>
      <c r="J75" s="218">
        <f t="shared" si="5"/>
        <v>121959.1752</v>
      </c>
      <c r="K75" s="218">
        <f t="shared" si="6"/>
        <v>133945.02599999998</v>
      </c>
      <c r="M75" s="218">
        <f t="shared" si="11"/>
        <v>121959.17944617999</v>
      </c>
      <c r="N75" s="218">
        <f t="shared" si="12"/>
        <v>129833.71573449999</v>
      </c>
      <c r="P75" s="45"/>
      <c r="Q75" s="36"/>
      <c r="R75" s="46"/>
      <c r="S75" s="36"/>
      <c r="V75" s="40"/>
      <c r="W75" s="36"/>
    </row>
    <row r="76" spans="2:23" s="37" customFormat="1" ht="15" hidden="1" customHeight="1">
      <c r="B76" s="120">
        <f t="shared" si="8"/>
        <v>55</v>
      </c>
      <c r="C76" s="115"/>
      <c r="D76" s="218">
        <f>FACTORES!F94</f>
        <v>84589.23</v>
      </c>
      <c r="E76" s="218">
        <f>FACTORES!G94</f>
        <v>88883.96</v>
      </c>
      <c r="F76" s="218">
        <f t="shared" si="13"/>
        <v>111564.89</v>
      </c>
      <c r="G76" s="218">
        <f t="shared" ref="G76:G106" si="14">ROUND(E76*$G$5*$G$6*$G$7*$G$11*$G$12*$G$8,2)+ADIC+DENTAL+IKE+CVISION</f>
        <v>117117.33</v>
      </c>
      <c r="H76" s="218">
        <f t="shared" si="3"/>
        <v>111564.89</v>
      </c>
      <c r="I76" s="218">
        <f t="shared" si="4"/>
        <v>117117.33</v>
      </c>
      <c r="J76" s="218">
        <f t="shared" si="5"/>
        <v>129415.27239999999</v>
      </c>
      <c r="K76" s="218">
        <f t="shared" si="6"/>
        <v>135856.10279999999</v>
      </c>
      <c r="M76" s="218">
        <f t="shared" si="11"/>
        <v>129415.26776637997</v>
      </c>
      <c r="N76" s="218">
        <f t="shared" si="12"/>
        <v>135856.10011576003</v>
      </c>
      <c r="P76" s="45"/>
      <c r="Q76" s="40"/>
      <c r="R76" s="40"/>
      <c r="S76" s="40"/>
    </row>
    <row r="77" spans="2:23" s="37" customFormat="1" ht="15" hidden="1" customHeight="1">
      <c r="B77" s="120">
        <f t="shared" si="8"/>
        <v>56</v>
      </c>
      <c r="C77" s="115"/>
      <c r="D77" s="218">
        <f>FACTORES!F95</f>
        <v>90008.52</v>
      </c>
      <c r="E77" s="218">
        <f>FACTORES!G95</f>
        <v>94302.22</v>
      </c>
      <c r="F77" s="218">
        <f t="shared" si="13"/>
        <v>118571.22</v>
      </c>
      <c r="G77" s="218">
        <f t="shared" si="14"/>
        <v>124122.33</v>
      </c>
      <c r="H77" s="218">
        <f t="shared" si="3"/>
        <v>118571.22</v>
      </c>
      <c r="I77" s="218">
        <f t="shared" si="4"/>
        <v>124122.33</v>
      </c>
      <c r="J77" s="218">
        <f t="shared" si="5"/>
        <v>137542.6152</v>
      </c>
      <c r="K77" s="218">
        <f t="shared" si="6"/>
        <v>143981.90279999998</v>
      </c>
      <c r="M77" s="218">
        <f t="shared" si="11"/>
        <v>137542.60949511998</v>
      </c>
      <c r="N77" s="218">
        <f t="shared" si="12"/>
        <v>143981.89714732001</v>
      </c>
      <c r="P77" s="764"/>
      <c r="Q77" s="764"/>
      <c r="R77" s="764"/>
      <c r="S77" s="764"/>
      <c r="T77" s="764"/>
      <c r="U77" s="764"/>
      <c r="V77" s="764"/>
      <c r="W77" s="764"/>
    </row>
    <row r="78" spans="2:23" s="37" customFormat="1" ht="15" hidden="1" customHeight="1">
      <c r="B78" s="120">
        <f t="shared" si="8"/>
        <v>57</v>
      </c>
      <c r="C78" s="115"/>
      <c r="D78" s="218">
        <f>FACTORES!F96</f>
        <v>95822.98</v>
      </c>
      <c r="E78" s="218">
        <f>FACTORES!G96</f>
        <v>97977.86</v>
      </c>
      <c r="F78" s="218">
        <f t="shared" si="13"/>
        <v>126088.44</v>
      </c>
      <c r="G78" s="218">
        <f t="shared" si="14"/>
        <v>128874.37999999999</v>
      </c>
      <c r="H78" s="218">
        <f t="shared" si="3"/>
        <v>126088.44</v>
      </c>
      <c r="I78" s="218">
        <f t="shared" si="4"/>
        <v>128874.37999999999</v>
      </c>
      <c r="J78" s="218">
        <f t="shared" si="5"/>
        <v>146262.59039999999</v>
      </c>
      <c r="K78" s="218">
        <f t="shared" si="6"/>
        <v>149494.28079999998</v>
      </c>
      <c r="M78" s="218">
        <f t="shared" si="11"/>
        <v>146262.59004387999</v>
      </c>
      <c r="N78" s="218">
        <f t="shared" si="12"/>
        <v>149494.27650915997</v>
      </c>
      <c r="P78" s="45"/>
      <c r="Q78" s="40"/>
      <c r="R78" s="40"/>
      <c r="S78" s="40"/>
    </row>
    <row r="79" spans="2:23" s="37" customFormat="1" ht="15" hidden="1" customHeight="1">
      <c r="B79" s="120">
        <f t="shared" si="8"/>
        <v>58</v>
      </c>
      <c r="C79" s="115"/>
      <c r="D79" s="218">
        <f>FACTORES!F97</f>
        <v>99992.73</v>
      </c>
      <c r="E79" s="218">
        <f>FACTORES!G97</f>
        <v>101942.56</v>
      </c>
      <c r="F79" s="218">
        <f t="shared" si="13"/>
        <v>131479.30000000002</v>
      </c>
      <c r="G79" s="218">
        <f t="shared" si="14"/>
        <v>134000.14000000001</v>
      </c>
      <c r="H79" s="218">
        <f t="shared" si="3"/>
        <v>131479.30000000002</v>
      </c>
      <c r="I79" s="218">
        <f t="shared" si="4"/>
        <v>134000.14000000001</v>
      </c>
      <c r="J79" s="218">
        <f t="shared" si="5"/>
        <v>152515.98800000001</v>
      </c>
      <c r="K79" s="218">
        <f t="shared" si="6"/>
        <v>155440.1624</v>
      </c>
      <c r="M79" s="218">
        <f t="shared" si="11"/>
        <v>152515.98913738001</v>
      </c>
      <c r="N79" s="218">
        <f t="shared" si="12"/>
        <v>155440.16088735999</v>
      </c>
      <c r="O79" s="47"/>
      <c r="Q79" s="40"/>
      <c r="R79" s="40"/>
      <c r="S79" s="40"/>
      <c r="U79" s="38"/>
    </row>
    <row r="80" spans="2:23" s="37" customFormat="1" ht="15" hidden="1" customHeight="1">
      <c r="B80" s="120">
        <f t="shared" si="8"/>
        <v>59</v>
      </c>
      <c r="C80" s="115"/>
      <c r="D80" s="218">
        <f>FACTORES!F98</f>
        <v>106549.09</v>
      </c>
      <c r="E80" s="218">
        <f>FACTORES!G98</f>
        <v>103702.23</v>
      </c>
      <c r="F80" s="218">
        <f t="shared" si="13"/>
        <v>139955.69</v>
      </c>
      <c r="G80" s="218">
        <f t="shared" si="14"/>
        <v>136275.13</v>
      </c>
      <c r="H80" s="218">
        <f t="shared" si="3"/>
        <v>139955.69</v>
      </c>
      <c r="I80" s="218">
        <f t="shared" si="4"/>
        <v>136275.13</v>
      </c>
      <c r="J80" s="218">
        <f t="shared" si="5"/>
        <v>162348.6004</v>
      </c>
      <c r="K80" s="218">
        <f t="shared" si="6"/>
        <v>158079.1508</v>
      </c>
      <c r="M80" s="218">
        <f t="shared" si="11"/>
        <v>162348.60156754</v>
      </c>
      <c r="N80" s="218">
        <f t="shared" si="12"/>
        <v>158079.14854438</v>
      </c>
      <c r="Q80" s="40"/>
      <c r="R80" s="40"/>
      <c r="S80" s="40"/>
      <c r="U80" s="38"/>
    </row>
    <row r="81" spans="2:22" s="37" customFormat="1" ht="15" hidden="1" customHeight="1">
      <c r="B81" s="120">
        <f t="shared" si="8"/>
        <v>60</v>
      </c>
      <c r="C81" s="115"/>
      <c r="D81" s="218">
        <f>FACTORES!F99</f>
        <v>170941.85</v>
      </c>
      <c r="E81" s="218">
        <f>FACTORES!G99</f>
        <v>169718.26</v>
      </c>
      <c r="F81" s="218">
        <f t="shared" si="13"/>
        <v>223205.87000000002</v>
      </c>
      <c r="G81" s="218">
        <f t="shared" si="14"/>
        <v>221623.95</v>
      </c>
      <c r="H81" s="218">
        <f t="shared" si="3"/>
        <v>223205.87000000002</v>
      </c>
      <c r="I81" s="218">
        <f t="shared" si="4"/>
        <v>221623.95</v>
      </c>
      <c r="J81" s="218">
        <f t="shared" si="5"/>
        <v>258918.80920000002</v>
      </c>
      <c r="K81" s="218">
        <f t="shared" si="6"/>
        <v>257083.78200000001</v>
      </c>
      <c r="M81" s="218">
        <f t="shared" si="11"/>
        <v>258918.8100961</v>
      </c>
      <c r="N81" s="218">
        <f t="shared" si="12"/>
        <v>257083.78483156001</v>
      </c>
      <c r="O81" s="47"/>
      <c r="Q81" s="40"/>
      <c r="R81" s="40"/>
      <c r="S81" s="45"/>
      <c r="U81" s="38"/>
    </row>
    <row r="82" spans="2:22" s="37" customFormat="1" ht="15" hidden="1" customHeight="1">
      <c r="B82" s="120">
        <f t="shared" si="8"/>
        <v>61</v>
      </c>
      <c r="C82" s="115"/>
      <c r="D82" s="218">
        <f>FACTORES!F100</f>
        <v>180390.69</v>
      </c>
      <c r="E82" s="218">
        <f>FACTORES!G100</f>
        <v>177166.91</v>
      </c>
      <c r="F82" s="218">
        <f t="shared" si="13"/>
        <v>235421.80000000002</v>
      </c>
      <c r="G82" s="218">
        <f t="shared" si="14"/>
        <v>231253.94</v>
      </c>
      <c r="H82" s="218">
        <f t="shared" si="3"/>
        <v>235421.80000000002</v>
      </c>
      <c r="I82" s="218">
        <f t="shared" si="4"/>
        <v>231253.94</v>
      </c>
      <c r="J82" s="218">
        <f t="shared" si="5"/>
        <v>273089.288</v>
      </c>
      <c r="K82" s="218">
        <f t="shared" si="6"/>
        <v>268254.57039999997</v>
      </c>
      <c r="M82" s="218">
        <f t="shared" si="11"/>
        <v>273089.29213713994</v>
      </c>
      <c r="N82" s="218">
        <f t="shared" si="12"/>
        <v>268254.56992846</v>
      </c>
      <c r="Q82" s="40"/>
      <c r="R82" s="40"/>
      <c r="S82" s="45"/>
      <c r="U82" s="38"/>
    </row>
    <row r="83" spans="2:22" s="37" customFormat="1" ht="15" hidden="1" customHeight="1">
      <c r="B83" s="120">
        <f t="shared" si="8"/>
        <v>62</v>
      </c>
      <c r="C83" s="115"/>
      <c r="D83" s="218">
        <f>FACTORES!F101</f>
        <v>190011.84</v>
      </c>
      <c r="E83" s="218">
        <f>FACTORES!G101</f>
        <v>184831.47</v>
      </c>
      <c r="F83" s="218">
        <f t="shared" si="13"/>
        <v>247860.51</v>
      </c>
      <c r="G83" s="218">
        <f t="shared" si="14"/>
        <v>241163.07</v>
      </c>
      <c r="H83" s="218">
        <f t="shared" si="3"/>
        <v>247860.51</v>
      </c>
      <c r="I83" s="218">
        <f t="shared" si="4"/>
        <v>241163.07</v>
      </c>
      <c r="J83" s="218">
        <f t="shared" si="5"/>
        <v>287518.19159999996</v>
      </c>
      <c r="K83" s="218">
        <f t="shared" si="6"/>
        <v>279749.16119999997</v>
      </c>
      <c r="M83" s="218">
        <f t="shared" si="11"/>
        <v>287518.18851904001</v>
      </c>
      <c r="N83" s="218">
        <f t="shared" si="12"/>
        <v>279749.15654781996</v>
      </c>
      <c r="Q83" s="40"/>
      <c r="R83" s="40"/>
      <c r="S83" s="40"/>
    </row>
    <row r="84" spans="2:22" s="37" customFormat="1" ht="15" hidden="1" customHeight="1">
      <c r="B84" s="120">
        <f t="shared" si="8"/>
        <v>63</v>
      </c>
      <c r="C84" s="115"/>
      <c r="D84" s="218">
        <f>FACTORES!F102</f>
        <v>200579.74</v>
      </c>
      <c r="E84" s="218">
        <f>FACTORES!G102</f>
        <v>192892.3</v>
      </c>
      <c r="F84" s="218">
        <f t="shared" si="13"/>
        <v>261523.22</v>
      </c>
      <c r="G84" s="218">
        <f t="shared" si="14"/>
        <v>251584.51</v>
      </c>
      <c r="H84" s="218">
        <f t="shared" si="3"/>
        <v>261523.22</v>
      </c>
      <c r="I84" s="218">
        <f t="shared" si="4"/>
        <v>251584.51</v>
      </c>
      <c r="J84" s="218">
        <f t="shared" si="5"/>
        <v>303366.93520000001</v>
      </c>
      <c r="K84" s="218">
        <f t="shared" si="6"/>
        <v>291838.03159999999</v>
      </c>
      <c r="M84" s="218">
        <f t="shared" si="11"/>
        <v>303366.93155644002</v>
      </c>
      <c r="N84" s="218">
        <f t="shared" si="12"/>
        <v>291838.03166379995</v>
      </c>
      <c r="O84" s="47"/>
      <c r="Q84" s="40"/>
      <c r="R84" s="40"/>
      <c r="S84" s="45"/>
      <c r="U84" s="48"/>
    </row>
    <row r="85" spans="2:22" s="37" customFormat="1" ht="15" hidden="1" customHeight="1">
      <c r="B85" s="120">
        <f t="shared" si="8"/>
        <v>64</v>
      </c>
      <c r="C85" s="115"/>
      <c r="D85" s="218">
        <f>FACTORES!F103</f>
        <v>211233.71</v>
      </c>
      <c r="E85" s="218">
        <f>FACTORES!G103</f>
        <v>201460.63</v>
      </c>
      <c r="F85" s="218">
        <f t="shared" si="13"/>
        <v>275297.2</v>
      </c>
      <c r="G85" s="218">
        <f t="shared" si="14"/>
        <v>262662.08</v>
      </c>
      <c r="H85" s="218">
        <f t="shared" si="3"/>
        <v>275297.2</v>
      </c>
      <c r="I85" s="218">
        <f t="shared" si="4"/>
        <v>262662.08</v>
      </c>
      <c r="J85" s="218">
        <f t="shared" si="5"/>
        <v>319344.75199999998</v>
      </c>
      <c r="K85" s="218">
        <f t="shared" si="6"/>
        <v>304688.01280000003</v>
      </c>
      <c r="M85" s="218">
        <f t="shared" ref="M85:M104" si="15">(D85*$G$5*$G$6*$G$7*$G$11*$G$12*$G$8+(ADIC+DENTAL+CVISION+IKE)*(1-DESC))*(1+IVA)</f>
        <v>319344.75428926002</v>
      </c>
      <c r="N85" s="218">
        <f t="shared" ref="N85:N104" si="16">(E85*$G$5*$G$6*$G$7*$G$11*$G$12*$G$8+(ADIC+DENTAL+CVISION+IKE)*(1-DESC))*(1+IVA)</f>
        <v>304688.00757477997</v>
      </c>
      <c r="Q85" s="36"/>
      <c r="R85" s="36"/>
      <c r="S85" s="45"/>
      <c r="U85" s="48"/>
    </row>
    <row r="86" spans="2:22" s="37" customFormat="1" ht="15" hidden="1" customHeight="1">
      <c r="B86" s="120">
        <f t="shared" si="8"/>
        <v>65</v>
      </c>
      <c r="C86" s="115"/>
      <c r="D86" s="218">
        <f>FACTORES!F104</f>
        <v>222510.88</v>
      </c>
      <c r="E86" s="218">
        <f>FACTORES!G104</f>
        <v>210309.46</v>
      </c>
      <c r="F86" s="218">
        <f t="shared" si="13"/>
        <v>289876.89</v>
      </c>
      <c r="G86" s="218">
        <f t="shared" si="14"/>
        <v>274102.29000000004</v>
      </c>
      <c r="H86" s="218">
        <f t="shared" ref="H86:H104" si="17">(F86*(1+$I$18))+$I$19</f>
        <v>289876.89</v>
      </c>
      <c r="I86" s="218">
        <f t="shared" ref="I86:I104" si="18">(G86*(1+$I$18))+$I$19</f>
        <v>274102.29000000004</v>
      </c>
      <c r="J86" s="218">
        <f t="shared" ref="J86:J104" si="19">H86*(1+$K$19)</f>
        <v>336257.1924</v>
      </c>
      <c r="K86" s="218">
        <f t="shared" ref="K86:K104" si="20">I86*(1+$K$19)</f>
        <v>317958.65640000004</v>
      </c>
      <c r="M86" s="218">
        <f t="shared" si="15"/>
        <v>336257.19380127999</v>
      </c>
      <c r="N86" s="218">
        <f t="shared" si="16"/>
        <v>317958.65101875999</v>
      </c>
      <c r="Q86" s="27"/>
      <c r="R86" s="27"/>
    </row>
    <row r="87" spans="2:22" s="37" customFormat="1" ht="15" hidden="1" customHeight="1">
      <c r="B87" s="120">
        <f t="shared" ref="B87:B121" si="21">+B86+1</f>
        <v>66</v>
      </c>
      <c r="C87" s="115"/>
      <c r="D87" s="218">
        <f>FACTORES!F105</f>
        <v>234315.32</v>
      </c>
      <c r="E87" s="218">
        <f>FACTORES!G105</f>
        <v>219664</v>
      </c>
      <c r="F87" s="218">
        <f t="shared" si="13"/>
        <v>305138.26</v>
      </c>
      <c r="G87" s="218">
        <f t="shared" si="14"/>
        <v>286196.3</v>
      </c>
      <c r="H87" s="218">
        <f t="shared" si="17"/>
        <v>305138.26</v>
      </c>
      <c r="I87" s="218">
        <f t="shared" si="18"/>
        <v>286196.3</v>
      </c>
      <c r="J87" s="218">
        <f t="shared" si="19"/>
        <v>353960.38159999996</v>
      </c>
      <c r="K87" s="218">
        <f t="shared" si="20"/>
        <v>331987.70799999998</v>
      </c>
      <c r="M87" s="218">
        <f t="shared" si="15"/>
        <v>353960.38329591998</v>
      </c>
      <c r="N87" s="218">
        <f t="shared" si="16"/>
        <v>331987.71078399994</v>
      </c>
      <c r="O87" s="47"/>
      <c r="V87" s="49"/>
    </row>
    <row r="88" spans="2:22" s="37" customFormat="1" ht="15" hidden="1" customHeight="1">
      <c r="B88" s="120">
        <f t="shared" si="21"/>
        <v>67</v>
      </c>
      <c r="C88" s="115"/>
      <c r="D88" s="218">
        <f>FACTORES!F106</f>
        <v>246495.72</v>
      </c>
      <c r="E88" s="218">
        <f>FACTORES!G106</f>
        <v>229149.21</v>
      </c>
      <c r="F88" s="218">
        <f t="shared" si="13"/>
        <v>320885.69</v>
      </c>
      <c r="G88" s="218">
        <f t="shared" si="14"/>
        <v>298459.26</v>
      </c>
      <c r="H88" s="218">
        <f t="shared" si="17"/>
        <v>320885.69</v>
      </c>
      <c r="I88" s="218">
        <f t="shared" si="18"/>
        <v>298459.26</v>
      </c>
      <c r="J88" s="218">
        <f t="shared" si="19"/>
        <v>372227.40039999998</v>
      </c>
      <c r="K88" s="218">
        <f t="shared" si="20"/>
        <v>346212.74160000001</v>
      </c>
      <c r="M88" s="218">
        <f t="shared" si="15"/>
        <v>372227.40225832001</v>
      </c>
      <c r="N88" s="218">
        <f t="shared" si="16"/>
        <v>346212.73713225994</v>
      </c>
      <c r="O88" s="47"/>
      <c r="V88" s="49"/>
    </row>
    <row r="89" spans="2:22" s="37" customFormat="1" ht="15" hidden="1" customHeight="1">
      <c r="B89" s="120">
        <f t="shared" si="21"/>
        <v>68</v>
      </c>
      <c r="C89" s="115"/>
      <c r="D89" s="218">
        <f>FACTORES!F107</f>
        <v>259363.84</v>
      </c>
      <c r="E89" s="218">
        <f>FACTORES!G107</f>
        <v>239183.17</v>
      </c>
      <c r="F89" s="218">
        <f t="shared" si="13"/>
        <v>337522.24</v>
      </c>
      <c r="G89" s="218">
        <f t="shared" si="14"/>
        <v>311431.66000000003</v>
      </c>
      <c r="H89" s="218">
        <f t="shared" si="17"/>
        <v>337522.24</v>
      </c>
      <c r="I89" s="218">
        <f t="shared" si="18"/>
        <v>311431.66000000003</v>
      </c>
      <c r="J89" s="218">
        <f t="shared" si="19"/>
        <v>391525.79839999997</v>
      </c>
      <c r="K89" s="218">
        <f t="shared" si="20"/>
        <v>361260.72560000001</v>
      </c>
      <c r="M89" s="218">
        <f t="shared" si="15"/>
        <v>391525.79903103999</v>
      </c>
      <c r="N89" s="218">
        <f t="shared" si="16"/>
        <v>361260.72714802</v>
      </c>
      <c r="O89" s="47"/>
    </row>
    <row r="90" spans="2:22" s="37" customFormat="1" ht="15" hidden="1" customHeight="1">
      <c r="B90" s="120">
        <f t="shared" si="21"/>
        <v>69</v>
      </c>
      <c r="C90" s="115"/>
      <c r="D90" s="218">
        <f>FACTORES!F108</f>
        <v>272184.58</v>
      </c>
      <c r="E90" s="218">
        <f>FACTORES!G108</f>
        <v>249795.03</v>
      </c>
      <c r="F90" s="218">
        <f t="shared" si="13"/>
        <v>354097.53</v>
      </c>
      <c r="G90" s="218">
        <f t="shared" si="14"/>
        <v>325151.2</v>
      </c>
      <c r="H90" s="218">
        <f t="shared" si="17"/>
        <v>354097.53</v>
      </c>
      <c r="I90" s="218">
        <f t="shared" si="18"/>
        <v>325151.2</v>
      </c>
      <c r="J90" s="218">
        <f t="shared" si="19"/>
        <v>410753.1348</v>
      </c>
      <c r="K90" s="218">
        <f t="shared" si="20"/>
        <v>377175.39199999999</v>
      </c>
      <c r="M90" s="218">
        <f t="shared" si="15"/>
        <v>410753.13973348006</v>
      </c>
      <c r="N90" s="218">
        <f t="shared" si="16"/>
        <v>377175.39726117998</v>
      </c>
      <c r="O90" s="47"/>
      <c r="Q90" s="50"/>
      <c r="R90" s="51"/>
    </row>
    <row r="91" spans="2:22" s="37" customFormat="1" ht="15" hidden="1" customHeight="1">
      <c r="B91" s="120">
        <f t="shared" si="21"/>
        <v>70</v>
      </c>
      <c r="C91" s="115"/>
      <c r="D91" s="218">
        <f>FACTORES!F109</f>
        <v>285840.69</v>
      </c>
      <c r="E91" s="218">
        <f>FACTORES!G109</f>
        <v>260659.87</v>
      </c>
      <c r="F91" s="218">
        <f t="shared" si="13"/>
        <v>371752.84</v>
      </c>
      <c r="G91" s="218">
        <f t="shared" si="14"/>
        <v>339197.81</v>
      </c>
      <c r="H91" s="218">
        <f t="shared" si="17"/>
        <v>371752.84</v>
      </c>
      <c r="I91" s="218">
        <f t="shared" si="18"/>
        <v>339197.81</v>
      </c>
      <c r="J91" s="218">
        <f t="shared" si="19"/>
        <v>431233.29440000001</v>
      </c>
      <c r="K91" s="218">
        <f t="shared" si="20"/>
        <v>393469.45959999994</v>
      </c>
      <c r="M91" s="218">
        <f t="shared" si="15"/>
        <v>431233.28983714001</v>
      </c>
      <c r="N91" s="218">
        <f t="shared" si="16"/>
        <v>393469.46299821994</v>
      </c>
      <c r="O91" s="47"/>
      <c r="Q91" s="52"/>
      <c r="R91" s="52"/>
    </row>
    <row r="92" spans="2:22" s="37" customFormat="1" ht="15" hidden="1" customHeight="1">
      <c r="B92" s="120">
        <f t="shared" si="21"/>
        <v>71</v>
      </c>
      <c r="C92" s="115"/>
      <c r="D92" s="218">
        <f>FACTORES!F110</f>
        <v>300172.58</v>
      </c>
      <c r="E92" s="218">
        <f>FACTORES!G110</f>
        <v>271608.38</v>
      </c>
      <c r="F92" s="218">
        <f t="shared" si="13"/>
        <v>390281.82</v>
      </c>
      <c r="G92" s="218">
        <f t="shared" si="14"/>
        <v>353352.59</v>
      </c>
      <c r="H92" s="218">
        <f t="shared" si="17"/>
        <v>390281.82</v>
      </c>
      <c r="I92" s="218">
        <f t="shared" si="18"/>
        <v>353352.59</v>
      </c>
      <c r="J92" s="218">
        <f t="shared" si="19"/>
        <v>452726.91119999997</v>
      </c>
      <c r="K92" s="218">
        <f t="shared" si="20"/>
        <v>409889.00439999998</v>
      </c>
      <c r="M92" s="218">
        <f t="shared" si="15"/>
        <v>452726.91126148007</v>
      </c>
      <c r="N92" s="218">
        <f t="shared" si="16"/>
        <v>409889.00913627999</v>
      </c>
      <c r="O92" s="47"/>
      <c r="Q92" s="45"/>
      <c r="R92" s="45"/>
    </row>
    <row r="93" spans="2:22" s="37" customFormat="1" ht="15" hidden="1" customHeight="1">
      <c r="B93" s="120">
        <f t="shared" si="21"/>
        <v>72</v>
      </c>
      <c r="C93" s="115"/>
      <c r="D93" s="218">
        <f>FACTORES!F111</f>
        <v>314548.98</v>
      </c>
      <c r="E93" s="218">
        <f>FACTORES!G111</f>
        <v>283531.78000000003</v>
      </c>
      <c r="F93" s="218">
        <f t="shared" si="13"/>
        <v>408868.35000000003</v>
      </c>
      <c r="G93" s="218">
        <f t="shared" si="14"/>
        <v>368767.76</v>
      </c>
      <c r="H93" s="218">
        <f t="shared" si="17"/>
        <v>408868.35000000003</v>
      </c>
      <c r="I93" s="218">
        <f t="shared" si="18"/>
        <v>368767.76</v>
      </c>
      <c r="J93" s="218">
        <f t="shared" si="19"/>
        <v>474287.28600000002</v>
      </c>
      <c r="K93" s="218">
        <f t="shared" si="20"/>
        <v>427770.60159999999</v>
      </c>
      <c r="M93" s="218">
        <f t="shared" si="15"/>
        <v>474287.28459987993</v>
      </c>
      <c r="N93" s="218">
        <f t="shared" si="16"/>
        <v>427770.60365667997</v>
      </c>
      <c r="O93" s="47"/>
      <c r="Q93" s="45"/>
      <c r="R93" s="45"/>
    </row>
    <row r="94" spans="2:22" s="37" customFormat="1" ht="15" hidden="1" customHeight="1">
      <c r="B94" s="120">
        <f t="shared" si="21"/>
        <v>73</v>
      </c>
      <c r="C94" s="115"/>
      <c r="D94" s="218">
        <f>FACTORES!F112</f>
        <v>329754.94</v>
      </c>
      <c r="E94" s="218">
        <f>FACTORES!G112</f>
        <v>295560.8</v>
      </c>
      <c r="F94" s="218">
        <f t="shared" si="13"/>
        <v>428527.37</v>
      </c>
      <c r="G94" s="218">
        <f t="shared" si="14"/>
        <v>384319.48000000004</v>
      </c>
      <c r="H94" s="218">
        <f t="shared" si="17"/>
        <v>428527.37</v>
      </c>
      <c r="I94" s="218">
        <f t="shared" si="18"/>
        <v>384319.48000000004</v>
      </c>
      <c r="J94" s="218">
        <f t="shared" si="19"/>
        <v>497091.74919999996</v>
      </c>
      <c r="K94" s="218">
        <f t="shared" si="20"/>
        <v>445810.5968</v>
      </c>
      <c r="M94" s="218">
        <f t="shared" si="15"/>
        <v>497091.75404764002</v>
      </c>
      <c r="N94" s="218">
        <f t="shared" si="16"/>
        <v>445810.59712479991</v>
      </c>
      <c r="O94" s="47"/>
    </row>
    <row r="95" spans="2:22" s="37" customFormat="1" ht="15" hidden="1" customHeight="1">
      <c r="B95" s="120">
        <f t="shared" si="21"/>
        <v>74</v>
      </c>
      <c r="C95" s="115"/>
      <c r="D95" s="218">
        <f>FACTORES!F113</f>
        <v>345061.8</v>
      </c>
      <c r="E95" s="218">
        <f>FACTORES!G113</f>
        <v>307798.90000000002</v>
      </c>
      <c r="F95" s="218">
        <f t="shared" si="13"/>
        <v>448316.85000000003</v>
      </c>
      <c r="G95" s="218">
        <f t="shared" si="14"/>
        <v>400141.51</v>
      </c>
      <c r="H95" s="218">
        <f t="shared" si="17"/>
        <v>448316.85000000003</v>
      </c>
      <c r="I95" s="218">
        <f t="shared" si="18"/>
        <v>400141.51</v>
      </c>
      <c r="J95" s="218">
        <f t="shared" si="19"/>
        <v>520047.54600000003</v>
      </c>
      <c r="K95" s="218">
        <f t="shared" si="20"/>
        <v>464164.15159999998</v>
      </c>
      <c r="M95" s="218">
        <f t="shared" si="15"/>
        <v>520047.54383079999</v>
      </c>
      <c r="N95" s="218">
        <f t="shared" si="16"/>
        <v>464164.14912340004</v>
      </c>
      <c r="O95" s="47"/>
    </row>
    <row r="96" spans="2:22" s="37" customFormat="1" ht="15" hidden="1" customHeight="1">
      <c r="B96" s="120">
        <f t="shared" si="21"/>
        <v>75</v>
      </c>
      <c r="C96" s="115"/>
      <c r="D96" s="218">
        <f>FACTORES!F114</f>
        <v>360933.76</v>
      </c>
      <c r="E96" s="218">
        <f>FACTORES!G114</f>
        <v>320383.96999999997</v>
      </c>
      <c r="F96" s="218">
        <f t="shared" si="13"/>
        <v>468836.91000000003</v>
      </c>
      <c r="G96" s="218">
        <f t="shared" si="14"/>
        <v>416412.12</v>
      </c>
      <c r="H96" s="218">
        <f t="shared" si="17"/>
        <v>468836.91000000003</v>
      </c>
      <c r="I96" s="218">
        <f t="shared" si="18"/>
        <v>416412.12</v>
      </c>
      <c r="J96" s="218">
        <f t="shared" si="19"/>
        <v>543850.81559999997</v>
      </c>
      <c r="K96" s="218">
        <f t="shared" si="20"/>
        <v>483038.05919999996</v>
      </c>
      <c r="M96" s="218">
        <f t="shared" si="15"/>
        <v>543850.81747456</v>
      </c>
      <c r="N96" s="218">
        <f t="shared" si="16"/>
        <v>483038.05411281995</v>
      </c>
      <c r="O96" s="47"/>
    </row>
    <row r="97" spans="2:21" s="37" customFormat="1" ht="15" hidden="1" customHeight="1">
      <c r="B97" s="120">
        <f t="shared" si="21"/>
        <v>76</v>
      </c>
      <c r="C97" s="115"/>
      <c r="D97" s="218">
        <f>FACTORES!F115</f>
        <v>379599.18</v>
      </c>
      <c r="E97" s="218">
        <f>FACTORES!G115</f>
        <v>334611.08</v>
      </c>
      <c r="F97" s="218">
        <f t="shared" si="13"/>
        <v>492968.5</v>
      </c>
      <c r="G97" s="218">
        <f t="shared" si="14"/>
        <v>434805.63</v>
      </c>
      <c r="H97" s="218">
        <f t="shared" si="17"/>
        <v>492968.5</v>
      </c>
      <c r="I97" s="218">
        <f t="shared" si="18"/>
        <v>434805.63</v>
      </c>
      <c r="J97" s="218">
        <f t="shared" si="19"/>
        <v>571843.46</v>
      </c>
      <c r="K97" s="218">
        <f t="shared" si="20"/>
        <v>504374.53079999995</v>
      </c>
      <c r="M97" s="218">
        <f t="shared" si="15"/>
        <v>571843.45984108001</v>
      </c>
      <c r="N97" s="218">
        <f t="shared" si="16"/>
        <v>504374.53634247999</v>
      </c>
      <c r="O97" s="47"/>
      <c r="U97" s="53"/>
    </row>
    <row r="98" spans="2:21" s="37" customFormat="1" ht="15" hidden="1" customHeight="1">
      <c r="B98" s="120">
        <f t="shared" si="21"/>
        <v>77</v>
      </c>
      <c r="C98" s="115"/>
      <c r="D98" s="218">
        <f>FACTORES!F116</f>
        <v>398829.08</v>
      </c>
      <c r="E98" s="218">
        <f>FACTORES!G116</f>
        <v>349786.57</v>
      </c>
      <c r="F98" s="218">
        <f t="shared" si="13"/>
        <v>517829.88</v>
      </c>
      <c r="G98" s="218">
        <f t="shared" si="14"/>
        <v>454425.27</v>
      </c>
      <c r="H98" s="218">
        <f t="shared" si="17"/>
        <v>517829.88</v>
      </c>
      <c r="I98" s="218">
        <f t="shared" si="18"/>
        <v>454425.27</v>
      </c>
      <c r="J98" s="218">
        <f t="shared" si="19"/>
        <v>600682.66079999995</v>
      </c>
      <c r="K98" s="218">
        <f t="shared" si="20"/>
        <v>527133.31319999998</v>
      </c>
      <c r="M98" s="218">
        <f t="shared" si="15"/>
        <v>600682.65625047998</v>
      </c>
      <c r="N98" s="218">
        <f t="shared" si="16"/>
        <v>527133.30974842003</v>
      </c>
      <c r="O98" s="47"/>
      <c r="U98" s="53"/>
    </row>
    <row r="99" spans="2:21" s="37" customFormat="1" ht="15" hidden="1" customHeight="1">
      <c r="B99" s="120">
        <f t="shared" si="21"/>
        <v>78</v>
      </c>
      <c r="C99" s="115"/>
      <c r="D99" s="218">
        <f>FACTORES!F117</f>
        <v>419283.12</v>
      </c>
      <c r="E99" s="218">
        <f>FACTORES!G117</f>
        <v>365527.86</v>
      </c>
      <c r="F99" s="218">
        <f t="shared" si="13"/>
        <v>544273.88000000012</v>
      </c>
      <c r="G99" s="218">
        <f t="shared" si="14"/>
        <v>474776.39</v>
      </c>
      <c r="H99" s="218">
        <f t="shared" si="17"/>
        <v>544273.88000000012</v>
      </c>
      <c r="I99" s="218">
        <f t="shared" si="18"/>
        <v>474776.39</v>
      </c>
      <c r="J99" s="218">
        <f t="shared" si="19"/>
        <v>631357.70080000011</v>
      </c>
      <c r="K99" s="218">
        <f t="shared" si="20"/>
        <v>550740.61239999998</v>
      </c>
      <c r="M99" s="218">
        <f t="shared" si="15"/>
        <v>631357.70276271994</v>
      </c>
      <c r="N99" s="218">
        <f t="shared" si="16"/>
        <v>550740.61680915998</v>
      </c>
      <c r="O99" s="47"/>
      <c r="U99" s="53"/>
    </row>
    <row r="100" spans="2:21" s="37" customFormat="1" ht="15" hidden="1" customHeight="1">
      <c r="B100" s="120">
        <f t="shared" si="21"/>
        <v>79</v>
      </c>
      <c r="C100" s="115"/>
      <c r="D100" s="218">
        <f>FACTORES!F118</f>
        <v>442498.97</v>
      </c>
      <c r="E100" s="218">
        <f>FACTORES!G118</f>
        <v>381266.44</v>
      </c>
      <c r="F100" s="218">
        <f t="shared" si="13"/>
        <v>574288.49000000011</v>
      </c>
      <c r="G100" s="218">
        <f t="shared" si="14"/>
        <v>495124.02</v>
      </c>
      <c r="H100" s="218">
        <f t="shared" si="17"/>
        <v>574288.49000000011</v>
      </c>
      <c r="I100" s="218">
        <f t="shared" si="18"/>
        <v>495124.02</v>
      </c>
      <c r="J100" s="218">
        <f t="shared" si="19"/>
        <v>666174.64840000006</v>
      </c>
      <c r="K100" s="218">
        <f t="shared" si="20"/>
        <v>574343.86320000002</v>
      </c>
      <c r="M100" s="218">
        <f t="shared" si="15"/>
        <v>666174.65230281977</v>
      </c>
      <c r="N100" s="218">
        <f t="shared" si="16"/>
        <v>574343.85966664006</v>
      </c>
      <c r="O100" s="47"/>
      <c r="U100" s="53"/>
    </row>
    <row r="101" spans="2:21" s="37" customFormat="1" ht="15" hidden="1" customHeight="1">
      <c r="B101" s="120">
        <f t="shared" si="21"/>
        <v>80</v>
      </c>
      <c r="C101" s="115"/>
      <c r="D101" s="218">
        <f>FACTORES!F119</f>
        <v>464669.98</v>
      </c>
      <c r="E101" s="218">
        <f>FACTORES!G119</f>
        <v>397792</v>
      </c>
      <c r="F101" s="218">
        <f t="shared" si="13"/>
        <v>602952.28</v>
      </c>
      <c r="G101" s="218">
        <f t="shared" si="14"/>
        <v>516489.09</v>
      </c>
      <c r="H101" s="218">
        <f t="shared" si="17"/>
        <v>602952.28</v>
      </c>
      <c r="I101" s="218">
        <f t="shared" si="18"/>
        <v>516489.09</v>
      </c>
      <c r="J101" s="218">
        <f t="shared" si="19"/>
        <v>699424.64480000001</v>
      </c>
      <c r="K101" s="218">
        <f t="shared" si="20"/>
        <v>599127.34439999994</v>
      </c>
      <c r="M101" s="218">
        <f t="shared" si="15"/>
        <v>699424.64902587992</v>
      </c>
      <c r="N101" s="218">
        <f t="shared" si="16"/>
        <v>599127.34115200001</v>
      </c>
      <c r="O101" s="47"/>
      <c r="U101" s="53"/>
    </row>
    <row r="102" spans="2:21" s="37" customFormat="1" ht="15" hidden="1" customHeight="1">
      <c r="B102" s="120">
        <f t="shared" si="21"/>
        <v>81</v>
      </c>
      <c r="C102" s="115"/>
      <c r="D102" s="218">
        <f>FACTORES!F120</f>
        <v>490076.55</v>
      </c>
      <c r="E102" s="218">
        <f>FACTORES!G120</f>
        <v>414460.48</v>
      </c>
      <c r="F102" s="218">
        <f t="shared" si="13"/>
        <v>635799.17000000004</v>
      </c>
      <c r="G102" s="218">
        <f t="shared" si="14"/>
        <v>538038.93000000005</v>
      </c>
      <c r="H102" s="218">
        <f t="shared" si="17"/>
        <v>635799.17000000004</v>
      </c>
      <c r="I102" s="218">
        <f t="shared" si="18"/>
        <v>538038.93000000005</v>
      </c>
      <c r="J102" s="218">
        <f t="shared" si="19"/>
        <v>737527.03720000002</v>
      </c>
      <c r="K102" s="218">
        <f t="shared" si="20"/>
        <v>624125.15879999998</v>
      </c>
      <c r="M102" s="218">
        <f t="shared" si="15"/>
        <v>737527.03449429991</v>
      </c>
      <c r="N102" s="218">
        <f t="shared" si="16"/>
        <v>624125.16061887983</v>
      </c>
      <c r="O102" s="47"/>
      <c r="U102" s="53"/>
    </row>
    <row r="103" spans="2:21" s="37" customFormat="1" ht="15" hidden="1" customHeight="1">
      <c r="B103" s="120">
        <f t="shared" si="21"/>
        <v>82</v>
      </c>
      <c r="C103" s="115"/>
      <c r="D103" s="218">
        <f>FACTORES!F121</f>
        <v>515983.48</v>
      </c>
      <c r="E103" s="218">
        <f>FACTORES!G121</f>
        <v>431307.57</v>
      </c>
      <c r="F103" s="218">
        <f t="shared" si="13"/>
        <v>669292.94000000006</v>
      </c>
      <c r="G103" s="218">
        <f t="shared" si="14"/>
        <v>559819.69000000006</v>
      </c>
      <c r="H103" s="218">
        <f t="shared" si="17"/>
        <v>669292.94000000006</v>
      </c>
      <c r="I103" s="218">
        <f t="shared" si="18"/>
        <v>559819.69000000006</v>
      </c>
      <c r="J103" s="218">
        <f t="shared" si="19"/>
        <v>776379.81040000007</v>
      </c>
      <c r="K103" s="218">
        <f t="shared" si="20"/>
        <v>649390.84039999999</v>
      </c>
      <c r="M103" s="218">
        <f t="shared" si="15"/>
        <v>776379.81285687978</v>
      </c>
      <c r="N103" s="218">
        <f t="shared" si="16"/>
        <v>649390.8425744198</v>
      </c>
      <c r="O103" s="47"/>
      <c r="U103" s="53"/>
    </row>
    <row r="104" spans="2:21" s="37" customFormat="1" ht="15" hidden="1" customHeight="1">
      <c r="B104" s="120">
        <f t="shared" si="21"/>
        <v>83</v>
      </c>
      <c r="C104" s="115"/>
      <c r="D104" s="218">
        <f>FACTORES!F122</f>
        <v>543236.38</v>
      </c>
      <c r="E104" s="218">
        <f>FACTORES!G122</f>
        <v>450388.65</v>
      </c>
      <c r="F104" s="218">
        <f t="shared" si="13"/>
        <v>704526.85000000009</v>
      </c>
      <c r="G104" s="218">
        <f t="shared" si="14"/>
        <v>584488.67000000004</v>
      </c>
      <c r="H104" s="218">
        <f t="shared" si="17"/>
        <v>704526.85000000009</v>
      </c>
      <c r="I104" s="218">
        <f t="shared" si="18"/>
        <v>584488.67000000004</v>
      </c>
      <c r="J104" s="218">
        <f t="shared" si="19"/>
        <v>817251.14600000007</v>
      </c>
      <c r="K104" s="218">
        <f t="shared" si="20"/>
        <v>678006.85719999997</v>
      </c>
      <c r="M104" s="218">
        <f t="shared" si="15"/>
        <v>817251.15050427988</v>
      </c>
      <c r="N104" s="218">
        <f t="shared" si="16"/>
        <v>678006.85273689986</v>
      </c>
      <c r="O104" s="47"/>
      <c r="U104" s="53"/>
    </row>
    <row r="105" spans="2:21" s="37" customFormat="1" ht="15" hidden="1" customHeight="1">
      <c r="B105" s="120">
        <f t="shared" si="21"/>
        <v>84</v>
      </c>
      <c r="C105" s="115"/>
      <c r="D105" s="218">
        <f>FACTORES!F123</f>
        <v>572936.47</v>
      </c>
      <c r="E105" s="218">
        <f>FACTORES!G123</f>
        <v>468999.24</v>
      </c>
      <c r="F105" s="218">
        <f t="shared" si="13"/>
        <v>742924.62000000011</v>
      </c>
      <c r="G105" s="218">
        <f t="shared" si="14"/>
        <v>608549.37000000011</v>
      </c>
      <c r="H105" s="218">
        <f t="shared" ref="H105:I107" si="22">(F105*(1+$I$18))+$I$19</f>
        <v>742924.62000000011</v>
      </c>
      <c r="I105" s="218">
        <f t="shared" si="22"/>
        <v>608549.37000000011</v>
      </c>
      <c r="J105" s="218">
        <f t="shared" ref="J105:K107" si="23">H105*(1+$K$19)</f>
        <v>861792.55920000002</v>
      </c>
      <c r="K105" s="218">
        <f t="shared" si="23"/>
        <v>705917.2692000001</v>
      </c>
      <c r="M105" s="218">
        <f>(D105*$G$5*$G$6*$G$7*$G$11*$G$12*$G$8+(ADIC+DENTAL+CVISION+IKE)*(1-DESC))*(1+IVA)</f>
        <v>861792.55367781979</v>
      </c>
      <c r="N105" s="218">
        <f>(E105*$G$5*$G$6*$G$7*$G$11*$G$12*$G$8+(ADIC+DENTAL+CVISION+IKE)*(1-DESC))*(1+IVA)</f>
        <v>705917.26622343983</v>
      </c>
      <c r="O105" s="47"/>
      <c r="U105" s="53"/>
    </row>
    <row r="106" spans="2:21" s="37" customFormat="1" ht="15" hidden="1" customHeight="1" thickBot="1">
      <c r="B106" s="120">
        <f t="shared" si="21"/>
        <v>85</v>
      </c>
      <c r="C106" s="115"/>
      <c r="D106" s="218">
        <f>FACTORES!$F$124</f>
        <v>602342.93999999994</v>
      </c>
      <c r="E106" s="218">
        <f>FACTORES!$G$124</f>
        <v>486994.23</v>
      </c>
      <c r="F106" s="218">
        <f t="shared" si="13"/>
        <v>780942.77</v>
      </c>
      <c r="G106" s="218">
        <f t="shared" si="14"/>
        <v>631814.19000000006</v>
      </c>
      <c r="H106" s="218">
        <f t="shared" si="22"/>
        <v>780942.77</v>
      </c>
      <c r="I106" s="218">
        <f t="shared" si="22"/>
        <v>631814.19000000006</v>
      </c>
      <c r="J106" s="218">
        <f t="shared" si="23"/>
        <v>905893.61319999991</v>
      </c>
      <c r="K106" s="218">
        <f t="shared" si="23"/>
        <v>732904.46039999998</v>
      </c>
      <c r="M106" s="219">
        <f>(D106*$G$5*$G$6*$G$7*$G$11*$G$12*$G$8+(ADIC+DENTAL+CVISION+IKE)*(1-DESC))*(1+IVA)</f>
        <v>905893.61317563977</v>
      </c>
      <c r="N106" s="219">
        <f>(E106*$G$5*$G$6*$G$7*$G$11*$G$12*$G$8+(ADIC+DENTAL+CVISION+IKE)*(1-DESC))*(1+IVA)</f>
        <v>732904.46069637989</v>
      </c>
      <c r="O106" s="47"/>
      <c r="U106" s="53"/>
    </row>
    <row r="107" spans="2:21" s="37" customFormat="1" ht="15" hidden="1" customHeight="1" thickTop="1">
      <c r="B107" s="120">
        <f t="shared" si="21"/>
        <v>86</v>
      </c>
      <c r="C107" s="115"/>
      <c r="D107" s="218">
        <f>FACTORES!$F$124</f>
        <v>602342.93999999994</v>
      </c>
      <c r="E107" s="218">
        <f>FACTORES!$G$124</f>
        <v>486994.23</v>
      </c>
      <c r="F107" s="218">
        <f t="shared" ref="F107" si="24">ROUND(D107*$G$5*$G$6*$G$7*$G$11*$G$12*$G$8,2)+ADIC+DENTAL+IKE+CVISION</f>
        <v>780942.77</v>
      </c>
      <c r="G107" s="218">
        <f t="shared" ref="G107" si="25">ROUND(E107*$G$5*$G$6*$G$7*$G$11*$G$12*$G$8,2)+ADIC+DENTAL+IKE+CVISION</f>
        <v>631814.19000000006</v>
      </c>
      <c r="H107" s="218">
        <f t="shared" si="22"/>
        <v>780942.77</v>
      </c>
      <c r="I107" s="218">
        <f t="shared" si="22"/>
        <v>631814.19000000006</v>
      </c>
      <c r="J107" s="218">
        <f t="shared" si="23"/>
        <v>905893.61319999991</v>
      </c>
      <c r="K107" s="218">
        <f t="shared" si="23"/>
        <v>732904.46039999998</v>
      </c>
      <c r="O107" s="47"/>
    </row>
    <row r="108" spans="2:21" s="37" customFormat="1" ht="15" hidden="1" customHeight="1">
      <c r="B108" s="120">
        <f t="shared" si="21"/>
        <v>87</v>
      </c>
      <c r="C108" s="115"/>
      <c r="D108" s="218">
        <f>FACTORES!$F$124</f>
        <v>602342.93999999994</v>
      </c>
      <c r="E108" s="218">
        <f>FACTORES!$G$124</f>
        <v>486994.23</v>
      </c>
      <c r="F108" s="218">
        <f t="shared" ref="F108:F121" si="26">ROUND(D108*$G$5*$G$6*$G$7*$G$11*$G$12*$G$8,2)+ADIC+DENTAL+IKE+CVISION</f>
        <v>780942.77</v>
      </c>
      <c r="G108" s="218">
        <f t="shared" ref="G108:G121" si="27">ROUND(E108*$G$5*$G$6*$G$7*$G$11*$G$12*$G$8,2)+ADIC+DENTAL+IKE+CVISION</f>
        <v>631814.19000000006</v>
      </c>
      <c r="H108" s="218">
        <f t="shared" ref="H108:H121" si="28">(F108*(1+$I$18))+$I$19</f>
        <v>780942.77</v>
      </c>
      <c r="I108" s="218">
        <f t="shared" ref="I108:I121" si="29">(G108*(1+$I$18))+$I$19</f>
        <v>631814.19000000006</v>
      </c>
      <c r="J108" s="218">
        <f t="shared" ref="J108:J121" si="30">H108*(1+$K$19)</f>
        <v>905893.61319999991</v>
      </c>
      <c r="K108" s="218">
        <f t="shared" ref="K108:K121" si="31">I108*(1+$K$19)</f>
        <v>732904.46039999998</v>
      </c>
      <c r="O108" s="47"/>
    </row>
    <row r="109" spans="2:21" s="37" customFormat="1" ht="15" hidden="1" customHeight="1">
      <c r="B109" s="120">
        <f t="shared" si="21"/>
        <v>88</v>
      </c>
      <c r="C109" s="115"/>
      <c r="D109" s="218">
        <f>FACTORES!$F$124</f>
        <v>602342.93999999994</v>
      </c>
      <c r="E109" s="218">
        <f>FACTORES!$G$124</f>
        <v>486994.23</v>
      </c>
      <c r="F109" s="218">
        <f t="shared" si="26"/>
        <v>780942.77</v>
      </c>
      <c r="G109" s="218">
        <f t="shared" si="27"/>
        <v>631814.19000000006</v>
      </c>
      <c r="H109" s="218">
        <f t="shared" si="28"/>
        <v>780942.77</v>
      </c>
      <c r="I109" s="218">
        <f t="shared" si="29"/>
        <v>631814.19000000006</v>
      </c>
      <c r="J109" s="218">
        <f t="shared" si="30"/>
        <v>905893.61319999991</v>
      </c>
      <c r="K109" s="218">
        <f t="shared" si="31"/>
        <v>732904.46039999998</v>
      </c>
      <c r="O109" s="47"/>
    </row>
    <row r="110" spans="2:21" s="37" customFormat="1" ht="15" hidden="1" customHeight="1">
      <c r="B110" s="120">
        <f t="shared" si="21"/>
        <v>89</v>
      </c>
      <c r="C110" s="115"/>
      <c r="D110" s="218">
        <f>FACTORES!$F$124</f>
        <v>602342.93999999994</v>
      </c>
      <c r="E110" s="218">
        <f>FACTORES!$G$124</f>
        <v>486994.23</v>
      </c>
      <c r="F110" s="218">
        <f t="shared" si="26"/>
        <v>780942.77</v>
      </c>
      <c r="G110" s="218">
        <f t="shared" si="27"/>
        <v>631814.19000000006</v>
      </c>
      <c r="H110" s="218">
        <f t="shared" si="28"/>
        <v>780942.77</v>
      </c>
      <c r="I110" s="218">
        <f t="shared" si="29"/>
        <v>631814.19000000006</v>
      </c>
      <c r="J110" s="218">
        <f t="shared" si="30"/>
        <v>905893.61319999991</v>
      </c>
      <c r="K110" s="218">
        <f t="shared" si="31"/>
        <v>732904.46039999998</v>
      </c>
      <c r="O110" s="47"/>
    </row>
    <row r="111" spans="2:21" s="37" customFormat="1" ht="15" hidden="1" customHeight="1">
      <c r="B111" s="120">
        <f t="shared" si="21"/>
        <v>90</v>
      </c>
      <c r="C111" s="115"/>
      <c r="D111" s="218">
        <f>FACTORES!$F$124</f>
        <v>602342.93999999994</v>
      </c>
      <c r="E111" s="218">
        <f>FACTORES!$G$124</f>
        <v>486994.23</v>
      </c>
      <c r="F111" s="218">
        <f t="shared" si="26"/>
        <v>780942.77</v>
      </c>
      <c r="G111" s="218">
        <f t="shared" si="27"/>
        <v>631814.19000000006</v>
      </c>
      <c r="H111" s="218">
        <f t="shared" si="28"/>
        <v>780942.77</v>
      </c>
      <c r="I111" s="218">
        <f t="shared" si="29"/>
        <v>631814.19000000006</v>
      </c>
      <c r="J111" s="218">
        <f t="shared" si="30"/>
        <v>905893.61319999991</v>
      </c>
      <c r="K111" s="218">
        <f t="shared" si="31"/>
        <v>732904.46039999998</v>
      </c>
      <c r="O111" s="47"/>
    </row>
    <row r="112" spans="2:21" s="37" customFormat="1" ht="15" hidden="1" customHeight="1">
      <c r="B112" s="120">
        <f t="shared" si="21"/>
        <v>91</v>
      </c>
      <c r="C112" s="115"/>
      <c r="D112" s="218">
        <f>FACTORES!$F$124</f>
        <v>602342.93999999994</v>
      </c>
      <c r="E112" s="218">
        <f>FACTORES!$G$124</f>
        <v>486994.23</v>
      </c>
      <c r="F112" s="218">
        <f t="shared" si="26"/>
        <v>780942.77</v>
      </c>
      <c r="G112" s="218">
        <f t="shared" si="27"/>
        <v>631814.19000000006</v>
      </c>
      <c r="H112" s="218">
        <f t="shared" si="28"/>
        <v>780942.77</v>
      </c>
      <c r="I112" s="218">
        <f t="shared" si="29"/>
        <v>631814.19000000006</v>
      </c>
      <c r="J112" s="218">
        <f t="shared" si="30"/>
        <v>905893.61319999991</v>
      </c>
      <c r="K112" s="218">
        <f t="shared" si="31"/>
        <v>732904.46039999998</v>
      </c>
    </row>
    <row r="113" spans="2:15" s="37" customFormat="1" ht="15" hidden="1" customHeight="1">
      <c r="B113" s="120">
        <f t="shared" si="21"/>
        <v>92</v>
      </c>
      <c r="C113" s="115"/>
      <c r="D113" s="218">
        <f>FACTORES!$F$124</f>
        <v>602342.93999999994</v>
      </c>
      <c r="E113" s="218">
        <f>FACTORES!$G$124</f>
        <v>486994.23</v>
      </c>
      <c r="F113" s="218">
        <f t="shared" si="26"/>
        <v>780942.77</v>
      </c>
      <c r="G113" s="218">
        <f t="shared" si="27"/>
        <v>631814.19000000006</v>
      </c>
      <c r="H113" s="218">
        <f t="shared" si="28"/>
        <v>780942.77</v>
      </c>
      <c r="I113" s="218">
        <f t="shared" si="29"/>
        <v>631814.19000000006</v>
      </c>
      <c r="J113" s="218">
        <f t="shared" si="30"/>
        <v>905893.61319999991</v>
      </c>
      <c r="K113" s="218">
        <f t="shared" si="31"/>
        <v>732904.46039999998</v>
      </c>
      <c r="O113" s="47"/>
    </row>
    <row r="114" spans="2:15" s="37" customFormat="1" ht="15" hidden="1" customHeight="1">
      <c r="B114" s="120">
        <f t="shared" si="21"/>
        <v>93</v>
      </c>
      <c r="C114" s="115"/>
      <c r="D114" s="218">
        <f>FACTORES!$F$124</f>
        <v>602342.93999999994</v>
      </c>
      <c r="E114" s="218">
        <f>FACTORES!$G$124</f>
        <v>486994.23</v>
      </c>
      <c r="F114" s="218">
        <f t="shared" si="26"/>
        <v>780942.77</v>
      </c>
      <c r="G114" s="218">
        <f t="shared" si="27"/>
        <v>631814.19000000006</v>
      </c>
      <c r="H114" s="218">
        <f t="shared" si="28"/>
        <v>780942.77</v>
      </c>
      <c r="I114" s="218">
        <f t="shared" si="29"/>
        <v>631814.19000000006</v>
      </c>
      <c r="J114" s="218">
        <f t="shared" si="30"/>
        <v>905893.61319999991</v>
      </c>
      <c r="K114" s="218">
        <f t="shared" si="31"/>
        <v>732904.46039999998</v>
      </c>
      <c r="O114" s="47"/>
    </row>
    <row r="115" spans="2:15" s="37" customFormat="1" ht="15" hidden="1" customHeight="1">
      <c r="B115" s="120">
        <f t="shared" si="21"/>
        <v>94</v>
      </c>
      <c r="C115" s="115"/>
      <c r="D115" s="218">
        <f>FACTORES!$F$124</f>
        <v>602342.93999999994</v>
      </c>
      <c r="E115" s="218">
        <f>FACTORES!$G$124</f>
        <v>486994.23</v>
      </c>
      <c r="F115" s="218">
        <f t="shared" si="26"/>
        <v>780942.77</v>
      </c>
      <c r="G115" s="218">
        <f t="shared" si="27"/>
        <v>631814.19000000006</v>
      </c>
      <c r="H115" s="218">
        <f t="shared" si="28"/>
        <v>780942.77</v>
      </c>
      <c r="I115" s="218">
        <f t="shared" si="29"/>
        <v>631814.19000000006</v>
      </c>
      <c r="J115" s="218">
        <f t="shared" si="30"/>
        <v>905893.61319999991</v>
      </c>
      <c r="K115" s="218">
        <f t="shared" si="31"/>
        <v>732904.46039999998</v>
      </c>
      <c r="O115" s="47"/>
    </row>
    <row r="116" spans="2:15" s="37" customFormat="1" ht="15" hidden="1" customHeight="1">
      <c r="B116" s="120">
        <f t="shared" si="21"/>
        <v>95</v>
      </c>
      <c r="C116" s="115"/>
      <c r="D116" s="218">
        <f>FACTORES!$F$124</f>
        <v>602342.93999999994</v>
      </c>
      <c r="E116" s="218">
        <f>FACTORES!$G$124</f>
        <v>486994.23</v>
      </c>
      <c r="F116" s="218">
        <f t="shared" si="26"/>
        <v>780942.77</v>
      </c>
      <c r="G116" s="218">
        <f t="shared" si="27"/>
        <v>631814.19000000006</v>
      </c>
      <c r="H116" s="218">
        <f t="shared" si="28"/>
        <v>780942.77</v>
      </c>
      <c r="I116" s="218">
        <f t="shared" si="29"/>
        <v>631814.19000000006</v>
      </c>
      <c r="J116" s="218">
        <f t="shared" si="30"/>
        <v>905893.61319999991</v>
      </c>
      <c r="K116" s="218">
        <f t="shared" si="31"/>
        <v>732904.46039999998</v>
      </c>
      <c r="O116" s="47"/>
    </row>
    <row r="117" spans="2:15" s="37" customFormat="1" ht="15" hidden="1" customHeight="1">
      <c r="B117" s="120">
        <f t="shared" si="21"/>
        <v>96</v>
      </c>
      <c r="C117" s="115"/>
      <c r="D117" s="218">
        <f>FACTORES!$F$124</f>
        <v>602342.93999999994</v>
      </c>
      <c r="E117" s="218">
        <f>FACTORES!$G$124</f>
        <v>486994.23</v>
      </c>
      <c r="F117" s="218">
        <f t="shared" si="26"/>
        <v>780942.77</v>
      </c>
      <c r="G117" s="218">
        <f t="shared" si="27"/>
        <v>631814.19000000006</v>
      </c>
      <c r="H117" s="218">
        <f t="shared" si="28"/>
        <v>780942.77</v>
      </c>
      <c r="I117" s="218">
        <f t="shared" si="29"/>
        <v>631814.19000000006</v>
      </c>
      <c r="J117" s="218">
        <f t="shared" si="30"/>
        <v>905893.61319999991</v>
      </c>
      <c r="K117" s="218">
        <f t="shared" si="31"/>
        <v>732904.46039999998</v>
      </c>
    </row>
    <row r="118" spans="2:15" s="37" customFormat="1" ht="15" hidden="1" customHeight="1">
      <c r="B118" s="120">
        <f t="shared" si="21"/>
        <v>97</v>
      </c>
      <c r="C118" s="115"/>
      <c r="D118" s="218">
        <f>FACTORES!$F$124</f>
        <v>602342.93999999994</v>
      </c>
      <c r="E118" s="218">
        <f>FACTORES!$G$124</f>
        <v>486994.23</v>
      </c>
      <c r="F118" s="218">
        <f t="shared" si="26"/>
        <v>780942.77</v>
      </c>
      <c r="G118" s="218">
        <f t="shared" si="27"/>
        <v>631814.19000000006</v>
      </c>
      <c r="H118" s="218">
        <f t="shared" si="28"/>
        <v>780942.77</v>
      </c>
      <c r="I118" s="218">
        <f t="shared" si="29"/>
        <v>631814.19000000006</v>
      </c>
      <c r="J118" s="218">
        <f t="shared" si="30"/>
        <v>905893.61319999991</v>
      </c>
      <c r="K118" s="218">
        <f t="shared" si="31"/>
        <v>732904.46039999998</v>
      </c>
      <c r="O118" s="47"/>
    </row>
    <row r="119" spans="2:15" s="37" customFormat="1" ht="15" hidden="1" customHeight="1">
      <c r="B119" s="120">
        <f t="shared" si="21"/>
        <v>98</v>
      </c>
      <c r="C119" s="115"/>
      <c r="D119" s="218">
        <f>FACTORES!$F$124</f>
        <v>602342.93999999994</v>
      </c>
      <c r="E119" s="218">
        <f>FACTORES!$G$124</f>
        <v>486994.23</v>
      </c>
      <c r="F119" s="218">
        <f t="shared" si="26"/>
        <v>780942.77</v>
      </c>
      <c r="G119" s="218">
        <f t="shared" si="27"/>
        <v>631814.19000000006</v>
      </c>
      <c r="H119" s="218">
        <f t="shared" si="28"/>
        <v>780942.77</v>
      </c>
      <c r="I119" s="218">
        <f t="shared" si="29"/>
        <v>631814.19000000006</v>
      </c>
      <c r="J119" s="218">
        <f t="shared" si="30"/>
        <v>905893.61319999991</v>
      </c>
      <c r="K119" s="218">
        <f t="shared" si="31"/>
        <v>732904.46039999998</v>
      </c>
      <c r="O119" s="47"/>
    </row>
    <row r="120" spans="2:15" s="37" customFormat="1" ht="15" hidden="1" customHeight="1">
      <c r="B120" s="120">
        <f t="shared" si="21"/>
        <v>99</v>
      </c>
      <c r="C120" s="115"/>
      <c r="D120" s="218">
        <f>FACTORES!$F$124</f>
        <v>602342.93999999994</v>
      </c>
      <c r="E120" s="218">
        <f>FACTORES!$G$124</f>
        <v>486994.23</v>
      </c>
      <c r="F120" s="218">
        <f t="shared" si="26"/>
        <v>780942.77</v>
      </c>
      <c r="G120" s="218">
        <f t="shared" si="27"/>
        <v>631814.19000000006</v>
      </c>
      <c r="H120" s="218">
        <f t="shared" si="28"/>
        <v>780942.77</v>
      </c>
      <c r="I120" s="218">
        <f t="shared" si="29"/>
        <v>631814.19000000006</v>
      </c>
      <c r="J120" s="218">
        <f t="shared" si="30"/>
        <v>905893.61319999991</v>
      </c>
      <c r="K120" s="218">
        <f t="shared" si="31"/>
        <v>732904.46039999998</v>
      </c>
      <c r="O120" s="47"/>
    </row>
    <row r="121" spans="2:15" s="37" customFormat="1" ht="15" hidden="1" customHeight="1" thickBot="1">
      <c r="B121" s="121">
        <f t="shared" si="21"/>
        <v>100</v>
      </c>
      <c r="C121" s="116"/>
      <c r="D121" s="219">
        <f>FACTORES!$F$124</f>
        <v>602342.93999999994</v>
      </c>
      <c r="E121" s="219">
        <f>FACTORES!$G$124</f>
        <v>486994.23</v>
      </c>
      <c r="F121" s="219">
        <f t="shared" si="26"/>
        <v>780942.77</v>
      </c>
      <c r="G121" s="219">
        <f t="shared" si="27"/>
        <v>631814.19000000006</v>
      </c>
      <c r="H121" s="219">
        <f t="shared" si="28"/>
        <v>780942.77</v>
      </c>
      <c r="I121" s="219">
        <f t="shared" si="29"/>
        <v>631814.19000000006</v>
      </c>
      <c r="J121" s="219">
        <f t="shared" si="30"/>
        <v>905893.61319999991</v>
      </c>
      <c r="K121" s="219">
        <f t="shared" si="31"/>
        <v>732904.46039999998</v>
      </c>
      <c r="O121" s="47"/>
    </row>
    <row r="122" spans="2:15" s="37" customFormat="1" ht="15" hidden="1" customHeight="1" thickTop="1"/>
    <row r="123" spans="2:15" s="37" customFormat="1" ht="15" hidden="1" customHeight="1">
      <c r="O123" s="47"/>
    </row>
    <row r="124" spans="2:15" s="37" customFormat="1" ht="15" hidden="1" customHeight="1">
      <c r="O124" s="47"/>
    </row>
    <row r="125" spans="2:15" s="37" customFormat="1" ht="15" hidden="1" customHeight="1">
      <c r="O125" s="47"/>
    </row>
    <row r="126" spans="2:15" s="37" customFormat="1" ht="15" hidden="1" customHeight="1">
      <c r="O126" s="47"/>
    </row>
    <row r="127" spans="2:15" s="37" customFormat="1" ht="15" hidden="1" customHeight="1">
      <c r="O127" s="47"/>
    </row>
    <row r="128" spans="2:15" s="37" customFormat="1" ht="15" hidden="1" customHeight="1">
      <c r="O128" s="47"/>
    </row>
    <row r="129" spans="15:23" s="37" customFormat="1" ht="15" hidden="1" customHeight="1">
      <c r="O129" s="47"/>
    </row>
    <row r="130" spans="15:23" s="37" customFormat="1" ht="15" hidden="1" customHeight="1">
      <c r="O130" s="47"/>
    </row>
    <row r="131" spans="15:23" s="37" customFormat="1" ht="15" hidden="1" customHeight="1">
      <c r="O131" s="47"/>
    </row>
    <row r="132" spans="15:23" s="37" customFormat="1" ht="15" hidden="1" customHeight="1">
      <c r="O132" s="47"/>
    </row>
    <row r="133" spans="15:23" s="37" customFormat="1" ht="15" hidden="1" customHeight="1"/>
    <row r="134" spans="15:23" s="37" customFormat="1" ht="15" hidden="1" customHeight="1">
      <c r="P134" s="764"/>
      <c r="Q134" s="764"/>
      <c r="R134" s="764"/>
      <c r="S134" s="764"/>
      <c r="T134" s="764"/>
      <c r="U134" s="764"/>
      <c r="V134" s="764"/>
      <c r="W134" s="764"/>
    </row>
    <row r="135" spans="15:23" s="37" customFormat="1" ht="15" hidden="1" customHeight="1">
      <c r="P135" s="764"/>
      <c r="Q135" s="764"/>
      <c r="R135" s="764"/>
      <c r="S135" s="764"/>
      <c r="T135" s="36"/>
      <c r="U135" s="36"/>
      <c r="V135" s="36"/>
      <c r="W135" s="36"/>
    </row>
    <row r="136" spans="15:23" s="37" customFormat="1" ht="15" hidden="1" customHeight="1">
      <c r="P136" s="36"/>
      <c r="Q136" s="36"/>
      <c r="R136" s="36"/>
      <c r="S136" s="36"/>
      <c r="T136" s="36"/>
      <c r="U136" s="36"/>
      <c r="V136" s="36"/>
      <c r="W136" s="36"/>
    </row>
    <row r="137" spans="15:23" s="37" customFormat="1" ht="15" hidden="1" customHeight="1">
      <c r="P137" s="27"/>
      <c r="T137" s="54"/>
      <c r="U137" s="36"/>
      <c r="W137" s="38"/>
    </row>
    <row r="138" spans="15:23" s="37" customFormat="1" ht="15" hidden="1" customHeight="1">
      <c r="S138" s="55"/>
      <c r="T138" s="54"/>
      <c r="U138" s="40"/>
      <c r="W138" s="38"/>
    </row>
    <row r="139" spans="15:23" s="37" customFormat="1" ht="10" hidden="1">
      <c r="S139" s="56"/>
      <c r="T139" s="54"/>
      <c r="U139" s="40"/>
      <c r="W139" s="38"/>
    </row>
    <row r="140" spans="15:23" s="37" customFormat="1" ht="10" hidden="1">
      <c r="S140" s="56"/>
      <c r="T140" s="54"/>
      <c r="U140" s="40"/>
      <c r="W140" s="38"/>
    </row>
    <row r="141" spans="15:23" s="37" customFormat="1" ht="10" hidden="1">
      <c r="S141" s="57"/>
      <c r="T141" s="54"/>
      <c r="U141" s="40"/>
      <c r="W141" s="38"/>
    </row>
    <row r="142" spans="15:23" s="37" customFormat="1" ht="10" hidden="1">
      <c r="Q142" s="58"/>
      <c r="R142" s="58"/>
      <c r="S142" s="58"/>
      <c r="T142" s="54"/>
      <c r="U142" s="40"/>
      <c r="W142" s="38"/>
    </row>
    <row r="143" spans="15:23" s="37" customFormat="1" ht="10" hidden="1">
      <c r="Q143" s="58"/>
      <c r="R143" s="58"/>
      <c r="S143" s="58"/>
      <c r="T143" s="54"/>
      <c r="U143" s="40"/>
      <c r="W143" s="38"/>
    </row>
    <row r="144" spans="15:23" s="37" customFormat="1" ht="10" hidden="1">
      <c r="Q144" s="58"/>
      <c r="R144" s="58"/>
      <c r="T144" s="54"/>
      <c r="U144" s="40"/>
      <c r="W144" s="38"/>
    </row>
    <row r="145" spans="16:23" s="37" customFormat="1" ht="10" hidden="1">
      <c r="Q145" s="58"/>
      <c r="R145" s="58"/>
      <c r="T145" s="54"/>
      <c r="U145" s="40"/>
      <c r="W145" s="38"/>
    </row>
    <row r="146" spans="16:23" s="37" customFormat="1" ht="10" hidden="1">
      <c r="Q146" s="59"/>
      <c r="R146" s="50"/>
      <c r="T146" s="54"/>
      <c r="U146" s="40"/>
      <c r="W146" s="38"/>
    </row>
    <row r="147" spans="16:23" s="37" customFormat="1" ht="10" hidden="1">
      <c r="Q147" s="59"/>
      <c r="R147" s="50"/>
      <c r="T147" s="54"/>
      <c r="U147" s="40"/>
      <c r="W147" s="38"/>
    </row>
    <row r="148" spans="16:23" s="37" customFormat="1" ht="10" hidden="1">
      <c r="Q148" s="58"/>
      <c r="R148" s="58"/>
      <c r="T148" s="54"/>
      <c r="U148" s="40"/>
      <c r="W148" s="38"/>
    </row>
    <row r="149" spans="16:23" s="37" customFormat="1" ht="10" hidden="1">
      <c r="P149" s="49"/>
      <c r="Q149" s="58"/>
      <c r="R149" s="58"/>
      <c r="W149" s="42"/>
    </row>
    <row r="150" spans="16:23" s="37" customFormat="1" ht="10" hidden="1">
      <c r="P150" s="49"/>
      <c r="Q150" s="763"/>
      <c r="R150" s="763"/>
      <c r="S150" s="762"/>
      <c r="T150" s="762"/>
      <c r="W150" s="38"/>
    </row>
    <row r="151" spans="16:23" s="37" customFormat="1" ht="10" hidden="1">
      <c r="P151" s="49"/>
      <c r="Q151" s="58"/>
      <c r="R151" s="58"/>
      <c r="W151" s="38"/>
    </row>
    <row r="152" spans="16:23" s="37" customFormat="1" ht="10" hidden="1">
      <c r="P152" s="41"/>
      <c r="Q152" s="59"/>
      <c r="R152" s="59"/>
      <c r="W152" s="38"/>
    </row>
    <row r="153" spans="16:23" s="37" customFormat="1" ht="10" hidden="1">
      <c r="P153" s="41"/>
      <c r="Q153" s="59"/>
      <c r="R153" s="59"/>
      <c r="W153" s="38"/>
    </row>
    <row r="154" spans="16:23" s="37" customFormat="1" ht="10" hidden="1">
      <c r="P154" s="36"/>
      <c r="R154" s="58"/>
      <c r="U154" s="27"/>
      <c r="V154" s="27"/>
      <c r="W154" s="42"/>
    </row>
    <row r="155" spans="16:23" s="37" customFormat="1" ht="10" hidden="1">
      <c r="R155" s="58"/>
    </row>
    <row r="156" spans="16:23" s="37" customFormat="1" ht="10" hidden="1"/>
    <row r="157" spans="16:23" s="37" customFormat="1" ht="10" hidden="1"/>
    <row r="158" spans="16:23" s="37" customFormat="1" ht="10" hidden="1"/>
    <row r="159" spans="16:23" s="37" customFormat="1" ht="10" hidden="1"/>
    <row r="160" spans="16:23" s="37" customFormat="1" ht="10" hidden="1"/>
    <row r="161" s="37" customFormat="1" ht="10" hidden="1"/>
    <row r="162" s="37" customFormat="1" ht="10" hidden="1"/>
    <row r="163" s="37" customFormat="1" ht="10" hidden="1"/>
    <row r="164" s="37" customFormat="1" ht="10" hidden="1"/>
    <row r="165" s="37" customFormat="1" ht="10" hidden="1"/>
    <row r="166" s="37" customFormat="1" ht="10" hidden="1"/>
    <row r="167" s="37" customFormat="1" ht="10" hidden="1"/>
    <row r="168" s="37" customFormat="1" ht="10" hidden="1"/>
    <row r="169" s="37" customFormat="1" ht="10" hidden="1"/>
    <row r="170" s="37" customFormat="1" ht="10" hidden="1"/>
    <row r="171" s="37" customFormat="1" ht="10" hidden="1"/>
    <row r="172" s="37" customFormat="1" ht="10" hidden="1"/>
    <row r="173" s="37" customFormat="1" ht="10" hidden="1"/>
    <row r="174" s="37" customFormat="1" ht="10" hidden="1"/>
    <row r="175" s="37" customFormat="1" ht="10" hidden="1"/>
    <row r="176" s="37" customFormat="1" ht="10" hidden="1"/>
    <row r="177" s="37" customFormat="1" ht="10" hidden="1"/>
    <row r="178" s="37" customFormat="1" ht="10" hidden="1"/>
    <row r="179" s="37" customFormat="1" ht="10" hidden="1"/>
    <row r="180" s="37" customFormat="1" ht="10" hidden="1"/>
    <row r="181" s="37" customFormat="1" ht="10" hidden="1"/>
    <row r="182" s="37" customFormat="1" ht="10" hidden="1"/>
    <row r="183" s="37" customFormat="1" ht="10" hidden="1"/>
    <row r="184" s="37" customFormat="1" ht="10" hidden="1"/>
    <row r="185" s="37" customFormat="1" ht="10" hidden="1"/>
    <row r="186" s="37" customFormat="1" ht="10" hidden="1"/>
    <row r="187" s="37" customFormat="1" ht="10" hidden="1"/>
    <row r="188" s="37" customFormat="1" ht="10" hidden="1"/>
    <row r="189" s="37" customFormat="1" ht="10" hidden="1"/>
    <row r="190" s="37" customFormat="1" ht="10" hidden="1"/>
    <row r="191" s="37" customFormat="1" ht="10" hidden="1"/>
    <row r="192" s="37" customFormat="1" ht="10" hidden="1"/>
    <row r="193" s="37" customFormat="1" ht="10" hidden="1"/>
    <row r="194" s="37" customFormat="1" ht="10" hidden="1"/>
    <row r="195" s="37" customFormat="1" ht="10" hidden="1"/>
    <row r="196" s="37" customFormat="1" ht="10" hidden="1"/>
    <row r="197" s="37" customFormat="1" ht="10" hidden="1"/>
    <row r="198" s="37" customFormat="1" ht="10" hidden="1"/>
    <row r="199" s="37" customFormat="1" ht="10" hidden="1"/>
    <row r="200" s="37" customFormat="1" ht="10" hidden="1"/>
    <row r="201" s="37" customFormat="1" ht="10" hidden="1"/>
    <row r="202" s="37" customFormat="1" ht="10" hidden="1"/>
    <row r="203" s="37" customFormat="1" ht="10" hidden="1"/>
    <row r="204" s="37" customFormat="1" ht="10" hidden="1"/>
    <row r="205" s="37" customFormat="1" ht="10" hidden="1"/>
    <row r="206" s="37" customFormat="1" ht="10" hidden="1"/>
    <row r="207" s="37" customFormat="1" ht="10" hidden="1"/>
    <row r="208" s="37" customFormat="1" ht="10" hidden="1"/>
    <row r="209" s="37" customFormat="1" ht="10" hidden="1"/>
    <row r="210" s="37" customFormat="1" ht="10" hidden="1"/>
    <row r="211" s="37" customFormat="1" ht="10" hidden="1"/>
    <row r="212" s="37" customFormat="1" ht="10" hidden="1"/>
    <row r="213" s="37" customFormat="1" ht="10" hidden="1"/>
    <row r="214" s="37" customFormat="1" ht="10" hidden="1"/>
    <row r="215" s="37" customFormat="1" ht="10" hidden="1"/>
    <row r="216" s="37" customFormat="1" ht="10" hidden="1"/>
    <row r="217" s="37" customFormat="1" ht="10" hidden="1"/>
    <row r="218" s="37" customFormat="1" ht="10" hidden="1"/>
    <row r="219" s="37" customFormat="1" ht="10" hidden="1"/>
  </sheetData>
  <sheetProtection algorithmName="SHA-512" hashValue="9yQQwuD/WFLt21mAqeFRUAlJeS7Kisdlo2TDF+nT0EnUGZwwpUhLw+pbMai57yJn503dFAuXXwr9N/8o2LKQhA==" saltValue="WibT2VZulDqLhXlBbLLCCA==" spinCount="100000" sheet="1" selectLockedCells="1" selectUnlockedCells="1"/>
  <mergeCells count="15">
    <mergeCell ref="M18:N18"/>
    <mergeCell ref="B20:C20"/>
    <mergeCell ref="I2:J8"/>
    <mergeCell ref="I12:J14"/>
    <mergeCell ref="F19:G19"/>
    <mergeCell ref="D19:E19"/>
    <mergeCell ref="J18:K18"/>
    <mergeCell ref="D18:E18"/>
    <mergeCell ref="F18:G18"/>
    <mergeCell ref="S150:T150"/>
    <mergeCell ref="Q150:R150"/>
    <mergeCell ref="P72:W72"/>
    <mergeCell ref="P135:S135"/>
    <mergeCell ref="P77:W77"/>
    <mergeCell ref="P134:W134"/>
  </mergeCells>
  <phoneticPr fontId="0" type="noConversion"/>
  <dataValidations count="3">
    <dataValidation allowBlank="1" showDropDown="1" sqref="E11:E14"/>
    <dataValidation type="list" allowBlank="1" showDropDown="1" showInputMessage="1" showErrorMessage="1" errorTitle="Reintentar" error="Zona no válida" sqref="F11:F12">
      <formula1>$K$12:$K$14</formula1>
    </dataValidation>
    <dataValidation type="whole" allowBlank="1" showInputMessage="1" showErrorMessage="1" errorTitle="Reintentar" error="Suma Asegurada fuera de rango." sqref="E5:E7">
      <formula1>75000</formula1>
      <formula2>2000000</formula2>
    </dataValidation>
  </dataValidations>
  <printOptions horizontalCentered="1"/>
  <pageMargins left="0.75" right="0.75" top="1" bottom="1" header="0" footer="0"/>
  <pageSetup orientation="portrait" horizontalDpi="300" verticalDpi="300" r:id="rId1"/>
  <headerFooter alignWithMargins="0">
    <oddFooter>&amp;C&amp;"Tahoma,Negrita"&amp;8Advertencia: GENERALI MEXICO COMPAÑIA DE SEGUROS, S.A. se reserva el derecho de cambiar o modificar tarifas sin previo aviso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B1:AA215"/>
  <sheetViews>
    <sheetView showGridLines="0" workbookViewId="0"/>
  </sheetViews>
  <sheetFormatPr baseColWidth="10" defaultColWidth="11.453125" defaultRowHeight="12.5" zeroHeight="1"/>
  <cols>
    <col min="1" max="1" width="7" style="3" customWidth="1"/>
    <col min="2" max="2" width="5.81640625" style="3" hidden="1" customWidth="1"/>
    <col min="3" max="3" width="2" style="3" hidden="1" customWidth="1"/>
    <col min="4" max="4" width="12.7265625" style="3" hidden="1" customWidth="1"/>
    <col min="5" max="5" width="14.26953125" style="3" hidden="1" customWidth="1"/>
    <col min="6" max="6" width="13" style="3" hidden="1" customWidth="1"/>
    <col min="7" max="9" width="12.7265625" style="3" hidden="1" customWidth="1"/>
    <col min="10" max="12" width="12.81640625" style="3" hidden="1" customWidth="1"/>
    <col min="13" max="17" width="11.453125" hidden="1" customWidth="1"/>
    <col min="18" max="18" width="13.54296875" style="3" hidden="1" customWidth="1"/>
    <col min="19" max="19" width="11.7265625" style="3" hidden="1" customWidth="1"/>
    <col min="20" max="26" width="11.453125" style="3" hidden="1" customWidth="1"/>
    <col min="27" max="27" width="15.26953125" style="3" hidden="1" customWidth="1"/>
    <col min="28" max="41" width="0" style="3" hidden="1" customWidth="1"/>
    <col min="42" max="16384" width="11.453125" style="3"/>
  </cols>
  <sheetData>
    <row r="1" spans="2:19">
      <c r="C1" s="35" t="s">
        <v>34</v>
      </c>
      <c r="D1" s="34"/>
      <c r="E1" s="34"/>
      <c r="F1" s="34"/>
      <c r="G1" s="26"/>
      <c r="I1" s="84" t="s">
        <v>57</v>
      </c>
      <c r="J1" s="91"/>
      <c r="K1" s="91"/>
    </row>
    <row r="2" spans="2:19" hidden="1">
      <c r="G2" s="4"/>
      <c r="I2" s="767" t="str">
        <f>IF(ISERROR(VLOOKUP(E3,VALORES!$A$6:$B$11,2,FALSE)),"REGION NO VALIDA",VLOOKUP(E3,VALORES!$A$6:$B$11,2,FALSE))</f>
        <v>BAJA CALIFORNIA, BAJA CALIFORNIA SUR, MORELOS, QUINTANA ROO, QUERETARO, SAN LUIS POTOSI, SINALOA, SONORA</v>
      </c>
      <c r="J2" s="767"/>
    </row>
    <row r="3" spans="2:19" hidden="1">
      <c r="B3" s="28" t="s">
        <v>11</v>
      </c>
      <c r="C3" s="29"/>
      <c r="D3" s="29"/>
      <c r="E3" s="130">
        <f>+COTIZACION!D14</f>
        <v>5</v>
      </c>
      <c r="F3" s="62" t="str">
        <f>IF(E3&gt;7,"NO PROCEDE"," ")</f>
        <v xml:space="preserve"> </v>
      </c>
      <c r="G3" s="30" t="s">
        <v>28</v>
      </c>
      <c r="I3" s="767"/>
      <c r="J3" s="767"/>
    </row>
    <row r="4" spans="2:19" ht="10.5" hidden="1" customHeight="1">
      <c r="E4" s="131"/>
      <c r="F4" s="25"/>
      <c r="G4" s="4"/>
      <c r="I4" s="767"/>
      <c r="J4" s="767"/>
    </row>
    <row r="5" spans="2:19" hidden="1">
      <c r="B5" s="28" t="s">
        <v>12</v>
      </c>
      <c r="C5" s="29"/>
      <c r="D5" s="29"/>
      <c r="E5" s="132">
        <f>+COTIZACION!D10</f>
        <v>100000000</v>
      </c>
      <c r="F5" s="25"/>
      <c r="G5" s="139">
        <f>+TITULAR!G5</f>
        <v>1.53</v>
      </c>
      <c r="I5" s="767"/>
      <c r="J5" s="767"/>
    </row>
    <row r="6" spans="2:19" hidden="1">
      <c r="B6" s="28" t="s">
        <v>13</v>
      </c>
      <c r="C6" s="29"/>
      <c r="D6" s="29"/>
      <c r="E6" s="132">
        <f>+COTIZACION!D11</f>
        <v>12000</v>
      </c>
      <c r="F6" s="25"/>
      <c r="G6" s="139">
        <f>+TITULAR!G6</f>
        <v>0.84499999999999997</v>
      </c>
      <c r="I6" s="767"/>
      <c r="J6" s="767"/>
    </row>
    <row r="7" spans="2:19" hidden="1">
      <c r="B7" s="28" t="s">
        <v>14</v>
      </c>
      <c r="C7" s="29"/>
      <c r="D7" s="29"/>
      <c r="E7" s="132">
        <f>+COTIZACION!D12</f>
        <v>0.1</v>
      </c>
      <c r="F7" s="63"/>
      <c r="G7" s="147">
        <f>+TITULAR!G8</f>
        <v>1</v>
      </c>
      <c r="H7" s="60"/>
      <c r="I7" s="767"/>
      <c r="J7" s="767"/>
    </row>
    <row r="8" spans="2:19" ht="11.25" hidden="1" customHeight="1">
      <c r="B8" s="28" t="s">
        <v>103</v>
      </c>
      <c r="C8" s="29"/>
      <c r="D8" s="29"/>
      <c r="E8" s="132">
        <f>COTIZACION!$D$25</f>
        <v>0</v>
      </c>
      <c r="F8" s="63"/>
      <c r="G8" s="392">
        <f>+TITULAR!G9</f>
        <v>1</v>
      </c>
      <c r="H8" s="4"/>
      <c r="I8" s="767"/>
      <c r="J8" s="767"/>
    </row>
    <row r="9" spans="2:19" hidden="1">
      <c r="E9" s="133"/>
      <c r="F9" s="64" t="s">
        <v>27</v>
      </c>
      <c r="G9" s="146"/>
      <c r="H9" s="61"/>
      <c r="I9" s="83"/>
      <c r="J9" s="83"/>
      <c r="S9" s="31" t="s">
        <v>40</v>
      </c>
    </row>
    <row r="10" spans="2:19" ht="12.75" hidden="1" customHeight="1">
      <c r="B10" s="28" t="s">
        <v>45</v>
      </c>
      <c r="C10" s="29"/>
      <c r="D10" s="29"/>
      <c r="E10" s="130" t="str">
        <f>+COTIZACION!D21</f>
        <v>NO</v>
      </c>
      <c r="F10" s="130"/>
      <c r="G10" s="147">
        <f>+TITULAR!G14</f>
        <v>1</v>
      </c>
      <c r="H10" s="61"/>
      <c r="I10" s="85" t="s">
        <v>56</v>
      </c>
      <c r="J10" s="92"/>
      <c r="K10" s="91"/>
      <c r="S10" s="31" t="s">
        <v>39</v>
      </c>
    </row>
    <row r="11" spans="2:19" ht="12.75" hidden="1" customHeight="1">
      <c r="B11" s="28" t="s">
        <v>46</v>
      </c>
      <c r="C11" s="29"/>
      <c r="D11" s="29"/>
      <c r="E11" s="130" t="str">
        <f>+COTIZACION!D20</f>
        <v>NO</v>
      </c>
      <c r="F11" s="130" t="str">
        <f>+COTIZACION!D22</f>
        <v>C</v>
      </c>
      <c r="G11" s="147">
        <f>+TITULAR!G15</f>
        <v>1</v>
      </c>
      <c r="H11" s="61"/>
      <c r="I11" s="767" t="str">
        <f>IF(F10=F11,VLOOKUP(F10,VALORES!$A$31:$B$33,2,FALSE),"ZONAS DIFERENTES")</f>
        <v>ZONAS DIFERENTES</v>
      </c>
      <c r="J11" s="768"/>
      <c r="K11" s="87" t="s">
        <v>40</v>
      </c>
      <c r="S11" s="31"/>
    </row>
    <row r="12" spans="2:19" ht="21" hidden="1" customHeight="1">
      <c r="B12" s="2"/>
      <c r="D12" s="2"/>
      <c r="E12" s="2"/>
      <c r="F12" s="32"/>
      <c r="G12" s="148"/>
      <c r="I12" s="768"/>
      <c r="J12" s="768"/>
      <c r="K12" s="87" t="s">
        <v>52</v>
      </c>
    </row>
    <row r="13" spans="2:19" hidden="1">
      <c r="B13" s="28" t="s">
        <v>15</v>
      </c>
      <c r="C13" s="29"/>
      <c r="D13" s="29"/>
      <c r="E13" s="130" t="e">
        <f>+COTIZACION!#REF!</f>
        <v>#REF!</v>
      </c>
      <c r="F13" s="25"/>
      <c r="G13" s="147">
        <f>+TITULAR!G17</f>
        <v>0</v>
      </c>
      <c r="I13" s="768"/>
      <c r="J13" s="768"/>
      <c r="K13" s="87" t="s">
        <v>38</v>
      </c>
    </row>
    <row r="14" spans="2:19" hidden="1">
      <c r="H14" s="33"/>
    </row>
    <row r="15" spans="2:19" hidden="1">
      <c r="H15" s="33"/>
    </row>
    <row r="16" spans="2:19" hidden="1">
      <c r="H16" s="33"/>
    </row>
    <row r="17" spans="2:19" ht="13" hidden="1" thickBot="1">
      <c r="H17" s="33"/>
    </row>
    <row r="18" spans="2:19" ht="12.75" hidden="1" customHeight="1" thickTop="1">
      <c r="B18" s="65"/>
      <c r="C18" s="113"/>
      <c r="D18" s="776" t="s">
        <v>48</v>
      </c>
      <c r="E18" s="775"/>
      <c r="F18" s="776" t="s">
        <v>49</v>
      </c>
      <c r="G18" s="775"/>
      <c r="H18" s="72" t="s">
        <v>44</v>
      </c>
      <c r="I18" s="69">
        <f>G13</f>
        <v>0</v>
      </c>
      <c r="J18" s="772" t="s">
        <v>42</v>
      </c>
      <c r="K18" s="773"/>
      <c r="L18" s="77"/>
    </row>
    <row r="19" spans="2:19" ht="12.75" hidden="1" customHeight="1">
      <c r="B19" s="118"/>
      <c r="C19" s="117"/>
      <c r="D19" s="769" t="s">
        <v>47</v>
      </c>
      <c r="E19" s="770"/>
      <c r="F19" s="769" t="s">
        <v>47</v>
      </c>
      <c r="G19" s="770"/>
      <c r="H19" s="73" t="s">
        <v>41</v>
      </c>
      <c r="I19" s="66">
        <v>0</v>
      </c>
      <c r="J19" s="67" t="s">
        <v>43</v>
      </c>
      <c r="K19" s="70">
        <f>+COTIZACION!D26</f>
        <v>0.16</v>
      </c>
      <c r="L19" s="78"/>
    </row>
    <row r="20" spans="2:19" ht="15" hidden="1" customHeight="1" thickBot="1">
      <c r="B20" s="765" t="s">
        <v>9</v>
      </c>
      <c r="C20" s="766"/>
      <c r="D20" s="213" t="s">
        <v>16</v>
      </c>
      <c r="E20" s="214" t="s">
        <v>17</v>
      </c>
      <c r="F20" s="71" t="s">
        <v>16</v>
      </c>
      <c r="G20" s="214" t="s">
        <v>17</v>
      </c>
      <c r="H20" s="215" t="s">
        <v>16</v>
      </c>
      <c r="I20" s="68" t="s">
        <v>17</v>
      </c>
      <c r="J20" s="215" t="s">
        <v>16</v>
      </c>
      <c r="K20" s="68" t="s">
        <v>17</v>
      </c>
      <c r="L20" s="77"/>
    </row>
    <row r="21" spans="2:19" ht="15" hidden="1" customHeight="1" thickTop="1">
      <c r="B21" s="119">
        <v>0</v>
      </c>
      <c r="C21" s="114"/>
      <c r="D21" s="216">
        <f>FACTORES!F39</f>
        <v>14321.05</v>
      </c>
      <c r="E21" s="216">
        <f>FACTORES!G39</f>
        <v>14329.95</v>
      </c>
      <c r="F21" s="217">
        <f t="shared" ref="F21:F38" si="0">ROUND(D21*$G$5*$G$6*$G$7*$G$10*$G$11*$G$8,2)+ADIC+DENTAL+IKE+CVISION</f>
        <v>20718.670000000002</v>
      </c>
      <c r="G21" s="217">
        <f t="shared" ref="G21:G38" si="1">ROUND(E21*$G$5*$G$6*$G$7*$G$10*$G$11*$G$8,2)+ADIC+DENTAL+IKE+CVISION</f>
        <v>20730.18</v>
      </c>
      <c r="H21" s="217">
        <f>(F21*(1+$I$18))+$I$19</f>
        <v>20718.670000000002</v>
      </c>
      <c r="I21" s="217">
        <f>(G21*(1+$I$18))+$I$19</f>
        <v>20730.18</v>
      </c>
      <c r="J21" s="217">
        <f>H21*(1+$K$19)</f>
        <v>24033.657200000001</v>
      </c>
      <c r="K21" s="217">
        <f>I21*(1+$K$19)</f>
        <v>24047.0088</v>
      </c>
      <c r="L21" s="79"/>
    </row>
    <row r="22" spans="2:19" ht="15" hidden="1" customHeight="1">
      <c r="B22" s="120">
        <f>+B21+1</f>
        <v>1</v>
      </c>
      <c r="C22" s="115"/>
      <c r="D22" s="218">
        <f>FACTORES!F40</f>
        <v>14321.05</v>
      </c>
      <c r="E22" s="218">
        <f>FACTORES!G40</f>
        <v>14329.95</v>
      </c>
      <c r="F22" s="218">
        <f t="shared" si="0"/>
        <v>20718.670000000002</v>
      </c>
      <c r="G22" s="218">
        <f t="shared" si="1"/>
        <v>20730.18</v>
      </c>
      <c r="H22" s="218">
        <f t="shared" ref="H22:H45" si="2">(F22*(1+$I$18))+$I$19</f>
        <v>20718.670000000002</v>
      </c>
      <c r="I22" s="218">
        <f t="shared" ref="I22:I45" si="3">(G22*(1+$I$18))+$I$19</f>
        <v>20730.18</v>
      </c>
      <c r="J22" s="218">
        <f t="shared" ref="J22:J45" si="4">H22*(1+$K$19)</f>
        <v>24033.657200000001</v>
      </c>
      <c r="K22" s="218">
        <f t="shared" ref="K22:K45" si="5">I22*(1+$K$19)</f>
        <v>24047.0088</v>
      </c>
      <c r="L22" s="79"/>
    </row>
    <row r="23" spans="2:19" ht="15" hidden="1" customHeight="1">
      <c r="B23" s="120">
        <f t="shared" ref="B23:B45" si="6">+B22+1</f>
        <v>2</v>
      </c>
      <c r="C23" s="115"/>
      <c r="D23" s="218">
        <f>FACTORES!F41</f>
        <v>14321.05</v>
      </c>
      <c r="E23" s="218">
        <f>FACTORES!G41</f>
        <v>14329.95</v>
      </c>
      <c r="F23" s="218">
        <f t="shared" si="0"/>
        <v>20718.670000000002</v>
      </c>
      <c r="G23" s="218">
        <f t="shared" si="1"/>
        <v>20730.18</v>
      </c>
      <c r="H23" s="218">
        <f t="shared" si="2"/>
        <v>20718.670000000002</v>
      </c>
      <c r="I23" s="218">
        <f t="shared" si="3"/>
        <v>20730.18</v>
      </c>
      <c r="J23" s="218">
        <f t="shared" si="4"/>
        <v>24033.657200000001</v>
      </c>
      <c r="K23" s="218">
        <f t="shared" si="5"/>
        <v>24047.0088</v>
      </c>
      <c r="L23" s="79"/>
    </row>
    <row r="24" spans="2:19" s="37" customFormat="1" ht="15" hidden="1" customHeight="1">
      <c r="B24" s="120">
        <f t="shared" si="6"/>
        <v>3</v>
      </c>
      <c r="C24" s="115"/>
      <c r="D24" s="218">
        <f>FACTORES!F42</f>
        <v>14321.05</v>
      </c>
      <c r="E24" s="218">
        <f>FACTORES!G42</f>
        <v>14329.95</v>
      </c>
      <c r="F24" s="218">
        <f t="shared" si="0"/>
        <v>20718.670000000002</v>
      </c>
      <c r="G24" s="218">
        <f t="shared" si="1"/>
        <v>20730.18</v>
      </c>
      <c r="H24" s="218">
        <f t="shared" si="2"/>
        <v>20718.670000000002</v>
      </c>
      <c r="I24" s="218">
        <f t="shared" si="3"/>
        <v>20730.18</v>
      </c>
      <c r="J24" s="218">
        <f t="shared" si="4"/>
        <v>24033.657200000001</v>
      </c>
      <c r="K24" s="218">
        <f t="shared" si="5"/>
        <v>24047.0088</v>
      </c>
      <c r="L24"/>
      <c r="M24"/>
      <c r="N24"/>
      <c r="O24"/>
      <c r="P24"/>
      <c r="Q24"/>
    </row>
    <row r="25" spans="2:19" s="37" customFormat="1" ht="15" hidden="1" customHeight="1">
      <c r="B25" s="120">
        <f t="shared" si="6"/>
        <v>4</v>
      </c>
      <c r="C25" s="115"/>
      <c r="D25" s="218">
        <f>FACTORES!F43</f>
        <v>14321.05</v>
      </c>
      <c r="E25" s="218">
        <f>FACTORES!G43</f>
        <v>14329.95</v>
      </c>
      <c r="F25" s="218">
        <f t="shared" si="0"/>
        <v>20718.670000000002</v>
      </c>
      <c r="G25" s="218">
        <f t="shared" si="1"/>
        <v>20730.18</v>
      </c>
      <c r="H25" s="218">
        <f t="shared" si="2"/>
        <v>20718.670000000002</v>
      </c>
      <c r="I25" s="218">
        <f t="shared" si="3"/>
        <v>20730.18</v>
      </c>
      <c r="J25" s="218">
        <f t="shared" si="4"/>
        <v>24033.657200000001</v>
      </c>
      <c r="K25" s="218">
        <f t="shared" si="5"/>
        <v>24047.0088</v>
      </c>
      <c r="L25"/>
      <c r="M25"/>
      <c r="N25"/>
      <c r="O25"/>
      <c r="P25"/>
      <c r="Q25"/>
    </row>
    <row r="26" spans="2:19" s="37" customFormat="1" ht="15" hidden="1" customHeight="1">
      <c r="B26" s="120">
        <f t="shared" si="6"/>
        <v>5</v>
      </c>
      <c r="C26" s="115"/>
      <c r="D26" s="218">
        <f>FACTORES!F44</f>
        <v>14321.05</v>
      </c>
      <c r="E26" s="218">
        <f>FACTORES!G44</f>
        <v>14329.95</v>
      </c>
      <c r="F26" s="218">
        <f t="shared" si="0"/>
        <v>20718.670000000002</v>
      </c>
      <c r="G26" s="218">
        <f t="shared" si="1"/>
        <v>20730.18</v>
      </c>
      <c r="H26" s="218">
        <f t="shared" si="2"/>
        <v>20718.670000000002</v>
      </c>
      <c r="I26" s="218">
        <f t="shared" si="3"/>
        <v>20730.18</v>
      </c>
      <c r="J26" s="218">
        <f t="shared" si="4"/>
        <v>24033.657200000001</v>
      </c>
      <c r="K26" s="218">
        <f t="shared" si="5"/>
        <v>24047.0088</v>
      </c>
      <c r="L26"/>
      <c r="M26"/>
      <c r="N26"/>
      <c r="O26"/>
      <c r="P26"/>
      <c r="Q26"/>
    </row>
    <row r="27" spans="2:19" s="37" customFormat="1" ht="15" hidden="1" customHeight="1">
      <c r="B27" s="120">
        <f t="shared" si="6"/>
        <v>6</v>
      </c>
      <c r="C27" s="115"/>
      <c r="D27" s="218">
        <f>FACTORES!F45</f>
        <v>14321.05</v>
      </c>
      <c r="E27" s="218">
        <f>FACTORES!G45</f>
        <v>14329.95</v>
      </c>
      <c r="F27" s="218">
        <f t="shared" si="0"/>
        <v>20718.670000000002</v>
      </c>
      <c r="G27" s="218">
        <f t="shared" si="1"/>
        <v>20730.18</v>
      </c>
      <c r="H27" s="218">
        <f t="shared" si="2"/>
        <v>20718.670000000002</v>
      </c>
      <c r="I27" s="218">
        <f t="shared" si="3"/>
        <v>20730.18</v>
      </c>
      <c r="J27" s="218">
        <f t="shared" si="4"/>
        <v>24033.657200000001</v>
      </c>
      <c r="K27" s="218">
        <f t="shared" si="5"/>
        <v>24047.0088</v>
      </c>
      <c r="L27"/>
      <c r="M27"/>
      <c r="N27"/>
      <c r="O27"/>
      <c r="P27"/>
      <c r="Q27"/>
    </row>
    <row r="28" spans="2:19" s="37" customFormat="1" ht="15" hidden="1" customHeight="1">
      <c r="B28" s="120">
        <f t="shared" si="6"/>
        <v>7</v>
      </c>
      <c r="C28" s="115"/>
      <c r="D28" s="218">
        <f>FACTORES!F46</f>
        <v>14321.05</v>
      </c>
      <c r="E28" s="218">
        <f>FACTORES!G46</f>
        <v>14329.95</v>
      </c>
      <c r="F28" s="218">
        <f t="shared" si="0"/>
        <v>20718.670000000002</v>
      </c>
      <c r="G28" s="218">
        <f t="shared" si="1"/>
        <v>20730.18</v>
      </c>
      <c r="H28" s="218">
        <f t="shared" si="2"/>
        <v>20718.670000000002</v>
      </c>
      <c r="I28" s="218">
        <f t="shared" si="3"/>
        <v>20730.18</v>
      </c>
      <c r="J28" s="218">
        <f t="shared" si="4"/>
        <v>24033.657200000001</v>
      </c>
      <c r="K28" s="218">
        <f t="shared" si="5"/>
        <v>24047.0088</v>
      </c>
      <c r="L28"/>
      <c r="M28"/>
      <c r="N28"/>
      <c r="O28"/>
      <c r="P28"/>
      <c r="Q28"/>
    </row>
    <row r="29" spans="2:19" s="37" customFormat="1" ht="15" hidden="1" customHeight="1">
      <c r="B29" s="120">
        <f t="shared" si="6"/>
        <v>8</v>
      </c>
      <c r="C29" s="115"/>
      <c r="D29" s="218">
        <f>FACTORES!F47</f>
        <v>14321.05</v>
      </c>
      <c r="E29" s="218">
        <f>FACTORES!G47</f>
        <v>14329.95</v>
      </c>
      <c r="F29" s="218">
        <f t="shared" si="0"/>
        <v>20718.670000000002</v>
      </c>
      <c r="G29" s="218">
        <f t="shared" si="1"/>
        <v>20730.18</v>
      </c>
      <c r="H29" s="218">
        <f t="shared" si="2"/>
        <v>20718.670000000002</v>
      </c>
      <c r="I29" s="218">
        <f t="shared" si="3"/>
        <v>20730.18</v>
      </c>
      <c r="J29" s="218">
        <f t="shared" si="4"/>
        <v>24033.657200000001</v>
      </c>
      <c r="K29" s="218">
        <f t="shared" si="5"/>
        <v>24047.0088</v>
      </c>
      <c r="L29"/>
      <c r="M29"/>
      <c r="N29"/>
      <c r="O29"/>
      <c r="P29"/>
      <c r="Q29"/>
      <c r="R29" s="777"/>
      <c r="S29" s="777"/>
    </row>
    <row r="30" spans="2:19" s="37" customFormat="1" ht="15" hidden="1" customHeight="1">
      <c r="B30" s="120">
        <f t="shared" si="6"/>
        <v>9</v>
      </c>
      <c r="C30" s="115"/>
      <c r="D30" s="218">
        <f>FACTORES!F48</f>
        <v>14321.05</v>
      </c>
      <c r="E30" s="218">
        <f>FACTORES!G48</f>
        <v>14329.95</v>
      </c>
      <c r="F30" s="218">
        <f t="shared" si="0"/>
        <v>20718.670000000002</v>
      </c>
      <c r="G30" s="218">
        <f t="shared" si="1"/>
        <v>20730.18</v>
      </c>
      <c r="H30" s="218">
        <f t="shared" si="2"/>
        <v>20718.670000000002</v>
      </c>
      <c r="I30" s="218">
        <f t="shared" si="3"/>
        <v>20730.18</v>
      </c>
      <c r="J30" s="218">
        <f t="shared" si="4"/>
        <v>24033.657200000001</v>
      </c>
      <c r="K30" s="218">
        <f t="shared" si="5"/>
        <v>24047.0088</v>
      </c>
      <c r="L30"/>
      <c r="M30"/>
      <c r="N30"/>
      <c r="O30"/>
      <c r="P30"/>
      <c r="Q30"/>
      <c r="R30" s="777"/>
      <c r="S30" s="777"/>
    </row>
    <row r="31" spans="2:19" s="37" customFormat="1" ht="15" hidden="1" customHeight="1">
      <c r="B31" s="120">
        <f t="shared" si="6"/>
        <v>10</v>
      </c>
      <c r="C31" s="115"/>
      <c r="D31" s="218">
        <f>FACTORES!F49</f>
        <v>14321.05</v>
      </c>
      <c r="E31" s="218">
        <f>FACTORES!G49</f>
        <v>14329.95</v>
      </c>
      <c r="F31" s="218">
        <f t="shared" si="0"/>
        <v>20718.670000000002</v>
      </c>
      <c r="G31" s="218">
        <f t="shared" si="1"/>
        <v>20730.18</v>
      </c>
      <c r="H31" s="218">
        <f t="shared" si="2"/>
        <v>20718.670000000002</v>
      </c>
      <c r="I31" s="218">
        <f t="shared" si="3"/>
        <v>20730.18</v>
      </c>
      <c r="J31" s="218">
        <f t="shared" si="4"/>
        <v>24033.657200000001</v>
      </c>
      <c r="K31" s="218">
        <f t="shared" si="5"/>
        <v>24047.0088</v>
      </c>
      <c r="L31"/>
      <c r="M31"/>
      <c r="N31"/>
      <c r="O31"/>
      <c r="P31"/>
      <c r="Q31"/>
      <c r="R31" s="80"/>
      <c r="S31" s="80"/>
    </row>
    <row r="32" spans="2:19" s="37" customFormat="1" ht="15" hidden="1" customHeight="1">
      <c r="B32" s="120">
        <f t="shared" si="6"/>
        <v>11</v>
      </c>
      <c r="C32" s="115"/>
      <c r="D32" s="218">
        <f>FACTORES!F50</f>
        <v>14239.16</v>
      </c>
      <c r="E32" s="218">
        <f>FACTORES!G50</f>
        <v>14109.83</v>
      </c>
      <c r="F32" s="218">
        <f t="shared" si="0"/>
        <v>20612.8</v>
      </c>
      <c r="G32" s="218">
        <f t="shared" si="1"/>
        <v>20445.59</v>
      </c>
      <c r="H32" s="218">
        <f t="shared" si="2"/>
        <v>20612.8</v>
      </c>
      <c r="I32" s="218">
        <f t="shared" si="3"/>
        <v>20445.59</v>
      </c>
      <c r="J32" s="218">
        <f t="shared" si="4"/>
        <v>23910.847999999998</v>
      </c>
      <c r="K32" s="218">
        <f t="shared" si="5"/>
        <v>23716.884399999999</v>
      </c>
      <c r="L32"/>
      <c r="M32"/>
      <c r="N32"/>
      <c r="O32"/>
      <c r="P32"/>
      <c r="Q32"/>
      <c r="R32" s="81"/>
      <c r="S32" s="81"/>
    </row>
    <row r="33" spans="2:19" s="37" customFormat="1" ht="15" hidden="1" customHeight="1">
      <c r="B33" s="120">
        <f t="shared" si="6"/>
        <v>12</v>
      </c>
      <c r="C33" s="115"/>
      <c r="D33" s="218">
        <f>FACTORES!F51</f>
        <v>14173.53</v>
      </c>
      <c r="E33" s="218">
        <f>FACTORES!G51</f>
        <v>14302.71</v>
      </c>
      <c r="F33" s="218">
        <f t="shared" si="0"/>
        <v>20527.95</v>
      </c>
      <c r="G33" s="218">
        <f t="shared" si="1"/>
        <v>20694.96</v>
      </c>
      <c r="H33" s="218">
        <f t="shared" si="2"/>
        <v>20527.95</v>
      </c>
      <c r="I33" s="218">
        <f t="shared" si="3"/>
        <v>20694.96</v>
      </c>
      <c r="J33" s="218">
        <f t="shared" si="4"/>
        <v>23812.421999999999</v>
      </c>
      <c r="K33" s="218">
        <f t="shared" si="5"/>
        <v>24006.153599999998</v>
      </c>
      <c r="L33"/>
      <c r="M33"/>
      <c r="N33"/>
      <c r="O33"/>
      <c r="P33"/>
      <c r="Q33"/>
      <c r="R33" s="81"/>
      <c r="S33" s="81"/>
    </row>
    <row r="34" spans="2:19" s="37" customFormat="1" ht="15" hidden="1" customHeight="1">
      <c r="B34" s="120">
        <f t="shared" si="6"/>
        <v>13</v>
      </c>
      <c r="C34" s="115"/>
      <c r="D34" s="218">
        <f>FACTORES!F52</f>
        <v>14075.68</v>
      </c>
      <c r="E34" s="218">
        <f>FACTORES!G52</f>
        <v>14208.62</v>
      </c>
      <c r="F34" s="218">
        <f t="shared" si="0"/>
        <v>20401.440000000002</v>
      </c>
      <c r="G34" s="218">
        <f t="shared" si="1"/>
        <v>20573.310000000001</v>
      </c>
      <c r="H34" s="218">
        <f t="shared" si="2"/>
        <v>20401.440000000002</v>
      </c>
      <c r="I34" s="218">
        <f t="shared" si="3"/>
        <v>20573.310000000001</v>
      </c>
      <c r="J34" s="218">
        <f t="shared" si="4"/>
        <v>23665.670400000003</v>
      </c>
      <c r="K34" s="218">
        <f t="shared" si="5"/>
        <v>23865.0396</v>
      </c>
      <c r="L34"/>
      <c r="M34"/>
      <c r="N34"/>
      <c r="O34"/>
      <c r="P34"/>
      <c r="Q34"/>
      <c r="R34" s="81"/>
      <c r="S34" s="81"/>
    </row>
    <row r="35" spans="2:19" s="37" customFormat="1" ht="15" hidden="1" customHeight="1">
      <c r="B35" s="120">
        <f t="shared" si="6"/>
        <v>14</v>
      </c>
      <c r="C35" s="115"/>
      <c r="D35" s="218">
        <f>FACTORES!F53</f>
        <v>13710.21</v>
      </c>
      <c r="E35" s="218">
        <f>FACTORES!G53</f>
        <v>13919.31</v>
      </c>
      <c r="F35" s="218">
        <f t="shared" si="0"/>
        <v>19928.940000000002</v>
      </c>
      <c r="G35" s="218">
        <f t="shared" si="1"/>
        <v>20199.280000000002</v>
      </c>
      <c r="H35" s="218">
        <f t="shared" si="2"/>
        <v>19928.940000000002</v>
      </c>
      <c r="I35" s="218">
        <f t="shared" si="3"/>
        <v>20199.280000000002</v>
      </c>
      <c r="J35" s="218">
        <f t="shared" si="4"/>
        <v>23117.570400000001</v>
      </c>
      <c r="K35" s="218">
        <f t="shared" si="5"/>
        <v>23431.164800000002</v>
      </c>
      <c r="R35" s="81"/>
      <c r="S35" s="81"/>
    </row>
    <row r="36" spans="2:19" s="37" customFormat="1" ht="15" hidden="1" customHeight="1">
      <c r="B36" s="120">
        <f t="shared" si="6"/>
        <v>15</v>
      </c>
      <c r="C36" s="115"/>
      <c r="D36" s="218">
        <f>FACTORES!F54</f>
        <v>13766.06</v>
      </c>
      <c r="E36" s="218">
        <f>FACTORES!G54</f>
        <v>13693.41</v>
      </c>
      <c r="F36" s="218">
        <f t="shared" si="0"/>
        <v>20001.150000000001</v>
      </c>
      <c r="G36" s="218">
        <f t="shared" si="1"/>
        <v>19907.23</v>
      </c>
      <c r="H36" s="218">
        <f t="shared" si="2"/>
        <v>20001.150000000001</v>
      </c>
      <c r="I36" s="218">
        <f t="shared" si="3"/>
        <v>19907.23</v>
      </c>
      <c r="J36" s="218">
        <f t="shared" si="4"/>
        <v>23201.333999999999</v>
      </c>
      <c r="K36" s="218">
        <f t="shared" si="5"/>
        <v>23092.386799999997</v>
      </c>
      <c r="R36" s="81"/>
      <c r="S36" s="81"/>
    </row>
    <row r="37" spans="2:19" s="37" customFormat="1" ht="15" hidden="1" customHeight="1">
      <c r="B37" s="120">
        <f t="shared" si="6"/>
        <v>16</v>
      </c>
      <c r="C37" s="115"/>
      <c r="D37" s="218">
        <f>FACTORES!F55</f>
        <v>13508.63</v>
      </c>
      <c r="E37" s="218">
        <f>FACTORES!G55</f>
        <v>13174.1</v>
      </c>
      <c r="F37" s="218">
        <f t="shared" si="0"/>
        <v>19668.330000000002</v>
      </c>
      <c r="G37" s="218">
        <f t="shared" si="1"/>
        <v>19235.84</v>
      </c>
      <c r="H37" s="218">
        <f t="shared" si="2"/>
        <v>19668.330000000002</v>
      </c>
      <c r="I37" s="218">
        <f t="shared" si="3"/>
        <v>19235.84</v>
      </c>
      <c r="J37" s="218">
        <f t="shared" si="4"/>
        <v>22815.2628</v>
      </c>
      <c r="K37" s="218">
        <f t="shared" si="5"/>
        <v>22313.574399999998</v>
      </c>
      <c r="R37" s="81"/>
      <c r="S37" s="81"/>
    </row>
    <row r="38" spans="2:19" s="37" customFormat="1" ht="15" hidden="1" customHeight="1">
      <c r="B38" s="120">
        <f t="shared" si="6"/>
        <v>17</v>
      </c>
      <c r="C38" s="115"/>
      <c r="D38" s="218">
        <f>FACTORES!F56</f>
        <v>13582.96</v>
      </c>
      <c r="E38" s="218">
        <f>FACTORES!G56</f>
        <v>13382.85</v>
      </c>
      <c r="F38" s="218">
        <f t="shared" si="0"/>
        <v>19764.43</v>
      </c>
      <c r="G38" s="218">
        <f t="shared" si="1"/>
        <v>19505.72</v>
      </c>
      <c r="H38" s="218">
        <f t="shared" si="2"/>
        <v>19764.43</v>
      </c>
      <c r="I38" s="218">
        <f t="shared" si="3"/>
        <v>19505.72</v>
      </c>
      <c r="J38" s="218">
        <f t="shared" si="4"/>
        <v>22926.738799999999</v>
      </c>
      <c r="K38" s="218">
        <f t="shared" si="5"/>
        <v>22626.635200000001</v>
      </c>
      <c r="R38" s="81"/>
      <c r="S38" s="81"/>
    </row>
    <row r="39" spans="2:19" s="37" customFormat="1" ht="15" hidden="1" customHeight="1">
      <c r="B39" s="120">
        <f t="shared" si="6"/>
        <v>18</v>
      </c>
      <c r="C39" s="115"/>
      <c r="D39" s="218">
        <f>FACTORES!F57</f>
        <v>13980.3</v>
      </c>
      <c r="E39" s="218">
        <f>FACTORES!G57</f>
        <v>12644.51</v>
      </c>
      <c r="F39" s="218">
        <f t="shared" ref="F39:F45" si="7">ROUND(D39*$G$5*$G$6*$G$7*$G$10*$G$11*$G$8,2)+ADIC+DENTAL+IKE+CVISION</f>
        <v>20278.13</v>
      </c>
      <c r="G39" s="410">
        <f t="shared" ref="G39:G45" si="8">ROUND(E39*$G$5*$G$6*$G$7*$G$10*$G$11*$G$8,2)+ADIC+DENTAL+IKE+PARTO+CVISION</f>
        <v>22095.38</v>
      </c>
      <c r="H39" s="218">
        <f t="shared" si="2"/>
        <v>20278.13</v>
      </c>
      <c r="I39" s="218">
        <f t="shared" si="3"/>
        <v>22095.38</v>
      </c>
      <c r="J39" s="218">
        <f t="shared" si="4"/>
        <v>23522.630799999999</v>
      </c>
      <c r="K39" s="218">
        <f t="shared" si="5"/>
        <v>25630.640800000001</v>
      </c>
      <c r="R39" s="81"/>
      <c r="S39" s="81"/>
    </row>
    <row r="40" spans="2:19" s="37" customFormat="1" ht="15" hidden="1" customHeight="1">
      <c r="B40" s="120">
        <f t="shared" si="6"/>
        <v>19</v>
      </c>
      <c r="C40" s="115"/>
      <c r="D40" s="218">
        <f>FACTORES!F58</f>
        <v>14454.88</v>
      </c>
      <c r="E40" s="218">
        <f>FACTORES!G58</f>
        <v>12832.46</v>
      </c>
      <c r="F40" s="218">
        <f t="shared" si="7"/>
        <v>20891.690000000002</v>
      </c>
      <c r="G40" s="410">
        <f t="shared" si="8"/>
        <v>22338.38</v>
      </c>
      <c r="H40" s="218">
        <f t="shared" si="2"/>
        <v>20891.690000000002</v>
      </c>
      <c r="I40" s="218">
        <f t="shared" si="3"/>
        <v>22338.38</v>
      </c>
      <c r="J40" s="218">
        <f t="shared" si="4"/>
        <v>24234.360400000001</v>
      </c>
      <c r="K40" s="218">
        <f t="shared" si="5"/>
        <v>25912.520799999998</v>
      </c>
      <c r="R40" s="81"/>
      <c r="S40" s="81"/>
    </row>
    <row r="41" spans="2:19" s="37" customFormat="1" ht="15" hidden="1" customHeight="1">
      <c r="B41" s="120">
        <f t="shared" si="6"/>
        <v>20</v>
      </c>
      <c r="C41" s="115"/>
      <c r="D41" s="218">
        <f>FACTORES!F59</f>
        <v>14893.49</v>
      </c>
      <c r="E41" s="218">
        <f>FACTORES!G59</f>
        <v>14891.06</v>
      </c>
      <c r="F41" s="218">
        <f t="shared" si="7"/>
        <v>21458.75</v>
      </c>
      <c r="G41" s="410">
        <f t="shared" si="8"/>
        <v>24999.84</v>
      </c>
      <c r="H41" s="218">
        <f t="shared" si="2"/>
        <v>21458.75</v>
      </c>
      <c r="I41" s="218">
        <f t="shared" si="3"/>
        <v>24999.84</v>
      </c>
      <c r="J41" s="218">
        <f t="shared" si="4"/>
        <v>24892.149999999998</v>
      </c>
      <c r="K41" s="218">
        <f t="shared" si="5"/>
        <v>28999.814399999999</v>
      </c>
      <c r="R41" s="81"/>
      <c r="S41" s="81"/>
    </row>
    <row r="42" spans="2:19" s="37" customFormat="1" ht="15" hidden="1" customHeight="1">
      <c r="B42" s="120">
        <f t="shared" si="6"/>
        <v>21</v>
      </c>
      <c r="C42" s="115"/>
      <c r="D42" s="218">
        <f>FACTORES!F60</f>
        <v>15677.1</v>
      </c>
      <c r="E42" s="218">
        <f>FACTORES!G60</f>
        <v>19309.45</v>
      </c>
      <c r="F42" s="218">
        <f t="shared" si="7"/>
        <v>22471.84</v>
      </c>
      <c r="G42" s="410">
        <f t="shared" si="8"/>
        <v>30712.15</v>
      </c>
      <c r="H42" s="218">
        <f t="shared" si="2"/>
        <v>22471.84</v>
      </c>
      <c r="I42" s="218">
        <f t="shared" si="3"/>
        <v>30712.15</v>
      </c>
      <c r="J42" s="218">
        <f t="shared" si="4"/>
        <v>26067.3344</v>
      </c>
      <c r="K42" s="218">
        <f t="shared" si="5"/>
        <v>35626.093999999997</v>
      </c>
      <c r="R42" s="81"/>
      <c r="S42" s="81"/>
    </row>
    <row r="43" spans="2:19" s="37" customFormat="1" ht="15" hidden="1" customHeight="1">
      <c r="B43" s="120">
        <f t="shared" si="6"/>
        <v>22</v>
      </c>
      <c r="C43" s="115"/>
      <c r="D43" s="218">
        <f>FACTORES!F61</f>
        <v>16380.25</v>
      </c>
      <c r="E43" s="218">
        <f>FACTORES!G61</f>
        <v>20242.599999999999</v>
      </c>
      <c r="F43" s="218">
        <f t="shared" si="7"/>
        <v>23380.91</v>
      </c>
      <c r="G43" s="410">
        <f t="shared" si="8"/>
        <v>31918.58</v>
      </c>
      <c r="H43" s="218">
        <f t="shared" si="2"/>
        <v>23380.91</v>
      </c>
      <c r="I43" s="218">
        <f t="shared" si="3"/>
        <v>31918.58</v>
      </c>
      <c r="J43" s="218">
        <f t="shared" si="4"/>
        <v>27121.855599999999</v>
      </c>
      <c r="K43" s="218">
        <f t="shared" si="5"/>
        <v>37025.552799999998</v>
      </c>
    </row>
    <row r="44" spans="2:19" s="37" customFormat="1" ht="15" hidden="1" customHeight="1">
      <c r="B44" s="120">
        <f t="shared" si="6"/>
        <v>23</v>
      </c>
      <c r="C44" s="115"/>
      <c r="D44" s="218">
        <f>FACTORES!F62</f>
        <v>17461.62</v>
      </c>
      <c r="E44" s="218">
        <f>FACTORES!G62</f>
        <v>21211.49</v>
      </c>
      <c r="F44" s="218">
        <f t="shared" si="7"/>
        <v>24778.959999999999</v>
      </c>
      <c r="G44" s="410">
        <f t="shared" si="8"/>
        <v>33171.200000000004</v>
      </c>
      <c r="H44" s="218">
        <f t="shared" si="2"/>
        <v>24778.959999999999</v>
      </c>
      <c r="I44" s="218">
        <f t="shared" si="3"/>
        <v>33171.200000000004</v>
      </c>
      <c r="J44" s="218">
        <f t="shared" si="4"/>
        <v>28743.593599999997</v>
      </c>
      <c r="K44" s="218">
        <f t="shared" si="5"/>
        <v>38478.592000000004</v>
      </c>
    </row>
    <row r="45" spans="2:19" s="37" customFormat="1" ht="15" hidden="1" customHeight="1" thickBot="1">
      <c r="B45" s="121">
        <f t="shared" si="6"/>
        <v>24</v>
      </c>
      <c r="C45" s="116"/>
      <c r="D45" s="219">
        <f>FACTORES!F63</f>
        <v>18187.75</v>
      </c>
      <c r="E45" s="219">
        <f>FACTORES!G63</f>
        <v>22221.89</v>
      </c>
      <c r="F45" s="219">
        <f t="shared" si="7"/>
        <v>25717.73</v>
      </c>
      <c r="G45" s="411">
        <f t="shared" si="8"/>
        <v>34477.5</v>
      </c>
      <c r="H45" s="219">
        <f t="shared" si="2"/>
        <v>25717.73</v>
      </c>
      <c r="I45" s="219">
        <f t="shared" si="3"/>
        <v>34477.5</v>
      </c>
      <c r="J45" s="219">
        <f t="shared" si="4"/>
        <v>29832.566799999997</v>
      </c>
      <c r="K45" s="219">
        <f t="shared" si="5"/>
        <v>39993.899999999994</v>
      </c>
    </row>
    <row r="46" spans="2:19" s="37" customFormat="1" ht="15" hidden="1" customHeight="1" thickTop="1"/>
    <row r="47" spans="2:19" s="37" customFormat="1" ht="15" hidden="1" customHeight="1"/>
    <row r="48" spans="2:19" s="37" customFormat="1" ht="15" hidden="1" customHeight="1"/>
    <row r="49" s="37" customFormat="1" ht="15" hidden="1" customHeight="1"/>
    <row r="50" s="37" customFormat="1" ht="15" hidden="1" customHeight="1"/>
    <row r="51" s="37" customFormat="1" ht="15" hidden="1" customHeight="1"/>
    <row r="52" s="37" customFormat="1" ht="15" hidden="1" customHeight="1"/>
    <row r="53" s="37" customFormat="1" ht="15" hidden="1" customHeight="1"/>
    <row r="54" s="37" customFormat="1" ht="15" hidden="1" customHeight="1"/>
    <row r="55" s="37" customFormat="1" ht="15" hidden="1" customHeight="1"/>
    <row r="56" s="37" customFormat="1" ht="15" hidden="1" customHeight="1"/>
    <row r="57" s="37" customFormat="1" ht="15" hidden="1" customHeight="1"/>
    <row r="58" s="37" customFormat="1" ht="15" hidden="1" customHeight="1"/>
    <row r="59" s="37" customFormat="1" ht="15" hidden="1" customHeight="1"/>
    <row r="60" s="37" customFormat="1" ht="15" hidden="1" customHeight="1"/>
    <row r="61" s="37" customFormat="1" ht="15" hidden="1" customHeight="1"/>
    <row r="62" s="37" customFormat="1" ht="15" hidden="1" customHeight="1"/>
    <row r="63" s="37" customFormat="1" ht="15" hidden="1" customHeight="1"/>
    <row r="64" s="37" customFormat="1" ht="15" hidden="1" customHeight="1"/>
    <row r="65" spans="19:27" s="37" customFormat="1" ht="15" hidden="1" customHeight="1">
      <c r="AA65" s="41"/>
    </row>
    <row r="66" spans="19:27" s="37" customFormat="1" ht="15" hidden="1" customHeight="1"/>
    <row r="67" spans="19:27" s="37" customFormat="1" ht="15" hidden="1" customHeight="1"/>
    <row r="68" spans="19:27" s="37" customFormat="1" ht="15" hidden="1" customHeight="1"/>
    <row r="69" spans="19:27" s="37" customFormat="1" ht="15" hidden="1" customHeight="1">
      <c r="T69" s="764"/>
      <c r="U69" s="764"/>
      <c r="V69" s="764"/>
      <c r="W69" s="764"/>
      <c r="X69" s="764"/>
      <c r="Y69" s="764"/>
      <c r="Z69" s="764"/>
      <c r="AA69" s="764"/>
    </row>
    <row r="70" spans="19:27" s="37" customFormat="1" ht="15" hidden="1" customHeight="1">
      <c r="T70" s="36"/>
      <c r="U70" s="36"/>
      <c r="V70" s="43"/>
      <c r="W70" s="43"/>
      <c r="AA70" s="44"/>
    </row>
    <row r="71" spans="19:27" s="37" customFormat="1" ht="15" hidden="1" customHeight="1">
      <c r="T71" s="36"/>
      <c r="U71" s="36"/>
      <c r="V71" s="43"/>
      <c r="W71" s="43"/>
    </row>
    <row r="72" spans="19:27" s="37" customFormat="1" ht="15" hidden="1" customHeight="1">
      <c r="T72" s="45"/>
      <c r="U72" s="36"/>
      <c r="V72" s="46"/>
      <c r="W72" s="36"/>
      <c r="Z72" s="40"/>
      <c r="AA72" s="36"/>
    </row>
    <row r="73" spans="19:27" s="37" customFormat="1" ht="15" hidden="1" customHeight="1">
      <c r="T73" s="45"/>
      <c r="U73" s="40"/>
      <c r="V73" s="40"/>
      <c r="W73" s="40"/>
    </row>
    <row r="74" spans="19:27" s="37" customFormat="1" ht="15" hidden="1" customHeight="1">
      <c r="T74" s="764"/>
      <c r="U74" s="764"/>
      <c r="V74" s="764"/>
      <c r="W74" s="764"/>
      <c r="X74" s="764"/>
      <c r="Y74" s="764"/>
      <c r="Z74" s="764"/>
      <c r="AA74" s="764"/>
    </row>
    <row r="75" spans="19:27" s="37" customFormat="1" ht="15" hidden="1" customHeight="1">
      <c r="T75" s="45"/>
      <c r="U75" s="40"/>
      <c r="V75" s="40"/>
      <c r="W75" s="40"/>
    </row>
    <row r="76" spans="19:27" s="37" customFormat="1" ht="15" hidden="1" customHeight="1">
      <c r="S76" s="47"/>
      <c r="U76" s="40"/>
      <c r="V76" s="40"/>
      <c r="W76" s="40"/>
      <c r="Y76" s="38"/>
    </row>
    <row r="77" spans="19:27" s="37" customFormat="1" ht="15" hidden="1" customHeight="1">
      <c r="U77" s="40"/>
      <c r="V77" s="40"/>
      <c r="W77" s="40"/>
      <c r="Y77" s="38"/>
    </row>
    <row r="78" spans="19:27" s="37" customFormat="1" ht="15" hidden="1" customHeight="1">
      <c r="S78" s="47"/>
      <c r="U78" s="40"/>
      <c r="V78" s="40"/>
      <c r="W78" s="45"/>
      <c r="Y78" s="38"/>
    </row>
    <row r="79" spans="19:27" s="37" customFormat="1" ht="15" hidden="1" customHeight="1">
      <c r="U79" s="40"/>
      <c r="V79" s="40"/>
      <c r="W79" s="45"/>
      <c r="Y79" s="38"/>
    </row>
    <row r="80" spans="19:27" s="37" customFormat="1" ht="15" hidden="1" customHeight="1">
      <c r="U80" s="40"/>
      <c r="V80" s="40"/>
      <c r="W80" s="40"/>
    </row>
    <row r="81" spans="19:26" s="37" customFormat="1" ht="15" hidden="1" customHeight="1">
      <c r="S81" s="47"/>
      <c r="U81" s="40"/>
      <c r="V81" s="40"/>
      <c r="W81" s="45"/>
      <c r="Y81" s="48"/>
    </row>
    <row r="82" spans="19:26" s="37" customFormat="1" ht="15" hidden="1" customHeight="1">
      <c r="U82" s="36"/>
      <c r="V82" s="36"/>
      <c r="W82" s="45"/>
      <c r="Y82" s="48"/>
    </row>
    <row r="83" spans="19:26" s="37" customFormat="1" ht="15" hidden="1" customHeight="1">
      <c r="U83" s="27"/>
      <c r="V83" s="27"/>
    </row>
    <row r="84" spans="19:26" s="37" customFormat="1" ht="15" hidden="1" customHeight="1">
      <c r="S84" s="47"/>
      <c r="Z84" s="49"/>
    </row>
    <row r="85" spans="19:26" s="37" customFormat="1" ht="15" hidden="1" customHeight="1">
      <c r="S85" s="47"/>
      <c r="Z85" s="49"/>
    </row>
    <row r="86" spans="19:26" s="37" customFormat="1" ht="15" hidden="1" customHeight="1">
      <c r="S86" s="47"/>
    </row>
    <row r="87" spans="19:26" s="37" customFormat="1" ht="15" hidden="1" customHeight="1">
      <c r="S87" s="47"/>
      <c r="U87" s="50"/>
      <c r="V87" s="51"/>
    </row>
    <row r="88" spans="19:26" s="37" customFormat="1" ht="15" hidden="1" customHeight="1">
      <c r="S88" s="47"/>
      <c r="U88" s="52"/>
      <c r="V88" s="52"/>
    </row>
    <row r="89" spans="19:26" s="37" customFormat="1" ht="15" hidden="1" customHeight="1">
      <c r="S89" s="47"/>
      <c r="U89" s="45"/>
      <c r="V89" s="45"/>
    </row>
    <row r="90" spans="19:26" s="37" customFormat="1" ht="15" hidden="1" customHeight="1">
      <c r="S90" s="47"/>
      <c r="U90" s="45"/>
      <c r="V90" s="45"/>
    </row>
    <row r="91" spans="19:26" s="37" customFormat="1" ht="15" hidden="1" customHeight="1">
      <c r="S91" s="47"/>
    </row>
    <row r="92" spans="19:26" s="37" customFormat="1" ht="15" hidden="1" customHeight="1">
      <c r="S92" s="47"/>
    </row>
    <row r="93" spans="19:26" s="37" customFormat="1" ht="15" hidden="1" customHeight="1">
      <c r="S93" s="47"/>
    </row>
    <row r="94" spans="19:26" s="37" customFormat="1" ht="15" hidden="1" customHeight="1">
      <c r="S94" s="47"/>
      <c r="Y94" s="53"/>
    </row>
    <row r="95" spans="19:26" s="37" customFormat="1" ht="15" hidden="1" customHeight="1">
      <c r="S95" s="47"/>
      <c r="Y95" s="53"/>
    </row>
    <row r="96" spans="19:26" s="37" customFormat="1" ht="15" hidden="1" customHeight="1">
      <c r="S96" s="47"/>
      <c r="Y96" s="53"/>
    </row>
    <row r="97" spans="19:25" s="37" customFormat="1" ht="15" hidden="1" customHeight="1">
      <c r="S97" s="47"/>
      <c r="Y97" s="53"/>
    </row>
    <row r="98" spans="19:25" s="37" customFormat="1" ht="15" hidden="1" customHeight="1">
      <c r="S98" s="47"/>
      <c r="Y98" s="53"/>
    </row>
    <row r="99" spans="19:25" s="37" customFormat="1" ht="15" hidden="1" customHeight="1">
      <c r="S99" s="47"/>
      <c r="Y99" s="53"/>
    </row>
    <row r="100" spans="19:25" s="37" customFormat="1" ht="15" hidden="1" customHeight="1">
      <c r="S100" s="47"/>
      <c r="Y100" s="53"/>
    </row>
    <row r="101" spans="19:25" s="37" customFormat="1" ht="15" hidden="1" customHeight="1">
      <c r="S101" s="47"/>
      <c r="Y101" s="53"/>
    </row>
    <row r="102" spans="19:25" s="37" customFormat="1" ht="15" hidden="1" customHeight="1">
      <c r="S102" s="47"/>
      <c r="Y102" s="53"/>
    </row>
    <row r="103" spans="19:25" s="37" customFormat="1" ht="15" hidden="1" customHeight="1">
      <c r="S103" s="47"/>
    </row>
    <row r="104" spans="19:25" s="37" customFormat="1" ht="15" hidden="1" customHeight="1">
      <c r="S104" s="47"/>
    </row>
    <row r="105" spans="19:25" s="37" customFormat="1" ht="15" hidden="1" customHeight="1">
      <c r="S105" s="47"/>
    </row>
    <row r="106" spans="19:25" s="37" customFormat="1" ht="15" hidden="1" customHeight="1">
      <c r="S106" s="47"/>
    </row>
    <row r="107" spans="19:25" s="37" customFormat="1" ht="15" hidden="1" customHeight="1">
      <c r="S107" s="47"/>
    </row>
    <row r="108" spans="19:25" s="37" customFormat="1" ht="15" hidden="1" customHeight="1"/>
    <row r="109" spans="19:25" s="37" customFormat="1" ht="15" hidden="1" customHeight="1">
      <c r="S109" s="47"/>
    </row>
    <row r="110" spans="19:25" s="37" customFormat="1" ht="15" hidden="1" customHeight="1">
      <c r="S110" s="47"/>
    </row>
    <row r="111" spans="19:25" s="37" customFormat="1" ht="15" hidden="1" customHeight="1">
      <c r="S111" s="47"/>
    </row>
    <row r="112" spans="19:25" s="37" customFormat="1" ht="15" hidden="1" customHeight="1">
      <c r="S112" s="47"/>
    </row>
    <row r="113" spans="19:19" s="37" customFormat="1" ht="15" hidden="1" customHeight="1"/>
    <row r="114" spans="19:19" s="37" customFormat="1" ht="15" hidden="1" customHeight="1">
      <c r="S114" s="47"/>
    </row>
    <row r="115" spans="19:19" s="37" customFormat="1" ht="15" hidden="1" customHeight="1">
      <c r="S115" s="47"/>
    </row>
    <row r="116" spans="19:19" s="37" customFormat="1" ht="15" hidden="1" customHeight="1">
      <c r="S116" s="47"/>
    </row>
    <row r="117" spans="19:19" s="37" customFormat="1" ht="15" hidden="1" customHeight="1">
      <c r="S117" s="47"/>
    </row>
    <row r="118" spans="19:19" s="37" customFormat="1" ht="15" hidden="1" customHeight="1"/>
    <row r="119" spans="19:19" s="37" customFormat="1" ht="15" hidden="1" customHeight="1">
      <c r="S119" s="47"/>
    </row>
    <row r="120" spans="19:19" s="37" customFormat="1" ht="15" hidden="1" customHeight="1">
      <c r="S120" s="47"/>
    </row>
    <row r="121" spans="19:19" s="37" customFormat="1" ht="15" hidden="1" customHeight="1">
      <c r="S121" s="47"/>
    </row>
    <row r="122" spans="19:19" s="37" customFormat="1" ht="15" hidden="1" customHeight="1">
      <c r="S122" s="47"/>
    </row>
    <row r="123" spans="19:19" s="37" customFormat="1" ht="15" hidden="1" customHeight="1">
      <c r="S123" s="47"/>
    </row>
    <row r="124" spans="19:19" s="37" customFormat="1" ht="15" hidden="1" customHeight="1">
      <c r="S124" s="47"/>
    </row>
    <row r="125" spans="19:19" s="37" customFormat="1" ht="15" hidden="1" customHeight="1">
      <c r="S125" s="47"/>
    </row>
    <row r="126" spans="19:19" s="37" customFormat="1" ht="15" hidden="1" customHeight="1">
      <c r="S126" s="47"/>
    </row>
    <row r="127" spans="19:19" s="37" customFormat="1" ht="15" hidden="1" customHeight="1">
      <c r="S127" s="47"/>
    </row>
    <row r="128" spans="19:19" s="37" customFormat="1" ht="15" hidden="1" customHeight="1">
      <c r="S128" s="47"/>
    </row>
    <row r="129" spans="20:27" s="37" customFormat="1" ht="15" hidden="1" customHeight="1"/>
    <row r="130" spans="20:27" s="37" customFormat="1" ht="15" hidden="1" customHeight="1">
      <c r="T130" s="764"/>
      <c r="U130" s="764"/>
      <c r="V130" s="764"/>
      <c r="W130" s="764"/>
      <c r="X130" s="764"/>
      <c r="Y130" s="764"/>
      <c r="Z130" s="764"/>
      <c r="AA130" s="764"/>
    </row>
    <row r="131" spans="20:27" s="37" customFormat="1" ht="15" hidden="1" customHeight="1">
      <c r="T131" s="764"/>
      <c r="U131" s="764"/>
      <c r="V131" s="764"/>
      <c r="W131" s="764"/>
      <c r="X131" s="36"/>
      <c r="Y131" s="36"/>
      <c r="Z131" s="36"/>
      <c r="AA131" s="36"/>
    </row>
    <row r="132" spans="20:27" s="37" customFormat="1" ht="15" hidden="1" customHeight="1">
      <c r="T132" s="36"/>
      <c r="U132" s="36"/>
      <c r="V132" s="36"/>
      <c r="W132" s="36"/>
      <c r="X132" s="36"/>
      <c r="Y132" s="36"/>
      <c r="Z132" s="36"/>
      <c r="AA132" s="36"/>
    </row>
    <row r="133" spans="20:27" s="37" customFormat="1" ht="15" hidden="1" customHeight="1">
      <c r="T133" s="27"/>
      <c r="X133" s="54"/>
      <c r="Y133" s="36"/>
      <c r="AA133" s="38"/>
    </row>
    <row r="134" spans="20:27" s="37" customFormat="1" ht="15" hidden="1" customHeight="1">
      <c r="W134" s="55"/>
      <c r="X134" s="54"/>
      <c r="Y134" s="40"/>
      <c r="AA134" s="38"/>
    </row>
    <row r="135" spans="20:27" s="37" customFormat="1" ht="15" hidden="1" customHeight="1">
      <c r="W135" s="56"/>
      <c r="X135" s="54"/>
      <c r="Y135" s="40"/>
      <c r="AA135" s="38"/>
    </row>
    <row r="136" spans="20:27" s="37" customFormat="1" ht="15" hidden="1" customHeight="1">
      <c r="W136" s="56"/>
      <c r="X136" s="54"/>
      <c r="Y136" s="40"/>
      <c r="AA136" s="38"/>
    </row>
    <row r="137" spans="20:27" s="37" customFormat="1" ht="15" hidden="1" customHeight="1">
      <c r="W137" s="57"/>
      <c r="X137" s="54"/>
      <c r="Y137" s="40"/>
      <c r="AA137" s="38"/>
    </row>
    <row r="138" spans="20:27" s="37" customFormat="1" ht="15" hidden="1" customHeight="1">
      <c r="U138" s="58"/>
      <c r="V138" s="58"/>
      <c r="W138" s="58"/>
      <c r="X138" s="54"/>
      <c r="Y138" s="40"/>
      <c r="AA138" s="38"/>
    </row>
    <row r="139" spans="20:27" s="37" customFormat="1" ht="15" hidden="1" customHeight="1">
      <c r="U139" s="58"/>
      <c r="V139" s="58"/>
      <c r="W139" s="58"/>
      <c r="X139" s="54"/>
      <c r="Y139" s="40"/>
      <c r="AA139" s="38"/>
    </row>
    <row r="140" spans="20:27" s="37" customFormat="1" ht="15" hidden="1" customHeight="1">
      <c r="U140" s="58"/>
      <c r="V140" s="58"/>
      <c r="X140" s="54"/>
      <c r="Y140" s="40"/>
      <c r="AA140" s="38"/>
    </row>
    <row r="141" spans="20:27" s="37" customFormat="1" ht="15" hidden="1" customHeight="1">
      <c r="U141" s="58"/>
      <c r="V141" s="58"/>
      <c r="X141" s="54"/>
      <c r="Y141" s="40"/>
      <c r="AA141" s="38"/>
    </row>
    <row r="142" spans="20:27" s="37" customFormat="1" ht="15" hidden="1" customHeight="1">
      <c r="U142" s="59"/>
      <c r="V142" s="50"/>
      <c r="X142" s="54"/>
      <c r="Y142" s="40"/>
      <c r="AA142" s="38"/>
    </row>
    <row r="143" spans="20:27" s="37" customFormat="1" ht="15" hidden="1" customHeight="1">
      <c r="U143" s="59"/>
      <c r="V143" s="50"/>
      <c r="X143" s="54"/>
      <c r="Y143" s="40"/>
      <c r="AA143" s="38"/>
    </row>
    <row r="144" spans="20:27" s="37" customFormat="1" ht="15" hidden="1" customHeight="1">
      <c r="U144" s="58"/>
      <c r="V144" s="58"/>
      <c r="X144" s="54"/>
      <c r="Y144" s="40"/>
      <c r="AA144" s="38"/>
    </row>
    <row r="145" spans="20:27" s="37" customFormat="1" ht="15" hidden="1" customHeight="1">
      <c r="T145" s="49"/>
      <c r="U145" s="58"/>
      <c r="V145" s="58"/>
      <c r="AA145" s="42"/>
    </row>
    <row r="146" spans="20:27" s="37" customFormat="1" ht="15" hidden="1" customHeight="1">
      <c r="T146" s="49"/>
      <c r="U146" s="763"/>
      <c r="V146" s="763"/>
      <c r="W146" s="762"/>
      <c r="X146" s="762"/>
      <c r="AA146" s="38"/>
    </row>
    <row r="147" spans="20:27" s="37" customFormat="1" ht="15" hidden="1" customHeight="1">
      <c r="T147" s="49"/>
      <c r="U147" s="58"/>
      <c r="V147" s="58"/>
      <c r="AA147" s="38"/>
    </row>
    <row r="148" spans="20:27" s="37" customFormat="1" ht="15" hidden="1" customHeight="1">
      <c r="T148" s="41"/>
      <c r="U148" s="59"/>
      <c r="V148" s="59"/>
      <c r="AA148" s="38"/>
    </row>
    <row r="149" spans="20:27" s="37" customFormat="1" ht="15" hidden="1" customHeight="1">
      <c r="T149" s="41"/>
      <c r="U149" s="59"/>
      <c r="V149" s="59"/>
      <c r="AA149" s="38"/>
    </row>
    <row r="150" spans="20:27" s="37" customFormat="1" ht="15" hidden="1" customHeight="1">
      <c r="T150" s="36"/>
      <c r="V150" s="58"/>
      <c r="Y150" s="27"/>
      <c r="Z150" s="27"/>
      <c r="AA150" s="42"/>
    </row>
    <row r="151" spans="20:27" s="37" customFormat="1" ht="15" hidden="1" customHeight="1">
      <c r="V151" s="58"/>
    </row>
    <row r="152" spans="20:27" s="37" customFormat="1" ht="15" hidden="1" customHeight="1"/>
    <row r="153" spans="20:27" s="37" customFormat="1" ht="15" hidden="1" customHeight="1"/>
    <row r="154" spans="20:27" s="37" customFormat="1" ht="15" hidden="1" customHeight="1"/>
    <row r="155" spans="20:27" s="37" customFormat="1" ht="15" hidden="1" customHeight="1"/>
    <row r="156" spans="20:27" s="37" customFormat="1" ht="15" hidden="1" customHeight="1"/>
    <row r="157" spans="20:27" s="37" customFormat="1" ht="15" hidden="1" customHeight="1"/>
    <row r="158" spans="20:27" s="37" customFormat="1" ht="15" hidden="1" customHeight="1"/>
    <row r="159" spans="20:27" s="37" customFormat="1" ht="15" hidden="1" customHeight="1"/>
    <row r="160" spans="20:27" s="37" customFormat="1" ht="15" hidden="1" customHeight="1"/>
    <row r="161" s="37" customFormat="1" ht="15" hidden="1" customHeight="1"/>
    <row r="162" s="37" customFormat="1" ht="15" hidden="1" customHeight="1"/>
    <row r="163" s="37" customFormat="1" ht="15" hidden="1" customHeight="1"/>
    <row r="164" s="37" customFormat="1" ht="15" hidden="1" customHeight="1"/>
    <row r="165" s="37" customFormat="1" ht="15" hidden="1" customHeight="1"/>
    <row r="166" s="37" customFormat="1" ht="15" hidden="1" customHeight="1"/>
    <row r="167" s="37" customFormat="1" ht="15" hidden="1" customHeight="1"/>
    <row r="168" s="37" customFormat="1" ht="15" hidden="1" customHeight="1"/>
    <row r="169" s="37" customFormat="1" ht="15" hidden="1" customHeight="1"/>
    <row r="170" s="37" customFormat="1" ht="15" hidden="1" customHeight="1"/>
    <row r="171" s="37" customFormat="1" ht="15" hidden="1" customHeight="1"/>
    <row r="172" s="37" customFormat="1" ht="15" hidden="1" customHeight="1"/>
    <row r="173" s="37" customFormat="1" ht="15" hidden="1" customHeight="1"/>
    <row r="174" s="37" customFormat="1" ht="15" hidden="1" customHeight="1"/>
    <row r="175" s="37" customFormat="1" ht="15" hidden="1" customHeight="1"/>
    <row r="176" s="37" customFormat="1" ht="15" hidden="1" customHeight="1"/>
    <row r="177" s="37" customFormat="1" ht="15" hidden="1" customHeight="1"/>
    <row r="178" s="37" customFormat="1" ht="15" hidden="1" customHeight="1"/>
    <row r="179" s="37" customFormat="1" ht="15" hidden="1" customHeight="1"/>
    <row r="180" s="37" customFormat="1" ht="15" hidden="1" customHeight="1"/>
    <row r="181" s="37" customFormat="1" ht="15" hidden="1" customHeight="1"/>
    <row r="182" s="37" customFormat="1" ht="15" hidden="1" customHeight="1"/>
    <row r="183" s="37" customFormat="1" ht="15" hidden="1" customHeight="1"/>
    <row r="184" s="37" customFormat="1" ht="15" hidden="1" customHeight="1"/>
    <row r="185" s="37" customFormat="1" ht="15" hidden="1" customHeight="1"/>
    <row r="186" s="37" customFormat="1" ht="15" hidden="1" customHeight="1"/>
    <row r="187" s="37" customFormat="1" ht="15" hidden="1" customHeight="1"/>
    <row r="188" s="37" customFormat="1" ht="10" hidden="1"/>
    <row r="189" s="37" customFormat="1" ht="10" hidden="1"/>
    <row r="190" s="37" customFormat="1" ht="10" hidden="1"/>
    <row r="191" s="37" customFormat="1" ht="10" hidden="1"/>
    <row r="192" s="37" customFormat="1" ht="10" hidden="1"/>
    <row r="193" s="37" customFormat="1" ht="10" hidden="1"/>
    <row r="194" s="37" customFormat="1" ht="10" hidden="1"/>
    <row r="195" s="37" customFormat="1" ht="10" hidden="1"/>
    <row r="196" s="37" customFormat="1" ht="10" hidden="1"/>
    <row r="197" s="37" customFormat="1" ht="10" hidden="1"/>
    <row r="198" s="37" customFormat="1" ht="10" hidden="1"/>
    <row r="199" s="37" customFormat="1" ht="10" hidden="1"/>
    <row r="200" s="37" customFormat="1" ht="10" hidden="1"/>
    <row r="201" s="37" customFormat="1" ht="10" hidden="1"/>
    <row r="202" s="37" customFormat="1" ht="10" hidden="1"/>
    <row r="203" s="37" customFormat="1" ht="10" hidden="1"/>
    <row r="204" s="37" customFormat="1" ht="10" hidden="1"/>
    <row r="205" s="37" customFormat="1" ht="10" hidden="1"/>
    <row r="206" s="37" customFormat="1" ht="10" hidden="1"/>
    <row r="207" s="37" customFormat="1" ht="10" hidden="1"/>
    <row r="208" s="37" customFormat="1" ht="10" hidden="1"/>
    <row r="209" s="37" customFormat="1" ht="10" hidden="1"/>
    <row r="210" s="37" customFormat="1" ht="10" hidden="1"/>
    <row r="211" s="37" customFormat="1" ht="10" hidden="1"/>
    <row r="212" s="37" customFormat="1" ht="10" hidden="1"/>
    <row r="213" s="37" customFormat="1" ht="10" hidden="1"/>
    <row r="214" s="37" customFormat="1" ht="10" hidden="1"/>
    <row r="215" s="37" customFormat="1" ht="10" hidden="1"/>
  </sheetData>
  <sheetProtection algorithmName="SHA-512" hashValue="HqgysODozls9CAVVlB6i+Ool7ZFLODeeAe/RmA7la8rfRjOnuVxRm0tQoAdPbPSXxdl9E3JkQTmmJ19Yv5xCpQ==" saltValue="kv0upj/OV8t7VS4NGHmPlw==" spinCount="100000" sheet="1" objects="1" scenarios="1"/>
  <mergeCells count="15">
    <mergeCell ref="B20:C20"/>
    <mergeCell ref="D19:E19"/>
    <mergeCell ref="J18:K18"/>
    <mergeCell ref="D18:E18"/>
    <mergeCell ref="F18:G18"/>
    <mergeCell ref="I2:J8"/>
    <mergeCell ref="I11:J13"/>
    <mergeCell ref="F19:G19"/>
    <mergeCell ref="W146:X146"/>
    <mergeCell ref="U146:V146"/>
    <mergeCell ref="T69:AA69"/>
    <mergeCell ref="T131:W131"/>
    <mergeCell ref="T74:AA74"/>
    <mergeCell ref="T130:AA130"/>
    <mergeCell ref="R29:S30"/>
  </mergeCells>
  <phoneticPr fontId="0" type="noConversion"/>
  <dataValidations count="3">
    <dataValidation type="whole" allowBlank="1" showInputMessage="1" showErrorMessage="1" errorTitle="Reintentar" error="Suma Asegurada fuera de rango." sqref="E5:E7">
      <formula1>75000</formula1>
      <formula2>2000000</formula2>
    </dataValidation>
    <dataValidation allowBlank="1" showDropDown="1" sqref="E10:E13"/>
    <dataValidation type="list" allowBlank="1" showDropDown="1" showInputMessage="1" showErrorMessage="1" errorTitle="Reintentar" error="Zona no válida" sqref="F10:F11">
      <formula1>$K$11:$K$13</formula1>
    </dataValidation>
  </dataValidations>
  <printOptions horizontalCentered="1"/>
  <pageMargins left="0.75" right="0.75" top="1" bottom="1" header="0" footer="0"/>
  <pageSetup orientation="portrait" horizontalDpi="300" verticalDpi="300" r:id="rId1"/>
  <headerFooter alignWithMargins="0">
    <oddFooter>&amp;C&amp;"Tahoma,Negrita"&amp;8Advertencia: GENERALI MEXICO COMPAÑIA DE SEGUROS, S.A. se reserva el derecho de cambiar o modificar tarifas sin previo aviso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S39"/>
  <sheetViews>
    <sheetView zoomScale="75" workbookViewId="0">
      <selection activeCell="S1" sqref="S1"/>
    </sheetView>
  </sheetViews>
  <sheetFormatPr baseColWidth="10" defaultColWidth="11.453125" defaultRowHeight="12.5"/>
  <cols>
    <col min="1" max="1" width="23.7265625" style="1" customWidth="1"/>
    <col min="2" max="2" width="11.7265625" style="1" customWidth="1"/>
    <col min="3" max="3" width="13.7265625" style="1" customWidth="1"/>
    <col min="4" max="4" width="11.453125" style="1"/>
    <col min="5" max="5" width="16.7265625" style="1" customWidth="1"/>
    <col min="6" max="6" width="11.453125" style="1"/>
    <col min="7" max="7" width="20.7265625" style="1" customWidth="1"/>
    <col min="8" max="8" width="19.1796875" style="1" customWidth="1"/>
    <col min="9" max="9" width="7.453125" style="1" customWidth="1"/>
    <col min="10" max="10" width="15.54296875" style="1" customWidth="1"/>
    <col min="11" max="12" width="15.7265625" style="1" customWidth="1"/>
    <col min="13" max="13" width="12.7265625" style="1" customWidth="1"/>
    <col min="14" max="14" width="21.54296875" style="1" customWidth="1"/>
    <col min="15" max="15" width="13.54296875" style="1" customWidth="1"/>
    <col min="16" max="16" width="14.453125" style="1" customWidth="1"/>
    <col min="17" max="18" width="119.1796875" style="1" bestFit="1" customWidth="1"/>
    <col min="19" max="19" width="17.54296875" style="1" customWidth="1"/>
    <col min="20" max="16384" width="11.453125" style="1"/>
  </cols>
  <sheetData>
    <row r="1" spans="1:19" ht="13" thickTop="1">
      <c r="A1" s="15" t="s">
        <v>35</v>
      </c>
    </row>
    <row r="2" spans="1:19">
      <c r="A2" s="23" t="s">
        <v>36</v>
      </c>
    </row>
    <row r="3" spans="1:19" ht="13" thickBot="1">
      <c r="A3" s="24" t="s">
        <v>37</v>
      </c>
    </row>
    <row r="4" spans="1:19" ht="13.5" thickTop="1" thickBot="1"/>
    <row r="5" spans="1:19" ht="13" thickTop="1">
      <c r="A5" s="15" t="s">
        <v>50</v>
      </c>
      <c r="B5" s="9" t="s">
        <v>10</v>
      </c>
      <c r="C5" s="10"/>
      <c r="D5" s="10"/>
      <c r="E5" s="10"/>
      <c r="F5" s="10"/>
      <c r="G5" s="10"/>
      <c r="H5" s="10"/>
      <c r="I5" s="10"/>
      <c r="J5" s="10"/>
      <c r="K5" s="11"/>
      <c r="L5" s="5"/>
      <c r="M5" s="5"/>
    </row>
    <row r="6" spans="1:19">
      <c r="A6" s="74">
        <v>1</v>
      </c>
      <c r="B6" s="155" t="s">
        <v>224</v>
      </c>
      <c r="C6" s="5"/>
      <c r="D6" s="5"/>
      <c r="E6" s="5"/>
      <c r="F6" s="5"/>
      <c r="G6" s="5"/>
      <c r="H6" s="5"/>
      <c r="I6" s="5"/>
      <c r="J6" s="5"/>
      <c r="K6" s="12"/>
      <c r="L6" s="5"/>
      <c r="M6" s="5"/>
    </row>
    <row r="7" spans="1:19">
      <c r="A7" s="75">
        <v>2</v>
      </c>
      <c r="B7" s="155" t="s">
        <v>225</v>
      </c>
      <c r="C7" s="5"/>
      <c r="D7" s="5"/>
      <c r="E7" s="5"/>
      <c r="F7" s="5"/>
      <c r="G7" s="5"/>
      <c r="H7" s="5"/>
      <c r="I7" s="5"/>
      <c r="J7" s="5"/>
      <c r="K7" s="12"/>
      <c r="L7" s="5"/>
      <c r="M7" s="5"/>
    </row>
    <row r="8" spans="1:19">
      <c r="A8" s="75">
        <v>3</v>
      </c>
      <c r="B8" s="155" t="s">
        <v>167</v>
      </c>
      <c r="C8" s="5"/>
      <c r="D8" s="5"/>
      <c r="E8" s="5"/>
      <c r="F8" s="5"/>
      <c r="G8" s="5"/>
      <c r="H8" s="5"/>
      <c r="I8" s="5"/>
      <c r="J8" s="5"/>
      <c r="K8" s="12"/>
      <c r="L8" s="5"/>
      <c r="M8" s="5"/>
    </row>
    <row r="9" spans="1:19">
      <c r="A9" s="75">
        <v>4</v>
      </c>
      <c r="B9" s="155" t="s">
        <v>168</v>
      </c>
      <c r="C9" s="5"/>
      <c r="D9" s="5"/>
      <c r="E9" s="5"/>
      <c r="F9" s="5"/>
      <c r="G9" s="5"/>
      <c r="H9" s="5"/>
      <c r="I9" s="5"/>
      <c r="J9" s="5"/>
      <c r="K9" s="12"/>
      <c r="L9" s="5"/>
      <c r="M9" s="5"/>
      <c r="R9" s="6"/>
      <c r="S9" s="6"/>
    </row>
    <row r="10" spans="1:19">
      <c r="A10" s="75">
        <v>5</v>
      </c>
      <c r="B10" s="156" t="s">
        <v>169</v>
      </c>
      <c r="C10" s="5"/>
      <c r="D10" s="5"/>
      <c r="E10" s="5"/>
      <c r="F10" s="5"/>
      <c r="G10" s="5"/>
      <c r="H10" s="5"/>
      <c r="I10" s="5"/>
      <c r="J10" s="5"/>
      <c r="K10" s="12"/>
      <c r="L10" s="5"/>
      <c r="M10" s="5"/>
      <c r="R10" s="6"/>
      <c r="S10" s="6"/>
    </row>
    <row r="11" spans="1:19" ht="13" thickBot="1">
      <c r="A11" s="76">
        <v>6</v>
      </c>
      <c r="B11" s="157" t="s">
        <v>128</v>
      </c>
      <c r="C11" s="13"/>
      <c r="D11" s="13"/>
      <c r="E11" s="13"/>
      <c r="F11" s="13"/>
      <c r="G11" s="13"/>
      <c r="H11" s="13"/>
      <c r="I11" s="13"/>
      <c r="J11" s="13"/>
      <c r="K11" s="14"/>
      <c r="L11" s="5"/>
      <c r="M11" s="5"/>
      <c r="R11" s="6"/>
      <c r="S11" s="6"/>
    </row>
    <row r="12" spans="1:19" ht="13.5" thickTop="1" thickBot="1">
      <c r="P12" s="6"/>
      <c r="Q12" s="6"/>
      <c r="R12" s="6"/>
    </row>
    <row r="13" spans="1:19" ht="13" thickTop="1">
      <c r="A13" s="15" t="s">
        <v>1</v>
      </c>
      <c r="C13" s="15" t="s">
        <v>2</v>
      </c>
      <c r="E13" s="15" t="s">
        <v>3</v>
      </c>
      <c r="G13" s="15" t="s">
        <v>21</v>
      </c>
      <c r="H13" s="15" t="s">
        <v>21</v>
      </c>
      <c r="P13" s="6"/>
      <c r="Q13" s="6"/>
      <c r="R13" s="6"/>
    </row>
    <row r="14" spans="1:19">
      <c r="A14" s="16">
        <v>500000</v>
      </c>
      <c r="C14" s="16">
        <v>4000</v>
      </c>
      <c r="E14" s="158">
        <v>0</v>
      </c>
      <c r="G14" s="135" t="s">
        <v>40</v>
      </c>
      <c r="H14" s="135" t="s">
        <v>95</v>
      </c>
      <c r="P14" s="6"/>
      <c r="Q14" s="6"/>
      <c r="R14" s="6"/>
    </row>
    <row r="15" spans="1:19" ht="13" thickBot="1">
      <c r="A15" s="16">
        <v>750000</v>
      </c>
      <c r="C15" s="16">
        <v>4500</v>
      </c>
      <c r="E15" s="17">
        <v>0.05</v>
      </c>
      <c r="G15" s="136" t="s">
        <v>39</v>
      </c>
      <c r="H15" s="136" t="s">
        <v>96</v>
      </c>
      <c r="P15" s="6"/>
      <c r="Q15" s="6"/>
      <c r="R15" s="6"/>
    </row>
    <row r="16" spans="1:19" ht="13" thickTop="1">
      <c r="A16" s="16">
        <v>1000000</v>
      </c>
      <c r="C16" s="16">
        <v>5000</v>
      </c>
      <c r="E16" s="17">
        <v>0.1</v>
      </c>
      <c r="G16"/>
      <c r="H16"/>
      <c r="N16" s="6"/>
      <c r="P16" s="6"/>
      <c r="Q16" s="6"/>
      <c r="R16" s="6"/>
    </row>
    <row r="17" spans="1:9">
      <c r="A17" s="16">
        <f>+A16+1000000</f>
        <v>2000000</v>
      </c>
      <c r="C17" s="16">
        <v>6000</v>
      </c>
      <c r="E17" s="17">
        <v>0.15</v>
      </c>
    </row>
    <row r="18" spans="1:9">
      <c r="A18" s="16">
        <f t="shared" ref="A18:A24" si="0">+A17+1000000</f>
        <v>3000000</v>
      </c>
      <c r="C18" s="16">
        <v>7000</v>
      </c>
      <c r="E18" s="17">
        <v>0.2</v>
      </c>
    </row>
    <row r="19" spans="1:9">
      <c r="A19" s="16">
        <f t="shared" si="0"/>
        <v>4000000</v>
      </c>
      <c r="C19" s="16">
        <v>8000</v>
      </c>
      <c r="E19" s="17">
        <v>0.25</v>
      </c>
    </row>
    <row r="20" spans="1:9">
      <c r="A20" s="16">
        <f t="shared" si="0"/>
        <v>5000000</v>
      </c>
      <c r="C20" s="16">
        <v>9000</v>
      </c>
      <c r="E20" s="17">
        <v>0.3</v>
      </c>
    </row>
    <row r="21" spans="1:9">
      <c r="A21" s="16">
        <f t="shared" si="0"/>
        <v>6000000</v>
      </c>
      <c r="C21" s="16">
        <v>10000</v>
      </c>
      <c r="E21" s="17">
        <v>0.35</v>
      </c>
    </row>
    <row r="22" spans="1:9" ht="13" thickBot="1">
      <c r="A22" s="16">
        <f t="shared" si="0"/>
        <v>7000000</v>
      </c>
      <c r="C22" s="16">
        <v>20000</v>
      </c>
      <c r="E22" s="18">
        <v>0.4</v>
      </c>
    </row>
    <row r="23" spans="1:9" ht="13.5" thickTop="1" thickBot="1">
      <c r="A23" s="16">
        <f t="shared" si="0"/>
        <v>8000000</v>
      </c>
      <c r="C23" s="19">
        <v>50000</v>
      </c>
    </row>
    <row r="24" spans="1:9" ht="13.5" thickTop="1" thickBot="1">
      <c r="A24" s="19">
        <f t="shared" si="0"/>
        <v>9000000</v>
      </c>
    </row>
    <row r="25" spans="1:9" ht="13" thickTop="1"/>
    <row r="26" spans="1:9">
      <c r="A26" s="7"/>
    </row>
    <row r="27" spans="1:9">
      <c r="A27" s="7"/>
    </row>
    <row r="28" spans="1:9">
      <c r="A28" s="7"/>
      <c r="C28" s="7"/>
    </row>
    <row r="29" spans="1:9" ht="13" thickBot="1"/>
    <row r="30" spans="1:9" ht="13" thickTop="1">
      <c r="A30" s="15" t="s">
        <v>27</v>
      </c>
      <c r="B30" s="20" t="s">
        <v>29</v>
      </c>
      <c r="C30" s="10"/>
      <c r="D30" s="10"/>
      <c r="E30" s="10"/>
      <c r="F30" s="10"/>
      <c r="G30" s="10"/>
      <c r="H30" s="10"/>
      <c r="I30" s="11"/>
    </row>
    <row r="31" spans="1:9">
      <c r="A31" s="88" t="s">
        <v>40</v>
      </c>
      <c r="B31" s="86" t="s">
        <v>53</v>
      </c>
      <c r="C31" s="5"/>
      <c r="D31" s="5"/>
      <c r="E31" s="5"/>
      <c r="F31" s="5"/>
      <c r="G31" s="5"/>
      <c r="H31" s="5"/>
      <c r="I31" s="12"/>
    </row>
    <row r="32" spans="1:9">
      <c r="A32" s="89" t="s">
        <v>52</v>
      </c>
      <c r="B32" s="86" t="s">
        <v>54</v>
      </c>
      <c r="C32" s="5"/>
      <c r="D32" s="5"/>
      <c r="E32" s="5"/>
      <c r="F32" s="5"/>
      <c r="G32" s="5"/>
      <c r="H32" s="5"/>
      <c r="I32" s="12"/>
    </row>
    <row r="33" spans="1:9" ht="13" thickBot="1">
      <c r="A33" s="90" t="s">
        <v>38</v>
      </c>
      <c r="B33" s="356" t="s">
        <v>211</v>
      </c>
      <c r="C33" s="13"/>
      <c r="D33" s="13"/>
      <c r="E33" s="13"/>
      <c r="F33" s="13"/>
      <c r="G33" s="13"/>
      <c r="H33" s="13"/>
      <c r="I33" s="14"/>
    </row>
    <row r="34" spans="1:9" ht="13.5" thickTop="1" thickBot="1">
      <c r="A34" s="5"/>
    </row>
    <row r="35" spans="1:9" ht="13" thickTop="1">
      <c r="A35" s="20" t="s">
        <v>30</v>
      </c>
      <c r="B35" s="10"/>
      <c r="C35" s="10"/>
      <c r="D35" s="10"/>
      <c r="E35" s="10"/>
      <c r="F35" s="10"/>
      <c r="G35" s="10"/>
      <c r="H35" s="11"/>
    </row>
    <row r="36" spans="1:9">
      <c r="A36" s="21" t="s">
        <v>31</v>
      </c>
      <c r="B36" s="5"/>
      <c r="C36" s="5"/>
      <c r="D36" s="5"/>
      <c r="E36" s="5"/>
      <c r="F36" s="5"/>
      <c r="G36" s="5"/>
      <c r="H36" s="12"/>
    </row>
    <row r="37" spans="1:9">
      <c r="A37" s="21" t="s">
        <v>32</v>
      </c>
      <c r="B37" s="5"/>
      <c r="C37" s="5"/>
      <c r="D37" s="5"/>
      <c r="E37" s="5"/>
      <c r="F37" s="5"/>
      <c r="G37" s="5"/>
      <c r="H37" s="12"/>
    </row>
    <row r="38" spans="1:9" ht="13" thickBot="1">
      <c r="A38" s="22" t="s">
        <v>33</v>
      </c>
      <c r="B38" s="13"/>
      <c r="C38" s="13"/>
      <c r="D38" s="13"/>
      <c r="E38" s="13"/>
      <c r="F38" s="13"/>
      <c r="G38" s="13"/>
      <c r="H38" s="14"/>
    </row>
    <row r="39" spans="1:9" ht="13" thickTop="1"/>
  </sheetData>
  <phoneticPr fontId="0" type="noConversion"/>
  <pageMargins left="0.75" right="0.75" top="1" bottom="1" header="0" footer="0"/>
  <pageSetup paperSize="9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1:J71"/>
  <sheetViews>
    <sheetView zoomScaleNormal="120" workbookViewId="0">
      <selection activeCell="F20" sqref="F20"/>
    </sheetView>
  </sheetViews>
  <sheetFormatPr baseColWidth="10" defaultColWidth="11.453125" defaultRowHeight="10"/>
  <cols>
    <col min="1" max="1" width="3.453125" style="93" customWidth="1"/>
    <col min="2" max="2" width="3.453125" style="111" customWidth="1"/>
    <col min="3" max="6" width="11.453125" style="93"/>
    <col min="7" max="7" width="23.81640625" style="93" customWidth="1"/>
    <col min="8" max="8" width="11.453125" style="93"/>
    <col min="9" max="9" width="6.81640625" style="93" customWidth="1"/>
    <col min="10" max="10" width="14.1796875" style="93" bestFit="1" customWidth="1"/>
    <col min="11" max="16384" width="11.453125" style="93"/>
  </cols>
  <sheetData>
    <row r="1" spans="2:10">
      <c r="B1" s="94"/>
      <c r="C1" s="94"/>
      <c r="D1" s="94"/>
      <c r="E1" s="94"/>
      <c r="F1" s="94"/>
      <c r="G1" s="94"/>
      <c r="H1" s="94"/>
      <c r="I1" s="94"/>
      <c r="J1" s="94"/>
    </row>
    <row r="2" spans="2:10">
      <c r="B2" s="94"/>
      <c r="C2" s="94"/>
      <c r="D2" s="94"/>
      <c r="E2" s="94"/>
      <c r="F2" s="94"/>
      <c r="G2" s="94"/>
      <c r="H2" s="94"/>
      <c r="I2" s="94"/>
      <c r="J2" s="94"/>
    </row>
    <row r="3" spans="2:10">
      <c r="B3" s="94"/>
      <c r="C3" s="94"/>
      <c r="D3" s="94"/>
      <c r="E3" s="94"/>
      <c r="F3" s="94"/>
      <c r="G3" s="94"/>
      <c r="H3" s="94"/>
      <c r="I3" s="94"/>
      <c r="J3" s="95"/>
    </row>
    <row r="4" spans="2:10">
      <c r="B4" s="94"/>
      <c r="C4" s="94"/>
      <c r="D4" s="94"/>
      <c r="E4" s="94"/>
      <c r="F4" s="94"/>
      <c r="G4" s="94"/>
      <c r="H4" s="94"/>
      <c r="I4" s="94"/>
      <c r="J4" s="94"/>
    </row>
    <row r="5" spans="2:10">
      <c r="B5" s="94"/>
      <c r="C5" s="94"/>
      <c r="D5" s="94"/>
      <c r="E5" s="94"/>
      <c r="F5" s="94"/>
      <c r="G5" s="94"/>
      <c r="H5" s="94"/>
      <c r="I5" s="94"/>
      <c r="J5" s="94"/>
    </row>
    <row r="6" spans="2:10">
      <c r="B6" s="94"/>
      <c r="C6" s="94"/>
      <c r="D6" s="94"/>
      <c r="E6" s="94"/>
      <c r="F6" s="94"/>
      <c r="G6" s="94"/>
      <c r="H6" s="94"/>
      <c r="I6" s="94"/>
      <c r="J6" s="94"/>
    </row>
    <row r="7" spans="2:10">
      <c r="B7" s="94"/>
      <c r="C7" s="94"/>
      <c r="D7" s="94"/>
      <c r="E7" s="94"/>
      <c r="F7" s="94"/>
      <c r="G7" s="94"/>
      <c r="H7" s="94"/>
      <c r="I7" s="94"/>
      <c r="J7" s="94"/>
    </row>
    <row r="8" spans="2:10">
      <c r="B8" s="94"/>
      <c r="C8" s="94"/>
      <c r="D8" s="94"/>
      <c r="E8" s="94"/>
      <c r="F8" s="94"/>
      <c r="G8" s="94"/>
      <c r="H8" s="94"/>
      <c r="I8" s="94"/>
      <c r="J8" s="94"/>
    </row>
    <row r="9" spans="2:10" ht="12.5">
      <c r="B9" s="94"/>
      <c r="C9" s="778"/>
      <c r="D9" s="778"/>
      <c r="E9" s="778"/>
      <c r="F9" s="778"/>
      <c r="G9" s="778"/>
      <c r="H9" s="778"/>
      <c r="I9" s="778"/>
      <c r="J9" s="778"/>
    </row>
    <row r="10" spans="2:10">
      <c r="B10" s="94"/>
      <c r="C10" s="96"/>
      <c r="D10" s="96"/>
      <c r="E10" s="97"/>
      <c r="F10" s="97"/>
      <c r="G10" s="94"/>
      <c r="H10" s="94"/>
      <c r="I10" s="94"/>
      <c r="J10" s="98">
        <f ca="1">TODAY()</f>
        <v>44991</v>
      </c>
    </row>
    <row r="11" spans="2:10">
      <c r="B11" s="94"/>
      <c r="C11" s="96"/>
      <c r="D11" s="96"/>
      <c r="E11" s="97"/>
      <c r="F11" s="97"/>
      <c r="G11" s="94"/>
      <c r="H11" s="94"/>
      <c r="I11" s="94"/>
      <c r="J11" s="94"/>
    </row>
    <row r="12" spans="2:10">
      <c r="B12" s="94"/>
      <c r="C12" s="99"/>
      <c r="D12" s="96"/>
      <c r="E12" s="100"/>
      <c r="F12" s="96"/>
      <c r="G12" s="94"/>
      <c r="H12" s="94"/>
      <c r="I12" s="101" t="s">
        <v>10</v>
      </c>
      <c r="J12" s="102">
        <f>TITULAR!E3</f>
        <v>5</v>
      </c>
    </row>
    <row r="13" spans="2:10">
      <c r="B13" s="94"/>
      <c r="C13" s="99"/>
      <c r="D13" s="103"/>
      <c r="E13" s="103"/>
      <c r="F13" s="103"/>
      <c r="G13" s="94"/>
      <c r="H13" s="94"/>
      <c r="I13" s="94"/>
      <c r="J13" s="94"/>
    </row>
    <row r="14" spans="2:10" ht="12.75" customHeight="1">
      <c r="B14" s="779" t="s">
        <v>58</v>
      </c>
      <c r="C14" s="780"/>
      <c r="D14" s="780"/>
      <c r="E14" s="780"/>
      <c r="F14" s="780"/>
      <c r="G14" s="780"/>
      <c r="H14" s="780"/>
      <c r="I14" s="780"/>
      <c r="J14" s="781"/>
    </row>
    <row r="15" spans="2:10">
      <c r="B15" s="94" t="s">
        <v>59</v>
      </c>
      <c r="C15" s="99" t="s">
        <v>114</v>
      </c>
      <c r="D15" s="103"/>
      <c r="E15" s="103"/>
      <c r="F15" s="103"/>
      <c r="G15" s="94"/>
      <c r="H15" s="94" t="s">
        <v>119</v>
      </c>
      <c r="I15" s="94"/>
      <c r="J15" s="94"/>
    </row>
    <row r="16" spans="2:10">
      <c r="B16" s="94"/>
      <c r="C16" s="99"/>
      <c r="D16" s="103"/>
      <c r="E16" s="103"/>
      <c r="F16" s="103"/>
      <c r="G16" s="94"/>
      <c r="H16" s="94"/>
      <c r="I16" s="94"/>
      <c r="J16" s="94"/>
    </row>
    <row r="17" spans="2:10">
      <c r="B17" s="104" t="s">
        <v>59</v>
      </c>
      <c r="C17" s="105" t="s">
        <v>60</v>
      </c>
      <c r="D17" s="103"/>
      <c r="E17" s="103"/>
      <c r="F17" s="103"/>
      <c r="G17" s="94"/>
      <c r="H17" s="151">
        <f>+TITULAR!E5</f>
        <v>100000000</v>
      </c>
      <c r="I17" s="94" t="str">
        <f>IF(H17&lt;&gt;"SIN LÍMITE","M.N.","")</f>
        <v>M.N.</v>
      </c>
      <c r="J17" s="94"/>
    </row>
    <row r="18" spans="2:10">
      <c r="B18" s="94"/>
      <c r="C18" s="94"/>
      <c r="D18" s="103"/>
      <c r="E18" s="103"/>
      <c r="F18" s="103"/>
      <c r="G18" s="94"/>
      <c r="H18" s="106"/>
      <c r="I18" s="94"/>
      <c r="J18" s="94"/>
    </row>
    <row r="19" spans="2:10">
      <c r="B19" s="104" t="s">
        <v>59</v>
      </c>
      <c r="C19" s="105" t="s">
        <v>62</v>
      </c>
      <c r="D19" s="103"/>
      <c r="E19" s="103"/>
      <c r="F19" s="99" t="s">
        <v>63</v>
      </c>
      <c r="G19" s="94"/>
      <c r="H19" s="106">
        <f>+TITULAR!E6</f>
        <v>12000</v>
      </c>
      <c r="I19" s="94" t="s">
        <v>61</v>
      </c>
      <c r="J19" s="94"/>
    </row>
    <row r="20" spans="2:10">
      <c r="B20" s="94"/>
      <c r="C20" s="94"/>
      <c r="D20" s="103"/>
      <c r="E20" s="103"/>
      <c r="F20" s="99" t="s">
        <v>64</v>
      </c>
      <c r="G20" s="94"/>
      <c r="H20" s="106">
        <v>0</v>
      </c>
      <c r="I20" s="94" t="s">
        <v>61</v>
      </c>
      <c r="J20" s="94"/>
    </row>
    <row r="21" spans="2:10">
      <c r="B21" s="94"/>
      <c r="C21" s="94"/>
      <c r="D21" s="103"/>
      <c r="E21" s="103"/>
      <c r="F21" s="103"/>
      <c r="G21" s="94"/>
      <c r="H21" s="94"/>
      <c r="I21" s="94"/>
      <c r="J21" s="94"/>
    </row>
    <row r="22" spans="2:10">
      <c r="B22" s="104" t="s">
        <v>59</v>
      </c>
      <c r="C22" s="105" t="s">
        <v>65</v>
      </c>
      <c r="D22" s="103"/>
      <c r="E22" s="103"/>
      <c r="F22" s="99" t="s">
        <v>63</v>
      </c>
      <c r="G22" s="94"/>
      <c r="H22" s="107">
        <f>+TITULAR!E8</f>
        <v>0.1</v>
      </c>
      <c r="I22" s="94">
        <f>+COTIZACION!S29</f>
        <v>0</v>
      </c>
      <c r="J22" s="94"/>
    </row>
    <row r="23" spans="2:10">
      <c r="B23" s="94"/>
      <c r="C23" s="105"/>
      <c r="D23" s="96"/>
      <c r="E23" s="96"/>
      <c r="F23" s="99" t="s">
        <v>64</v>
      </c>
      <c r="G23" s="94"/>
      <c r="H23" s="107">
        <v>0</v>
      </c>
      <c r="I23" s="94"/>
      <c r="J23" s="94"/>
    </row>
    <row r="24" spans="2:10">
      <c r="B24" s="94"/>
      <c r="C24" s="105"/>
      <c r="D24" s="96"/>
      <c r="E24" s="96"/>
      <c r="F24" s="99"/>
      <c r="G24" s="94"/>
      <c r="H24" s="107"/>
      <c r="I24" s="94"/>
      <c r="J24" s="94"/>
    </row>
    <row r="25" spans="2:10">
      <c r="B25" s="105">
        <f>+COTIZACION!L32</f>
        <v>0</v>
      </c>
      <c r="C25" s="105">
        <f>+COTIZACION!M32</f>
        <v>0</v>
      </c>
      <c r="D25" s="96"/>
      <c r="E25" s="96"/>
      <c r="F25" s="99"/>
      <c r="G25" s="94"/>
      <c r="H25" s="107">
        <f>+TITULAR!E9</f>
        <v>0</v>
      </c>
      <c r="I25" s="94"/>
      <c r="J25" s="94"/>
    </row>
    <row r="26" spans="2:10">
      <c r="B26" s="105">
        <f>+COTIZACION!L33</f>
        <v>0</v>
      </c>
      <c r="C26" s="105">
        <f>+COTIZACION!M33</f>
        <v>0</v>
      </c>
      <c r="D26" s="108"/>
      <c r="E26" s="108"/>
      <c r="F26" s="94"/>
      <c r="G26" s="94"/>
      <c r="H26" s="149">
        <f>+COTIZACION!R33</f>
        <v>0</v>
      </c>
      <c r="I26" s="153">
        <f>+COTIZACION!S33</f>
        <v>0</v>
      </c>
      <c r="J26" s="94"/>
    </row>
    <row r="27" spans="2:10" hidden="1">
      <c r="B27" s="105"/>
      <c r="C27" s="105"/>
      <c r="D27" s="109"/>
      <c r="E27" s="110"/>
      <c r="F27" s="105"/>
      <c r="G27" s="94"/>
      <c r="H27" s="149"/>
      <c r="I27" s="149"/>
      <c r="J27" s="94"/>
    </row>
    <row r="28" spans="2:10" hidden="1">
      <c r="B28" s="105"/>
      <c r="C28" s="105"/>
      <c r="D28" s="109"/>
      <c r="E28" s="110"/>
      <c r="F28" s="105"/>
      <c r="G28" s="94"/>
      <c r="H28" s="149"/>
      <c r="I28" s="149"/>
      <c r="J28" s="94"/>
    </row>
    <row r="29" spans="2:10">
      <c r="B29" s="105">
        <f>+COTIZACION!L36</f>
        <v>0</v>
      </c>
      <c r="C29" s="105">
        <f>+COTIZACION!M36</f>
        <v>0</v>
      </c>
      <c r="D29" s="109"/>
      <c r="E29" s="110"/>
      <c r="F29" s="105"/>
      <c r="G29" s="94"/>
      <c r="H29" s="153">
        <f>+COTIZACION!R36</f>
        <v>0</v>
      </c>
      <c r="I29" s="149"/>
      <c r="J29" s="94"/>
    </row>
    <row r="30" spans="2:10">
      <c r="B30" s="105">
        <f>+COTIZACION!L37</f>
        <v>0</v>
      </c>
      <c r="C30" s="105">
        <f>+COTIZACION!M37</f>
        <v>0</v>
      </c>
      <c r="D30" s="109"/>
      <c r="E30" s="110"/>
      <c r="F30" s="105"/>
      <c r="G30" s="94"/>
      <c r="H30" s="153">
        <f>+COTIZACION!R37</f>
        <v>0</v>
      </c>
      <c r="I30" s="149"/>
      <c r="J30" s="94"/>
    </row>
    <row r="31" spans="2:10">
      <c r="B31" s="105">
        <f>+COTIZACION!L38</f>
        <v>0</v>
      </c>
      <c r="C31" s="105">
        <f>+COTIZACION!M38</f>
        <v>0</v>
      </c>
      <c r="D31" s="109"/>
      <c r="E31" s="110"/>
      <c r="F31" s="105"/>
      <c r="G31" s="94"/>
      <c r="H31" s="153">
        <f>+COTIZACION!R38</f>
        <v>0</v>
      </c>
      <c r="I31" s="149"/>
      <c r="J31" s="94"/>
    </row>
    <row r="32" spans="2:10">
      <c r="B32" s="105">
        <f>+COTIZACION!L39</f>
        <v>0</v>
      </c>
      <c r="C32" s="105">
        <f>+COTIZACION!M39</f>
        <v>0</v>
      </c>
      <c r="D32" s="109"/>
      <c r="E32" s="110"/>
      <c r="F32" s="105"/>
      <c r="G32" s="94"/>
      <c r="H32" s="153">
        <f>+COTIZACION!R39</f>
        <v>0</v>
      </c>
      <c r="I32" s="149"/>
      <c r="J32" s="94"/>
    </row>
    <row r="33" spans="2:10">
      <c r="B33" s="105">
        <f>+COTIZACION!L40</f>
        <v>0</v>
      </c>
      <c r="C33" s="105">
        <f>+COTIZACION!M40</f>
        <v>0</v>
      </c>
      <c r="D33" s="109"/>
      <c r="E33" s="110"/>
      <c r="F33" s="105"/>
      <c r="G33" s="94"/>
      <c r="H33" s="153"/>
      <c r="I33" s="149"/>
      <c r="J33" s="94"/>
    </row>
    <row r="34" spans="2:10">
      <c r="B34" s="105"/>
      <c r="C34" s="105">
        <f>+COTIZACION!M41</f>
        <v>0</v>
      </c>
      <c r="D34" s="109"/>
      <c r="E34" s="110"/>
      <c r="F34" s="105"/>
      <c r="G34" s="94"/>
      <c r="H34" s="162">
        <f>+COTIZACION!R41</f>
        <v>0</v>
      </c>
      <c r="I34" s="149"/>
      <c r="J34" s="94"/>
    </row>
    <row r="35" spans="2:10">
      <c r="B35" s="105">
        <f>+COTIZACION!L42</f>
        <v>0</v>
      </c>
      <c r="C35" s="105">
        <f>+COTIZACION!M42</f>
        <v>0</v>
      </c>
      <c r="D35" s="109"/>
      <c r="E35" s="110"/>
      <c r="F35" s="105"/>
      <c r="G35" s="94"/>
      <c r="H35" s="162">
        <f>+COTIZACION!R42</f>
        <v>0</v>
      </c>
      <c r="I35" s="149"/>
      <c r="J35" s="94"/>
    </row>
    <row r="36" spans="2:10">
      <c r="B36" s="105">
        <f>+COTIZACION!L43</f>
        <v>0</v>
      </c>
      <c r="C36" s="105">
        <f>+COTIZACION!M43</f>
        <v>0</v>
      </c>
      <c r="D36" s="109"/>
      <c r="E36" s="110"/>
      <c r="F36" s="105"/>
      <c r="G36" s="94"/>
      <c r="H36" s="153">
        <f>+COTIZACION!R43</f>
        <v>0</v>
      </c>
      <c r="I36" s="149"/>
      <c r="J36" s="94"/>
    </row>
    <row r="37" spans="2:10">
      <c r="B37" s="105">
        <f>+COTIZACION!L44</f>
        <v>0</v>
      </c>
      <c r="C37" s="105">
        <f>+COTIZACION!M44</f>
        <v>0</v>
      </c>
      <c r="D37" s="109"/>
      <c r="E37" s="110"/>
      <c r="F37" s="105"/>
      <c r="G37" s="94"/>
      <c r="H37" s="153">
        <f>+COTIZACION!R44</f>
        <v>0</v>
      </c>
      <c r="I37" s="149"/>
      <c r="J37" s="94"/>
    </row>
    <row r="38" spans="2:10">
      <c r="B38" s="105">
        <f>+COTIZACION!L45</f>
        <v>0</v>
      </c>
      <c r="C38" s="105">
        <f>+COTIZACION!M45</f>
        <v>0</v>
      </c>
      <c r="D38" s="109"/>
      <c r="E38" s="110"/>
      <c r="F38" s="105"/>
      <c r="G38" s="94"/>
      <c r="H38" s="153">
        <f>+COTIZACION!R45</f>
        <v>0</v>
      </c>
      <c r="I38" s="149"/>
      <c r="J38" s="94"/>
    </row>
    <row r="39" spans="2:10">
      <c r="B39" s="105">
        <f>+COTIZACION!L46</f>
        <v>0</v>
      </c>
      <c r="C39" s="105">
        <f>+COTIZACION!M46</f>
        <v>0</v>
      </c>
      <c r="D39" s="109"/>
      <c r="E39" s="110"/>
      <c r="F39" s="105"/>
      <c r="G39" s="94"/>
      <c r="H39" s="153">
        <f>+COTIZACION!R46</f>
        <v>0</v>
      </c>
      <c r="I39" s="149"/>
      <c r="J39" s="94"/>
    </row>
    <row r="40" spans="2:10">
      <c r="B40" s="105">
        <f>+COTIZACION!L47</f>
        <v>0</v>
      </c>
      <c r="C40" s="105">
        <f>+COTIZACION!M47</f>
        <v>0</v>
      </c>
      <c r="D40" s="109"/>
      <c r="E40" s="110"/>
      <c r="F40" s="105"/>
      <c r="G40" s="94"/>
      <c r="H40" s="153">
        <f>+COTIZACION!R47</f>
        <v>0</v>
      </c>
      <c r="I40" s="149"/>
      <c r="J40" s="94"/>
    </row>
    <row r="41" spans="2:10">
      <c r="B41" s="105">
        <f>+COTIZACION!L48</f>
        <v>0</v>
      </c>
      <c r="C41" s="105">
        <f>+COTIZACION!M48</f>
        <v>0</v>
      </c>
      <c r="D41" s="109"/>
      <c r="E41" s="110"/>
      <c r="F41" s="105"/>
      <c r="G41" s="94"/>
      <c r="H41" s="153"/>
      <c r="I41" s="149"/>
      <c r="J41" s="94"/>
    </row>
    <row r="42" spans="2:10">
      <c r="B42" s="105"/>
      <c r="C42" s="105">
        <f>+COTIZACION!M49</f>
        <v>0</v>
      </c>
      <c r="D42" s="109"/>
      <c r="E42" s="110"/>
      <c r="F42" s="105"/>
      <c r="G42" s="94"/>
      <c r="H42" s="153">
        <f>FACTORES!D37</f>
        <v>0</v>
      </c>
      <c r="I42" s="149"/>
      <c r="J42" s="94"/>
    </row>
    <row r="43" spans="2:10">
      <c r="B43" s="105">
        <f>+COTIZACION!L50</f>
        <v>0</v>
      </c>
      <c r="C43" s="105">
        <f>+COTIZACION!M50</f>
        <v>0</v>
      </c>
      <c r="D43" s="109"/>
      <c r="E43" s="110"/>
      <c r="F43" s="105"/>
      <c r="G43" s="94"/>
      <c r="H43" s="153"/>
      <c r="I43" s="149"/>
      <c r="J43" s="94"/>
    </row>
    <row r="44" spans="2:10">
      <c r="B44" s="105"/>
      <c r="C44" s="105">
        <f>+COTIZACION!M51</f>
        <v>0</v>
      </c>
      <c r="D44" s="109"/>
      <c r="E44" s="110"/>
      <c r="F44" s="105"/>
      <c r="G44" s="94"/>
      <c r="H44" s="154">
        <f>+COTIZACION!R51</f>
        <v>0</v>
      </c>
      <c r="I44" s="149"/>
      <c r="J44" s="94"/>
    </row>
    <row r="45" spans="2:10">
      <c r="B45" s="105">
        <f>+COTIZACION!L52</f>
        <v>0</v>
      </c>
      <c r="C45" s="105">
        <f>+COTIZACION!M52</f>
        <v>0</v>
      </c>
      <c r="D45" s="109"/>
      <c r="E45" s="110"/>
      <c r="F45" s="105"/>
      <c r="G45" s="94"/>
      <c r="H45" s="153"/>
      <c r="I45" s="149"/>
      <c r="J45" s="94"/>
    </row>
    <row r="46" spans="2:10">
      <c r="B46" s="105"/>
      <c r="C46" s="105">
        <f>+COTIZACION!M53</f>
        <v>0</v>
      </c>
      <c r="D46" s="109"/>
      <c r="E46" s="110"/>
      <c r="F46" s="105"/>
      <c r="G46" s="94"/>
      <c r="H46" s="154">
        <f>+COTIZACION!R53</f>
        <v>0</v>
      </c>
      <c r="I46" s="149"/>
      <c r="J46" s="94"/>
    </row>
    <row r="47" spans="2:10">
      <c r="B47" s="105">
        <f>+COTIZACION!L54</f>
        <v>0</v>
      </c>
      <c r="C47" s="105">
        <f>+COTIZACION!M54</f>
        <v>0</v>
      </c>
      <c r="D47" s="109"/>
      <c r="E47" s="110"/>
      <c r="F47" s="105"/>
      <c r="G47" s="94"/>
      <c r="H47" s="154">
        <f>+COTIZACION!R54</f>
        <v>0</v>
      </c>
      <c r="I47" s="149"/>
      <c r="J47" s="94"/>
    </row>
    <row r="48" spans="2:10">
      <c r="B48" s="105"/>
      <c r="C48" s="105">
        <f>+COTIZACION!M55</f>
        <v>0</v>
      </c>
      <c r="D48" s="109"/>
      <c r="E48" s="110"/>
      <c r="F48" s="105"/>
      <c r="G48" s="94"/>
      <c r="H48" s="153"/>
      <c r="I48" s="149"/>
      <c r="J48" s="94"/>
    </row>
    <row r="49" spans="2:10">
      <c r="B49" s="105">
        <f>+COTIZACION!L56</f>
        <v>0</v>
      </c>
      <c r="C49" s="105">
        <f>+COTIZACION!M56</f>
        <v>0</v>
      </c>
      <c r="D49" s="109"/>
      <c r="E49" s="110"/>
      <c r="F49" s="105"/>
      <c r="G49" s="94"/>
      <c r="H49" s="154">
        <f>+COTIZACION!R56</f>
        <v>0</v>
      </c>
      <c r="I49" s="149"/>
      <c r="J49" s="94"/>
    </row>
    <row r="50" spans="2:10">
      <c r="B50" s="105">
        <f>+COTIZACION!L57</f>
        <v>0</v>
      </c>
      <c r="C50" s="105">
        <f>+COTIZACION!M57</f>
        <v>0</v>
      </c>
      <c r="D50" s="109"/>
      <c r="E50" s="110"/>
      <c r="F50" s="105"/>
      <c r="G50" s="94"/>
      <c r="H50" s="105"/>
      <c r="I50" s="149"/>
      <c r="J50" s="94"/>
    </row>
    <row r="51" spans="2:10">
      <c r="B51" s="105"/>
      <c r="C51" s="105">
        <f>+COTIZACION!M58</f>
        <v>0</v>
      </c>
      <c r="D51" s="105"/>
      <c r="E51" s="105"/>
      <c r="F51" s="105"/>
      <c r="G51" s="105"/>
      <c r="H51" s="105"/>
      <c r="I51" s="149"/>
      <c r="J51" s="94"/>
    </row>
    <row r="52" spans="2:10">
      <c r="B52" s="105"/>
      <c r="C52" s="105">
        <f>+COTIZACION!M59</f>
        <v>0</v>
      </c>
      <c r="D52" s="105"/>
      <c r="E52" s="105"/>
      <c r="F52" s="105"/>
      <c r="G52" s="105"/>
      <c r="H52" s="105"/>
      <c r="I52" s="149"/>
      <c r="J52" s="94"/>
    </row>
    <row r="53" spans="2:10">
      <c r="B53" s="105"/>
      <c r="C53" s="105">
        <f>+COTIZACION!M60</f>
        <v>0</v>
      </c>
      <c r="D53" s="105"/>
      <c r="E53" s="105"/>
      <c r="F53" s="105"/>
      <c r="G53" s="105"/>
      <c r="H53" s="105"/>
      <c r="I53" s="149"/>
      <c r="J53" s="94"/>
    </row>
    <row r="54" spans="2:10">
      <c r="B54" s="105"/>
      <c r="C54" s="105">
        <f>+COTIZACION!M61</f>
        <v>0</v>
      </c>
      <c r="D54" s="105"/>
      <c r="E54" s="105"/>
      <c r="F54" s="105"/>
      <c r="G54" s="105"/>
      <c r="H54" s="105">
        <f>+COTIZACION!R61</f>
        <v>0</v>
      </c>
      <c r="I54" s="149"/>
      <c r="J54" s="94"/>
    </row>
    <row r="55" spans="2:10">
      <c r="B55" s="105">
        <f>+COTIZACION!L62</f>
        <v>0</v>
      </c>
      <c r="C55" s="105">
        <f>+COTIZACION!M62</f>
        <v>0</v>
      </c>
      <c r="D55" s="105"/>
      <c r="E55" s="105"/>
      <c r="F55" s="105"/>
      <c r="G55" s="105"/>
      <c r="H55" s="105">
        <f>+COTIZACION!R62</f>
        <v>0</v>
      </c>
      <c r="I55" s="149"/>
      <c r="J55" s="94"/>
    </row>
    <row r="56" spans="2:10">
      <c r="B56" s="105">
        <f>+COTIZACION!L63</f>
        <v>0</v>
      </c>
      <c r="C56" s="105">
        <f>+COTIZACION!M63</f>
        <v>0</v>
      </c>
      <c r="D56" s="105"/>
      <c r="E56" s="105"/>
      <c r="F56" s="105"/>
      <c r="G56" s="105"/>
      <c r="H56" s="105"/>
      <c r="I56" s="149"/>
      <c r="J56" s="94"/>
    </row>
    <row r="57" spans="2:10">
      <c r="B57" s="105"/>
      <c r="C57" s="105">
        <f>+COTIZACION!M64</f>
        <v>0</v>
      </c>
      <c r="D57" s="105"/>
      <c r="E57" s="105"/>
      <c r="F57" s="105"/>
      <c r="G57" s="105"/>
      <c r="H57" s="105">
        <f>+COTIZACION!R64</f>
        <v>0</v>
      </c>
      <c r="I57" s="149"/>
      <c r="J57" s="94"/>
    </row>
    <row r="58" spans="2:10">
      <c r="B58" s="105">
        <f>+COTIZACION!L65</f>
        <v>0</v>
      </c>
      <c r="C58" s="105">
        <f>+COTIZACION!M65</f>
        <v>0</v>
      </c>
      <c r="D58" s="105"/>
      <c r="E58" s="105"/>
      <c r="F58" s="105"/>
      <c r="G58" s="105"/>
      <c r="H58" s="105">
        <f>+COTIZACION!R65</f>
        <v>0</v>
      </c>
      <c r="I58" s="149"/>
      <c r="J58" s="94"/>
    </row>
    <row r="59" spans="2:10">
      <c r="B59" s="105">
        <f>+COTIZACION!L66</f>
        <v>0</v>
      </c>
      <c r="C59" s="105">
        <f>+COTIZACION!M66</f>
        <v>0</v>
      </c>
      <c r="D59" s="105"/>
      <c r="E59" s="105"/>
      <c r="F59" s="105"/>
      <c r="G59" s="105"/>
      <c r="H59" s="105"/>
      <c r="I59" s="153"/>
      <c r="J59" s="94"/>
    </row>
    <row r="60" spans="2:10">
      <c r="B60" s="105"/>
      <c r="C60" s="105">
        <f>+COTIZACION!M67</f>
        <v>0</v>
      </c>
      <c r="D60" s="105"/>
      <c r="E60" s="105"/>
      <c r="F60" s="105"/>
      <c r="G60" s="105"/>
      <c r="H60" s="105">
        <f>+COTIZACION!R67</f>
        <v>0</v>
      </c>
      <c r="I60" s="149"/>
      <c r="J60" s="94"/>
    </row>
    <row r="61" spans="2:10">
      <c r="B61" s="105">
        <f>+COTIZACION!L68</f>
        <v>0</v>
      </c>
      <c r="C61" s="105">
        <f>+COTIZACION!M68</f>
        <v>0</v>
      </c>
      <c r="D61" s="105"/>
      <c r="E61" s="105"/>
      <c r="F61" s="105"/>
      <c r="G61" s="105"/>
      <c r="H61" s="105">
        <f>+COTIZACION!R68</f>
        <v>0</v>
      </c>
      <c r="I61" s="149"/>
      <c r="J61" s="94"/>
    </row>
    <row r="62" spans="2:10">
      <c r="B62" s="105">
        <f>+COTIZACION!L69</f>
        <v>0</v>
      </c>
      <c r="C62" s="105">
        <f>+COTIZACION!M69</f>
        <v>0</v>
      </c>
      <c r="D62" s="105"/>
      <c r="E62" s="105"/>
      <c r="F62" s="105"/>
      <c r="G62" s="105"/>
      <c r="H62" s="105">
        <f>+COTIZACION!R69</f>
        <v>0</v>
      </c>
      <c r="I62" s="149"/>
      <c r="J62" s="94"/>
    </row>
    <row r="63" spans="2:10">
      <c r="B63" s="105">
        <f>+COTIZACION!L70</f>
        <v>0</v>
      </c>
      <c r="C63" s="105">
        <f>+COTIZACION!M70</f>
        <v>0</v>
      </c>
      <c r="D63" s="105"/>
      <c r="E63" s="105"/>
      <c r="F63" s="105"/>
      <c r="G63" s="105"/>
      <c r="H63" s="105">
        <f>+COTIZACION!R70</f>
        <v>0</v>
      </c>
      <c r="I63" s="149"/>
      <c r="J63" s="94"/>
    </row>
    <row r="64" spans="2:10">
      <c r="B64" s="105">
        <f>+COTIZACION!L71</f>
        <v>0</v>
      </c>
      <c r="C64" s="105">
        <f>+COTIZACION!M71</f>
        <v>0</v>
      </c>
      <c r="D64" s="105"/>
      <c r="E64" s="105"/>
      <c r="F64" s="105"/>
      <c r="G64" s="105"/>
      <c r="H64" s="105">
        <f>+COTIZACION!R71</f>
        <v>0</v>
      </c>
      <c r="I64" s="149"/>
      <c r="J64" s="94"/>
    </row>
    <row r="65" spans="2:10">
      <c r="B65" s="105">
        <f>+COTIZACION!L72</f>
        <v>0</v>
      </c>
      <c r="C65" s="105">
        <f>+COTIZACION!M72</f>
        <v>0</v>
      </c>
      <c r="D65" s="105"/>
      <c r="E65" s="105"/>
      <c r="F65" s="105"/>
      <c r="G65" s="105"/>
      <c r="H65" s="105">
        <f>+COTIZACION!R72</f>
        <v>0</v>
      </c>
      <c r="I65" s="149"/>
      <c r="J65" s="94"/>
    </row>
    <row r="66" spans="2:10">
      <c r="B66" s="105">
        <f>+COTIZACION!L73</f>
        <v>0</v>
      </c>
      <c r="C66" s="105">
        <f>+COTIZACION!M73</f>
        <v>0</v>
      </c>
      <c r="H66" s="105">
        <f>+COTIZACION!R73</f>
        <v>0</v>
      </c>
    </row>
    <row r="67" spans="2:10">
      <c r="B67" s="105">
        <f>+COTIZACION!L74</f>
        <v>0</v>
      </c>
      <c r="C67" s="105">
        <f>+COTIZACION!M74</f>
        <v>0</v>
      </c>
      <c r="H67" s="105">
        <f>+COTIZACION!R74</f>
        <v>0</v>
      </c>
    </row>
    <row r="68" spans="2:10">
      <c r="B68" s="105">
        <f>+COTIZACION!L75</f>
        <v>0</v>
      </c>
      <c r="C68" s="105">
        <f>+COTIZACION!M75</f>
        <v>0</v>
      </c>
      <c r="H68" s="105">
        <f>+COTIZACION!R75</f>
        <v>0</v>
      </c>
    </row>
    <row r="69" spans="2:10">
      <c r="B69" s="105">
        <f>+COTIZACION!L76</f>
        <v>0</v>
      </c>
      <c r="C69" s="105">
        <f>+COTIZACION!M76</f>
        <v>0</v>
      </c>
      <c r="H69" s="105">
        <f>+COTIZACION!R76</f>
        <v>0</v>
      </c>
    </row>
    <row r="70" spans="2:10">
      <c r="B70" s="105">
        <f>+COTIZACION!L77</f>
        <v>0</v>
      </c>
      <c r="C70" s="105">
        <f>+COTIZACION!M77</f>
        <v>0</v>
      </c>
      <c r="H70" s="105">
        <f>+COTIZACION!R77</f>
        <v>0</v>
      </c>
    </row>
    <row r="71" spans="2:10">
      <c r="B71" s="163" t="s">
        <v>59</v>
      </c>
      <c r="C71" s="112" t="s">
        <v>137</v>
      </c>
    </row>
  </sheetData>
  <mergeCells count="2">
    <mergeCell ref="C9:J9"/>
    <mergeCell ref="B14:J14"/>
  </mergeCells>
  <phoneticPr fontId="0" type="noConversion"/>
  <printOptions horizontalCentered="1"/>
  <pageMargins left="0.39370078740157483" right="0.39370078740157483" top="0.39370078740157483" bottom="0.39370078740157483" header="0" footer="0"/>
  <pageSetup paperSize="9" scale="84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MSPhotoEd.3" shapeId="8198" r:id="rId4">
          <objectPr defaultSize="0" autoPict="0" r:id="rId5">
            <anchor moveWithCells="1">
              <from>
                <xdr:col>1</xdr:col>
                <xdr:colOff>107950</xdr:colOff>
                <xdr:row>3</xdr:row>
                <xdr:rowOff>50800</xdr:rowOff>
              </from>
              <to>
                <xdr:col>6</xdr:col>
                <xdr:colOff>381000</xdr:colOff>
                <xdr:row>8</xdr:row>
                <xdr:rowOff>76200</xdr:rowOff>
              </to>
            </anchor>
          </objectPr>
        </oleObject>
      </mc:Choice>
      <mc:Fallback>
        <oleObject progId="MSPhotoEd.3" shapeId="8198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indexed="9"/>
    <pageSetUpPr fitToPage="1"/>
  </sheetPr>
  <dimension ref="A1:W367"/>
  <sheetViews>
    <sheetView showGridLines="0" topLeftCell="A27" zoomScale="85" zoomScaleNormal="85" workbookViewId="0">
      <selection activeCell="D7" sqref="D7"/>
    </sheetView>
  </sheetViews>
  <sheetFormatPr baseColWidth="10" defaultColWidth="0" defaultRowHeight="10" zeroHeight="1"/>
  <cols>
    <col min="1" max="1" width="5.26953125" style="383" bestFit="1" customWidth="1"/>
    <col min="2" max="2" width="32.54296875" style="172" customWidth="1"/>
    <col min="3" max="3" width="37.453125" style="172" customWidth="1"/>
    <col min="4" max="4" width="23" style="172" customWidth="1"/>
    <col min="5" max="5" width="14" style="172" customWidth="1"/>
    <col min="6" max="6" width="22.54296875" style="172" customWidth="1"/>
    <col min="7" max="7" width="18.26953125" style="172" customWidth="1"/>
    <col min="8" max="8" width="17.7265625" style="172" customWidth="1"/>
    <col min="9" max="10" width="14.26953125" style="172" customWidth="1"/>
    <col min="11" max="11" width="3.1796875" style="172" customWidth="1"/>
    <col min="12" max="12" width="7" style="173" hidden="1" customWidth="1"/>
    <col min="13" max="13" width="12.54296875" style="172" hidden="1" customWidth="1"/>
    <col min="14" max="14" width="11.7265625" style="172" hidden="1" customWidth="1"/>
    <col min="15" max="15" width="13.453125" style="172" hidden="1" customWidth="1"/>
    <col min="16" max="16" width="11.453125" style="172" hidden="1" customWidth="1"/>
    <col min="17" max="17" width="8" style="172" hidden="1" customWidth="1"/>
    <col min="18" max="19" width="11.453125" style="172" hidden="1" customWidth="1"/>
    <col min="20" max="20" width="15.54296875" style="172" hidden="1" customWidth="1"/>
    <col min="21" max="21" width="13.54296875" style="172" hidden="1" customWidth="1"/>
    <col min="22" max="16384" width="11.453125" style="172" hidden="1"/>
  </cols>
  <sheetData>
    <row r="1" spans="1:20" ht="18.75" customHeight="1">
      <c r="B1"/>
    </row>
    <row r="2" spans="1:20" ht="16">
      <c r="B2" s="451"/>
      <c r="C2" s="451"/>
    </row>
    <row r="3" spans="1:20" ht="12.5">
      <c r="B3" s="452"/>
      <c r="C3" s="452"/>
    </row>
    <row r="4" spans="1:20" s="208" customFormat="1" ht="14.25" customHeight="1">
      <c r="A4" s="383"/>
      <c r="L4" s="229"/>
      <c r="M4" s="229"/>
      <c r="Q4" s="229"/>
      <c r="R4" s="229"/>
      <c r="S4" s="229"/>
      <c r="T4" s="230"/>
    </row>
    <row r="5" spans="1:20" s="208" customFormat="1" ht="9">
      <c r="A5" s="348"/>
      <c r="E5" s="231"/>
      <c r="L5" s="229"/>
      <c r="M5" s="229"/>
      <c r="Q5" s="229"/>
      <c r="R5" s="229"/>
      <c r="S5" s="229"/>
      <c r="T5" s="229"/>
    </row>
    <row r="6" spans="1:20" s="208" customFormat="1" ht="12.5">
      <c r="A6" s="348"/>
      <c r="B6" s="788" t="s">
        <v>123</v>
      </c>
      <c r="C6" s="788"/>
      <c r="L6" s="229"/>
      <c r="M6" s="229"/>
      <c r="Q6" s="229"/>
      <c r="R6" s="229"/>
      <c r="S6" s="229"/>
      <c r="T6" s="229"/>
    </row>
    <row r="7" spans="1:20" s="208" customFormat="1" ht="12.5">
      <c r="A7" s="348">
        <f>+VLOOKUP(D7,G241:H242,2,FALSE)</f>
        <v>0</v>
      </c>
      <c r="B7" s="353" t="s">
        <v>291</v>
      </c>
      <c r="C7" s="450"/>
      <c r="D7" s="467" t="s">
        <v>294</v>
      </c>
      <c r="E7" s="449" t="str">
        <f>+IF(AND(D7="NUEVA",D8="ANTES DEL 01/10/2016"),"NO ES VÁLIDA, RECONSIDERAR SU PRIMERA EMISIÓN",CONCATENATE("APLICA PARA AQUELLA PÓLIZA ",D7," CON PRIMER VIGENCIA EMITIDA ",D8))</f>
        <v>APLICA PARA AQUELLA PÓLIZA NUEVA CON PRIMER VIGENCIA EMITIDA A PARTIR DEL 01/10/2016</v>
      </c>
      <c r="L7" s="229"/>
      <c r="M7" s="229"/>
      <c r="Q7" s="229"/>
      <c r="R7" s="229"/>
      <c r="S7" s="229"/>
      <c r="T7" s="229"/>
    </row>
    <row r="8" spans="1:20" s="208" customFormat="1" ht="12.5">
      <c r="A8" s="348">
        <f>+VLOOKUP(D8,G243:H244,2,FALSE)</f>
        <v>0</v>
      </c>
      <c r="B8" s="723" t="s">
        <v>332</v>
      </c>
      <c r="C8" s="450"/>
      <c r="D8" s="500" t="s">
        <v>329</v>
      </c>
      <c r="E8" s="718"/>
      <c r="F8" s="260"/>
      <c r="L8" s="229"/>
      <c r="M8" s="229"/>
      <c r="Q8" s="229"/>
      <c r="R8" s="229"/>
      <c r="S8" s="229"/>
      <c r="T8" s="229"/>
    </row>
    <row r="9" spans="1:20" s="208" customFormat="1" ht="12.5">
      <c r="A9" s="348"/>
      <c r="B9" s="353" t="s">
        <v>118</v>
      </c>
      <c r="C9" s="450"/>
      <c r="D9" s="467" t="s">
        <v>112</v>
      </c>
      <c r="L9" s="229"/>
      <c r="M9" s="229"/>
      <c r="Q9" s="229"/>
      <c r="R9" s="229"/>
      <c r="S9" s="229"/>
      <c r="T9" s="229"/>
    </row>
    <row r="10" spans="1:20" s="208" customFormat="1" ht="14.25" customHeight="1">
      <c r="A10" s="348"/>
      <c r="B10" s="353" t="s">
        <v>60</v>
      </c>
      <c r="C10" s="494"/>
      <c r="D10" s="470">
        <v>100000000</v>
      </c>
      <c r="E10" s="231"/>
      <c r="L10" s="229"/>
      <c r="M10" s="229"/>
      <c r="Q10" s="229"/>
      <c r="R10" s="229"/>
      <c r="S10" s="229"/>
      <c r="T10" s="229"/>
    </row>
    <row r="11" spans="1:20" s="208" customFormat="1" ht="14.25" customHeight="1">
      <c r="A11" s="348"/>
      <c r="B11" s="353" t="s">
        <v>62</v>
      </c>
      <c r="C11" s="494"/>
      <c r="D11" s="468">
        <v>12000</v>
      </c>
      <c r="E11" s="449" t="str">
        <f>+IF(D7="NUEVA",IF(D11&lt;10000,"Deducible no permitido para pólizas nuevas",""),"")</f>
        <v/>
      </c>
      <c r="L11" s="229"/>
      <c r="M11" s="791"/>
      <c r="N11" s="791"/>
      <c r="O11" s="791"/>
      <c r="P11" s="791"/>
      <c r="Q11" s="791"/>
      <c r="R11" s="791"/>
      <c r="S11" s="791"/>
      <c r="T11" s="791"/>
    </row>
    <row r="12" spans="1:20" s="208" customFormat="1" ht="14.25" customHeight="1">
      <c r="A12" s="348"/>
      <c r="B12" s="353" t="str">
        <f>+"Coaseguro "&amp;CONCATENATE("con tope de ",VLOOKUP(IMPRESION!I19,FACTORES!C3:E6,3,FALSE))</f>
        <v>Coaseguro con tope de $35,000</v>
      </c>
      <c r="C12" s="494"/>
      <c r="D12" s="472">
        <v>0.1</v>
      </c>
      <c r="E12" s="231"/>
      <c r="L12" s="229"/>
      <c r="M12" s="232"/>
      <c r="N12" s="232"/>
      <c r="O12" s="232"/>
      <c r="P12" s="232"/>
      <c r="Q12" s="232"/>
      <c r="R12" s="232"/>
      <c r="S12" s="232"/>
      <c r="T12" s="232"/>
    </row>
    <row r="13" spans="1:20" s="208" customFormat="1" ht="14.25" customHeight="1">
      <c r="A13" s="348"/>
      <c r="B13" s="353" t="s">
        <v>188</v>
      </c>
      <c r="C13" s="494"/>
      <c r="D13" s="468" t="s">
        <v>314</v>
      </c>
      <c r="E13" s="444"/>
      <c r="L13" s="229"/>
      <c r="M13" s="232"/>
      <c r="N13" s="232"/>
      <c r="O13" s="232"/>
      <c r="P13" s="232"/>
      <c r="Q13" s="232"/>
      <c r="R13" s="232"/>
      <c r="S13" s="232"/>
      <c r="T13" s="232"/>
    </row>
    <row r="14" spans="1:20" s="208" customFormat="1" ht="14.25" customHeight="1">
      <c r="A14" s="348"/>
      <c r="B14" s="495" t="s">
        <v>90</v>
      </c>
      <c r="C14" s="494"/>
      <c r="D14" s="453">
        <f>+VLOOKUP(D13,$C$316:$D$347,2,0)</f>
        <v>5</v>
      </c>
      <c r="E14" s="231"/>
      <c r="F14" s="446"/>
      <c r="L14" s="229"/>
      <c r="M14" s="232"/>
      <c r="N14" s="232"/>
      <c r="O14" s="232"/>
      <c r="P14" s="232"/>
      <c r="Q14" s="232"/>
      <c r="R14" s="232"/>
      <c r="S14" s="232"/>
      <c r="T14" s="232"/>
    </row>
    <row r="15" spans="1:20" s="208" customFormat="1" ht="12.75" customHeight="1">
      <c r="A15" s="395" t="str">
        <f>IF(AND(D15="SI",D11&gt;50000),"EL LIMITE ES $50,000"," ")</f>
        <v xml:space="preserve"> </v>
      </c>
      <c r="B15" s="796" t="s">
        <v>217</v>
      </c>
      <c r="C15" s="796"/>
      <c r="D15" s="469" t="s">
        <v>99</v>
      </c>
      <c r="E15" s="447" t="str">
        <f>+IF(AND(D15="si",D11&gt;50000),"El deducible límite es $50,000","")</f>
        <v/>
      </c>
      <c r="F15" s="231"/>
      <c r="H15" s="228"/>
      <c r="L15" s="229"/>
      <c r="M15" s="232"/>
      <c r="N15" s="232"/>
      <c r="O15" s="232"/>
      <c r="P15" s="232"/>
      <c r="Q15" s="232"/>
      <c r="R15" s="232"/>
      <c r="S15" s="232"/>
      <c r="T15" s="232"/>
    </row>
    <row r="16" spans="1:20" s="208" customFormat="1" ht="14.25" customHeight="1">
      <c r="A16" s="348" t="str">
        <f>IF(D11&gt;50000,"NO",D16)</f>
        <v>NO</v>
      </c>
      <c r="B16" s="353" t="s">
        <v>134</v>
      </c>
      <c r="C16" s="494"/>
      <c r="D16" s="467" t="s">
        <v>99</v>
      </c>
      <c r="E16" s="720"/>
      <c r="F16" s="231"/>
      <c r="G16" s="710"/>
      <c r="I16" s="233"/>
      <c r="J16" s="233"/>
      <c r="L16" s="229"/>
      <c r="M16" s="232"/>
      <c r="N16" s="232"/>
      <c r="O16" s="234"/>
      <c r="P16" s="234"/>
      <c r="Q16" s="229"/>
      <c r="R16" s="229"/>
      <c r="S16" s="229"/>
      <c r="T16" s="235"/>
    </row>
    <row r="17" spans="1:20" s="208" customFormat="1" ht="14.25" customHeight="1">
      <c r="A17" s="348"/>
      <c r="B17" s="353" t="s">
        <v>133</v>
      </c>
      <c r="C17" s="494"/>
      <c r="D17" s="471">
        <v>30000</v>
      </c>
      <c r="E17" s="721" t="str">
        <f>IF(D7="NUEVA",IF(D17=50000,"SUMA ASEGURADA NO PERMITIDA PARA PÓLIZAS NUEVAS",IF(D16="SI",IF(D11&lt;60000,"DEFINA LA SUMA ASEGURADA","ESTA COBERTURA NO APLICA CON DEDUCIBLE MAYOR A $50,000"),"")),IF(D16="SI",IF(D11&lt;60000,"DEFINA LA SUMA ASEGURADA","ESTA COBERTURA NO APLICA CON DEDUCIBLE MAYOR A $50,000"),""))</f>
        <v/>
      </c>
      <c r="F17" s="231"/>
      <c r="I17" s="233"/>
      <c r="J17" s="233"/>
      <c r="L17" s="229"/>
      <c r="M17" s="232"/>
      <c r="N17" s="232"/>
      <c r="O17" s="234"/>
      <c r="P17" s="234"/>
      <c r="Q17" s="229"/>
      <c r="R17" s="229"/>
      <c r="S17" s="229"/>
      <c r="T17" s="235"/>
    </row>
    <row r="18" spans="1:20" s="208" customFormat="1" ht="14.25" customHeight="1">
      <c r="A18" s="348"/>
      <c r="B18" s="353" t="s">
        <v>290</v>
      </c>
      <c r="C18" s="494"/>
      <c r="D18" s="467" t="s">
        <v>99</v>
      </c>
      <c r="E18" s="720"/>
      <c r="I18" s="233"/>
      <c r="J18" s="233"/>
      <c r="L18" s="793"/>
      <c r="M18" s="793"/>
      <c r="N18" s="793"/>
      <c r="O18" s="793"/>
      <c r="P18" s="793"/>
      <c r="Q18" s="793"/>
      <c r="R18" s="793"/>
      <c r="S18" s="793"/>
      <c r="T18" s="793"/>
    </row>
    <row r="19" spans="1:20" s="208" customFormat="1" ht="14.25" customHeight="1">
      <c r="A19" s="348"/>
      <c r="B19" s="353" t="s">
        <v>172</v>
      </c>
      <c r="C19" s="494"/>
      <c r="D19" s="471" t="s">
        <v>99</v>
      </c>
      <c r="E19" s="721" t="str">
        <f>IF(AND(D19&lt;&gt;"NO",SUM(A30:A37)&lt;1),"NO CUMPLE CON LOS LIMITES DE EDAD","")</f>
        <v/>
      </c>
      <c r="F19" s="349"/>
      <c r="G19" s="349"/>
      <c r="H19" s="349"/>
      <c r="I19" s="349"/>
      <c r="J19" s="233"/>
      <c r="L19" s="793"/>
      <c r="M19" s="793"/>
      <c r="N19" s="793"/>
      <c r="O19" s="793"/>
      <c r="P19" s="793"/>
      <c r="Q19" s="793"/>
      <c r="R19" s="793"/>
      <c r="S19" s="793"/>
      <c r="T19" s="793"/>
    </row>
    <row r="20" spans="1:20" s="208" customFormat="1" ht="14.25" customHeight="1">
      <c r="A20" s="348"/>
      <c r="B20" s="353" t="s">
        <v>216</v>
      </c>
      <c r="C20" s="494"/>
      <c r="D20" s="467" t="s">
        <v>99</v>
      </c>
      <c r="E20" s="721" t="str">
        <f>IF(D20="SI","DEFINA LA ZONA COBERTURA TOTAL EN EL EXTRANJERO","")</f>
        <v/>
      </c>
      <c r="I20" s="233"/>
      <c r="J20" s="233"/>
      <c r="L20" s="229"/>
      <c r="M20" s="236"/>
      <c r="N20" s="237"/>
      <c r="O20" s="237"/>
      <c r="P20" s="237"/>
      <c r="Q20" s="229"/>
      <c r="R20" s="229"/>
      <c r="S20" s="229"/>
      <c r="T20" s="229"/>
    </row>
    <row r="21" spans="1:20" s="208" customFormat="1" ht="14.25" customHeight="1">
      <c r="A21" s="348"/>
      <c r="B21" s="353" t="s">
        <v>185</v>
      </c>
      <c r="C21" s="494"/>
      <c r="D21" s="469" t="s">
        <v>99</v>
      </c>
      <c r="E21" s="720"/>
      <c r="I21" s="233"/>
      <c r="J21" s="233"/>
      <c r="L21" s="229"/>
      <c r="M21" s="236"/>
      <c r="N21" s="237"/>
      <c r="O21" s="237"/>
      <c r="P21" s="237"/>
      <c r="Q21" s="229"/>
      <c r="R21" s="229"/>
      <c r="S21" s="229"/>
      <c r="T21" s="229"/>
    </row>
    <row r="22" spans="1:20" ht="15" customHeight="1">
      <c r="A22" s="348"/>
      <c r="B22" s="353" t="s">
        <v>218</v>
      </c>
      <c r="C22" s="496"/>
      <c r="D22" s="473" t="s">
        <v>38</v>
      </c>
      <c r="E22" s="430"/>
      <c r="F22" s="797" t="str">
        <f>"ZONA "&amp;D22&amp;" incluye:"</f>
        <v>ZONA C incluye:</v>
      </c>
      <c r="G22" s="797"/>
      <c r="H22" s="797"/>
      <c r="I22" s="208"/>
      <c r="J22" s="208"/>
      <c r="K22" s="208"/>
      <c r="L22" s="238"/>
      <c r="M22" s="177"/>
      <c r="N22" s="239"/>
      <c r="O22" s="239"/>
      <c r="P22" s="239"/>
      <c r="Q22" s="177"/>
      <c r="R22" s="240"/>
      <c r="S22" s="241"/>
      <c r="T22" s="177"/>
    </row>
    <row r="23" spans="1:20" ht="12.75" customHeight="1">
      <c r="A23" s="348"/>
      <c r="B23" s="496"/>
      <c r="C23" s="496"/>
      <c r="F23" s="789" t="str">
        <f>IF(D20="SI",VLOOKUP(D22,VALORES!$A$31:$B$33,2,FALSE)," ")</f>
        <v xml:space="preserve"> </v>
      </c>
      <c r="G23" s="789"/>
      <c r="H23" s="789"/>
      <c r="I23" s="208"/>
      <c r="J23" s="208"/>
      <c r="K23" s="208"/>
      <c r="L23" s="238"/>
      <c r="M23" s="177"/>
      <c r="N23" s="239"/>
      <c r="O23" s="239"/>
      <c r="P23" s="239"/>
      <c r="Q23" s="177"/>
      <c r="R23" s="240"/>
      <c r="S23" s="241"/>
      <c r="T23" s="177"/>
    </row>
    <row r="24" spans="1:20" s="208" customFormat="1" ht="21.75" customHeight="1">
      <c r="A24" s="348"/>
      <c r="B24" s="494"/>
      <c r="C24" s="494"/>
      <c r="F24" s="790"/>
      <c r="G24" s="790"/>
      <c r="H24" s="790"/>
      <c r="L24" s="238"/>
      <c r="M24" s="177"/>
      <c r="N24" s="239"/>
      <c r="O24" s="239"/>
      <c r="P24" s="239"/>
      <c r="Q24" s="177"/>
      <c r="R24" s="242"/>
      <c r="S24" s="177"/>
      <c r="T24" s="177"/>
    </row>
    <row r="25" spans="1:20" s="208" customFormat="1" ht="13.5" customHeight="1">
      <c r="A25" s="348"/>
      <c r="B25" s="353" t="s">
        <v>106</v>
      </c>
      <c r="C25" s="494"/>
      <c r="D25" s="484">
        <v>0</v>
      </c>
      <c r="E25" s="346"/>
      <c r="F25" s="346"/>
      <c r="G25" s="346"/>
      <c r="L25" s="177"/>
      <c r="M25" s="177"/>
      <c r="N25" s="239"/>
      <c r="O25" s="239"/>
      <c r="P25" s="239"/>
      <c r="Q25" s="177"/>
      <c r="R25" s="243"/>
      <c r="S25" s="177"/>
      <c r="T25" s="177"/>
    </row>
    <row r="26" spans="1:20" s="208" customFormat="1">
      <c r="A26" s="348"/>
      <c r="B26" s="353" t="s">
        <v>184</v>
      </c>
      <c r="C26" s="494"/>
      <c r="D26" s="722">
        <v>0.16</v>
      </c>
      <c r="E26" s="346"/>
      <c r="F26" s="346"/>
      <c r="G26" s="346"/>
      <c r="L26" s="238"/>
      <c r="M26" s="177"/>
      <c r="N26" s="239"/>
      <c r="O26" s="244"/>
      <c r="P26" s="245"/>
      <c r="Q26" s="177"/>
      <c r="R26" s="243"/>
      <c r="S26" s="177"/>
      <c r="T26" s="177"/>
    </row>
    <row r="27" spans="1:20" s="208" customFormat="1" ht="11.5">
      <c r="A27" s="348"/>
      <c r="B27" s="344"/>
      <c r="C27" s="724"/>
      <c r="I27" s="331" t="s">
        <v>148</v>
      </c>
      <c r="J27" s="330">
        <v>0</v>
      </c>
      <c r="L27" s="238"/>
      <c r="M27" s="177"/>
      <c r="N27" s="239"/>
      <c r="O27" s="244"/>
      <c r="P27" s="245"/>
      <c r="Q27" s="177"/>
      <c r="R27" s="243"/>
      <c r="S27" s="177"/>
      <c r="T27" s="177"/>
    </row>
    <row r="28" spans="1:20" s="208" customFormat="1">
      <c r="A28" s="348"/>
      <c r="L28" s="177"/>
      <c r="M28" s="177"/>
      <c r="N28" s="239"/>
      <c r="O28" s="239"/>
      <c r="P28" s="239"/>
      <c r="Q28" s="177"/>
      <c r="R28" s="177"/>
      <c r="S28" s="177"/>
      <c r="T28" s="177"/>
    </row>
    <row r="29" spans="1:20" s="208" customFormat="1" ht="21.75" customHeight="1">
      <c r="A29" s="348"/>
      <c r="B29" s="342"/>
      <c r="C29" s="342" t="s">
        <v>89</v>
      </c>
      <c r="D29" s="342" t="s">
        <v>89</v>
      </c>
      <c r="L29" s="238"/>
      <c r="M29" s="177"/>
      <c r="N29" s="239"/>
      <c r="O29" s="244"/>
      <c r="P29" s="245"/>
      <c r="Q29" s="177"/>
      <c r="R29" s="246"/>
      <c r="S29" s="177"/>
      <c r="T29" s="177"/>
    </row>
    <row r="30" spans="1:20" s="208" customFormat="1" ht="15" customHeight="1">
      <c r="A30" s="348">
        <f>IF($D$7="NUEVA",IF(AND(E30&gt;=18,E30&lt;60),1,0),IF(AND(E30&gt;=18,E30&lt;65),1,0))</f>
        <v>0</v>
      </c>
      <c r="B30" s="464" t="s">
        <v>124</v>
      </c>
      <c r="C30" s="465"/>
      <c r="D30" s="466"/>
      <c r="E30" s="466"/>
      <c r="F30" s="448" t="str">
        <f>IF(AND(D7="NUEVA",D11&lt;10000),"DEDUCIBLE INVÁLIDO",IF(D7="NUEVA",IF(E30&gt;64,"EDAD NO PERMITIDA",IF(D9="FAMILIAR",IF(E30&lt;18,"EDAD NO PERMIDITA",""),"")),IF(D9="FAMILIAR",IF(E30&lt;18,"EDAD NO PERMIDITA",""),"")))</f>
        <v/>
      </c>
      <c r="G30" s="458" t="s">
        <v>95</v>
      </c>
      <c r="H30" s="463">
        <f>+IMPRESION!K91</f>
        <v>0</v>
      </c>
      <c r="I30" s="463">
        <v>0</v>
      </c>
      <c r="J30" s="501">
        <f>+H30</f>
        <v>0</v>
      </c>
      <c r="L30" s="177"/>
      <c r="M30" s="177"/>
      <c r="N30" s="176"/>
      <c r="O30" s="244"/>
      <c r="P30" s="247"/>
      <c r="Q30" s="248"/>
      <c r="R30" s="246"/>
      <c r="S30" s="177"/>
      <c r="T30" s="177"/>
    </row>
    <row r="31" spans="1:20" s="208" customFormat="1" ht="15" customHeight="1">
      <c r="A31" s="348">
        <f t="shared" ref="A31:A37" si="0">IF($D$7="NUEVA",IF(AND(E31&gt;=18,E31&lt;60),1,0),IF(AND(E31&gt;=18,E31&lt;65),1,0))</f>
        <v>0</v>
      </c>
      <c r="B31" s="464" t="str">
        <f>IF(D9="FAMILIAR","Cónyuge","")</f>
        <v/>
      </c>
      <c r="C31" s="465"/>
      <c r="D31" s="466"/>
      <c r="E31" s="466"/>
      <c r="F31" s="436" t="str">
        <f>IF($D$7="NUEVA",IF(E31&gt;64,"EDAD NO PERMITIDA",""),"")</f>
        <v/>
      </c>
      <c r="G31" s="458" t="s">
        <v>96</v>
      </c>
      <c r="H31" s="463">
        <f>IF((IMPRESION!K86*RSEM/2+DER)*(1+$D$26)&lt;1000,0,(IMPRESION!K86*RSEM/2+DER)*(1+$D$26))</f>
        <v>0</v>
      </c>
      <c r="I31" s="463">
        <f>IF(H31=0,0,(IMPRESION!K86*RSEM/2)*(1+$D$26))</f>
        <v>0</v>
      </c>
      <c r="J31" s="501">
        <f>+I31+H31</f>
        <v>0</v>
      </c>
      <c r="L31" s="249"/>
      <c r="M31" s="248"/>
      <c r="N31" s="248"/>
      <c r="O31" s="248"/>
      <c r="P31" s="250"/>
      <c r="Q31" s="177"/>
      <c r="R31" s="177"/>
      <c r="S31" s="177"/>
      <c r="T31" s="177"/>
    </row>
    <row r="32" spans="1:20" s="208" customFormat="1" ht="15" customHeight="1">
      <c r="A32" s="348">
        <f t="shared" si="0"/>
        <v>0</v>
      </c>
      <c r="B32" s="464" t="str">
        <f>IF($D$9="FAMILIAR","Dependiente 1","")</f>
        <v/>
      </c>
      <c r="C32" s="465"/>
      <c r="D32" s="466"/>
      <c r="E32" s="466"/>
      <c r="F32" s="436" t="str">
        <f t="shared" ref="F32:F37" si="1">IF($D$7="NUEVA",IF(E32&gt;69,"EDAD NO PERMITIDA",""),"")</f>
        <v/>
      </c>
      <c r="G32" s="458" t="s">
        <v>159</v>
      </c>
      <c r="H32" s="463">
        <f>IF((IMPRESION!K86*RTRIM/4+DER)*(1+$D$26)&lt;1000,0,(IMPRESION!K86*RTRIM/4+DER)*(1+$D$26))</f>
        <v>0</v>
      </c>
      <c r="I32" s="463">
        <f>IF(H32=0,0,(IMPRESION!K86*RTRIM/4)*(1+$D$26))</f>
        <v>0</v>
      </c>
      <c r="J32" s="501">
        <f>+I32*3+H32</f>
        <v>0</v>
      </c>
      <c r="L32" s="251"/>
      <c r="M32" s="248"/>
      <c r="N32" s="248"/>
      <c r="O32" s="248"/>
      <c r="P32" s="252"/>
      <c r="Q32" s="177"/>
      <c r="R32" s="246"/>
      <c r="S32" s="177"/>
      <c r="T32" s="241"/>
    </row>
    <row r="33" spans="1:20" s="208" customFormat="1" ht="15" customHeight="1">
      <c r="A33" s="348">
        <f t="shared" si="0"/>
        <v>0</v>
      </c>
      <c r="B33" s="464" t="str">
        <f>IF($D$9="FAMILIAR","Dependiente 2","")</f>
        <v/>
      </c>
      <c r="C33" s="465"/>
      <c r="D33" s="466"/>
      <c r="E33" s="466"/>
      <c r="F33" s="436" t="str">
        <f t="shared" si="1"/>
        <v/>
      </c>
      <c r="G33" s="458" t="s">
        <v>162</v>
      </c>
      <c r="H33" s="463">
        <f>IF((IMPRESION!K86*RMES/12+DER)*(1+$D$26)&lt;1000,0,(IMPRESION!K86*RMES/12+DER)*(1+$D$26))</f>
        <v>0</v>
      </c>
      <c r="I33" s="463">
        <f>IF(H33=0,0,(IMPRESION!K86*RMES/12)*(1+$D$26))</f>
        <v>0</v>
      </c>
      <c r="J33" s="501">
        <f>+I33*11+H33</f>
        <v>0</v>
      </c>
      <c r="L33" s="251"/>
      <c r="M33" s="248"/>
      <c r="N33" s="248"/>
      <c r="O33" s="248"/>
      <c r="P33" s="250"/>
      <c r="Q33" s="177"/>
      <c r="R33" s="253"/>
      <c r="S33" s="177"/>
      <c r="T33" s="177"/>
    </row>
    <row r="34" spans="1:20" s="208" customFormat="1" ht="15" customHeight="1">
      <c r="A34" s="348">
        <f t="shared" si="0"/>
        <v>0</v>
      </c>
      <c r="B34" s="464" t="str">
        <f>IF($D$9="FAMILIAR","Dependiente 3","")</f>
        <v/>
      </c>
      <c r="C34" s="465"/>
      <c r="D34" s="466"/>
      <c r="E34" s="466"/>
      <c r="F34" s="436" t="str">
        <f t="shared" si="1"/>
        <v/>
      </c>
      <c r="G34" s="345"/>
      <c r="H34" s="233"/>
      <c r="I34" s="233"/>
      <c r="J34" s="233"/>
      <c r="K34" s="254"/>
      <c r="L34" s="238"/>
      <c r="M34" s="255"/>
      <c r="N34" s="256"/>
      <c r="O34" s="256"/>
      <c r="P34" s="177"/>
      <c r="Q34" s="177"/>
      <c r="R34" s="177"/>
      <c r="S34" s="177"/>
      <c r="T34" s="177"/>
    </row>
    <row r="35" spans="1:20" s="208" customFormat="1" ht="15" customHeight="1">
      <c r="A35" s="348">
        <f t="shared" si="0"/>
        <v>0</v>
      </c>
      <c r="B35" s="464" t="str">
        <f>IF($D$9="FAMILIAR","Dependiente 4","")</f>
        <v/>
      </c>
      <c r="C35" s="465"/>
      <c r="D35" s="466"/>
      <c r="E35" s="466"/>
      <c r="F35" s="436" t="str">
        <f t="shared" si="1"/>
        <v/>
      </c>
      <c r="G35" s="345"/>
      <c r="H35" s="233"/>
      <c r="I35" s="233"/>
      <c r="J35" s="233"/>
      <c r="L35" s="238"/>
      <c r="M35" s="255"/>
      <c r="N35" s="256"/>
      <c r="O35" s="256"/>
      <c r="P35" s="177"/>
      <c r="Q35" s="177"/>
      <c r="R35" s="177"/>
      <c r="S35" s="177"/>
      <c r="T35" s="177"/>
    </row>
    <row r="36" spans="1:20" s="208" customFormat="1" ht="15" customHeight="1">
      <c r="A36" s="348">
        <f t="shared" si="0"/>
        <v>0</v>
      </c>
      <c r="B36" s="464" t="str">
        <f>IF($D$9="FAMILIAR","Dependiente 5","")</f>
        <v/>
      </c>
      <c r="C36" s="465"/>
      <c r="D36" s="466"/>
      <c r="E36" s="466"/>
      <c r="F36" s="436" t="str">
        <f t="shared" si="1"/>
        <v/>
      </c>
      <c r="G36" s="345"/>
      <c r="H36" s="233"/>
      <c r="I36" s="233"/>
      <c r="J36" s="233"/>
      <c r="L36" s="238"/>
      <c r="M36" s="255"/>
      <c r="N36" s="245"/>
      <c r="O36" s="245"/>
      <c r="P36" s="177"/>
      <c r="Q36" s="177"/>
      <c r="R36" s="177"/>
      <c r="S36" s="241"/>
      <c r="T36" s="241"/>
    </row>
    <row r="37" spans="1:20" s="208" customFormat="1" ht="15" customHeight="1">
      <c r="A37" s="348">
        <f t="shared" si="0"/>
        <v>0</v>
      </c>
      <c r="B37" s="464" t="str">
        <f>IF($D$9="FAMILIAR","Dependiente 6","")</f>
        <v/>
      </c>
      <c r="C37" s="465"/>
      <c r="D37" s="466"/>
      <c r="E37" s="466"/>
      <c r="F37" s="436" t="str">
        <f t="shared" si="1"/>
        <v/>
      </c>
      <c r="G37" s="350" t="s">
        <v>158</v>
      </c>
      <c r="I37" s="347"/>
      <c r="J37" s="341"/>
      <c r="L37" s="238"/>
      <c r="M37" s="255"/>
      <c r="N37" s="177"/>
      <c r="O37" s="177"/>
      <c r="P37" s="177"/>
      <c r="Q37" s="177"/>
      <c r="R37" s="177"/>
      <c r="S37" s="241"/>
      <c r="T37" s="241"/>
    </row>
    <row r="38" spans="1:20" s="208" customFormat="1" ht="22.5" customHeight="1">
      <c r="A38" s="348"/>
      <c r="J38" s="341"/>
      <c r="L38" s="238"/>
      <c r="M38" s="255"/>
      <c r="N38" s="177"/>
      <c r="O38" s="177"/>
      <c r="P38" s="177"/>
      <c r="Q38" s="177"/>
      <c r="R38" s="177"/>
      <c r="S38" s="241"/>
      <c r="T38" s="241"/>
    </row>
    <row r="39" spans="1:20" s="208" customFormat="1" ht="15" customHeight="1">
      <c r="A39" s="348"/>
      <c r="G39" s="461" t="s">
        <v>96</v>
      </c>
      <c r="H39" s="462">
        <v>4.7300000000000002E-2</v>
      </c>
      <c r="I39" s="795" t="s">
        <v>183</v>
      </c>
      <c r="J39" s="795"/>
      <c r="L39" s="238"/>
      <c r="M39" s="255"/>
      <c r="N39" s="177"/>
      <c r="O39" s="177"/>
      <c r="P39" s="177"/>
      <c r="Q39" s="177"/>
      <c r="R39" s="177"/>
      <c r="S39" s="241"/>
      <c r="T39" s="241"/>
    </row>
    <row r="40" spans="1:20" s="208" customFormat="1" ht="15" customHeight="1">
      <c r="A40" s="348"/>
      <c r="G40" s="461" t="s">
        <v>159</v>
      </c>
      <c r="H40" s="462">
        <v>6.9900000000000004E-2</v>
      </c>
      <c r="I40" s="795"/>
      <c r="J40" s="795"/>
      <c r="L40" s="238"/>
      <c r="M40" s="255"/>
      <c r="N40" s="177"/>
      <c r="O40" s="177"/>
      <c r="P40" s="177"/>
      <c r="Q40" s="177"/>
      <c r="R40" s="233"/>
      <c r="S40" s="241"/>
      <c r="T40" s="241"/>
    </row>
    <row r="41" spans="1:20" s="208" customFormat="1" ht="15" customHeight="1">
      <c r="A41" s="348"/>
      <c r="F41" s="257"/>
      <c r="G41" s="461" t="s">
        <v>162</v>
      </c>
      <c r="H41" s="462">
        <v>9.9900000000000003E-2</v>
      </c>
      <c r="I41" s="795"/>
      <c r="J41" s="795"/>
      <c r="L41" s="238"/>
      <c r="M41" s="255"/>
      <c r="N41" s="177"/>
      <c r="O41" s="177"/>
      <c r="P41" s="177"/>
      <c r="Q41" s="177"/>
      <c r="R41" s="259"/>
      <c r="S41" s="241"/>
      <c r="T41" s="241"/>
    </row>
    <row r="42" spans="1:20" s="208" customFormat="1" ht="18" customHeight="1">
      <c r="A42" s="348"/>
      <c r="C42" s="794"/>
      <c r="D42" s="794"/>
      <c r="E42" s="794"/>
      <c r="L42" s="238"/>
      <c r="M42" s="255"/>
      <c r="N42" s="177"/>
      <c r="O42" s="177"/>
      <c r="P42" s="177"/>
      <c r="Q42" s="177"/>
      <c r="R42" s="259"/>
      <c r="S42" s="241"/>
      <c r="T42" s="241"/>
    </row>
    <row r="43" spans="1:20" s="208" customFormat="1" ht="14.15" customHeight="1">
      <c r="A43" s="348"/>
      <c r="D43" s="260"/>
      <c r="F43" s="261"/>
      <c r="G43" s="258"/>
      <c r="L43" s="238"/>
      <c r="M43" s="255"/>
      <c r="N43" s="177"/>
      <c r="O43" s="177"/>
      <c r="P43" s="177"/>
      <c r="Q43" s="177"/>
      <c r="R43" s="177"/>
      <c r="S43" s="177"/>
      <c r="T43" s="241"/>
    </row>
    <row r="44" spans="1:20" s="208" customFormat="1" ht="35.25" customHeight="1">
      <c r="A44" s="348"/>
      <c r="B44" s="798" t="s">
        <v>327</v>
      </c>
      <c r="C44" s="798"/>
      <c r="D44" s="798"/>
      <c r="E44" s="798"/>
      <c r="F44" s="798"/>
      <c r="G44" s="191"/>
      <c r="L44" s="238"/>
      <c r="M44" s="255"/>
      <c r="N44" s="177"/>
      <c r="O44" s="177"/>
      <c r="P44" s="177"/>
      <c r="Q44" s="177"/>
      <c r="R44" s="177"/>
      <c r="S44" s="241"/>
      <c r="T44" s="241"/>
    </row>
    <row r="45" spans="1:20" s="208" customFormat="1" ht="14.15" customHeight="1">
      <c r="A45" s="348"/>
      <c r="B45" s="799" t="str">
        <f>IF(OR($E$30&gt;64,$E$31&gt;64),"Esta cotización solo es valida para renovaciones","")</f>
        <v/>
      </c>
      <c r="C45" s="799"/>
      <c r="D45" s="799"/>
      <c r="E45" s="799"/>
      <c r="L45" s="238"/>
      <c r="M45" s="255"/>
      <c r="N45" s="177"/>
      <c r="O45" s="177"/>
      <c r="P45" s="177"/>
      <c r="Q45" s="177"/>
      <c r="R45" s="177"/>
      <c r="S45" s="177"/>
      <c r="T45" s="239"/>
    </row>
    <row r="46" spans="1:20" s="208" customFormat="1" ht="14.15" customHeight="1">
      <c r="A46" s="348"/>
      <c r="B46" s="799"/>
      <c r="C46" s="799"/>
      <c r="D46" s="799"/>
      <c r="E46" s="799"/>
      <c r="L46" s="238"/>
      <c r="M46" s="177"/>
      <c r="N46" s="177"/>
      <c r="O46" s="177"/>
      <c r="P46" s="177"/>
      <c r="Q46" s="177"/>
      <c r="R46" s="177"/>
      <c r="S46" s="241"/>
      <c r="T46" s="241"/>
    </row>
    <row r="47" spans="1:20" s="208" customFormat="1" ht="14.15" customHeight="1">
      <c r="A47" s="348"/>
      <c r="D47" s="262"/>
      <c r="L47" s="238"/>
      <c r="M47" s="177"/>
      <c r="N47" s="177"/>
      <c r="O47" s="177"/>
      <c r="P47" s="177"/>
      <c r="Q47" s="177"/>
      <c r="R47" s="177"/>
      <c r="S47" s="241"/>
      <c r="T47" s="177"/>
    </row>
    <row r="48" spans="1:20" s="208" customFormat="1">
      <c r="A48" s="348"/>
      <c r="L48" s="238"/>
      <c r="M48" s="177"/>
      <c r="N48" s="177"/>
      <c r="O48" s="177"/>
      <c r="P48" s="177"/>
      <c r="Q48" s="177"/>
      <c r="R48" s="177"/>
      <c r="S48" s="177"/>
      <c r="T48" s="241"/>
    </row>
    <row r="49" spans="1:20" s="208" customFormat="1">
      <c r="A49" s="348"/>
      <c r="L49" s="238"/>
      <c r="M49" s="177"/>
      <c r="N49" s="177"/>
      <c r="O49" s="177"/>
      <c r="P49" s="177"/>
      <c r="Q49" s="177"/>
      <c r="R49" s="263"/>
      <c r="S49" s="177"/>
      <c r="T49" s="241"/>
    </row>
    <row r="50" spans="1:20" s="208" customFormat="1">
      <c r="A50" s="348"/>
      <c r="L50" s="238"/>
      <c r="M50" s="177"/>
      <c r="N50" s="177"/>
      <c r="O50" s="177"/>
      <c r="P50" s="177"/>
      <c r="Q50" s="177"/>
      <c r="R50" s="177"/>
      <c r="S50" s="177"/>
      <c r="T50" s="241"/>
    </row>
    <row r="51" spans="1:20" s="208" customFormat="1">
      <c r="A51" s="348"/>
      <c r="L51" s="177"/>
      <c r="M51" s="177"/>
      <c r="N51" s="177"/>
      <c r="O51" s="177"/>
      <c r="P51" s="177"/>
      <c r="Q51" s="177"/>
      <c r="R51" s="177"/>
      <c r="S51" s="177"/>
      <c r="T51" s="177"/>
    </row>
    <row r="52" spans="1:20" s="208" customFormat="1">
      <c r="A52" s="348"/>
      <c r="L52" s="238"/>
      <c r="M52" s="177"/>
      <c r="N52" s="177"/>
      <c r="O52" s="177"/>
      <c r="P52" s="177"/>
      <c r="Q52" s="177"/>
      <c r="R52" s="177"/>
      <c r="S52" s="177"/>
      <c r="T52" s="177"/>
    </row>
    <row r="53" spans="1:20" s="208" customFormat="1">
      <c r="A53" s="348"/>
      <c r="L53" s="238"/>
      <c r="M53" s="177"/>
      <c r="N53" s="177"/>
      <c r="O53" s="177"/>
      <c r="P53" s="177"/>
      <c r="Q53" s="177"/>
      <c r="R53" s="264"/>
      <c r="S53" s="177"/>
      <c r="T53" s="177"/>
    </row>
    <row r="54" spans="1:20" s="208" customFormat="1" ht="12.5" hidden="1">
      <c r="A54" s="348"/>
      <c r="L54" s="238"/>
      <c r="M54" s="177"/>
      <c r="N54" s="177"/>
      <c r="O54" s="265"/>
      <c r="P54" s="177"/>
      <c r="Q54" s="177"/>
      <c r="R54" s="177"/>
      <c r="S54" s="233"/>
      <c r="T54" s="177"/>
    </row>
    <row r="55" spans="1:20" s="208" customFormat="1" hidden="1">
      <c r="A55" s="348"/>
      <c r="L55" s="238"/>
      <c r="M55" s="177"/>
      <c r="N55" s="177"/>
      <c r="O55" s="177"/>
      <c r="P55" s="177"/>
      <c r="Q55" s="177"/>
      <c r="R55" s="177"/>
      <c r="S55" s="233"/>
      <c r="T55" s="177"/>
    </row>
    <row r="56" spans="1:20" s="208" customFormat="1" ht="12.5" hidden="1">
      <c r="A56" s="348"/>
      <c r="L56" s="238"/>
      <c r="M56" s="177"/>
      <c r="N56" s="177"/>
      <c r="O56" s="265"/>
      <c r="P56" s="177"/>
      <c r="Q56" s="177"/>
      <c r="R56" s="177"/>
      <c r="S56" s="233"/>
      <c r="T56" s="177"/>
    </row>
    <row r="57" spans="1:20" s="208" customFormat="1" hidden="1">
      <c r="A57" s="348"/>
      <c r="L57" s="238"/>
      <c r="M57" s="177"/>
      <c r="N57" s="177"/>
      <c r="O57" s="177"/>
      <c r="P57" s="177"/>
      <c r="Q57" s="177"/>
      <c r="R57" s="177"/>
      <c r="S57" s="177"/>
      <c r="T57" s="177"/>
    </row>
    <row r="58" spans="1:20" s="208" customFormat="1" hidden="1">
      <c r="A58" s="348"/>
      <c r="L58" s="238"/>
      <c r="M58" s="177"/>
      <c r="N58" s="177"/>
      <c r="O58" s="177"/>
      <c r="P58" s="177"/>
      <c r="Q58" s="177"/>
      <c r="R58" s="177"/>
      <c r="S58" s="177"/>
      <c r="T58" s="177"/>
    </row>
    <row r="59" spans="1:20" s="208" customFormat="1" hidden="1">
      <c r="A59" s="348"/>
      <c r="L59" s="238"/>
      <c r="M59" s="177"/>
      <c r="N59" s="177"/>
      <c r="O59" s="177"/>
      <c r="P59" s="177"/>
      <c r="Q59" s="177"/>
      <c r="R59" s="177"/>
      <c r="S59" s="177"/>
      <c r="T59" s="177"/>
    </row>
    <row r="60" spans="1:20" s="208" customFormat="1" hidden="1">
      <c r="A60" s="348"/>
      <c r="L60" s="238"/>
      <c r="M60" s="177"/>
      <c r="N60" s="177"/>
      <c r="O60" s="177"/>
      <c r="P60" s="177"/>
      <c r="Q60" s="177"/>
      <c r="R60" s="241"/>
      <c r="S60" s="177"/>
      <c r="T60" s="177"/>
    </row>
    <row r="61" spans="1:20" s="208" customFormat="1" hidden="1">
      <c r="A61" s="348"/>
      <c r="L61" s="238"/>
      <c r="M61" s="177"/>
      <c r="N61" s="177"/>
      <c r="O61" s="177"/>
      <c r="P61" s="177"/>
      <c r="Q61" s="177"/>
      <c r="R61" s="177"/>
      <c r="S61" s="177"/>
      <c r="T61" s="177"/>
    </row>
    <row r="62" spans="1:20" s="208" customFormat="1" hidden="1">
      <c r="A62" s="348"/>
      <c r="L62" s="238"/>
      <c r="M62" s="177"/>
      <c r="N62" s="177"/>
      <c r="O62" s="177"/>
      <c r="P62" s="177"/>
      <c r="Q62" s="177"/>
      <c r="R62" s="177"/>
      <c r="S62" s="177"/>
      <c r="T62" s="241"/>
    </row>
    <row r="63" spans="1:20" s="208" customFormat="1" hidden="1">
      <c r="A63" s="348"/>
      <c r="L63" s="238"/>
      <c r="M63" s="177"/>
      <c r="N63" s="177"/>
      <c r="O63" s="177"/>
      <c r="P63" s="177"/>
      <c r="Q63" s="177"/>
      <c r="R63" s="177"/>
      <c r="S63" s="177"/>
      <c r="T63" s="241"/>
    </row>
    <row r="64" spans="1:20" s="208" customFormat="1" hidden="1">
      <c r="A64" s="348"/>
      <c r="L64" s="238"/>
      <c r="M64" s="177"/>
      <c r="N64" s="177"/>
      <c r="O64" s="177"/>
      <c r="P64" s="177"/>
      <c r="Q64" s="177"/>
      <c r="R64" s="177"/>
      <c r="S64" s="177"/>
      <c r="T64" s="241"/>
    </row>
    <row r="65" spans="1:20" s="208" customFormat="1" ht="12.5" hidden="1">
      <c r="A65" s="348"/>
      <c r="L65" s="238"/>
      <c r="M65" s="177"/>
      <c r="N65" s="177"/>
      <c r="O65" s="265"/>
      <c r="P65" s="177"/>
      <c r="Q65" s="177"/>
      <c r="R65" s="177"/>
      <c r="S65" s="233"/>
      <c r="T65" s="241"/>
    </row>
    <row r="66" spans="1:20" s="208" customFormat="1" hidden="1">
      <c r="A66" s="348"/>
      <c r="L66" s="238"/>
      <c r="M66" s="177"/>
      <c r="N66" s="177"/>
      <c r="O66" s="177"/>
      <c r="P66" s="177"/>
      <c r="Q66" s="177"/>
      <c r="R66" s="177"/>
      <c r="S66" s="177"/>
      <c r="T66" s="177"/>
    </row>
    <row r="67" spans="1:20" s="208" customFormat="1" hidden="1">
      <c r="A67" s="348"/>
      <c r="L67" s="238"/>
      <c r="M67" s="177"/>
      <c r="N67" s="177"/>
      <c r="O67" s="177"/>
      <c r="P67" s="177"/>
      <c r="Q67" s="177"/>
      <c r="R67" s="177"/>
      <c r="S67" s="177"/>
      <c r="T67" s="177"/>
    </row>
    <row r="68" spans="1:20" s="208" customFormat="1" hidden="1">
      <c r="A68" s="348"/>
      <c r="L68" s="238"/>
      <c r="M68" s="177"/>
      <c r="N68" s="177"/>
      <c r="O68" s="177"/>
      <c r="P68" s="177"/>
      <c r="Q68" s="177"/>
      <c r="R68" s="177"/>
      <c r="S68" s="177"/>
      <c r="T68" s="177"/>
    </row>
    <row r="69" spans="1:20" s="208" customFormat="1" hidden="1">
      <c r="A69" s="348"/>
      <c r="L69" s="238"/>
      <c r="M69" s="177"/>
      <c r="N69" s="177"/>
      <c r="O69" s="177"/>
      <c r="P69" s="177"/>
      <c r="Q69" s="177"/>
      <c r="R69" s="177"/>
      <c r="S69" s="177"/>
      <c r="T69" s="177"/>
    </row>
    <row r="70" spans="1:20" s="208" customFormat="1" hidden="1">
      <c r="A70" s="348"/>
      <c r="L70" s="238"/>
      <c r="M70" s="177"/>
      <c r="N70" s="177"/>
      <c r="O70" s="177"/>
      <c r="P70" s="177"/>
      <c r="Q70" s="177"/>
      <c r="R70" s="177"/>
      <c r="S70" s="177"/>
      <c r="T70" s="177"/>
    </row>
    <row r="71" spans="1:20" s="208" customFormat="1" hidden="1">
      <c r="A71" s="348"/>
      <c r="L71" s="238"/>
      <c r="M71" s="177"/>
      <c r="N71" s="177"/>
      <c r="O71" s="177"/>
      <c r="P71" s="177"/>
      <c r="Q71" s="266"/>
      <c r="R71" s="245"/>
      <c r="S71" s="267"/>
      <c r="T71" s="177"/>
    </row>
    <row r="72" spans="1:20" s="208" customFormat="1" hidden="1">
      <c r="A72" s="348"/>
      <c r="L72" s="238"/>
      <c r="M72" s="177"/>
      <c r="N72" s="177"/>
      <c r="O72" s="177"/>
      <c r="P72" s="177"/>
      <c r="Q72" s="266"/>
      <c r="R72" s="245"/>
      <c r="S72" s="267"/>
      <c r="T72" s="245"/>
    </row>
    <row r="73" spans="1:20" s="208" customFormat="1" hidden="1">
      <c r="A73" s="348"/>
      <c r="L73" s="238"/>
      <c r="M73" s="177"/>
      <c r="N73" s="177"/>
      <c r="O73" s="177"/>
      <c r="P73" s="177"/>
      <c r="Q73" s="266"/>
      <c r="R73" s="245"/>
      <c r="S73" s="267"/>
      <c r="T73" s="245"/>
    </row>
    <row r="74" spans="1:20" s="208" customFormat="1" ht="10.5" hidden="1" customHeight="1">
      <c r="A74" s="348"/>
      <c r="L74" s="238"/>
      <c r="M74" s="177"/>
      <c r="N74" s="177"/>
      <c r="O74" s="177"/>
      <c r="P74" s="177"/>
      <c r="Q74" s="266"/>
      <c r="R74" s="177"/>
      <c r="S74" s="267"/>
      <c r="T74" s="245"/>
    </row>
    <row r="75" spans="1:20" s="208" customFormat="1" ht="10.5" hidden="1" customHeight="1">
      <c r="A75" s="348"/>
      <c r="L75" s="238"/>
      <c r="M75" s="177"/>
      <c r="N75" s="177"/>
      <c r="O75" s="177"/>
      <c r="P75" s="177"/>
      <c r="Q75" s="266"/>
      <c r="R75" s="177"/>
      <c r="S75" s="267"/>
      <c r="T75" s="245"/>
    </row>
    <row r="76" spans="1:20" s="208" customFormat="1" ht="10.5" hidden="1" customHeight="1">
      <c r="A76" s="348"/>
      <c r="L76" s="238"/>
      <c r="M76" s="177"/>
      <c r="N76" s="177"/>
      <c r="O76" s="177"/>
      <c r="P76" s="177"/>
      <c r="Q76" s="177"/>
      <c r="R76" s="177"/>
      <c r="S76" s="177"/>
      <c r="T76" s="177"/>
    </row>
    <row r="77" spans="1:20" s="208" customFormat="1" ht="10.5" hidden="1" customHeight="1">
      <c r="A77" s="348"/>
      <c r="L77" s="238"/>
      <c r="M77" s="177"/>
      <c r="N77" s="177"/>
      <c r="O77" s="177"/>
      <c r="P77" s="177"/>
      <c r="Q77" s="177"/>
      <c r="R77" s="177"/>
      <c r="S77" s="177"/>
      <c r="T77" s="177"/>
    </row>
    <row r="78" spans="1:20" ht="3.75" hidden="1" customHeight="1">
      <c r="A78" s="348"/>
      <c r="B78" s="208"/>
      <c r="C78" s="208"/>
      <c r="D78" s="208"/>
      <c r="E78" s="208"/>
      <c r="F78" s="208"/>
      <c r="G78" s="208"/>
      <c r="H78" s="208"/>
      <c r="I78" s="208"/>
      <c r="J78" s="208"/>
      <c r="K78" s="208"/>
      <c r="L78" s="268"/>
      <c r="M78" s="241"/>
      <c r="N78" s="241"/>
      <c r="O78" s="241"/>
      <c r="P78" s="241"/>
      <c r="Q78" s="241"/>
      <c r="R78" s="241"/>
      <c r="S78" s="241"/>
      <c r="T78" s="241"/>
    </row>
    <row r="79" spans="1:20" hidden="1">
      <c r="G79" s="208"/>
      <c r="H79" s="208"/>
      <c r="I79" s="208"/>
      <c r="J79" s="208"/>
      <c r="L79" s="268"/>
      <c r="M79" s="269"/>
      <c r="N79" s="176"/>
      <c r="O79" s="176"/>
      <c r="P79" s="176"/>
      <c r="Q79" s="176"/>
      <c r="R79" s="176"/>
      <c r="S79" s="176"/>
      <c r="T79" s="176"/>
    </row>
    <row r="80" spans="1:20" s="208" customFormat="1" ht="12.5" hidden="1">
      <c r="A80" s="383"/>
      <c r="B80" s="172"/>
      <c r="C80" s="172"/>
      <c r="D80" s="172"/>
      <c r="E80" s="172"/>
      <c r="F80" s="172"/>
      <c r="K80" s="172"/>
      <c r="L80" s="268"/>
      <c r="M80" s="792"/>
      <c r="N80" s="783"/>
      <c r="O80" s="783"/>
      <c r="P80" s="783"/>
      <c r="Q80" s="176"/>
      <c r="R80" s="176"/>
      <c r="S80" s="176"/>
      <c r="T80" s="176"/>
    </row>
    <row r="81" spans="1:23" s="208" customFormat="1" hidden="1">
      <c r="A81" s="348"/>
      <c r="G81" s="172"/>
      <c r="H81" s="172"/>
      <c r="I81" s="172"/>
      <c r="J81" s="172"/>
      <c r="L81" s="268"/>
      <c r="M81" s="176"/>
      <c r="N81" s="176"/>
      <c r="O81" s="176"/>
      <c r="P81" s="176"/>
      <c r="Q81" s="176"/>
      <c r="R81" s="176"/>
      <c r="S81" s="176"/>
      <c r="T81" s="176"/>
    </row>
    <row r="82" spans="1:23" s="208" customFormat="1" hidden="1">
      <c r="A82" s="348"/>
      <c r="G82" s="172"/>
      <c r="H82" s="172"/>
      <c r="I82" s="172"/>
      <c r="J82" s="172"/>
      <c r="L82" s="271"/>
      <c r="M82" s="241"/>
      <c r="N82" s="241"/>
      <c r="O82" s="241"/>
      <c r="P82" s="241"/>
      <c r="Q82" s="272"/>
      <c r="R82" s="272"/>
      <c r="S82" s="272"/>
      <c r="T82" s="273"/>
      <c r="U82" s="260"/>
      <c r="V82" s="260"/>
    </row>
    <row r="83" spans="1:23" s="208" customFormat="1" hidden="1">
      <c r="A83" s="348"/>
      <c r="L83" s="271"/>
      <c r="M83" s="241"/>
      <c r="N83" s="241"/>
      <c r="O83" s="241"/>
      <c r="P83" s="241"/>
      <c r="Q83" s="272"/>
      <c r="R83" s="272"/>
      <c r="S83" s="272"/>
      <c r="T83" s="273"/>
      <c r="U83" s="260"/>
      <c r="V83" s="260"/>
    </row>
    <row r="84" spans="1:23" s="208" customFormat="1" hidden="1">
      <c r="A84" s="348"/>
      <c r="L84" s="271"/>
      <c r="M84" s="241"/>
      <c r="N84" s="241"/>
      <c r="O84" s="241"/>
      <c r="P84" s="241"/>
      <c r="Q84" s="272"/>
      <c r="R84" s="272"/>
      <c r="S84" s="272"/>
      <c r="T84" s="273"/>
      <c r="U84" s="260"/>
      <c r="V84" s="260"/>
    </row>
    <row r="85" spans="1:23" s="208" customFormat="1" hidden="1">
      <c r="A85" s="348"/>
      <c r="L85" s="271"/>
      <c r="M85" s="241"/>
      <c r="N85" s="241"/>
      <c r="O85" s="241"/>
      <c r="P85" s="241"/>
      <c r="Q85" s="272"/>
      <c r="R85" s="272"/>
      <c r="S85" s="272"/>
      <c r="T85" s="273"/>
      <c r="U85" s="260"/>
      <c r="V85" s="260"/>
    </row>
    <row r="86" spans="1:23" s="208" customFormat="1" hidden="1">
      <c r="A86" s="348"/>
      <c r="L86" s="271"/>
      <c r="M86" s="241"/>
      <c r="N86" s="241"/>
      <c r="O86" s="241"/>
      <c r="P86" s="241"/>
      <c r="Q86" s="272"/>
      <c r="R86" s="272"/>
      <c r="S86" s="272"/>
      <c r="T86" s="273"/>
      <c r="U86" s="260"/>
      <c r="V86" s="260"/>
      <c r="W86" s="262"/>
    </row>
    <row r="87" spans="1:23" s="208" customFormat="1" hidden="1">
      <c r="A87" s="348"/>
      <c r="L87" s="271"/>
      <c r="M87" s="241"/>
      <c r="N87" s="241"/>
      <c r="O87" s="241"/>
      <c r="P87" s="241"/>
      <c r="Q87" s="272"/>
      <c r="R87" s="272"/>
      <c r="S87" s="272"/>
      <c r="T87" s="273"/>
      <c r="U87" s="260"/>
      <c r="V87" s="260"/>
      <c r="W87" s="274"/>
    </row>
    <row r="88" spans="1:23" s="208" customFormat="1" hidden="1">
      <c r="A88" s="348"/>
      <c r="L88" s="271"/>
      <c r="M88" s="241"/>
      <c r="N88" s="241"/>
      <c r="O88" s="241"/>
      <c r="P88" s="241"/>
      <c r="Q88" s="272"/>
      <c r="R88" s="272"/>
      <c r="S88" s="272"/>
      <c r="T88" s="273"/>
      <c r="U88" s="262"/>
      <c r="V88" s="260"/>
    </row>
    <row r="89" spans="1:23" s="208" customFormat="1" hidden="1">
      <c r="A89" s="348"/>
      <c r="L89" s="271"/>
      <c r="M89" s="241"/>
      <c r="N89" s="241"/>
      <c r="O89" s="241"/>
      <c r="P89" s="241"/>
      <c r="Q89" s="272"/>
      <c r="R89" s="272"/>
      <c r="S89" s="272"/>
      <c r="T89" s="273"/>
      <c r="U89" s="262"/>
      <c r="V89" s="260"/>
    </row>
    <row r="90" spans="1:23" s="208" customFormat="1" hidden="1">
      <c r="A90" s="348"/>
      <c r="L90" s="271"/>
      <c r="M90" s="241"/>
      <c r="N90" s="241"/>
      <c r="O90" s="241"/>
      <c r="P90" s="241"/>
      <c r="Q90" s="272"/>
      <c r="R90" s="272"/>
      <c r="S90" s="272"/>
      <c r="T90" s="273"/>
      <c r="U90" s="262"/>
      <c r="V90" s="260"/>
    </row>
    <row r="91" spans="1:23" s="208" customFormat="1" ht="12.5" hidden="1">
      <c r="A91" s="348"/>
      <c r="L91" s="271"/>
      <c r="M91" s="275"/>
      <c r="N91" s="276"/>
      <c r="O91" s="784"/>
      <c r="P91" s="783"/>
      <c r="Q91" s="241"/>
      <c r="R91" s="277"/>
      <c r="S91" s="241"/>
      <c r="T91" s="278"/>
      <c r="U91" s="262"/>
      <c r="V91" s="260"/>
    </row>
    <row r="92" spans="1:23" s="208" customFormat="1" ht="12.5" hidden="1">
      <c r="A92" s="348"/>
      <c r="L92" s="271"/>
      <c r="M92" s="279"/>
      <c r="N92" s="276"/>
      <c r="O92" s="782"/>
      <c r="P92" s="783"/>
      <c r="Q92" s="241"/>
      <c r="R92" s="177"/>
      <c r="S92" s="177"/>
      <c r="T92" s="280"/>
      <c r="U92" s="262"/>
      <c r="V92" s="281"/>
    </row>
    <row r="93" spans="1:23" s="208" customFormat="1" ht="12.5" hidden="1">
      <c r="A93" s="348"/>
      <c r="L93" s="271"/>
      <c r="M93" s="279"/>
      <c r="N93" s="276"/>
      <c r="O93" s="782"/>
      <c r="P93" s="783"/>
      <c r="Q93" s="177"/>
      <c r="R93" s="177"/>
      <c r="S93" s="177"/>
      <c r="T93" s="243"/>
      <c r="U93" s="274"/>
      <c r="V93" s="282"/>
    </row>
    <row r="94" spans="1:23" s="208" customFormat="1" hidden="1">
      <c r="A94" s="348"/>
      <c r="L94" s="271"/>
      <c r="M94" s="241"/>
      <c r="N94" s="241"/>
      <c r="O94" s="241"/>
      <c r="P94" s="241"/>
      <c r="Q94" s="177"/>
      <c r="R94" s="177"/>
      <c r="S94" s="177"/>
      <c r="T94" s="273"/>
      <c r="V94" s="260"/>
    </row>
    <row r="95" spans="1:23" s="208" customFormat="1" ht="12.5" hidden="1">
      <c r="A95" s="348"/>
      <c r="L95" s="271"/>
      <c r="M95" s="787"/>
      <c r="N95" s="783"/>
      <c r="O95" s="176"/>
      <c r="P95" s="177"/>
      <c r="Q95" s="177"/>
      <c r="R95" s="177"/>
      <c r="S95" s="177"/>
      <c r="T95" s="243"/>
      <c r="V95" s="282"/>
    </row>
    <row r="96" spans="1:23" ht="12.75" hidden="1" customHeight="1">
      <c r="A96" s="348"/>
      <c r="B96" s="208"/>
      <c r="C96" s="208"/>
      <c r="D96" s="208"/>
      <c r="E96" s="208"/>
      <c r="F96" s="208"/>
      <c r="G96" s="208"/>
      <c r="H96" s="208"/>
      <c r="I96" s="208"/>
      <c r="J96" s="208"/>
      <c r="K96" s="208"/>
      <c r="L96" s="271"/>
      <c r="M96" s="241"/>
      <c r="N96" s="241"/>
      <c r="O96" s="241"/>
      <c r="P96" s="241"/>
      <c r="Q96" s="177"/>
      <c r="R96" s="283"/>
      <c r="S96" s="283"/>
      <c r="T96" s="284"/>
      <c r="V96" s="285"/>
    </row>
    <row r="97" spans="7:20" ht="12.5" hidden="1">
      <c r="G97" s="208"/>
      <c r="H97" s="208"/>
      <c r="I97" s="208"/>
      <c r="J97" s="208"/>
      <c r="L97" s="271"/>
      <c r="M97" s="176"/>
      <c r="N97" s="786"/>
      <c r="O97" s="783"/>
      <c r="P97" s="783"/>
      <c r="Q97" s="241"/>
      <c r="R97" s="241"/>
      <c r="S97" s="241"/>
      <c r="T97" s="241"/>
    </row>
    <row r="98" spans="7:20" ht="3.75" hidden="1" customHeight="1">
      <c r="G98" s="208"/>
      <c r="H98" s="208"/>
      <c r="I98" s="208"/>
      <c r="J98" s="208"/>
      <c r="L98" s="271"/>
      <c r="M98" s="176"/>
      <c r="N98" s="177"/>
      <c r="O98" s="177"/>
      <c r="P98" s="177"/>
      <c r="Q98" s="241"/>
      <c r="R98" s="241"/>
      <c r="S98" s="241"/>
      <c r="T98" s="241"/>
    </row>
    <row r="99" spans="7:20" hidden="1">
      <c r="L99" s="271"/>
      <c r="M99" s="286"/>
      <c r="N99" s="286"/>
      <c r="O99" s="286"/>
      <c r="P99" s="286"/>
      <c r="Q99" s="177"/>
      <c r="R99" s="241"/>
      <c r="S99" s="241"/>
      <c r="T99" s="241"/>
    </row>
    <row r="100" spans="7:20" hidden="1">
      <c r="L100" s="271"/>
      <c r="M100" s="176"/>
      <c r="N100" s="242"/>
      <c r="O100" s="242"/>
      <c r="P100" s="242"/>
      <c r="Q100" s="177"/>
      <c r="R100" s="241"/>
      <c r="S100" s="241"/>
      <c r="T100" s="241"/>
    </row>
    <row r="101" spans="7:20" hidden="1">
      <c r="L101" s="271"/>
      <c r="M101" s="176"/>
      <c r="N101" s="242"/>
      <c r="O101" s="242"/>
      <c r="P101" s="242"/>
      <c r="Q101" s="177"/>
      <c r="R101" s="241"/>
      <c r="S101" s="241"/>
      <c r="T101" s="241"/>
    </row>
    <row r="102" spans="7:20" hidden="1">
      <c r="L102" s="271"/>
      <c r="M102" s="287"/>
      <c r="N102" s="242"/>
      <c r="O102" s="242"/>
      <c r="P102" s="242"/>
      <c r="Q102" s="177"/>
      <c r="R102" s="241"/>
      <c r="S102" s="241"/>
      <c r="T102" s="241"/>
    </row>
    <row r="103" spans="7:20" hidden="1">
      <c r="L103" s="271"/>
      <c r="M103" s="287"/>
      <c r="N103" s="242"/>
      <c r="O103" s="242"/>
      <c r="P103" s="242"/>
      <c r="Q103" s="288"/>
      <c r="R103" s="241"/>
      <c r="S103" s="241"/>
      <c r="T103" s="241"/>
    </row>
    <row r="104" spans="7:20" ht="3.75" hidden="1" customHeight="1">
      <c r="L104" s="268"/>
      <c r="M104" s="241"/>
      <c r="N104" s="241"/>
      <c r="O104" s="241"/>
      <c r="P104" s="241"/>
      <c r="Q104" s="241"/>
      <c r="R104" s="241"/>
      <c r="S104" s="241"/>
      <c r="T104" s="241"/>
    </row>
    <row r="105" spans="7:20" ht="12.75" hidden="1" customHeight="1">
      <c r="L105" s="268"/>
      <c r="M105" s="785"/>
      <c r="N105" s="785"/>
      <c r="O105" s="785"/>
      <c r="P105" s="785"/>
      <c r="Q105" s="785"/>
      <c r="R105" s="785"/>
      <c r="S105" s="785"/>
      <c r="T105" s="785"/>
    </row>
    <row r="106" spans="7:20" hidden="1">
      <c r="L106" s="268"/>
      <c r="M106" s="785"/>
      <c r="N106" s="785"/>
      <c r="O106" s="785"/>
      <c r="P106" s="785"/>
      <c r="Q106" s="785"/>
      <c r="R106" s="785"/>
      <c r="S106" s="785"/>
      <c r="T106" s="785"/>
    </row>
    <row r="107" spans="7:20" ht="10.5" hidden="1" customHeight="1">
      <c r="L107" s="268"/>
      <c r="M107" s="785"/>
      <c r="N107" s="785"/>
      <c r="O107" s="785"/>
      <c r="P107" s="785"/>
      <c r="Q107" s="785"/>
      <c r="R107" s="785"/>
      <c r="S107" s="785"/>
      <c r="T107" s="785"/>
    </row>
    <row r="108" spans="7:20" ht="10.5" hidden="1" customHeight="1">
      <c r="L108" s="268"/>
      <c r="M108" s="241"/>
      <c r="N108" s="241"/>
      <c r="O108" s="241"/>
      <c r="P108" s="241"/>
      <c r="Q108" s="241"/>
      <c r="R108" s="241"/>
      <c r="S108" s="241"/>
      <c r="T108" s="241"/>
    </row>
    <row r="109" spans="7:20" hidden="1">
      <c r="L109" s="268"/>
      <c r="M109" s="241"/>
      <c r="N109" s="241"/>
      <c r="O109" s="241"/>
      <c r="P109" s="241"/>
      <c r="Q109" s="241"/>
      <c r="R109" s="241"/>
      <c r="S109" s="241"/>
      <c r="T109" s="241"/>
    </row>
    <row r="110" spans="7:20" hidden="1">
      <c r="L110" s="268"/>
      <c r="M110" s="241"/>
      <c r="N110" s="241"/>
      <c r="O110" s="241"/>
      <c r="P110" s="241"/>
      <c r="Q110" s="241"/>
      <c r="R110" s="241"/>
      <c r="S110" s="241"/>
      <c r="T110" s="241"/>
    </row>
    <row r="111" spans="7:20" hidden="1">
      <c r="L111" s="268"/>
      <c r="M111" s="241"/>
      <c r="N111" s="241"/>
      <c r="O111" s="241"/>
      <c r="P111" s="241"/>
      <c r="Q111" s="241"/>
      <c r="R111" s="241"/>
      <c r="S111" s="241"/>
      <c r="T111" s="241"/>
    </row>
    <row r="112" spans="7:20" hidden="1">
      <c r="L112" s="268"/>
      <c r="M112" s="241"/>
      <c r="N112" s="241"/>
      <c r="O112" s="241"/>
      <c r="P112" s="241"/>
      <c r="Q112" s="241"/>
      <c r="R112" s="241"/>
      <c r="S112" s="241"/>
      <c r="T112" s="241"/>
    </row>
    <row r="113" spans="12:20" hidden="1">
      <c r="L113" s="268"/>
      <c r="M113" s="241"/>
      <c r="N113" s="241"/>
      <c r="O113" s="241"/>
      <c r="P113" s="241"/>
      <c r="Q113" s="241"/>
      <c r="R113" s="241"/>
      <c r="S113" s="241"/>
      <c r="T113" s="241"/>
    </row>
    <row r="114" spans="12:20" hidden="1">
      <c r="L114" s="268"/>
      <c r="M114" s="241"/>
      <c r="N114" s="241"/>
      <c r="O114" s="241"/>
      <c r="P114" s="241"/>
      <c r="Q114" s="241"/>
      <c r="R114" s="241"/>
      <c r="S114" s="241"/>
      <c r="T114" s="241"/>
    </row>
    <row r="115" spans="12:20" hidden="1">
      <c r="L115" s="268"/>
      <c r="M115" s="241"/>
      <c r="N115" s="241"/>
      <c r="O115" s="241"/>
      <c r="P115" s="241"/>
      <c r="Q115" s="241"/>
      <c r="R115" s="241"/>
      <c r="S115" s="241"/>
      <c r="T115" s="241"/>
    </row>
    <row r="116" spans="12:20" hidden="1">
      <c r="L116" s="268"/>
      <c r="M116" s="241"/>
      <c r="N116" s="241"/>
      <c r="O116" s="241"/>
      <c r="P116" s="241"/>
      <c r="Q116" s="241"/>
      <c r="R116" s="241"/>
      <c r="S116" s="241"/>
      <c r="T116" s="241"/>
    </row>
    <row r="117" spans="12:20" hidden="1">
      <c r="L117" s="268"/>
      <c r="M117" s="241"/>
      <c r="N117" s="241"/>
      <c r="O117" s="241"/>
      <c r="P117" s="241"/>
      <c r="Q117" s="241"/>
      <c r="R117" s="241"/>
      <c r="S117" s="241"/>
      <c r="T117" s="241"/>
    </row>
    <row r="118" spans="12:20" hidden="1">
      <c r="L118" s="268"/>
      <c r="M118" s="241"/>
      <c r="N118" s="241"/>
      <c r="O118" s="241"/>
      <c r="P118" s="241"/>
      <c r="Q118" s="241"/>
      <c r="R118" s="241"/>
      <c r="S118" s="241"/>
      <c r="T118" s="241"/>
    </row>
    <row r="119" spans="12:20" hidden="1">
      <c r="L119" s="268"/>
      <c r="M119" s="241"/>
      <c r="N119" s="241"/>
      <c r="O119" s="241"/>
      <c r="P119" s="241"/>
      <c r="Q119" s="241"/>
      <c r="R119" s="241"/>
      <c r="S119" s="241"/>
      <c r="T119" s="241"/>
    </row>
    <row r="120" spans="12:20" hidden="1">
      <c r="L120" s="268"/>
      <c r="M120" s="241"/>
      <c r="N120" s="241"/>
      <c r="O120" s="241"/>
      <c r="P120" s="241"/>
      <c r="Q120" s="241"/>
      <c r="R120" s="241"/>
      <c r="S120" s="241"/>
      <c r="T120" s="241"/>
    </row>
    <row r="121" spans="12:20" hidden="1">
      <c r="L121" s="268"/>
      <c r="M121" s="241"/>
      <c r="N121" s="241"/>
      <c r="O121" s="241"/>
      <c r="P121" s="241"/>
      <c r="Q121" s="241"/>
      <c r="R121" s="241"/>
      <c r="S121" s="241"/>
      <c r="T121" s="241"/>
    </row>
    <row r="122" spans="12:20" hidden="1">
      <c r="L122" s="268"/>
      <c r="M122" s="241"/>
      <c r="N122" s="241"/>
      <c r="O122" s="241"/>
      <c r="P122" s="241"/>
      <c r="Q122" s="241"/>
      <c r="R122" s="241"/>
      <c r="S122" s="241"/>
      <c r="T122" s="241"/>
    </row>
    <row r="123" spans="12:20" hidden="1">
      <c r="L123" s="268"/>
      <c r="M123" s="241"/>
      <c r="N123" s="241"/>
      <c r="O123" s="241"/>
      <c r="P123" s="241"/>
      <c r="Q123" s="241"/>
      <c r="R123" s="241"/>
      <c r="S123" s="241"/>
      <c r="T123" s="241"/>
    </row>
    <row r="124" spans="12:20" hidden="1">
      <c r="L124" s="268"/>
      <c r="M124" s="241"/>
      <c r="N124" s="241"/>
      <c r="O124" s="241"/>
      <c r="P124" s="241"/>
      <c r="Q124" s="241"/>
      <c r="R124" s="241"/>
      <c r="S124" s="241"/>
      <c r="T124" s="241"/>
    </row>
    <row r="125" spans="12:20" hidden="1">
      <c r="L125" s="268"/>
      <c r="M125" s="241"/>
      <c r="N125" s="241"/>
      <c r="O125" s="241"/>
      <c r="P125" s="241"/>
      <c r="Q125" s="241"/>
      <c r="R125" s="241"/>
      <c r="S125" s="241"/>
      <c r="T125" s="241"/>
    </row>
    <row r="126" spans="12:20" hidden="1">
      <c r="L126" s="268"/>
      <c r="M126" s="241"/>
      <c r="N126" s="241"/>
      <c r="O126" s="241"/>
      <c r="P126" s="241"/>
      <c r="Q126" s="241"/>
      <c r="R126" s="241"/>
      <c r="S126" s="241"/>
      <c r="T126" s="241"/>
    </row>
    <row r="127" spans="12:20" hidden="1">
      <c r="L127" s="268"/>
      <c r="M127" s="241"/>
      <c r="N127" s="241"/>
      <c r="O127" s="241"/>
      <c r="P127" s="241"/>
      <c r="Q127" s="241"/>
      <c r="R127" s="241"/>
      <c r="S127" s="241"/>
      <c r="T127" s="241"/>
    </row>
    <row r="128" spans="12:20" hidden="1">
      <c r="L128" s="268"/>
      <c r="M128" s="241"/>
      <c r="N128" s="241"/>
      <c r="O128" s="241"/>
      <c r="P128" s="241"/>
      <c r="Q128" s="241"/>
      <c r="R128" s="241"/>
      <c r="S128" s="241"/>
      <c r="T128" s="241"/>
    </row>
    <row r="129" spans="12:20" hidden="1">
      <c r="L129" s="268"/>
      <c r="M129" s="241"/>
      <c r="N129" s="241"/>
      <c r="O129" s="241"/>
      <c r="P129" s="241"/>
      <c r="Q129" s="241"/>
      <c r="R129" s="241"/>
      <c r="S129" s="241"/>
      <c r="T129" s="241"/>
    </row>
    <row r="130" spans="12:20" hidden="1">
      <c r="L130" s="268"/>
      <c r="M130" s="241"/>
      <c r="N130" s="241"/>
      <c r="O130" s="241"/>
      <c r="P130" s="241"/>
      <c r="Q130" s="241"/>
      <c r="R130" s="241"/>
      <c r="S130" s="241"/>
      <c r="T130" s="241"/>
    </row>
    <row r="131" spans="12:20" hidden="1">
      <c r="L131" s="268"/>
      <c r="M131" s="241"/>
      <c r="N131" s="241"/>
      <c r="O131" s="241"/>
      <c r="P131" s="241"/>
      <c r="Q131" s="241"/>
      <c r="R131" s="241"/>
      <c r="S131" s="241"/>
      <c r="T131" s="241"/>
    </row>
    <row r="132" spans="12:20" hidden="1">
      <c r="L132" s="268"/>
      <c r="M132" s="241"/>
      <c r="N132" s="241"/>
      <c r="O132" s="241"/>
      <c r="P132" s="241"/>
      <c r="Q132" s="241"/>
      <c r="R132" s="241"/>
      <c r="S132" s="241"/>
      <c r="T132" s="241"/>
    </row>
    <row r="212" spans="1:14" ht="12" hidden="1" customHeight="1"/>
    <row r="217" spans="1:14" ht="10.5" hidden="1" thickBot="1"/>
    <row r="218" spans="1:14" s="175" customFormat="1" ht="10.5" hidden="1" thickTop="1">
      <c r="A218" s="396" t="s">
        <v>50</v>
      </c>
      <c r="B218" s="290" t="s">
        <v>10</v>
      </c>
      <c r="C218" s="291"/>
      <c r="D218" s="291"/>
      <c r="E218" s="291"/>
      <c r="F218" s="291"/>
      <c r="G218" s="291"/>
      <c r="H218" s="291"/>
      <c r="I218" s="291"/>
      <c r="J218" s="291"/>
      <c r="K218" s="291"/>
      <c r="L218" s="292"/>
      <c r="M218" s="177"/>
      <c r="N218" s="177"/>
    </row>
    <row r="219" spans="1:14" s="175" customFormat="1" hidden="1">
      <c r="A219" s="397">
        <v>1</v>
      </c>
      <c r="B219" s="293" t="s">
        <v>125</v>
      </c>
      <c r="C219" s="294"/>
      <c r="D219" s="294"/>
      <c r="E219" s="294"/>
      <c r="F219" s="294"/>
      <c r="G219" s="294"/>
      <c r="H219" s="294"/>
      <c r="I219" s="294"/>
      <c r="J219" s="294"/>
      <c r="K219" s="294"/>
      <c r="L219" s="295"/>
      <c r="M219" s="177"/>
      <c r="N219" s="177"/>
    </row>
    <row r="220" spans="1:14" s="175" customFormat="1" hidden="1">
      <c r="A220" s="398">
        <v>2</v>
      </c>
      <c r="B220" s="293" t="s">
        <v>126</v>
      </c>
      <c r="C220" s="294"/>
      <c r="D220" s="294"/>
      <c r="E220" s="294"/>
      <c r="F220" s="294"/>
      <c r="G220" s="294"/>
      <c r="H220" s="294"/>
      <c r="I220" s="294"/>
      <c r="J220" s="294"/>
      <c r="K220" s="294"/>
      <c r="L220" s="295"/>
      <c r="M220" s="177"/>
      <c r="N220" s="177"/>
    </row>
    <row r="221" spans="1:14" s="175" customFormat="1" hidden="1">
      <c r="A221" s="398">
        <v>3</v>
      </c>
      <c r="B221" s="293" t="s">
        <v>160</v>
      </c>
      <c r="C221" s="294"/>
      <c r="D221" s="294"/>
      <c r="E221" s="294"/>
      <c r="F221" s="294"/>
      <c r="G221" s="294"/>
      <c r="H221" s="294"/>
      <c r="I221" s="294"/>
      <c r="J221" s="294"/>
      <c r="K221" s="294"/>
      <c r="L221" s="295"/>
      <c r="M221" s="177"/>
      <c r="N221" s="177"/>
    </row>
    <row r="222" spans="1:14" s="175" customFormat="1" hidden="1">
      <c r="A222" s="398">
        <v>4</v>
      </c>
      <c r="B222" s="293" t="s">
        <v>127</v>
      </c>
      <c r="C222" s="294"/>
      <c r="D222" s="294"/>
      <c r="E222" s="294"/>
      <c r="F222" s="294"/>
      <c r="G222" s="294"/>
      <c r="H222" s="294"/>
      <c r="I222" s="294"/>
      <c r="J222" s="294"/>
      <c r="K222" s="294"/>
      <c r="L222" s="295"/>
      <c r="M222" s="177"/>
      <c r="N222" s="177"/>
    </row>
    <row r="223" spans="1:14" s="175" customFormat="1" hidden="1">
      <c r="A223" s="398">
        <v>5</v>
      </c>
      <c r="B223" s="297" t="s">
        <v>154</v>
      </c>
      <c r="C223" s="294"/>
      <c r="D223" s="294"/>
      <c r="E223" s="294"/>
      <c r="F223" s="294"/>
      <c r="G223" s="294"/>
      <c r="H223" s="294"/>
      <c r="I223" s="294"/>
      <c r="J223" s="294"/>
      <c r="K223" s="294"/>
      <c r="L223" s="295"/>
      <c r="M223" s="177"/>
      <c r="N223" s="177"/>
    </row>
    <row r="224" spans="1:14" s="175" customFormat="1" ht="10.5" hidden="1" thickBot="1">
      <c r="A224" s="399">
        <v>6</v>
      </c>
      <c r="B224" s="298" t="s">
        <v>128</v>
      </c>
      <c r="C224" s="299"/>
      <c r="D224" s="299"/>
      <c r="E224" s="299"/>
      <c r="F224" s="299"/>
      <c r="G224" s="299"/>
      <c r="H224" s="299"/>
      <c r="I224" s="299"/>
      <c r="J224" s="299"/>
      <c r="K224" s="299"/>
      <c r="L224" s="300"/>
      <c r="M224" s="177"/>
      <c r="N224" s="177"/>
    </row>
    <row r="225" spans="1:12" s="175" customFormat="1" ht="11" hidden="1" thickTop="1" thickBot="1">
      <c r="A225" s="400"/>
      <c r="B225" s="301"/>
      <c r="C225" s="301"/>
      <c r="D225" s="301"/>
      <c r="E225" s="301"/>
      <c r="F225" s="301"/>
      <c r="G225" s="301"/>
      <c r="H225" s="301"/>
      <c r="I225" s="301"/>
      <c r="J225" s="301"/>
      <c r="K225" s="301"/>
      <c r="L225" s="301"/>
    </row>
    <row r="226" spans="1:12" s="175" customFormat="1" ht="13.5" hidden="1" thickTop="1" thickBot="1">
      <c r="A226" s="401"/>
      <c r="B226" s="301"/>
      <c r="C226" s="303" t="s">
        <v>2</v>
      </c>
      <c r="D226" s="301"/>
      <c r="E226" s="289" t="s">
        <v>3</v>
      </c>
      <c r="F226" s="301"/>
      <c r="G226" s="304" t="s">
        <v>21</v>
      </c>
      <c r="H226" s="305"/>
      <c r="I226" s="301"/>
      <c r="J226" s="301"/>
      <c r="K226" s="306" t="s">
        <v>110</v>
      </c>
      <c r="L226" s="301"/>
    </row>
    <row r="227" spans="1:12" s="175" customFormat="1" ht="13" hidden="1" thickTop="1">
      <c r="A227" s="401"/>
      <c r="B227" s="301"/>
      <c r="C227" s="307">
        <v>3500</v>
      </c>
      <c r="D227" s="391"/>
      <c r="E227" s="308"/>
      <c r="F227" s="301"/>
      <c r="G227" s="309"/>
      <c r="H227" s="310"/>
      <c r="I227" s="301"/>
      <c r="J227" s="301"/>
      <c r="K227" s="306"/>
      <c r="L227" s="301"/>
    </row>
    <row r="228" spans="1:12" s="175" customFormat="1" ht="12.5" hidden="1">
      <c r="A228" s="401"/>
      <c r="B228" s="301"/>
      <c r="C228" s="311">
        <v>4000</v>
      </c>
      <c r="D228" s="391"/>
      <c r="E228" s="312"/>
      <c r="F228" s="301"/>
      <c r="G228" s="313" t="s">
        <v>40</v>
      </c>
      <c r="H228" s="314" t="str">
        <f>IF(H30=0,"NO APLICA","ANUAL")</f>
        <v>NO APLICA</v>
      </c>
      <c r="I228" s="301"/>
      <c r="J228" s="301"/>
      <c r="K228" s="306" t="e">
        <f>IF(#REF!="ANUAL",1,IF(#REF!="SEMESTRAL",2,IF(#REF!="TRIMESTRAL",4,IF(#REF!="MENSUAL",12,1))))</f>
        <v>#REF!</v>
      </c>
      <c r="L228" s="301"/>
    </row>
    <row r="229" spans="1:12" s="175" customFormat="1" ht="12.5" hidden="1">
      <c r="A229" s="401"/>
      <c r="B229" s="301"/>
      <c r="C229" s="311">
        <v>4500</v>
      </c>
      <c r="D229" s="391"/>
      <c r="E229" s="312"/>
      <c r="F229" s="301"/>
      <c r="G229" s="314" t="s">
        <v>39</v>
      </c>
      <c r="H229" s="314" t="str">
        <f>IF(H31=0,"NO APLICA","SEMESTRAL")</f>
        <v>NO APLICA</v>
      </c>
      <c r="I229" s="301"/>
      <c r="J229" s="301"/>
      <c r="K229" s="301"/>
      <c r="L229" s="301"/>
    </row>
    <row r="230" spans="1:12" s="175" customFormat="1" ht="12.5" hidden="1">
      <c r="A230" s="401"/>
      <c r="B230" s="301"/>
      <c r="C230" s="311">
        <v>5500</v>
      </c>
      <c r="D230" s="391"/>
      <c r="E230" s="312">
        <v>0.1</v>
      </c>
      <c r="F230" s="301"/>
      <c r="G230" s="314" t="s">
        <v>109</v>
      </c>
      <c r="H230" s="314" t="str">
        <f>IF(H32=0,"NO APLICA","TRIMESTRAL")</f>
        <v>NO APLICA</v>
      </c>
      <c r="I230" s="301"/>
      <c r="J230" s="301"/>
      <c r="K230" s="301" t="s">
        <v>43</v>
      </c>
      <c r="L230" s="301"/>
    </row>
    <row r="231" spans="1:12" s="175" customFormat="1" ht="13" hidden="1" thickBot="1">
      <c r="A231" s="401"/>
      <c r="B231" s="301"/>
      <c r="C231" s="311">
        <v>6000</v>
      </c>
      <c r="D231" s="391"/>
      <c r="E231" s="312">
        <v>0.15</v>
      </c>
      <c r="F231" s="301"/>
      <c r="G231" s="314" t="s">
        <v>107</v>
      </c>
      <c r="H231" s="314" t="str">
        <f>IF(H33=0,"NO APLICA","MENSUAL")</f>
        <v>NO APLICA</v>
      </c>
      <c r="I231" s="301"/>
      <c r="J231" s="301"/>
      <c r="K231" s="315">
        <v>0.11</v>
      </c>
      <c r="L231" s="301"/>
    </row>
    <row r="232" spans="1:12" s="175" customFormat="1" ht="13.5" hidden="1" thickTop="1" thickBot="1">
      <c r="A232" s="401"/>
      <c r="B232" s="301"/>
      <c r="C232" s="311">
        <v>7000</v>
      </c>
      <c r="D232" s="391"/>
      <c r="E232" s="316">
        <v>0.2</v>
      </c>
      <c r="F232" s="301"/>
      <c r="G232" s="304" t="s">
        <v>97</v>
      </c>
      <c r="H232" s="305"/>
      <c r="I232" s="301"/>
      <c r="J232" s="301"/>
      <c r="K232" s="315">
        <v>0.16</v>
      </c>
      <c r="L232" s="301"/>
    </row>
    <row r="233" spans="1:12" s="175" customFormat="1" ht="13" hidden="1" thickTop="1">
      <c r="A233" s="401"/>
      <c r="B233" s="301"/>
      <c r="C233" s="311">
        <v>8000</v>
      </c>
      <c r="D233" s="391"/>
      <c r="E233" s="301"/>
      <c r="F233" s="301"/>
      <c r="G233" s="313" t="s">
        <v>39</v>
      </c>
      <c r="H233" s="313" t="s">
        <v>98</v>
      </c>
      <c r="I233" s="301"/>
      <c r="J233" s="301"/>
      <c r="K233" s="301"/>
      <c r="L233" s="301"/>
    </row>
    <row r="234" spans="1:12" s="175" customFormat="1" ht="12.5" hidden="1">
      <c r="A234" s="401"/>
      <c r="B234" s="301"/>
      <c r="C234" s="311">
        <v>9000</v>
      </c>
      <c r="D234" s="391"/>
      <c r="E234" s="301"/>
      <c r="F234" s="301"/>
      <c r="G234" s="314" t="s">
        <v>91</v>
      </c>
      <c r="H234" s="314" t="s">
        <v>99</v>
      </c>
      <c r="I234" s="301"/>
      <c r="J234" s="301"/>
      <c r="K234" s="301"/>
      <c r="L234" s="301"/>
    </row>
    <row r="235" spans="1:12" s="175" customFormat="1" ht="13" hidden="1" thickBot="1">
      <c r="A235" s="401"/>
      <c r="B235" s="301"/>
      <c r="C235" s="311">
        <v>12000</v>
      </c>
      <c r="D235" s="391"/>
      <c r="F235" s="301"/>
      <c r="G235" s="317"/>
      <c r="H235" s="317"/>
      <c r="I235" s="301"/>
      <c r="J235" s="301"/>
      <c r="K235" s="301"/>
      <c r="L235" s="301"/>
    </row>
    <row r="236" spans="1:12" s="175" customFormat="1" ht="13.5" hidden="1" thickTop="1" thickBot="1">
      <c r="A236" s="401"/>
      <c r="B236" s="301"/>
      <c r="C236" s="311">
        <v>15000</v>
      </c>
      <c r="D236" s="391"/>
      <c r="E236" s="301"/>
      <c r="F236" s="301"/>
      <c r="G236" s="304" t="s">
        <v>151</v>
      </c>
      <c r="H236" s="305"/>
      <c r="I236" s="301"/>
      <c r="J236" s="301"/>
      <c r="K236" s="301"/>
      <c r="L236" s="301"/>
    </row>
    <row r="237" spans="1:12" s="175" customFormat="1" ht="13" hidden="1" thickTop="1">
      <c r="A237" s="401"/>
      <c r="B237" s="301"/>
      <c r="C237" s="311">
        <v>25000</v>
      </c>
      <c r="D237" s="391"/>
      <c r="E237" s="301"/>
      <c r="F237" s="289" t="s">
        <v>102</v>
      </c>
      <c r="G237" s="313" t="s">
        <v>39</v>
      </c>
      <c r="H237" s="313" t="s">
        <v>98</v>
      </c>
      <c r="I237" s="301"/>
      <c r="J237" s="301"/>
      <c r="K237" s="301"/>
      <c r="L237" s="301"/>
    </row>
    <row r="238" spans="1:12" s="175" customFormat="1" ht="12.5" hidden="1">
      <c r="A238" s="401"/>
      <c r="B238" s="301"/>
      <c r="C238" s="311">
        <v>35000</v>
      </c>
      <c r="D238" s="391"/>
      <c r="E238" s="301"/>
      <c r="F238" s="308"/>
      <c r="G238" s="314" t="s">
        <v>91</v>
      </c>
      <c r="H238" s="314" t="s">
        <v>99</v>
      </c>
      <c r="I238" s="301"/>
      <c r="J238" s="301"/>
      <c r="K238" s="301"/>
      <c r="L238" s="301"/>
    </row>
    <row r="239" spans="1:12" s="175" customFormat="1" ht="13" hidden="1" thickBot="1">
      <c r="A239" s="401"/>
      <c r="B239" s="301"/>
      <c r="C239" s="311">
        <v>45000</v>
      </c>
      <c r="D239" s="391"/>
      <c r="E239" s="301"/>
      <c r="F239" s="308"/>
      <c r="G239" s="317"/>
      <c r="H239" s="317"/>
      <c r="I239" s="301"/>
      <c r="J239" s="301"/>
      <c r="K239" s="301"/>
      <c r="L239" s="301"/>
    </row>
    <row r="240" spans="1:12" s="175" customFormat="1" ht="13" hidden="1" thickTop="1">
      <c r="A240" s="401"/>
      <c r="B240" s="301"/>
      <c r="C240" s="311">
        <v>50000</v>
      </c>
      <c r="D240" s="391"/>
      <c r="E240" s="301"/>
      <c r="F240" s="308"/>
      <c r="G240" s="304" t="s">
        <v>291</v>
      </c>
      <c r="H240" s="305"/>
      <c r="I240" s="301"/>
      <c r="J240" s="301"/>
      <c r="K240" s="301"/>
      <c r="L240" s="301"/>
    </row>
    <row r="241" spans="1:12" s="175" customFormat="1" ht="12.5" hidden="1">
      <c r="A241" s="401"/>
      <c r="B241" s="301"/>
      <c r="C241" s="311">
        <v>75000</v>
      </c>
      <c r="D241" s="391"/>
      <c r="E241" s="301"/>
      <c r="F241" s="308"/>
      <c r="G241" s="313" t="s">
        <v>294</v>
      </c>
      <c r="H241" s="313">
        <v>0</v>
      </c>
      <c r="I241" s="301"/>
      <c r="J241" s="301"/>
      <c r="K241" s="301"/>
      <c r="L241" s="301"/>
    </row>
    <row r="242" spans="1:12" s="175" customFormat="1" ht="13" hidden="1" thickBot="1">
      <c r="A242" s="401"/>
      <c r="B242" s="301"/>
      <c r="C242" s="311">
        <v>100000</v>
      </c>
      <c r="D242" s="391"/>
      <c r="E242" s="301"/>
      <c r="F242" s="308"/>
      <c r="G242" s="317" t="s">
        <v>292</v>
      </c>
      <c r="H242" s="317">
        <v>1</v>
      </c>
      <c r="I242" s="301"/>
      <c r="J242" s="301"/>
      <c r="K242" s="301"/>
      <c r="L242" s="301"/>
    </row>
    <row r="243" spans="1:12" s="175" customFormat="1" ht="13.5" hidden="1" thickTop="1" thickBot="1">
      <c r="A243" s="401"/>
      <c r="B243" s="301"/>
      <c r="C243" s="311"/>
      <c r="D243" s="391"/>
      <c r="E243" s="301"/>
      <c r="F243" s="308"/>
      <c r="G243" s="317" t="s">
        <v>328</v>
      </c>
      <c r="H243" s="317">
        <v>1</v>
      </c>
      <c r="I243" s="301"/>
      <c r="J243" s="301"/>
      <c r="K243" s="301"/>
      <c r="L243" s="301"/>
    </row>
    <row r="244" spans="1:12" s="175" customFormat="1" ht="13.5" hidden="1" thickTop="1" thickBot="1">
      <c r="A244" s="401"/>
      <c r="B244" s="301"/>
      <c r="C244" s="311"/>
      <c r="D244" s="391"/>
      <c r="E244" s="301"/>
      <c r="F244" s="308"/>
      <c r="G244" s="317" t="s">
        <v>329</v>
      </c>
      <c r="H244" s="317">
        <v>0</v>
      </c>
      <c r="I244" s="301"/>
      <c r="J244" s="301"/>
      <c r="K244" s="301"/>
      <c r="L244" s="301"/>
    </row>
    <row r="245" spans="1:12" s="175" customFormat="1" ht="13" hidden="1" thickTop="1">
      <c r="A245" s="401"/>
      <c r="B245" s="301"/>
      <c r="C245" s="311"/>
      <c r="D245" s="391"/>
      <c r="E245" s="301"/>
      <c r="F245" s="308"/>
      <c r="G245" s="301"/>
      <c r="H245" s="301"/>
      <c r="I245" s="301"/>
      <c r="J245" s="301"/>
      <c r="K245" s="301"/>
      <c r="L245" s="301"/>
    </row>
    <row r="246" spans="1:12" s="175" customFormat="1" ht="12.5" hidden="1">
      <c r="A246" s="401"/>
      <c r="B246" s="301"/>
      <c r="C246" s="311">
        <v>300000</v>
      </c>
      <c r="D246" s="391"/>
      <c r="E246" s="301"/>
      <c r="F246" s="308"/>
      <c r="G246" s="301"/>
      <c r="H246" s="301"/>
      <c r="I246" s="301"/>
      <c r="J246" s="301"/>
      <c r="K246" s="301"/>
      <c r="L246" s="301"/>
    </row>
    <row r="247" spans="1:12" s="175" customFormat="1" ht="12.5" hidden="1">
      <c r="A247" s="401"/>
      <c r="B247" s="301"/>
      <c r="C247" s="311">
        <v>400000</v>
      </c>
      <c r="D247" s="391"/>
      <c r="E247" s="301"/>
      <c r="F247" s="308"/>
      <c r="G247" s="301"/>
      <c r="H247" s="301"/>
      <c r="I247" s="301"/>
      <c r="J247" s="301"/>
      <c r="K247" s="301"/>
      <c r="L247" s="301"/>
    </row>
    <row r="248" spans="1:12" s="175" customFormat="1" ht="12.5" hidden="1">
      <c r="A248" s="401"/>
      <c r="B248" s="301"/>
      <c r="C248" s="311">
        <v>500000</v>
      </c>
      <c r="D248" s="391"/>
      <c r="E248" s="301"/>
      <c r="F248" s="308"/>
      <c r="G248" s="301"/>
      <c r="H248" s="301"/>
      <c r="I248" s="301"/>
      <c r="J248" s="301"/>
      <c r="K248" s="301"/>
      <c r="L248" s="301"/>
    </row>
    <row r="249" spans="1:12" s="175" customFormat="1" ht="12.5" hidden="1">
      <c r="A249" s="401"/>
      <c r="B249" s="301"/>
      <c r="C249" s="311">
        <v>600000</v>
      </c>
      <c r="D249" s="391"/>
      <c r="E249" s="301"/>
      <c r="F249" s="308"/>
      <c r="G249" s="301"/>
      <c r="H249" s="301"/>
      <c r="I249" s="301"/>
      <c r="J249" s="301"/>
      <c r="K249" s="301"/>
      <c r="L249" s="301"/>
    </row>
    <row r="250" spans="1:12" s="175" customFormat="1" ht="12.5" hidden="1">
      <c r="A250" s="401"/>
      <c r="B250" s="301"/>
      <c r="C250" s="311">
        <v>700000</v>
      </c>
      <c r="D250" s="391"/>
      <c r="E250" s="301"/>
      <c r="F250" s="308"/>
      <c r="G250" s="301"/>
      <c r="H250" s="301"/>
      <c r="I250" s="301"/>
      <c r="J250" s="301"/>
      <c r="K250" s="301"/>
      <c r="L250" s="301"/>
    </row>
    <row r="251" spans="1:12" s="175" customFormat="1" ht="12.5" hidden="1">
      <c r="A251" s="401"/>
      <c r="B251" s="301"/>
      <c r="C251" s="311">
        <v>800000</v>
      </c>
      <c r="D251" s="391"/>
      <c r="E251" s="301"/>
      <c r="F251" s="308"/>
      <c r="G251" s="301"/>
      <c r="H251" s="301"/>
      <c r="I251" s="301"/>
      <c r="J251" s="301"/>
      <c r="K251" s="301"/>
      <c r="L251" s="301"/>
    </row>
    <row r="252" spans="1:12" s="175" customFormat="1" ht="12.5" hidden="1">
      <c r="A252" s="401"/>
      <c r="B252" s="301"/>
      <c r="C252" s="311">
        <v>900000</v>
      </c>
      <c r="D252" s="391"/>
      <c r="E252" s="301"/>
      <c r="F252" s="308"/>
      <c r="G252" s="301"/>
      <c r="H252" s="301"/>
      <c r="I252" s="301"/>
      <c r="J252" s="301"/>
      <c r="K252" s="301"/>
      <c r="L252" s="301"/>
    </row>
    <row r="253" spans="1:12" s="175" customFormat="1" ht="13" hidden="1" thickBot="1">
      <c r="A253" s="401"/>
      <c r="B253" s="301"/>
      <c r="C253" s="318">
        <v>1000000</v>
      </c>
      <c r="D253" s="391"/>
      <c r="E253" s="301"/>
      <c r="F253" s="308"/>
      <c r="G253" s="301"/>
      <c r="H253" s="301"/>
      <c r="I253" s="301"/>
      <c r="J253" s="301"/>
      <c r="K253" s="301"/>
      <c r="L253" s="301"/>
    </row>
    <row r="254" spans="1:12" s="175" customFormat="1" ht="13" hidden="1" thickTop="1">
      <c r="A254" s="401"/>
      <c r="B254" s="301"/>
      <c r="C254" s="319"/>
      <c r="D254" s="301"/>
      <c r="E254" s="301"/>
      <c r="F254" s="308"/>
      <c r="G254" s="301"/>
      <c r="H254" s="301"/>
      <c r="I254" s="301"/>
      <c r="J254" s="301"/>
      <c r="K254" s="301"/>
      <c r="L254" s="301"/>
    </row>
    <row r="255" spans="1:12" s="175" customFormat="1" ht="13" hidden="1" thickBot="1">
      <c r="A255" s="401"/>
      <c r="B255" s="301"/>
      <c r="C255" s="301"/>
      <c r="D255" s="301"/>
      <c r="E255" s="301"/>
      <c r="F255" s="312">
        <v>0</v>
      </c>
      <c r="G255" s="302"/>
      <c r="H255" s="301"/>
      <c r="I255" s="301"/>
      <c r="J255" s="301"/>
      <c r="K255" s="301"/>
      <c r="L255" s="301"/>
    </row>
    <row r="256" spans="1:12" s="175" customFormat="1" ht="13" hidden="1" thickTop="1">
      <c r="A256" s="401"/>
      <c r="B256" s="320" t="s">
        <v>135</v>
      </c>
      <c r="C256" s="289" t="s">
        <v>129</v>
      </c>
      <c r="D256" s="289" t="s">
        <v>129</v>
      </c>
      <c r="E256" s="301"/>
      <c r="F256" s="312">
        <v>0.15</v>
      </c>
      <c r="G256" s="321">
        <v>49400</v>
      </c>
      <c r="H256" s="301">
        <f>+Base</f>
        <v>49400</v>
      </c>
      <c r="I256" s="301"/>
      <c r="J256" s="301"/>
      <c r="K256" s="301"/>
      <c r="L256" s="301"/>
    </row>
    <row r="257" spans="1:12" s="175" customFormat="1" ht="12.5" hidden="1">
      <c r="A257" s="401"/>
      <c r="B257" s="322" t="s">
        <v>98</v>
      </c>
      <c r="C257" s="323">
        <v>20000</v>
      </c>
      <c r="D257" s="323">
        <v>20000</v>
      </c>
      <c r="E257" s="301"/>
      <c r="F257" s="312">
        <v>0.25</v>
      </c>
      <c r="G257" s="302"/>
      <c r="H257" s="301"/>
      <c r="I257" s="301"/>
      <c r="J257" s="301"/>
      <c r="K257" s="301"/>
      <c r="L257" s="301"/>
    </row>
    <row r="258" spans="1:12" s="175" customFormat="1" ht="13" hidden="1" thickBot="1">
      <c r="A258" s="401"/>
      <c r="B258" s="324" t="s">
        <v>99</v>
      </c>
      <c r="C258" s="323">
        <v>30000</v>
      </c>
      <c r="D258" s="323">
        <v>30000</v>
      </c>
      <c r="E258" s="301"/>
      <c r="F258" s="312">
        <v>0.5</v>
      </c>
      <c r="G258" s="302"/>
      <c r="H258" s="301"/>
      <c r="I258" s="301"/>
      <c r="J258" s="301"/>
      <c r="K258" s="301"/>
      <c r="L258" s="301"/>
    </row>
    <row r="259" spans="1:12" s="175" customFormat="1" ht="13" hidden="1" thickTop="1">
      <c r="A259" s="402"/>
      <c r="B259" s="301"/>
      <c r="C259" s="323">
        <v>40000</v>
      </c>
      <c r="D259" s="323">
        <v>40000</v>
      </c>
      <c r="E259" s="301"/>
      <c r="F259" s="312">
        <v>0.75</v>
      </c>
      <c r="G259" s="302"/>
      <c r="H259" s="301"/>
      <c r="I259" s="301"/>
      <c r="J259" s="301"/>
      <c r="K259" s="301"/>
      <c r="L259" s="301"/>
    </row>
    <row r="260" spans="1:12" s="175" customFormat="1" ht="13" hidden="1" thickBot="1">
      <c r="A260" s="402"/>
      <c r="B260" s="301"/>
      <c r="C260" s="324">
        <v>50000</v>
      </c>
      <c r="D260" s="324">
        <f>+IF(E7=H241," ",50000)</f>
        <v>50000</v>
      </c>
      <c r="E260" s="301"/>
      <c r="F260" s="316">
        <v>1</v>
      </c>
      <c r="G260" s="302"/>
      <c r="H260" s="301"/>
      <c r="I260" s="301"/>
      <c r="J260" s="301"/>
      <c r="K260" s="301"/>
      <c r="L260" s="301"/>
    </row>
    <row r="261" spans="1:12" s="175" customFormat="1" ht="11" hidden="1" thickTop="1" thickBot="1">
      <c r="A261" s="400"/>
      <c r="B261" s="301"/>
      <c r="C261" s="301"/>
      <c r="D261" s="301"/>
      <c r="E261" s="301"/>
      <c r="F261" s="301"/>
      <c r="G261" s="301"/>
      <c r="H261" s="301"/>
      <c r="I261" s="301"/>
      <c r="J261" s="301"/>
      <c r="K261" s="301"/>
      <c r="L261" s="301"/>
    </row>
    <row r="262" spans="1:12" s="175" customFormat="1" ht="10.5" hidden="1" thickTop="1">
      <c r="A262" s="396" t="s">
        <v>27</v>
      </c>
      <c r="B262" s="325" t="s">
        <v>29</v>
      </c>
      <c r="C262" s="291"/>
      <c r="D262" s="291"/>
      <c r="E262" s="291"/>
      <c r="F262" s="291"/>
      <c r="G262" s="291"/>
      <c r="H262" s="291"/>
      <c r="I262" s="292"/>
      <c r="J262" s="343"/>
      <c r="K262" s="301"/>
      <c r="L262" s="301"/>
    </row>
    <row r="263" spans="1:12" s="175" customFormat="1" hidden="1">
      <c r="A263" s="403" t="s">
        <v>40</v>
      </c>
      <c r="B263" s="326" t="s">
        <v>53</v>
      </c>
      <c r="C263" s="294"/>
      <c r="D263" s="294"/>
      <c r="E263" s="294"/>
      <c r="F263" s="294"/>
      <c r="G263" s="294"/>
      <c r="H263" s="294"/>
      <c r="I263" s="295"/>
      <c r="J263" s="294"/>
      <c r="K263" s="301"/>
      <c r="L263" s="301"/>
    </row>
    <row r="264" spans="1:12" s="175" customFormat="1" hidden="1">
      <c r="A264" s="404" t="s">
        <v>52</v>
      </c>
      <c r="B264" s="326" t="s">
        <v>54</v>
      </c>
      <c r="C264" s="294"/>
      <c r="D264" s="294"/>
      <c r="E264" s="294"/>
      <c r="F264" s="294"/>
      <c r="G264" s="294"/>
      <c r="H264" s="294"/>
      <c r="I264" s="295"/>
      <c r="J264" s="294"/>
      <c r="K264" s="301"/>
      <c r="L264" s="301"/>
    </row>
    <row r="265" spans="1:12" s="175" customFormat="1" ht="10.5" hidden="1" thickBot="1">
      <c r="A265" s="405" t="s">
        <v>38</v>
      </c>
      <c r="B265" s="327" t="s">
        <v>55</v>
      </c>
      <c r="C265" s="299"/>
      <c r="D265" s="299"/>
      <c r="E265" s="299"/>
      <c r="F265" s="299"/>
      <c r="G265" s="299"/>
      <c r="H265" s="299"/>
      <c r="I265" s="300"/>
      <c r="J265" s="294"/>
      <c r="K265" s="301"/>
      <c r="L265" s="301"/>
    </row>
    <row r="266" spans="1:12" ht="10.5" hidden="1" thickTop="1">
      <c r="A266" s="172">
        <v>0</v>
      </c>
    </row>
    <row r="267" spans="1:12" hidden="1">
      <c r="A267" s="172">
        <f>1+A266</f>
        <v>1</v>
      </c>
    </row>
    <row r="268" spans="1:12" hidden="1">
      <c r="A268" s="172">
        <f t="shared" ref="A268:A331" si="2">1+A267</f>
        <v>2</v>
      </c>
      <c r="C268" s="172" t="s">
        <v>108</v>
      </c>
      <c r="D268" s="172" t="s">
        <v>117</v>
      </c>
    </row>
    <row r="269" spans="1:12" hidden="1">
      <c r="A269" s="172">
        <f t="shared" si="2"/>
        <v>3</v>
      </c>
      <c r="C269" s="172" t="s">
        <v>100</v>
      </c>
      <c r="D269" s="172" t="str">
        <f>IF((IF(C31=""," ",D30))="H","M",IF((IF(C31="","",D30))="M","H",IF((IF(C31="","",D30))="","")))</f>
        <v/>
      </c>
    </row>
    <row r="270" spans="1:12" hidden="1">
      <c r="A270" s="172">
        <f t="shared" si="2"/>
        <v>4</v>
      </c>
      <c r="C270" s="172" t="s">
        <v>107</v>
      </c>
    </row>
    <row r="271" spans="1:12" hidden="1">
      <c r="A271" s="172">
        <f t="shared" si="2"/>
        <v>5</v>
      </c>
    </row>
    <row r="272" spans="1:12" ht="10.5" hidden="1" thickBot="1">
      <c r="A272" s="172">
        <f t="shared" si="2"/>
        <v>6</v>
      </c>
    </row>
    <row r="273" spans="1:7" ht="13" hidden="1" thickTop="1">
      <c r="A273" s="172">
        <f t="shared" si="2"/>
        <v>7</v>
      </c>
      <c r="C273" s="305" t="s">
        <v>1</v>
      </c>
      <c r="D273" s="270"/>
      <c r="G273" s="305" t="s">
        <v>157</v>
      </c>
    </row>
    <row r="274" spans="1:7" ht="12.5" hidden="1">
      <c r="A274" s="172">
        <f t="shared" si="2"/>
        <v>8</v>
      </c>
      <c r="C274" s="185">
        <v>200000</v>
      </c>
      <c r="D274" s="270"/>
      <c r="E274" s="172" t="s">
        <v>118</v>
      </c>
      <c r="G274" s="328" t="s">
        <v>99</v>
      </c>
    </row>
    <row r="275" spans="1:7" ht="12.5" hidden="1">
      <c r="A275" s="172">
        <f t="shared" si="2"/>
        <v>9</v>
      </c>
      <c r="C275" s="185">
        <v>300000</v>
      </c>
      <c r="D275" s="270"/>
      <c r="E275" s="172" t="s">
        <v>112</v>
      </c>
      <c r="G275" s="328">
        <v>10000</v>
      </c>
    </row>
    <row r="276" spans="1:7" ht="12.5" hidden="1">
      <c r="A276" s="172">
        <f t="shared" si="2"/>
        <v>10</v>
      </c>
      <c r="C276" s="185">
        <v>400000</v>
      </c>
      <c r="D276" s="270"/>
      <c r="E276" s="172" t="s">
        <v>113</v>
      </c>
      <c r="G276" s="328">
        <v>20000</v>
      </c>
    </row>
    <row r="277" spans="1:7" ht="12.5" hidden="1">
      <c r="A277" s="172">
        <f t="shared" si="2"/>
        <v>11</v>
      </c>
      <c r="C277" s="185">
        <v>500000</v>
      </c>
      <c r="D277" s="270"/>
      <c r="G277" s="328">
        <v>30000</v>
      </c>
    </row>
    <row r="278" spans="1:7" ht="12.5" hidden="1">
      <c r="A278" s="172">
        <f t="shared" si="2"/>
        <v>12</v>
      </c>
      <c r="C278" s="185">
        <v>600000</v>
      </c>
      <c r="D278" s="270"/>
      <c r="G278" s="328">
        <v>40000</v>
      </c>
    </row>
    <row r="279" spans="1:7" ht="12.5" hidden="1">
      <c r="A279" s="172">
        <f t="shared" si="2"/>
        <v>13</v>
      </c>
      <c r="C279" s="185">
        <v>700000</v>
      </c>
      <c r="D279" s="270"/>
      <c r="G279" s="328">
        <v>50000</v>
      </c>
    </row>
    <row r="280" spans="1:7" ht="12.5" hidden="1">
      <c r="A280" s="172">
        <f t="shared" si="2"/>
        <v>14</v>
      </c>
      <c r="C280" s="185">
        <v>800000</v>
      </c>
      <c r="D280" s="270"/>
      <c r="G280" s="328">
        <v>75000</v>
      </c>
    </row>
    <row r="281" spans="1:7" ht="12.5" hidden="1">
      <c r="A281" s="172">
        <f t="shared" si="2"/>
        <v>15</v>
      </c>
      <c r="C281" s="185">
        <v>1000000</v>
      </c>
      <c r="D281" s="270"/>
      <c r="G281" s="328">
        <v>100000</v>
      </c>
    </row>
    <row r="282" spans="1:7" ht="12.5" hidden="1">
      <c r="A282" s="172">
        <f t="shared" si="2"/>
        <v>16</v>
      </c>
      <c r="C282" s="185">
        <v>2000000</v>
      </c>
      <c r="D282" s="270"/>
      <c r="G282" s="328">
        <v>150000</v>
      </c>
    </row>
    <row r="283" spans="1:7" ht="12.5" hidden="1">
      <c r="A283" s="172">
        <f t="shared" si="2"/>
        <v>17</v>
      </c>
      <c r="C283" s="185">
        <v>3000000</v>
      </c>
      <c r="D283" s="270"/>
      <c r="G283" s="328">
        <v>200000</v>
      </c>
    </row>
    <row r="284" spans="1:7" ht="12.5" hidden="1">
      <c r="A284" s="172">
        <f t="shared" si="2"/>
        <v>18</v>
      </c>
      <c r="C284" s="185">
        <v>4000000</v>
      </c>
      <c r="D284" s="270"/>
      <c r="G284" s="328">
        <v>250000</v>
      </c>
    </row>
    <row r="285" spans="1:7" ht="12.5" hidden="1">
      <c r="A285" s="172">
        <f t="shared" si="2"/>
        <v>19</v>
      </c>
      <c r="C285" s="185">
        <v>5000000</v>
      </c>
      <c r="D285" s="270"/>
      <c r="G285" s="328">
        <v>300000</v>
      </c>
    </row>
    <row r="286" spans="1:7" ht="12.5" hidden="1">
      <c r="A286" s="172">
        <f t="shared" si="2"/>
        <v>20</v>
      </c>
      <c r="C286" s="185">
        <v>6000000</v>
      </c>
      <c r="D286" s="270"/>
      <c r="G286" s="328">
        <v>350000</v>
      </c>
    </row>
    <row r="287" spans="1:7" ht="12.5" hidden="1">
      <c r="A287" s="172">
        <f t="shared" si="2"/>
        <v>21</v>
      </c>
      <c r="C287" s="185">
        <v>7000000</v>
      </c>
      <c r="D287" s="270"/>
      <c r="G287" s="328">
        <v>400000</v>
      </c>
    </row>
    <row r="288" spans="1:7" ht="12.5" hidden="1">
      <c r="A288" s="172">
        <f t="shared" si="2"/>
        <v>22</v>
      </c>
      <c r="C288" s="185">
        <v>8000000</v>
      </c>
      <c r="D288" s="270"/>
      <c r="G288" s="328">
        <v>450000</v>
      </c>
    </row>
    <row r="289" spans="1:7" ht="12.5" hidden="1">
      <c r="A289" s="172">
        <f t="shared" si="2"/>
        <v>23</v>
      </c>
      <c r="C289" s="185">
        <v>9000000</v>
      </c>
      <c r="D289" s="270"/>
      <c r="G289" s="328">
        <v>500000</v>
      </c>
    </row>
    <row r="290" spans="1:7" ht="12.5" hidden="1">
      <c r="A290" s="172">
        <f t="shared" si="2"/>
        <v>24</v>
      </c>
      <c r="C290" s="185">
        <v>10000000</v>
      </c>
      <c r="D290" s="270"/>
      <c r="G290" s="328">
        <v>550000</v>
      </c>
    </row>
    <row r="291" spans="1:7" ht="12.5" hidden="1">
      <c r="A291" s="172">
        <f t="shared" si="2"/>
        <v>25</v>
      </c>
      <c r="C291" s="185">
        <v>20000000</v>
      </c>
      <c r="D291" s="270"/>
      <c r="G291" s="328">
        <v>600000</v>
      </c>
    </row>
    <row r="292" spans="1:7" ht="12.5" hidden="1">
      <c r="A292" s="172">
        <f t="shared" si="2"/>
        <v>26</v>
      </c>
      <c r="C292" s="185">
        <v>30000000</v>
      </c>
      <c r="D292" s="270"/>
      <c r="G292" s="328">
        <v>650000</v>
      </c>
    </row>
    <row r="293" spans="1:7" ht="12.5" hidden="1">
      <c r="A293" s="172">
        <f t="shared" si="2"/>
        <v>27</v>
      </c>
      <c r="C293" s="185">
        <v>40000000</v>
      </c>
      <c r="D293" s="270"/>
      <c r="G293" s="328">
        <v>700000</v>
      </c>
    </row>
    <row r="294" spans="1:7" ht="12.5" hidden="1">
      <c r="A294" s="172">
        <f t="shared" si="2"/>
        <v>28</v>
      </c>
      <c r="C294" s="185">
        <v>50000000</v>
      </c>
      <c r="D294" s="270"/>
      <c r="G294" s="328">
        <v>750000</v>
      </c>
    </row>
    <row r="295" spans="1:7" ht="12.5" hidden="1">
      <c r="A295" s="172">
        <f t="shared" si="2"/>
        <v>29</v>
      </c>
      <c r="C295" s="185">
        <v>70000000</v>
      </c>
      <c r="D295" s="270"/>
      <c r="G295" s="328">
        <v>800000</v>
      </c>
    </row>
    <row r="296" spans="1:7" ht="13" hidden="1" thickBot="1">
      <c r="A296" s="172">
        <f t="shared" si="2"/>
        <v>30</v>
      </c>
      <c r="C296" s="185">
        <v>100000000</v>
      </c>
      <c r="D296" s="270"/>
      <c r="G296" s="329">
        <v>850000</v>
      </c>
    </row>
    <row r="297" spans="1:7" ht="13" hidden="1" thickTop="1">
      <c r="A297" s="172">
        <f t="shared" si="2"/>
        <v>31</v>
      </c>
      <c r="C297" s="185">
        <v>125000000</v>
      </c>
      <c r="D297" s="270"/>
    </row>
    <row r="298" spans="1:7" ht="12.5" hidden="1">
      <c r="A298" s="172">
        <f t="shared" si="2"/>
        <v>32</v>
      </c>
      <c r="C298" s="185">
        <v>150000000</v>
      </c>
      <c r="D298" s="270"/>
    </row>
    <row r="299" spans="1:7" ht="12.5" hidden="1">
      <c r="A299" s="172">
        <f t="shared" si="2"/>
        <v>33</v>
      </c>
      <c r="C299" s="328"/>
      <c r="D299" s="270"/>
    </row>
    <row r="300" spans="1:7" ht="12.5" hidden="1">
      <c r="A300" s="172">
        <f t="shared" si="2"/>
        <v>34</v>
      </c>
      <c r="C300" s="328"/>
      <c r="D300" s="270"/>
    </row>
    <row r="301" spans="1:7" ht="12.5" hidden="1">
      <c r="A301" s="172">
        <f t="shared" si="2"/>
        <v>35</v>
      </c>
      <c r="C301" s="328"/>
      <c r="D301" s="270"/>
    </row>
    <row r="302" spans="1:7" ht="12.5" hidden="1">
      <c r="A302" s="172">
        <f t="shared" si="2"/>
        <v>36</v>
      </c>
      <c r="C302" s="328"/>
      <c r="D302" s="241"/>
    </row>
    <row r="303" spans="1:7" ht="12.5" hidden="1">
      <c r="A303" s="172">
        <f t="shared" si="2"/>
        <v>37</v>
      </c>
      <c r="C303" s="328"/>
      <c r="D303" s="241"/>
    </row>
    <row r="304" spans="1:7" ht="12.5" hidden="1">
      <c r="A304" s="172">
        <f t="shared" si="2"/>
        <v>38</v>
      </c>
      <c r="C304" s="328"/>
    </row>
    <row r="305" spans="1:7" ht="12.5" hidden="1">
      <c r="A305" s="172">
        <f t="shared" si="2"/>
        <v>39</v>
      </c>
      <c r="C305" s="328"/>
    </row>
    <row r="306" spans="1:7" ht="12.5" hidden="1">
      <c r="A306" s="172">
        <f t="shared" si="2"/>
        <v>40</v>
      </c>
      <c r="C306" s="328"/>
    </row>
    <row r="307" spans="1:7" ht="12.5" hidden="1">
      <c r="A307" s="172">
        <f t="shared" si="2"/>
        <v>41</v>
      </c>
      <c r="C307" s="328"/>
    </row>
    <row r="308" spans="1:7" ht="13" hidden="1" thickBot="1">
      <c r="A308" s="172">
        <f t="shared" si="2"/>
        <v>42</v>
      </c>
      <c r="C308" s="329"/>
    </row>
    <row r="309" spans="1:7" ht="13.5" hidden="1" thickTop="1" thickBot="1">
      <c r="A309" s="172">
        <f t="shared" si="2"/>
        <v>43</v>
      </c>
      <c r="C309" s="329"/>
    </row>
    <row r="310" spans="1:7" ht="10.5" hidden="1" thickTop="1">
      <c r="A310" s="172">
        <f t="shared" si="2"/>
        <v>44</v>
      </c>
    </row>
    <row r="311" spans="1:7" hidden="1">
      <c r="A311" s="172">
        <f t="shared" si="2"/>
        <v>45</v>
      </c>
    </row>
    <row r="312" spans="1:7" hidden="1">
      <c r="A312" s="172">
        <f t="shared" si="2"/>
        <v>46</v>
      </c>
    </row>
    <row r="313" spans="1:7" hidden="1">
      <c r="A313" s="172">
        <f t="shared" si="2"/>
        <v>47</v>
      </c>
    </row>
    <row r="314" spans="1:7" ht="10.5" hidden="1" thickBot="1">
      <c r="A314" s="172">
        <f t="shared" si="2"/>
        <v>48</v>
      </c>
    </row>
    <row r="315" spans="1:7" ht="10.5" hidden="1" thickTop="1">
      <c r="A315" s="172">
        <f t="shared" si="2"/>
        <v>49</v>
      </c>
      <c r="C315" s="289" t="s">
        <v>188</v>
      </c>
      <c r="D315" s="290" t="s">
        <v>10</v>
      </c>
    </row>
    <row r="316" spans="1:7" hidden="1">
      <c r="A316" s="172">
        <f t="shared" si="2"/>
        <v>50</v>
      </c>
      <c r="C316" s="296" t="s">
        <v>196</v>
      </c>
      <c r="D316" s="311">
        <v>3</v>
      </c>
      <c r="E316" s="172">
        <v>3</v>
      </c>
      <c r="F316" s="172">
        <v>2</v>
      </c>
      <c r="G316" s="423">
        <f>+F316-D316</f>
        <v>-1</v>
      </c>
    </row>
    <row r="317" spans="1:7" hidden="1">
      <c r="A317" s="172">
        <f t="shared" si="2"/>
        <v>51</v>
      </c>
      <c r="C317" s="296" t="s">
        <v>313</v>
      </c>
      <c r="D317" s="311">
        <v>2</v>
      </c>
      <c r="E317" s="172">
        <v>5</v>
      </c>
      <c r="F317" s="172">
        <v>3</v>
      </c>
      <c r="G317" s="423">
        <f t="shared" ref="G317:G347" si="3">+F317-D317</f>
        <v>1</v>
      </c>
    </row>
    <row r="318" spans="1:7" hidden="1">
      <c r="A318" s="172">
        <f t="shared" si="2"/>
        <v>52</v>
      </c>
      <c r="C318" s="296" t="s">
        <v>210</v>
      </c>
      <c r="D318" s="311">
        <v>3</v>
      </c>
      <c r="E318" s="172">
        <v>5</v>
      </c>
      <c r="F318" s="172">
        <v>3</v>
      </c>
      <c r="G318" s="423">
        <f t="shared" si="3"/>
        <v>0</v>
      </c>
    </row>
    <row r="319" spans="1:7" hidden="1">
      <c r="A319" s="172">
        <f t="shared" si="2"/>
        <v>53</v>
      </c>
      <c r="C319" s="296" t="s">
        <v>190</v>
      </c>
      <c r="D319" s="311">
        <v>1</v>
      </c>
      <c r="E319" s="172">
        <v>1</v>
      </c>
      <c r="F319" s="172">
        <v>1</v>
      </c>
      <c r="G319" s="423">
        <f t="shared" si="3"/>
        <v>0</v>
      </c>
    </row>
    <row r="320" spans="1:7" hidden="1">
      <c r="A320" s="172">
        <f t="shared" si="2"/>
        <v>54</v>
      </c>
      <c r="C320" s="296" t="s">
        <v>191</v>
      </c>
      <c r="D320" s="311">
        <v>2</v>
      </c>
      <c r="E320" s="172">
        <v>1</v>
      </c>
      <c r="F320" s="172">
        <v>1</v>
      </c>
      <c r="G320" s="423">
        <f t="shared" si="3"/>
        <v>-1</v>
      </c>
    </row>
    <row r="321" spans="1:7" hidden="1">
      <c r="A321" s="172">
        <f t="shared" si="2"/>
        <v>55</v>
      </c>
      <c r="C321" s="296" t="s">
        <v>205</v>
      </c>
      <c r="D321" s="311">
        <v>4</v>
      </c>
      <c r="E321" s="172">
        <v>4</v>
      </c>
      <c r="F321" s="172">
        <v>3</v>
      </c>
      <c r="G321" s="423">
        <f t="shared" si="3"/>
        <v>-1</v>
      </c>
    </row>
    <row r="322" spans="1:7" hidden="1">
      <c r="A322" s="172">
        <f t="shared" si="2"/>
        <v>56</v>
      </c>
      <c r="C322" s="296" t="s">
        <v>202</v>
      </c>
      <c r="D322" s="311">
        <v>4</v>
      </c>
      <c r="E322" s="172">
        <v>3</v>
      </c>
      <c r="F322" s="172">
        <v>2</v>
      </c>
      <c r="G322" s="423">
        <f t="shared" si="3"/>
        <v>-2</v>
      </c>
    </row>
    <row r="323" spans="1:7" hidden="1">
      <c r="A323" s="172">
        <f t="shared" si="2"/>
        <v>57</v>
      </c>
      <c r="C323" s="296" t="s">
        <v>199</v>
      </c>
      <c r="D323" s="311">
        <v>3</v>
      </c>
      <c r="E323" s="172">
        <v>3</v>
      </c>
      <c r="F323" s="172">
        <v>2</v>
      </c>
      <c r="G323" s="423">
        <f t="shared" si="3"/>
        <v>-1</v>
      </c>
    </row>
    <row r="324" spans="1:7" hidden="1">
      <c r="A324" s="172">
        <f t="shared" si="2"/>
        <v>58</v>
      </c>
      <c r="C324" s="296" t="s">
        <v>314</v>
      </c>
      <c r="D324" s="311">
        <v>5</v>
      </c>
      <c r="E324" s="172">
        <v>6</v>
      </c>
      <c r="F324" s="172">
        <v>4</v>
      </c>
      <c r="G324" s="423">
        <f t="shared" si="3"/>
        <v>-1</v>
      </c>
    </row>
    <row r="325" spans="1:7" hidden="1">
      <c r="A325" s="172">
        <f t="shared" si="2"/>
        <v>59</v>
      </c>
      <c r="C325" s="296" t="s">
        <v>204</v>
      </c>
      <c r="D325" s="311">
        <v>3</v>
      </c>
      <c r="E325" s="172">
        <v>3</v>
      </c>
      <c r="F325" s="172">
        <v>2</v>
      </c>
      <c r="G325" s="423">
        <f t="shared" si="3"/>
        <v>-1</v>
      </c>
    </row>
    <row r="326" spans="1:7" hidden="1">
      <c r="A326" s="172">
        <f t="shared" si="2"/>
        <v>60</v>
      </c>
      <c r="C326" s="296" t="s">
        <v>201</v>
      </c>
      <c r="D326" s="311">
        <v>5</v>
      </c>
      <c r="E326" s="172">
        <v>6</v>
      </c>
      <c r="F326" s="172">
        <v>4</v>
      </c>
      <c r="G326" s="423">
        <f t="shared" si="3"/>
        <v>-1</v>
      </c>
    </row>
    <row r="327" spans="1:7" hidden="1">
      <c r="A327" s="172">
        <f t="shared" si="2"/>
        <v>61</v>
      </c>
      <c r="C327" s="296" t="s">
        <v>197</v>
      </c>
      <c r="D327" s="311">
        <v>2</v>
      </c>
      <c r="E327" s="172">
        <v>3</v>
      </c>
      <c r="F327" s="172">
        <v>2</v>
      </c>
      <c r="G327" s="423">
        <f t="shared" si="3"/>
        <v>0</v>
      </c>
    </row>
    <row r="328" spans="1:7" hidden="1">
      <c r="A328" s="172">
        <f t="shared" si="2"/>
        <v>62</v>
      </c>
      <c r="C328" s="296" t="s">
        <v>192</v>
      </c>
      <c r="D328" s="311">
        <v>2</v>
      </c>
      <c r="E328" s="172">
        <v>1</v>
      </c>
      <c r="F328" s="172">
        <v>1</v>
      </c>
      <c r="G328" s="423">
        <f t="shared" si="3"/>
        <v>-1</v>
      </c>
    </row>
    <row r="329" spans="1:7" hidden="1">
      <c r="A329" s="172">
        <f t="shared" si="2"/>
        <v>63</v>
      </c>
      <c r="C329" s="296" t="s">
        <v>315</v>
      </c>
      <c r="D329" s="311">
        <v>3</v>
      </c>
      <c r="E329" s="172">
        <v>2</v>
      </c>
      <c r="F329" s="172">
        <v>1</v>
      </c>
      <c r="G329" s="423">
        <f t="shared" si="3"/>
        <v>-2</v>
      </c>
    </row>
    <row r="330" spans="1:7" hidden="1">
      <c r="A330" s="172">
        <f t="shared" si="2"/>
        <v>64</v>
      </c>
      <c r="C330" s="296" t="s">
        <v>198</v>
      </c>
      <c r="D330" s="311">
        <v>3</v>
      </c>
      <c r="E330" s="172">
        <v>3</v>
      </c>
      <c r="F330" s="172">
        <v>2</v>
      </c>
      <c r="G330" s="423">
        <f t="shared" si="3"/>
        <v>-1</v>
      </c>
    </row>
    <row r="331" spans="1:7" hidden="1">
      <c r="A331" s="172">
        <f t="shared" si="2"/>
        <v>65</v>
      </c>
      <c r="C331" s="296" t="s">
        <v>316</v>
      </c>
      <c r="D331" s="311">
        <v>3</v>
      </c>
      <c r="E331" s="172">
        <v>3</v>
      </c>
      <c r="F331" s="172">
        <v>2</v>
      </c>
      <c r="G331" s="423">
        <f t="shared" si="3"/>
        <v>-1</v>
      </c>
    </row>
    <row r="332" spans="1:7" hidden="1">
      <c r="A332" s="172">
        <f>1+A331</f>
        <v>66</v>
      </c>
      <c r="C332" s="296" t="s">
        <v>207</v>
      </c>
      <c r="D332" s="311">
        <v>4</v>
      </c>
      <c r="E332" s="172">
        <v>5</v>
      </c>
      <c r="F332" s="172">
        <v>3</v>
      </c>
      <c r="G332" s="423">
        <f t="shared" si="3"/>
        <v>-1</v>
      </c>
    </row>
    <row r="333" spans="1:7" hidden="1">
      <c r="A333" s="172">
        <f>1+A332</f>
        <v>67</v>
      </c>
      <c r="C333" s="296" t="s">
        <v>195</v>
      </c>
      <c r="D333" s="311">
        <v>2</v>
      </c>
      <c r="E333" s="172">
        <v>2</v>
      </c>
      <c r="F333" s="172">
        <v>1</v>
      </c>
      <c r="G333" s="423">
        <f t="shared" si="3"/>
        <v>-1</v>
      </c>
    </row>
    <row r="334" spans="1:7" hidden="1">
      <c r="A334" s="172">
        <f>1+A333</f>
        <v>68</v>
      </c>
      <c r="C334" s="296" t="s">
        <v>317</v>
      </c>
      <c r="D334" s="311">
        <v>4</v>
      </c>
      <c r="E334" s="172">
        <v>4</v>
      </c>
      <c r="F334" s="172">
        <v>3</v>
      </c>
      <c r="G334" s="423">
        <f t="shared" si="3"/>
        <v>-1</v>
      </c>
    </row>
    <row r="335" spans="1:7" hidden="1">
      <c r="A335" s="172">
        <f>1+A334</f>
        <v>69</v>
      </c>
      <c r="C335" s="296" t="s">
        <v>186</v>
      </c>
      <c r="D335" s="311">
        <v>1</v>
      </c>
      <c r="E335" s="172">
        <v>1</v>
      </c>
      <c r="F335" s="172">
        <v>1</v>
      </c>
      <c r="G335" s="423">
        <f t="shared" si="3"/>
        <v>0</v>
      </c>
    </row>
    <row r="336" spans="1:7" hidden="1">
      <c r="A336" s="172">
        <f t="shared" ref="A336:A356" si="4">1+A335</f>
        <v>70</v>
      </c>
      <c r="C336" s="296" t="s">
        <v>193</v>
      </c>
      <c r="D336" s="311">
        <v>2</v>
      </c>
      <c r="E336" s="172">
        <v>2</v>
      </c>
      <c r="F336" s="172">
        <v>1</v>
      </c>
      <c r="G336" s="423">
        <f t="shared" si="3"/>
        <v>-1</v>
      </c>
    </row>
    <row r="337" spans="1:7" hidden="1">
      <c r="A337" s="172">
        <f t="shared" si="4"/>
        <v>71</v>
      </c>
      <c r="C337" s="296" t="s">
        <v>318</v>
      </c>
      <c r="D337" s="311">
        <v>3</v>
      </c>
      <c r="E337" s="172">
        <v>5</v>
      </c>
      <c r="F337" s="172">
        <v>3</v>
      </c>
      <c r="G337" s="423">
        <f t="shared" si="3"/>
        <v>0</v>
      </c>
    </row>
    <row r="338" spans="1:7" hidden="1">
      <c r="A338" s="172">
        <f t="shared" si="4"/>
        <v>72</v>
      </c>
      <c r="C338" s="296" t="s">
        <v>206</v>
      </c>
      <c r="D338" s="311">
        <v>4</v>
      </c>
      <c r="E338" s="172">
        <v>5</v>
      </c>
      <c r="F338" s="172">
        <v>1</v>
      </c>
      <c r="G338" s="423">
        <f t="shared" si="3"/>
        <v>-3</v>
      </c>
    </row>
    <row r="339" spans="1:7" hidden="1">
      <c r="A339" s="172">
        <f t="shared" si="4"/>
        <v>73</v>
      </c>
      <c r="C339" s="296" t="s">
        <v>319</v>
      </c>
      <c r="D339" s="311">
        <v>4</v>
      </c>
      <c r="E339" s="172">
        <v>5</v>
      </c>
      <c r="F339" s="172">
        <v>3</v>
      </c>
      <c r="G339" s="423">
        <f t="shared" si="3"/>
        <v>-1</v>
      </c>
    </row>
    <row r="340" spans="1:7" hidden="1">
      <c r="A340" s="172">
        <f t="shared" si="4"/>
        <v>74</v>
      </c>
      <c r="C340" s="296" t="s">
        <v>209</v>
      </c>
      <c r="D340" s="311">
        <v>3</v>
      </c>
      <c r="E340" s="172">
        <v>5</v>
      </c>
      <c r="F340" s="172">
        <v>3</v>
      </c>
      <c r="G340" s="423">
        <f t="shared" si="3"/>
        <v>0</v>
      </c>
    </row>
    <row r="341" spans="1:7" hidden="1">
      <c r="A341" s="172">
        <f t="shared" si="4"/>
        <v>75</v>
      </c>
      <c r="C341" s="296" t="s">
        <v>208</v>
      </c>
      <c r="D341" s="311">
        <v>4</v>
      </c>
      <c r="E341" s="172">
        <v>5</v>
      </c>
      <c r="F341" s="172">
        <v>3</v>
      </c>
      <c r="G341" s="423">
        <f t="shared" si="3"/>
        <v>-1</v>
      </c>
    </row>
    <row r="342" spans="1:7" hidden="1">
      <c r="A342" s="172">
        <f t="shared" si="4"/>
        <v>76</v>
      </c>
      <c r="C342" s="296" t="s">
        <v>187</v>
      </c>
      <c r="D342" s="311">
        <v>2</v>
      </c>
      <c r="E342" s="172">
        <v>1</v>
      </c>
      <c r="F342" s="172">
        <v>1</v>
      </c>
      <c r="G342" s="423">
        <f t="shared" si="3"/>
        <v>-1</v>
      </c>
    </row>
    <row r="343" spans="1:7" hidden="1">
      <c r="A343" s="172">
        <f t="shared" si="4"/>
        <v>77</v>
      </c>
      <c r="C343" s="296" t="s">
        <v>203</v>
      </c>
      <c r="D343" s="311">
        <v>4</v>
      </c>
      <c r="E343" s="172">
        <v>4</v>
      </c>
      <c r="F343" s="172">
        <v>3</v>
      </c>
      <c r="G343" s="423">
        <f t="shared" si="3"/>
        <v>-1</v>
      </c>
    </row>
    <row r="344" spans="1:7" hidden="1">
      <c r="A344" s="172">
        <f t="shared" si="4"/>
        <v>78</v>
      </c>
      <c r="C344" s="296" t="s">
        <v>194</v>
      </c>
      <c r="D344" s="311">
        <v>1</v>
      </c>
      <c r="E344" s="172">
        <v>2</v>
      </c>
      <c r="F344" s="172">
        <v>1</v>
      </c>
      <c r="G344" s="423">
        <f t="shared" si="3"/>
        <v>0</v>
      </c>
    </row>
    <row r="345" spans="1:7" hidden="1">
      <c r="A345" s="172">
        <f t="shared" si="4"/>
        <v>79</v>
      </c>
      <c r="C345" s="296" t="s">
        <v>189</v>
      </c>
      <c r="D345" s="311">
        <v>2</v>
      </c>
      <c r="E345" s="172">
        <v>1</v>
      </c>
      <c r="F345" s="172">
        <v>1</v>
      </c>
      <c r="G345" s="423">
        <f t="shared" si="3"/>
        <v>-1</v>
      </c>
    </row>
    <row r="346" spans="1:7" hidden="1">
      <c r="A346" s="172">
        <f t="shared" si="4"/>
        <v>80</v>
      </c>
      <c r="C346" s="296" t="s">
        <v>320</v>
      </c>
      <c r="D346" s="311">
        <v>1</v>
      </c>
      <c r="E346" s="172">
        <v>1</v>
      </c>
      <c r="F346" s="172">
        <v>1</v>
      </c>
      <c r="G346" s="423">
        <f t="shared" si="3"/>
        <v>0</v>
      </c>
    </row>
    <row r="347" spans="1:7" hidden="1">
      <c r="A347" s="172">
        <f t="shared" si="4"/>
        <v>81</v>
      </c>
      <c r="C347" s="296" t="s">
        <v>200</v>
      </c>
      <c r="D347" s="311">
        <v>3</v>
      </c>
      <c r="E347" s="172">
        <v>3</v>
      </c>
      <c r="F347" s="172">
        <v>2</v>
      </c>
      <c r="G347" s="423">
        <f t="shared" si="3"/>
        <v>-1</v>
      </c>
    </row>
    <row r="348" spans="1:7" hidden="1">
      <c r="A348" s="172">
        <f t="shared" si="4"/>
        <v>82</v>
      </c>
    </row>
    <row r="349" spans="1:7" hidden="1">
      <c r="A349" s="172">
        <f t="shared" si="4"/>
        <v>83</v>
      </c>
    </row>
    <row r="350" spans="1:7" hidden="1">
      <c r="A350" s="172">
        <f t="shared" si="4"/>
        <v>84</v>
      </c>
    </row>
    <row r="351" spans="1:7" hidden="1">
      <c r="A351" s="172">
        <f t="shared" si="4"/>
        <v>85</v>
      </c>
    </row>
    <row r="352" spans="1:7" hidden="1">
      <c r="A352" s="172">
        <f t="shared" si="4"/>
        <v>86</v>
      </c>
    </row>
    <row r="353" spans="1:1" hidden="1">
      <c r="A353" s="172">
        <f t="shared" si="4"/>
        <v>87</v>
      </c>
    </row>
    <row r="354" spans="1:1" hidden="1">
      <c r="A354" s="172">
        <f t="shared" si="4"/>
        <v>88</v>
      </c>
    </row>
    <row r="355" spans="1:1" hidden="1">
      <c r="A355" s="172">
        <f t="shared" si="4"/>
        <v>89</v>
      </c>
    </row>
    <row r="356" spans="1:1" hidden="1">
      <c r="A356" s="172">
        <f t="shared" si="4"/>
        <v>90</v>
      </c>
    </row>
    <row r="357" spans="1:1" hidden="1">
      <c r="A357" s="172">
        <f>1+A356</f>
        <v>91</v>
      </c>
    </row>
    <row r="358" spans="1:1" hidden="1">
      <c r="A358" s="172">
        <f>1+A357</f>
        <v>92</v>
      </c>
    </row>
    <row r="359" spans="1:1" hidden="1">
      <c r="A359" s="172">
        <f>1+A358</f>
        <v>93</v>
      </c>
    </row>
    <row r="360" spans="1:1" hidden="1">
      <c r="A360" s="172">
        <f t="shared" ref="A360:A366" si="5">1+A359</f>
        <v>94</v>
      </c>
    </row>
    <row r="361" spans="1:1" hidden="1">
      <c r="A361" s="172">
        <f t="shared" si="5"/>
        <v>95</v>
      </c>
    </row>
    <row r="362" spans="1:1" hidden="1">
      <c r="A362" s="172">
        <f t="shared" si="5"/>
        <v>96</v>
      </c>
    </row>
    <row r="363" spans="1:1" hidden="1">
      <c r="A363" s="172">
        <f t="shared" si="5"/>
        <v>97</v>
      </c>
    </row>
    <row r="364" spans="1:1" hidden="1">
      <c r="A364" s="172">
        <f t="shared" si="5"/>
        <v>98</v>
      </c>
    </row>
    <row r="365" spans="1:1" hidden="1">
      <c r="A365" s="172">
        <f t="shared" si="5"/>
        <v>99</v>
      </c>
    </row>
    <row r="366" spans="1:1" hidden="1">
      <c r="A366" s="172">
        <f t="shared" si="5"/>
        <v>100</v>
      </c>
    </row>
    <row r="367" spans="1:1" hidden="1">
      <c r="A367" s="172"/>
    </row>
  </sheetData>
  <sheetProtection algorithmName="SHA-512" hashValue="5W3Cf0ZV/AIylT28B3DHd8VWya/3DCOY9ieyOx80c0S5hvPIEv1Vs/R/xSl4JESTNQEuPfEHwvHi0OOpENvIMw==" saltValue="OaZf9DMA52Te4j0+PV4sYA==" spinCount="100000" sheet="1" selectLockedCells="1"/>
  <sortState ref="C314:D345">
    <sortCondition ref="C314:C345"/>
  </sortState>
  <dataConsolidate/>
  <mergeCells count="18">
    <mergeCell ref="B6:C6"/>
    <mergeCell ref="F23:H24"/>
    <mergeCell ref="M11:T11"/>
    <mergeCell ref="M80:P80"/>
    <mergeCell ref="L18:T19"/>
    <mergeCell ref="C42:E42"/>
    <mergeCell ref="I39:J41"/>
    <mergeCell ref="B15:C15"/>
    <mergeCell ref="F22:H22"/>
    <mergeCell ref="B44:F44"/>
    <mergeCell ref="B45:E46"/>
    <mergeCell ref="O93:P93"/>
    <mergeCell ref="O91:P91"/>
    <mergeCell ref="M105:T105"/>
    <mergeCell ref="M106:T107"/>
    <mergeCell ref="N97:P97"/>
    <mergeCell ref="M95:N95"/>
    <mergeCell ref="O92:P92"/>
  </mergeCells>
  <phoneticPr fontId="0" type="noConversion"/>
  <conditionalFormatting sqref="B32:E37 B31:D31">
    <cfRule type="expression" dxfId="1" priority="2">
      <formula>$D$9="INDIVIDUAL"</formula>
    </cfRule>
  </conditionalFormatting>
  <conditionalFormatting sqref="E31">
    <cfRule type="expression" dxfId="0" priority="1">
      <formula>$D$9="INDIVIDUAL"</formula>
    </cfRule>
  </conditionalFormatting>
  <dataValidations count="21">
    <dataValidation type="list" allowBlank="1" showInputMessage="1" showErrorMessage="1" sqref="E32">
      <formula1>A266:A290</formula1>
    </dataValidation>
    <dataValidation type="list" allowBlank="1" showInputMessage="1" showErrorMessage="1" sqref="E33">
      <formula1>A266:A290</formula1>
    </dataValidation>
    <dataValidation type="list" allowBlank="1" showInputMessage="1" showErrorMessage="1" sqref="E34">
      <formula1>A266:A290</formula1>
    </dataValidation>
    <dataValidation type="list" allowBlank="1" showInputMessage="1" showErrorMessage="1" sqref="D18 D20:D21">
      <formula1>$H$233:$H$234</formula1>
    </dataValidation>
    <dataValidation type="list" allowBlank="1" showInputMessage="1" showErrorMessage="1" sqref="D22">
      <formula1>$A$263:$A$265</formula1>
    </dataValidation>
    <dataValidation type="list" allowBlank="1" showInputMessage="1" showErrorMessage="1" sqref="E35:E37">
      <formula1>$A$266:$A$290</formula1>
    </dataValidation>
    <dataValidation type="list" operator="notBetween" allowBlank="1" showInputMessage="1" showErrorMessage="1" errorTitle="AVISO" error="SUMA ASEGURADA FUERA DE RANGO" sqref="D10">
      <formula1>$C$274:$C$296</formula1>
    </dataValidation>
    <dataValidation type="list" allowBlank="1" showInputMessage="1" showErrorMessage="1" sqref="D30:D37">
      <formula1>$C$269:$C$270</formula1>
    </dataValidation>
    <dataValidation type="list" operator="lessThanOrEqual" allowBlank="1" showInputMessage="1" showErrorMessage="1" errorTitle="AVISO" error="COASEGURO FUERA DE RANGO" sqref="D12">
      <formula1>$E$230:$E$232</formula1>
    </dataValidation>
    <dataValidation type="list" allowBlank="1" showInputMessage="1" showErrorMessage="1" sqref="D9">
      <formula1>$E$275:$E$276</formula1>
    </dataValidation>
    <dataValidation type="list" allowBlank="1" showInputMessage="1" showErrorMessage="1" sqref="D16">
      <formula1>$B$257:$B$258</formula1>
    </dataValidation>
    <dataValidation type="list" allowBlank="1" showInputMessage="1" showErrorMessage="1" sqref="D25">
      <formula1>$F$255:$F$260</formula1>
    </dataValidation>
    <dataValidation type="list" operator="lessThanOrEqual" allowBlank="1" showInputMessage="1" showErrorMessage="1" errorTitle="AVISO" error="DEDUCIBLE FUERA DE RANGO" sqref="D15">
      <formula1>$H$237:$H$238</formula1>
    </dataValidation>
    <dataValidation type="list" allowBlank="1" showInputMessage="1" showErrorMessage="1" sqref="D19">
      <formula1>$G$274:$G$281</formula1>
    </dataValidation>
    <dataValidation type="list" operator="lessThanOrEqual" allowBlank="1" showInputMessage="1" showErrorMessage="1" errorTitle="AVISO" error="DEDUCIBLE FUERA DE RANGO" sqref="D13">
      <formula1>$C$316:$C$347</formula1>
    </dataValidation>
    <dataValidation type="list" allowBlank="1" showInputMessage="1" showErrorMessage="1" sqref="D7">
      <formula1>$G$241:$G$242</formula1>
    </dataValidation>
    <dataValidation type="list" operator="lessThanOrEqual" allowBlank="1" showInputMessage="1" showErrorMessage="1" errorTitle="AVISO" error="DEDUCIBLE FUERA DE RANGO" sqref="D11">
      <formula1>$C$235:$C$242</formula1>
    </dataValidation>
    <dataValidation type="list" operator="lessThanOrEqual" allowBlank="1" showInputMessage="1" showErrorMessage="1" errorTitle="AVISO" error="COASEGURO FUERA DE RANGO" sqref="D17">
      <formula1>IF($D$7=$G$241,$C$258:$C$259,$C$258:$C$260)</formula1>
    </dataValidation>
    <dataValidation type="list" allowBlank="1" showInputMessage="1" showErrorMessage="1" sqref="D8">
      <formula1>$G$243:$G$244</formula1>
    </dataValidation>
    <dataValidation type="list" allowBlank="1" showInputMessage="1" showErrorMessage="1" sqref="E30">
      <formula1>IF($D$7="NUEVA",$A$266:$A$330,$A$266:$A$366)</formula1>
    </dataValidation>
    <dataValidation type="list" allowBlank="1" showInputMessage="1" showErrorMessage="1" sqref="E31">
      <formula1>IF($D$7="NUEVA",$A$284:$A$366,$A$284:$A$366)</formula1>
    </dataValidation>
  </dataValidations>
  <printOptions horizontalCentered="1" verticalCentered="1"/>
  <pageMargins left="0.39370078740157483" right="0.39370078740157483" top="0.39370078740157483" bottom="0.39370078740157483" header="0" footer="0"/>
  <pageSetup scale="84" orientation="landscape" r:id="rId1"/>
  <headerFooter alignWithMargins="0"/>
  <cellWatches>
    <cellWatch r="D10"/>
  </cellWatche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indexed="47"/>
    <pageSetUpPr fitToPage="1"/>
  </sheetPr>
  <dimension ref="A1:N247"/>
  <sheetViews>
    <sheetView showGridLines="0" showRowColHeaders="0" zoomScaleNormal="100" zoomScaleSheetLayoutView="80" workbookViewId="0">
      <selection activeCell="B106" sqref="B106"/>
    </sheetView>
  </sheetViews>
  <sheetFormatPr baseColWidth="10" defaultColWidth="0" defaultRowHeight="10" zeroHeight="1"/>
  <cols>
    <col min="1" max="1" width="3.453125" style="172" customWidth="1"/>
    <col min="2" max="2" width="3" style="173" customWidth="1"/>
    <col min="3" max="3" width="14.81640625" style="172" customWidth="1"/>
    <col min="4" max="4" width="14" style="172" customWidth="1"/>
    <col min="5" max="5" width="14.54296875" style="172" customWidth="1"/>
    <col min="6" max="6" width="19.26953125" style="172" customWidth="1"/>
    <col min="7" max="7" width="13.7265625" style="172" customWidth="1"/>
    <col min="8" max="8" width="18.81640625" style="172" customWidth="1"/>
    <col min="9" max="9" width="15.453125" style="172" customWidth="1"/>
    <col min="10" max="10" width="12.26953125" style="172" customWidth="1"/>
    <col min="11" max="11" width="17.453125" style="172" customWidth="1"/>
    <col min="12" max="12" width="13.54296875" style="172" bestFit="1" customWidth="1"/>
    <col min="13" max="16384" width="0" style="172" hidden="1"/>
  </cols>
  <sheetData>
    <row r="1" spans="1:11" s="208" customFormat="1" ht="9" customHeight="1">
      <c r="B1" s="332"/>
      <c r="C1" s="332"/>
      <c r="D1" s="332"/>
      <c r="E1" s="332"/>
      <c r="F1" s="332"/>
      <c r="G1" s="332"/>
      <c r="H1" s="332"/>
      <c r="I1" s="332"/>
      <c r="J1" s="332"/>
      <c r="K1" s="333"/>
    </row>
    <row r="2" spans="1:11" s="208" customFormat="1" ht="9">
      <c r="B2" s="332"/>
      <c r="C2" s="332"/>
      <c r="D2" s="332"/>
      <c r="E2" s="332"/>
      <c r="F2" s="332"/>
      <c r="G2" s="332"/>
      <c r="H2" s="332"/>
      <c r="I2" s="332"/>
      <c r="J2" s="332"/>
      <c r="K2" s="332"/>
    </row>
    <row r="3" spans="1:11" s="208" customFormat="1" ht="9">
      <c r="B3" s="332"/>
      <c r="C3" s="332"/>
      <c r="D3" s="332"/>
      <c r="E3" s="332"/>
      <c r="F3" s="332"/>
      <c r="G3" s="332"/>
      <c r="H3" s="332"/>
      <c r="I3" s="332"/>
      <c r="J3" s="332"/>
      <c r="K3" s="332"/>
    </row>
    <row r="4" spans="1:11" s="208" customFormat="1" ht="9">
      <c r="B4" s="332"/>
      <c r="C4" s="332"/>
      <c r="D4" s="332"/>
      <c r="E4" s="332"/>
      <c r="F4" s="332"/>
      <c r="G4" s="332"/>
      <c r="H4" s="332"/>
      <c r="I4" s="332"/>
      <c r="J4" s="332"/>
      <c r="K4" s="332"/>
    </row>
    <row r="5" spans="1:11" s="233" customFormat="1" ht="15.75" customHeight="1">
      <c r="B5" s="229"/>
      <c r="C5" s="229"/>
      <c r="D5" s="229"/>
      <c r="E5" s="229"/>
      <c r="F5" s="229"/>
      <c r="G5" s="229"/>
      <c r="H5" s="229"/>
      <c r="I5" s="229"/>
      <c r="J5" s="229"/>
      <c r="K5" s="229"/>
    </row>
    <row r="6" spans="1:11" s="208" customFormat="1" ht="11.5">
      <c r="B6" s="332"/>
      <c r="C6" s="334"/>
      <c r="D6" s="334"/>
      <c r="E6" s="334"/>
      <c r="F6" s="335"/>
      <c r="G6" s="335"/>
      <c r="H6" s="332"/>
      <c r="I6" s="332"/>
      <c r="J6" s="332"/>
      <c r="K6" s="379">
        <f ca="1">TODAY()</f>
        <v>44991</v>
      </c>
    </row>
    <row r="7" spans="1:11" s="208" customFormat="1" ht="15">
      <c r="B7" s="355" t="str">
        <f>"Apreciable  "&amp;COTIZACION!C30</f>
        <v xml:space="preserve">Apreciable  </v>
      </c>
      <c r="C7" s="167"/>
      <c r="D7" s="334"/>
      <c r="E7" s="334"/>
      <c r="F7" s="335"/>
      <c r="G7" s="335"/>
      <c r="H7" s="332"/>
      <c r="I7" s="332"/>
      <c r="J7" s="332"/>
      <c r="K7" s="192"/>
    </row>
    <row r="8" spans="1:11" s="208" customFormat="1" ht="3" customHeight="1">
      <c r="B8" s="167"/>
      <c r="C8" s="167"/>
      <c r="D8" s="334"/>
      <c r="E8" s="334"/>
      <c r="F8" s="335"/>
      <c r="G8" s="335"/>
      <c r="H8" s="332"/>
      <c r="I8" s="332"/>
      <c r="J8" s="332"/>
      <c r="K8" s="192"/>
    </row>
    <row r="9" spans="1:11" s="208" customFormat="1" ht="10.5" customHeight="1">
      <c r="B9" s="801" t="str">
        <f>+"Agradecemos de antemano su preferencia y esperamos que la presente propuesta de Gastos Médicos "&amp;COTIZACION!D9&amp;" cumpla sus expectativas."</f>
        <v>Agradecemos de antemano su preferencia y esperamos que la presente propuesta de Gastos Médicos INDIVIDUAL cumpla sus expectativas.</v>
      </c>
      <c r="C9" s="801"/>
      <c r="D9" s="801"/>
      <c r="E9" s="801"/>
      <c r="F9" s="801"/>
      <c r="G9" s="801"/>
      <c r="H9" s="801"/>
      <c r="I9" s="801"/>
      <c r="J9" s="801"/>
      <c r="K9" s="801"/>
    </row>
    <row r="10" spans="1:11" s="208" customFormat="1" ht="4.5" customHeight="1">
      <c r="B10" s="801"/>
      <c r="C10" s="801"/>
      <c r="D10" s="801"/>
      <c r="E10" s="801"/>
      <c r="F10" s="801"/>
      <c r="G10" s="801"/>
      <c r="H10" s="801"/>
      <c r="I10" s="801"/>
      <c r="J10" s="801"/>
      <c r="K10" s="801"/>
    </row>
    <row r="11" spans="1:11" s="208" customFormat="1" ht="9">
      <c r="B11" s="332"/>
      <c r="C11" s="336"/>
      <c r="D11" s="336"/>
      <c r="E11" s="337"/>
      <c r="F11" s="337"/>
      <c r="G11" s="337"/>
      <c r="H11" s="332"/>
      <c r="I11" s="332"/>
      <c r="J11" s="332"/>
      <c r="K11" s="332"/>
    </row>
    <row r="12" spans="1:11" s="208" customFormat="1" ht="15.75" customHeight="1">
      <c r="A12" s="172"/>
      <c r="B12" s="806" t="s">
        <v>58</v>
      </c>
      <c r="C12" s="806"/>
      <c r="D12" s="806"/>
      <c r="E12" s="806"/>
      <c r="F12" s="806"/>
      <c r="G12" s="806"/>
      <c r="H12" s="806"/>
      <c r="I12" s="806"/>
      <c r="J12" s="806"/>
      <c r="K12" s="806"/>
    </row>
    <row r="13" spans="1:11" ht="12.75" customHeight="1">
      <c r="A13" s="208"/>
      <c r="B13" s="178" t="s">
        <v>59</v>
      </c>
      <c r="C13" s="167" t="s">
        <v>114</v>
      </c>
      <c r="D13" s="167"/>
      <c r="E13" s="168"/>
      <c r="F13" s="168"/>
      <c r="G13" s="168"/>
      <c r="H13" s="165"/>
      <c r="I13" s="166" t="s">
        <v>119</v>
      </c>
      <c r="J13" s="164"/>
      <c r="K13" s="165"/>
    </row>
    <row r="14" spans="1:11" s="208" customFormat="1" ht="3" customHeight="1">
      <c r="B14" s="172"/>
      <c r="C14" s="164"/>
      <c r="D14" s="164"/>
      <c r="E14" s="164"/>
      <c r="F14" s="164"/>
      <c r="G14" s="164"/>
      <c r="H14" s="164"/>
      <c r="I14" s="198"/>
      <c r="J14" s="164"/>
      <c r="K14" s="164"/>
    </row>
    <row r="15" spans="1:11" s="208" customFormat="1" ht="12.5">
      <c r="B15" s="178" t="s">
        <v>59</v>
      </c>
      <c r="C15" s="167" t="s">
        <v>60</v>
      </c>
      <c r="D15" s="167"/>
      <c r="E15" s="168"/>
      <c r="F15" s="168"/>
      <c r="G15" s="168"/>
      <c r="H15" s="165"/>
      <c r="I15" s="196">
        <f>+CuadroEspecificacionesTARIFARIO!H17</f>
        <v>100000000</v>
      </c>
      <c r="J15" s="165" t="str">
        <f>IF(I15&lt;&gt;"SIN LÍMITE","M.N.","")</f>
        <v>M.N.</v>
      </c>
      <c r="K15" s="165"/>
    </row>
    <row r="16" spans="1:11" s="208" customFormat="1" ht="3" customHeight="1">
      <c r="B16" s="175"/>
      <c r="C16" s="165"/>
      <c r="D16" s="165"/>
      <c r="E16" s="168"/>
      <c r="F16" s="168"/>
      <c r="G16" s="168"/>
      <c r="H16" s="165"/>
      <c r="I16" s="166"/>
      <c r="J16" s="165"/>
      <c r="K16" s="165"/>
    </row>
    <row r="17" spans="2:11" s="208" customFormat="1" ht="12.5">
      <c r="B17" s="178" t="s">
        <v>59</v>
      </c>
      <c r="C17" s="167" t="s">
        <v>152</v>
      </c>
      <c r="D17" s="167"/>
      <c r="E17" s="168"/>
      <c r="F17" s="168"/>
      <c r="G17" s="171"/>
      <c r="H17" s="165"/>
      <c r="I17" s="196">
        <f>+CuadroEspecificacionesTARIFARIO!H19</f>
        <v>12000</v>
      </c>
      <c r="J17" s="165" t="s">
        <v>61</v>
      </c>
      <c r="K17" s="165"/>
    </row>
    <row r="18" spans="2:11" s="208" customFormat="1" ht="3" customHeight="1">
      <c r="B18" s="175"/>
      <c r="C18" s="165"/>
      <c r="D18" s="165"/>
      <c r="E18" s="168"/>
      <c r="F18" s="168"/>
      <c r="G18" s="168"/>
      <c r="H18" s="165"/>
      <c r="I18" s="171"/>
      <c r="J18" s="165"/>
      <c r="K18" s="165"/>
    </row>
    <row r="19" spans="2:11" s="208" customFormat="1" ht="12.5">
      <c r="B19" s="178" t="s">
        <v>59</v>
      </c>
      <c r="C19" s="167" t="s">
        <v>65</v>
      </c>
      <c r="D19" s="167"/>
      <c r="E19" s="168"/>
      <c r="F19" s="168"/>
      <c r="G19" s="171" t="s">
        <v>63</v>
      </c>
      <c r="H19" s="165"/>
      <c r="I19" s="197">
        <f>+CuadroEspecificacionesTARIFARIO!H22</f>
        <v>0.1</v>
      </c>
      <c r="J19" s="165" t="str">
        <f>+CONCATENATE("Con tope de ",VLOOKUP(I19,FACTORES!C3:E6,3,FALSE)&amp;" M.N.")</f>
        <v>Con tope de $35,000 M.N.</v>
      </c>
      <c r="K19" s="165"/>
    </row>
    <row r="20" spans="2:11" s="208" customFormat="1" ht="12" customHeight="1">
      <c r="B20" s="175"/>
      <c r="C20" s="167"/>
      <c r="D20" s="167"/>
      <c r="E20" s="180"/>
      <c r="F20" s="180"/>
      <c r="G20" s="171" t="s">
        <v>64</v>
      </c>
      <c r="H20" s="165"/>
      <c r="I20" s="197">
        <v>0</v>
      </c>
      <c r="J20" s="165"/>
      <c r="K20" s="165"/>
    </row>
    <row r="21" spans="2:11" s="208" customFormat="1" ht="6" customHeight="1">
      <c r="B21" s="175"/>
      <c r="C21" s="167"/>
      <c r="D21" s="167"/>
      <c r="E21" s="338"/>
      <c r="F21" s="338"/>
      <c r="G21" s="165"/>
      <c r="H21" s="165"/>
      <c r="I21" s="171"/>
      <c r="J21" s="165"/>
      <c r="K21" s="165"/>
    </row>
    <row r="22" spans="2:11" s="208" customFormat="1" ht="10.5" customHeight="1">
      <c r="B22" s="178" t="s">
        <v>59</v>
      </c>
      <c r="C22" s="179" t="s">
        <v>115</v>
      </c>
      <c r="D22" s="179"/>
      <c r="E22" s="180"/>
      <c r="F22" s="180"/>
      <c r="G22" s="171"/>
      <c r="H22" s="165"/>
      <c r="I22" s="197">
        <f>+TITULAR!E9</f>
        <v>0</v>
      </c>
      <c r="J22" s="165"/>
      <c r="K22" s="164"/>
    </row>
    <row r="23" spans="2:11" s="208" customFormat="1" ht="13.5" customHeight="1">
      <c r="B23" s="178" t="s">
        <v>59</v>
      </c>
      <c r="C23" s="377" t="str">
        <f>IF(I22=0,"Base de Honorarios Quirúrgicos","Base de Honorarios Quirúrgicos (incluye el incremento de "&amp;I22*100&amp;"% seleccionado) ")</f>
        <v>Base de Honorarios Quirúrgicos</v>
      </c>
      <c r="D23" s="179"/>
      <c r="E23" s="181"/>
      <c r="F23" s="182"/>
      <c r="G23" s="167"/>
      <c r="H23" s="165"/>
      <c r="I23" s="424">
        <f>VLOOKUP(COTIZACION!$D$14,FACTORES!$N$8:$O$13,2,0)*FACTORES!$O$14*(1+TITULAR!$E$9)</f>
        <v>66000</v>
      </c>
      <c r="J23" s="165" t="s">
        <v>61</v>
      </c>
      <c r="K23" s="165"/>
    </row>
    <row r="24" spans="2:11" s="208" customFormat="1" ht="13.5" customHeight="1">
      <c r="B24" s="178" t="s">
        <v>59</v>
      </c>
      <c r="C24" s="179" t="s">
        <v>66</v>
      </c>
      <c r="D24" s="179"/>
      <c r="E24" s="169"/>
      <c r="F24" s="169"/>
      <c r="G24" s="167"/>
      <c r="H24" s="165"/>
      <c r="I24" s="393" t="s">
        <v>101</v>
      </c>
      <c r="J24" s="164"/>
      <c r="K24" s="164"/>
    </row>
    <row r="25" spans="2:11" s="208" customFormat="1" ht="13.5" customHeight="1">
      <c r="B25" s="178" t="s">
        <v>59</v>
      </c>
      <c r="C25" s="179" t="s">
        <v>67</v>
      </c>
      <c r="D25" s="179"/>
      <c r="E25" s="165"/>
      <c r="F25" s="167"/>
      <c r="G25" s="167"/>
      <c r="H25" s="165"/>
      <c r="I25" s="393" t="s">
        <v>101</v>
      </c>
      <c r="J25" s="164"/>
      <c r="K25" s="164"/>
    </row>
    <row r="26" spans="2:11" s="208" customFormat="1" ht="13.5" customHeight="1">
      <c r="B26" s="178" t="s">
        <v>59</v>
      </c>
      <c r="C26" s="179" t="s">
        <v>92</v>
      </c>
      <c r="D26" s="179"/>
      <c r="E26" s="165"/>
      <c r="F26" s="167"/>
      <c r="G26" s="167"/>
      <c r="H26" s="165"/>
      <c r="I26" s="393" t="s">
        <v>101</v>
      </c>
      <c r="J26" s="164"/>
      <c r="K26" s="164"/>
    </row>
    <row r="27" spans="2:11" s="208" customFormat="1" ht="13.5" customHeight="1">
      <c r="B27" s="178" t="s">
        <v>59</v>
      </c>
      <c r="C27" s="179" t="s">
        <v>68</v>
      </c>
      <c r="D27" s="179"/>
      <c r="E27" s="165"/>
      <c r="F27" s="167"/>
      <c r="G27" s="167"/>
      <c r="H27" s="165"/>
      <c r="I27" s="393" t="s">
        <v>69</v>
      </c>
      <c r="J27" s="164"/>
      <c r="K27" s="164"/>
    </row>
    <row r="28" spans="2:11" s="208" customFormat="1" ht="13.5" customHeight="1">
      <c r="B28" s="178" t="s">
        <v>59</v>
      </c>
      <c r="C28" s="179" t="s">
        <v>120</v>
      </c>
      <c r="D28" s="179"/>
      <c r="E28" s="165"/>
      <c r="F28" s="167"/>
      <c r="G28" s="167"/>
      <c r="H28" s="165"/>
      <c r="I28" s="167"/>
      <c r="J28" s="164"/>
      <c r="K28" s="164"/>
    </row>
    <row r="29" spans="2:11" s="208" customFormat="1" ht="13.5" customHeight="1">
      <c r="B29" s="178"/>
      <c r="C29" s="179" t="s">
        <v>121</v>
      </c>
      <c r="D29" s="179"/>
      <c r="E29" s="165"/>
      <c r="F29" s="167"/>
      <c r="G29" s="167"/>
      <c r="H29" s="165"/>
      <c r="I29" s="378" t="s">
        <v>76</v>
      </c>
      <c r="J29" s="164"/>
      <c r="K29" s="164"/>
    </row>
    <row r="30" spans="2:11" s="208" customFormat="1" ht="13.5" customHeight="1">
      <c r="B30" s="178" t="s">
        <v>59</v>
      </c>
      <c r="C30" s="179" t="s">
        <v>122</v>
      </c>
      <c r="D30" s="179"/>
      <c r="E30" s="165"/>
      <c r="F30" s="167"/>
      <c r="G30" s="167"/>
      <c r="H30" s="165"/>
      <c r="I30" s="378" t="s">
        <v>76</v>
      </c>
      <c r="J30" s="164"/>
      <c r="K30" s="164"/>
    </row>
    <row r="31" spans="2:11" s="208" customFormat="1" ht="13.5" customHeight="1">
      <c r="B31" s="178" t="s">
        <v>59</v>
      </c>
      <c r="C31" s="179" t="s">
        <v>71</v>
      </c>
      <c r="D31" s="179"/>
      <c r="E31" s="165"/>
      <c r="F31" s="167"/>
      <c r="G31" s="167"/>
      <c r="H31" s="165"/>
      <c r="I31" s="393" t="s">
        <v>72</v>
      </c>
      <c r="J31" s="165"/>
      <c r="K31" s="164"/>
    </row>
    <row r="32" spans="2:11" s="208" customFormat="1" ht="13.5" customHeight="1">
      <c r="B32" s="178" t="s">
        <v>59</v>
      </c>
      <c r="C32" s="179" t="s">
        <v>70</v>
      </c>
      <c r="D32" s="179"/>
      <c r="E32" s="165"/>
      <c r="F32" s="167"/>
      <c r="G32" s="167"/>
      <c r="H32" s="165"/>
      <c r="I32" s="393" t="s">
        <v>72</v>
      </c>
      <c r="J32" s="164"/>
      <c r="K32" s="164"/>
    </row>
    <row r="33" spans="2:11" s="208" customFormat="1" ht="13.5" customHeight="1">
      <c r="B33" s="178" t="s">
        <v>59</v>
      </c>
      <c r="C33" s="377" t="s">
        <v>324</v>
      </c>
      <c r="D33" s="179"/>
      <c r="E33" s="165"/>
      <c r="F33" s="167"/>
      <c r="G33" s="167"/>
      <c r="H33" s="165"/>
      <c r="I33" s="393" t="s">
        <v>72</v>
      </c>
      <c r="J33" s="165"/>
      <c r="K33" s="168"/>
    </row>
    <row r="34" spans="2:11" s="208" customFormat="1" ht="13.5" customHeight="1">
      <c r="B34" s="178" t="s">
        <v>59</v>
      </c>
      <c r="C34" s="179" t="s">
        <v>73</v>
      </c>
      <c r="D34" s="179"/>
      <c r="E34" s="165"/>
      <c r="F34" s="167"/>
      <c r="G34" s="167"/>
      <c r="H34" s="165"/>
      <c r="I34" s="195">
        <f>IF(I17&lt;0,"Excluido",100000)</f>
        <v>100000</v>
      </c>
      <c r="J34" s="165" t="str">
        <f>IF(I34="Excluido","","M.N")</f>
        <v>M.N</v>
      </c>
      <c r="K34" s="164"/>
    </row>
    <row r="35" spans="2:11" s="208" customFormat="1" ht="13.5" customHeight="1">
      <c r="B35" s="178" t="s">
        <v>59</v>
      </c>
      <c r="C35" s="179" t="s">
        <v>93</v>
      </c>
      <c r="D35" s="179"/>
      <c r="E35" s="165"/>
      <c r="F35" s="167"/>
      <c r="G35" s="167"/>
      <c r="H35" s="165"/>
      <c r="I35" s="195">
        <f>IF(I17&lt;0,"Excluido",300)</f>
        <v>300</v>
      </c>
      <c r="J35" s="165" t="str">
        <f>IF(I35="Excluido","","M.N")</f>
        <v>M.N</v>
      </c>
      <c r="K35" s="165"/>
    </row>
    <row r="36" spans="2:11" s="208" customFormat="1" ht="13.5" customHeight="1">
      <c r="B36" s="178" t="s">
        <v>59</v>
      </c>
      <c r="C36" s="406" t="s">
        <v>140</v>
      </c>
      <c r="D36" s="406"/>
      <c r="E36" s="407"/>
      <c r="F36" s="407"/>
      <c r="G36" s="407"/>
      <c r="H36" s="407"/>
      <c r="I36" s="408"/>
      <c r="J36" s="165"/>
      <c r="K36" s="164"/>
    </row>
    <row r="37" spans="2:11" s="208" customFormat="1" ht="13.5" customHeight="1">
      <c r="B37" s="178"/>
      <c r="C37" s="406" t="s">
        <v>141</v>
      </c>
      <c r="D37" s="406"/>
      <c r="E37" s="407"/>
      <c r="F37" s="407"/>
      <c r="G37" s="407"/>
      <c r="H37" s="407"/>
      <c r="I37" s="409" t="str">
        <f>IF(COTIZACION!E17="SUMA ASEGURADA NO PERMITIDA PARA PÓLIZAS NUEVAS","EXCLUIDO ",IF(I17&gt;50000,"Excluido",IF(COTIZACION!D16="NO","$20,000",COTIZACION!D17)))</f>
        <v>$20,000</v>
      </c>
      <c r="J37" s="165" t="str">
        <f>IF(I37="Excluido","","M.N")</f>
        <v>M.N</v>
      </c>
      <c r="K37" s="164"/>
    </row>
    <row r="38" spans="2:11" s="208" customFormat="1" ht="13.5" customHeight="1">
      <c r="B38" s="178" t="s">
        <v>59</v>
      </c>
      <c r="C38" s="179" t="s">
        <v>143</v>
      </c>
      <c r="D38" s="179"/>
      <c r="E38" s="165"/>
      <c r="F38" s="167"/>
      <c r="G38" s="167"/>
      <c r="H38" s="165"/>
      <c r="I38" s="167"/>
      <c r="J38" s="165"/>
      <c r="K38" s="164"/>
    </row>
    <row r="39" spans="2:11" s="208" customFormat="1" ht="13.5" customHeight="1">
      <c r="B39" s="178"/>
      <c r="C39" s="179" t="s">
        <v>142</v>
      </c>
      <c r="D39" s="179"/>
      <c r="E39" s="165"/>
      <c r="F39" s="165"/>
      <c r="G39" s="165"/>
      <c r="H39" s="165"/>
      <c r="I39" s="393" t="s">
        <v>101</v>
      </c>
      <c r="J39" s="165"/>
      <c r="K39" s="165"/>
    </row>
    <row r="40" spans="2:11" s="208" customFormat="1" ht="13.5" customHeight="1">
      <c r="B40" s="178" t="s">
        <v>59</v>
      </c>
      <c r="C40" s="179" t="s">
        <v>131</v>
      </c>
      <c r="D40" s="179"/>
      <c r="E40" s="165"/>
      <c r="F40" s="167"/>
      <c r="G40" s="167"/>
      <c r="H40" s="165"/>
      <c r="I40" s="393" t="s">
        <v>256</v>
      </c>
      <c r="J40" s="165"/>
      <c r="K40" s="165"/>
    </row>
    <row r="41" spans="2:11" s="208" customFormat="1" ht="13.5" customHeight="1">
      <c r="B41" s="178"/>
      <c r="C41" s="179" t="s">
        <v>74</v>
      </c>
      <c r="D41" s="179"/>
      <c r="E41" s="165"/>
      <c r="F41" s="167"/>
      <c r="G41" s="167"/>
      <c r="H41" s="165"/>
      <c r="I41" s="421" t="s">
        <v>257</v>
      </c>
      <c r="J41" s="165" t="str">
        <f>IF(I41="Excluido","","Por Evento")</f>
        <v>Por Evento</v>
      </c>
      <c r="K41" s="165"/>
    </row>
    <row r="42" spans="2:11" s="208" customFormat="1" ht="13.5" customHeight="1">
      <c r="B42" s="178" t="s">
        <v>59</v>
      </c>
      <c r="C42" s="179" t="s">
        <v>144</v>
      </c>
      <c r="D42" s="179"/>
      <c r="E42" s="165"/>
      <c r="F42" s="167"/>
      <c r="G42" s="167"/>
      <c r="H42" s="165"/>
      <c r="I42" s="167" t="s">
        <v>72</v>
      </c>
      <c r="J42" s="165"/>
      <c r="K42" s="165"/>
    </row>
    <row r="43" spans="2:11" s="208" customFormat="1" ht="13.5" customHeight="1">
      <c r="B43" s="178"/>
      <c r="C43" s="171" t="s">
        <v>145</v>
      </c>
      <c r="D43" s="171"/>
      <c r="E43" s="165"/>
      <c r="F43" s="167"/>
      <c r="G43" s="167"/>
      <c r="H43" s="165"/>
      <c r="I43" s="167"/>
      <c r="J43" s="165"/>
      <c r="K43" s="165"/>
    </row>
    <row r="44" spans="2:11" s="208" customFormat="1" ht="13.5" customHeight="1">
      <c r="B44" s="178" t="s">
        <v>59</v>
      </c>
      <c r="C44" s="179" t="s">
        <v>139</v>
      </c>
      <c r="D44" s="179"/>
      <c r="E44" s="165"/>
      <c r="F44" s="167"/>
      <c r="G44" s="167"/>
      <c r="H44" s="165"/>
      <c r="I44" s="167" t="s">
        <v>72</v>
      </c>
      <c r="J44" s="165"/>
      <c r="K44" s="165"/>
    </row>
    <row r="45" spans="2:11" s="208" customFormat="1" ht="13.5" customHeight="1">
      <c r="B45" s="178" t="s">
        <v>59</v>
      </c>
      <c r="C45" s="439" t="s">
        <v>295</v>
      </c>
      <c r="D45" s="179"/>
      <c r="E45" s="165"/>
      <c r="F45" s="167"/>
      <c r="G45" s="167"/>
      <c r="H45" s="165"/>
      <c r="I45" s="167"/>
      <c r="J45" s="165"/>
      <c r="K45" s="165"/>
    </row>
    <row r="46" spans="2:11" s="208" customFormat="1" ht="13.5" customHeight="1">
      <c r="B46" s="178"/>
      <c r="C46" s="439" t="s">
        <v>296</v>
      </c>
      <c r="D46" s="179"/>
      <c r="E46" s="165"/>
      <c r="F46" s="167"/>
      <c r="G46" s="167"/>
      <c r="H46" s="165"/>
      <c r="I46" s="167"/>
      <c r="J46" s="165"/>
      <c r="K46" s="165"/>
    </row>
    <row r="47" spans="2:11" s="208" customFormat="1" ht="13.5" customHeight="1">
      <c r="B47" s="178"/>
      <c r="C47" s="439" t="s">
        <v>297</v>
      </c>
      <c r="D47" s="179"/>
      <c r="E47" s="165"/>
      <c r="F47" s="167"/>
      <c r="G47" s="167"/>
      <c r="H47" s="165"/>
      <c r="I47" s="167"/>
      <c r="J47" s="165"/>
      <c r="K47" s="165"/>
    </row>
    <row r="48" spans="2:11" s="208" customFormat="1" ht="13.5" customHeight="1">
      <c r="B48" s="178"/>
      <c r="C48" s="440" t="s">
        <v>298</v>
      </c>
      <c r="D48" s="179"/>
      <c r="E48" s="165"/>
      <c r="F48" s="167"/>
      <c r="G48" s="167"/>
      <c r="H48" s="165"/>
      <c r="I48" s="393" t="s">
        <v>76</v>
      </c>
      <c r="J48" s="165"/>
      <c r="K48" s="165"/>
    </row>
    <row r="49" spans="2:11" s="208" customFormat="1" ht="13.5" customHeight="1">
      <c r="B49" s="178" t="s">
        <v>59</v>
      </c>
      <c r="C49" s="179" t="s">
        <v>104</v>
      </c>
      <c r="D49" s="179"/>
      <c r="E49" s="165"/>
      <c r="F49" s="167"/>
      <c r="G49" s="167"/>
      <c r="H49" s="165"/>
      <c r="I49" s="195">
        <f>IF(I17&lt;0,"Excluido",10000)</f>
        <v>10000</v>
      </c>
      <c r="J49" s="165" t="str">
        <f>IF(I49="Excluido","","M.N")</f>
        <v>M.N</v>
      </c>
      <c r="K49" s="164"/>
    </row>
    <row r="50" spans="2:11" s="208" customFormat="1" ht="13.5" customHeight="1">
      <c r="B50" s="178" t="s">
        <v>59</v>
      </c>
      <c r="C50" s="377" t="s">
        <v>223</v>
      </c>
      <c r="D50" s="179"/>
      <c r="E50" s="165"/>
      <c r="F50" s="167"/>
      <c r="G50" s="167"/>
      <c r="H50" s="165"/>
      <c r="I50" s="167"/>
      <c r="J50" s="165"/>
      <c r="K50" s="164"/>
    </row>
    <row r="51" spans="2:11" s="208" customFormat="1" ht="13.5" customHeight="1">
      <c r="B51" s="178"/>
      <c r="C51" s="179" t="s">
        <v>75</v>
      </c>
      <c r="D51" s="179"/>
      <c r="E51" s="165"/>
      <c r="F51" s="167"/>
      <c r="G51" s="167"/>
      <c r="H51" s="165"/>
      <c r="I51" s="167" t="s">
        <v>76</v>
      </c>
      <c r="J51" s="165"/>
      <c r="K51" s="165"/>
    </row>
    <row r="52" spans="2:11" s="208" customFormat="1" ht="13.5" customHeight="1">
      <c r="B52" s="178" t="s">
        <v>59</v>
      </c>
      <c r="C52" s="179" t="s">
        <v>132</v>
      </c>
      <c r="D52" s="179"/>
      <c r="E52" s="165"/>
      <c r="F52" s="167"/>
      <c r="G52" s="167"/>
      <c r="H52" s="165"/>
      <c r="I52" s="167" t="s">
        <v>76</v>
      </c>
      <c r="J52" s="165"/>
      <c r="K52" s="165"/>
    </row>
    <row r="53" spans="2:11" s="208" customFormat="1" ht="13.5" customHeight="1">
      <c r="B53" s="178" t="s">
        <v>59</v>
      </c>
      <c r="C53" s="171" t="s">
        <v>171</v>
      </c>
      <c r="D53" s="171"/>
      <c r="E53" s="165"/>
      <c r="F53" s="167"/>
      <c r="G53" s="167"/>
      <c r="H53" s="165"/>
      <c r="I53" s="167"/>
      <c r="J53" s="165"/>
      <c r="K53" s="165"/>
    </row>
    <row r="54" spans="2:11" s="208" customFormat="1" ht="13.5" customHeight="1">
      <c r="B54" s="178"/>
      <c r="C54" s="171" t="s">
        <v>138</v>
      </c>
      <c r="D54" s="171"/>
      <c r="E54" s="165"/>
      <c r="F54" s="167"/>
      <c r="G54" s="167"/>
      <c r="H54" s="165"/>
      <c r="I54" s="167" t="s">
        <v>76</v>
      </c>
      <c r="J54" s="165"/>
      <c r="K54" s="165"/>
    </row>
    <row r="55" spans="2:11" s="208" customFormat="1" ht="13.5" customHeight="1">
      <c r="B55" s="178" t="s">
        <v>59</v>
      </c>
      <c r="C55" s="179" t="s">
        <v>105</v>
      </c>
      <c r="D55" s="179"/>
      <c r="E55" s="165"/>
      <c r="F55" s="165"/>
      <c r="G55" s="165"/>
      <c r="H55" s="165"/>
      <c r="I55" s="167" t="s">
        <v>76</v>
      </c>
      <c r="J55" s="165"/>
      <c r="K55" s="165"/>
    </row>
    <row r="56" spans="2:11" s="208" customFormat="1" ht="13.5" customHeight="1">
      <c r="B56" s="178" t="s">
        <v>59</v>
      </c>
      <c r="C56" s="425" t="s">
        <v>258</v>
      </c>
      <c r="D56" s="406"/>
      <c r="E56" s="407"/>
      <c r="F56" s="407"/>
      <c r="G56" s="426"/>
      <c r="H56" s="427"/>
      <c r="I56" s="426" t="s">
        <v>72</v>
      </c>
      <c r="J56" s="170"/>
      <c r="K56" s="171"/>
    </row>
    <row r="57" spans="2:11" s="208" customFormat="1" ht="13.5" customHeight="1">
      <c r="B57" s="178" t="s">
        <v>59</v>
      </c>
      <c r="C57" s="377" t="s">
        <v>325</v>
      </c>
      <c r="D57" s="179"/>
      <c r="E57" s="165"/>
      <c r="F57" s="165"/>
      <c r="G57" s="167"/>
      <c r="H57" s="165"/>
      <c r="I57" s="195">
        <f>IF(I17&lt;0,"Excluido",12000)</f>
        <v>12000</v>
      </c>
      <c r="J57" s="165" t="str">
        <f>IF(I57="Excluido","","M.N")</f>
        <v>M.N</v>
      </c>
      <c r="K57" s="165"/>
    </row>
    <row r="58" spans="2:11" s="208" customFormat="1" ht="13.5" customHeight="1">
      <c r="B58" s="178" t="s">
        <v>59</v>
      </c>
      <c r="C58" s="377" t="s">
        <v>111</v>
      </c>
      <c r="D58" s="179"/>
      <c r="E58" s="165"/>
      <c r="F58" s="165"/>
      <c r="G58" s="167"/>
      <c r="H58" s="165"/>
      <c r="I58" s="195">
        <f>IF(I17&lt;0,"Excluido",5000)</f>
        <v>5000</v>
      </c>
      <c r="J58" s="165" t="str">
        <f>IF(I58="Excluido","","M.N")</f>
        <v>M.N</v>
      </c>
      <c r="K58" s="165"/>
    </row>
    <row r="59" spans="2:11" s="208" customFormat="1" ht="13.5" customHeight="1">
      <c r="B59" s="178" t="s">
        <v>59</v>
      </c>
      <c r="C59" s="179" t="s">
        <v>170</v>
      </c>
      <c r="D59" s="179"/>
      <c r="E59" s="165"/>
      <c r="F59" s="167"/>
      <c r="G59" s="167"/>
      <c r="H59" s="165"/>
      <c r="I59" s="167" t="s">
        <v>76</v>
      </c>
      <c r="J59" s="165"/>
      <c r="K59" s="165"/>
    </row>
    <row r="60" spans="2:11" s="208" customFormat="1" ht="13.5" customHeight="1">
      <c r="B60" s="178" t="s">
        <v>59</v>
      </c>
      <c r="C60" s="428" t="s">
        <v>269</v>
      </c>
      <c r="D60" s="406"/>
      <c r="E60" s="407"/>
      <c r="F60" s="426"/>
      <c r="G60" s="426"/>
      <c r="H60" s="407"/>
      <c r="I60" s="426" t="s">
        <v>76</v>
      </c>
      <c r="J60" s="165"/>
      <c r="K60" s="165"/>
    </row>
    <row r="61" spans="2:11" s="208" customFormat="1" ht="13.5" customHeight="1">
      <c r="B61" s="178" t="s">
        <v>59</v>
      </c>
      <c r="C61" s="171" t="s">
        <v>179</v>
      </c>
      <c r="D61" s="179"/>
      <c r="E61" s="165"/>
      <c r="F61" s="167"/>
      <c r="G61" s="167"/>
      <c r="H61" s="165"/>
      <c r="I61" s="167" t="s">
        <v>76</v>
      </c>
      <c r="J61" s="165"/>
      <c r="K61" s="165"/>
    </row>
    <row r="62" spans="2:11" s="208" customFormat="1" ht="18" customHeight="1">
      <c r="B62" s="209"/>
      <c r="D62" s="179"/>
      <c r="E62" s="165"/>
      <c r="F62" s="167"/>
      <c r="G62" s="167"/>
      <c r="H62" s="165"/>
      <c r="I62" s="167"/>
      <c r="J62" s="165"/>
      <c r="K62" s="165"/>
    </row>
    <row r="63" spans="2:11" s="208" customFormat="1" ht="13.5" customHeight="1">
      <c r="B63" s="178" t="s">
        <v>59</v>
      </c>
      <c r="C63" s="380" t="s">
        <v>385</v>
      </c>
      <c r="D63" s="179"/>
      <c r="E63" s="165"/>
      <c r="F63" s="167"/>
      <c r="G63" s="167"/>
      <c r="H63" s="165"/>
      <c r="I63" s="167" t="str">
        <f>IF(COTIZACION!D21="si","Incluido","Excluido")</f>
        <v>Excluido</v>
      </c>
      <c r="J63" s="165"/>
      <c r="K63" s="165"/>
    </row>
    <row r="64" spans="2:11" s="208" customFormat="1" ht="13.5" customHeight="1">
      <c r="B64" s="178" t="s">
        <v>59</v>
      </c>
      <c r="C64" s="377" t="s">
        <v>216</v>
      </c>
      <c r="D64" s="179"/>
      <c r="E64" s="165"/>
      <c r="F64" s="165"/>
      <c r="G64" s="167"/>
      <c r="H64" s="339"/>
      <c r="I64" s="167" t="str">
        <f>IF(COTIZACION!D20="si","Incluido","Excluido")</f>
        <v>Excluido</v>
      </c>
      <c r="J64" s="170"/>
      <c r="K64" s="171"/>
    </row>
    <row r="65" spans="1:13" s="208" customFormat="1" ht="13.5" customHeight="1">
      <c r="B65" s="178" t="s">
        <v>59</v>
      </c>
      <c r="C65" s="171" t="s">
        <v>153</v>
      </c>
      <c r="D65" s="179"/>
      <c r="E65" s="165"/>
      <c r="F65" s="165"/>
      <c r="G65" s="167"/>
      <c r="H65" s="340"/>
      <c r="I65" s="167" t="str">
        <f>IF(AND(COTIZACION!D15="si",COTIZACION!D11&lt;=50000),"Incluido","Excluido")</f>
        <v>Excluido</v>
      </c>
      <c r="J65" s="170"/>
      <c r="K65" s="171"/>
    </row>
    <row r="66" spans="1:13" s="208" customFormat="1" ht="13.5" customHeight="1">
      <c r="B66" s="194" t="s">
        <v>59</v>
      </c>
      <c r="C66" s="171" t="s">
        <v>172</v>
      </c>
      <c r="D66" s="179"/>
      <c r="E66" s="165"/>
      <c r="F66" s="165"/>
      <c r="G66" s="167"/>
      <c r="H66" s="339"/>
      <c r="I66" s="195" t="str">
        <f>IF(OR(COTIZACION!D19="NO",SUM(COTIZACION!A30:A37)&lt;=0),"Excluido",COTIZACION!D19)</f>
        <v>Excluido</v>
      </c>
      <c r="J66" s="380" t="str">
        <f>IF(I66="EXCLUIDO","","M.N.")</f>
        <v/>
      </c>
      <c r="K66" s="171"/>
    </row>
    <row r="67" spans="1:13" s="208" customFormat="1" ht="13.5" customHeight="1">
      <c r="B67" s="194" t="s">
        <v>59</v>
      </c>
      <c r="C67" s="428" t="s">
        <v>290</v>
      </c>
      <c r="D67" s="406"/>
      <c r="E67" s="407"/>
      <c r="F67" s="407"/>
      <c r="G67" s="426"/>
      <c r="H67" s="427"/>
      <c r="I67" s="429" t="str">
        <f>IF(COTIZACION!D18="SI","Incluido","Excluido")</f>
        <v>Excluido</v>
      </c>
      <c r="J67" s="209"/>
      <c r="K67" s="171"/>
    </row>
    <row r="68" spans="1:13" s="208" customFormat="1" ht="3" customHeight="1">
      <c r="B68" s="194"/>
      <c r="C68" s="171"/>
      <c r="D68" s="179"/>
      <c r="E68" s="165"/>
      <c r="F68" s="165"/>
      <c r="G68" s="167"/>
      <c r="H68" s="339"/>
      <c r="I68" s="195"/>
      <c r="J68" s="209"/>
      <c r="K68" s="171"/>
    </row>
    <row r="69" spans="1:13" ht="12.75" customHeight="1">
      <c r="A69" s="208"/>
      <c r="B69" s="490" t="s">
        <v>220</v>
      </c>
      <c r="D69" s="171"/>
      <c r="E69" s="164"/>
      <c r="F69" s="164"/>
      <c r="G69" s="164"/>
      <c r="H69" s="164"/>
      <c r="J69" s="164"/>
      <c r="K69" s="164"/>
    </row>
    <row r="70" spans="1:13" ht="12.75" hidden="1" customHeight="1">
      <c r="A70" s="208"/>
      <c r="B70" s="491" t="s">
        <v>322</v>
      </c>
      <c r="C70" s="430"/>
      <c r="D70" s="428"/>
      <c r="E70" s="431"/>
      <c r="F70" s="431"/>
      <c r="G70" s="431"/>
      <c r="H70" s="431"/>
      <c r="I70" s="432"/>
      <c r="J70" s="431"/>
      <c r="K70" s="431"/>
    </row>
    <row r="71" spans="1:13" ht="13.5" hidden="1" customHeight="1">
      <c r="A71" s="208"/>
      <c r="B71" s="492" t="s">
        <v>301</v>
      </c>
      <c r="C71" s="430"/>
      <c r="D71" s="428"/>
      <c r="E71" s="431"/>
      <c r="F71" s="431"/>
      <c r="G71" s="431"/>
      <c r="H71" s="431"/>
      <c r="I71" s="432"/>
      <c r="J71" s="431"/>
      <c r="K71" s="431"/>
    </row>
    <row r="72" spans="1:13" ht="13.5" hidden="1" customHeight="1">
      <c r="A72" s="208"/>
      <c r="B72" s="493" t="s">
        <v>302</v>
      </c>
      <c r="C72" s="8"/>
      <c r="D72" s="8"/>
      <c r="E72" s="433"/>
      <c r="F72" s="433"/>
      <c r="G72" s="433"/>
      <c r="H72" s="433"/>
      <c r="I72" s="426"/>
      <c r="J72" s="433"/>
      <c r="K72" s="433"/>
    </row>
    <row r="73" spans="1:13" ht="13.5" hidden="1" customHeight="1">
      <c r="A73" s="208"/>
      <c r="B73" s="493" t="s">
        <v>323</v>
      </c>
      <c r="C73" s="8"/>
      <c r="D73" s="8"/>
      <c r="E73" s="433"/>
      <c r="F73" s="433"/>
      <c r="G73" s="433"/>
      <c r="H73" s="433"/>
      <c r="I73" s="426"/>
      <c r="J73" s="433"/>
      <c r="K73" s="433"/>
    </row>
    <row r="74" spans="1:13" ht="12.5">
      <c r="A74" s="208"/>
      <c r="B74" s="178"/>
      <c r="C74" s="171"/>
      <c r="D74" s="171"/>
      <c r="E74" s="164"/>
      <c r="F74" s="164"/>
      <c r="G74" s="164"/>
      <c r="H74" s="164"/>
      <c r="I74" s="167"/>
      <c r="J74" s="164"/>
      <c r="K74" s="164"/>
    </row>
    <row r="75" spans="1:13" ht="11.5">
      <c r="C75" s="802" t="s">
        <v>78</v>
      </c>
      <c r="D75" s="802"/>
      <c r="E75" s="802"/>
      <c r="F75" s="802"/>
      <c r="G75" s="802"/>
      <c r="H75" s="802"/>
      <c r="I75" s="802"/>
      <c r="J75" s="802"/>
      <c r="K75" s="802"/>
    </row>
    <row r="76" spans="1:13" s="208" customFormat="1" ht="11.5">
      <c r="A76" s="172"/>
      <c r="B76" s="173"/>
      <c r="C76" s="808" t="s">
        <v>79</v>
      </c>
      <c r="D76" s="808"/>
      <c r="E76" s="808"/>
      <c r="F76" s="808"/>
      <c r="G76" s="808"/>
      <c r="H76" s="808" t="s">
        <v>77</v>
      </c>
      <c r="I76" s="808" t="s">
        <v>80</v>
      </c>
      <c r="J76" s="808" t="s">
        <v>81</v>
      </c>
      <c r="K76" s="454" t="s">
        <v>82</v>
      </c>
    </row>
    <row r="77" spans="1:13" s="208" customFormat="1" ht="11.5">
      <c r="B77" s="173"/>
      <c r="C77" s="809"/>
      <c r="D77" s="809"/>
      <c r="E77" s="809"/>
      <c r="F77" s="809"/>
      <c r="G77" s="809"/>
      <c r="H77" s="809"/>
      <c r="I77" s="809"/>
      <c r="J77" s="809"/>
      <c r="K77" s="455" t="s">
        <v>83</v>
      </c>
      <c r="L77" s="262"/>
    </row>
    <row r="78" spans="1:13" s="208" customFormat="1" ht="11.5">
      <c r="A78" s="348">
        <f>IF(AND(H78&lt;&gt;"",H78&gt;64),1,0)</f>
        <v>0</v>
      </c>
      <c r="B78" s="174"/>
      <c r="C78" s="381" t="str">
        <f>IF(COTIZACION!C30="","",COTIZACION!C30)</f>
        <v/>
      </c>
      <c r="D78" s="200"/>
      <c r="E78" s="200"/>
      <c r="F78" s="200"/>
      <c r="G78" s="200"/>
      <c r="H78" s="354" t="str">
        <f>IF(COTIZACION!E30="","",COTIZACION!E30)</f>
        <v/>
      </c>
      <c r="I78" s="354" t="str">
        <f>IF(COTIZACION!D30="","",COTIZACION!D30)</f>
        <v/>
      </c>
      <c r="J78" s="354" t="str">
        <f>IF(COTIZACION!C30="","",COTIZACION!B30)</f>
        <v/>
      </c>
      <c r="K78" s="437" t="str">
        <f>IF(COTIZACION!E7="NO ES VÁLIDA, RECONSIDERAR SU PRIMERA EMISIÓN","",IF(COTIZACION!F30&lt;&gt;"","",IF(COTIZACION!F30="EDAD NO PERMITIDA","EDAD NO PERMITIDA",IF($I$37="EXCLUIDO ",0,IF(H78="","",IF(I78="H",VLOOKUP(H78,TITULAR!$B$21:$G$127,5,0),VLOOKUP(H78,TITULAR!$B$21:$G$127,6,0)))))))</f>
        <v/>
      </c>
      <c r="L78" s="260"/>
      <c r="M78" s="260"/>
    </row>
    <row r="79" spans="1:13" s="208" customFormat="1" ht="11.5">
      <c r="A79" s="348">
        <f t="shared" ref="A79:A85" si="0">IF(AND(H79&lt;&gt;"",H79&gt;64),1,0)</f>
        <v>0</v>
      </c>
      <c r="B79" s="174"/>
      <c r="C79" s="474" t="str">
        <f>IF(COTIZACION!C31="","",COTIZACION!C31)</f>
        <v/>
      </c>
      <c r="D79" s="475"/>
      <c r="E79" s="475"/>
      <c r="F79" s="475"/>
      <c r="G79" s="475"/>
      <c r="H79" s="476" t="str">
        <f>+IF(COTIZACION!D9="INDIVIDUAL","",IF(COTIZACION!E31="","",COTIZACION!E31))</f>
        <v/>
      </c>
      <c r="I79" s="476" t="str">
        <f>IF(COTIZACION!D31="","",COTIZACION!D31)</f>
        <v/>
      </c>
      <c r="J79" s="476" t="str">
        <f>IF(COTIZACION!C31="","",COTIZACION!B31)</f>
        <v/>
      </c>
      <c r="K79" s="477" t="str">
        <f>IF(COTIZACION!E7="NO ES VÁLIDA, RECONSIDERAR SU PRIMERA EMISIÓN","",IF(COTIZACION!F30&lt;&gt;"","",IF(COTIZACION!F31="EDAD NO PERMITIDA","EDAD NO PERMITIDA",IF($I$37="EXCLUIDO ",0,IF(H79="","",IF(I79="H",VLOOKUP(H79,CONYUGE!$B$21:$G$121,5,0),IF(I79="M",VLOOKUP(H79,CONYUGE!$B$21:$G$121,6,0),"")))))))</f>
        <v/>
      </c>
      <c r="L79" s="260"/>
      <c r="M79" s="260"/>
    </row>
    <row r="80" spans="1:13" s="208" customFormat="1" ht="11.5">
      <c r="A80" s="348">
        <f t="shared" si="0"/>
        <v>0</v>
      </c>
      <c r="B80" s="174"/>
      <c r="C80" s="381" t="str">
        <f>IF(COTIZACION!C32="","",COTIZACION!C32)</f>
        <v/>
      </c>
      <c r="D80" s="200"/>
      <c r="E80" s="200"/>
      <c r="F80" s="200"/>
      <c r="G80" s="200"/>
      <c r="H80" s="354" t="str">
        <f>+IF(COTIZACION!D9="INDIVIDUAL","",IF(COTIZACION!E32="","",COTIZACION!E32))</f>
        <v/>
      </c>
      <c r="I80" s="354" t="str">
        <f>IF(COTIZACION!D32="","",COTIZACION!D32)</f>
        <v/>
      </c>
      <c r="J80" s="354" t="str">
        <f>IF(COTIZACION!C32="","",COTIZACION!B32)</f>
        <v/>
      </c>
      <c r="K80" s="438" t="str">
        <f>IF(COTIZACION!$E$7="NO ES VÁLIDA, RECONSIDERAR SU PRIMERA EMISIÓN","",IF(COTIZACION!$F$30&lt;&gt;"","",IF(COTIZACION!F32="EDAD NO PERMITIDA","EDAD NO PERMITIDA",IF($I$37="EXCLUIDO ",0,IF(H80="","",IF(I80="H",VLOOKUP(H80,DEPENDIENTE!$B$21:$G$106,5,0),IF(I80="M",VLOOKUP(H80,DEPENDIENTE!$B$21:$G$106,6,0),"")))))))</f>
        <v/>
      </c>
      <c r="L80" s="260"/>
      <c r="M80" s="260"/>
    </row>
    <row r="81" spans="1:14" s="208" customFormat="1" ht="11.5">
      <c r="A81" s="348">
        <f t="shared" si="0"/>
        <v>0</v>
      </c>
      <c r="B81" s="174"/>
      <c r="C81" s="474" t="str">
        <f>IF(COTIZACION!C33="","",COTIZACION!C33)</f>
        <v/>
      </c>
      <c r="D81" s="475"/>
      <c r="E81" s="475"/>
      <c r="F81" s="475"/>
      <c r="G81" s="475"/>
      <c r="H81" s="476" t="str">
        <f>+IF(COTIZACION!D9="INDIVIDUAL","",IF(COTIZACION!E33="","",COTIZACION!E33))</f>
        <v/>
      </c>
      <c r="I81" s="476" t="str">
        <f>IF(COTIZACION!D33="","",COTIZACION!D33)</f>
        <v/>
      </c>
      <c r="J81" s="476" t="str">
        <f>IF(COTIZACION!C33="","",COTIZACION!B33)</f>
        <v/>
      </c>
      <c r="K81" s="478" t="str">
        <f>IF(COTIZACION!E7="NO ES VÁLIDA, RECONSIDERAR SU PRIMERA EMISIÓN","",IF(COTIZACION!F30&lt;&gt;"","",IF(COTIZACION!F33="EDAD NO PERMITIDA","EDAD NO PERMITIDA",IF($I$37="EXCLUIDO ",0,IF(H81="","",IF(I81="H",VLOOKUP(H81,DEPENDIENTE!$B$21:$G$106,5,0),IF(I81="M",VLOOKUP(H81,DEPENDIENTE!$B$21:$G$106,6,0),"")))))))</f>
        <v/>
      </c>
      <c r="L81" s="260"/>
      <c r="M81" s="260"/>
    </row>
    <row r="82" spans="1:14" s="208" customFormat="1" ht="11.5">
      <c r="A82" s="348">
        <f t="shared" si="0"/>
        <v>0</v>
      </c>
      <c r="B82" s="174"/>
      <c r="C82" s="381" t="str">
        <f>IF(COTIZACION!C34="","",COTIZACION!C34)</f>
        <v/>
      </c>
      <c r="D82" s="200"/>
      <c r="E82" s="200"/>
      <c r="F82" s="200"/>
      <c r="G82" s="200"/>
      <c r="H82" s="354" t="str">
        <f>+IF(COTIZACION!D9="INDIVIDUAL","",IF(COTIZACION!E34="","",COTIZACION!E34))</f>
        <v/>
      </c>
      <c r="I82" s="354" t="str">
        <f>IF(COTIZACION!D34="","",COTIZACION!D34)</f>
        <v/>
      </c>
      <c r="J82" s="354" t="str">
        <f>IF(COTIZACION!C34="","",COTIZACION!B34)</f>
        <v/>
      </c>
      <c r="K82" s="441" t="str">
        <f>IF(COTIZACION!E7="NO ES VÁLIDA, RECONSIDERAR SU PRIMERA EMISIÓN","",IF(COTIZACION!F30&lt;&gt;"","",IF(COTIZACION!F34="EDAD NO PERMITIDA","EDAD NO PERMITIDA",IF($I$37="EXCLUIDO ",0,IF(H82="","",IF(I82="H",VLOOKUP(H82,DEPENDIENTE!$B$21:$G$106,5,0),IF(I82="M",VLOOKUP(H82,DEPENDIENTE!$B$21:$G$106,6,0),"")))))))</f>
        <v/>
      </c>
      <c r="L82" s="260"/>
      <c r="M82" s="260"/>
      <c r="N82" s="262"/>
    </row>
    <row r="83" spans="1:14" s="208" customFormat="1" ht="11.5">
      <c r="A83" s="348">
        <f t="shared" si="0"/>
        <v>0</v>
      </c>
      <c r="B83" s="174"/>
      <c r="C83" s="474" t="str">
        <f>IF(COTIZACION!C35="","",COTIZACION!C35)</f>
        <v/>
      </c>
      <c r="D83" s="475"/>
      <c r="E83" s="475"/>
      <c r="F83" s="475"/>
      <c r="G83" s="475"/>
      <c r="H83" s="476" t="str">
        <f>+IF(COTIZACION!D9="INDIVIDUAL","",IF(COTIZACION!E35="","",COTIZACION!E35))</f>
        <v/>
      </c>
      <c r="I83" s="476" t="str">
        <f>IF(COTIZACION!D35="","",COTIZACION!D35)</f>
        <v/>
      </c>
      <c r="J83" s="476" t="str">
        <f>IF(COTIZACION!C35="","",COTIZACION!B35)</f>
        <v/>
      </c>
      <c r="K83" s="479" t="str">
        <f>IF(COTIZACION!E7="NO ES VÁLIDA, RECONSIDERAR SU PRIMERA EMISIÓN","",IF(COTIZACION!F30&lt;&gt;"","",IF(COTIZACION!F35="EDAD NO PERMITIDA","EDAD NO PERMITIDA",IF($I$37="EXCLUIDO ",0,IF(H83="","",IF(I83="H",VLOOKUP(H83,DEPENDIENTE!$B$21:$G$106,5,0),IF(I83="M",VLOOKUP(H83,DEPENDIENTE!$B$21:$G$106,6,0),"")))))))</f>
        <v/>
      </c>
      <c r="L83" s="260"/>
      <c r="M83" s="260"/>
      <c r="N83" s="274"/>
    </row>
    <row r="84" spans="1:14" s="208" customFormat="1" ht="11.5">
      <c r="A84" s="348">
        <f t="shared" si="0"/>
        <v>0</v>
      </c>
      <c r="B84" s="174"/>
      <c r="C84" s="381" t="str">
        <f>IF(COTIZACION!C36="","",COTIZACION!C36)</f>
        <v/>
      </c>
      <c r="D84" s="200"/>
      <c r="E84" s="200"/>
      <c r="F84" s="200"/>
      <c r="G84" s="200"/>
      <c r="H84" s="354" t="str">
        <f>+IF(COTIZACION!D9="INDIVIDUAL","",IF(COTIZACION!E36="","",COTIZACION!E36))</f>
        <v/>
      </c>
      <c r="I84" s="354" t="str">
        <f>IF(COTIZACION!D36="","",COTIZACION!D36)</f>
        <v/>
      </c>
      <c r="J84" s="354" t="str">
        <f>IF(COTIZACION!C36="","",COTIZACION!B36)</f>
        <v/>
      </c>
      <c r="K84" s="441" t="str">
        <f>IF(COTIZACION!E7="NO ES VÁLIDA, RECONSIDERAR SU PRIMERA EMISIÓN","",IF(COTIZACION!F30&lt;&gt;"","",IF(COTIZACION!F36="EDAD NO PERMITIDA","EDAD NO PERMITIDA",IF($I$37="EXCLUIDO ",0,IF(H84="","",IF(I84="H",VLOOKUP(H84,DEPENDIENTE!$B$21:$G$106,5,0),IF(I84="M",VLOOKUP(H84,DEPENDIENTE!$B$21:$G$106,6,0),"")))))))</f>
        <v/>
      </c>
      <c r="L84" s="262"/>
      <c r="M84" s="260"/>
    </row>
    <row r="85" spans="1:14" s="208" customFormat="1" ht="11.5">
      <c r="A85" s="348">
        <f t="shared" si="0"/>
        <v>0</v>
      </c>
      <c r="B85" s="174"/>
      <c r="C85" s="480" t="str">
        <f>IF(COTIZACION!C37="","",COTIZACION!C37)</f>
        <v/>
      </c>
      <c r="D85" s="481"/>
      <c r="E85" s="481"/>
      <c r="F85" s="481"/>
      <c r="G85" s="481"/>
      <c r="H85" s="482" t="str">
        <f>+IF(COTIZACION!D9="INDIVIDUAL","",IF(COTIZACION!E37="","",COTIZACION!E37))</f>
        <v/>
      </c>
      <c r="I85" s="482" t="str">
        <f>IF(COTIZACION!D37="","",COTIZACION!D37)</f>
        <v/>
      </c>
      <c r="J85" s="482" t="str">
        <f>IF(COTIZACION!C37="","",COTIZACION!B37)</f>
        <v/>
      </c>
      <c r="K85" s="483" t="str">
        <f>IF(COTIZACION!E7="NO ES VÁLIDA, RECONSIDERAR SU PRIMERA EMISIÓN","",IF(COTIZACION!F30&lt;&gt;"","",IF(COTIZACION!F37="EDAD NO PERMITIDA","EDAD NO PERMITIDA",IF($I$37="EXCLUIDO ",0,IF(H85="","",IF(I85="H",VLOOKUP(H85,DEPENDIENTE!$B$21:$G$106,5,0),IF(I85="M",VLOOKUP(H85,DEPENDIENTE!$B$21:$G$106,6,0),"")))))))</f>
        <v/>
      </c>
      <c r="L85" s="262"/>
      <c r="M85" s="260"/>
    </row>
    <row r="86" spans="1:14" s="208" customFormat="1" ht="11.5">
      <c r="B86" s="174"/>
      <c r="C86" s="812" t="str">
        <f>IF(OR(COTIZACION!$E$30&gt;64,COTIZACION!$E$31&gt;64),"Esta cotización solo es valida para renovaciones","")</f>
        <v/>
      </c>
      <c r="D86" s="812"/>
      <c r="E86" s="812"/>
      <c r="F86" s="812"/>
      <c r="G86" s="812"/>
      <c r="H86" s="812"/>
      <c r="I86" s="201" t="s">
        <v>383</v>
      </c>
      <c r="J86" s="202"/>
      <c r="K86" s="203">
        <f>IF(COTIZACION!D7="NUEVA",IF(IMPRESION!A105=0,SUM(K78:K85),0),SUM(K78:K85))</f>
        <v>0</v>
      </c>
      <c r="L86" s="262"/>
      <c r="M86" s="260"/>
    </row>
    <row r="87" spans="1:14" s="208" customFormat="1" ht="11.5" hidden="1">
      <c r="B87" s="174"/>
      <c r="C87" s="813"/>
      <c r="D87" s="813"/>
      <c r="E87" s="813"/>
      <c r="F87" s="813"/>
      <c r="G87" s="813"/>
      <c r="H87" s="813"/>
      <c r="I87" s="204" t="s">
        <v>84</v>
      </c>
      <c r="J87" s="204"/>
      <c r="K87" s="205">
        <f>+TITULAR!G17</f>
        <v>0</v>
      </c>
      <c r="L87" s="262"/>
      <c r="M87" s="281"/>
    </row>
    <row r="88" spans="1:14" s="208" customFormat="1" ht="11.5">
      <c r="B88" s="174"/>
      <c r="C88" s="813"/>
      <c r="D88" s="813"/>
      <c r="E88" s="813"/>
      <c r="F88" s="813"/>
      <c r="G88" s="813"/>
      <c r="H88" s="813"/>
      <c r="I88" s="204" t="s">
        <v>85</v>
      </c>
      <c r="J88" s="204"/>
      <c r="K88" s="205">
        <f>IF(K86=0,0,IF(I37="EXCLUIDO ",0,+TITULAR!I25))</f>
        <v>0</v>
      </c>
      <c r="L88" s="274"/>
      <c r="M88" s="282"/>
    </row>
    <row r="89" spans="1:14" s="208" customFormat="1" ht="11.5">
      <c r="B89" s="174"/>
      <c r="C89" s="813"/>
      <c r="D89" s="813"/>
      <c r="E89" s="813"/>
      <c r="F89" s="813"/>
      <c r="G89" s="813"/>
      <c r="H89" s="813"/>
      <c r="I89" s="204" t="s">
        <v>86</v>
      </c>
      <c r="J89" s="204"/>
      <c r="K89" s="203">
        <f>+K86+K88</f>
        <v>0</v>
      </c>
      <c r="M89" s="260"/>
    </row>
    <row r="90" spans="1:14" s="208" customFormat="1" ht="15.75" customHeight="1">
      <c r="B90" s="174"/>
      <c r="C90" s="382"/>
      <c r="D90" s="382"/>
      <c r="E90" s="456" t="str">
        <f>COTIZACION!D13</f>
        <v>CIUDAD DE MÉXICO</v>
      </c>
      <c r="F90" s="457"/>
      <c r="G90" s="175"/>
      <c r="H90" s="175"/>
      <c r="I90" s="204" t="s">
        <v>87</v>
      </c>
      <c r="J90" s="204"/>
      <c r="K90" s="205">
        <f>+K89*TITULAR!K25</f>
        <v>0</v>
      </c>
      <c r="M90" s="282"/>
    </row>
    <row r="91" spans="1:14" ht="12.75" customHeight="1">
      <c r="A91" s="208"/>
      <c r="B91" s="174"/>
      <c r="H91" s="175"/>
      <c r="I91" s="206" t="s">
        <v>88</v>
      </c>
      <c r="J91" s="206"/>
      <c r="K91" s="207">
        <f>SUM(K89:K90)</f>
        <v>0</v>
      </c>
      <c r="M91" s="285"/>
    </row>
    <row r="92" spans="1:14" ht="14">
      <c r="B92" s="174"/>
      <c r="C92" s="353"/>
      <c r="D92" s="353"/>
      <c r="E92" s="807" t="str">
        <f>IF(COTIZACION!C42="","",COTIZACION!C42)</f>
        <v/>
      </c>
      <c r="F92" s="807"/>
      <c r="G92" s="807"/>
      <c r="K92" s="708"/>
    </row>
    <row r="93" spans="1:14" ht="16.5" customHeight="1">
      <c r="B93" s="174"/>
      <c r="C93" s="176"/>
      <c r="D93" s="176"/>
      <c r="E93" s="177"/>
      <c r="F93" s="177"/>
      <c r="G93" s="177"/>
      <c r="K93" s="709"/>
    </row>
    <row r="94" spans="1:14">
      <c r="B94" s="174"/>
      <c r="C94" s="805"/>
      <c r="D94" s="805"/>
      <c r="E94" s="352"/>
      <c r="F94" s="352"/>
      <c r="G94" s="352"/>
      <c r="H94" s="175"/>
      <c r="K94" s="199"/>
    </row>
    <row r="95" spans="1:14" ht="13" customHeight="1">
      <c r="B95" s="174"/>
      <c r="C95" s="810" t="str">
        <f>+COTIZACION!G30</f>
        <v>ANUAL</v>
      </c>
      <c r="D95" s="811"/>
      <c r="E95" s="459">
        <f>IF(COTIZACION!F30&lt;&gt;"",0,IF(K86=0,0,IF(I37="EXCLUIDO ",0,(K86/(1+K87)+DER)*(1+COTIZACION!$D$26))))</f>
        <v>0</v>
      </c>
      <c r="F95" s="459">
        <v>0</v>
      </c>
      <c r="G95" s="459">
        <f>+F95+E95</f>
        <v>0</v>
      </c>
      <c r="H95" s="726"/>
      <c r="I95" s="728"/>
      <c r="K95" s="199"/>
    </row>
    <row r="96" spans="1:14" ht="13" customHeight="1">
      <c r="B96" s="174"/>
      <c r="C96" s="458" t="str">
        <f>"SEMESTRAL    (Recargo "&amp;COTIZACION!H39*100&amp;"%)"</f>
        <v>SEMESTRAL    (Recargo 4.73%)</v>
      </c>
      <c r="D96" s="458"/>
      <c r="E96" s="459">
        <f>+COTIZACION!H31</f>
        <v>0</v>
      </c>
      <c r="F96" s="459">
        <f>+COTIZACION!I31</f>
        <v>0</v>
      </c>
      <c r="G96" s="459">
        <f>+F96+E96</f>
        <v>0</v>
      </c>
      <c r="H96" s="726"/>
      <c r="I96" s="728"/>
    </row>
    <row r="97" spans="1:12" ht="13" customHeight="1">
      <c r="B97" s="174"/>
      <c r="C97" s="458" t="str">
        <f>"TRIMESTRAL  (Recargo "&amp;COTIZACION!H40*100&amp;"%)"</f>
        <v>TRIMESTRAL  (Recargo 6.99%)</v>
      </c>
      <c r="D97" s="460"/>
      <c r="E97" s="459">
        <f>+COTIZACION!H32</f>
        <v>0</v>
      </c>
      <c r="F97" s="459">
        <f>+COTIZACION!I32</f>
        <v>0</v>
      </c>
      <c r="G97" s="459">
        <f>+F97*3+E97</f>
        <v>0</v>
      </c>
      <c r="H97" s="726"/>
      <c r="I97" s="728"/>
    </row>
    <row r="98" spans="1:12" ht="13" customHeight="1">
      <c r="B98" s="174"/>
      <c r="C98" s="458" t="str">
        <f>"MENSUAL        (Recargo "&amp;COTIZACION!H41*100&amp;"%)"</f>
        <v>MENSUAL        (Recargo 9.99%)</v>
      </c>
      <c r="D98" s="460"/>
      <c r="E98" s="459">
        <f>+COTIZACION!H33</f>
        <v>0</v>
      </c>
      <c r="F98" s="459">
        <f>+COTIZACION!I33</f>
        <v>0</v>
      </c>
      <c r="G98" s="459">
        <f>+F98*11+E98</f>
        <v>0</v>
      </c>
      <c r="H98" s="727"/>
      <c r="I98" s="728"/>
    </row>
    <row r="99" spans="1:12"/>
    <row r="100" spans="1:12" ht="12.75" customHeight="1">
      <c r="C100" s="803" t="s">
        <v>116</v>
      </c>
      <c r="D100" s="803"/>
      <c r="E100" s="803"/>
      <c r="F100" s="803"/>
      <c r="G100" s="803"/>
      <c r="H100" s="803"/>
      <c r="I100" s="803"/>
      <c r="J100" s="803"/>
      <c r="K100" s="803"/>
    </row>
    <row r="101" spans="1:12" ht="12.75" customHeight="1">
      <c r="C101" s="434" t="s">
        <v>270</v>
      </c>
      <c r="D101" s="435"/>
      <c r="E101" s="435"/>
      <c r="F101" s="435"/>
      <c r="G101" s="435"/>
      <c r="H101" s="435"/>
      <c r="I101" s="435"/>
      <c r="J101" s="435"/>
      <c r="K101" s="435"/>
    </row>
    <row r="102" spans="1:12" ht="12.75" customHeight="1">
      <c r="C102" s="434" t="s">
        <v>271</v>
      </c>
      <c r="D102" s="435"/>
      <c r="E102" s="435"/>
      <c r="F102" s="435"/>
      <c r="G102" s="435"/>
      <c r="H102" s="435"/>
      <c r="I102" s="435"/>
      <c r="J102" s="435"/>
      <c r="K102" s="435"/>
    </row>
    <row r="103" spans="1:12">
      <c r="C103" s="804" t="s">
        <v>326</v>
      </c>
      <c r="D103" s="804"/>
      <c r="E103" s="804"/>
      <c r="F103" s="804"/>
      <c r="G103" s="804"/>
      <c r="H103" s="804"/>
      <c r="I103" s="804"/>
      <c r="J103" s="804"/>
      <c r="K103" s="804"/>
    </row>
    <row r="104" spans="1:12" ht="10.5" customHeight="1">
      <c r="C104" s="804"/>
      <c r="D104" s="804"/>
      <c r="E104" s="804"/>
      <c r="F104" s="804"/>
      <c r="G104" s="804"/>
      <c r="H104" s="804"/>
      <c r="I104" s="804"/>
      <c r="J104" s="804"/>
      <c r="K104" s="804"/>
    </row>
    <row r="105" spans="1:12" ht="17.25" customHeight="1">
      <c r="A105" s="383">
        <f>SUM(A78:A85)</f>
        <v>0</v>
      </c>
      <c r="B105" s="384"/>
      <c r="C105" s="800" t="str">
        <f>+CONCATENATE("EN SEGUROS BANORTE ESTA COTIZACIÓN ",COTIZACION!E7)</f>
        <v>EN SEGUROS BANORTE ESTA COTIZACIÓN APLICA PARA AQUELLA PÓLIZA NUEVA CON PRIMER VIGENCIA EMITIDA A PARTIR DEL 01/10/2016</v>
      </c>
      <c r="D105" s="800"/>
      <c r="E105" s="800"/>
      <c r="F105" s="800"/>
      <c r="G105" s="800"/>
      <c r="H105" s="800"/>
      <c r="I105" s="800"/>
      <c r="J105" s="800"/>
      <c r="K105" s="800"/>
      <c r="L105" s="800"/>
    </row>
    <row r="106" spans="1:12" ht="17.25" customHeight="1">
      <c r="A106" s="383"/>
      <c r="B106" s="384"/>
      <c r="C106" s="800"/>
      <c r="D106" s="800"/>
      <c r="E106" s="800"/>
      <c r="F106" s="800"/>
      <c r="G106" s="800"/>
      <c r="H106" s="800"/>
      <c r="I106" s="800"/>
      <c r="J106" s="800"/>
      <c r="K106" s="800"/>
      <c r="L106" s="800"/>
    </row>
    <row r="107" spans="1:12" ht="15.75" customHeight="1">
      <c r="B107" s="390" t="s">
        <v>384</v>
      </c>
      <c r="C107" s="208"/>
      <c r="D107" s="208"/>
      <c r="E107" s="208"/>
      <c r="F107" s="208"/>
    </row>
    <row r="108" spans="1:12" ht="14.25" customHeight="1">
      <c r="C108" s="208"/>
      <c r="D108" s="208"/>
      <c r="E108" s="208"/>
      <c r="F108" s="208"/>
    </row>
    <row r="109" spans="1:12" ht="15.75" customHeight="1">
      <c r="C109" s="208"/>
      <c r="D109" s="208"/>
      <c r="E109" s="208"/>
      <c r="F109" s="208"/>
    </row>
    <row r="110" spans="1:12">
      <c r="C110" s="208"/>
      <c r="D110" s="208"/>
      <c r="E110" s="208"/>
      <c r="F110" s="208"/>
    </row>
    <row r="111" spans="1:12">
      <c r="C111" s="208"/>
      <c r="D111" s="208"/>
      <c r="E111" s="208"/>
      <c r="F111" s="208"/>
    </row>
    <row r="112" spans="1:12">
      <c r="D112" s="233"/>
      <c r="E112" s="233"/>
      <c r="F112" s="233"/>
    </row>
    <row r="113"/>
    <row r="114"/>
    <row r="210" spans="1:5" ht="12" hidden="1" customHeight="1"/>
    <row r="215" spans="1:5" ht="10.5" hidden="1" thickBot="1"/>
    <row r="216" spans="1:5" s="175" customFormat="1" ht="10.5" hidden="1" thickTop="1">
      <c r="A216" s="291"/>
      <c r="B216" s="292"/>
      <c r="C216" s="177"/>
      <c r="D216" s="177"/>
      <c r="E216" s="177"/>
    </row>
    <row r="217" spans="1:5" s="175" customFormat="1" hidden="1">
      <c r="A217" s="294"/>
      <c r="B217" s="295"/>
      <c r="C217" s="177"/>
      <c r="D217" s="177"/>
      <c r="E217" s="177"/>
    </row>
    <row r="218" spans="1:5" s="175" customFormat="1" hidden="1">
      <c r="A218" s="294"/>
      <c r="B218" s="295"/>
      <c r="C218" s="177"/>
      <c r="D218" s="177"/>
      <c r="E218" s="177"/>
    </row>
    <row r="219" spans="1:5" s="175" customFormat="1" hidden="1">
      <c r="A219" s="294"/>
      <c r="B219" s="295"/>
      <c r="C219" s="177"/>
      <c r="D219" s="177"/>
      <c r="E219" s="177"/>
    </row>
    <row r="220" spans="1:5" s="175" customFormat="1" hidden="1">
      <c r="A220" s="294"/>
      <c r="B220" s="295"/>
      <c r="C220" s="177"/>
      <c r="D220" s="177"/>
      <c r="E220" s="177"/>
    </row>
    <row r="221" spans="1:5" s="175" customFormat="1" hidden="1">
      <c r="A221" s="294"/>
      <c r="B221" s="295"/>
      <c r="C221" s="177"/>
      <c r="D221" s="177"/>
      <c r="E221" s="177"/>
    </row>
    <row r="222" spans="1:5" s="175" customFormat="1" hidden="1">
      <c r="A222" s="294"/>
      <c r="B222" s="295"/>
      <c r="C222" s="177"/>
      <c r="D222" s="177"/>
      <c r="E222" s="177"/>
    </row>
    <row r="223" spans="1:5" s="175" customFormat="1" ht="10.5" hidden="1" thickBot="1">
      <c r="A223" s="299"/>
      <c r="B223" s="300"/>
      <c r="C223" s="177"/>
      <c r="D223" s="177"/>
      <c r="E223" s="177"/>
    </row>
    <row r="224" spans="1:5" s="175" customFormat="1" ht="10.5" hidden="1" thickTop="1">
      <c r="A224" s="301"/>
      <c r="B224" s="301"/>
    </row>
    <row r="225" spans="1:2" s="175" customFormat="1" hidden="1">
      <c r="A225" s="306" t="s">
        <v>110</v>
      </c>
      <c r="B225" s="301"/>
    </row>
    <row r="226" spans="1:2" s="175" customFormat="1" hidden="1">
      <c r="A226" s="306" t="e">
        <f>IF(#REF!="ANUAL",1,IF(#REF!="SEMESTRAL",2,IF(#REF!="TRIMESTRAL",4,IF(#REF!="MENSUAL",12,1))))</f>
        <v>#REF!</v>
      </c>
      <c r="B226" s="301"/>
    </row>
    <row r="227" spans="1:2" s="175" customFormat="1" hidden="1">
      <c r="A227" s="301"/>
      <c r="B227" s="301"/>
    </row>
    <row r="228" spans="1:2" s="175" customFormat="1" hidden="1">
      <c r="A228" s="301" t="s">
        <v>43</v>
      </c>
      <c r="B228" s="301"/>
    </row>
    <row r="229" spans="1:2" s="175" customFormat="1" hidden="1">
      <c r="A229" s="315">
        <v>0.1</v>
      </c>
      <c r="B229" s="301"/>
    </row>
    <row r="230" spans="1:2" s="175" customFormat="1" hidden="1">
      <c r="A230" s="315">
        <v>0.15</v>
      </c>
      <c r="B230" s="301"/>
    </row>
    <row r="231" spans="1:2" s="175" customFormat="1" hidden="1">
      <c r="A231" s="301"/>
      <c r="B231" s="301"/>
    </row>
    <row r="232" spans="1:2" s="175" customFormat="1" hidden="1">
      <c r="A232" s="301"/>
      <c r="B232" s="301"/>
    </row>
    <row r="233" spans="1:2" s="175" customFormat="1" hidden="1">
      <c r="A233" s="301"/>
      <c r="B233" s="301"/>
    </row>
    <row r="234" spans="1:2" s="175" customFormat="1" hidden="1">
      <c r="A234" s="301"/>
      <c r="B234" s="301"/>
    </row>
    <row r="235" spans="1:2" s="175" customFormat="1" hidden="1">
      <c r="A235" s="301"/>
      <c r="B235" s="301"/>
    </row>
    <row r="236" spans="1:2" s="175" customFormat="1" hidden="1">
      <c r="A236" s="301"/>
      <c r="B236" s="301"/>
    </row>
    <row r="237" spans="1:2" s="175" customFormat="1" hidden="1">
      <c r="A237" s="301"/>
      <c r="B237" s="301"/>
    </row>
    <row r="238" spans="1:2" s="175" customFormat="1" hidden="1">
      <c r="A238" s="301"/>
      <c r="B238" s="301"/>
    </row>
    <row r="239" spans="1:2" s="175" customFormat="1" hidden="1">
      <c r="A239" s="301"/>
      <c r="B239" s="301"/>
    </row>
    <row r="240" spans="1:2" s="175" customFormat="1" hidden="1">
      <c r="A240" s="301"/>
      <c r="B240" s="301"/>
    </row>
    <row r="241" spans="1:2" s="175" customFormat="1" hidden="1">
      <c r="A241" s="301"/>
      <c r="B241" s="301"/>
    </row>
    <row r="242" spans="1:2" s="175" customFormat="1" hidden="1">
      <c r="A242" s="301"/>
      <c r="B242" s="301"/>
    </row>
    <row r="243" spans="1:2" s="175" customFormat="1" hidden="1">
      <c r="A243" s="301"/>
      <c r="B243" s="301"/>
    </row>
    <row r="244" spans="1:2" s="175" customFormat="1" hidden="1">
      <c r="A244" s="301"/>
      <c r="B244" s="301"/>
    </row>
    <row r="245" spans="1:2" s="175" customFormat="1" hidden="1">
      <c r="A245" s="301"/>
      <c r="B245" s="301"/>
    </row>
    <row r="246" spans="1:2"/>
    <row r="247" spans="1:2"/>
  </sheetData>
  <sheetProtection algorithmName="SHA-512" hashValue="ywim4xQnRa60jwv1cYIIhVDN9nTSYDJybVIqjY5yYbhfPpOMse09GpENckSWjphInm2r7ElllpYYjUNA7PPXFg==" saltValue="tlLviRjwhKkdR96med89Wg==" spinCount="100000" sheet="1" selectLockedCells="1"/>
  <mergeCells count="14">
    <mergeCell ref="C105:L106"/>
    <mergeCell ref="B9:K10"/>
    <mergeCell ref="C75:K75"/>
    <mergeCell ref="C100:K100"/>
    <mergeCell ref="C103:K104"/>
    <mergeCell ref="C94:D94"/>
    <mergeCell ref="B12:K12"/>
    <mergeCell ref="E92:G92"/>
    <mergeCell ref="C76:G77"/>
    <mergeCell ref="H76:H77"/>
    <mergeCell ref="I76:I77"/>
    <mergeCell ref="J76:J77"/>
    <mergeCell ref="C95:D95"/>
    <mergeCell ref="C86:H89"/>
  </mergeCells>
  <phoneticPr fontId="0" type="noConversion"/>
  <printOptions horizontalCentered="1" verticalCentered="1"/>
  <pageMargins left="0.39370078740157483" right="0.39370078740157483" top="0.19685039370078741" bottom="0.35433070866141736" header="0" footer="0.23622047244094491"/>
  <pageSetup paperSize="9" scale="60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indexed="25"/>
    <pageSetUpPr fitToPage="1"/>
  </sheetPr>
  <dimension ref="A1:M259"/>
  <sheetViews>
    <sheetView showGridLines="0" showRowColHeaders="0" topLeftCell="A70" zoomScaleNormal="100" workbookViewId="0">
      <selection activeCell="G88" sqref="G88"/>
    </sheetView>
  </sheetViews>
  <sheetFormatPr baseColWidth="10" defaultColWidth="0" defaultRowHeight="10" zeroHeight="1"/>
  <cols>
    <col min="1" max="1" width="5.7265625" style="3" customWidth="1"/>
    <col min="2" max="2" width="11.54296875" style="3" customWidth="1"/>
    <col min="3" max="3" width="11.7265625" style="3" customWidth="1"/>
    <col min="4" max="4" width="13.81640625" style="3" bestFit="1" customWidth="1"/>
    <col min="5" max="5" width="12" style="3" customWidth="1"/>
    <col min="6" max="6" width="11.1796875" style="3" customWidth="1"/>
    <col min="7" max="7" width="12" style="3" customWidth="1"/>
    <col min="8" max="8" width="13.81640625" style="3" customWidth="1"/>
    <col min="9" max="9" width="12.7265625" style="3" customWidth="1"/>
    <col min="10" max="10" width="11.1796875" style="3" customWidth="1"/>
    <col min="11" max="11" width="12.81640625" style="3" customWidth="1"/>
    <col min="12" max="12" width="13.54296875" style="3" customWidth="1"/>
    <col min="13" max="13" width="11.453125" style="3" customWidth="1"/>
    <col min="14" max="16384" width="11.453125" style="129" hidden="1"/>
  </cols>
  <sheetData>
    <row r="1" spans="2:12"/>
    <row r="2" spans="2:12"/>
    <row r="3" spans="2:12"/>
    <row r="4" spans="2:12"/>
    <row r="5" spans="2:12"/>
    <row r="6" spans="2:12"/>
    <row r="7" spans="2:12" ht="15" customHeight="1">
      <c r="C7" s="497"/>
      <c r="D7" s="498" t="str">
        <f>+COTIZACION!D7</f>
        <v>NUEVA</v>
      </c>
      <c r="K7" s="152" t="s">
        <v>182</v>
      </c>
      <c r="L7" s="499">
        <f>+COTIZACION!D14</f>
        <v>5</v>
      </c>
    </row>
    <row r="8" spans="2:12" ht="15" customHeight="1">
      <c r="K8" s="152"/>
      <c r="L8" s="82"/>
    </row>
    <row r="9" spans="2:12" ht="15" customHeight="1">
      <c r="C9" s="486" t="s">
        <v>221</v>
      </c>
      <c r="D9" s="485"/>
      <c r="E9" s="368"/>
      <c r="F9" s="368"/>
      <c r="G9" s="368"/>
      <c r="H9" s="368"/>
      <c r="I9" s="368"/>
      <c r="J9" s="368"/>
      <c r="K9" s="385"/>
      <c r="L9" s="82"/>
    </row>
    <row r="10" spans="2:12" ht="11.5">
      <c r="B10" s="129"/>
      <c r="C10" s="366" t="s">
        <v>222</v>
      </c>
      <c r="D10" s="368"/>
      <c r="E10" s="368"/>
      <c r="F10" s="389" t="str">
        <f>IF(COTIZACION!D11&gt;50000,"No incluido",IF(COTIZACION!D16="si",COTIZACION!D17,"$20,000 Cobertura Básica"))</f>
        <v>$20,000 Cobertura Básica</v>
      </c>
      <c r="G10" s="367"/>
      <c r="H10" s="366" t="s">
        <v>216</v>
      </c>
      <c r="I10" s="152"/>
      <c r="J10" s="366"/>
      <c r="K10" s="388" t="str">
        <f>IF(COTIZACION!D20="SI","Incluido"&amp;" con Zona "&amp;COTIZACION!D22,"No Incluido")</f>
        <v>No Incluido</v>
      </c>
    </row>
    <row r="11" spans="2:12" ht="11.25" customHeight="1">
      <c r="B11" s="129"/>
      <c r="C11" s="366" t="s">
        <v>217</v>
      </c>
      <c r="D11" s="368"/>
      <c r="E11" s="368"/>
      <c r="F11" s="368" t="str">
        <f>IF(COTIZACION!D11&gt;50000,"No incluido",IF(COTIZACION!D15="SI","Incluido","No Incluido"))</f>
        <v>No Incluido</v>
      </c>
      <c r="G11" s="367"/>
      <c r="H11" s="814" t="s">
        <v>172</v>
      </c>
      <c r="I11" s="814"/>
      <c r="J11" s="814"/>
      <c r="K11" s="389" t="str">
        <f>IF(AND(COTIZACION!D19&lt;&gt;"NO",COTIZACION!E19=""),COTIZACION!D19,"No Incluido")</f>
        <v>No Incluido</v>
      </c>
    </row>
    <row r="12" spans="2:12" ht="13.5" customHeight="1">
      <c r="B12" s="129"/>
      <c r="C12" s="387" t="s">
        <v>185</v>
      </c>
      <c r="D12" s="368"/>
      <c r="E12" s="368"/>
      <c r="F12" s="386" t="str">
        <f>IF(COTIZACION!D21="SI","Incluido","No Incluido")</f>
        <v>No Incluido</v>
      </c>
      <c r="G12" s="367"/>
      <c r="H12" s="814"/>
      <c r="I12" s="814"/>
      <c r="J12" s="814"/>
    </row>
    <row r="13" spans="2:12">
      <c r="B13" s="129"/>
      <c r="F13" s="2"/>
      <c r="J13" s="2"/>
    </row>
    <row r="14" spans="2:12">
      <c r="B14" s="129"/>
      <c r="F14" s="2"/>
      <c r="J14" s="2"/>
    </row>
    <row r="15" spans="2:12" ht="11.5">
      <c r="B15" s="367" t="s">
        <v>12</v>
      </c>
      <c r="C15" s="368"/>
      <c r="D15" s="370">
        <f>TITULAR!E5</f>
        <v>100000000</v>
      </c>
      <c r="F15" s="367" t="s">
        <v>12</v>
      </c>
      <c r="G15" s="368"/>
      <c r="H15" s="370">
        <f>CONYUGE!E5</f>
        <v>100000000</v>
      </c>
      <c r="J15" s="367" t="s">
        <v>12</v>
      </c>
      <c r="K15" s="368"/>
      <c r="L15" s="370">
        <f>DEPENDIENTE!E5</f>
        <v>100000000</v>
      </c>
    </row>
    <row r="16" spans="2:12" ht="11.5">
      <c r="B16" s="367" t="s">
        <v>13</v>
      </c>
      <c r="C16" s="368"/>
      <c r="D16" s="370">
        <f>TITULAR!E6</f>
        <v>12000</v>
      </c>
      <c r="F16" s="367" t="s">
        <v>13</v>
      </c>
      <c r="G16" s="368"/>
      <c r="H16" s="370">
        <f>CONYUGE!E6</f>
        <v>12000</v>
      </c>
      <c r="J16" s="367" t="s">
        <v>13</v>
      </c>
      <c r="K16" s="368"/>
      <c r="L16" s="370">
        <f>DEPENDIENTE!E6</f>
        <v>12000</v>
      </c>
    </row>
    <row r="17" spans="1:13" ht="11.5">
      <c r="B17" s="367" t="s">
        <v>14</v>
      </c>
      <c r="C17" s="368"/>
      <c r="D17" s="369">
        <f>TITULAR!E8</f>
        <v>0.1</v>
      </c>
      <c r="F17" s="367" t="s">
        <v>14</v>
      </c>
      <c r="G17" s="368"/>
      <c r="H17" s="369">
        <f>CONYUGE!E7</f>
        <v>0.1</v>
      </c>
      <c r="J17" s="367" t="s">
        <v>14</v>
      </c>
      <c r="K17" s="368"/>
      <c r="L17" s="369">
        <f>DEPENDIENTE!E7</f>
        <v>0.1</v>
      </c>
    </row>
    <row r="18" spans="1:13"/>
    <row r="19" spans="1:13" ht="13.5" customHeight="1">
      <c r="A19" s="37"/>
      <c r="B19" s="2"/>
      <c r="C19" s="816"/>
      <c r="D19" s="816"/>
      <c r="E19" s="37"/>
      <c r="F19" s="2"/>
      <c r="G19" s="816" t="s">
        <v>51</v>
      </c>
      <c r="H19" s="816"/>
      <c r="I19" s="37"/>
      <c r="J19" s="2"/>
      <c r="K19" s="816"/>
      <c r="L19" s="816"/>
      <c r="M19" s="37"/>
    </row>
    <row r="20" spans="1:13">
      <c r="A20" s="37"/>
      <c r="B20" s="2"/>
      <c r="C20" s="816"/>
      <c r="D20" s="816"/>
      <c r="E20" s="37"/>
      <c r="F20" s="2"/>
      <c r="G20" s="816"/>
      <c r="H20" s="816"/>
      <c r="I20" s="37"/>
      <c r="J20" s="2"/>
      <c r="K20" s="816"/>
      <c r="L20" s="816"/>
      <c r="M20" s="37"/>
    </row>
    <row r="21" spans="1:13">
      <c r="A21" s="37"/>
      <c r="B21" s="487" t="s">
        <v>9</v>
      </c>
      <c r="C21" s="487" t="s">
        <v>16</v>
      </c>
      <c r="D21" s="487" t="s">
        <v>17</v>
      </c>
      <c r="E21" s="37"/>
      <c r="F21" s="487" t="s">
        <v>9</v>
      </c>
      <c r="G21" s="487" t="s">
        <v>16</v>
      </c>
      <c r="H21" s="487" t="s">
        <v>17</v>
      </c>
      <c r="I21" s="37"/>
      <c r="J21" s="487" t="s">
        <v>9</v>
      </c>
      <c r="K21" s="487" t="s">
        <v>16</v>
      </c>
      <c r="L21" s="487" t="s">
        <v>17</v>
      </c>
      <c r="M21" s="37"/>
    </row>
    <row r="22" spans="1:13">
      <c r="A22" s="37"/>
      <c r="B22" s="365" t="s">
        <v>180</v>
      </c>
      <c r="C22" s="371">
        <f>+TITULAR!J45</f>
        <v>24508.630799999999</v>
      </c>
      <c r="D22" s="371">
        <f>+TITULAR!K45</f>
        <v>26616.640800000001</v>
      </c>
      <c r="E22" s="37"/>
      <c r="F22" s="365" t="s">
        <v>180</v>
      </c>
      <c r="G22" s="371">
        <f>+CONYUGE!J39</f>
        <v>23522.630799999999</v>
      </c>
      <c r="H22" s="371">
        <f>+CONYUGE!K39</f>
        <v>25630.640800000001</v>
      </c>
      <c r="I22" s="37"/>
      <c r="J22" s="365" t="s">
        <v>181</v>
      </c>
      <c r="K22" s="371">
        <f>+DEPENDIENTE!J26</f>
        <v>24033.657200000001</v>
      </c>
      <c r="L22" s="371">
        <f>+DEPENDIENTE!K26</f>
        <v>24047.0088</v>
      </c>
      <c r="M22" s="37"/>
    </row>
    <row r="23" spans="1:13">
      <c r="A23" s="36"/>
      <c r="B23" s="488">
        <f>+B22+1</f>
        <v>19</v>
      </c>
      <c r="C23" s="489">
        <f>+TITULAR!J46</f>
        <v>25220.360400000001</v>
      </c>
      <c r="D23" s="489">
        <f>+TITULAR!K46</f>
        <v>26898.520799999998</v>
      </c>
      <c r="E23" s="36"/>
      <c r="F23" s="488">
        <f>+F22+1</f>
        <v>19</v>
      </c>
      <c r="G23" s="489">
        <f>+CONYUGE!J40</f>
        <v>24234.360400000001</v>
      </c>
      <c r="H23" s="489">
        <f>+CONYUGE!K40</f>
        <v>25912.520799999998</v>
      </c>
      <c r="I23" s="36"/>
      <c r="J23" s="488">
        <v>6</v>
      </c>
      <c r="K23" s="489">
        <f>+DEPENDIENTE!J27</f>
        <v>24033.657200000001</v>
      </c>
      <c r="L23" s="489">
        <f>+DEPENDIENTE!K27</f>
        <v>24047.0088</v>
      </c>
      <c r="M23" s="37"/>
    </row>
    <row r="24" spans="1:13">
      <c r="A24" s="36"/>
      <c r="B24" s="365">
        <f t="shared" ref="B24:B68" si="0">+B23+1</f>
        <v>20</v>
      </c>
      <c r="C24" s="371">
        <f>+TITULAR!J47</f>
        <v>25878.149999999998</v>
      </c>
      <c r="D24" s="371">
        <f>+TITULAR!K47</f>
        <v>29985.814399999999</v>
      </c>
      <c r="E24" s="36"/>
      <c r="F24" s="365">
        <f t="shared" ref="F24:F68" si="1">+F23+1</f>
        <v>20</v>
      </c>
      <c r="G24" s="371">
        <f>+CONYUGE!J41</f>
        <v>24892.149999999998</v>
      </c>
      <c r="H24" s="371">
        <f>+CONYUGE!K41</f>
        <v>28999.814399999999</v>
      </c>
      <c r="I24" s="36"/>
      <c r="J24" s="365">
        <f>+J23+1</f>
        <v>7</v>
      </c>
      <c r="K24" s="371">
        <f>+DEPENDIENTE!J28</f>
        <v>24033.657200000001</v>
      </c>
      <c r="L24" s="371">
        <f>+DEPENDIENTE!K28</f>
        <v>24047.0088</v>
      </c>
      <c r="M24" s="37"/>
    </row>
    <row r="25" spans="1:13">
      <c r="A25" s="38"/>
      <c r="B25" s="488">
        <f t="shared" si="0"/>
        <v>21</v>
      </c>
      <c r="C25" s="489">
        <f>+TITULAR!J48</f>
        <v>27053.3344</v>
      </c>
      <c r="D25" s="489">
        <f>+TITULAR!K48</f>
        <v>36612.093999999997</v>
      </c>
      <c r="E25" s="38"/>
      <c r="F25" s="488">
        <f t="shared" si="1"/>
        <v>21</v>
      </c>
      <c r="G25" s="489">
        <f>+CONYUGE!J42</f>
        <v>26067.3344</v>
      </c>
      <c r="H25" s="489">
        <f>+CONYUGE!K42</f>
        <v>35626.093999999997</v>
      </c>
      <c r="I25" s="38"/>
      <c r="J25" s="488">
        <f t="shared" ref="J25:J41" si="2">+J24+1</f>
        <v>8</v>
      </c>
      <c r="K25" s="489">
        <f>+DEPENDIENTE!J29</f>
        <v>24033.657200000001</v>
      </c>
      <c r="L25" s="489">
        <f>+DEPENDIENTE!K29</f>
        <v>24047.0088</v>
      </c>
      <c r="M25" s="37"/>
    </row>
    <row r="26" spans="1:13">
      <c r="A26" s="38"/>
      <c r="B26" s="365">
        <f t="shared" si="0"/>
        <v>22</v>
      </c>
      <c r="C26" s="371">
        <f>+TITULAR!J49</f>
        <v>28107.855599999999</v>
      </c>
      <c r="D26" s="371">
        <f>+TITULAR!K49</f>
        <v>38011.552799999998</v>
      </c>
      <c r="E26" s="38"/>
      <c r="F26" s="365">
        <f t="shared" si="1"/>
        <v>22</v>
      </c>
      <c r="G26" s="371">
        <f>+CONYUGE!J43</f>
        <v>27121.855599999999</v>
      </c>
      <c r="H26" s="371">
        <f>+CONYUGE!K43</f>
        <v>37025.552799999998</v>
      </c>
      <c r="I26" s="38"/>
      <c r="J26" s="365">
        <f t="shared" si="2"/>
        <v>9</v>
      </c>
      <c r="K26" s="371">
        <f>+DEPENDIENTE!J30</f>
        <v>24033.657200000001</v>
      </c>
      <c r="L26" s="371">
        <f>+DEPENDIENTE!K30</f>
        <v>24047.0088</v>
      </c>
      <c r="M26" s="37"/>
    </row>
    <row r="27" spans="1:13">
      <c r="A27" s="38"/>
      <c r="B27" s="488">
        <f t="shared" si="0"/>
        <v>23</v>
      </c>
      <c r="C27" s="489">
        <f>+TITULAR!J50</f>
        <v>29729.593599999997</v>
      </c>
      <c r="D27" s="489">
        <f>+TITULAR!K50</f>
        <v>39464.592000000004</v>
      </c>
      <c r="E27" s="38"/>
      <c r="F27" s="488">
        <f t="shared" si="1"/>
        <v>23</v>
      </c>
      <c r="G27" s="489">
        <f>+CONYUGE!J44</f>
        <v>28743.593599999997</v>
      </c>
      <c r="H27" s="489">
        <f>+CONYUGE!K44</f>
        <v>38478.592000000004</v>
      </c>
      <c r="I27" s="38"/>
      <c r="J27" s="488">
        <f t="shared" si="2"/>
        <v>10</v>
      </c>
      <c r="K27" s="489">
        <f>+DEPENDIENTE!J31</f>
        <v>24033.657200000001</v>
      </c>
      <c r="L27" s="489">
        <f>+DEPENDIENTE!K31</f>
        <v>24047.0088</v>
      </c>
      <c r="M27" s="37"/>
    </row>
    <row r="28" spans="1:13">
      <c r="A28" s="38"/>
      <c r="B28" s="365">
        <f t="shared" si="0"/>
        <v>24</v>
      </c>
      <c r="C28" s="371">
        <f>+TITULAR!J51</f>
        <v>30818.566799999997</v>
      </c>
      <c r="D28" s="371">
        <f>+TITULAR!K51</f>
        <v>40979.899999999994</v>
      </c>
      <c r="E28" s="38"/>
      <c r="F28" s="365">
        <f t="shared" si="1"/>
        <v>24</v>
      </c>
      <c r="G28" s="371">
        <f>+CONYUGE!J45</f>
        <v>29832.566799999997</v>
      </c>
      <c r="H28" s="371">
        <f>+CONYUGE!K45</f>
        <v>39993.899999999994</v>
      </c>
      <c r="I28" s="38"/>
      <c r="J28" s="365">
        <f t="shared" si="2"/>
        <v>11</v>
      </c>
      <c r="K28" s="371">
        <f>+DEPENDIENTE!J32</f>
        <v>23910.847999999998</v>
      </c>
      <c r="L28" s="371">
        <f>+DEPENDIENTE!K32</f>
        <v>23716.884399999999</v>
      </c>
      <c r="M28" s="37"/>
    </row>
    <row r="29" spans="1:13">
      <c r="A29" s="38"/>
      <c r="B29" s="488">
        <f t="shared" si="0"/>
        <v>25</v>
      </c>
      <c r="C29" s="489">
        <f>+TITULAR!J52</f>
        <v>31895.928400000001</v>
      </c>
      <c r="D29" s="489">
        <f>+TITULAR!K52</f>
        <v>42542.860800000002</v>
      </c>
      <c r="E29" s="38"/>
      <c r="F29" s="488">
        <f t="shared" si="1"/>
        <v>25</v>
      </c>
      <c r="G29" s="489">
        <f>+CONYUGE!J46</f>
        <v>30909.928400000001</v>
      </c>
      <c r="H29" s="489">
        <f>+CONYUGE!K46</f>
        <v>41556.860800000002</v>
      </c>
      <c r="I29" s="38"/>
      <c r="J29" s="488">
        <f t="shared" si="2"/>
        <v>12</v>
      </c>
      <c r="K29" s="489">
        <f>+DEPENDIENTE!J33</f>
        <v>23812.421999999999</v>
      </c>
      <c r="L29" s="489">
        <f>+DEPENDIENTE!K33</f>
        <v>24006.153599999998</v>
      </c>
      <c r="M29" s="37"/>
    </row>
    <row r="30" spans="1:13">
      <c r="A30" s="38"/>
      <c r="B30" s="365">
        <f t="shared" si="0"/>
        <v>26</v>
      </c>
      <c r="C30" s="371">
        <f>+TITULAR!J53</f>
        <v>33820.797599999998</v>
      </c>
      <c r="D30" s="371">
        <f>+TITULAR!K53</f>
        <v>44214.559999999998</v>
      </c>
      <c r="E30" s="38"/>
      <c r="F30" s="365">
        <f t="shared" si="1"/>
        <v>26</v>
      </c>
      <c r="G30" s="371">
        <f>+CONYUGE!J47</f>
        <v>32834.797599999998</v>
      </c>
      <c r="H30" s="371">
        <f>+CONYUGE!K47</f>
        <v>43228.56</v>
      </c>
      <c r="I30" s="38"/>
      <c r="J30" s="365">
        <f t="shared" si="2"/>
        <v>13</v>
      </c>
      <c r="K30" s="371">
        <f>+DEPENDIENTE!J34</f>
        <v>23665.670400000003</v>
      </c>
      <c r="L30" s="371">
        <f>+DEPENDIENTE!K34</f>
        <v>23865.0396</v>
      </c>
      <c r="M30" s="37"/>
    </row>
    <row r="31" spans="1:13">
      <c r="A31" s="38"/>
      <c r="B31" s="488">
        <f t="shared" si="0"/>
        <v>27</v>
      </c>
      <c r="C31" s="489">
        <f>+TITULAR!J54</f>
        <v>35154.519199999995</v>
      </c>
      <c r="D31" s="489">
        <f>+TITULAR!K54</f>
        <v>45903.659200000002</v>
      </c>
      <c r="E31" s="38"/>
      <c r="F31" s="488">
        <f t="shared" si="1"/>
        <v>27</v>
      </c>
      <c r="G31" s="489">
        <f>+CONYUGE!J48</f>
        <v>34168.519199999995</v>
      </c>
      <c r="H31" s="489">
        <f>+CONYUGE!K48</f>
        <v>44917.659200000002</v>
      </c>
      <c r="I31" s="38"/>
      <c r="J31" s="488">
        <f t="shared" si="2"/>
        <v>14</v>
      </c>
      <c r="K31" s="489">
        <f>+DEPENDIENTE!J35</f>
        <v>23117.570400000001</v>
      </c>
      <c r="L31" s="489">
        <f>+DEPENDIENTE!K35</f>
        <v>23431.164800000002</v>
      </c>
      <c r="M31" s="37"/>
    </row>
    <row r="32" spans="1:13">
      <c r="A32" s="38"/>
      <c r="B32" s="365">
        <f t="shared" si="0"/>
        <v>28</v>
      </c>
      <c r="C32" s="371">
        <f>+TITULAR!J55</f>
        <v>37030.911999999997</v>
      </c>
      <c r="D32" s="371">
        <f>+TITULAR!K55</f>
        <v>47721.135600000001</v>
      </c>
      <c r="E32" s="38"/>
      <c r="F32" s="365">
        <f t="shared" si="1"/>
        <v>28</v>
      </c>
      <c r="G32" s="371">
        <f>+CONYUGE!J49</f>
        <v>36044.911999999997</v>
      </c>
      <c r="H32" s="371">
        <f>+CONYUGE!K49</f>
        <v>46735.135600000001</v>
      </c>
      <c r="I32" s="38"/>
      <c r="J32" s="365">
        <f t="shared" si="2"/>
        <v>15</v>
      </c>
      <c r="K32" s="371">
        <f>+DEPENDIENTE!J36</f>
        <v>23201.333999999999</v>
      </c>
      <c r="L32" s="371">
        <f>+DEPENDIENTE!K36</f>
        <v>23092.386799999997</v>
      </c>
      <c r="M32" s="37"/>
    </row>
    <row r="33" spans="1:13">
      <c r="A33" s="38"/>
      <c r="B33" s="488">
        <f t="shared" si="0"/>
        <v>29</v>
      </c>
      <c r="C33" s="489">
        <f>+TITULAR!J56</f>
        <v>38773.382799999999</v>
      </c>
      <c r="D33" s="489">
        <f>+TITULAR!K56</f>
        <v>49570.338000000003</v>
      </c>
      <c r="E33" s="38"/>
      <c r="F33" s="488">
        <f t="shared" si="1"/>
        <v>29</v>
      </c>
      <c r="G33" s="489">
        <f>+CONYUGE!J50</f>
        <v>37787.382799999999</v>
      </c>
      <c r="H33" s="489">
        <f>+CONYUGE!K50</f>
        <v>48584.338000000003</v>
      </c>
      <c r="I33" s="38"/>
      <c r="J33" s="488">
        <f t="shared" si="2"/>
        <v>16</v>
      </c>
      <c r="K33" s="489">
        <f>+DEPENDIENTE!J37</f>
        <v>22815.2628</v>
      </c>
      <c r="L33" s="489">
        <f>+DEPENDIENTE!K37</f>
        <v>22313.574399999998</v>
      </c>
      <c r="M33" s="37"/>
    </row>
    <row r="34" spans="1:13">
      <c r="A34" s="38"/>
      <c r="B34" s="365">
        <f t="shared" si="0"/>
        <v>30</v>
      </c>
      <c r="C34" s="371">
        <f>+TITULAR!J57</f>
        <v>40408.379599999993</v>
      </c>
      <c r="D34" s="371">
        <f>+TITULAR!K57</f>
        <v>51559.459599999995</v>
      </c>
      <c r="E34" s="38"/>
      <c r="F34" s="365">
        <f t="shared" si="1"/>
        <v>30</v>
      </c>
      <c r="G34" s="371">
        <f>+CONYUGE!J51</f>
        <v>39422.379599999993</v>
      </c>
      <c r="H34" s="371">
        <f>+CONYUGE!K51</f>
        <v>50573.459599999995</v>
      </c>
      <c r="I34" s="38"/>
      <c r="J34" s="365">
        <f t="shared" si="2"/>
        <v>17</v>
      </c>
      <c r="K34" s="371">
        <f>+DEPENDIENTE!J38</f>
        <v>22926.738799999999</v>
      </c>
      <c r="L34" s="371">
        <f>+DEPENDIENTE!K38</f>
        <v>22626.635200000001</v>
      </c>
      <c r="M34" s="37"/>
    </row>
    <row r="35" spans="1:13">
      <c r="A35" s="38"/>
      <c r="B35" s="488">
        <f t="shared" si="0"/>
        <v>31</v>
      </c>
      <c r="C35" s="489">
        <f>+TITULAR!J58</f>
        <v>41939.695599999992</v>
      </c>
      <c r="D35" s="489">
        <f>+TITULAR!K58</f>
        <v>53612.334799999997</v>
      </c>
      <c r="E35" s="38"/>
      <c r="F35" s="488">
        <f t="shared" si="1"/>
        <v>31</v>
      </c>
      <c r="G35" s="489">
        <f>+CONYUGE!J52</f>
        <v>40953.695599999992</v>
      </c>
      <c r="H35" s="489">
        <f>+CONYUGE!K52</f>
        <v>52626.334799999997</v>
      </c>
      <c r="I35" s="38"/>
      <c r="J35" s="488">
        <f t="shared" si="2"/>
        <v>18</v>
      </c>
      <c r="K35" s="489">
        <f>+DEPENDIENTE!J39</f>
        <v>23522.630799999999</v>
      </c>
      <c r="L35" s="489">
        <f>+DEPENDIENTE!K39</f>
        <v>25630.640800000001</v>
      </c>
      <c r="M35" s="37"/>
    </row>
    <row r="36" spans="1:13">
      <c r="A36" s="38"/>
      <c r="B36" s="365">
        <f t="shared" si="0"/>
        <v>32</v>
      </c>
      <c r="C36" s="371">
        <f>+TITULAR!J59</f>
        <v>44295.620799999997</v>
      </c>
      <c r="D36" s="371">
        <f>+TITULAR!K59</f>
        <v>55729.369599999991</v>
      </c>
      <c r="E36" s="38"/>
      <c r="F36" s="365">
        <f t="shared" si="1"/>
        <v>32</v>
      </c>
      <c r="G36" s="371">
        <f>+CONYUGE!J53</f>
        <v>43309.620799999997</v>
      </c>
      <c r="H36" s="371">
        <f>+CONYUGE!K53</f>
        <v>54743.369599999991</v>
      </c>
      <c r="I36" s="38"/>
      <c r="J36" s="365">
        <f t="shared" si="2"/>
        <v>19</v>
      </c>
      <c r="K36" s="371">
        <f>+DEPENDIENTE!J40</f>
        <v>24234.360400000001</v>
      </c>
      <c r="L36" s="371">
        <f>+DEPENDIENTE!K40</f>
        <v>25912.520799999998</v>
      </c>
      <c r="M36" s="37"/>
    </row>
    <row r="37" spans="1:13">
      <c r="A37" s="38"/>
      <c r="B37" s="488">
        <f t="shared" si="0"/>
        <v>33</v>
      </c>
      <c r="C37" s="489">
        <f>+TITULAR!J60</f>
        <v>45771.129199999988</v>
      </c>
      <c r="D37" s="489">
        <f>+TITULAR!K60</f>
        <v>57484.890399999997</v>
      </c>
      <c r="E37" s="38"/>
      <c r="F37" s="488">
        <f t="shared" si="1"/>
        <v>33</v>
      </c>
      <c r="G37" s="489">
        <f>+CONYUGE!J54</f>
        <v>44785.129199999988</v>
      </c>
      <c r="H37" s="489">
        <f>+CONYUGE!K54</f>
        <v>56498.890399999997</v>
      </c>
      <c r="I37" s="38"/>
      <c r="J37" s="488">
        <f t="shared" si="2"/>
        <v>20</v>
      </c>
      <c r="K37" s="489">
        <f>+DEPENDIENTE!J41</f>
        <v>24892.149999999998</v>
      </c>
      <c r="L37" s="489">
        <f>+DEPENDIENTE!K41</f>
        <v>28999.814399999999</v>
      </c>
      <c r="M37" s="37"/>
    </row>
    <row r="38" spans="1:13">
      <c r="A38" s="38"/>
      <c r="B38" s="365">
        <f t="shared" si="0"/>
        <v>34</v>
      </c>
      <c r="C38" s="371">
        <f>+TITULAR!J61</f>
        <v>48182.351599999987</v>
      </c>
      <c r="D38" s="371">
        <f>+TITULAR!K61</f>
        <v>59790.274400000002</v>
      </c>
      <c r="E38" s="38"/>
      <c r="F38" s="365">
        <f t="shared" si="1"/>
        <v>34</v>
      </c>
      <c r="G38" s="371">
        <f>+CONYUGE!J55</f>
        <v>47196.351599999987</v>
      </c>
      <c r="H38" s="371">
        <f>+CONYUGE!K55</f>
        <v>58804.274400000002</v>
      </c>
      <c r="I38" s="38"/>
      <c r="J38" s="365">
        <f t="shared" si="2"/>
        <v>21</v>
      </c>
      <c r="K38" s="371">
        <f>+DEPENDIENTE!J42</f>
        <v>26067.3344</v>
      </c>
      <c r="L38" s="371">
        <f>+DEPENDIENTE!K42</f>
        <v>35626.093999999997</v>
      </c>
      <c r="M38" s="37"/>
    </row>
    <row r="39" spans="1:13">
      <c r="A39" s="38"/>
      <c r="B39" s="488">
        <f t="shared" si="0"/>
        <v>35</v>
      </c>
      <c r="C39" s="489">
        <f>+TITULAR!J62</f>
        <v>50691.245999999992</v>
      </c>
      <c r="D39" s="489">
        <f>+TITULAR!K62</f>
        <v>62214.987599999993</v>
      </c>
      <c r="E39" s="38"/>
      <c r="F39" s="488">
        <f t="shared" si="1"/>
        <v>35</v>
      </c>
      <c r="G39" s="489">
        <f>+CONYUGE!J56</f>
        <v>49705.245999999992</v>
      </c>
      <c r="H39" s="489">
        <f>+CONYUGE!K56</f>
        <v>61228.987599999993</v>
      </c>
      <c r="I39" s="38"/>
      <c r="J39" s="488">
        <f t="shared" si="2"/>
        <v>22</v>
      </c>
      <c r="K39" s="489">
        <f>+DEPENDIENTE!J43</f>
        <v>27121.855599999999</v>
      </c>
      <c r="L39" s="489">
        <f>+DEPENDIENTE!K43</f>
        <v>37025.552799999998</v>
      </c>
      <c r="M39" s="37"/>
    </row>
    <row r="40" spans="1:13">
      <c r="A40" s="38"/>
      <c r="B40" s="365">
        <f t="shared" si="0"/>
        <v>36</v>
      </c>
      <c r="C40" s="371">
        <f>+TITULAR!J63</f>
        <v>52745.455199999989</v>
      </c>
      <c r="D40" s="371">
        <f>+TITULAR!K63</f>
        <v>64721.445999999996</v>
      </c>
      <c r="E40" s="38"/>
      <c r="F40" s="365">
        <f t="shared" si="1"/>
        <v>36</v>
      </c>
      <c r="G40" s="371">
        <f>+CONYUGE!J57</f>
        <v>51759.455199999989</v>
      </c>
      <c r="H40" s="371">
        <f>+CONYUGE!K57</f>
        <v>63735.445999999996</v>
      </c>
      <c r="I40" s="38"/>
      <c r="J40" s="365">
        <f t="shared" si="2"/>
        <v>23</v>
      </c>
      <c r="K40" s="371">
        <f>+DEPENDIENTE!J44</f>
        <v>28743.593599999997</v>
      </c>
      <c r="L40" s="371">
        <f>+DEPENDIENTE!K44</f>
        <v>38478.592000000004</v>
      </c>
      <c r="M40" s="37"/>
    </row>
    <row r="41" spans="1:13">
      <c r="A41" s="38"/>
      <c r="B41" s="488">
        <f t="shared" si="0"/>
        <v>37</v>
      </c>
      <c r="C41" s="489">
        <f>+TITULAR!J64</f>
        <v>55449.879199999988</v>
      </c>
      <c r="D41" s="489">
        <f>+TITULAR!K64</f>
        <v>67425.637999999992</v>
      </c>
      <c r="E41" s="38"/>
      <c r="F41" s="488">
        <f t="shared" si="1"/>
        <v>37</v>
      </c>
      <c r="G41" s="489">
        <f>+CONYUGE!J58</f>
        <v>54463.879199999988</v>
      </c>
      <c r="H41" s="489">
        <f>+CONYUGE!K58</f>
        <v>66439.637999999992</v>
      </c>
      <c r="I41" s="38"/>
      <c r="J41" s="488">
        <f t="shared" si="2"/>
        <v>24</v>
      </c>
      <c r="K41" s="489">
        <f>+DEPENDIENTE!J45</f>
        <v>29832.566799999997</v>
      </c>
      <c r="L41" s="489">
        <f>+DEPENDIENTE!K45</f>
        <v>39993.899999999994</v>
      </c>
      <c r="M41" s="37"/>
    </row>
    <row r="42" spans="1:13">
      <c r="A42" s="38"/>
      <c r="B42" s="365">
        <f t="shared" si="0"/>
        <v>38</v>
      </c>
      <c r="C42" s="371">
        <f>+TITULAR!J65</f>
        <v>58305.265599999992</v>
      </c>
      <c r="D42" s="371">
        <f>+TITULAR!K65</f>
        <v>70141.395199999999</v>
      </c>
      <c r="E42" s="38"/>
      <c r="F42" s="365">
        <f t="shared" si="1"/>
        <v>38</v>
      </c>
      <c r="G42" s="371">
        <f>+CONYUGE!J59</f>
        <v>57319.265599999992</v>
      </c>
      <c r="H42" s="371">
        <f>+CONYUGE!K59</f>
        <v>69155.395199999999</v>
      </c>
      <c r="I42" s="38"/>
      <c r="J42" s="82"/>
      <c r="K42" s="79"/>
      <c r="L42" s="79"/>
      <c r="M42" s="37"/>
    </row>
    <row r="43" spans="1:13">
      <c r="A43" s="38"/>
      <c r="B43" s="488">
        <f t="shared" si="0"/>
        <v>39</v>
      </c>
      <c r="C43" s="489">
        <f>+TITULAR!J66</f>
        <v>61358.397199999992</v>
      </c>
      <c r="D43" s="489">
        <f>+TITULAR!K66</f>
        <v>73012.36039999999</v>
      </c>
      <c r="E43" s="38"/>
      <c r="F43" s="488">
        <f t="shared" si="1"/>
        <v>39</v>
      </c>
      <c r="G43" s="489">
        <f>+CONYUGE!J60</f>
        <v>60372.397199999992</v>
      </c>
      <c r="H43" s="489">
        <f>+CONYUGE!K60</f>
        <v>72026.36039999999</v>
      </c>
      <c r="I43" s="38"/>
      <c r="J43" s="82"/>
      <c r="K43" s="79"/>
      <c r="L43" s="79"/>
      <c r="M43" s="37"/>
    </row>
    <row r="44" spans="1:13">
      <c r="A44" s="38"/>
      <c r="B44" s="365">
        <f t="shared" si="0"/>
        <v>40</v>
      </c>
      <c r="C44" s="371">
        <f>+TITULAR!J67</f>
        <v>63409.938399999992</v>
      </c>
      <c r="D44" s="371">
        <f>+TITULAR!K67</f>
        <v>75997.469599999997</v>
      </c>
      <c r="E44" s="38"/>
      <c r="F44" s="365">
        <f t="shared" si="1"/>
        <v>40</v>
      </c>
      <c r="G44" s="371">
        <f>+CONYUGE!J61</f>
        <v>62423.938399999992</v>
      </c>
      <c r="H44" s="371">
        <f>+CONYUGE!K61</f>
        <v>75011.469599999997</v>
      </c>
      <c r="I44" s="38"/>
      <c r="J44" s="82"/>
      <c r="K44" s="79"/>
      <c r="L44" s="79"/>
      <c r="M44" s="37"/>
    </row>
    <row r="45" spans="1:13">
      <c r="A45" s="38"/>
      <c r="B45" s="488">
        <f t="shared" si="0"/>
        <v>41</v>
      </c>
      <c r="C45" s="489">
        <f>+TITULAR!J68</f>
        <v>65657.960399999996</v>
      </c>
      <c r="D45" s="489">
        <f>+TITULAR!K68</f>
        <v>79130.501999999993</v>
      </c>
      <c r="E45" s="38"/>
      <c r="F45" s="488">
        <f t="shared" si="1"/>
        <v>41</v>
      </c>
      <c r="G45" s="489">
        <f>+CONYUGE!J62</f>
        <v>64671.960399999989</v>
      </c>
      <c r="H45" s="489">
        <f>+CONYUGE!K62</f>
        <v>78144.501999999993</v>
      </c>
      <c r="I45" s="38"/>
      <c r="J45" s="82"/>
      <c r="K45" s="79"/>
      <c r="L45" s="79"/>
      <c r="M45" s="37"/>
    </row>
    <row r="46" spans="1:13">
      <c r="A46" s="38"/>
      <c r="B46" s="365">
        <f t="shared" si="0"/>
        <v>42</v>
      </c>
      <c r="C46" s="371">
        <f>+TITULAR!J69</f>
        <v>68109.945199999987</v>
      </c>
      <c r="D46" s="371">
        <f>+TITULAR!K69</f>
        <v>82398.790399999983</v>
      </c>
      <c r="E46" s="38"/>
      <c r="F46" s="365">
        <f t="shared" si="1"/>
        <v>42</v>
      </c>
      <c r="G46" s="371">
        <f>+CONYUGE!J63</f>
        <v>67123.945199999987</v>
      </c>
      <c r="H46" s="371">
        <f>+CONYUGE!K63</f>
        <v>81412.790399999983</v>
      </c>
      <c r="I46" s="38"/>
      <c r="J46" s="82"/>
      <c r="K46" s="79"/>
      <c r="L46" s="79"/>
      <c r="M46" s="37"/>
    </row>
    <row r="47" spans="1:13">
      <c r="A47" s="38"/>
      <c r="B47" s="488">
        <f t="shared" si="0"/>
        <v>43</v>
      </c>
      <c r="C47" s="489">
        <f>+TITULAR!J70</f>
        <v>70763.143599999996</v>
      </c>
      <c r="D47" s="489">
        <f>+TITULAR!K70</f>
        <v>85806.951599999986</v>
      </c>
      <c r="E47" s="38"/>
      <c r="F47" s="488">
        <f t="shared" si="1"/>
        <v>43</v>
      </c>
      <c r="G47" s="489">
        <f>+CONYUGE!J64</f>
        <v>69777.143599999996</v>
      </c>
      <c r="H47" s="489">
        <f>+CONYUGE!K64</f>
        <v>84820.951599999986</v>
      </c>
      <c r="I47" s="38"/>
      <c r="J47" s="82"/>
      <c r="K47" s="79"/>
      <c r="L47" s="79"/>
      <c r="M47" s="37"/>
    </row>
    <row r="48" spans="1:13">
      <c r="A48" s="38"/>
      <c r="B48" s="365">
        <f t="shared" si="0"/>
        <v>44</v>
      </c>
      <c r="C48" s="371">
        <f>+TITULAR!J71</f>
        <v>73697.618799999997</v>
      </c>
      <c r="D48" s="371">
        <f>+TITULAR!K71</f>
        <v>89740.291199999978</v>
      </c>
      <c r="E48" s="38"/>
      <c r="F48" s="365">
        <f t="shared" si="1"/>
        <v>44</v>
      </c>
      <c r="G48" s="371">
        <f>+CONYUGE!J65</f>
        <v>72711.618799999997</v>
      </c>
      <c r="H48" s="371">
        <f>+CONYUGE!K65</f>
        <v>88754.291199999978</v>
      </c>
      <c r="I48" s="38"/>
      <c r="J48" s="82"/>
      <c r="K48" s="79"/>
      <c r="L48" s="79"/>
      <c r="M48" s="37"/>
    </row>
    <row r="49" spans="1:13">
      <c r="A49" s="38"/>
      <c r="B49" s="488">
        <f t="shared" si="0"/>
        <v>45</v>
      </c>
      <c r="C49" s="489">
        <f>+TITULAR!J72</f>
        <v>76889.42839999999</v>
      </c>
      <c r="D49" s="489">
        <f>+TITULAR!K72</f>
        <v>93626.198399999979</v>
      </c>
      <c r="E49" s="38"/>
      <c r="F49" s="488">
        <f t="shared" si="1"/>
        <v>45</v>
      </c>
      <c r="G49" s="489">
        <f>+CONYUGE!J66</f>
        <v>75903.42839999999</v>
      </c>
      <c r="H49" s="489">
        <f>+CONYUGE!K66</f>
        <v>92640.198399999979</v>
      </c>
      <c r="I49" s="38"/>
      <c r="J49" s="82"/>
      <c r="K49" s="79"/>
      <c r="L49" s="79"/>
      <c r="M49" s="37"/>
    </row>
    <row r="50" spans="1:13">
      <c r="A50" s="38"/>
      <c r="B50" s="365">
        <f t="shared" si="0"/>
        <v>46</v>
      </c>
      <c r="C50" s="371">
        <f>+TITULAR!J73</f>
        <v>80416.037199999992</v>
      </c>
      <c r="D50" s="371">
        <f>+TITULAR!K73</f>
        <v>96948.090399999986</v>
      </c>
      <c r="E50" s="38"/>
      <c r="F50" s="365">
        <f t="shared" si="1"/>
        <v>46</v>
      </c>
      <c r="G50" s="371">
        <f>+CONYUGE!J67</f>
        <v>79430.037199999992</v>
      </c>
      <c r="H50" s="371">
        <f>+CONYUGE!K67</f>
        <v>95962.090399999986</v>
      </c>
      <c r="I50" s="38"/>
      <c r="J50" s="82"/>
      <c r="K50" s="79"/>
      <c r="L50" s="79"/>
      <c r="M50" s="37"/>
    </row>
    <row r="51" spans="1:13">
      <c r="A51" s="38"/>
      <c r="B51" s="488">
        <f t="shared" si="0"/>
        <v>47</v>
      </c>
      <c r="C51" s="489">
        <f>+TITULAR!J74</f>
        <v>84266.877599999993</v>
      </c>
      <c r="D51" s="489">
        <f>+TITULAR!K74</f>
        <v>101538.68599999999</v>
      </c>
      <c r="E51" s="38"/>
      <c r="F51" s="488">
        <f t="shared" si="1"/>
        <v>47</v>
      </c>
      <c r="G51" s="489">
        <f>+CONYUGE!J68</f>
        <v>83280.877599999993</v>
      </c>
      <c r="H51" s="489">
        <f>+CONYUGE!K68</f>
        <v>100552.68599999999</v>
      </c>
      <c r="I51" s="38"/>
      <c r="J51" s="82"/>
      <c r="K51" s="79"/>
      <c r="L51" s="79"/>
      <c r="M51" s="37"/>
    </row>
    <row r="52" spans="1:13">
      <c r="A52" s="38"/>
      <c r="B52" s="365">
        <f t="shared" si="0"/>
        <v>48</v>
      </c>
      <c r="C52" s="371">
        <f>+TITULAR!J75</f>
        <v>88488.83679999999</v>
      </c>
      <c r="D52" s="371">
        <f>+TITULAR!K75</f>
        <v>105380.93079999999</v>
      </c>
      <c r="E52" s="38"/>
      <c r="F52" s="365">
        <f t="shared" si="1"/>
        <v>48</v>
      </c>
      <c r="G52" s="371">
        <f>+CONYUGE!J69</f>
        <v>87502.83679999999</v>
      </c>
      <c r="H52" s="371">
        <f>+CONYUGE!K69</f>
        <v>104394.93079999999</v>
      </c>
      <c r="I52" s="38"/>
      <c r="J52" s="82"/>
      <c r="K52" s="79"/>
      <c r="L52" s="79"/>
      <c r="M52" s="37"/>
    </row>
    <row r="53" spans="1:13">
      <c r="A53" s="38"/>
      <c r="B53" s="488">
        <f t="shared" si="0"/>
        <v>49</v>
      </c>
      <c r="C53" s="489">
        <f>+TITULAR!J76</f>
        <v>93110.114399999991</v>
      </c>
      <c r="D53" s="489">
        <f>+TITULAR!K76</f>
        <v>109529.28799999999</v>
      </c>
      <c r="E53" s="38"/>
      <c r="F53" s="488">
        <f t="shared" si="1"/>
        <v>49</v>
      </c>
      <c r="G53" s="489">
        <f>+CONYUGE!J70</f>
        <v>92124.114399999991</v>
      </c>
      <c r="H53" s="489">
        <f>+CONYUGE!K70</f>
        <v>108543.28799999999</v>
      </c>
      <c r="I53" s="38"/>
      <c r="J53" s="82"/>
      <c r="K53" s="79"/>
      <c r="L53" s="79"/>
      <c r="M53" s="37"/>
    </row>
    <row r="54" spans="1:13">
      <c r="A54" s="38"/>
      <c r="B54" s="365">
        <f t="shared" si="0"/>
        <v>50</v>
      </c>
      <c r="C54" s="371">
        <f>+TITULAR!J77</f>
        <v>98147.495599999995</v>
      </c>
      <c r="D54" s="371">
        <f>+TITULAR!K77</f>
        <v>113916.37319999999</v>
      </c>
      <c r="E54" s="38"/>
      <c r="F54" s="365">
        <f t="shared" si="1"/>
        <v>50</v>
      </c>
      <c r="G54" s="371">
        <f>+CONYUGE!J71</f>
        <v>97161.495599999995</v>
      </c>
      <c r="H54" s="371">
        <f>+CONYUGE!K71</f>
        <v>112930.37319999999</v>
      </c>
      <c r="I54" s="38"/>
      <c r="J54" s="82"/>
      <c r="K54" s="79"/>
      <c r="L54" s="79"/>
      <c r="M54" s="37"/>
    </row>
    <row r="55" spans="1:13">
      <c r="A55" s="38"/>
      <c r="B55" s="488">
        <f t="shared" si="0"/>
        <v>51</v>
      </c>
      <c r="C55" s="489">
        <f>+TITULAR!J78</f>
        <v>103570.26359999998</v>
      </c>
      <c r="D55" s="489">
        <f>+TITULAR!K78</f>
        <v>118647.27079999998</v>
      </c>
      <c r="E55" s="38"/>
      <c r="F55" s="488">
        <f t="shared" si="1"/>
        <v>51</v>
      </c>
      <c r="G55" s="489">
        <f>+CONYUGE!J72</f>
        <v>102584.26359999998</v>
      </c>
      <c r="H55" s="489">
        <f>+CONYUGE!K72</f>
        <v>117661.27079999998</v>
      </c>
      <c r="I55" s="38"/>
      <c r="J55" s="82"/>
      <c r="K55" s="79"/>
      <c r="L55" s="79"/>
      <c r="M55" s="37"/>
    </row>
    <row r="56" spans="1:13">
      <c r="A56" s="38"/>
      <c r="B56" s="365">
        <f t="shared" si="0"/>
        <v>52</v>
      </c>
      <c r="C56" s="371">
        <f>+TITULAR!J79</f>
        <v>109484.36119999998</v>
      </c>
      <c r="D56" s="371">
        <f>+TITULAR!K79</f>
        <v>123714.81199999999</v>
      </c>
      <c r="E56" s="38"/>
      <c r="F56" s="365">
        <f t="shared" si="1"/>
        <v>52</v>
      </c>
      <c r="G56" s="371">
        <f>+CONYUGE!J73</f>
        <v>108498.36119999998</v>
      </c>
      <c r="H56" s="371">
        <f>+CONYUGE!K73</f>
        <v>122728.81199999999</v>
      </c>
      <c r="I56" s="38"/>
      <c r="J56" s="82"/>
      <c r="K56" s="79"/>
      <c r="L56" s="79"/>
      <c r="M56" s="37"/>
    </row>
    <row r="57" spans="1:13">
      <c r="A57" s="38"/>
      <c r="B57" s="488">
        <f t="shared" si="0"/>
        <v>53</v>
      </c>
      <c r="C57" s="489">
        <f>+TITULAR!J80</f>
        <v>115948.48439999999</v>
      </c>
      <c r="D57" s="489">
        <f>+TITULAR!K80</f>
        <v>129150.64159999999</v>
      </c>
      <c r="E57" s="38"/>
      <c r="F57" s="488">
        <f t="shared" si="1"/>
        <v>53</v>
      </c>
      <c r="G57" s="489">
        <f>+CONYUGE!J74</f>
        <v>114962.48439999999</v>
      </c>
      <c r="H57" s="489">
        <f>+CONYUGE!K74</f>
        <v>128164.64159999999</v>
      </c>
      <c r="I57" s="38"/>
      <c r="J57" s="82"/>
      <c r="K57" s="79"/>
      <c r="L57" s="79"/>
      <c r="M57" s="37"/>
    </row>
    <row r="58" spans="1:13">
      <c r="A58" s="38"/>
      <c r="B58" s="365">
        <f t="shared" si="0"/>
        <v>54</v>
      </c>
      <c r="C58" s="371">
        <f>+TITULAR!J81</f>
        <v>122945.1752</v>
      </c>
      <c r="D58" s="371">
        <f>+TITULAR!K81</f>
        <v>134931.02599999998</v>
      </c>
      <c r="E58" s="38"/>
      <c r="F58" s="365">
        <f t="shared" si="1"/>
        <v>54</v>
      </c>
      <c r="G58" s="371">
        <f>+CONYUGE!J75</f>
        <v>121959.1752</v>
      </c>
      <c r="H58" s="371">
        <f>+CONYUGE!K75</f>
        <v>133945.02599999998</v>
      </c>
      <c r="I58" s="38"/>
      <c r="J58" s="82"/>
      <c r="K58" s="79"/>
      <c r="L58" s="79"/>
      <c r="M58" s="37"/>
    </row>
    <row r="59" spans="1:13">
      <c r="A59" s="38"/>
      <c r="B59" s="488">
        <f t="shared" si="0"/>
        <v>55</v>
      </c>
      <c r="C59" s="489">
        <f>+TITULAR!J82</f>
        <v>130401.27239999999</v>
      </c>
      <c r="D59" s="489">
        <f>+TITULAR!K82</f>
        <v>136842.10279999999</v>
      </c>
      <c r="E59" s="38"/>
      <c r="F59" s="488">
        <f t="shared" si="1"/>
        <v>55</v>
      </c>
      <c r="G59" s="489">
        <f>+CONYUGE!J76</f>
        <v>129415.27239999999</v>
      </c>
      <c r="H59" s="489">
        <f>+CONYUGE!K76</f>
        <v>135856.10279999999</v>
      </c>
      <c r="I59" s="38"/>
      <c r="J59" s="82"/>
      <c r="K59" s="79"/>
      <c r="L59" s="79"/>
      <c r="M59" s="37"/>
    </row>
    <row r="60" spans="1:13">
      <c r="A60" s="38"/>
      <c r="B60" s="365">
        <f t="shared" si="0"/>
        <v>56</v>
      </c>
      <c r="C60" s="371">
        <f>+TITULAR!J83</f>
        <v>138528.6152</v>
      </c>
      <c r="D60" s="371">
        <f>+TITULAR!K83</f>
        <v>144967.90279999998</v>
      </c>
      <c r="E60" s="38"/>
      <c r="F60" s="365">
        <f t="shared" si="1"/>
        <v>56</v>
      </c>
      <c r="G60" s="371">
        <f>+CONYUGE!J77</f>
        <v>137542.6152</v>
      </c>
      <c r="H60" s="371">
        <f>+CONYUGE!K77</f>
        <v>143981.90279999998</v>
      </c>
      <c r="I60" s="38"/>
      <c r="J60" s="82"/>
      <c r="K60" s="79"/>
      <c r="L60" s="79"/>
      <c r="M60" s="37"/>
    </row>
    <row r="61" spans="1:13">
      <c r="A61" s="38"/>
      <c r="B61" s="488">
        <f t="shared" si="0"/>
        <v>57</v>
      </c>
      <c r="C61" s="489">
        <f>+TITULAR!J84</f>
        <v>147248.59039999999</v>
      </c>
      <c r="D61" s="489">
        <f>+TITULAR!K84</f>
        <v>150480.28079999998</v>
      </c>
      <c r="E61" s="38"/>
      <c r="F61" s="488">
        <f t="shared" si="1"/>
        <v>57</v>
      </c>
      <c r="G61" s="489">
        <f>+CONYUGE!J78</f>
        <v>146262.59039999999</v>
      </c>
      <c r="H61" s="489">
        <f>+CONYUGE!K78</f>
        <v>149494.28079999998</v>
      </c>
      <c r="I61" s="38"/>
      <c r="J61" s="82"/>
      <c r="K61" s="79"/>
      <c r="L61" s="79"/>
      <c r="M61" s="37"/>
    </row>
    <row r="62" spans="1:13">
      <c r="A62" s="38"/>
      <c r="B62" s="365">
        <f t="shared" si="0"/>
        <v>58</v>
      </c>
      <c r="C62" s="371">
        <f>+TITULAR!J85</f>
        <v>153501.98800000001</v>
      </c>
      <c r="D62" s="371">
        <f>+TITULAR!K85</f>
        <v>156426.1624</v>
      </c>
      <c r="E62" s="38"/>
      <c r="F62" s="365">
        <f t="shared" si="1"/>
        <v>58</v>
      </c>
      <c r="G62" s="371">
        <f>+CONYUGE!J79</f>
        <v>152515.98800000001</v>
      </c>
      <c r="H62" s="371">
        <f>+CONYUGE!K79</f>
        <v>155440.1624</v>
      </c>
      <c r="I62" s="38"/>
      <c r="J62" s="82"/>
      <c r="K62" s="79"/>
      <c r="L62" s="79"/>
      <c r="M62" s="37"/>
    </row>
    <row r="63" spans="1:13">
      <c r="A63" s="38"/>
      <c r="B63" s="488">
        <f t="shared" si="0"/>
        <v>59</v>
      </c>
      <c r="C63" s="489">
        <f>+TITULAR!J86</f>
        <v>163334.6004</v>
      </c>
      <c r="D63" s="489">
        <f>+TITULAR!K86</f>
        <v>159065.1508</v>
      </c>
      <c r="E63" s="38"/>
      <c r="F63" s="488">
        <f t="shared" si="1"/>
        <v>59</v>
      </c>
      <c r="G63" s="489">
        <f>+CONYUGE!J80</f>
        <v>162348.6004</v>
      </c>
      <c r="H63" s="489">
        <f>+CONYUGE!K80</f>
        <v>158079.1508</v>
      </c>
      <c r="I63" s="38"/>
      <c r="J63" s="82"/>
      <c r="K63" s="79"/>
      <c r="L63" s="79"/>
      <c r="M63" s="37"/>
    </row>
    <row r="64" spans="1:13">
      <c r="A64" s="38"/>
      <c r="B64" s="365">
        <f t="shared" si="0"/>
        <v>60</v>
      </c>
      <c r="C64" s="371">
        <f>+TITULAR!J87</f>
        <v>259904.80920000002</v>
      </c>
      <c r="D64" s="371">
        <f>+TITULAR!K87</f>
        <v>258069.78200000001</v>
      </c>
      <c r="E64" s="38"/>
      <c r="F64" s="365">
        <f t="shared" si="1"/>
        <v>60</v>
      </c>
      <c r="G64" s="371">
        <f>+CONYUGE!J81</f>
        <v>258918.80920000002</v>
      </c>
      <c r="H64" s="371">
        <f>+CONYUGE!K81</f>
        <v>257083.78200000001</v>
      </c>
      <c r="I64" s="38"/>
      <c r="J64" s="82"/>
      <c r="K64" s="79"/>
      <c r="L64" s="79"/>
      <c r="M64" s="37"/>
    </row>
    <row r="65" spans="1:13">
      <c r="A65" s="38"/>
      <c r="B65" s="488">
        <f t="shared" si="0"/>
        <v>61</v>
      </c>
      <c r="C65" s="489">
        <f>+TITULAR!J88</f>
        <v>274075.288</v>
      </c>
      <c r="D65" s="489">
        <f>+TITULAR!K88</f>
        <v>269240.57039999997</v>
      </c>
      <c r="E65" s="38"/>
      <c r="F65" s="488">
        <f t="shared" si="1"/>
        <v>61</v>
      </c>
      <c r="G65" s="489">
        <f>+CONYUGE!J82</f>
        <v>273089.288</v>
      </c>
      <c r="H65" s="489">
        <f>+CONYUGE!K82</f>
        <v>268254.57039999997</v>
      </c>
      <c r="I65" s="38"/>
      <c r="J65" s="82"/>
      <c r="K65" s="79"/>
      <c r="L65" s="79"/>
      <c r="M65" s="37"/>
    </row>
    <row r="66" spans="1:13">
      <c r="A66" s="38"/>
      <c r="B66" s="365">
        <f t="shared" si="0"/>
        <v>62</v>
      </c>
      <c r="C66" s="371">
        <f>+TITULAR!J89</f>
        <v>288504.19159999996</v>
      </c>
      <c r="D66" s="371">
        <f>+TITULAR!K89</f>
        <v>280735.16119999997</v>
      </c>
      <c r="E66" s="38"/>
      <c r="F66" s="365">
        <f t="shared" si="1"/>
        <v>62</v>
      </c>
      <c r="G66" s="371">
        <f>+CONYUGE!J83</f>
        <v>287518.19159999996</v>
      </c>
      <c r="H66" s="371">
        <f>+CONYUGE!K83</f>
        <v>279749.16119999997</v>
      </c>
      <c r="I66" s="38"/>
      <c r="J66" s="82"/>
      <c r="K66" s="79"/>
      <c r="L66" s="79"/>
      <c r="M66" s="37"/>
    </row>
    <row r="67" spans="1:13">
      <c r="A67" s="38"/>
      <c r="B67" s="488">
        <f t="shared" si="0"/>
        <v>63</v>
      </c>
      <c r="C67" s="489">
        <f>+TITULAR!J90</f>
        <v>304352.93519999995</v>
      </c>
      <c r="D67" s="489">
        <f>+TITULAR!K90</f>
        <v>292824.03159999999</v>
      </c>
      <c r="E67" s="38"/>
      <c r="F67" s="488">
        <f t="shared" si="1"/>
        <v>63</v>
      </c>
      <c r="G67" s="489">
        <f>+CONYUGE!J84</f>
        <v>303366.93520000001</v>
      </c>
      <c r="H67" s="489">
        <f>+CONYUGE!K84</f>
        <v>291838.03159999999</v>
      </c>
      <c r="I67" s="38"/>
      <c r="J67" s="82"/>
      <c r="K67" s="79"/>
      <c r="L67" s="79"/>
      <c r="M67" s="37"/>
    </row>
    <row r="68" spans="1:13">
      <c r="A68" s="38"/>
      <c r="B68" s="365">
        <f t="shared" si="0"/>
        <v>64</v>
      </c>
      <c r="C68" s="371">
        <f>+TITULAR!J91</f>
        <v>320330.75199999998</v>
      </c>
      <c r="D68" s="371">
        <f>+TITULAR!K91</f>
        <v>305674.01280000003</v>
      </c>
      <c r="E68" s="38"/>
      <c r="F68" s="365">
        <f t="shared" si="1"/>
        <v>64</v>
      </c>
      <c r="G68" s="371">
        <f>+CONYUGE!J85</f>
        <v>319344.75199999998</v>
      </c>
      <c r="H68" s="371">
        <f>+CONYUGE!K85</f>
        <v>304688.01280000003</v>
      </c>
      <c r="I68" s="38"/>
      <c r="J68" s="82"/>
      <c r="K68" s="79"/>
      <c r="L68" s="79"/>
      <c r="M68" s="37"/>
    </row>
    <row r="69" spans="1:13">
      <c r="A69" s="38"/>
      <c r="B69" s="38"/>
      <c r="C69" s="38"/>
      <c r="D69" s="38"/>
      <c r="E69" s="38"/>
      <c r="F69" s="37"/>
      <c r="G69" s="41"/>
      <c r="H69" s="38"/>
      <c r="I69" s="38"/>
      <c r="J69" s="37"/>
      <c r="K69" s="41"/>
      <c r="L69" s="38"/>
      <c r="M69" s="37"/>
    </row>
    <row r="70" spans="1:13">
      <c r="A70" s="37"/>
      <c r="B70" s="37"/>
      <c r="C70" s="41"/>
      <c r="D70" s="38"/>
      <c r="E70" s="37"/>
      <c r="F70" s="37"/>
      <c r="G70" s="41"/>
      <c r="H70" s="38"/>
      <c r="I70" s="37"/>
      <c r="J70" s="37"/>
      <c r="K70" s="41"/>
      <c r="L70" s="38"/>
      <c r="M70" s="37"/>
    </row>
    <row r="71" spans="1:13">
      <c r="A71" s="37"/>
      <c r="B71" s="366" t="s">
        <v>12</v>
      </c>
      <c r="C71" s="152"/>
      <c r="D71" s="373">
        <f>+D15</f>
        <v>100000000</v>
      </c>
      <c r="E71" s="37"/>
      <c r="F71" s="37"/>
      <c r="G71" s="41"/>
      <c r="H71" s="42"/>
      <c r="I71" s="37"/>
      <c r="J71" s="37"/>
      <c r="K71" s="41"/>
      <c r="L71" s="42"/>
      <c r="M71" s="37"/>
    </row>
    <row r="72" spans="1:13">
      <c r="A72" s="37"/>
      <c r="B72" s="366" t="s">
        <v>13</v>
      </c>
      <c r="C72" s="152"/>
      <c r="D72" s="373">
        <f>+D16</f>
        <v>12000</v>
      </c>
      <c r="E72" s="37"/>
      <c r="F72" s="37"/>
      <c r="G72" s="41"/>
      <c r="H72" s="42"/>
      <c r="I72" s="37"/>
      <c r="J72" s="37"/>
      <c r="K72" s="41"/>
      <c r="L72" s="42"/>
      <c r="M72" s="37"/>
    </row>
    <row r="73" spans="1:13">
      <c r="A73" s="37"/>
      <c r="B73" s="366" t="s">
        <v>14</v>
      </c>
      <c r="C73" s="152"/>
      <c r="D73" s="372">
        <f>+D17</f>
        <v>0.1</v>
      </c>
      <c r="E73" s="37"/>
      <c r="F73" s="37"/>
      <c r="G73" s="41"/>
      <c r="H73" s="42"/>
      <c r="I73" s="37"/>
      <c r="J73" s="37"/>
      <c r="K73" s="41"/>
      <c r="L73" s="42"/>
      <c r="M73" s="37"/>
    </row>
    <row r="74" spans="1:13">
      <c r="A74" s="37"/>
      <c r="E74" s="37"/>
      <c r="F74" s="37"/>
      <c r="G74" s="41"/>
      <c r="H74" s="42"/>
      <c r="I74" s="37"/>
      <c r="J74" s="37"/>
      <c r="K74" s="41"/>
      <c r="L74" s="42"/>
      <c r="M74" s="37"/>
    </row>
    <row r="75" spans="1:13">
      <c r="A75" s="37"/>
      <c r="B75" s="2"/>
      <c r="C75" s="816"/>
      <c r="D75" s="816"/>
      <c r="E75" s="37"/>
      <c r="F75" s="37"/>
      <c r="G75" s="41"/>
      <c r="H75" s="42"/>
      <c r="I75" s="37"/>
      <c r="J75" s="37"/>
      <c r="K75" s="41"/>
      <c r="L75" s="42"/>
      <c r="M75" s="37"/>
    </row>
    <row r="76" spans="1:13">
      <c r="A76" s="37"/>
      <c r="B76" s="2"/>
      <c r="C76" s="816"/>
      <c r="D76" s="816"/>
      <c r="E76" s="37"/>
      <c r="F76" s="37"/>
      <c r="G76" s="41"/>
      <c r="H76" s="42"/>
      <c r="I76" s="37"/>
      <c r="J76" s="37"/>
      <c r="K76" s="41"/>
      <c r="L76" s="42"/>
      <c r="M76" s="37"/>
    </row>
    <row r="77" spans="1:13">
      <c r="A77" s="37"/>
      <c r="B77" s="487" t="s">
        <v>9</v>
      </c>
      <c r="C77" s="487" t="s">
        <v>16</v>
      </c>
      <c r="D77" s="487" t="s">
        <v>17</v>
      </c>
      <c r="E77" s="37"/>
      <c r="F77" s="37"/>
      <c r="G77" s="41"/>
      <c r="H77" s="42"/>
      <c r="I77" s="37"/>
      <c r="J77" s="37"/>
      <c r="K77" s="41"/>
      <c r="L77" s="42"/>
      <c r="M77" s="37"/>
    </row>
    <row r="78" spans="1:13">
      <c r="A78" s="37"/>
      <c r="B78" s="365" t="s">
        <v>181</v>
      </c>
      <c r="C78" s="371">
        <f>+TITULAR!J32</f>
        <v>25019.657200000001</v>
      </c>
      <c r="D78" s="371">
        <f>+TITULAR!K32</f>
        <v>25033.0088</v>
      </c>
      <c r="E78" s="37"/>
      <c r="F78" s="37"/>
      <c r="G78" s="41"/>
      <c r="H78" s="42"/>
      <c r="I78" s="37"/>
      <c r="J78" s="37"/>
      <c r="K78" s="41"/>
      <c r="L78" s="42"/>
      <c r="M78" s="37"/>
    </row>
    <row r="79" spans="1:13">
      <c r="A79" s="37"/>
      <c r="B79" s="488">
        <v>6</v>
      </c>
      <c r="C79" s="489">
        <f>+TITULAR!J33</f>
        <v>25019.657200000001</v>
      </c>
      <c r="D79" s="489">
        <f>+TITULAR!K33</f>
        <v>25033.0088</v>
      </c>
      <c r="E79" s="37"/>
      <c r="F79" s="37"/>
      <c r="G79" s="41"/>
      <c r="H79" s="42"/>
      <c r="I79" s="37"/>
      <c r="J79" s="37"/>
      <c r="K79" s="41"/>
      <c r="L79" s="42"/>
      <c r="M79" s="37"/>
    </row>
    <row r="80" spans="1:13">
      <c r="A80" s="37"/>
      <c r="B80" s="365">
        <f>+B79+1</f>
        <v>7</v>
      </c>
      <c r="C80" s="371">
        <f>+TITULAR!J34</f>
        <v>25019.657200000001</v>
      </c>
      <c r="D80" s="371">
        <f>+TITULAR!K34</f>
        <v>25033.0088</v>
      </c>
      <c r="E80" s="37"/>
      <c r="F80" s="37"/>
      <c r="G80" s="41"/>
      <c r="H80" s="42"/>
      <c r="I80" s="37"/>
      <c r="J80" s="37"/>
      <c r="K80" s="41"/>
      <c r="L80" s="42"/>
      <c r="M80" s="37"/>
    </row>
    <row r="81" spans="1:13">
      <c r="A81" s="37"/>
      <c r="B81" s="488">
        <f t="shared" ref="B81:B90" si="3">+B80+1</f>
        <v>8</v>
      </c>
      <c r="C81" s="489">
        <f>+TITULAR!J35</f>
        <v>25019.657200000001</v>
      </c>
      <c r="D81" s="489">
        <f>+TITULAR!K35</f>
        <v>25033.0088</v>
      </c>
      <c r="E81" s="37"/>
      <c r="F81" s="37"/>
      <c r="G81" s="41"/>
      <c r="H81" s="42"/>
      <c r="I81" s="37"/>
      <c r="J81" s="37"/>
      <c r="K81" s="41"/>
      <c r="L81" s="42"/>
      <c r="M81" s="37"/>
    </row>
    <row r="82" spans="1:13">
      <c r="A82" s="37"/>
      <c r="B82" s="365">
        <f t="shared" si="3"/>
        <v>9</v>
      </c>
      <c r="C82" s="371">
        <f>+TITULAR!J36</f>
        <v>25019.657200000001</v>
      </c>
      <c r="D82" s="371">
        <f>+TITULAR!K36</f>
        <v>25033.0088</v>
      </c>
      <c r="E82" s="37"/>
      <c r="F82" s="37"/>
      <c r="G82" s="41"/>
      <c r="H82" s="42"/>
      <c r="I82" s="37"/>
      <c r="J82" s="37"/>
      <c r="K82" s="41"/>
      <c r="L82" s="42"/>
      <c r="M82" s="37"/>
    </row>
    <row r="83" spans="1:13">
      <c r="A83" s="37"/>
      <c r="B83" s="488">
        <f t="shared" si="3"/>
        <v>10</v>
      </c>
      <c r="C83" s="489">
        <f>+TITULAR!J37</f>
        <v>25019.657200000001</v>
      </c>
      <c r="D83" s="489">
        <f>+TITULAR!K37</f>
        <v>25033.0088</v>
      </c>
      <c r="E83" s="37"/>
      <c r="F83" s="37"/>
      <c r="G83" s="41"/>
      <c r="H83" s="42"/>
      <c r="I83" s="37"/>
      <c r="J83" s="37"/>
      <c r="K83" s="41"/>
      <c r="L83" s="42"/>
      <c r="M83" s="37"/>
    </row>
    <row r="84" spans="1:13">
      <c r="A84" s="37"/>
      <c r="B84" s="365">
        <f t="shared" si="3"/>
        <v>11</v>
      </c>
      <c r="C84" s="371">
        <f>+TITULAR!J38</f>
        <v>24896.847999999998</v>
      </c>
      <c r="D84" s="371">
        <f>+TITULAR!K38</f>
        <v>24702.884399999999</v>
      </c>
      <c r="E84" s="37"/>
      <c r="F84" s="37"/>
      <c r="G84" s="41"/>
      <c r="H84" s="42"/>
      <c r="I84" s="37"/>
      <c r="J84" s="37"/>
      <c r="K84" s="41"/>
      <c r="L84" s="42"/>
      <c r="M84" s="37"/>
    </row>
    <row r="85" spans="1:13">
      <c r="A85" s="37"/>
      <c r="B85" s="488">
        <f t="shared" si="3"/>
        <v>12</v>
      </c>
      <c r="C85" s="489">
        <f>+TITULAR!J39</f>
        <v>24798.421999999999</v>
      </c>
      <c r="D85" s="489">
        <f>+TITULAR!K39</f>
        <v>24992.153599999998</v>
      </c>
      <c r="E85" s="37"/>
      <c r="F85" s="37"/>
      <c r="G85" s="41"/>
      <c r="H85" s="42"/>
      <c r="I85" s="37"/>
      <c r="J85" s="37"/>
      <c r="K85" s="41"/>
      <c r="L85" s="42"/>
      <c r="M85" s="37"/>
    </row>
    <row r="86" spans="1:13">
      <c r="A86" s="37"/>
      <c r="B86" s="365">
        <f t="shared" si="3"/>
        <v>13</v>
      </c>
      <c r="C86" s="371">
        <f>+TITULAR!J40</f>
        <v>24651.670400000003</v>
      </c>
      <c r="D86" s="371">
        <f>+TITULAR!K40</f>
        <v>24851.0396</v>
      </c>
      <c r="E86" s="37"/>
      <c r="F86" s="37"/>
      <c r="G86" s="41"/>
      <c r="H86" s="42"/>
      <c r="I86" s="37"/>
      <c r="J86" s="37"/>
      <c r="K86" s="41"/>
      <c r="L86" s="42"/>
      <c r="M86" s="37"/>
    </row>
    <row r="87" spans="1:13">
      <c r="A87" s="37"/>
      <c r="B87" s="488">
        <f t="shared" si="3"/>
        <v>14</v>
      </c>
      <c r="C87" s="489">
        <f>+TITULAR!J41</f>
        <v>24103.570400000001</v>
      </c>
      <c r="D87" s="489">
        <f>+TITULAR!K41</f>
        <v>24417.164800000002</v>
      </c>
      <c r="E87" s="37"/>
      <c r="F87" s="37"/>
      <c r="G87" s="41"/>
      <c r="H87" s="42"/>
      <c r="I87" s="37"/>
      <c r="J87" s="37"/>
      <c r="K87" s="41"/>
      <c r="L87" s="42"/>
      <c r="M87" s="37"/>
    </row>
    <row r="88" spans="1:13">
      <c r="A88" s="37"/>
      <c r="B88" s="365">
        <f t="shared" si="3"/>
        <v>15</v>
      </c>
      <c r="C88" s="371">
        <f>+TITULAR!J42</f>
        <v>24187.333999999999</v>
      </c>
      <c r="D88" s="371">
        <f>+TITULAR!K42</f>
        <v>24078.386799999997</v>
      </c>
      <c r="E88" s="37"/>
      <c r="F88" s="37"/>
      <c r="G88" s="41"/>
      <c r="H88" s="42"/>
      <c r="I88" s="37"/>
      <c r="J88" s="37"/>
      <c r="K88" s="41"/>
      <c r="L88" s="42"/>
      <c r="M88" s="37"/>
    </row>
    <row r="89" spans="1:13">
      <c r="A89" s="37"/>
      <c r="B89" s="488">
        <f t="shared" si="3"/>
        <v>16</v>
      </c>
      <c r="C89" s="489">
        <f>+TITULAR!J43</f>
        <v>23801.2628</v>
      </c>
      <c r="D89" s="489">
        <f>+TITULAR!K43</f>
        <v>23299.574399999998</v>
      </c>
      <c r="E89" s="37"/>
      <c r="F89" s="37"/>
      <c r="G89" s="41"/>
      <c r="H89" s="42"/>
      <c r="I89" s="37"/>
      <c r="J89" s="37"/>
      <c r="K89" s="41"/>
      <c r="L89" s="42"/>
      <c r="M89" s="37"/>
    </row>
    <row r="90" spans="1:13">
      <c r="A90" s="37"/>
      <c r="B90" s="365">
        <f t="shared" si="3"/>
        <v>17</v>
      </c>
      <c r="C90" s="371">
        <f>+TITULAR!J44</f>
        <v>23912.738799999999</v>
      </c>
      <c r="D90" s="371">
        <f>+TITULAR!K44</f>
        <v>23612.635200000001</v>
      </c>
      <c r="E90" s="37"/>
      <c r="F90" s="37"/>
      <c r="G90" s="41"/>
      <c r="H90" s="42"/>
      <c r="I90" s="37"/>
      <c r="J90" s="37"/>
      <c r="K90" s="41"/>
      <c r="L90" s="42"/>
      <c r="M90" s="37"/>
    </row>
    <row r="91" spans="1:13">
      <c r="A91" s="37"/>
      <c r="B91" s="37"/>
      <c r="C91" s="37"/>
      <c r="D91" s="37"/>
      <c r="E91" s="37"/>
      <c r="F91" s="37"/>
      <c r="G91" s="41"/>
      <c r="H91" s="42"/>
      <c r="I91" s="37"/>
      <c r="J91" s="37"/>
      <c r="K91" s="41"/>
      <c r="L91" s="42"/>
      <c r="M91" s="37"/>
    </row>
    <row r="92" spans="1:13">
      <c r="A92" s="37"/>
      <c r="B92" s="37"/>
      <c r="C92" s="37"/>
      <c r="D92" s="37"/>
      <c r="E92" s="37"/>
      <c r="F92" s="37"/>
      <c r="G92" s="41"/>
      <c r="H92" s="42"/>
      <c r="I92" s="37"/>
      <c r="J92" s="37"/>
      <c r="K92" s="41"/>
      <c r="L92" s="42"/>
      <c r="M92" s="37"/>
    </row>
    <row r="93" spans="1:13" ht="22.5" customHeight="1">
      <c r="A93" s="37"/>
      <c r="B93" s="815" t="s">
        <v>376</v>
      </c>
      <c r="C93" s="815"/>
      <c r="D93" s="815"/>
      <c r="E93" s="815"/>
      <c r="F93" s="815"/>
      <c r="G93" s="815"/>
      <c r="H93" s="815"/>
      <c r="I93" s="815"/>
      <c r="J93" s="815"/>
      <c r="K93" s="815"/>
      <c r="L93" s="815"/>
      <c r="M93" s="37"/>
    </row>
    <row r="94" spans="1:13">
      <c r="A94" s="37"/>
      <c r="B94" s="37"/>
      <c r="C94" s="41"/>
      <c r="D94" s="42"/>
      <c r="E94" s="37"/>
      <c r="F94" s="37"/>
      <c r="G94" s="41"/>
      <c r="H94" s="42"/>
      <c r="I94" s="37"/>
      <c r="J94" s="37"/>
      <c r="K94" s="41"/>
      <c r="L94" s="42"/>
      <c r="M94" s="37"/>
    </row>
    <row r="95" spans="1:13">
      <c r="A95" s="37"/>
      <c r="B95" s="390" t="str">
        <f>+IMPRESION!B107</f>
        <v>Tarifa Total Vig: Marzo 01, 2023</v>
      </c>
      <c r="C95" s="41"/>
      <c r="D95" s="42"/>
      <c r="E95" s="37"/>
      <c r="F95" s="37"/>
      <c r="G95" s="41"/>
      <c r="H95" s="42"/>
      <c r="I95" s="37"/>
      <c r="J95" s="37"/>
      <c r="K95" s="41"/>
      <c r="L95" s="42"/>
      <c r="M95" s="37"/>
    </row>
    <row r="96" spans="1:13">
      <c r="A96" s="37"/>
      <c r="B96" s="37"/>
      <c r="C96" s="41"/>
      <c r="D96" s="42"/>
      <c r="E96" s="37"/>
      <c r="F96" s="37"/>
      <c r="G96" s="41"/>
      <c r="H96" s="42"/>
      <c r="I96" s="37"/>
      <c r="J96" s="37"/>
      <c r="K96" s="41"/>
      <c r="L96" s="42"/>
      <c r="M96" s="37"/>
    </row>
    <row r="97" spans="1:13">
      <c r="A97" s="37"/>
      <c r="B97" s="37"/>
      <c r="C97" s="41"/>
      <c r="D97" s="42"/>
      <c r="E97" s="37"/>
      <c r="F97" s="37"/>
      <c r="G97" s="41"/>
      <c r="H97" s="42"/>
      <c r="I97" s="37"/>
      <c r="J97" s="37"/>
      <c r="K97" s="41"/>
      <c r="L97" s="42"/>
      <c r="M97" s="37"/>
    </row>
    <row r="98" spans="1:13">
      <c r="A98" s="37"/>
      <c r="B98" s="37"/>
      <c r="C98" s="37"/>
      <c r="D98" s="37"/>
      <c r="E98" s="37"/>
      <c r="F98" s="37"/>
      <c r="G98" s="37"/>
      <c r="H98" s="37"/>
      <c r="I98" s="37"/>
      <c r="J98" s="37"/>
      <c r="K98" s="37"/>
      <c r="L98" s="37"/>
      <c r="M98" s="37"/>
    </row>
    <row r="99" spans="1:13">
      <c r="A99" s="37"/>
      <c r="B99" s="37"/>
      <c r="C99" s="37"/>
      <c r="D99" s="37"/>
      <c r="E99" s="37"/>
      <c r="F99" s="37"/>
      <c r="G99" s="37"/>
      <c r="H99" s="37"/>
      <c r="I99" s="37"/>
      <c r="J99" s="37"/>
      <c r="K99" s="37"/>
      <c r="L99" s="37"/>
      <c r="M99" s="37"/>
    </row>
    <row r="100" spans="1:13">
      <c r="A100" s="37"/>
      <c r="B100" s="37"/>
      <c r="C100" s="37"/>
      <c r="D100" s="37"/>
      <c r="E100" s="37"/>
      <c r="F100" s="37"/>
      <c r="G100" s="37"/>
      <c r="H100" s="37"/>
      <c r="I100" s="37"/>
      <c r="J100" s="37"/>
      <c r="K100" s="37"/>
      <c r="L100" s="37"/>
      <c r="M100" s="37"/>
    </row>
    <row r="101" spans="1:13" hidden="1">
      <c r="A101" s="37"/>
      <c r="B101" s="37"/>
      <c r="C101" s="37"/>
      <c r="D101" s="37"/>
      <c r="E101" s="37"/>
      <c r="F101" s="37"/>
      <c r="G101" s="37"/>
      <c r="H101" s="37"/>
      <c r="I101" s="37"/>
      <c r="J101" s="37"/>
      <c r="K101" s="37"/>
      <c r="L101" s="37"/>
      <c r="M101" s="37"/>
    </row>
    <row r="102" spans="1:13" hidden="1">
      <c r="A102" s="37"/>
      <c r="B102" s="37"/>
      <c r="C102" s="37"/>
      <c r="D102" s="37"/>
      <c r="E102" s="37"/>
      <c r="F102" s="37"/>
      <c r="G102" s="37"/>
      <c r="H102" s="37"/>
      <c r="I102" s="37"/>
      <c r="J102" s="37"/>
      <c r="K102" s="37"/>
      <c r="L102" s="37"/>
      <c r="M102" s="37"/>
    </row>
    <row r="103" spans="1:13" hidden="1">
      <c r="A103" s="37"/>
      <c r="B103" s="37"/>
      <c r="C103" s="37"/>
      <c r="D103" s="37"/>
      <c r="E103" s="37"/>
      <c r="F103" s="37"/>
      <c r="G103" s="37"/>
      <c r="H103" s="37"/>
      <c r="I103" s="37"/>
      <c r="J103" s="37"/>
      <c r="K103" s="37"/>
      <c r="L103" s="37"/>
      <c r="M103" s="37"/>
    </row>
    <row r="104" spans="1:13" hidden="1">
      <c r="A104" s="37"/>
      <c r="B104" s="37"/>
      <c r="C104" s="37"/>
      <c r="D104" s="37"/>
      <c r="E104" s="37"/>
      <c r="F104" s="37"/>
      <c r="G104" s="37"/>
      <c r="H104" s="37"/>
      <c r="I104" s="37"/>
      <c r="J104" s="37"/>
      <c r="K104" s="37"/>
      <c r="L104" s="37"/>
      <c r="M104" s="37"/>
    </row>
    <row r="105" spans="1:13" hidden="1">
      <c r="A105" s="37"/>
      <c r="B105" s="37"/>
      <c r="C105" s="37"/>
      <c r="D105" s="37"/>
      <c r="E105" s="37"/>
      <c r="F105" s="37"/>
      <c r="G105" s="37"/>
      <c r="H105" s="37"/>
      <c r="I105" s="37"/>
      <c r="J105" s="37"/>
      <c r="K105" s="37"/>
      <c r="L105" s="37"/>
      <c r="M105" s="37"/>
    </row>
    <row r="106" spans="1:13" hidden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</row>
    <row r="107" spans="1:13" hidden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</row>
    <row r="108" spans="1:13" hidden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</row>
    <row r="109" spans="1:13" hidden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</row>
    <row r="110" spans="1:13" hidden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</row>
    <row r="111" spans="1:13" hidden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</row>
    <row r="112" spans="1:13" hidden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</row>
    <row r="113" spans="1:13" hidden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</row>
    <row r="114" spans="1:13" hidden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</row>
    <row r="115" spans="1:13" hidden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</row>
    <row r="116" spans="1:13" hidden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</row>
    <row r="117" spans="1:13" hidden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</row>
    <row r="118" spans="1:13" hidden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</row>
    <row r="119" spans="1:13" hidden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</row>
    <row r="120" spans="1:13" hidden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</row>
    <row r="121" spans="1:13" hidden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</row>
    <row r="122" spans="1:13" hidden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</row>
    <row r="123" spans="1:13" hidden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</row>
    <row r="124" spans="1:13" hidden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</row>
    <row r="125" spans="1:13" hidden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</row>
    <row r="126" spans="1:13" hidden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</row>
    <row r="127" spans="1:13" hidden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</row>
    <row r="128" spans="1:13" hidden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</row>
    <row r="129" spans="1:13" hidden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</row>
    <row r="130" spans="1:13" hidden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</row>
    <row r="131" spans="1:13" hidden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</row>
    <row r="132" spans="1:13" hidden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</row>
    <row r="133" spans="1:13" hidden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</row>
    <row r="134" spans="1:13" hidden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</row>
    <row r="135" spans="1:13" hidden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</row>
    <row r="136" spans="1:13" hidden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</row>
    <row r="137" spans="1:13" hidden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</row>
    <row r="138" spans="1:13" hidden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</row>
    <row r="139" spans="1:13" hidden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</row>
    <row r="140" spans="1:13" hidden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</row>
    <row r="141" spans="1:13" hidden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</row>
    <row r="142" spans="1:13" hidden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</row>
    <row r="143" spans="1:13" hidden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</row>
    <row r="144" spans="1:13" hidden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</row>
    <row r="145" spans="1:13" hidden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</row>
    <row r="146" spans="1:13" hidden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</row>
    <row r="147" spans="1:13" hidden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</row>
    <row r="148" spans="1:13" hidden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</row>
    <row r="149" spans="1:13" hidden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</row>
    <row r="150" spans="1:13" hidden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</row>
    <row r="151" spans="1:13" hidden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</row>
    <row r="152" spans="1:13" hidden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</row>
    <row r="153" spans="1:13" hidden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</row>
    <row r="154" spans="1:13" hidden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</row>
    <row r="155" spans="1:13" hidden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</row>
    <row r="156" spans="1:13" hidden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</row>
    <row r="157" spans="1:13" hidden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</row>
    <row r="158" spans="1:13" hidden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</row>
    <row r="159" spans="1:13" hidden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</row>
    <row r="160" spans="1:13" hidden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</row>
    <row r="161" spans="1:13" hidden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</row>
    <row r="162" spans="1:13" hidden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</row>
    <row r="163" spans="1:13" hidden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</row>
    <row r="164" spans="1:13" hidden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</row>
    <row r="165" spans="1:13" hidden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</row>
    <row r="166" spans="1:13" hidden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</row>
    <row r="167" spans="1:13" hidden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</row>
    <row r="168" spans="1:13" hidden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</row>
    <row r="169" spans="1:13" hidden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</row>
    <row r="170" spans="1:13" hidden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</row>
    <row r="171" spans="1:13" hidden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</row>
    <row r="172" spans="1:13" hidden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</row>
    <row r="173" spans="1:13" hidden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</row>
    <row r="174" spans="1:13" hidden="1">
      <c r="A174" s="37"/>
      <c r="B174" s="37"/>
      <c r="C174" s="37"/>
      <c r="D174" s="37"/>
      <c r="E174" s="37"/>
      <c r="F174" s="37"/>
      <c r="G174" s="37"/>
      <c r="H174" s="37"/>
      <c r="I174" s="37"/>
      <c r="J174" s="37"/>
      <c r="K174" s="37"/>
      <c r="L174" s="37"/>
      <c r="M174" s="37"/>
    </row>
    <row r="175" spans="1:13" hidden="1">
      <c r="A175" s="37"/>
      <c r="B175" s="37"/>
      <c r="C175" s="37"/>
      <c r="D175" s="37"/>
      <c r="E175" s="37"/>
      <c r="F175" s="37"/>
      <c r="G175" s="37"/>
      <c r="H175" s="37"/>
      <c r="I175" s="37"/>
      <c r="J175" s="37"/>
      <c r="K175" s="37"/>
      <c r="L175" s="37"/>
      <c r="M175" s="37"/>
    </row>
    <row r="176" spans="1:13" hidden="1">
      <c r="A176" s="37"/>
      <c r="B176" s="37"/>
      <c r="C176" s="37"/>
      <c r="D176" s="37"/>
      <c r="E176" s="37"/>
      <c r="F176" s="37"/>
      <c r="G176" s="37"/>
      <c r="H176" s="37"/>
      <c r="I176" s="37"/>
      <c r="J176" s="37"/>
      <c r="K176" s="37"/>
      <c r="L176" s="37"/>
      <c r="M176" s="37"/>
    </row>
    <row r="177" spans="1:13" hidden="1">
      <c r="A177" s="37"/>
      <c r="B177" s="37"/>
      <c r="C177" s="37"/>
      <c r="D177" s="37"/>
      <c r="E177" s="37"/>
      <c r="F177" s="37"/>
      <c r="G177" s="37"/>
      <c r="H177" s="37"/>
      <c r="I177" s="37"/>
      <c r="J177" s="37"/>
      <c r="K177" s="37"/>
      <c r="L177" s="37"/>
      <c r="M177" s="37"/>
    </row>
    <row r="178" spans="1:13" hidden="1">
      <c r="A178" s="37"/>
      <c r="B178" s="37"/>
      <c r="C178" s="37"/>
      <c r="D178" s="37"/>
      <c r="E178" s="37"/>
      <c r="F178" s="37"/>
      <c r="G178" s="37"/>
      <c r="H178" s="37"/>
      <c r="I178" s="37"/>
      <c r="J178" s="37"/>
      <c r="K178" s="37"/>
      <c r="L178" s="37"/>
      <c r="M178" s="37"/>
    </row>
    <row r="179" spans="1:13" hidden="1">
      <c r="A179" s="37"/>
      <c r="B179" s="37"/>
      <c r="C179" s="37"/>
      <c r="D179" s="37"/>
      <c r="E179" s="37"/>
      <c r="F179" s="37"/>
      <c r="G179" s="37"/>
      <c r="H179" s="37"/>
      <c r="I179" s="37"/>
      <c r="J179" s="37"/>
      <c r="K179" s="37"/>
      <c r="L179" s="37"/>
      <c r="M179" s="37"/>
    </row>
    <row r="180" spans="1:13" hidden="1">
      <c r="A180" s="37"/>
      <c r="B180" s="37"/>
      <c r="C180" s="37"/>
      <c r="D180" s="37"/>
      <c r="E180" s="37"/>
      <c r="F180" s="37"/>
      <c r="G180" s="37"/>
      <c r="H180" s="37"/>
      <c r="I180" s="37"/>
      <c r="J180" s="37"/>
      <c r="K180" s="37"/>
      <c r="L180" s="37"/>
      <c r="M180" s="37"/>
    </row>
    <row r="181" spans="1:13" hidden="1">
      <c r="A181" s="37"/>
      <c r="B181" s="37"/>
      <c r="C181" s="37"/>
      <c r="D181" s="37"/>
      <c r="E181" s="37"/>
      <c r="F181" s="37"/>
      <c r="G181" s="37"/>
      <c r="H181" s="37"/>
      <c r="I181" s="37"/>
      <c r="J181" s="37"/>
      <c r="K181" s="37"/>
      <c r="L181" s="37"/>
      <c r="M181" s="37"/>
    </row>
    <row r="182" spans="1:13" hidden="1">
      <c r="A182" s="37"/>
      <c r="B182" s="37"/>
      <c r="C182" s="37"/>
      <c r="D182" s="37"/>
      <c r="E182" s="37"/>
      <c r="F182" s="37"/>
      <c r="G182" s="37"/>
      <c r="H182" s="37"/>
      <c r="I182" s="37"/>
      <c r="J182" s="37"/>
      <c r="K182" s="37"/>
      <c r="L182" s="37"/>
      <c r="M182" s="37"/>
    </row>
    <row r="183" spans="1:13" hidden="1">
      <c r="A183" s="37"/>
      <c r="B183" s="37"/>
      <c r="C183" s="37"/>
      <c r="D183" s="37"/>
      <c r="E183" s="37"/>
      <c r="F183" s="37"/>
      <c r="G183" s="37"/>
      <c r="H183" s="37"/>
      <c r="I183" s="37"/>
      <c r="J183" s="37"/>
      <c r="K183" s="37"/>
      <c r="L183" s="37"/>
      <c r="M183" s="37"/>
    </row>
    <row r="184" spans="1:13" hidden="1">
      <c r="A184" s="37"/>
      <c r="B184" s="37"/>
      <c r="C184" s="37"/>
      <c r="D184" s="37"/>
      <c r="E184" s="37"/>
      <c r="F184" s="37"/>
      <c r="G184" s="37"/>
      <c r="H184" s="37"/>
      <c r="I184" s="37"/>
      <c r="J184" s="37"/>
      <c r="K184" s="37"/>
      <c r="L184" s="37"/>
      <c r="M184" s="37"/>
    </row>
    <row r="185" spans="1:13" hidden="1">
      <c r="A185" s="37"/>
      <c r="B185" s="37"/>
      <c r="C185" s="37"/>
      <c r="D185" s="37"/>
      <c r="E185" s="37"/>
      <c r="F185" s="37"/>
      <c r="G185" s="37"/>
      <c r="H185" s="37"/>
      <c r="I185" s="37"/>
      <c r="J185" s="37"/>
      <c r="K185" s="37"/>
      <c r="L185" s="37"/>
      <c r="M185" s="37"/>
    </row>
    <row r="186" spans="1:13" hidden="1">
      <c r="A186" s="37"/>
      <c r="B186" s="37"/>
      <c r="C186" s="37"/>
      <c r="D186" s="37"/>
      <c r="E186" s="37"/>
      <c r="F186" s="37"/>
      <c r="G186" s="37"/>
      <c r="H186" s="37"/>
      <c r="I186" s="37"/>
      <c r="J186" s="37"/>
      <c r="K186" s="37"/>
      <c r="L186" s="37"/>
      <c r="M186" s="37"/>
    </row>
    <row r="187" spans="1:13" hidden="1">
      <c r="A187" s="37"/>
      <c r="B187" s="37"/>
      <c r="C187" s="37"/>
      <c r="D187" s="37"/>
      <c r="E187" s="37"/>
      <c r="F187" s="37"/>
      <c r="G187" s="37"/>
      <c r="H187" s="37"/>
      <c r="I187" s="37"/>
      <c r="J187" s="37"/>
      <c r="K187" s="37"/>
      <c r="L187" s="37"/>
      <c r="M187" s="37"/>
    </row>
    <row r="188" spans="1:13" hidden="1">
      <c r="A188" s="37"/>
      <c r="B188" s="37"/>
      <c r="C188" s="37"/>
      <c r="D188" s="37"/>
      <c r="E188" s="37"/>
      <c r="F188" s="37"/>
      <c r="G188" s="37"/>
      <c r="H188" s="37"/>
      <c r="I188" s="37"/>
      <c r="J188" s="37"/>
      <c r="K188" s="37"/>
      <c r="L188" s="37"/>
      <c r="M188" s="37"/>
    </row>
    <row r="189" spans="1:13" hidden="1">
      <c r="A189" s="37"/>
      <c r="B189" s="37"/>
      <c r="C189" s="37"/>
      <c r="D189" s="37"/>
      <c r="E189" s="37"/>
      <c r="F189" s="37"/>
      <c r="G189" s="37"/>
      <c r="H189" s="37"/>
      <c r="I189" s="37"/>
      <c r="J189" s="37"/>
      <c r="K189" s="37"/>
      <c r="L189" s="37"/>
      <c r="M189" s="37"/>
    </row>
    <row r="190" spans="1:13" hidden="1">
      <c r="A190" s="37"/>
      <c r="B190" s="37"/>
      <c r="C190" s="37"/>
      <c r="D190" s="37"/>
      <c r="E190" s="37"/>
      <c r="F190" s="37"/>
      <c r="G190" s="37"/>
      <c r="H190" s="37"/>
      <c r="I190" s="37"/>
      <c r="J190" s="37"/>
      <c r="K190" s="37"/>
      <c r="L190" s="37"/>
      <c r="M190" s="37"/>
    </row>
    <row r="191" spans="1:13" hidden="1">
      <c r="A191" s="37"/>
      <c r="B191" s="37"/>
      <c r="C191" s="37"/>
      <c r="D191" s="37"/>
      <c r="E191" s="37"/>
      <c r="F191" s="37"/>
      <c r="G191" s="37"/>
      <c r="H191" s="37"/>
      <c r="I191" s="37"/>
      <c r="J191" s="37"/>
      <c r="K191" s="37"/>
      <c r="L191" s="37"/>
      <c r="M191" s="37"/>
    </row>
    <row r="192" spans="1:13" hidden="1">
      <c r="A192" s="37"/>
      <c r="B192" s="37"/>
      <c r="C192" s="37"/>
      <c r="D192" s="37"/>
      <c r="E192" s="37"/>
      <c r="F192" s="37"/>
      <c r="G192" s="37"/>
      <c r="H192" s="37"/>
      <c r="I192" s="37"/>
      <c r="J192" s="37"/>
      <c r="K192" s="37"/>
      <c r="L192" s="37"/>
      <c r="M192" s="37"/>
    </row>
    <row r="193" spans="1:13" hidden="1">
      <c r="A193" s="37"/>
      <c r="B193" s="37"/>
      <c r="C193" s="37"/>
      <c r="D193" s="37"/>
      <c r="E193" s="37"/>
      <c r="F193" s="37"/>
      <c r="G193" s="37"/>
      <c r="H193" s="37"/>
      <c r="I193" s="37"/>
      <c r="J193" s="37"/>
      <c r="K193" s="37"/>
      <c r="L193" s="37"/>
      <c r="M193" s="37"/>
    </row>
    <row r="194" spans="1:13" hidden="1">
      <c r="A194" s="37"/>
      <c r="B194" s="37"/>
      <c r="C194" s="37"/>
      <c r="D194" s="37"/>
      <c r="E194" s="37"/>
      <c r="F194" s="37"/>
      <c r="G194" s="37"/>
      <c r="H194" s="37"/>
      <c r="I194" s="37"/>
      <c r="J194" s="37"/>
      <c r="K194" s="37"/>
      <c r="L194" s="37"/>
      <c r="M194" s="37"/>
    </row>
    <row r="195" spans="1:13" hidden="1">
      <c r="A195" s="37"/>
      <c r="B195" s="37"/>
      <c r="C195" s="37"/>
      <c r="D195" s="37"/>
      <c r="E195" s="37"/>
      <c r="F195" s="37"/>
      <c r="G195" s="37"/>
      <c r="H195" s="37"/>
      <c r="I195" s="37"/>
      <c r="J195" s="37"/>
      <c r="K195" s="37"/>
      <c r="L195" s="37"/>
      <c r="M195" s="37"/>
    </row>
    <row r="196" spans="1:13" hidden="1">
      <c r="A196" s="37"/>
      <c r="B196" s="37"/>
      <c r="C196" s="37"/>
      <c r="D196" s="37"/>
      <c r="E196" s="37"/>
      <c r="F196" s="37"/>
      <c r="G196" s="37"/>
      <c r="H196" s="37"/>
      <c r="I196" s="37"/>
      <c r="J196" s="37"/>
      <c r="K196" s="37"/>
      <c r="L196" s="37"/>
      <c r="M196" s="37"/>
    </row>
    <row r="197" spans="1:13" hidden="1">
      <c r="A197" s="37"/>
      <c r="B197" s="37"/>
      <c r="C197" s="37"/>
      <c r="D197" s="37"/>
      <c r="E197" s="37"/>
      <c r="F197" s="37"/>
      <c r="G197" s="37"/>
      <c r="H197" s="37"/>
      <c r="I197" s="37"/>
      <c r="J197" s="37"/>
      <c r="K197" s="37"/>
      <c r="L197" s="37"/>
      <c r="M197" s="37"/>
    </row>
    <row r="198" spans="1:13" hidden="1">
      <c r="A198" s="37"/>
      <c r="B198" s="37"/>
      <c r="C198" s="37"/>
      <c r="D198" s="37"/>
      <c r="E198" s="37"/>
      <c r="F198" s="37"/>
      <c r="G198" s="37"/>
      <c r="H198" s="37"/>
      <c r="I198" s="37"/>
      <c r="J198" s="37"/>
      <c r="K198" s="37"/>
      <c r="L198" s="37"/>
      <c r="M198" s="37"/>
    </row>
    <row r="199" spans="1:13" hidden="1">
      <c r="A199" s="37"/>
      <c r="B199" s="37"/>
      <c r="C199" s="37"/>
      <c r="D199" s="37"/>
      <c r="E199" s="37"/>
      <c r="F199" s="37"/>
      <c r="G199" s="37"/>
      <c r="H199" s="37"/>
      <c r="I199" s="37"/>
      <c r="J199" s="37"/>
      <c r="K199" s="37"/>
      <c r="L199" s="37"/>
      <c r="M199" s="37"/>
    </row>
    <row r="200" spans="1:13" hidden="1">
      <c r="A200" s="37"/>
      <c r="B200" s="37"/>
      <c r="C200" s="37"/>
      <c r="D200" s="37"/>
      <c r="E200" s="37"/>
      <c r="F200" s="37"/>
      <c r="G200" s="37"/>
      <c r="H200" s="37"/>
      <c r="I200" s="37"/>
      <c r="J200" s="37"/>
      <c r="K200" s="37"/>
      <c r="L200" s="37"/>
      <c r="M200" s="37"/>
    </row>
    <row r="201" spans="1:13" hidden="1">
      <c r="A201" s="37"/>
      <c r="B201" s="37"/>
      <c r="C201" s="37"/>
      <c r="D201" s="37"/>
      <c r="E201" s="37"/>
      <c r="F201" s="37"/>
      <c r="G201" s="37"/>
      <c r="H201" s="37"/>
      <c r="I201" s="37"/>
      <c r="J201" s="37"/>
      <c r="K201" s="37"/>
      <c r="L201" s="37"/>
      <c r="M201" s="37"/>
    </row>
    <row r="202" spans="1:13" hidden="1">
      <c r="A202" s="37"/>
      <c r="B202" s="37"/>
      <c r="C202" s="37"/>
      <c r="D202" s="37"/>
      <c r="E202" s="37"/>
      <c r="F202" s="37"/>
      <c r="G202" s="37"/>
      <c r="H202" s="37"/>
      <c r="I202" s="37"/>
      <c r="J202" s="37"/>
      <c r="K202" s="37"/>
      <c r="L202" s="37"/>
      <c r="M202" s="37"/>
    </row>
    <row r="203" spans="1:13" hidden="1">
      <c r="A203" s="37"/>
      <c r="B203" s="37"/>
      <c r="C203" s="37"/>
      <c r="D203" s="37"/>
      <c r="E203" s="37"/>
      <c r="F203" s="37"/>
      <c r="G203" s="37"/>
      <c r="H203" s="37"/>
      <c r="I203" s="37"/>
      <c r="J203" s="37"/>
      <c r="K203" s="37"/>
      <c r="L203" s="37"/>
      <c r="M203" s="37"/>
    </row>
    <row r="204" spans="1:13" hidden="1">
      <c r="A204" s="37"/>
      <c r="B204" s="37"/>
      <c r="C204" s="37"/>
      <c r="D204" s="37"/>
      <c r="E204" s="37"/>
      <c r="F204" s="37"/>
      <c r="G204" s="37"/>
      <c r="H204" s="37"/>
      <c r="I204" s="37"/>
      <c r="J204" s="37"/>
      <c r="K204" s="37"/>
      <c r="L204" s="37"/>
      <c r="M204" s="37"/>
    </row>
    <row r="205" spans="1:13" hidden="1">
      <c r="A205" s="37"/>
      <c r="B205" s="37"/>
      <c r="C205" s="37"/>
      <c r="D205" s="37"/>
      <c r="E205" s="37"/>
      <c r="F205" s="37"/>
      <c r="G205" s="37"/>
      <c r="H205" s="37"/>
      <c r="I205" s="37"/>
      <c r="J205" s="37"/>
      <c r="K205" s="37"/>
      <c r="L205" s="37"/>
      <c r="M205" s="37"/>
    </row>
    <row r="206" spans="1:13" hidden="1">
      <c r="A206" s="37"/>
      <c r="B206" s="37"/>
      <c r="C206" s="37"/>
      <c r="D206" s="37"/>
      <c r="E206" s="37"/>
      <c r="F206" s="37"/>
      <c r="G206" s="37"/>
      <c r="H206" s="37"/>
      <c r="I206" s="37"/>
      <c r="J206" s="37"/>
      <c r="K206" s="37"/>
      <c r="L206" s="37"/>
      <c r="M206" s="37"/>
    </row>
    <row r="207" spans="1:13" hidden="1">
      <c r="A207" s="37"/>
      <c r="B207" s="37"/>
      <c r="C207" s="37"/>
      <c r="D207" s="37"/>
      <c r="E207" s="37"/>
      <c r="F207" s="37"/>
      <c r="G207" s="37"/>
      <c r="H207" s="37"/>
      <c r="I207" s="37"/>
      <c r="J207" s="37"/>
      <c r="K207" s="37"/>
      <c r="L207" s="37"/>
      <c r="M207" s="37"/>
    </row>
    <row r="208" spans="1:13" hidden="1">
      <c r="A208" s="37"/>
      <c r="B208" s="37"/>
      <c r="C208" s="37"/>
      <c r="D208" s="37"/>
      <c r="E208" s="37"/>
      <c r="F208" s="37"/>
      <c r="G208" s="37"/>
      <c r="H208" s="37"/>
      <c r="I208" s="37"/>
      <c r="J208" s="37"/>
      <c r="K208" s="37"/>
      <c r="L208" s="37"/>
      <c r="M208" s="37"/>
    </row>
    <row r="209" spans="1:13" hidden="1">
      <c r="A209" s="37"/>
      <c r="B209" s="37"/>
      <c r="C209" s="37"/>
      <c r="D209" s="37"/>
      <c r="E209" s="37"/>
      <c r="F209" s="37"/>
      <c r="G209" s="37"/>
      <c r="H209" s="37"/>
      <c r="I209" s="37"/>
      <c r="J209" s="37"/>
      <c r="K209" s="37"/>
      <c r="L209" s="37"/>
      <c r="M209" s="37"/>
    </row>
    <row r="210" spans="1:13" hidden="1">
      <c r="A210" s="37"/>
      <c r="B210" s="37"/>
      <c r="C210" s="37"/>
      <c r="D210" s="37"/>
      <c r="E210" s="37"/>
      <c r="F210" s="37"/>
      <c r="G210" s="37"/>
      <c r="H210" s="37"/>
      <c r="I210" s="37"/>
      <c r="J210" s="37"/>
      <c r="K210" s="37"/>
      <c r="L210" s="37"/>
      <c r="M210" s="37"/>
    </row>
    <row r="211" spans="1:13" hidden="1">
      <c r="A211" s="37"/>
      <c r="B211" s="37"/>
      <c r="C211" s="37"/>
      <c r="D211" s="37"/>
      <c r="E211" s="37"/>
      <c r="F211" s="37"/>
      <c r="G211" s="37"/>
      <c r="H211" s="37"/>
      <c r="I211" s="37"/>
      <c r="J211" s="37"/>
      <c r="K211" s="37"/>
      <c r="L211" s="37"/>
      <c r="M211" s="37"/>
    </row>
    <row r="212" spans="1:13" hidden="1">
      <c r="A212" s="37"/>
      <c r="B212" s="37"/>
      <c r="C212" s="37"/>
      <c r="D212" s="37"/>
      <c r="E212" s="37"/>
      <c r="F212" s="37"/>
      <c r="G212" s="37"/>
      <c r="H212" s="37"/>
      <c r="I212" s="37"/>
      <c r="J212" s="37"/>
      <c r="K212" s="37"/>
      <c r="L212" s="37"/>
      <c r="M212" s="37"/>
    </row>
    <row r="213" spans="1:13" hidden="1">
      <c r="A213" s="37"/>
      <c r="B213" s="37"/>
      <c r="C213" s="37"/>
      <c r="D213" s="37"/>
      <c r="E213" s="37"/>
      <c r="F213" s="37"/>
      <c r="G213" s="37"/>
      <c r="H213" s="37"/>
      <c r="I213" s="37"/>
      <c r="J213" s="37"/>
      <c r="K213" s="37"/>
      <c r="L213" s="37"/>
      <c r="M213" s="37"/>
    </row>
    <row r="214" spans="1:13" hidden="1">
      <c r="A214" s="37"/>
      <c r="B214" s="37"/>
      <c r="C214" s="37"/>
      <c r="D214" s="37"/>
      <c r="E214" s="37"/>
      <c r="F214" s="37"/>
      <c r="G214" s="37"/>
      <c r="H214" s="37"/>
      <c r="I214" s="37"/>
      <c r="J214" s="37"/>
      <c r="K214" s="37"/>
      <c r="L214" s="37"/>
      <c r="M214" s="37"/>
    </row>
    <row r="215" spans="1:13" hidden="1">
      <c r="A215" s="37"/>
      <c r="B215" s="37"/>
      <c r="C215" s="37"/>
      <c r="D215" s="37"/>
      <c r="E215" s="37"/>
      <c r="F215" s="37"/>
      <c r="G215" s="37"/>
      <c r="H215" s="37"/>
      <c r="I215" s="37"/>
      <c r="J215" s="37"/>
      <c r="K215" s="37"/>
      <c r="L215" s="37"/>
      <c r="M215" s="37"/>
    </row>
    <row r="216" spans="1:13" hidden="1">
      <c r="A216" s="37"/>
      <c r="B216" s="37"/>
      <c r="C216" s="37"/>
      <c r="D216" s="37"/>
      <c r="E216" s="37"/>
      <c r="F216" s="37"/>
      <c r="G216" s="37"/>
      <c r="H216" s="37"/>
      <c r="I216" s="37"/>
      <c r="J216" s="37"/>
      <c r="K216" s="37"/>
      <c r="L216" s="37"/>
      <c r="M216" s="37"/>
    </row>
    <row r="217" spans="1:13" hidden="1">
      <c r="A217" s="37"/>
      <c r="B217" s="37"/>
      <c r="C217" s="37"/>
      <c r="D217" s="37"/>
      <c r="E217" s="37"/>
      <c r="F217" s="37"/>
      <c r="G217" s="37"/>
      <c r="H217" s="37"/>
      <c r="I217" s="37"/>
      <c r="J217" s="37"/>
      <c r="K217" s="37"/>
      <c r="L217" s="37"/>
      <c r="M217" s="37"/>
    </row>
    <row r="218" spans="1:13" hidden="1">
      <c r="A218" s="37"/>
      <c r="B218" s="37"/>
      <c r="C218" s="37"/>
      <c r="D218" s="37"/>
      <c r="E218" s="37"/>
      <c r="F218" s="37"/>
      <c r="G218" s="37"/>
      <c r="H218" s="37"/>
      <c r="I218" s="37"/>
      <c r="J218" s="37"/>
      <c r="K218" s="37"/>
      <c r="L218" s="37"/>
      <c r="M218" s="37"/>
    </row>
    <row r="219" spans="1:13" hidden="1">
      <c r="A219" s="37"/>
      <c r="B219" s="37"/>
      <c r="C219" s="37"/>
      <c r="D219" s="37"/>
      <c r="E219" s="37"/>
      <c r="F219" s="37"/>
      <c r="G219" s="37"/>
      <c r="H219" s="37"/>
      <c r="I219" s="37"/>
      <c r="J219" s="37"/>
      <c r="K219" s="37"/>
      <c r="L219" s="37"/>
      <c r="M219" s="37"/>
    </row>
    <row r="220" spans="1:13" hidden="1">
      <c r="A220" s="37"/>
      <c r="B220" s="37"/>
      <c r="C220" s="37"/>
      <c r="D220" s="37"/>
      <c r="E220" s="37"/>
      <c r="F220" s="37"/>
      <c r="G220" s="37"/>
      <c r="H220" s="37"/>
      <c r="I220" s="37"/>
      <c r="J220" s="37"/>
      <c r="K220" s="37"/>
      <c r="L220" s="37"/>
      <c r="M220" s="37"/>
    </row>
    <row r="221" spans="1:13" hidden="1">
      <c r="A221" s="37"/>
      <c r="B221" s="37"/>
      <c r="C221" s="37"/>
      <c r="D221" s="37"/>
      <c r="E221" s="37"/>
      <c r="F221" s="37"/>
      <c r="G221" s="37"/>
      <c r="H221" s="37"/>
      <c r="I221" s="37"/>
      <c r="J221" s="37"/>
      <c r="K221" s="37"/>
      <c r="L221" s="37"/>
      <c r="M221" s="37"/>
    </row>
    <row r="222" spans="1:13" hidden="1">
      <c r="A222" s="37"/>
      <c r="B222" s="37"/>
      <c r="C222" s="37"/>
      <c r="D222" s="37"/>
      <c r="E222" s="37"/>
      <c r="F222" s="37"/>
      <c r="G222" s="37"/>
      <c r="H222" s="37"/>
      <c r="I222" s="37"/>
      <c r="J222" s="37"/>
      <c r="K222" s="37"/>
      <c r="L222" s="37"/>
      <c r="M222" s="37"/>
    </row>
    <row r="223" spans="1:13" hidden="1">
      <c r="A223" s="37"/>
      <c r="B223" s="37"/>
      <c r="C223" s="37"/>
      <c r="D223" s="37"/>
      <c r="E223" s="37"/>
      <c r="F223" s="37"/>
      <c r="G223" s="37"/>
      <c r="H223" s="37"/>
      <c r="I223" s="37"/>
      <c r="J223" s="37"/>
      <c r="K223" s="37"/>
      <c r="L223" s="37"/>
      <c r="M223" s="37"/>
    </row>
    <row r="224" spans="1:13" hidden="1">
      <c r="A224" s="37"/>
      <c r="B224" s="37"/>
      <c r="C224" s="37"/>
      <c r="D224" s="37"/>
      <c r="E224" s="37"/>
      <c r="F224" s="37"/>
      <c r="G224" s="37"/>
      <c r="H224" s="37"/>
      <c r="I224" s="37"/>
      <c r="J224" s="37"/>
      <c r="K224" s="37"/>
      <c r="L224" s="37"/>
      <c r="M224" s="37"/>
    </row>
    <row r="225" spans="1:13" hidden="1">
      <c r="A225" s="37"/>
      <c r="B225" s="37"/>
      <c r="C225" s="37"/>
      <c r="D225" s="37"/>
      <c r="E225" s="37"/>
      <c r="F225" s="37"/>
      <c r="G225" s="37"/>
      <c r="H225" s="37"/>
      <c r="I225" s="37"/>
      <c r="J225" s="37"/>
      <c r="K225" s="37"/>
      <c r="L225" s="37"/>
      <c r="M225" s="37"/>
    </row>
    <row r="226" spans="1:13" hidden="1">
      <c r="A226" s="37"/>
      <c r="B226" s="37"/>
      <c r="C226" s="37"/>
      <c r="D226" s="37"/>
      <c r="E226" s="37"/>
      <c r="F226" s="37"/>
      <c r="G226" s="37"/>
      <c r="H226" s="37"/>
      <c r="I226" s="37"/>
      <c r="J226" s="37"/>
      <c r="K226" s="37"/>
      <c r="L226" s="37"/>
      <c r="M226" s="37"/>
    </row>
    <row r="227" spans="1:13" hidden="1">
      <c r="A227" s="37"/>
      <c r="B227" s="37"/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</row>
    <row r="228" spans="1:13" hidden="1">
      <c r="A228" s="37"/>
      <c r="B228" s="37"/>
      <c r="C228" s="37"/>
      <c r="D228" s="37"/>
      <c r="E228" s="37"/>
      <c r="F228" s="37"/>
      <c r="G228" s="37"/>
      <c r="H228" s="37"/>
      <c r="I228" s="37"/>
      <c r="J228" s="37"/>
      <c r="K228" s="37"/>
      <c r="L228" s="37"/>
      <c r="M228" s="37"/>
    </row>
    <row r="229" spans="1:13" hidden="1">
      <c r="A229" s="37"/>
      <c r="B229" s="37"/>
      <c r="C229" s="37"/>
      <c r="D229" s="37"/>
      <c r="E229" s="37"/>
      <c r="F229" s="37"/>
      <c r="G229" s="37"/>
      <c r="H229" s="37"/>
      <c r="I229" s="37"/>
      <c r="J229" s="37"/>
      <c r="K229" s="37"/>
      <c r="L229" s="37"/>
      <c r="M229" s="37"/>
    </row>
    <row r="230" spans="1:13" hidden="1">
      <c r="A230" s="37"/>
      <c r="B230" s="37"/>
      <c r="C230" s="37"/>
      <c r="D230" s="37"/>
      <c r="E230" s="37"/>
      <c r="F230" s="37"/>
      <c r="G230" s="37"/>
      <c r="H230" s="37"/>
      <c r="I230" s="37"/>
      <c r="J230" s="37"/>
      <c r="K230" s="37"/>
      <c r="L230" s="37"/>
      <c r="M230" s="37"/>
    </row>
    <row r="231" spans="1:13" hidden="1">
      <c r="A231" s="37"/>
      <c r="B231" s="37"/>
      <c r="C231" s="37"/>
      <c r="D231" s="37"/>
      <c r="E231" s="37"/>
      <c r="F231" s="37"/>
      <c r="G231" s="37"/>
      <c r="H231" s="37"/>
      <c r="I231" s="37"/>
      <c r="J231" s="37"/>
      <c r="K231" s="37"/>
      <c r="L231" s="37"/>
      <c r="M231" s="37"/>
    </row>
    <row r="232" spans="1:13" hidden="1">
      <c r="A232" s="37"/>
      <c r="B232" s="37"/>
      <c r="C232" s="37"/>
      <c r="D232" s="37"/>
      <c r="E232" s="37"/>
      <c r="F232" s="37"/>
      <c r="G232" s="37"/>
      <c r="H232" s="37"/>
      <c r="I232" s="37"/>
      <c r="J232" s="37"/>
      <c r="K232" s="37"/>
      <c r="L232" s="37"/>
      <c r="M232" s="37"/>
    </row>
    <row r="233" spans="1:13" hidden="1">
      <c r="A233" s="37"/>
      <c r="B233" s="37"/>
      <c r="C233" s="37"/>
      <c r="D233" s="37"/>
      <c r="E233" s="37"/>
      <c r="F233" s="37"/>
      <c r="G233" s="37"/>
      <c r="H233" s="37"/>
      <c r="I233" s="37"/>
      <c r="J233" s="37"/>
      <c r="K233" s="37"/>
      <c r="L233" s="37"/>
      <c r="M233" s="37"/>
    </row>
    <row r="234" spans="1:13" hidden="1">
      <c r="A234" s="37"/>
      <c r="B234" s="37"/>
      <c r="C234" s="37"/>
      <c r="D234" s="37"/>
      <c r="E234" s="37"/>
      <c r="F234" s="37"/>
      <c r="G234" s="37"/>
      <c r="H234" s="37"/>
      <c r="I234" s="37"/>
      <c r="J234" s="37"/>
      <c r="K234" s="37"/>
      <c r="L234" s="37"/>
      <c r="M234" s="37"/>
    </row>
    <row r="235" spans="1:13" hidden="1">
      <c r="A235" s="37"/>
      <c r="B235" s="37"/>
      <c r="C235" s="37"/>
      <c r="D235" s="37"/>
      <c r="E235" s="37"/>
      <c r="F235" s="37"/>
      <c r="G235" s="37"/>
      <c r="H235" s="37"/>
      <c r="I235" s="37"/>
      <c r="J235" s="37"/>
      <c r="K235" s="37"/>
      <c r="L235" s="37"/>
      <c r="M235" s="37"/>
    </row>
    <row r="236" spans="1:13" hidden="1">
      <c r="A236" s="37"/>
      <c r="B236" s="37"/>
      <c r="C236" s="37"/>
      <c r="D236" s="37"/>
      <c r="E236" s="37"/>
      <c r="F236" s="37"/>
      <c r="G236" s="37"/>
      <c r="H236" s="37"/>
      <c r="I236" s="37"/>
      <c r="J236" s="37"/>
      <c r="K236" s="37"/>
      <c r="L236" s="37"/>
      <c r="M236" s="37"/>
    </row>
    <row r="237" spans="1:13" hidden="1">
      <c r="A237" s="37"/>
      <c r="B237" s="37"/>
      <c r="C237" s="37"/>
      <c r="D237" s="37"/>
      <c r="E237" s="37"/>
      <c r="F237" s="37"/>
      <c r="G237" s="37"/>
      <c r="H237" s="37"/>
      <c r="I237" s="37"/>
      <c r="J237" s="37"/>
      <c r="K237" s="37"/>
      <c r="L237" s="37"/>
      <c r="M237" s="37"/>
    </row>
    <row r="238" spans="1:13" hidden="1">
      <c r="A238" s="37"/>
      <c r="B238" s="37"/>
      <c r="C238" s="37"/>
      <c r="D238" s="37"/>
      <c r="E238" s="37"/>
      <c r="F238" s="37"/>
      <c r="G238" s="37"/>
      <c r="H238" s="37"/>
      <c r="I238" s="37"/>
      <c r="J238" s="37"/>
      <c r="K238" s="37"/>
      <c r="L238" s="37"/>
      <c r="M238" s="37"/>
    </row>
    <row r="239" spans="1:13" hidden="1">
      <c r="A239" s="37"/>
      <c r="B239" s="37"/>
      <c r="C239" s="37"/>
      <c r="D239" s="37"/>
      <c r="E239" s="37"/>
      <c r="F239" s="37"/>
      <c r="G239" s="37"/>
      <c r="H239" s="37"/>
      <c r="I239" s="37"/>
      <c r="J239" s="37"/>
      <c r="K239" s="37"/>
      <c r="L239" s="37"/>
      <c r="M239" s="37"/>
    </row>
    <row r="240" spans="1:13" hidden="1">
      <c r="A240" s="37"/>
      <c r="B240" s="37"/>
      <c r="C240" s="37"/>
      <c r="D240" s="37"/>
      <c r="E240" s="37"/>
      <c r="F240" s="37"/>
      <c r="G240" s="37"/>
      <c r="H240" s="37"/>
      <c r="I240" s="37"/>
      <c r="J240" s="37"/>
      <c r="K240" s="37"/>
      <c r="L240" s="37"/>
      <c r="M240" s="37"/>
    </row>
    <row r="241" spans="1:13" hidden="1">
      <c r="A241" s="37"/>
      <c r="B241" s="37"/>
      <c r="C241" s="37"/>
      <c r="D241" s="37"/>
      <c r="E241" s="37"/>
      <c r="F241" s="37"/>
      <c r="G241" s="37"/>
      <c r="H241" s="37"/>
      <c r="I241" s="37"/>
      <c r="J241" s="37"/>
      <c r="K241" s="37"/>
      <c r="L241" s="37"/>
      <c r="M241" s="37"/>
    </row>
    <row r="242" spans="1:13" hidden="1">
      <c r="A242" s="37"/>
      <c r="B242" s="37"/>
      <c r="C242" s="37"/>
      <c r="D242" s="37"/>
      <c r="E242" s="37"/>
      <c r="F242" s="37"/>
      <c r="G242" s="37"/>
      <c r="H242" s="37"/>
      <c r="I242" s="37"/>
      <c r="J242" s="37"/>
      <c r="K242" s="37"/>
      <c r="L242" s="37"/>
      <c r="M242" s="37"/>
    </row>
    <row r="243" spans="1:13" hidden="1">
      <c r="A243" s="37"/>
      <c r="B243" s="37"/>
      <c r="C243" s="37"/>
      <c r="D243" s="37"/>
      <c r="E243" s="37"/>
      <c r="F243" s="37"/>
      <c r="G243" s="37"/>
      <c r="H243" s="37"/>
      <c r="I243" s="37"/>
      <c r="J243" s="37"/>
      <c r="K243" s="37"/>
      <c r="L243" s="37"/>
      <c r="M243" s="37"/>
    </row>
    <row r="244" spans="1:13" hidden="1">
      <c r="A244" s="37"/>
      <c r="B244" s="37"/>
      <c r="C244" s="37"/>
      <c r="D244" s="37"/>
      <c r="E244" s="37"/>
      <c r="F244" s="37"/>
      <c r="G244" s="37"/>
      <c r="H244" s="37"/>
      <c r="I244" s="37"/>
      <c r="J244" s="37"/>
      <c r="K244" s="37"/>
      <c r="L244" s="37"/>
      <c r="M244" s="37"/>
    </row>
    <row r="245" spans="1:13" hidden="1">
      <c r="A245" s="37"/>
      <c r="B245" s="37"/>
      <c r="C245" s="37"/>
      <c r="D245" s="37"/>
      <c r="E245" s="37"/>
      <c r="F245" s="37"/>
      <c r="G245" s="37"/>
      <c r="H245" s="37"/>
      <c r="I245" s="37"/>
      <c r="J245" s="37"/>
      <c r="K245" s="37"/>
      <c r="L245" s="37"/>
      <c r="M245" s="37"/>
    </row>
    <row r="246" spans="1:13" hidden="1">
      <c r="A246" s="37"/>
      <c r="B246" s="37"/>
      <c r="C246" s="37"/>
      <c r="D246" s="37"/>
      <c r="E246" s="37"/>
      <c r="F246" s="37"/>
      <c r="G246" s="37"/>
      <c r="H246" s="37"/>
      <c r="I246" s="37"/>
      <c r="J246" s="37"/>
      <c r="K246" s="37"/>
      <c r="L246" s="37"/>
      <c r="M246" s="37"/>
    </row>
    <row r="247" spans="1:13" hidden="1">
      <c r="A247" s="37"/>
      <c r="B247" s="37"/>
      <c r="C247" s="37"/>
      <c r="D247" s="37"/>
      <c r="E247" s="37"/>
      <c r="F247" s="37"/>
      <c r="G247" s="37"/>
      <c r="H247" s="37"/>
      <c r="I247" s="37"/>
      <c r="J247" s="37"/>
      <c r="K247" s="37"/>
      <c r="L247" s="37"/>
      <c r="M247" s="37"/>
    </row>
    <row r="248" spans="1:13" hidden="1">
      <c r="A248" s="37"/>
      <c r="B248" s="37"/>
      <c r="C248" s="37"/>
      <c r="D248" s="37"/>
      <c r="E248" s="37"/>
      <c r="F248" s="37"/>
      <c r="G248" s="37"/>
      <c r="H248" s="37"/>
      <c r="I248" s="37"/>
      <c r="J248" s="37"/>
      <c r="K248" s="37"/>
      <c r="L248" s="37"/>
      <c r="M248" s="37"/>
    </row>
    <row r="249" spans="1:13" hidden="1">
      <c r="A249" s="37"/>
      <c r="B249" s="37"/>
      <c r="C249" s="37"/>
      <c r="D249" s="37"/>
      <c r="E249" s="37"/>
      <c r="F249" s="37"/>
      <c r="G249" s="37"/>
      <c r="H249" s="37"/>
      <c r="I249" s="37"/>
      <c r="J249" s="37"/>
      <c r="K249" s="37"/>
      <c r="L249" s="37"/>
      <c r="M249" s="37"/>
    </row>
    <row r="250" spans="1:13" hidden="1">
      <c r="A250" s="37"/>
      <c r="B250" s="37"/>
      <c r="C250" s="37"/>
      <c r="D250" s="37"/>
      <c r="E250" s="37"/>
      <c r="F250" s="37"/>
      <c r="G250" s="37"/>
      <c r="H250" s="37"/>
      <c r="I250" s="37"/>
      <c r="J250" s="37"/>
      <c r="K250" s="37"/>
      <c r="L250" s="37"/>
      <c r="M250" s="37"/>
    </row>
    <row r="251" spans="1:13" hidden="1">
      <c r="A251" s="37"/>
      <c r="B251" s="37"/>
      <c r="C251" s="37"/>
      <c r="D251" s="37"/>
      <c r="E251" s="37"/>
      <c r="F251" s="37"/>
      <c r="G251" s="37"/>
      <c r="H251" s="37"/>
      <c r="I251" s="37"/>
      <c r="J251" s="37"/>
      <c r="K251" s="37"/>
      <c r="L251" s="37"/>
      <c r="M251" s="37"/>
    </row>
    <row r="255" spans="1:13"/>
    <row r="256" spans="1:13"/>
    <row r="257"/>
    <row r="258"/>
    <row r="259"/>
  </sheetData>
  <sheetProtection algorithmName="SHA-512" hashValue="nwpl119WjUi9crPMlZgr1WTpaKzzM/4PsAY4Tbt4uiAQuhngYNNaetVUSgwzUnqKsNc+XuKcKLG25AN0r0rq2Q==" saltValue="YnvbqurxK8hImUPBVhPj7Q==" spinCount="100000" sheet="1" objects="1" scenarios="1"/>
  <mergeCells count="6">
    <mergeCell ref="H11:J12"/>
    <mergeCell ref="B93:L93"/>
    <mergeCell ref="K19:L20"/>
    <mergeCell ref="G19:H20"/>
    <mergeCell ref="C19:D20"/>
    <mergeCell ref="C75:D76"/>
  </mergeCells>
  <phoneticPr fontId="0" type="noConversion"/>
  <pageMargins left="0.74803149606299213" right="0.74803149606299213" top="0.98425196850393704" bottom="0.98425196850393704" header="0" footer="0"/>
  <pageSetup scale="60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PBrush" shapeId="10241" r:id="rId4">
          <objectPr defaultSize="0" autoPict="0" r:id="rId5">
            <anchor moveWithCells="1" sizeWithCells="1">
              <from>
                <xdr:col>0</xdr:col>
                <xdr:colOff>0</xdr:colOff>
                <xdr:row>2</xdr:row>
                <xdr:rowOff>38100</xdr:rowOff>
              </from>
              <to>
                <xdr:col>0</xdr:col>
                <xdr:colOff>0</xdr:colOff>
                <xdr:row>7</xdr:row>
                <xdr:rowOff>0</xdr:rowOff>
              </to>
            </anchor>
          </objectPr>
        </oleObject>
      </mc:Choice>
      <mc:Fallback>
        <oleObject progId="PBrush" shapeId="10241" r:id="rId4"/>
      </mc:Fallback>
    </mc:AlternateContent>
  </oleObjec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M57"/>
  <sheetViews>
    <sheetView showGridLines="0" showRowColHeaders="0" zoomScaleNormal="100" workbookViewId="0">
      <selection activeCell="J7" sqref="J7"/>
    </sheetView>
  </sheetViews>
  <sheetFormatPr baseColWidth="10" defaultColWidth="0" defaultRowHeight="12.5" zeroHeight="1"/>
  <cols>
    <col min="1" max="8" width="11.453125" customWidth="1"/>
    <col min="9" max="9" width="16.81640625" customWidth="1"/>
    <col min="10" max="12" width="11.453125" customWidth="1"/>
    <col min="13" max="13" width="20.7265625" customWidth="1"/>
    <col min="14" max="16384" width="11.453125" hidden="1"/>
  </cols>
  <sheetData>
    <row r="1" spans="1:10">
      <c r="A1" s="125"/>
      <c r="B1" s="125"/>
      <c r="C1" s="125"/>
      <c r="D1" s="125"/>
      <c r="E1" s="125"/>
      <c r="F1" s="125"/>
      <c r="G1" s="125"/>
      <c r="H1" s="125"/>
      <c r="I1" s="128"/>
    </row>
    <row r="2" spans="1:10">
      <c r="A2" s="125"/>
      <c r="B2" s="125"/>
      <c r="C2" s="125"/>
      <c r="D2" s="125"/>
      <c r="E2" s="125"/>
      <c r="F2" s="125"/>
      <c r="G2" s="125"/>
      <c r="H2" s="125"/>
      <c r="I2" s="128"/>
    </row>
    <row r="3" spans="1:10">
      <c r="A3" s="125"/>
      <c r="B3" s="125"/>
      <c r="C3" s="125"/>
      <c r="D3" s="125"/>
      <c r="E3" s="125"/>
      <c r="F3" s="125"/>
      <c r="G3" s="125"/>
      <c r="H3" s="125"/>
      <c r="I3" s="128"/>
    </row>
    <row r="4" spans="1:10">
      <c r="A4" s="125"/>
      <c r="B4" s="125"/>
      <c r="C4" s="125"/>
      <c r="D4" s="125"/>
      <c r="E4" s="125"/>
      <c r="F4" s="125"/>
      <c r="G4" s="125"/>
      <c r="H4" s="125"/>
      <c r="I4" s="125"/>
    </row>
    <row r="5" spans="1:10">
      <c r="A5" s="125"/>
      <c r="B5" s="125"/>
      <c r="C5" s="125"/>
      <c r="D5" s="125"/>
      <c r="E5" s="125"/>
      <c r="F5" s="125"/>
      <c r="G5" s="125"/>
      <c r="H5" s="125"/>
      <c r="I5" s="125"/>
    </row>
    <row r="6" spans="1:10">
      <c r="A6" s="125"/>
      <c r="B6" s="125"/>
      <c r="C6" s="125"/>
      <c r="D6" s="125"/>
      <c r="E6" s="125"/>
      <c r="F6" s="125"/>
      <c r="G6" s="125"/>
      <c r="H6" s="125"/>
      <c r="I6" s="125"/>
    </row>
    <row r="7" spans="1:10">
      <c r="A7" s="125"/>
      <c r="B7" s="126"/>
      <c r="C7" s="126"/>
      <c r="D7" s="126"/>
      <c r="E7" s="126"/>
      <c r="F7" s="126"/>
      <c r="G7" s="126"/>
      <c r="H7" s="126"/>
      <c r="I7" s="183">
        <f ca="1">TODAY()</f>
        <v>44991</v>
      </c>
    </row>
    <row r="8" spans="1:10">
      <c r="A8" s="125"/>
      <c r="B8" s="126"/>
      <c r="C8" s="126"/>
      <c r="D8" s="126"/>
      <c r="E8" s="126"/>
      <c r="F8" s="126"/>
      <c r="G8" s="126"/>
      <c r="H8" s="126"/>
      <c r="I8" s="126"/>
    </row>
    <row r="9" spans="1:10">
      <c r="A9" s="125"/>
      <c r="B9" s="126"/>
      <c r="C9" s="126"/>
      <c r="D9" s="127"/>
      <c r="E9" s="127"/>
      <c r="F9" s="125"/>
      <c r="G9" s="124"/>
      <c r="H9" s="124"/>
    </row>
    <row r="10" spans="1:10" ht="14">
      <c r="A10" s="111"/>
      <c r="B10" s="823" t="s">
        <v>136</v>
      </c>
      <c r="C10" s="823"/>
      <c r="D10" s="823"/>
      <c r="E10" s="823"/>
      <c r="F10" s="823"/>
      <c r="G10" s="823"/>
      <c r="H10" s="823"/>
      <c r="I10" s="823"/>
    </row>
    <row r="11" spans="1:10" ht="14">
      <c r="A11" s="111"/>
      <c r="B11" s="376"/>
      <c r="C11" s="376"/>
      <c r="D11" s="376"/>
      <c r="E11" s="376"/>
      <c r="F11" s="376"/>
      <c r="G11" s="376"/>
      <c r="H11" s="376"/>
      <c r="I11" s="376"/>
    </row>
    <row r="12" spans="1:10" ht="12.75" customHeight="1">
      <c r="A12" s="111"/>
      <c r="B12" s="818" t="s">
        <v>330</v>
      </c>
      <c r="C12" s="819"/>
      <c r="D12" s="819"/>
      <c r="E12" s="819"/>
      <c r="F12" s="819"/>
      <c r="G12" s="819"/>
      <c r="H12" s="819"/>
      <c r="I12" s="819"/>
      <c r="J12" s="364"/>
    </row>
    <row r="13" spans="1:10" ht="18" customHeight="1">
      <c r="A13" s="111"/>
      <c r="B13" s="825" t="s">
        <v>219</v>
      </c>
      <c r="C13" s="825"/>
      <c r="D13" s="825"/>
      <c r="E13" s="825"/>
      <c r="F13" s="825"/>
      <c r="G13" s="825"/>
      <c r="H13" s="825"/>
      <c r="I13" s="825"/>
      <c r="J13" s="364"/>
    </row>
    <row r="14" spans="1:10" ht="12.75" customHeight="1">
      <c r="A14" s="111"/>
      <c r="B14" s="824"/>
      <c r="C14" s="824"/>
      <c r="D14" s="824"/>
      <c r="E14" s="824"/>
      <c r="F14" s="824"/>
      <c r="G14" s="824"/>
      <c r="H14" s="824"/>
      <c r="I14" s="824"/>
      <c r="J14" s="361"/>
    </row>
    <row r="15" spans="1:10" ht="12.75" customHeight="1">
      <c r="A15" s="111"/>
      <c r="B15" s="374"/>
      <c r="C15" s="374"/>
      <c r="D15" s="374"/>
      <c r="E15" s="374"/>
      <c r="F15" s="374"/>
      <c r="G15" s="374"/>
      <c r="H15" s="374"/>
      <c r="I15" s="374"/>
      <c r="J15" s="361"/>
    </row>
    <row r="16" spans="1:10">
      <c r="A16" s="111"/>
      <c r="B16" s="363"/>
      <c r="C16" s="363"/>
      <c r="D16" s="363"/>
      <c r="E16" s="363"/>
      <c r="F16" s="363"/>
      <c r="G16" s="363"/>
      <c r="H16" s="363"/>
      <c r="I16" s="363"/>
      <c r="J16" s="363"/>
    </row>
    <row r="17" spans="1:9">
      <c r="A17" s="111"/>
      <c r="B17" s="818" t="s">
        <v>331</v>
      </c>
      <c r="C17" s="819"/>
      <c r="D17" s="819"/>
      <c r="E17" s="819"/>
      <c r="F17" s="819"/>
      <c r="G17" s="819"/>
      <c r="H17" s="819"/>
      <c r="I17" s="819"/>
    </row>
    <row r="18" spans="1:9">
      <c r="A18" s="111"/>
      <c r="B18" s="818" t="s">
        <v>333</v>
      </c>
      <c r="C18" s="819"/>
      <c r="D18" s="819"/>
      <c r="E18" s="819"/>
      <c r="F18" s="819"/>
      <c r="G18" s="819"/>
      <c r="H18" s="819"/>
      <c r="I18" s="819"/>
    </row>
    <row r="19" spans="1:9">
      <c r="A19" s="111"/>
      <c r="B19" s="818" t="s">
        <v>334</v>
      </c>
      <c r="C19" s="819"/>
      <c r="D19" s="819"/>
      <c r="E19" s="819"/>
      <c r="F19" s="819"/>
      <c r="G19" s="819"/>
      <c r="H19" s="819"/>
      <c r="I19" s="819"/>
    </row>
    <row r="20" spans="1:9">
      <c r="A20" s="111"/>
      <c r="B20" s="818" t="s">
        <v>335</v>
      </c>
      <c r="C20" s="819"/>
      <c r="D20" s="819"/>
      <c r="E20" s="819"/>
      <c r="F20" s="819"/>
      <c r="G20" s="819"/>
      <c r="H20" s="819"/>
      <c r="I20" s="819"/>
    </row>
    <row r="21" spans="1:9">
      <c r="A21" s="111"/>
      <c r="B21" s="818" t="s">
        <v>338</v>
      </c>
      <c r="C21" s="819"/>
      <c r="D21" s="819"/>
      <c r="E21" s="819"/>
      <c r="F21" s="819"/>
      <c r="G21" s="819"/>
      <c r="H21" s="819"/>
      <c r="I21" s="819"/>
    </row>
    <row r="22" spans="1:9" ht="12.75" customHeight="1">
      <c r="A22" s="111"/>
      <c r="B22" s="818" t="s">
        <v>339</v>
      </c>
      <c r="C22" s="819"/>
      <c r="D22" s="819"/>
      <c r="E22" s="819"/>
      <c r="F22" s="819"/>
      <c r="G22" s="819"/>
      <c r="H22" s="819"/>
      <c r="I22" s="819"/>
    </row>
    <row r="23" spans="1:9">
      <c r="A23" s="111"/>
      <c r="B23" s="817" t="s">
        <v>213</v>
      </c>
      <c r="C23" s="817"/>
      <c r="D23" s="817"/>
      <c r="E23" s="817"/>
      <c r="F23" s="817"/>
      <c r="G23" s="817"/>
      <c r="H23" s="817"/>
      <c r="I23" s="817"/>
    </row>
    <row r="24" spans="1:9">
      <c r="A24" s="111"/>
      <c r="B24" s="818" t="s">
        <v>341</v>
      </c>
      <c r="C24" s="819"/>
      <c r="D24" s="819"/>
      <c r="E24" s="819"/>
      <c r="F24" s="819"/>
      <c r="G24" s="819"/>
      <c r="H24" s="819"/>
      <c r="I24" s="819"/>
    </row>
    <row r="25" spans="1:9">
      <c r="A25" s="111"/>
      <c r="B25" s="818" t="s">
        <v>340</v>
      </c>
      <c r="C25" s="819"/>
      <c r="D25" s="819"/>
      <c r="E25" s="819"/>
      <c r="F25" s="819"/>
      <c r="G25" s="819"/>
      <c r="H25" s="819"/>
      <c r="I25" s="819"/>
    </row>
    <row r="26" spans="1:9">
      <c r="A26" s="111"/>
      <c r="B26" s="818" t="s">
        <v>342</v>
      </c>
      <c r="C26" s="819"/>
      <c r="D26" s="819"/>
      <c r="E26" s="819"/>
      <c r="F26" s="819"/>
      <c r="G26" s="819"/>
      <c r="H26" s="819"/>
      <c r="I26" s="819"/>
    </row>
    <row r="27" spans="1:9">
      <c r="A27" s="111"/>
      <c r="B27" s="817" t="s">
        <v>212</v>
      </c>
      <c r="C27" s="817"/>
      <c r="D27" s="817"/>
      <c r="E27" s="817"/>
      <c r="F27" s="817"/>
      <c r="G27" s="817"/>
      <c r="H27" s="817"/>
      <c r="I27" s="817"/>
    </row>
    <row r="28" spans="1:9">
      <c r="A28" s="111"/>
      <c r="B28" s="818" t="s">
        <v>343</v>
      </c>
      <c r="C28" s="819"/>
      <c r="D28" s="819"/>
      <c r="E28" s="819"/>
      <c r="F28" s="819"/>
      <c r="G28" s="819"/>
      <c r="H28" s="819"/>
      <c r="I28" s="819"/>
    </row>
    <row r="29" spans="1:9" ht="27.75" customHeight="1">
      <c r="A29" s="111"/>
      <c r="B29" s="818" t="s">
        <v>344</v>
      </c>
      <c r="C29" s="819"/>
      <c r="D29" s="819"/>
      <c r="E29" s="819"/>
      <c r="F29" s="819"/>
      <c r="G29" s="819"/>
      <c r="H29" s="819"/>
      <c r="I29" s="819"/>
    </row>
    <row r="30" spans="1:9">
      <c r="A30" s="111"/>
      <c r="B30" s="818" t="s">
        <v>345</v>
      </c>
      <c r="C30" s="819"/>
      <c r="D30" s="819"/>
      <c r="E30" s="819"/>
      <c r="F30" s="819"/>
      <c r="G30" s="819"/>
      <c r="H30" s="819"/>
      <c r="I30" s="819"/>
    </row>
    <row r="31" spans="1:9">
      <c r="A31" s="111"/>
      <c r="B31" s="818" t="s">
        <v>346</v>
      </c>
      <c r="C31" s="819"/>
      <c r="D31" s="819"/>
      <c r="E31" s="819"/>
      <c r="F31" s="819"/>
      <c r="G31" s="819"/>
      <c r="H31" s="819"/>
      <c r="I31" s="819"/>
    </row>
    <row r="32" spans="1:9">
      <c r="A32" s="111"/>
      <c r="B32" s="375"/>
      <c r="C32" s="375"/>
      <c r="D32" s="375"/>
      <c r="E32" s="375"/>
      <c r="F32" s="375"/>
      <c r="G32" s="375"/>
      <c r="H32" s="375"/>
      <c r="I32" s="375"/>
    </row>
    <row r="33" spans="1:10" ht="12.75" customHeight="1">
      <c r="A33" s="357"/>
      <c r="B33" s="820" t="s">
        <v>347</v>
      </c>
      <c r="C33" s="821"/>
      <c r="D33" s="821"/>
      <c r="E33" s="821"/>
      <c r="F33" s="821"/>
      <c r="G33" s="821"/>
      <c r="H33" s="821"/>
      <c r="I33" s="821"/>
      <c r="J33" s="362"/>
    </row>
    <row r="34" spans="1:10">
      <c r="A34" s="357"/>
      <c r="B34" s="820" t="s">
        <v>351</v>
      </c>
      <c r="C34" s="821"/>
      <c r="D34" s="821"/>
      <c r="E34" s="821"/>
      <c r="F34" s="821"/>
      <c r="G34" s="821"/>
      <c r="H34" s="821"/>
      <c r="I34" s="821"/>
      <c r="J34" s="359"/>
    </row>
    <row r="35" spans="1:10">
      <c r="A35" s="357"/>
      <c r="B35" s="820" t="s">
        <v>348</v>
      </c>
      <c r="C35" s="821"/>
      <c r="D35" s="821"/>
      <c r="E35" s="821"/>
      <c r="F35" s="821"/>
      <c r="G35" s="821"/>
      <c r="H35" s="821"/>
      <c r="I35" s="821"/>
      <c r="J35" s="359"/>
    </row>
    <row r="36" spans="1:10">
      <c r="A36" s="357"/>
      <c r="B36" s="820" t="s">
        <v>349</v>
      </c>
      <c r="C36" s="821"/>
      <c r="D36" s="821"/>
      <c r="E36" s="821"/>
      <c r="F36" s="821"/>
      <c r="G36" s="821"/>
      <c r="H36" s="821"/>
      <c r="I36" s="821"/>
      <c r="J36" s="359"/>
    </row>
    <row r="37" spans="1:10" ht="12.75" customHeight="1">
      <c r="A37" s="357"/>
      <c r="B37" s="821" t="s">
        <v>214</v>
      </c>
      <c r="C37" s="821"/>
      <c r="D37" s="821"/>
      <c r="E37" s="821"/>
      <c r="F37" s="821"/>
      <c r="G37" s="821"/>
      <c r="H37" s="821"/>
      <c r="I37" s="821"/>
      <c r="J37" s="359"/>
    </row>
    <row r="38" spans="1:10" ht="12.75" customHeight="1">
      <c r="A38" s="357"/>
      <c r="B38" s="821" t="s">
        <v>215</v>
      </c>
      <c r="C38" s="821"/>
      <c r="D38" s="821"/>
      <c r="E38" s="821"/>
      <c r="F38" s="821"/>
      <c r="G38" s="821"/>
      <c r="H38" s="821"/>
      <c r="I38" s="821"/>
      <c r="J38" s="362"/>
    </row>
    <row r="39" spans="1:10">
      <c r="A39" s="357"/>
      <c r="B39" s="820" t="s">
        <v>350</v>
      </c>
      <c r="C39" s="821"/>
      <c r="D39" s="821"/>
      <c r="E39" s="821"/>
      <c r="F39" s="821"/>
      <c r="G39" s="821"/>
      <c r="H39" s="821"/>
      <c r="I39" s="821"/>
      <c r="J39" s="359"/>
    </row>
    <row r="40" spans="1:10">
      <c r="A40" s="357"/>
      <c r="B40" s="358"/>
      <c r="C40" s="358"/>
      <c r="D40" s="358"/>
      <c r="E40" s="358"/>
      <c r="F40" s="358"/>
      <c r="G40" s="358"/>
      <c r="H40" s="358"/>
      <c r="I40" s="358"/>
      <c r="J40" s="359"/>
    </row>
    <row r="41" spans="1:10">
      <c r="A41" s="111"/>
      <c r="B41" s="818" t="s">
        <v>352</v>
      </c>
      <c r="C41" s="819"/>
      <c r="D41" s="819"/>
      <c r="E41" s="819"/>
      <c r="F41" s="819"/>
      <c r="G41" s="819"/>
      <c r="H41" s="819"/>
      <c r="I41" s="819"/>
      <c r="J41" s="360"/>
    </row>
    <row r="42" spans="1:10">
      <c r="A42" s="111"/>
      <c r="B42" s="818" t="s">
        <v>377</v>
      </c>
      <c r="C42" s="819"/>
      <c r="D42" s="819"/>
      <c r="E42" s="819"/>
      <c r="F42" s="819"/>
      <c r="G42" s="819"/>
      <c r="H42" s="819"/>
      <c r="I42" s="819"/>
      <c r="J42" s="360"/>
    </row>
    <row r="43" spans="1:10">
      <c r="A43" s="111"/>
      <c r="B43" s="818" t="s">
        <v>353</v>
      </c>
      <c r="C43" s="819"/>
      <c r="D43" s="819"/>
      <c r="E43" s="819"/>
      <c r="F43" s="819"/>
      <c r="G43" s="819"/>
      <c r="H43" s="819"/>
      <c r="I43" s="819"/>
      <c r="J43" s="360"/>
    </row>
    <row r="44" spans="1:10" ht="15.75" customHeight="1">
      <c r="A44" s="111"/>
      <c r="B44" s="818" t="s">
        <v>336</v>
      </c>
      <c r="C44" s="819"/>
      <c r="D44" s="819"/>
      <c r="E44" s="819"/>
      <c r="F44" s="819"/>
      <c r="G44" s="819"/>
      <c r="H44" s="819"/>
      <c r="I44" s="819"/>
      <c r="J44" s="361"/>
    </row>
    <row r="45" spans="1:10" ht="27" customHeight="1">
      <c r="A45" s="111"/>
      <c r="B45" s="818" t="s">
        <v>337</v>
      </c>
      <c r="C45" s="819"/>
      <c r="D45" s="819"/>
      <c r="E45" s="819"/>
      <c r="F45" s="819"/>
      <c r="G45" s="819"/>
      <c r="H45" s="819"/>
      <c r="I45" s="819"/>
    </row>
    <row r="46" spans="1:10">
      <c r="A46" s="111"/>
    </row>
    <row r="47" spans="1:10">
      <c r="A47" s="111"/>
    </row>
    <row r="48" spans="1:10">
      <c r="A48" s="111"/>
    </row>
    <row r="49" spans="1:9">
      <c r="A49" s="111"/>
    </row>
    <row r="50" spans="1:9">
      <c r="A50" s="111"/>
    </row>
    <row r="51" spans="1:9">
      <c r="A51" s="111"/>
    </row>
    <row r="52" spans="1:9">
      <c r="A52" s="111"/>
      <c r="B52" s="822"/>
      <c r="C52" s="822"/>
      <c r="D52" s="822"/>
      <c r="E52" s="822"/>
      <c r="F52" s="822"/>
      <c r="G52" s="822"/>
      <c r="H52" s="822"/>
      <c r="I52" s="822"/>
    </row>
    <row r="53" spans="1:9" hidden="1">
      <c r="A53" s="111"/>
      <c r="B53" s="375"/>
      <c r="C53" s="375"/>
      <c r="D53" s="375"/>
      <c r="E53" s="375"/>
      <c r="F53" s="375"/>
      <c r="G53" s="375"/>
      <c r="H53" s="375"/>
      <c r="I53" s="375"/>
    </row>
    <row r="54" spans="1:9" hidden="1">
      <c r="A54" s="111"/>
      <c r="B54" s="93"/>
      <c r="C54" s="93"/>
      <c r="D54" s="93"/>
      <c r="E54" s="93"/>
      <c r="F54" s="93"/>
      <c r="G54" s="93"/>
      <c r="H54" s="93"/>
      <c r="I54" s="93"/>
    </row>
    <row r="55" spans="1:9" hidden="1">
      <c r="A55" s="111"/>
      <c r="B55" s="93"/>
      <c r="C55" s="93"/>
      <c r="D55" s="93"/>
      <c r="E55" s="93"/>
      <c r="F55" s="93"/>
      <c r="G55" s="93"/>
      <c r="H55" s="93"/>
      <c r="I55" s="93"/>
    </row>
    <row r="56" spans="1:9" hidden="1">
      <c r="A56" s="111"/>
      <c r="B56" s="93"/>
      <c r="C56" s="93"/>
      <c r="D56" s="93"/>
      <c r="E56" s="93"/>
      <c r="F56" s="93"/>
      <c r="G56" s="93"/>
      <c r="H56" s="93"/>
      <c r="I56" s="93"/>
    </row>
    <row r="57" spans="1:9" hidden="1">
      <c r="A57" s="111"/>
      <c r="B57" s="93"/>
      <c r="C57" s="93"/>
      <c r="D57" s="93"/>
      <c r="E57" s="93"/>
      <c r="F57" s="93"/>
      <c r="G57" s="93"/>
      <c r="H57" s="93"/>
      <c r="I57" s="93"/>
    </row>
  </sheetData>
  <sheetProtection algorithmName="SHA-512" hashValue="hCv651Z9U0Hkasgp98NVb5B4mSYeVVB8pfnG01DXRem5kb1/u2hhEzqsys0jBkn3BC8ufToZ1Sj0yq1sM6UEYQ==" saltValue="q5cKImsLstzFPGr/g02pHA==" spinCount="100000" sheet="1" selectLockedCells="1" selectUnlockedCells="1"/>
  <mergeCells count="32">
    <mergeCell ref="B10:I10"/>
    <mergeCell ref="B17:I17"/>
    <mergeCell ref="B19:I19"/>
    <mergeCell ref="B20:I20"/>
    <mergeCell ref="B22:I22"/>
    <mergeCell ref="B12:I12"/>
    <mergeCell ref="B14:I14"/>
    <mergeCell ref="B21:I21"/>
    <mergeCell ref="B13:I13"/>
    <mergeCell ref="B18:I18"/>
    <mergeCell ref="B37:I37"/>
    <mergeCell ref="B33:I33"/>
    <mergeCell ref="B38:I38"/>
    <mergeCell ref="B44:I44"/>
    <mergeCell ref="B52:I52"/>
    <mergeCell ref="B36:I36"/>
    <mergeCell ref="B39:I39"/>
    <mergeCell ref="B41:I41"/>
    <mergeCell ref="B42:I42"/>
    <mergeCell ref="B43:I43"/>
    <mergeCell ref="B45:I45"/>
    <mergeCell ref="B30:I30"/>
    <mergeCell ref="B31:I31"/>
    <mergeCell ref="B34:I34"/>
    <mergeCell ref="B35:I35"/>
    <mergeCell ref="B29:I29"/>
    <mergeCell ref="B23:I23"/>
    <mergeCell ref="B24:I24"/>
    <mergeCell ref="B25:I25"/>
    <mergeCell ref="B26:I26"/>
    <mergeCell ref="B28:I28"/>
    <mergeCell ref="B27:I27"/>
  </mergeCells>
  <printOptions horizontalCentered="1"/>
  <pageMargins left="0.70866141732283472" right="0.70866141732283472" top="0.74803149606299213" bottom="0.74803149606299213" header="0.31496062992125984" footer="0.31496062992125984"/>
  <pageSetup scale="7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pageSetUpPr fitToPage="1"/>
  </sheetPr>
  <dimension ref="A1:L33"/>
  <sheetViews>
    <sheetView showGridLines="0" showRowColHeaders="0" tabSelected="1" zoomScale="115" zoomScaleNormal="115" zoomScaleSheetLayoutView="110" workbookViewId="0">
      <selection activeCell="A12" sqref="A12"/>
    </sheetView>
  </sheetViews>
  <sheetFormatPr baseColWidth="10" defaultColWidth="0" defaultRowHeight="12.5" zeroHeight="1"/>
  <cols>
    <col min="1" max="11" width="15.54296875" customWidth="1"/>
    <col min="12" max="12" width="15.54296875" hidden="1" customWidth="1"/>
    <col min="13" max="16384" width="11.453125" hidden="1"/>
  </cols>
  <sheetData>
    <row r="1" spans="1:11" ht="9" customHeight="1">
      <c r="A1" s="351"/>
      <c r="B1" s="351"/>
      <c r="C1" s="351"/>
      <c r="D1" s="351"/>
      <c r="E1" s="351"/>
      <c r="F1" s="351"/>
      <c r="G1" s="351"/>
      <c r="H1" s="351"/>
      <c r="I1" s="351"/>
      <c r="J1" s="351"/>
      <c r="K1" s="351"/>
    </row>
    <row r="2" spans="1:11" ht="9" customHeight="1">
      <c r="A2" s="351"/>
      <c r="B2" s="351"/>
      <c r="C2" s="351"/>
      <c r="D2" s="351"/>
      <c r="E2" s="351"/>
      <c r="F2" s="351"/>
      <c r="G2" s="351"/>
      <c r="H2" s="351"/>
      <c r="I2" s="351"/>
      <c r="J2" s="351"/>
      <c r="K2" s="351"/>
    </row>
    <row r="3" spans="1:11" ht="6" customHeight="1">
      <c r="A3" s="351"/>
      <c r="B3" s="351"/>
      <c r="C3" s="351"/>
      <c r="D3" s="351"/>
      <c r="E3" s="351"/>
      <c r="F3" s="351"/>
      <c r="G3" s="351"/>
      <c r="H3" s="351"/>
      <c r="I3" s="351"/>
      <c r="J3" s="351"/>
      <c r="K3" s="351"/>
    </row>
    <row r="4" spans="1:11" ht="6" customHeight="1">
      <c r="A4" s="351"/>
      <c r="B4" s="351"/>
      <c r="C4" s="351"/>
      <c r="D4" s="351"/>
      <c r="E4" s="351"/>
      <c r="F4" s="351"/>
      <c r="G4" s="351"/>
      <c r="H4" s="351"/>
      <c r="I4" s="351"/>
      <c r="J4" s="351"/>
      <c r="K4" s="351"/>
    </row>
    <row r="5" spans="1:11" ht="6" customHeight="1">
      <c r="A5" s="351"/>
      <c r="B5" s="351"/>
      <c r="C5" s="351"/>
      <c r="D5" s="351"/>
      <c r="E5" s="351"/>
      <c r="F5" s="351"/>
      <c r="G5" s="351"/>
      <c r="H5" s="351"/>
      <c r="I5" s="351"/>
      <c r="J5" s="351"/>
      <c r="K5" s="351"/>
    </row>
    <row r="6" spans="1:11">
      <c r="A6" s="351"/>
      <c r="B6" s="351"/>
      <c r="C6" s="351"/>
      <c r="D6" s="351"/>
      <c r="E6" s="351"/>
      <c r="F6" s="351"/>
      <c r="G6" s="351"/>
      <c r="H6" s="351"/>
      <c r="I6" s="351"/>
      <c r="J6" s="351"/>
      <c r="K6" s="351"/>
    </row>
    <row r="7" spans="1:11">
      <c r="A7" s="351"/>
      <c r="B7" s="351"/>
      <c r="C7" s="351"/>
      <c r="D7" s="351"/>
      <c r="E7" s="351"/>
      <c r="F7" s="351"/>
      <c r="G7" s="351"/>
      <c r="H7" s="351"/>
      <c r="I7" s="351"/>
      <c r="J7" s="351"/>
      <c r="K7" s="351"/>
    </row>
    <row r="8" spans="1:11">
      <c r="A8" s="351"/>
      <c r="B8" s="351"/>
      <c r="C8" s="351"/>
      <c r="D8" s="351"/>
      <c r="E8" s="351"/>
      <c r="F8" s="351"/>
      <c r="G8" s="351"/>
      <c r="H8" s="351"/>
      <c r="I8" s="351"/>
      <c r="J8" s="351"/>
      <c r="K8" s="351"/>
    </row>
    <row r="9" spans="1:11">
      <c r="A9" s="351"/>
      <c r="B9" s="351"/>
      <c r="C9" s="351"/>
      <c r="D9" s="351"/>
      <c r="E9" s="351"/>
      <c r="F9" s="351"/>
      <c r="G9" s="351"/>
      <c r="H9" s="351"/>
      <c r="I9" s="351"/>
      <c r="J9" s="351"/>
      <c r="K9" s="351"/>
    </row>
    <row r="10" spans="1:11">
      <c r="A10" s="351"/>
      <c r="B10" s="351"/>
      <c r="C10" s="351"/>
      <c r="D10" s="351"/>
      <c r="E10" s="351"/>
      <c r="F10" s="351"/>
      <c r="G10" s="351"/>
      <c r="H10" s="351"/>
      <c r="I10" s="351"/>
      <c r="J10" s="351"/>
      <c r="K10" s="351"/>
    </row>
    <row r="11" spans="1:11">
      <c r="A11" s="351"/>
      <c r="B11" s="351"/>
      <c r="C11" s="351"/>
      <c r="D11" s="351"/>
      <c r="E11" s="351"/>
      <c r="F11" s="351"/>
      <c r="G11" s="351"/>
      <c r="H11" s="351"/>
      <c r="I11" s="351"/>
      <c r="J11" s="351"/>
      <c r="K11" s="351"/>
    </row>
    <row r="12" spans="1:11">
      <c r="A12" s="351"/>
      <c r="B12" s="351"/>
      <c r="C12" s="351"/>
      <c r="D12" s="351"/>
      <c r="E12" s="351"/>
      <c r="F12" s="351"/>
      <c r="G12" s="351"/>
      <c r="H12" s="351"/>
      <c r="I12" s="351"/>
      <c r="J12" s="351"/>
      <c r="K12" s="351"/>
    </row>
    <row r="13" spans="1:11">
      <c r="A13" s="351"/>
      <c r="B13" s="351"/>
      <c r="C13" s="351"/>
      <c r="D13" s="351"/>
      <c r="E13" s="351"/>
      <c r="F13" s="351"/>
      <c r="G13" s="351"/>
      <c r="H13" s="351"/>
      <c r="I13" s="351"/>
      <c r="J13" s="351"/>
      <c r="K13" s="351"/>
    </row>
    <row r="14" spans="1:11">
      <c r="A14" s="351"/>
      <c r="B14" s="351"/>
      <c r="C14" s="351"/>
      <c r="D14" s="351"/>
      <c r="E14" s="351"/>
      <c r="F14" s="351"/>
      <c r="G14" s="351"/>
      <c r="H14" s="351"/>
      <c r="I14" s="351"/>
      <c r="J14" s="351"/>
      <c r="K14" s="351"/>
    </row>
    <row r="15" spans="1:11">
      <c r="A15" s="351"/>
      <c r="B15" s="351"/>
      <c r="C15" s="351"/>
      <c r="D15" s="351"/>
      <c r="E15" s="351"/>
      <c r="F15" s="351"/>
      <c r="G15" s="351"/>
      <c r="H15" s="351"/>
      <c r="I15" s="351"/>
      <c r="J15" s="351"/>
      <c r="K15" s="351"/>
    </row>
    <row r="16" spans="1:11">
      <c r="A16" s="351"/>
      <c r="B16" s="351"/>
      <c r="C16" s="351"/>
      <c r="D16" s="351"/>
      <c r="E16" s="351"/>
      <c r="F16" s="351"/>
      <c r="G16" s="351"/>
      <c r="H16" s="351"/>
      <c r="I16" s="351"/>
      <c r="J16" s="351"/>
      <c r="K16" s="351"/>
    </row>
    <row r="17" spans="1:11">
      <c r="A17" s="351"/>
      <c r="B17" s="351"/>
      <c r="C17" s="351"/>
      <c r="D17" s="351"/>
      <c r="E17" s="351"/>
      <c r="F17" s="351"/>
      <c r="G17" s="351"/>
      <c r="H17" s="351"/>
      <c r="I17" s="351"/>
      <c r="J17" s="351"/>
      <c r="K17" s="351"/>
    </row>
    <row r="18" spans="1:11">
      <c r="A18" s="351"/>
      <c r="B18" s="351"/>
      <c r="C18" s="351"/>
      <c r="D18" s="351"/>
      <c r="E18" s="351"/>
      <c r="F18" s="351"/>
      <c r="G18" s="351"/>
      <c r="H18" s="351"/>
      <c r="I18" s="351"/>
      <c r="J18" s="351"/>
      <c r="K18" s="351"/>
    </row>
    <row r="19" spans="1:11">
      <c r="A19" s="351"/>
      <c r="B19" s="351"/>
      <c r="C19" s="351"/>
      <c r="D19" s="351"/>
      <c r="E19" s="351"/>
      <c r="F19" s="351"/>
      <c r="G19" s="351"/>
      <c r="H19" s="351"/>
      <c r="I19" s="351"/>
      <c r="J19" s="351"/>
      <c r="K19" s="351"/>
    </row>
    <row r="20" spans="1:11">
      <c r="A20" s="351"/>
      <c r="B20" s="351"/>
      <c r="C20" s="351"/>
      <c r="D20" s="351"/>
      <c r="E20" s="351"/>
      <c r="F20" s="351"/>
      <c r="G20" s="351"/>
      <c r="H20" s="351"/>
      <c r="I20" s="351"/>
      <c r="J20" s="351"/>
      <c r="K20" s="351"/>
    </row>
    <row r="21" spans="1:11">
      <c r="A21" s="351"/>
      <c r="B21" s="351"/>
      <c r="C21" s="351"/>
      <c r="D21" s="351"/>
      <c r="E21" s="351"/>
      <c r="F21" s="351"/>
      <c r="G21" s="351"/>
      <c r="H21" s="351"/>
      <c r="I21" s="351"/>
      <c r="J21" s="351"/>
      <c r="K21" s="351"/>
    </row>
    <row r="22" spans="1:11">
      <c r="A22" s="351"/>
      <c r="B22" s="351"/>
      <c r="C22" s="351"/>
      <c r="D22" s="351"/>
      <c r="E22" s="351"/>
      <c r="F22" s="351"/>
      <c r="G22" s="351"/>
      <c r="H22" s="351"/>
      <c r="I22" s="351"/>
      <c r="J22" s="351"/>
      <c r="K22" s="351"/>
    </row>
    <row r="23" spans="1:11">
      <c r="A23" s="351"/>
      <c r="B23" s="351"/>
      <c r="C23" s="351"/>
      <c r="D23" s="351"/>
      <c r="E23" s="351"/>
      <c r="F23" s="351"/>
      <c r="G23" s="351"/>
      <c r="H23" s="351"/>
      <c r="I23" s="351"/>
      <c r="J23" s="351"/>
      <c r="K23" s="351"/>
    </row>
    <row r="24" spans="1:11">
      <c r="A24" s="351"/>
      <c r="B24" s="351"/>
      <c r="C24" s="351"/>
      <c r="D24" s="351"/>
      <c r="E24" s="351"/>
      <c r="F24" s="351"/>
      <c r="G24" s="351"/>
      <c r="H24" s="351"/>
      <c r="I24" s="351"/>
      <c r="J24" s="351"/>
      <c r="K24" s="351"/>
    </row>
    <row r="25" spans="1:11">
      <c r="A25" s="351"/>
      <c r="B25" s="351"/>
      <c r="C25" s="351"/>
      <c r="D25" s="351"/>
      <c r="E25" s="351"/>
      <c r="F25" s="351"/>
      <c r="G25" s="351"/>
      <c r="H25" s="351"/>
      <c r="I25" s="351"/>
      <c r="J25" s="351"/>
      <c r="K25" s="351"/>
    </row>
    <row r="26" spans="1:11">
      <c r="A26" s="351"/>
      <c r="B26" s="351"/>
      <c r="C26" s="351"/>
      <c r="D26" s="351"/>
      <c r="E26" s="351"/>
      <c r="F26" s="351"/>
      <c r="G26" s="351"/>
      <c r="H26" s="351"/>
      <c r="I26" s="351"/>
      <c r="J26" s="351"/>
      <c r="K26" s="351"/>
    </row>
    <row r="27" spans="1:11">
      <c r="A27" s="351"/>
      <c r="B27" s="351"/>
      <c r="C27" s="351"/>
      <c r="D27" s="351"/>
      <c r="E27" s="351"/>
      <c r="F27" s="351"/>
      <c r="G27" s="351"/>
      <c r="H27" s="351"/>
      <c r="I27" s="351"/>
      <c r="J27" s="351"/>
      <c r="K27" s="351"/>
    </row>
    <row r="28" spans="1:11">
      <c r="A28" s="351"/>
      <c r="B28" s="351"/>
      <c r="C28" s="351"/>
      <c r="D28" s="351"/>
      <c r="E28" s="351"/>
      <c r="F28" s="351"/>
      <c r="G28" s="351"/>
      <c r="H28" s="351"/>
      <c r="I28" s="351"/>
      <c r="J28" s="351"/>
      <c r="K28" s="351"/>
    </row>
    <row r="29" spans="1:11">
      <c r="A29" s="351"/>
      <c r="B29" s="351"/>
      <c r="C29" s="351"/>
      <c r="D29" s="351"/>
      <c r="E29" s="351"/>
      <c r="F29" s="351"/>
      <c r="G29" s="351"/>
      <c r="H29" s="351"/>
      <c r="I29" s="351"/>
      <c r="J29" s="351"/>
      <c r="K29" s="351"/>
    </row>
    <row r="30" spans="1:11" hidden="1">
      <c r="A30" s="351"/>
      <c r="B30" s="351"/>
      <c r="C30" s="351"/>
      <c r="D30" s="351"/>
      <c r="E30" s="351"/>
      <c r="F30" s="351"/>
      <c r="G30" s="351"/>
      <c r="H30" s="351"/>
      <c r="I30" s="351"/>
      <c r="J30" s="351"/>
      <c r="K30" s="351"/>
    </row>
    <row r="31" spans="1:11" hidden="1">
      <c r="A31" s="351"/>
      <c r="B31" s="351"/>
      <c r="C31" s="351"/>
      <c r="D31" s="351"/>
      <c r="E31" s="351"/>
      <c r="F31" s="351"/>
      <c r="G31" s="351"/>
      <c r="H31" s="351"/>
      <c r="I31" s="351"/>
      <c r="J31" s="351"/>
      <c r="K31" s="351"/>
    </row>
    <row r="32" spans="1:11" hidden="1">
      <c r="A32" s="351"/>
      <c r="B32" s="351"/>
      <c r="C32" s="351"/>
      <c r="D32" s="351"/>
      <c r="E32" s="351"/>
      <c r="F32" s="351"/>
      <c r="G32" s="351"/>
      <c r="H32" s="351"/>
      <c r="I32" s="351"/>
      <c r="J32" s="351"/>
      <c r="K32" s="351"/>
    </row>
    <row r="33" spans="1:11" hidden="1">
      <c r="A33" s="351"/>
      <c r="B33" s="351"/>
      <c r="C33" s="351"/>
      <c r="D33" s="351"/>
      <c r="E33" s="351"/>
      <c r="F33" s="351"/>
      <c r="G33" s="351"/>
      <c r="H33" s="351"/>
      <c r="I33" s="351"/>
      <c r="J33" s="351"/>
      <c r="K33" s="351"/>
    </row>
  </sheetData>
  <sheetProtection algorithmName="SHA-512" hashValue="dzIEnVlWtoUQsT4atoUb6UfTqHvJvuEDCyelENDrQ/RSo/3NghFKIkUSQ7Lov+SXMKiR3RY6BsQo/S0cPSUWWA==" saltValue="xQje3ZT79C4PQP6c+NiIgA==" spinCount="100000" sheet="1" selectLockedCells="1" selectUnlockedCells="1"/>
  <printOptions horizontalCentered="1" verticalCentered="1"/>
  <pageMargins left="0.70866141732283472" right="0.70866141732283472" top="0.74803149606299213" bottom="0.74803149606299213" header="0.31496062992125984" footer="0.31496062992125984"/>
  <pageSetup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4"/>
  <sheetViews>
    <sheetView topLeftCell="A28" workbookViewId="0">
      <selection activeCell="A53" sqref="A53"/>
    </sheetView>
  </sheetViews>
  <sheetFormatPr baseColWidth="10" defaultRowHeight="12.5"/>
  <sheetData>
    <row r="1" spans="1:1">
      <c r="A1" s="420" t="s">
        <v>255</v>
      </c>
    </row>
    <row r="3" spans="1:1">
      <c r="A3" s="415" t="s">
        <v>267</v>
      </c>
    </row>
    <row r="4" spans="1:1">
      <c r="A4" s="415" t="s">
        <v>228</v>
      </c>
    </row>
    <row r="5" spans="1:1">
      <c r="A5" s="415" t="s">
        <v>229</v>
      </c>
    </row>
    <row r="6" spans="1:1">
      <c r="A6" s="415" t="s">
        <v>230</v>
      </c>
    </row>
    <row r="7" spans="1:1">
      <c r="A7" s="415" t="s">
        <v>231</v>
      </c>
    </row>
    <row r="8" spans="1:1">
      <c r="A8" s="415" t="s">
        <v>232</v>
      </c>
    </row>
    <row r="9" spans="1:1">
      <c r="A9" s="420" t="s">
        <v>284</v>
      </c>
    </row>
    <row r="10" spans="1:1">
      <c r="A10" s="420" t="s">
        <v>285</v>
      </c>
    </row>
    <row r="12" spans="1:1">
      <c r="A12" s="415" t="s">
        <v>268</v>
      </c>
    </row>
    <row r="13" spans="1:1">
      <c r="A13" s="415" t="s">
        <v>275</v>
      </c>
    </row>
    <row r="14" spans="1:1">
      <c r="A14" s="415" t="s">
        <v>233</v>
      </c>
    </row>
    <row r="15" spans="1:1">
      <c r="A15" s="415" t="s">
        <v>234</v>
      </c>
    </row>
    <row r="16" spans="1:1">
      <c r="A16" s="415" t="s">
        <v>235</v>
      </c>
    </row>
    <row r="18" spans="1:8">
      <c r="A18" s="415" t="s">
        <v>236</v>
      </c>
    </row>
    <row r="19" spans="1:8">
      <c r="A19" s="415" t="s">
        <v>273</v>
      </c>
    </row>
    <row r="20" spans="1:8">
      <c r="A20" s="415" t="s">
        <v>274</v>
      </c>
    </row>
    <row r="21" spans="1:8">
      <c r="A21" s="420" t="s">
        <v>286</v>
      </c>
    </row>
    <row r="23" spans="1:8">
      <c r="A23" s="415" t="s">
        <v>238</v>
      </c>
      <c r="H23" s="415" t="s">
        <v>260</v>
      </c>
    </row>
    <row r="24" spans="1:8">
      <c r="A24" s="415" t="s">
        <v>281</v>
      </c>
      <c r="H24" s="422" t="s">
        <v>261</v>
      </c>
    </row>
    <row r="25" spans="1:8">
      <c r="A25" s="415" t="s">
        <v>237</v>
      </c>
      <c r="H25" s="422" t="s">
        <v>262</v>
      </c>
    </row>
    <row r="26" spans="1:8">
      <c r="A26" s="415" t="s">
        <v>276</v>
      </c>
      <c r="H26" s="422" t="s">
        <v>263</v>
      </c>
    </row>
    <row r="27" spans="1:8">
      <c r="A27" s="420" t="s">
        <v>287</v>
      </c>
      <c r="H27" s="422" t="s">
        <v>264</v>
      </c>
    </row>
    <row r="28" spans="1:8">
      <c r="A28" s="415" t="s">
        <v>272</v>
      </c>
      <c r="H28" s="422" t="s">
        <v>265</v>
      </c>
    </row>
    <row r="29" spans="1:8">
      <c r="H29" s="422" t="s">
        <v>266</v>
      </c>
    </row>
    <row r="30" spans="1:8">
      <c r="A30" s="415" t="s">
        <v>239</v>
      </c>
    </row>
    <row r="31" spans="1:8">
      <c r="A31" s="415" t="s">
        <v>241</v>
      </c>
    </row>
    <row r="32" spans="1:8">
      <c r="A32" s="415" t="s">
        <v>242</v>
      </c>
    </row>
    <row r="33" spans="1:1">
      <c r="A33" s="415" t="s">
        <v>240</v>
      </c>
    </row>
    <row r="34" spans="1:1">
      <c r="A34" s="415" t="s">
        <v>243</v>
      </c>
    </row>
    <row r="36" spans="1:1">
      <c r="A36" s="415" t="s">
        <v>244</v>
      </c>
    </row>
    <row r="37" spans="1:1">
      <c r="A37" s="415" t="s">
        <v>245</v>
      </c>
    </row>
    <row r="38" spans="1:1">
      <c r="A38" s="415" t="s">
        <v>246</v>
      </c>
    </row>
    <row r="39" spans="1:1">
      <c r="A39" s="415" t="s">
        <v>247</v>
      </c>
    </row>
    <row r="41" spans="1:1">
      <c r="A41" s="415" t="s">
        <v>248</v>
      </c>
    </row>
    <row r="42" spans="1:1">
      <c r="A42" s="415" t="s">
        <v>249</v>
      </c>
    </row>
    <row r="43" spans="1:1">
      <c r="A43" s="415" t="s">
        <v>259</v>
      </c>
    </row>
    <row r="44" spans="1:1">
      <c r="A44" s="415" t="s">
        <v>250</v>
      </c>
    </row>
    <row r="45" spans="1:1">
      <c r="A45" s="415"/>
    </row>
    <row r="46" spans="1:1">
      <c r="A46" s="415" t="s">
        <v>251</v>
      </c>
    </row>
    <row r="47" spans="1:1">
      <c r="A47" s="415" t="s">
        <v>252</v>
      </c>
    </row>
    <row r="48" spans="1:1">
      <c r="A48" s="415" t="s">
        <v>253</v>
      </c>
    </row>
    <row r="49" spans="1:1">
      <c r="A49" s="415" t="s">
        <v>254</v>
      </c>
    </row>
    <row r="51" spans="1:1">
      <c r="A51" s="415" t="s">
        <v>277</v>
      </c>
    </row>
    <row r="52" spans="1:1">
      <c r="A52" s="415" t="s">
        <v>278</v>
      </c>
    </row>
    <row r="53" spans="1:1">
      <c r="A53" s="415" t="s">
        <v>279</v>
      </c>
    </row>
    <row r="54" spans="1:1">
      <c r="A54" s="415" t="s">
        <v>280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28</vt:i4>
      </vt:variant>
    </vt:vector>
  </HeadingPairs>
  <TitlesOfParts>
    <vt:vector size="40" baseType="lpstr">
      <vt:lpstr>FACTORES</vt:lpstr>
      <vt:lpstr>TITULAR</vt:lpstr>
      <vt:lpstr>CONYUGE</vt:lpstr>
      <vt:lpstr>DEPENDIENTE</vt:lpstr>
      <vt:lpstr>VALORES</vt:lpstr>
      <vt:lpstr>CuadroEspecificacionesTARIFARIO</vt:lpstr>
      <vt:lpstr>COTIZACION</vt:lpstr>
      <vt:lpstr>IMPRESION</vt:lpstr>
      <vt:lpstr>TARIFARIO</vt:lpstr>
      <vt:lpstr>Instrucciones</vt:lpstr>
      <vt:lpstr>Cotizador</vt:lpstr>
      <vt:lpstr>CAMBIOS</vt:lpstr>
      <vt:lpstr>ADIC</vt:lpstr>
      <vt:lpstr>CONYUGE!Área_de_impresión</vt:lpstr>
      <vt:lpstr>COTIZACION!Área_de_impresión</vt:lpstr>
      <vt:lpstr>Cotizador!Área_de_impresión</vt:lpstr>
      <vt:lpstr>CuadroEspecificacionesTARIFARIO!Área_de_impresión</vt:lpstr>
      <vt:lpstr>DEPENDIENTE!Área_de_impresión</vt:lpstr>
      <vt:lpstr>FACTORES!Área_de_impresión</vt:lpstr>
      <vt:lpstr>IMPRESION!Área_de_impresión</vt:lpstr>
      <vt:lpstr>Instrucciones!Área_de_impresión</vt:lpstr>
      <vt:lpstr>TARIFARIO!Área_de_impresión</vt:lpstr>
      <vt:lpstr>TITULAR!Área_de_impresión</vt:lpstr>
      <vt:lpstr>Base</vt:lpstr>
      <vt:lpstr>BÁSICAS</vt:lpstr>
      <vt:lpstr>CVISION</vt:lpstr>
      <vt:lpstr>DEDXACC</vt:lpstr>
      <vt:lpstr>DENTAL</vt:lpstr>
      <vt:lpstr>DER</vt:lpstr>
      <vt:lpstr>DESC</vt:lpstr>
      <vt:lpstr>EDUCA</vt:lpstr>
      <vt:lpstr>ENFGVES</vt:lpstr>
      <vt:lpstr>IKE</vt:lpstr>
      <vt:lpstr>IVA</vt:lpstr>
      <vt:lpstr>PARTO</vt:lpstr>
      <vt:lpstr>RENOVADA</vt:lpstr>
      <vt:lpstr>RMES</vt:lpstr>
      <vt:lpstr>RSEM</vt:lpstr>
      <vt:lpstr>RTRIM</vt:lpstr>
      <vt:lpstr>zona</vt:lpstr>
    </vt:vector>
  </TitlesOfParts>
  <Company>GENERALI MEXICO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GENERALI MEXICO</dc:creator>
  <cp:lastModifiedBy>JESSICA FARIAS</cp:lastModifiedBy>
  <cp:lastPrinted>2020-08-04T15:38:15Z</cp:lastPrinted>
  <dcterms:created xsi:type="dcterms:W3CDTF">2002-01-09T15:02:34Z</dcterms:created>
  <dcterms:modified xsi:type="dcterms:W3CDTF">2023-03-06T16:50:06Z</dcterms:modified>
</cp:coreProperties>
</file>