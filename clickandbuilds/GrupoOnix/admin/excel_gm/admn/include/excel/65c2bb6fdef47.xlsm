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75O3P6qzyIVAa6xrimMaEVfw6AYc++RE4NQZSEjoz/Cfgl/JqFe1Pkl1GTui+waiitfDsdaHG/HMKE5toLNjLg==" workbookSaltValue="iwnkEwUkDgWmqwMkLQhcvA==" workbookSpinCount="100000" lockStructure="1"/>
  <bookViews>
    <workbookView xWindow="0" yWindow="0" windowWidth="19200" windowHeight="7310"/>
  </bookViews>
  <sheets>
    <sheet name="Cotizador" sheetId="1" r:id="rId1"/>
    <sheet name="OpCC" sheetId="9" state="veryHidden" r:id="rId2"/>
    <sheet name="Calculos" sheetId="2" state="veryHidden" r:id="rId3"/>
    <sheet name="Factores" sheetId="7" state="veryHidden" r:id="rId4"/>
    <sheet name="Primas_Importes " sheetId="6" state="veryHidden" r:id="rId5"/>
    <sheet name="tablas" sheetId="8" state="veryHidden" r:id="rId6"/>
  </sheets>
  <externalReferences>
    <externalReference r:id="rId7"/>
    <externalReference r:id="rId8"/>
  </externalReferences>
  <definedNames>
    <definedName name="_xlnm._FilterDatabase" localSheetId="3" hidden="1">Factores!$N$2:$N$104</definedName>
    <definedName name="Año">tablas!$D$5:$D$104</definedName>
    <definedName name="dia">tablas!$B$3:$B$33</definedName>
    <definedName name="ICFGPO1">'Primas_Importes '!$P$3:$V$3</definedName>
    <definedName name="ICFGPO2">'Primas_Importes '!$P$3:$T$3</definedName>
    <definedName name="ICFGPO3">'Primas_Importes '!$P$3:$S$3</definedName>
    <definedName name="Mes">tablas!$C$3:$C$14</definedName>
    <definedName name="PAGO">'[1]CARTA PROPUESTA'!$F$64:$F$67</definedName>
    <definedName name="SA_ICF_Aseg1">tablas!#REF!</definedName>
    <definedName name="SA_ICF_Aseg10">tablas!#REF!</definedName>
    <definedName name="SA_ICF_Aseg2">tablas!#REF!</definedName>
    <definedName name="SA_ICF_Aseg3">tablas!#REF!</definedName>
    <definedName name="SA_ICF_Aseg4">tablas!#REF!</definedName>
    <definedName name="SA_ICF_Aseg5">tablas!#REF!</definedName>
    <definedName name="SA_ICF_Aseg6">tablas!#REF!</definedName>
    <definedName name="SA_ICF_Aseg7">tablas!#REF!</definedName>
    <definedName name="SA_ICF_Aseg8">tablas!#REF!</definedName>
    <definedName name="SA_ICF_Aseg9">tablas!#REF!</definedName>
    <definedName name="THQS12y3">Factores!$K$21:$K$30</definedName>
    <definedName name="THQS1y2">Factores!$K$21:$K$30</definedName>
    <definedName name="THQS4">Factores!$K$21:$K$28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7" l="1"/>
  <c r="A44" i="1"/>
  <c r="L31" i="7" l="1"/>
  <c r="K13" i="1" l="1"/>
  <c r="Y3" i="6" l="1"/>
  <c r="Y2" i="6"/>
  <c r="K3" i="1" l="1"/>
  <c r="K1" i="1"/>
  <c r="K4" i="1" l="1"/>
  <c r="K35" i="6" l="1"/>
  <c r="H3" i="6"/>
  <c r="Z82" i="7"/>
  <c r="Z81" i="7"/>
  <c r="Z80" i="7"/>
  <c r="Z79" i="7"/>
  <c r="Z78" i="7"/>
  <c r="Z77" i="7"/>
  <c r="Z76" i="7"/>
  <c r="Z75" i="7"/>
  <c r="Z74" i="7"/>
  <c r="Z73" i="7"/>
  <c r="Z72" i="7"/>
  <c r="Z71" i="7"/>
  <c r="Z70" i="7"/>
  <c r="Z69" i="7"/>
  <c r="Z68" i="7"/>
  <c r="Z67" i="7"/>
  <c r="Z66" i="7"/>
  <c r="Z65" i="7"/>
  <c r="Z64" i="7"/>
  <c r="Z63" i="7"/>
  <c r="Z62" i="7"/>
  <c r="Z61" i="7"/>
  <c r="Z60" i="7"/>
  <c r="Z59" i="7"/>
  <c r="Z58" i="7"/>
  <c r="Z57" i="7"/>
  <c r="Z56" i="7"/>
  <c r="Z55" i="7"/>
  <c r="Z54" i="7"/>
  <c r="Z53" i="7"/>
  <c r="Z52" i="7"/>
  <c r="Z51" i="7"/>
  <c r="Z50" i="7"/>
  <c r="Z49" i="7"/>
  <c r="Z48" i="7"/>
  <c r="Z47" i="7"/>
  <c r="Z46" i="7"/>
  <c r="Z45" i="7"/>
  <c r="Z44" i="7"/>
  <c r="Z43" i="7"/>
  <c r="Z42" i="7"/>
  <c r="Z41" i="7"/>
  <c r="Z40" i="7"/>
  <c r="Z39" i="7"/>
  <c r="Z38" i="7"/>
  <c r="Z37" i="7"/>
  <c r="Z36" i="7"/>
  <c r="Z35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Z13" i="7"/>
  <c r="Z12" i="7"/>
  <c r="Z11" i="7"/>
  <c r="Z10" i="7"/>
  <c r="Z9" i="7"/>
  <c r="Z8" i="7"/>
  <c r="Z7" i="7"/>
  <c r="Z6" i="7"/>
  <c r="Z5" i="7"/>
  <c r="Z4" i="7"/>
  <c r="I103" i="6" l="1"/>
  <c r="K3" i="6"/>
  <c r="K103" i="6"/>
  <c r="J103" i="6"/>
  <c r="K102" i="6"/>
  <c r="J102" i="6"/>
  <c r="K101" i="6"/>
  <c r="J101" i="6"/>
  <c r="K100" i="6"/>
  <c r="J100" i="6"/>
  <c r="K99" i="6"/>
  <c r="J99" i="6"/>
  <c r="K98" i="6"/>
  <c r="J98" i="6"/>
  <c r="K97" i="6"/>
  <c r="J97" i="6"/>
  <c r="K96" i="6"/>
  <c r="J96" i="6"/>
  <c r="K95" i="6"/>
  <c r="J95" i="6"/>
  <c r="K94" i="6"/>
  <c r="J94" i="6"/>
  <c r="K93" i="6"/>
  <c r="J93" i="6"/>
  <c r="K92" i="6"/>
  <c r="J92" i="6"/>
  <c r="K91" i="6"/>
  <c r="J91" i="6"/>
  <c r="K90" i="6"/>
  <c r="J90" i="6"/>
  <c r="K89" i="6"/>
  <c r="J89" i="6"/>
  <c r="K88" i="6"/>
  <c r="J88" i="6"/>
  <c r="K87" i="6"/>
  <c r="J87" i="6"/>
  <c r="K86" i="6"/>
  <c r="J86" i="6"/>
  <c r="K85" i="6"/>
  <c r="J85" i="6"/>
  <c r="K84" i="6"/>
  <c r="J84" i="6"/>
  <c r="K83" i="6"/>
  <c r="J83" i="6"/>
  <c r="K82" i="6"/>
  <c r="J82" i="6"/>
  <c r="K81" i="6"/>
  <c r="J81" i="6"/>
  <c r="K80" i="6"/>
  <c r="J80" i="6"/>
  <c r="K79" i="6"/>
  <c r="J79" i="6"/>
  <c r="K78" i="6"/>
  <c r="J78" i="6"/>
  <c r="K77" i="6"/>
  <c r="J77" i="6"/>
  <c r="K76" i="6"/>
  <c r="J76" i="6"/>
  <c r="K75" i="6"/>
  <c r="J75" i="6"/>
  <c r="K74" i="6"/>
  <c r="J74" i="6"/>
  <c r="K73" i="6"/>
  <c r="J73" i="6"/>
  <c r="K72" i="6"/>
  <c r="J72" i="6"/>
  <c r="K71" i="6"/>
  <c r="J71" i="6"/>
  <c r="K70" i="6"/>
  <c r="J70" i="6"/>
  <c r="K69" i="6"/>
  <c r="J69" i="6"/>
  <c r="K68" i="6"/>
  <c r="J68" i="6"/>
  <c r="K67" i="6"/>
  <c r="J67" i="6"/>
  <c r="K66" i="6"/>
  <c r="J66" i="6"/>
  <c r="K65" i="6"/>
  <c r="J65" i="6"/>
  <c r="K64" i="6"/>
  <c r="J64" i="6"/>
  <c r="K63" i="6"/>
  <c r="J63" i="6"/>
  <c r="K62" i="6"/>
  <c r="J62" i="6"/>
  <c r="K61" i="6"/>
  <c r="J61" i="6"/>
  <c r="K60" i="6"/>
  <c r="J60" i="6"/>
  <c r="K59" i="6"/>
  <c r="J59" i="6"/>
  <c r="K58" i="6"/>
  <c r="J58" i="6"/>
  <c r="K57" i="6"/>
  <c r="J57" i="6"/>
  <c r="K56" i="6"/>
  <c r="J56" i="6"/>
  <c r="K55" i="6"/>
  <c r="J55" i="6"/>
  <c r="K54" i="6"/>
  <c r="J54" i="6"/>
  <c r="K53" i="6"/>
  <c r="J53" i="6"/>
  <c r="K52" i="6"/>
  <c r="J52" i="6"/>
  <c r="K51" i="6"/>
  <c r="J51" i="6"/>
  <c r="K50" i="6"/>
  <c r="J50" i="6"/>
  <c r="K49" i="6"/>
  <c r="J49" i="6"/>
  <c r="K48" i="6"/>
  <c r="J48" i="6"/>
  <c r="K47" i="6"/>
  <c r="J47" i="6"/>
  <c r="K46" i="6"/>
  <c r="J46" i="6"/>
  <c r="K45" i="6"/>
  <c r="J45" i="6"/>
  <c r="K44" i="6"/>
  <c r="J44" i="6"/>
  <c r="K43" i="6"/>
  <c r="J43" i="6"/>
  <c r="K42" i="6"/>
  <c r="J42" i="6"/>
  <c r="K41" i="6"/>
  <c r="J41" i="6"/>
  <c r="K40" i="6"/>
  <c r="J40" i="6"/>
  <c r="K39" i="6"/>
  <c r="J39" i="6"/>
  <c r="K38" i="6"/>
  <c r="J38" i="6"/>
  <c r="K37" i="6"/>
  <c r="J37" i="6"/>
  <c r="K36" i="6"/>
  <c r="J36" i="6"/>
  <c r="J35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8" i="6"/>
  <c r="J8" i="6"/>
  <c r="K7" i="6"/>
  <c r="J7" i="6"/>
  <c r="K6" i="6"/>
  <c r="J6" i="6"/>
  <c r="K5" i="6"/>
  <c r="J5" i="6"/>
  <c r="K4" i="6"/>
  <c r="J4" i="6"/>
  <c r="J3" i="6"/>
  <c r="H103" i="6"/>
  <c r="I102" i="6"/>
  <c r="H102" i="6"/>
  <c r="I101" i="6"/>
  <c r="H101" i="6"/>
  <c r="I100" i="6"/>
  <c r="H100" i="6"/>
  <c r="I99" i="6"/>
  <c r="H99" i="6"/>
  <c r="I98" i="6"/>
  <c r="H98" i="6"/>
  <c r="I97" i="6"/>
  <c r="H97" i="6"/>
  <c r="I96" i="6"/>
  <c r="H96" i="6"/>
  <c r="I95" i="6"/>
  <c r="H95" i="6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H70" i="6"/>
  <c r="I69" i="6"/>
  <c r="H69" i="6"/>
  <c r="I68" i="6"/>
  <c r="H68" i="6"/>
  <c r="I67" i="6"/>
  <c r="H67" i="6"/>
  <c r="I66" i="6"/>
  <c r="H66" i="6"/>
  <c r="I65" i="6"/>
  <c r="H65" i="6"/>
  <c r="I64" i="6"/>
  <c r="H64" i="6"/>
  <c r="I63" i="6"/>
  <c r="H63" i="6"/>
  <c r="I62" i="6"/>
  <c r="H62" i="6"/>
  <c r="I61" i="6"/>
  <c r="H61" i="6"/>
  <c r="I60" i="6"/>
  <c r="H60" i="6"/>
  <c r="I59" i="6"/>
  <c r="H59" i="6"/>
  <c r="I58" i="6"/>
  <c r="H58" i="6"/>
  <c r="I57" i="6"/>
  <c r="H57" i="6"/>
  <c r="I56" i="6"/>
  <c r="H56" i="6"/>
  <c r="I55" i="6"/>
  <c r="H55" i="6"/>
  <c r="I54" i="6"/>
  <c r="H54" i="6"/>
  <c r="I53" i="6"/>
  <c r="H53" i="6"/>
  <c r="I52" i="6"/>
  <c r="H52" i="6"/>
  <c r="I51" i="6"/>
  <c r="H51" i="6"/>
  <c r="I50" i="6"/>
  <c r="H50" i="6"/>
  <c r="I49" i="6"/>
  <c r="H49" i="6"/>
  <c r="I48" i="6"/>
  <c r="H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I7" i="8"/>
  <c r="H7" i="8"/>
  <c r="J7" i="8" s="1"/>
  <c r="K7" i="8" s="1"/>
  <c r="G98" i="6"/>
  <c r="G90" i="6"/>
  <c r="G82" i="6"/>
  <c r="G74" i="6"/>
  <c r="G66" i="6"/>
  <c r="G58" i="6"/>
  <c r="G50" i="6"/>
  <c r="G42" i="6"/>
  <c r="G34" i="6"/>
  <c r="G26" i="6"/>
  <c r="G18" i="6"/>
  <c r="G10" i="6"/>
  <c r="F103" i="6"/>
  <c r="F95" i="6"/>
  <c r="F87" i="6"/>
  <c r="F79" i="6"/>
  <c r="F71" i="6"/>
  <c r="F63" i="6"/>
  <c r="F55" i="6"/>
  <c r="F47" i="6"/>
  <c r="F39" i="6"/>
  <c r="F31" i="6"/>
  <c r="F23" i="6"/>
  <c r="F15" i="6"/>
  <c r="F7" i="6"/>
  <c r="I6" i="8"/>
  <c r="H6" i="8"/>
  <c r="G6" i="8"/>
  <c r="G97" i="6" s="1"/>
  <c r="F8" i="6" l="1"/>
  <c r="F16" i="6"/>
  <c r="F24" i="6"/>
  <c r="F32" i="6"/>
  <c r="F40" i="6"/>
  <c r="F48" i="6"/>
  <c r="F56" i="6"/>
  <c r="F64" i="6"/>
  <c r="F72" i="6"/>
  <c r="F80" i="6"/>
  <c r="F88" i="6"/>
  <c r="F96" i="6"/>
  <c r="G3" i="6"/>
  <c r="G11" i="6"/>
  <c r="G19" i="6"/>
  <c r="G27" i="6"/>
  <c r="G35" i="6"/>
  <c r="G43" i="6"/>
  <c r="G51" i="6"/>
  <c r="G59" i="6"/>
  <c r="G67" i="6"/>
  <c r="G75" i="6"/>
  <c r="G83" i="6"/>
  <c r="G91" i="6"/>
  <c r="G99" i="6"/>
  <c r="F9" i="6"/>
  <c r="F17" i="6"/>
  <c r="F25" i="6"/>
  <c r="F33" i="6"/>
  <c r="F41" i="6"/>
  <c r="F49" i="6"/>
  <c r="F57" i="6"/>
  <c r="F65" i="6"/>
  <c r="F73" i="6"/>
  <c r="F81" i="6"/>
  <c r="F89" i="6"/>
  <c r="F97" i="6"/>
  <c r="G4" i="6"/>
  <c r="G12" i="6"/>
  <c r="G20" i="6"/>
  <c r="G28" i="6"/>
  <c r="G36" i="6"/>
  <c r="G44" i="6"/>
  <c r="G52" i="6"/>
  <c r="G60" i="6"/>
  <c r="G68" i="6"/>
  <c r="G76" i="6"/>
  <c r="G84" i="6"/>
  <c r="G92" i="6"/>
  <c r="G100" i="6"/>
  <c r="F10" i="6"/>
  <c r="F18" i="6"/>
  <c r="F26" i="6"/>
  <c r="F34" i="6"/>
  <c r="F42" i="6"/>
  <c r="F50" i="6"/>
  <c r="F58" i="6"/>
  <c r="F66" i="6"/>
  <c r="F74" i="6"/>
  <c r="F82" i="6"/>
  <c r="F90" i="6"/>
  <c r="F98" i="6"/>
  <c r="G5" i="6"/>
  <c r="G13" i="6"/>
  <c r="G21" i="6"/>
  <c r="G29" i="6"/>
  <c r="G37" i="6"/>
  <c r="G45" i="6"/>
  <c r="G53" i="6"/>
  <c r="G61" i="6"/>
  <c r="G69" i="6"/>
  <c r="G77" i="6"/>
  <c r="G85" i="6"/>
  <c r="G93" i="6"/>
  <c r="G101" i="6"/>
  <c r="F3" i="6"/>
  <c r="F11" i="6"/>
  <c r="F19" i="6"/>
  <c r="F27" i="6"/>
  <c r="F35" i="6"/>
  <c r="F43" i="6"/>
  <c r="F51" i="6"/>
  <c r="F59" i="6"/>
  <c r="F67" i="6"/>
  <c r="F75" i="6"/>
  <c r="F83" i="6"/>
  <c r="F91" i="6"/>
  <c r="F99" i="6"/>
  <c r="G6" i="6"/>
  <c r="G14" i="6"/>
  <c r="G22" i="6"/>
  <c r="G30" i="6"/>
  <c r="G38" i="6"/>
  <c r="G46" i="6"/>
  <c r="G54" i="6"/>
  <c r="G62" i="6"/>
  <c r="G70" i="6"/>
  <c r="G78" i="6"/>
  <c r="G86" i="6"/>
  <c r="G94" i="6"/>
  <c r="G102" i="6"/>
  <c r="F4" i="6"/>
  <c r="F12" i="6"/>
  <c r="F20" i="6"/>
  <c r="F28" i="6"/>
  <c r="F36" i="6"/>
  <c r="F44" i="6"/>
  <c r="F52" i="6"/>
  <c r="F60" i="6"/>
  <c r="F68" i="6"/>
  <c r="F76" i="6"/>
  <c r="F84" i="6"/>
  <c r="F92" i="6"/>
  <c r="F100" i="6"/>
  <c r="G7" i="6"/>
  <c r="G15" i="6"/>
  <c r="G23" i="6"/>
  <c r="G31" i="6"/>
  <c r="G39" i="6"/>
  <c r="G47" i="6"/>
  <c r="G55" i="6"/>
  <c r="G63" i="6"/>
  <c r="G71" i="6"/>
  <c r="G79" i="6"/>
  <c r="G87" i="6"/>
  <c r="G95" i="6"/>
  <c r="G103" i="6"/>
  <c r="F5" i="6"/>
  <c r="F13" i="6"/>
  <c r="F21" i="6"/>
  <c r="F29" i="6"/>
  <c r="F37" i="6"/>
  <c r="F45" i="6"/>
  <c r="F53" i="6"/>
  <c r="F61" i="6"/>
  <c r="F69" i="6"/>
  <c r="F77" i="6"/>
  <c r="F85" i="6"/>
  <c r="F93" i="6"/>
  <c r="F101" i="6"/>
  <c r="G8" i="6"/>
  <c r="G16" i="6"/>
  <c r="G24" i="6"/>
  <c r="G32" i="6"/>
  <c r="G40" i="6"/>
  <c r="G48" i="6"/>
  <c r="G56" i="6"/>
  <c r="G64" i="6"/>
  <c r="G72" i="6"/>
  <c r="G80" i="6"/>
  <c r="G88" i="6"/>
  <c r="G96" i="6"/>
  <c r="F6" i="6"/>
  <c r="F14" i="6"/>
  <c r="F22" i="6"/>
  <c r="F30" i="6"/>
  <c r="F38" i="6"/>
  <c r="F46" i="6"/>
  <c r="F54" i="6"/>
  <c r="F62" i="6"/>
  <c r="F70" i="6"/>
  <c r="F78" i="6"/>
  <c r="F86" i="6"/>
  <c r="F94" i="6"/>
  <c r="F102" i="6"/>
  <c r="G9" i="6"/>
  <c r="G17" i="6"/>
  <c r="G25" i="6"/>
  <c r="G33" i="6"/>
  <c r="G41" i="6"/>
  <c r="G49" i="6"/>
  <c r="G57" i="6"/>
  <c r="G65" i="6"/>
  <c r="G73" i="6"/>
  <c r="G81" i="6"/>
  <c r="G89" i="6"/>
  <c r="X55" i="7" l="1"/>
  <c r="AA82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Z3" i="7"/>
  <c r="G11" i="1" l="1"/>
  <c r="X24" i="7" l="1"/>
  <c r="E1" i="7"/>
  <c r="X31" i="7" l="1"/>
  <c r="H1" i="7" l="1"/>
  <c r="X30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5" i="7"/>
  <c r="X26" i="7"/>
  <c r="X27" i="7"/>
  <c r="X28" i="7"/>
  <c r="X29" i="7"/>
  <c r="X7" i="7"/>
  <c r="G10" i="1" l="1"/>
  <c r="C11" i="2"/>
  <c r="G19" i="1" l="1"/>
  <c r="G20" i="1"/>
  <c r="G21" i="1"/>
  <c r="G22" i="1"/>
  <c r="G23" i="1"/>
  <c r="G24" i="1"/>
  <c r="G25" i="1"/>
  <c r="G26" i="1"/>
  <c r="G27" i="1"/>
  <c r="G18" i="1"/>
  <c r="H23" i="1" l="1"/>
  <c r="K23" i="1"/>
  <c r="H26" i="1"/>
  <c r="K26" i="1"/>
  <c r="H22" i="1"/>
  <c r="K22" i="1"/>
  <c r="H21" i="1"/>
  <c r="K21" i="1"/>
  <c r="K18" i="1"/>
  <c r="H18" i="1"/>
  <c r="H20" i="1"/>
  <c r="K20" i="1"/>
  <c r="H25" i="1"/>
  <c r="K25" i="1"/>
  <c r="H24" i="1"/>
  <c r="K24" i="1"/>
  <c r="H27" i="1"/>
  <c r="K27" i="1"/>
  <c r="H19" i="1"/>
  <c r="K19" i="1"/>
  <c r="E10" i="9"/>
  <c r="B10" i="9"/>
  <c r="Y12" i="6"/>
  <c r="H10" i="9"/>
  <c r="H11" i="9"/>
  <c r="B11" i="9"/>
  <c r="Y13" i="6"/>
  <c r="E11" i="9"/>
  <c r="H12" i="9"/>
  <c r="B12" i="9"/>
  <c r="Y14" i="6"/>
  <c r="E12" i="9"/>
  <c r="Y5" i="6"/>
  <c r="H3" i="9"/>
  <c r="B3" i="9"/>
  <c r="E3" i="9"/>
  <c r="E8" i="9"/>
  <c r="Y10" i="6"/>
  <c r="H8" i="9"/>
  <c r="B8" i="9"/>
  <c r="E7" i="9"/>
  <c r="B7" i="9"/>
  <c r="Y9" i="6"/>
  <c r="H7" i="9"/>
  <c r="E9" i="9"/>
  <c r="H9" i="9"/>
  <c r="Y11" i="6"/>
  <c r="B9" i="9"/>
  <c r="Y8" i="6"/>
  <c r="B6" i="9"/>
  <c r="H6" i="9"/>
  <c r="E6" i="9"/>
  <c r="Y7" i="6"/>
  <c r="B5" i="9"/>
  <c r="H5" i="9"/>
  <c r="E5" i="9"/>
  <c r="B4" i="9"/>
  <c r="Y6" i="6"/>
  <c r="H4" i="9"/>
  <c r="E4" i="9"/>
  <c r="X6" i="7"/>
  <c r="E13" i="9" l="1"/>
  <c r="B13" i="9"/>
  <c r="H13" i="9"/>
  <c r="Y15" i="6"/>
  <c r="AD5" i="7"/>
  <c r="AD6" i="7"/>
  <c r="AD7" i="7"/>
  <c r="AD8" i="7"/>
  <c r="AD9" i="7"/>
  <c r="AD10" i="7"/>
  <c r="AD11" i="7"/>
  <c r="AD12" i="7"/>
  <c r="D11" i="2" l="1"/>
  <c r="E11" i="2"/>
  <c r="F11" i="2"/>
  <c r="G11" i="2"/>
  <c r="H11" i="2"/>
  <c r="I11" i="2"/>
  <c r="J11" i="2"/>
  <c r="K11" i="2"/>
  <c r="L11" i="2"/>
  <c r="R16" i="7" l="1"/>
  <c r="AD3" i="7"/>
  <c r="K18" i="7"/>
  <c r="K10" i="7"/>
  <c r="K1" i="7"/>
  <c r="D3" i="2" l="1"/>
  <c r="E3" i="2" l="1"/>
  <c r="L3" i="2"/>
  <c r="K3" i="2"/>
  <c r="J3" i="2"/>
  <c r="I3" i="2"/>
  <c r="H3" i="2"/>
  <c r="G3" i="2"/>
  <c r="F3" i="2"/>
  <c r="C3" i="2"/>
  <c r="C4" i="2" l="1"/>
  <c r="AA3" i="7"/>
  <c r="C12" i="2" l="1"/>
  <c r="C14" i="2"/>
  <c r="C13" i="2"/>
  <c r="R23" i="7"/>
  <c r="R8" i="7"/>
  <c r="R1" i="7"/>
  <c r="N9" i="7"/>
  <c r="H4" i="2" l="1"/>
  <c r="L4" i="2"/>
  <c r="L12" i="2" l="1"/>
  <c r="L14" i="2"/>
  <c r="H12" i="2"/>
  <c r="H14" i="2"/>
  <c r="L13" i="2"/>
  <c r="K4" i="2"/>
  <c r="J4" i="2"/>
  <c r="I4" i="2"/>
  <c r="G4" i="2"/>
  <c r="F4" i="2"/>
  <c r="E4" i="2"/>
  <c r="D4" i="2"/>
  <c r="C12" i="8"/>
  <c r="C13" i="8" s="1"/>
  <c r="C14" i="8" s="1"/>
  <c r="H14" i="1"/>
  <c r="H7" i="2" s="1"/>
  <c r="K12" i="2" l="1"/>
  <c r="K14" i="2"/>
  <c r="J12" i="2"/>
  <c r="J14" i="2"/>
  <c r="E12" i="2"/>
  <c r="E14" i="2"/>
  <c r="I12" i="2"/>
  <c r="I14" i="2"/>
  <c r="F12" i="2"/>
  <c r="F14" i="2"/>
  <c r="G12" i="2"/>
  <c r="G14" i="2"/>
  <c r="D12" i="2"/>
  <c r="D14" i="2"/>
  <c r="L7" i="2"/>
  <c r="N1" i="7"/>
  <c r="B3" i="7" s="1"/>
  <c r="C7" i="2"/>
  <c r="G7" i="2"/>
  <c r="D7" i="2"/>
  <c r="I7" i="2"/>
  <c r="E7" i="2"/>
  <c r="J7" i="2"/>
  <c r="K7" i="2"/>
  <c r="F7" i="2"/>
  <c r="K13" i="2"/>
  <c r="I13" i="2"/>
  <c r="F13" i="2"/>
  <c r="E13" i="2"/>
  <c r="C25" i="7" l="1"/>
  <c r="C69" i="7"/>
  <c r="C71" i="7"/>
  <c r="C92" i="7"/>
  <c r="C66" i="7"/>
  <c r="C51" i="7"/>
  <c r="C80" i="7"/>
  <c r="B54" i="7"/>
  <c r="B15" i="7"/>
  <c r="B79" i="7"/>
  <c r="B40" i="7"/>
  <c r="C3" i="7"/>
  <c r="B85" i="7"/>
  <c r="C45" i="7"/>
  <c r="C48" i="7"/>
  <c r="C21" i="7"/>
  <c r="B46" i="7"/>
  <c r="B71" i="7"/>
  <c r="B96" i="7"/>
  <c r="C37" i="7"/>
  <c r="C14" i="7"/>
  <c r="C78" i="7"/>
  <c r="C41" i="7"/>
  <c r="C31" i="7"/>
  <c r="C22" i="7"/>
  <c r="C20" i="7"/>
  <c r="C102" i="7"/>
  <c r="C36" i="7"/>
  <c r="B26" i="7"/>
  <c r="B90" i="7"/>
  <c r="B51" i="7"/>
  <c r="B12" i="7"/>
  <c r="B76" i="7"/>
  <c r="B49" i="7"/>
  <c r="B93" i="7"/>
  <c r="C55" i="7"/>
  <c r="C58" i="7"/>
  <c r="C6" i="7"/>
  <c r="B94" i="7"/>
  <c r="B16" i="7"/>
  <c r="B65" i="7"/>
  <c r="C81" i="7"/>
  <c r="C12" i="7"/>
  <c r="C72" i="7"/>
  <c r="B36" i="7"/>
  <c r="B57" i="7"/>
  <c r="B29" i="7"/>
  <c r="B81" i="7"/>
  <c r="B27" i="7"/>
  <c r="B43" i="7"/>
  <c r="B59" i="7"/>
  <c r="C75" i="7"/>
  <c r="C19" i="7"/>
  <c r="C101" i="7"/>
  <c r="C18" i="7"/>
  <c r="C16" i="7"/>
  <c r="C98" i="7"/>
  <c r="C32" i="7"/>
  <c r="B22" i="7"/>
  <c r="B86" i="7"/>
  <c r="B47" i="7"/>
  <c r="B8" i="7"/>
  <c r="B72" i="7"/>
  <c r="B33" i="7"/>
  <c r="B77" i="7"/>
  <c r="C39" i="7"/>
  <c r="C42" i="7"/>
  <c r="C64" i="7"/>
  <c r="B7" i="7"/>
  <c r="B32" i="7"/>
  <c r="B53" i="7"/>
  <c r="C97" i="7"/>
  <c r="C34" i="7"/>
  <c r="C29" i="7"/>
  <c r="C73" i="7"/>
  <c r="C79" i="7"/>
  <c r="C26" i="7"/>
  <c r="C70" i="7"/>
  <c r="C59" i="7"/>
  <c r="C88" i="7"/>
  <c r="B58" i="7"/>
  <c r="B19" i="7"/>
  <c r="B83" i="7"/>
  <c r="B44" i="7"/>
  <c r="B5" i="7"/>
  <c r="B101" i="7"/>
  <c r="C61" i="7"/>
  <c r="C76" i="7"/>
  <c r="C27" i="7"/>
  <c r="B30" i="7"/>
  <c r="B55" i="7"/>
  <c r="C15" i="7"/>
  <c r="C95" i="7"/>
  <c r="C94" i="7"/>
  <c r="B11" i="7"/>
  <c r="B69" i="7"/>
  <c r="B82" i="7"/>
  <c r="B98" i="7"/>
  <c r="C100" i="7"/>
  <c r="B13" i="7"/>
  <c r="B61" i="7"/>
  <c r="C53" i="7"/>
  <c r="C17" i="7"/>
  <c r="C60" i="7"/>
  <c r="C50" i="7"/>
  <c r="C5" i="7"/>
  <c r="C44" i="7"/>
  <c r="B38" i="7"/>
  <c r="B102" i="7"/>
  <c r="B63" i="7"/>
  <c r="B24" i="7"/>
  <c r="B88" i="7"/>
  <c r="B97" i="7"/>
  <c r="C11" i="7"/>
  <c r="C87" i="7"/>
  <c r="C90" i="7"/>
  <c r="B14" i="7"/>
  <c r="B39" i="7"/>
  <c r="B64" i="7"/>
  <c r="B45" i="7"/>
  <c r="C63" i="7"/>
  <c r="C46" i="7"/>
  <c r="C7" i="7"/>
  <c r="C89" i="7"/>
  <c r="C28" i="7"/>
  <c r="C4" i="7"/>
  <c r="C91" i="7"/>
  <c r="B10" i="7"/>
  <c r="B74" i="7"/>
  <c r="B35" i="7"/>
  <c r="B60" i="7"/>
  <c r="B89" i="7"/>
  <c r="C8" i="7"/>
  <c r="B62" i="7"/>
  <c r="C49" i="7"/>
  <c r="B66" i="7"/>
  <c r="B34" i="7"/>
  <c r="C23" i="7"/>
  <c r="C85" i="7"/>
  <c r="C103" i="7"/>
  <c r="C38" i="7"/>
  <c r="C82" i="7"/>
  <c r="C83" i="7"/>
  <c r="B6" i="7"/>
  <c r="B70" i="7"/>
  <c r="B31" i="7"/>
  <c r="B95" i="7"/>
  <c r="B56" i="7"/>
  <c r="B17" i="7"/>
  <c r="B73" i="7"/>
  <c r="C77" i="7"/>
  <c r="C30" i="7"/>
  <c r="C99" i="7"/>
  <c r="B78" i="7"/>
  <c r="B103" i="7"/>
  <c r="B25" i="7"/>
  <c r="C65" i="7"/>
  <c r="C52" i="7"/>
  <c r="C35" i="7"/>
  <c r="C57" i="7"/>
  <c r="C43" i="7"/>
  <c r="C68" i="7"/>
  <c r="C54" i="7"/>
  <c r="C13" i="7"/>
  <c r="C56" i="7"/>
  <c r="B42" i="7"/>
  <c r="B67" i="7"/>
  <c r="B28" i="7"/>
  <c r="B92" i="7"/>
  <c r="B37" i="7"/>
  <c r="C33" i="7"/>
  <c r="C40" i="7"/>
  <c r="C74" i="7"/>
  <c r="C96" i="7"/>
  <c r="B23" i="7"/>
  <c r="B48" i="7"/>
  <c r="B41" i="7"/>
  <c r="C9" i="7"/>
  <c r="C62" i="7"/>
  <c r="B50" i="7"/>
  <c r="B100" i="7"/>
  <c r="C24" i="7"/>
  <c r="C10" i="7"/>
  <c r="B91" i="7"/>
  <c r="B68" i="7"/>
  <c r="B84" i="7"/>
  <c r="B80" i="7"/>
  <c r="C86" i="7"/>
  <c r="B99" i="7"/>
  <c r="B21" i="7"/>
  <c r="C93" i="7"/>
  <c r="C67" i="7"/>
  <c r="B87" i="7"/>
  <c r="B9" i="7"/>
  <c r="C84" i="7"/>
  <c r="C47" i="7"/>
  <c r="B75" i="7"/>
  <c r="B52" i="7"/>
  <c r="B4" i="7"/>
  <c r="B20" i="7"/>
  <c r="B18" i="7"/>
  <c r="AD4" i="7"/>
  <c r="AA4" i="7"/>
  <c r="H8" i="2" l="1"/>
  <c r="H9" i="2" s="1"/>
  <c r="F8" i="2"/>
  <c r="F9" i="2" s="1"/>
  <c r="F16" i="2" s="1"/>
  <c r="I8" i="2"/>
  <c r="I9" i="2" s="1"/>
  <c r="I16" i="2" s="1"/>
  <c r="I18" i="2" s="1"/>
  <c r="B12" i="8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I20" i="2" l="1"/>
  <c r="I21" i="2" s="1"/>
  <c r="I22" i="2" s="1"/>
  <c r="I23" i="2" s="1"/>
  <c r="H13" i="2" l="1"/>
  <c r="H16" i="2" s="1"/>
  <c r="H18" i="2" s="1"/>
  <c r="D13" i="2"/>
  <c r="P5" i="6"/>
  <c r="P6" i="6" s="1"/>
  <c r="P7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21" i="6" s="1"/>
  <c r="P22" i="6" s="1"/>
  <c r="P23" i="6" s="1"/>
  <c r="P24" i="6" s="1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P35" i="6" s="1"/>
  <c r="P36" i="6" s="1"/>
  <c r="P37" i="6" s="1"/>
  <c r="P38" i="6" s="1"/>
  <c r="P39" i="6" s="1"/>
  <c r="P40" i="6" s="1"/>
  <c r="P41" i="6" s="1"/>
  <c r="P42" i="6" s="1"/>
  <c r="P43" i="6" s="1"/>
  <c r="P44" i="6" s="1"/>
  <c r="P45" i="6" s="1"/>
  <c r="P46" i="6" s="1"/>
  <c r="P47" i="6" s="1"/>
  <c r="P48" i="6" s="1"/>
  <c r="P49" i="6" s="1"/>
  <c r="P50" i="6" s="1"/>
  <c r="P51" i="6" s="1"/>
  <c r="F18" i="2"/>
  <c r="H20" i="2" l="1"/>
  <c r="H21" i="2" s="1"/>
  <c r="H22" i="2" s="1"/>
  <c r="H23" i="2" s="1"/>
  <c r="J13" i="2"/>
  <c r="G13" i="2"/>
  <c r="F20" i="2"/>
  <c r="F21" i="2" s="1"/>
  <c r="F22" i="2" s="1"/>
  <c r="F23" i="2" l="1"/>
  <c r="K8" i="2" l="1"/>
  <c r="K9" i="2" s="1"/>
  <c r="K16" i="2" s="1"/>
  <c r="K18" i="2" s="1"/>
  <c r="J8" i="2"/>
  <c r="J9" i="2" s="1"/>
  <c r="J16" i="2" s="1"/>
  <c r="J18" i="2" s="1"/>
  <c r="C8" i="2"/>
  <c r="C9" i="2" s="1"/>
  <c r="G8" i="2"/>
  <c r="G9" i="2" s="1"/>
  <c r="G16" i="2" s="1"/>
  <c r="G18" i="2" s="1"/>
  <c r="D8" i="2"/>
  <c r="D9" i="2" s="1"/>
  <c r="E8" i="2"/>
  <c r="E9" i="2" s="1"/>
  <c r="E16" i="2" s="1"/>
  <c r="E18" i="2" s="1"/>
  <c r="L8" i="2"/>
  <c r="L9" i="2" s="1"/>
  <c r="L16" i="2" s="1"/>
  <c r="L18" i="2" s="1"/>
  <c r="C16" i="2" l="1"/>
  <c r="C18" i="2" s="1"/>
  <c r="D16" i="2"/>
  <c r="D18" i="2" s="1"/>
  <c r="J20" i="2"/>
  <c r="J21" i="2" s="1"/>
  <c r="J22" i="2" s="1"/>
  <c r="J23" i="2" s="1"/>
  <c r="E20" i="2"/>
  <c r="E21" i="2" s="1"/>
  <c r="E22" i="2" s="1"/>
  <c r="E23" i="2" s="1"/>
  <c r="K20" i="2"/>
  <c r="K21" i="2" s="1"/>
  <c r="K22" i="2" s="1"/>
  <c r="K23" i="2" s="1"/>
  <c r="L20" i="2"/>
  <c r="L21" i="2" s="1"/>
  <c r="L22" i="2" s="1"/>
  <c r="L23" i="2" s="1"/>
  <c r="G20" i="2"/>
  <c r="G21" i="2" s="1"/>
  <c r="G22" i="2" s="1"/>
  <c r="G23" i="2" s="1"/>
  <c r="C20" i="2" l="1"/>
  <c r="C21" i="2" s="1"/>
  <c r="C22" i="2" s="1"/>
  <c r="C23" i="2" s="1"/>
  <c r="D20" i="2"/>
  <c r="D21" i="2" s="1"/>
  <c r="D22" i="2" s="1"/>
  <c r="D23" i="2" s="1"/>
  <c r="H28" i="1" l="1"/>
  <c r="D30" i="1" s="1"/>
  <c r="H37" i="1" l="1"/>
  <c r="F37" i="1"/>
  <c r="H36" i="1"/>
  <c r="F36" i="1"/>
  <c r="D32" i="1"/>
  <c r="D33" i="1" s="1"/>
  <c r="D36" i="1" s="1"/>
  <c r="D38" i="1" s="1"/>
  <c r="J37" i="1"/>
  <c r="J36" i="1"/>
  <c r="F38" i="1" l="1"/>
  <c r="J38" i="1"/>
  <c r="H38" i="1"/>
</calcChain>
</file>

<file path=xl/sharedStrings.xml><?xml version="1.0" encoding="utf-8"?>
<sst xmlns="http://schemas.openxmlformats.org/spreadsheetml/2006/main" count="306" uniqueCount="186">
  <si>
    <t>PRIMAS NETAS DE ICF</t>
  </si>
  <si>
    <t>Edad</t>
  </si>
  <si>
    <t>Hombres</t>
  </si>
  <si>
    <t>Mujeres</t>
  </si>
  <si>
    <t>SUMAS ASEGURADAS</t>
  </si>
  <si>
    <t>TARIFA</t>
  </si>
  <si>
    <t>SI</t>
  </si>
  <si>
    <t>NO</t>
  </si>
  <si>
    <t>500.00 x día.</t>
  </si>
  <si>
    <t>1,000.00 x día.</t>
  </si>
  <si>
    <t>1,500.00 x día.</t>
  </si>
  <si>
    <t>2,000.00 x día.</t>
  </si>
  <si>
    <t>OCPION</t>
  </si>
  <si>
    <t>BAJIO</t>
  </si>
  <si>
    <t>Zacatecas</t>
  </si>
  <si>
    <t>SURESTE</t>
  </si>
  <si>
    <t>Yucatán</t>
  </si>
  <si>
    <t>SUR</t>
  </si>
  <si>
    <t>Veracruz</t>
  </si>
  <si>
    <t>Tlaxcala</t>
  </si>
  <si>
    <t>NORESTE</t>
  </si>
  <si>
    <t>Tamaulipas</t>
  </si>
  <si>
    <t>Tabasco</t>
  </si>
  <si>
    <t>NOROESTE</t>
  </si>
  <si>
    <t>Sonora</t>
  </si>
  <si>
    <t>OCCIDENTE_2</t>
  </si>
  <si>
    <t>Sinaloa</t>
  </si>
  <si>
    <t>OPCIÓN</t>
  </si>
  <si>
    <t>San Luís Potosí</t>
  </si>
  <si>
    <t>Quintana Roo</t>
  </si>
  <si>
    <t>FACTOR</t>
  </si>
  <si>
    <t>UMAM</t>
  </si>
  <si>
    <t>Querétaro</t>
  </si>
  <si>
    <t>Mensual</t>
  </si>
  <si>
    <t>HONORARIOS QUIRUR.</t>
  </si>
  <si>
    <t>Puebla</t>
  </si>
  <si>
    <t>Trimestral</t>
  </si>
  <si>
    <t>Oaxaca</t>
  </si>
  <si>
    <t>Semestral</t>
  </si>
  <si>
    <t>Nuevo León</t>
  </si>
  <si>
    <t>Anual</t>
  </si>
  <si>
    <t>SERIE 400</t>
  </si>
  <si>
    <t>OCCIDENTE</t>
  </si>
  <si>
    <t>Nayarit</t>
  </si>
  <si>
    <t>SERIE 100</t>
  </si>
  <si>
    <t>ESTADO DE MÉXICO</t>
  </si>
  <si>
    <t>Morelos</t>
  </si>
  <si>
    <t>SERIE 200</t>
  </si>
  <si>
    <t>Michoacán</t>
  </si>
  <si>
    <t>SERIE 300</t>
  </si>
  <si>
    <t>Jalisco</t>
  </si>
  <si>
    <t>BASE</t>
  </si>
  <si>
    <t>Hidalgo</t>
  </si>
  <si>
    <t>HOSPITAL</t>
  </si>
  <si>
    <t>Guerrero</t>
  </si>
  <si>
    <t>Guanajuato</t>
  </si>
  <si>
    <t>FORMA DE PAGO</t>
  </si>
  <si>
    <t>C</t>
  </si>
  <si>
    <t>Estado de México</t>
  </si>
  <si>
    <t>B</t>
  </si>
  <si>
    <t>Durango</t>
  </si>
  <si>
    <t>A</t>
  </si>
  <si>
    <t>Colima</t>
  </si>
  <si>
    <t>Coahuila</t>
  </si>
  <si>
    <t>LINEA</t>
  </si>
  <si>
    <t>Ciudad de México y Zona Metropolitana</t>
  </si>
  <si>
    <t>RED COASEG PAD NARIZ X ACC</t>
  </si>
  <si>
    <t>COB. EXT.</t>
  </si>
  <si>
    <t>Chihuahua</t>
  </si>
  <si>
    <t>Total</t>
  </si>
  <si>
    <t>Chiapas</t>
  </si>
  <si>
    <t>Operación</t>
  </si>
  <si>
    <t>Comisión</t>
  </si>
  <si>
    <t>SA 100,000 dlls</t>
  </si>
  <si>
    <t>Campeche</t>
  </si>
  <si>
    <t>Utilidad</t>
  </si>
  <si>
    <t>SA 50,000 dlls</t>
  </si>
  <si>
    <t>Baja California Sur</t>
  </si>
  <si>
    <t>Baja California</t>
  </si>
  <si>
    <t>COASEGURO</t>
  </si>
  <si>
    <t>Aguascalientes</t>
  </si>
  <si>
    <t>Tope</t>
  </si>
  <si>
    <t>%</t>
  </si>
  <si>
    <t>Pesos</t>
  </si>
  <si>
    <t>GASTOS FIJOS</t>
  </si>
  <si>
    <t>INCREMENTO SA PARTO Y CESÁREA</t>
  </si>
  <si>
    <t>E.EXT.</t>
  </si>
  <si>
    <t>REGION</t>
  </si>
  <si>
    <t>ESTADOS</t>
  </si>
  <si>
    <t>SUMA ASEGURADA</t>
  </si>
  <si>
    <t>DEDUCIBLE</t>
  </si>
  <si>
    <t>Fecha de nacimiento</t>
  </si>
  <si>
    <t>Sexo</t>
  </si>
  <si>
    <t>Fecha Antigüedad</t>
  </si>
  <si>
    <t>Mes</t>
  </si>
  <si>
    <t>Año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</si>
  <si>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</si>
  <si>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</si>
  <si>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</si>
  <si>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</si>
  <si>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</si>
  <si>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</si>
  <si>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</si>
  <si>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</si>
  <si>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</si>
  <si>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Coberturas Opcionales con Costo</t>
  </si>
  <si>
    <t>Masculino</t>
  </si>
  <si>
    <t>Femenino</t>
  </si>
  <si>
    <t>Prima</t>
  </si>
  <si>
    <t>Asegurados</t>
  </si>
  <si>
    <t>Genero</t>
  </si>
  <si>
    <t>Asistencia Dental</t>
  </si>
  <si>
    <t>Eliminacion de Deducible por Accidente</t>
  </si>
  <si>
    <t>RxPF</t>
  </si>
  <si>
    <t>Derecho de póliza</t>
  </si>
  <si>
    <t>IVA</t>
  </si>
  <si>
    <t>Prima Anual Total</t>
  </si>
  <si>
    <t>Factores GM</t>
  </si>
  <si>
    <t>Prima Neta</t>
  </si>
  <si>
    <t>IDHA (Indemnizacion Diaria por Hospitalizacion)</t>
  </si>
  <si>
    <t>ICF(Indemnizacion por Cancer Femenino)</t>
  </si>
  <si>
    <t>Prima Antes IVA</t>
  </si>
  <si>
    <t>IMPORTES</t>
  </si>
  <si>
    <t xml:space="preserve">Prima GM </t>
  </si>
  <si>
    <t>Prima Neta Agregada</t>
  </si>
  <si>
    <t>Derecho de poliza</t>
  </si>
  <si>
    <t>Prima Total Anual</t>
  </si>
  <si>
    <t>1er Pago</t>
  </si>
  <si>
    <t>Subsecuente</t>
  </si>
  <si>
    <t>Sin Límite</t>
  </si>
  <si>
    <t>TMC</t>
  </si>
  <si>
    <t>GUA</t>
  </si>
  <si>
    <t>SA 20 UMAM</t>
  </si>
  <si>
    <t>SA 25 UMAM</t>
  </si>
  <si>
    <t>PRIMA DE TARIFA LINEA</t>
  </si>
  <si>
    <t>PRIMA DE TARIFA NORESTE</t>
  </si>
  <si>
    <t xml:space="preserve">Prima de Tarifa </t>
  </si>
  <si>
    <t>Atención Dental +</t>
  </si>
  <si>
    <t>Atención Dental Total</t>
  </si>
  <si>
    <t>-</t>
  </si>
  <si>
    <t>Día</t>
  </si>
  <si>
    <t>PRIMA DE RIESGO LINEA</t>
  </si>
  <si>
    <t>PRIMA DE TARIFA OCCIDENTE</t>
  </si>
  <si>
    <t>Occidente/Noreste</t>
  </si>
  <si>
    <t>Línea</t>
  </si>
  <si>
    <t>Fecha</t>
  </si>
  <si>
    <t>FEBRERO 2023</t>
  </si>
  <si>
    <t>SUMA ASEG</t>
  </si>
  <si>
    <t>NIVEL HOSPITAL</t>
  </si>
  <si>
    <t>ESTADO</t>
  </si>
  <si>
    <t>REGIÓN</t>
  </si>
  <si>
    <t>EMERGENCIA EN EL EXTRANJERO</t>
  </si>
  <si>
    <t>COBERTURA EN EL EXTRANJERO</t>
  </si>
  <si>
    <t>INDEMNIZACIÓN POR CÁNCER FEMENINO</t>
  </si>
  <si>
    <t>INCREMENTO DE SA POR PARTO Y CESÁREA</t>
  </si>
  <si>
    <t>RED DE COA X PADECIMIENTO DE NARIZ X ACCIDENTE</t>
  </si>
  <si>
    <t>ELIMINACIÓN DE DEDUCIBLE POR ACCIDENTE</t>
  </si>
  <si>
    <t>ATENCIÓN DENTAL</t>
  </si>
  <si>
    <t>INDEMNIZACIÓN DIARIA X HOSPITALIZACIÓN X ACC</t>
  </si>
  <si>
    <t>Inicio Vigencia</t>
  </si>
  <si>
    <t>Póliza</t>
  </si>
  <si>
    <t>THMQ</t>
  </si>
  <si>
    <t>PRIMA</t>
  </si>
  <si>
    <t>Región</t>
  </si>
  <si>
    <t>Occidente</t>
  </si>
  <si>
    <t>Noreste</t>
  </si>
  <si>
    <t>ELIMINACIÓN DED X ACC</t>
  </si>
  <si>
    <t xml:space="preserve"> IDHA</t>
  </si>
  <si>
    <t>SA X DÍA</t>
  </si>
  <si>
    <t>RANGO DED</t>
  </si>
  <si>
    <t>PESOS</t>
  </si>
  <si>
    <t>PARÁMETROS DE LA COBERTURA BÁSICA</t>
  </si>
  <si>
    <t>PARTO 1=No se muestra, 2 =Sí se muestra</t>
  </si>
  <si>
    <t>CÁNCER 1=No se muestra, 2 =Sí se muestra</t>
  </si>
  <si>
    <t>IDHA 1=No se muestra, 2 =Sí se muestra</t>
  </si>
  <si>
    <t>Asegurado</t>
  </si>
  <si>
    <t>Indicador</t>
  </si>
  <si>
    <t>SUMA</t>
  </si>
  <si>
    <t>Desplegable</t>
  </si>
  <si>
    <t>GPO1 18-45 = 1</t>
  </si>
  <si>
    <t>GPO2 46-50= 2</t>
  </si>
  <si>
    <t>GPO3 51-55= 3</t>
  </si>
  <si>
    <t>INDICADOR FINAL</t>
  </si>
  <si>
    <t>Renovada</t>
  </si>
  <si>
    <t>Vigencia cotizador: 01 de julio 2023-30 de noviembre 2024</t>
  </si>
  <si>
    <t>DDA-GSIND-20230701_24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</si>
</sst>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#,##0.00000"/>
    <numFmt numFmtId="166" formatCode="0.000000"/>
    <numFmt numFmtId="167" formatCode="0.00000"/>
    <numFmt numFmtId="168" formatCode="0.0000000"/>
    <numFmt numFmtId="169" formatCode="0.000"/>
    <numFmt numFmtId="170" formatCode="#,##0.0000"/>
    <numFmt numFmtId="171" formatCode="#,##0.0"/>
    <numFmt numFmtId="172" formatCode="&quot;$&quot;#,##0.00"/>
    <numFmt numFmtId="173" formatCode="0.0%"/>
    <numFmt numFmtId="174" formatCode="_-* #,##0.000000_-;\-* #,##0.000000_-;_-* &quot;-&quot;??_-;_-@_-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9"/>
      <color indexed="8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8" tint="-0.499984740745262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7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rgb="FFC00000"/>
      </patternFill>
    </fill>
  </fills>
  <borders count="97">
    <border>
      <left/>
      <right/>
      <top/>
      <bottom/>
      <diagonal/>
    </border>
    <border>
      <left style="medium">
        <color rgb="FF339966"/>
      </left>
      <right/>
      <top style="medium">
        <color rgb="FF339966"/>
      </top>
      <bottom style="medium">
        <color rgb="FF339966"/>
      </bottom>
      <diagonal/>
    </border>
    <border>
      <left/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thin">
        <color rgb="FF339966"/>
      </right>
      <top style="medium">
        <color rgb="FF339966"/>
      </top>
      <bottom style="medium">
        <color rgb="FF339966"/>
      </bottom>
      <diagonal/>
    </border>
    <border>
      <left style="thin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/>
      <right/>
      <top style="medium">
        <color rgb="FF339966"/>
      </top>
      <bottom style="medium">
        <color rgb="FF33996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339966"/>
      </left>
      <right style="medium">
        <color rgb="FF339966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thin">
        <color rgb="FF00B050"/>
      </left>
      <right style="thin">
        <color rgb="FF00B050"/>
      </right>
      <top style="medium">
        <color rgb="FF00B050"/>
      </top>
      <bottom style="hair">
        <color rgb="FF00B050"/>
      </bottom>
      <diagonal/>
    </border>
    <border>
      <left style="thin">
        <color rgb="FF00B050"/>
      </left>
      <right style="medium">
        <color rgb="FF00B050"/>
      </right>
      <top style="medium">
        <color rgb="FF00B050"/>
      </top>
      <bottom style="hair">
        <color rgb="FF00B050"/>
      </bottom>
      <diagonal/>
    </border>
    <border>
      <left style="medium">
        <color indexed="64"/>
      </left>
      <right/>
      <top/>
      <bottom/>
      <diagonal/>
    </border>
    <border>
      <left style="thin">
        <color rgb="FF00B050"/>
      </left>
      <right style="thin">
        <color rgb="FF00B050"/>
      </right>
      <top/>
      <bottom style="hair">
        <color rgb="FF00B050"/>
      </bottom>
      <diagonal/>
    </border>
    <border>
      <left style="thin">
        <color rgb="FF00B050"/>
      </left>
      <right style="medium">
        <color rgb="FF00B050"/>
      </right>
      <top/>
      <bottom style="hair">
        <color rgb="FF00B050"/>
      </bottom>
      <diagonal/>
    </border>
    <border>
      <left style="medium">
        <color rgb="FF339966"/>
      </left>
      <right/>
      <top/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/>
      <bottom style="medium">
        <color rgb="FF339966"/>
      </bottom>
      <diagonal/>
    </border>
    <border>
      <left style="medium">
        <color rgb="FF339966"/>
      </left>
      <right style="thin">
        <color indexed="64"/>
      </right>
      <top style="medium">
        <color rgb="FF339966"/>
      </top>
      <bottom style="medium">
        <color rgb="FF339966"/>
      </bottom>
      <diagonal/>
    </border>
    <border>
      <left style="thin">
        <color indexed="64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thin">
        <color rgb="FF00B050"/>
      </left>
      <right style="thin">
        <color rgb="FF00B050"/>
      </right>
      <top/>
      <bottom style="medium">
        <color rgb="FF00B050"/>
      </bottom>
      <diagonal/>
    </border>
    <border>
      <left style="thin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339966"/>
      </right>
      <top/>
      <bottom style="medium">
        <color rgb="FF339966"/>
      </bottom>
      <diagonal/>
    </border>
    <border>
      <left/>
      <right style="medium">
        <color rgb="FF339966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339966"/>
      </right>
      <top style="medium">
        <color rgb="FF339966"/>
      </top>
      <bottom/>
      <diagonal/>
    </border>
    <border>
      <left/>
      <right/>
      <top/>
      <bottom style="medium">
        <color rgb="FF33996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 style="thin">
        <color rgb="FF00B050"/>
      </right>
      <top style="medium">
        <color rgb="FF00B050"/>
      </top>
      <bottom style="hair">
        <color rgb="FF00B050"/>
      </bottom>
      <diagonal/>
    </border>
    <border>
      <left/>
      <right style="thin">
        <color rgb="FF00B050"/>
      </right>
      <top/>
      <bottom style="hair">
        <color rgb="FF00B050"/>
      </bottom>
      <diagonal/>
    </border>
    <border>
      <left/>
      <right style="thin">
        <color rgb="FF00B050"/>
      </right>
      <top/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B050"/>
      </left>
      <right style="medium">
        <color rgb="FF339966"/>
      </right>
      <top/>
      <bottom/>
      <diagonal/>
    </border>
    <border>
      <left style="medium">
        <color rgb="FF00B050"/>
      </left>
      <right style="medium">
        <color rgb="FF339966"/>
      </right>
      <top/>
      <bottom style="medium">
        <color rgb="FF00B050"/>
      </bottom>
      <diagonal/>
    </border>
    <border>
      <left style="medium">
        <color rgb="FF00B050"/>
      </left>
      <right style="medium">
        <color rgb="FF339966"/>
      </right>
      <top style="medium">
        <color rgb="FF00B050"/>
      </top>
      <bottom/>
      <diagonal/>
    </border>
    <border>
      <left style="medium">
        <color rgb="FF339966"/>
      </left>
      <right style="medium">
        <color rgb="FF00B050"/>
      </right>
      <top style="medium">
        <color rgb="FF00B050"/>
      </top>
      <bottom/>
      <diagonal/>
    </border>
    <border>
      <left style="medium">
        <color rgb="FF339966"/>
      </left>
      <right style="medium">
        <color rgb="FF00B050"/>
      </right>
      <top/>
      <bottom/>
      <diagonal/>
    </border>
    <border>
      <left style="medium">
        <color rgb="FF339966"/>
      </left>
      <right style="medium">
        <color rgb="FF00B050"/>
      </right>
      <top/>
      <bottom style="medium">
        <color rgb="FF00B05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4" fontId="4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73">
    <xf numFmtId="0" fontId="0" fillId="0" borderId="0" xfId="0"/>
    <xf numFmtId="0" fontId="1" fillId="0" borderId="0" xfId="0" applyFont="1" applyAlignment="1">
      <alignment vertical="center"/>
    </xf>
    <xf numFmtId="0" fontId="3" fillId="15" borderId="0" xfId="5" applyFont="1" applyFill="1" applyBorder="1" applyAlignment="1" applyProtection="1">
      <alignment vertical="center" textRotation="90"/>
      <protection hidden="1"/>
    </xf>
    <xf numFmtId="0" fontId="1" fillId="0" borderId="0" xfId="0" applyFont="1" applyAlignment="1" applyProtection="1">
      <alignment vertical="center"/>
    </xf>
    <xf numFmtId="0" fontId="7" fillId="14" borderId="51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7" fillId="14" borderId="30" xfId="0" applyFont="1" applyFill="1" applyBorder="1" applyAlignment="1">
      <alignment vertical="center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1" fillId="0" borderId="0" xfId="0" applyFont="1" applyBorder="1" applyAlignment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/>
    <xf numFmtId="14" fontId="1" fillId="0" borderId="0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3" fillId="0" borderId="0" xfId="0" applyFont="1" applyAlignment="1">
      <alignment vertical="center"/>
    </xf>
    <xf numFmtId="0" fontId="7" fillId="14" borderId="9" xfId="0" applyFont="1" applyFill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6" borderId="0" xfId="0" applyFont="1" applyFill="1" applyBorder="1" applyAlignment="1" applyProtection="1">
      <alignment horizontal="center" wrapText="1"/>
      <protection hidden="1"/>
    </xf>
    <xf numFmtId="0" fontId="10" fillId="0" borderId="0" xfId="0" applyFont="1" applyAlignment="1" applyProtection="1">
      <alignment vertical="center"/>
      <protection hidden="1"/>
    </xf>
    <xf numFmtId="14" fontId="9" fillId="0" borderId="0" xfId="0" applyNumberFormat="1" applyFont="1" applyAlignment="1" applyProtection="1">
      <alignment vertical="center"/>
      <protection hidden="1"/>
    </xf>
    <xf numFmtId="0" fontId="8" fillId="0" borderId="0" xfId="0" applyFont="1" applyAlignment="1">
      <alignment vertical="center" textRotation="90"/>
    </xf>
    <xf numFmtId="0" fontId="7" fillId="9" borderId="51" xfId="0" applyFont="1" applyFill="1" applyBorder="1"/>
    <xf numFmtId="0" fontId="7" fillId="9" borderId="53" xfId="0" applyFont="1" applyFill="1" applyBorder="1" applyAlignment="1">
      <alignment horizontal="center"/>
    </xf>
    <xf numFmtId="0" fontId="7" fillId="9" borderId="42" xfId="0" applyFont="1" applyFill="1" applyBorder="1" applyAlignment="1">
      <alignment horizontal="center"/>
    </xf>
    <xf numFmtId="0" fontId="8" fillId="11" borderId="44" xfId="0" applyFont="1" applyFill="1" applyBorder="1"/>
    <xf numFmtId="0" fontId="8" fillId="10" borderId="36" xfId="0" applyFont="1" applyFill="1" applyBorder="1" applyAlignment="1">
      <alignment horizontal="center"/>
    </xf>
    <xf numFmtId="0" fontId="8" fillId="10" borderId="43" xfId="0" applyFont="1" applyFill="1" applyBorder="1" applyAlignment="1">
      <alignment horizontal="center"/>
    </xf>
    <xf numFmtId="0" fontId="7" fillId="9" borderId="56" xfId="0" applyFont="1" applyFill="1" applyBorder="1"/>
    <xf numFmtId="44" fontId="1" fillId="3" borderId="54" xfId="2" applyFont="1" applyFill="1" applyBorder="1"/>
    <xf numFmtId="0" fontId="7" fillId="9" borderId="57" xfId="0" applyFont="1" applyFill="1" applyBorder="1"/>
    <xf numFmtId="0" fontId="1" fillId="3" borderId="39" xfId="0" applyFont="1" applyFill="1" applyBorder="1"/>
    <xf numFmtId="0" fontId="1" fillId="3" borderId="60" xfId="0" applyFont="1" applyFill="1" applyBorder="1"/>
    <xf numFmtId="0" fontId="7" fillId="9" borderId="58" xfId="0" applyFont="1" applyFill="1" applyBorder="1"/>
    <xf numFmtId="44" fontId="1" fillId="3" borderId="55" xfId="2" applyFont="1" applyFill="1" applyBorder="1"/>
    <xf numFmtId="44" fontId="1" fillId="3" borderId="74" xfId="2" applyFont="1" applyFill="1" applyBorder="1"/>
    <xf numFmtId="0" fontId="1" fillId="0" borderId="0" xfId="0" applyFont="1" applyAlignment="1">
      <alignment textRotation="45"/>
    </xf>
    <xf numFmtId="44" fontId="1" fillId="10" borderId="54" xfId="2" applyFont="1" applyFill="1" applyBorder="1"/>
    <xf numFmtId="44" fontId="1" fillId="10" borderId="81" xfId="2" applyFont="1" applyFill="1" applyBorder="1"/>
    <xf numFmtId="44" fontId="1" fillId="10" borderId="39" xfId="2" applyFont="1" applyFill="1" applyBorder="1"/>
    <xf numFmtId="44" fontId="1" fillId="10" borderId="60" xfId="2" applyFont="1" applyFill="1" applyBorder="1"/>
    <xf numFmtId="44" fontId="1" fillId="10" borderId="55" xfId="2" applyFont="1" applyFill="1" applyBorder="1"/>
    <xf numFmtId="44" fontId="1" fillId="10" borderId="74" xfId="2" applyFont="1" applyFill="1" applyBorder="1"/>
    <xf numFmtId="0" fontId="7" fillId="9" borderId="4" xfId="0" applyFont="1" applyFill="1" applyBorder="1"/>
    <xf numFmtId="44" fontId="1" fillId="3" borderId="59" xfId="0" applyNumberFormat="1" applyFont="1" applyFill="1" applyBorder="1"/>
    <xf numFmtId="44" fontId="1" fillId="3" borderId="11" xfId="0" applyNumberFormat="1" applyFont="1" applyFill="1" applyBorder="1"/>
    <xf numFmtId="165" fontId="11" fillId="0" borderId="13" xfId="6" applyNumberFormat="1" applyFont="1" applyFill="1" applyBorder="1" applyAlignment="1" applyProtection="1">
      <alignment horizontal="center" vertical="center"/>
      <protection hidden="1"/>
    </xf>
    <xf numFmtId="165" fontId="11" fillId="0" borderId="67" xfId="6" applyNumberFormat="1" applyFont="1" applyFill="1" applyBorder="1" applyAlignment="1" applyProtection="1">
      <alignment horizontal="center" vertical="center"/>
      <protection hidden="1"/>
    </xf>
    <xf numFmtId="0" fontId="11" fillId="0" borderId="71" xfId="6" applyNumberFormat="1" applyFont="1" applyFill="1" applyBorder="1" applyAlignment="1" applyProtection="1">
      <alignment horizontal="center" vertical="center"/>
      <protection hidden="1"/>
    </xf>
    <xf numFmtId="165" fontId="3" fillId="0" borderId="71" xfId="6" applyNumberFormat="1" applyFont="1" applyFill="1" applyBorder="1" applyAlignment="1" applyProtection="1">
      <alignment horizontal="center" vertical="center"/>
      <protection hidden="1"/>
    </xf>
    <xf numFmtId="165" fontId="3" fillId="0" borderId="61" xfId="6" applyNumberFormat="1" applyFont="1" applyFill="1" applyBorder="1" applyAlignment="1" applyProtection="1">
      <alignment horizontal="center" vertical="center"/>
      <protection hidden="1"/>
    </xf>
    <xf numFmtId="2" fontId="6" fillId="0" borderId="17" xfId="5" applyNumberFormat="1" applyFont="1" applyFill="1" applyBorder="1" applyAlignment="1" applyProtection="1">
      <alignment horizontal="center" vertical="center" wrapText="1"/>
      <protection hidden="1"/>
    </xf>
    <xf numFmtId="2" fontId="6" fillId="0" borderId="25" xfId="5" applyNumberFormat="1" applyFont="1" applyFill="1" applyBorder="1" applyAlignment="1" applyProtection="1">
      <alignment horizontal="center" vertical="center" wrapText="1"/>
      <protection hidden="1"/>
    </xf>
    <xf numFmtId="0" fontId="11" fillId="0" borderId="62" xfId="6" applyNumberFormat="1" applyFont="1" applyFill="1" applyBorder="1" applyAlignment="1" applyProtection="1">
      <alignment horizontal="center" vertical="center"/>
      <protection hidden="1"/>
    </xf>
    <xf numFmtId="0" fontId="3" fillId="0" borderId="62" xfId="6" applyNumberFormat="1" applyFont="1" applyFill="1" applyBorder="1" applyAlignment="1" applyProtection="1">
      <alignment horizontal="center" vertical="center"/>
      <protection hidden="1"/>
    </xf>
    <xf numFmtId="0" fontId="12" fillId="4" borderId="0" xfId="0" applyFont="1" applyFill="1"/>
    <xf numFmtId="169" fontId="12" fillId="4" borderId="0" xfId="0" applyNumberFormat="1" applyFont="1" applyFill="1"/>
    <xf numFmtId="0" fontId="1" fillId="9" borderId="0" xfId="0" applyFont="1" applyFill="1"/>
    <xf numFmtId="0" fontId="11" fillId="0" borderId="5" xfId="4" quotePrefix="1" applyFont="1" applyFill="1" applyBorder="1" applyAlignment="1" applyProtection="1">
      <alignment horizontal="center" vertical="center"/>
      <protection hidden="1"/>
    </xf>
    <xf numFmtId="0" fontId="7" fillId="2" borderId="18" xfId="5" applyFont="1" applyFill="1" applyBorder="1" applyAlignment="1">
      <alignment horizontal="center" vertical="center"/>
    </xf>
    <xf numFmtId="0" fontId="11" fillId="0" borderId="5" xfId="4" applyFont="1" applyFill="1" applyBorder="1" applyAlignment="1" applyProtection="1">
      <alignment horizontal="center" vertical="center"/>
      <protection hidden="1"/>
    </xf>
    <xf numFmtId="44" fontId="11" fillId="0" borderId="5" xfId="2" applyFont="1" applyFill="1" applyBorder="1" applyAlignment="1" applyProtection="1">
      <alignment horizontal="center" vertical="center"/>
      <protection hidden="1"/>
    </xf>
    <xf numFmtId="0" fontId="11" fillId="0" borderId="25" xfId="4" applyFont="1" applyFill="1" applyBorder="1" applyAlignment="1" applyProtection="1">
      <alignment horizontal="center" vertical="center"/>
      <protection hidden="1"/>
    </xf>
    <xf numFmtId="0" fontId="3" fillId="0" borderId="12" xfId="4" applyFont="1" applyBorder="1" applyAlignment="1" applyProtection="1">
      <alignment vertical="center"/>
      <protection hidden="1"/>
    </xf>
    <xf numFmtId="0" fontId="3" fillId="0" borderId="37" xfId="4" applyFont="1" applyBorder="1" applyAlignment="1" applyProtection="1">
      <alignment vertical="center"/>
      <protection hidden="1"/>
    </xf>
    <xf numFmtId="0" fontId="3" fillId="0" borderId="12" xfId="5" applyFont="1" applyFill="1" applyBorder="1" applyAlignment="1" applyProtection="1">
      <alignment horizontal="center" vertical="center"/>
      <protection hidden="1"/>
    </xf>
    <xf numFmtId="14" fontId="1" fillId="0" borderId="0" xfId="0" applyNumberFormat="1" applyFont="1"/>
    <xf numFmtId="164" fontId="3" fillId="0" borderId="12" xfId="4" applyNumberFormat="1" applyFont="1" applyBorder="1" applyAlignment="1" applyProtection="1">
      <alignment horizontal="center" vertical="center"/>
      <protection hidden="1"/>
    </xf>
    <xf numFmtId="171" fontId="3" fillId="0" borderId="17" xfId="4" applyNumberFormat="1" applyFont="1" applyFill="1" applyBorder="1" applyAlignment="1" applyProtection="1">
      <alignment horizontal="center" vertical="center"/>
      <protection hidden="1"/>
    </xf>
    <xf numFmtId="167" fontId="3" fillId="0" borderId="17" xfId="4" applyNumberFormat="1" applyFont="1" applyFill="1" applyBorder="1" applyAlignment="1" applyProtection="1">
      <alignment horizontal="center" vertical="center"/>
      <protection hidden="1"/>
    </xf>
    <xf numFmtId="9" fontId="3" fillId="0" borderId="12" xfId="9" applyNumberFormat="1" applyFont="1" applyFill="1" applyBorder="1" applyAlignment="1" applyProtection="1">
      <alignment horizontal="center" vertical="center"/>
      <protection hidden="1"/>
    </xf>
    <xf numFmtId="164" fontId="3" fillId="0" borderId="12" xfId="4" applyNumberFormat="1" applyFont="1" applyFill="1" applyBorder="1" applyAlignment="1" applyProtection="1">
      <alignment horizontal="center" vertical="center"/>
      <protection hidden="1"/>
    </xf>
    <xf numFmtId="0" fontId="3" fillId="0" borderId="17" xfId="4" quotePrefix="1" applyFont="1" applyBorder="1" applyAlignment="1" applyProtection="1">
      <alignment horizontal="center" vertical="center"/>
      <protection hidden="1"/>
    </xf>
    <xf numFmtId="170" fontId="3" fillId="0" borderId="17" xfId="6" applyNumberFormat="1" applyFont="1" applyFill="1" applyBorder="1" applyAlignment="1" applyProtection="1">
      <alignment horizontal="center" vertical="center"/>
      <protection hidden="1"/>
    </xf>
    <xf numFmtId="0" fontId="3" fillId="0" borderId="17" xfId="4" applyFont="1" applyFill="1" applyBorder="1" applyAlignment="1" applyProtection="1">
      <alignment vertical="center"/>
      <protection hidden="1"/>
    </xf>
    <xf numFmtId="0" fontId="3" fillId="0" borderId="35" xfId="4" applyFont="1" applyFill="1" applyBorder="1" applyAlignment="1" applyProtection="1">
      <alignment vertical="center"/>
      <protection hidden="1"/>
    </xf>
    <xf numFmtId="0" fontId="3" fillId="0" borderId="12" xfId="4" applyFont="1" applyBorder="1" applyAlignment="1" applyProtection="1">
      <alignment horizontal="center" vertical="center"/>
      <protection hidden="1"/>
    </xf>
    <xf numFmtId="169" fontId="3" fillId="0" borderId="12" xfId="4" applyNumberFormat="1" applyFont="1" applyBorder="1" applyAlignment="1" applyProtection="1">
      <alignment horizontal="center" vertical="center"/>
      <protection hidden="1"/>
    </xf>
    <xf numFmtId="171" fontId="3" fillId="7" borderId="12" xfId="4" applyNumberFormat="1" applyFont="1" applyFill="1" applyBorder="1" applyAlignment="1" applyProtection="1">
      <alignment horizontal="center" vertical="center"/>
      <protection hidden="1"/>
    </xf>
    <xf numFmtId="44" fontId="3" fillId="7" borderId="12" xfId="2" applyFont="1" applyFill="1" applyBorder="1" applyAlignment="1" applyProtection="1">
      <alignment horizontal="center" vertical="center"/>
      <protection hidden="1"/>
    </xf>
    <xf numFmtId="44" fontId="3" fillId="7" borderId="12" xfId="2" applyFont="1" applyFill="1" applyBorder="1" applyAlignment="1" applyProtection="1">
      <alignment horizontal="right" vertical="center"/>
      <protection hidden="1"/>
    </xf>
    <xf numFmtId="164" fontId="3" fillId="0" borderId="17" xfId="4" applyNumberFormat="1" applyFont="1" applyBorder="1" applyAlignment="1" applyProtection="1">
      <alignment horizontal="center" vertical="center"/>
      <protection hidden="1"/>
    </xf>
    <xf numFmtId="9" fontId="3" fillId="0" borderId="17" xfId="9" applyNumberFormat="1" applyFont="1" applyFill="1" applyBorder="1" applyAlignment="1" applyProtection="1">
      <alignment horizontal="center" vertical="center"/>
      <protection hidden="1"/>
    </xf>
    <xf numFmtId="164" fontId="3" fillId="0" borderId="17" xfId="4" applyNumberFormat="1" applyFont="1" applyFill="1" applyBorder="1" applyAlignment="1" applyProtection="1">
      <alignment horizontal="center" vertical="center"/>
      <protection hidden="1"/>
    </xf>
    <xf numFmtId="0" fontId="3" fillId="0" borderId="0" xfId="4" applyFont="1" applyFill="1" applyBorder="1" applyAlignment="1" applyProtection="1">
      <alignment vertical="center"/>
      <protection hidden="1"/>
    </xf>
    <xf numFmtId="0" fontId="3" fillId="0" borderId="17" xfId="4" applyFont="1" applyBorder="1" applyAlignment="1" applyProtection="1">
      <alignment horizontal="center" vertical="center"/>
      <protection hidden="1"/>
    </xf>
    <xf numFmtId="169" fontId="3" fillId="0" borderId="17" xfId="4" applyNumberFormat="1" applyFont="1" applyBorder="1" applyAlignment="1" applyProtection="1">
      <alignment horizontal="center" vertical="center"/>
      <protection hidden="1"/>
    </xf>
    <xf numFmtId="2" fontId="3" fillId="0" borderId="17" xfId="5" applyNumberFormat="1" applyFont="1" applyFill="1" applyBorder="1" applyAlignment="1" applyProtection="1">
      <alignment horizontal="center" vertical="center" wrapText="1"/>
      <protection hidden="1"/>
    </xf>
    <xf numFmtId="171" fontId="3" fillId="7" borderId="17" xfId="4" applyNumberFormat="1" applyFont="1" applyFill="1" applyBorder="1" applyAlignment="1" applyProtection="1">
      <alignment horizontal="center" vertical="center"/>
      <protection hidden="1"/>
    </xf>
    <xf numFmtId="44" fontId="3" fillId="7" borderId="17" xfId="2" applyFont="1" applyFill="1" applyBorder="1" applyAlignment="1" applyProtection="1">
      <alignment horizontal="center" vertical="center"/>
      <protection hidden="1"/>
    </xf>
    <xf numFmtId="44" fontId="3" fillId="7" borderId="17" xfId="2" applyFont="1" applyFill="1" applyBorder="1" applyAlignment="1" applyProtection="1">
      <alignment horizontal="right" vertical="center"/>
      <protection hidden="1"/>
    </xf>
    <xf numFmtId="2" fontId="14" fillId="0" borderId="25" xfId="5" applyNumberFormat="1" applyFont="1" applyFill="1" applyBorder="1" applyAlignment="1" applyProtection="1">
      <alignment horizontal="center" vertical="center" wrapText="1"/>
      <protection hidden="1"/>
    </xf>
    <xf numFmtId="169" fontId="3" fillId="0" borderId="25" xfId="4" applyNumberFormat="1" applyFont="1" applyBorder="1" applyAlignment="1" applyProtection="1">
      <alignment horizontal="center" vertical="center"/>
      <protection hidden="1"/>
    </xf>
    <xf numFmtId="2" fontId="3" fillId="0" borderId="25" xfId="5" applyNumberFormat="1" applyFont="1" applyFill="1" applyBorder="1" applyAlignment="1" applyProtection="1">
      <alignment horizontal="center" vertical="center" wrapText="1"/>
      <protection hidden="1"/>
    </xf>
    <xf numFmtId="9" fontId="3" fillId="0" borderId="25" xfId="3" applyFont="1" applyFill="1" applyBorder="1" applyAlignment="1" applyProtection="1">
      <alignment horizontal="center" vertical="center"/>
      <protection hidden="1"/>
    </xf>
    <xf numFmtId="167" fontId="3" fillId="0" borderId="25" xfId="4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/>
    <xf numFmtId="0" fontId="11" fillId="0" borderId="12" xfId="4" applyFont="1" applyFill="1" applyBorder="1" applyAlignment="1" applyProtection="1">
      <alignment horizontal="center" vertical="center"/>
      <protection hidden="1"/>
    </xf>
    <xf numFmtId="0" fontId="3" fillId="0" borderId="77" xfId="4" applyFont="1" applyBorder="1" applyAlignment="1" applyProtection="1">
      <alignment horizontal="center" vertical="center"/>
      <protection hidden="1"/>
    </xf>
    <xf numFmtId="167" fontId="3" fillId="0" borderId="17" xfId="4" applyNumberFormat="1" applyFont="1" applyBorder="1" applyAlignment="1" applyProtection="1">
      <alignment horizontal="center" vertical="center" wrapText="1"/>
      <protection hidden="1"/>
    </xf>
    <xf numFmtId="0" fontId="1" fillId="0" borderId="13" xfId="0" applyFont="1" applyBorder="1"/>
    <xf numFmtId="164" fontId="3" fillId="0" borderId="67" xfId="4" applyNumberFormat="1" applyFont="1" applyFill="1" applyBorder="1" applyAlignment="1" applyProtection="1">
      <alignment horizontal="center" vertical="center"/>
      <protection hidden="1"/>
    </xf>
    <xf numFmtId="0" fontId="3" fillId="0" borderId="75" xfId="4" applyFont="1" applyBorder="1" applyAlignment="1" applyProtection="1">
      <alignment horizontal="center" vertical="center"/>
      <protection hidden="1"/>
    </xf>
    <xf numFmtId="171" fontId="3" fillId="7" borderId="25" xfId="4" applyNumberFormat="1" applyFont="1" applyFill="1" applyBorder="1" applyAlignment="1" applyProtection="1">
      <alignment horizontal="center" vertical="center"/>
      <protection hidden="1"/>
    </xf>
    <xf numFmtId="44" fontId="3" fillId="7" borderId="25" xfId="2" applyFont="1" applyFill="1" applyBorder="1" applyAlignment="1" applyProtection="1">
      <alignment horizontal="center" vertical="center"/>
      <protection hidden="1"/>
    </xf>
    <xf numFmtId="164" fontId="3" fillId="0" borderId="71" xfId="4" applyNumberFormat="1" applyFont="1" applyFill="1" applyBorder="1" applyAlignment="1" applyProtection="1">
      <alignment horizontal="center" vertical="center"/>
      <protection hidden="1"/>
    </xf>
    <xf numFmtId="0" fontId="3" fillId="0" borderId="25" xfId="4" applyFont="1" applyBorder="1" applyAlignment="1" applyProtection="1">
      <alignment horizontal="center" vertical="center"/>
      <protection hidden="1"/>
    </xf>
    <xf numFmtId="167" fontId="3" fillId="0" borderId="25" xfId="4" applyNumberFormat="1" applyFont="1" applyBorder="1" applyAlignment="1" applyProtection="1">
      <alignment horizontal="center" vertical="center" wrapText="1"/>
      <protection hidden="1"/>
    </xf>
    <xf numFmtId="44" fontId="1" fillId="0" borderId="0" xfId="0" applyNumberFormat="1" applyFont="1"/>
    <xf numFmtId="9" fontId="11" fillId="0" borderId="62" xfId="3" applyFont="1" applyFill="1" applyBorder="1" applyAlignment="1" applyProtection="1">
      <alignment horizontal="center" vertical="center"/>
      <protection hidden="1"/>
    </xf>
    <xf numFmtId="44" fontId="1" fillId="0" borderId="0" xfId="2" applyFont="1"/>
    <xf numFmtId="0" fontId="3" fillId="0" borderId="76" xfId="4" applyFont="1" applyBorder="1" applyAlignment="1" applyProtection="1">
      <alignment horizontal="center" vertical="center"/>
      <protection hidden="1"/>
    </xf>
    <xf numFmtId="0" fontId="3" fillId="0" borderId="25" xfId="4" applyFont="1" applyFill="1" applyBorder="1" applyAlignment="1" applyProtection="1">
      <alignment vertical="center"/>
      <protection hidden="1"/>
    </xf>
    <xf numFmtId="0" fontId="3" fillId="0" borderId="34" xfId="4" applyFont="1" applyFill="1" applyBorder="1" applyAlignment="1" applyProtection="1">
      <alignment vertical="center"/>
      <protection hidden="1"/>
    </xf>
    <xf numFmtId="168" fontId="1" fillId="0" borderId="0" xfId="0" applyNumberFormat="1" applyFont="1"/>
    <xf numFmtId="167" fontId="1" fillId="0" borderId="0" xfId="0" applyNumberFormat="1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64" fontId="3" fillId="0" borderId="25" xfId="4" applyNumberFormat="1" applyFont="1" applyFill="1" applyBorder="1" applyAlignment="1" applyProtection="1">
      <alignment horizontal="center" vertical="center"/>
      <protection hidden="1"/>
    </xf>
    <xf numFmtId="3" fontId="1" fillId="0" borderId="0" xfId="0" applyNumberFormat="1" applyFont="1"/>
    <xf numFmtId="171" fontId="3" fillId="0" borderId="25" xfId="4" applyNumberFormat="1" applyFont="1" applyFill="1" applyBorder="1" applyAlignment="1" applyProtection="1">
      <alignment horizontal="center" vertical="center"/>
      <protection hidden="1"/>
    </xf>
    <xf numFmtId="9" fontId="1" fillId="0" borderId="0" xfId="0" applyNumberFormat="1" applyFont="1"/>
    <xf numFmtId="0" fontId="11" fillId="0" borderId="6" xfId="4" applyFont="1" applyFill="1" applyBorder="1" applyAlignment="1" applyProtection="1">
      <alignment horizontal="center" vertical="center"/>
      <protection hidden="1"/>
    </xf>
    <xf numFmtId="0" fontId="11" fillId="0" borderId="7" xfId="4" applyFont="1" applyFill="1" applyBorder="1" applyAlignment="1" applyProtection="1">
      <alignment horizontal="center" vertical="center"/>
      <protection hidden="1"/>
    </xf>
    <xf numFmtId="0" fontId="14" fillId="0" borderId="12" xfId="4" quotePrefix="1" applyNumberFormat="1" applyFont="1" applyFill="1" applyBorder="1" applyAlignment="1" applyProtection="1">
      <alignment horizontal="center" vertical="center"/>
      <protection hidden="1"/>
    </xf>
    <xf numFmtId="43" fontId="3" fillId="0" borderId="12" xfId="1" applyFont="1" applyFill="1" applyBorder="1" applyAlignment="1" applyProtection="1">
      <alignment vertical="center"/>
      <protection hidden="1"/>
    </xf>
    <xf numFmtId="0" fontId="7" fillId="12" borderId="71" xfId="5" applyFont="1" applyFill="1" applyBorder="1" applyAlignment="1">
      <alignment horizontal="center" vertical="center"/>
    </xf>
    <xf numFmtId="44" fontId="3" fillId="13" borderId="13" xfId="2" applyFont="1" applyFill="1" applyBorder="1"/>
    <xf numFmtId="0" fontId="14" fillId="0" borderId="17" xfId="4" quotePrefix="1" applyNumberFormat="1" applyFont="1" applyFill="1" applyBorder="1" applyAlignment="1" applyProtection="1">
      <alignment horizontal="center" vertical="center"/>
      <protection hidden="1"/>
    </xf>
    <xf numFmtId="43" fontId="3" fillId="0" borderId="17" xfId="1" applyFont="1" applyFill="1" applyBorder="1" applyAlignment="1" applyProtection="1">
      <alignment vertical="center"/>
      <protection hidden="1"/>
    </xf>
    <xf numFmtId="0" fontId="3" fillId="0" borderId="12" xfId="4" applyFont="1" applyFill="1" applyBorder="1" applyAlignment="1" applyProtection="1">
      <alignment horizontal="center" vertical="center"/>
      <protection hidden="1"/>
    </xf>
    <xf numFmtId="3" fontId="3" fillId="0" borderId="68" xfId="8" applyNumberFormat="1" applyFont="1" applyFill="1" applyBorder="1"/>
    <xf numFmtId="3" fontId="3" fillId="0" borderId="19" xfId="8" applyNumberFormat="1" applyFont="1" applyFill="1" applyBorder="1"/>
    <xf numFmtId="3" fontId="3" fillId="0" borderId="20" xfId="8" applyNumberFormat="1" applyFont="1" applyFill="1" applyBorder="1"/>
    <xf numFmtId="0" fontId="3" fillId="0" borderId="17" xfId="4" applyFont="1" applyFill="1" applyBorder="1" applyAlignment="1" applyProtection="1">
      <alignment horizontal="center" vertical="center"/>
      <protection hidden="1"/>
    </xf>
    <xf numFmtId="1" fontId="14" fillId="0" borderId="17" xfId="4" applyNumberFormat="1" applyFont="1" applyBorder="1" applyAlignment="1" applyProtection="1">
      <alignment horizontal="center" vertical="center" wrapText="1"/>
      <protection hidden="1"/>
    </xf>
    <xf numFmtId="0" fontId="7" fillId="9" borderId="71" xfId="5" applyFont="1" applyFill="1" applyBorder="1" applyAlignment="1" applyProtection="1">
      <alignment horizontal="center"/>
      <protection hidden="1"/>
    </xf>
    <xf numFmtId="3" fontId="3" fillId="0" borderId="69" xfId="8" applyNumberFormat="1" applyFont="1" applyFill="1" applyBorder="1"/>
    <xf numFmtId="3" fontId="3" fillId="0" borderId="22" xfId="8" applyNumberFormat="1" applyFont="1" applyFill="1" applyBorder="1"/>
    <xf numFmtId="3" fontId="3" fillId="0" borderId="23" xfId="8" applyNumberFormat="1" applyFont="1" applyFill="1" applyBorder="1"/>
    <xf numFmtId="1" fontId="3" fillId="0" borderId="25" xfId="4" applyNumberFormat="1" applyFont="1" applyBorder="1" applyAlignment="1" applyProtection="1">
      <alignment horizontal="center" vertical="center"/>
      <protection hidden="1"/>
    </xf>
    <xf numFmtId="9" fontId="14" fillId="0" borderId="17" xfId="4" quotePrefix="1" applyNumberFormat="1" applyFont="1" applyBorder="1" applyAlignment="1" applyProtection="1">
      <alignment horizontal="center" vertical="center" wrapText="1"/>
      <protection hidden="1"/>
    </xf>
    <xf numFmtId="2" fontId="14" fillId="0" borderId="17" xfId="4" applyNumberFormat="1" applyFont="1" applyBorder="1" applyAlignment="1" applyProtection="1">
      <alignment horizontal="center" vertical="center" wrapText="1"/>
      <protection hidden="1"/>
    </xf>
    <xf numFmtId="2" fontId="14" fillId="0" borderId="25" xfId="4" applyNumberFormat="1" applyFont="1" applyBorder="1" applyAlignment="1" applyProtection="1">
      <alignment horizontal="center" vertical="center" wrapText="1"/>
      <protection hidden="1"/>
    </xf>
    <xf numFmtId="43" fontId="14" fillId="0" borderId="17" xfId="1" applyFont="1" applyFill="1" applyBorder="1" applyAlignment="1" applyProtection="1">
      <alignment vertical="center"/>
      <protection hidden="1"/>
    </xf>
    <xf numFmtId="171" fontId="3" fillId="0" borderId="12" xfId="4" applyNumberFormat="1" applyFont="1" applyFill="1" applyBorder="1" applyAlignment="1" applyProtection="1">
      <alignment horizontal="center" vertical="center"/>
      <protection hidden="1"/>
    </xf>
    <xf numFmtId="44" fontId="3" fillId="0" borderId="12" xfId="2" applyFont="1" applyFill="1" applyBorder="1" applyAlignment="1" applyProtection="1">
      <alignment horizontal="center" vertical="center"/>
      <protection hidden="1"/>
    </xf>
    <xf numFmtId="44" fontId="3" fillId="0" borderId="17" xfId="2" applyFont="1" applyFill="1" applyBorder="1" applyAlignment="1" applyProtection="1">
      <alignment horizontal="center" vertical="center"/>
      <protection hidden="1"/>
    </xf>
    <xf numFmtId="3" fontId="3" fillId="0" borderId="70" xfId="8" applyNumberFormat="1" applyFont="1" applyFill="1" applyBorder="1"/>
    <xf numFmtId="3" fontId="3" fillId="0" borderId="28" xfId="8" applyNumberFormat="1" applyFont="1" applyFill="1" applyBorder="1"/>
    <xf numFmtId="3" fontId="3" fillId="0" borderId="29" xfId="8" applyNumberFormat="1" applyFont="1" applyFill="1" applyBorder="1"/>
    <xf numFmtId="3" fontId="11" fillId="0" borderId="68" xfId="8" applyNumberFormat="1" applyFont="1" applyFill="1" applyBorder="1"/>
    <xf numFmtId="3" fontId="11" fillId="0" borderId="19" xfId="8" applyNumberFormat="1" applyFont="1" applyFill="1" applyBorder="1"/>
    <xf numFmtId="3" fontId="11" fillId="0" borderId="20" xfId="8" applyNumberFormat="1" applyFont="1" applyFill="1" applyBorder="1"/>
    <xf numFmtId="3" fontId="11" fillId="0" borderId="69" xfId="8" applyNumberFormat="1" applyFont="1" applyFill="1" applyBorder="1"/>
    <xf numFmtId="3" fontId="11" fillId="0" borderId="22" xfId="8" applyNumberFormat="1" applyFont="1" applyFill="1" applyBorder="1"/>
    <xf numFmtId="3" fontId="11" fillId="0" borderId="23" xfId="8" applyNumberFormat="1" applyFont="1" applyFill="1" applyBorder="1"/>
    <xf numFmtId="3" fontId="11" fillId="0" borderId="70" xfId="8" applyNumberFormat="1" applyFont="1" applyFill="1" applyBorder="1"/>
    <xf numFmtId="3" fontId="11" fillId="0" borderId="28" xfId="8" applyNumberFormat="1" applyFont="1" applyFill="1" applyBorder="1"/>
    <xf numFmtId="3" fontId="11" fillId="0" borderId="29" xfId="8" applyNumberFormat="1" applyFont="1" applyFill="1" applyBorder="1"/>
    <xf numFmtId="44" fontId="3" fillId="0" borderId="25" xfId="2" applyFont="1" applyFill="1" applyBorder="1" applyAlignment="1" applyProtection="1">
      <alignment horizontal="center" vertical="center"/>
      <protection hidden="1"/>
    </xf>
    <xf numFmtId="0" fontId="14" fillId="0" borderId="25" xfId="4" applyFont="1" applyFill="1" applyBorder="1" applyAlignment="1" applyProtection="1">
      <alignment horizontal="center" vertical="center"/>
      <protection hidden="1"/>
    </xf>
    <xf numFmtId="43" fontId="3" fillId="0" borderId="25" xfId="1" applyFont="1" applyFill="1" applyBorder="1" applyAlignment="1" applyProtection="1">
      <alignment vertical="center"/>
      <protection hidden="1"/>
    </xf>
    <xf numFmtId="0" fontId="1" fillId="0" borderId="21" xfId="0" applyFont="1" applyBorder="1"/>
    <xf numFmtId="0" fontId="8" fillId="0" borderId="4" xfId="0" applyFont="1" applyBorder="1" applyAlignment="1">
      <alignment horizontal="center"/>
    </xf>
    <xf numFmtId="0" fontId="3" fillId="0" borderId="51" xfId="4" applyFont="1" applyFill="1" applyBorder="1"/>
    <xf numFmtId="0" fontId="1" fillId="0" borderId="21" xfId="0" applyFont="1" applyBorder="1" applyAlignment="1">
      <alignment horizontal="center"/>
    </xf>
    <xf numFmtId="0" fontId="1" fillId="0" borderId="0" xfId="0" quotePrefix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14" xfId="4" applyFont="1" applyFill="1" applyBorder="1"/>
    <xf numFmtId="0" fontId="1" fillId="0" borderId="30" xfId="0" applyFont="1" applyBorder="1" applyAlignment="1">
      <alignment horizontal="center"/>
    </xf>
    <xf numFmtId="0" fontId="3" fillId="0" borderId="30" xfId="4" applyFont="1" applyFill="1" applyBorder="1"/>
    <xf numFmtId="0" fontId="11" fillId="0" borderId="4" xfId="4" applyFont="1" applyFill="1" applyBorder="1" applyAlignment="1" applyProtection="1">
      <alignment horizontal="center" vertical="center"/>
      <protection hidden="1"/>
    </xf>
    <xf numFmtId="0" fontId="11" fillId="0" borderId="11" xfId="4" applyFont="1" applyFill="1" applyBorder="1" applyAlignment="1" applyProtection="1">
      <alignment horizontal="center" vertical="center"/>
      <protection hidden="1"/>
    </xf>
    <xf numFmtId="0" fontId="3" fillId="0" borderId="14" xfId="4" applyFont="1" applyFill="1" applyBorder="1" applyAlignment="1" applyProtection="1">
      <alignment horizontal="center" vertical="center"/>
      <protection hidden="1"/>
    </xf>
    <xf numFmtId="0" fontId="3" fillId="0" borderId="42" xfId="4" applyFont="1" applyFill="1" applyBorder="1" applyAlignment="1" applyProtection="1">
      <alignment horizontal="center" vertical="center"/>
      <protection hidden="1"/>
    </xf>
    <xf numFmtId="0" fontId="3" fillId="0" borderId="16" xfId="4" applyFont="1" applyFill="1" applyBorder="1" applyAlignment="1" applyProtection="1">
      <alignment horizontal="center" vertical="center" wrapText="1"/>
      <protection hidden="1"/>
    </xf>
    <xf numFmtId="0" fontId="3" fillId="0" borderId="16" xfId="4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>
      <alignment horizontal="center"/>
    </xf>
    <xf numFmtId="0" fontId="3" fillId="0" borderId="30" xfId="4" applyFont="1" applyFill="1" applyBorder="1" applyAlignment="1" applyProtection="1">
      <alignment horizontal="center" vertical="center"/>
      <protection hidden="1"/>
    </xf>
    <xf numFmtId="0" fontId="3" fillId="0" borderId="33" xfId="4" applyFont="1" applyFill="1" applyBorder="1" applyAlignment="1" applyProtection="1">
      <alignment horizontal="center" vertical="center" wrapText="1"/>
      <protection hidden="1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173" fontId="3" fillId="0" borderId="42" xfId="4" applyNumberFormat="1" applyFont="1" applyFill="1" applyBorder="1"/>
    <xf numFmtId="173" fontId="3" fillId="0" borderId="16" xfId="4" applyNumberFormat="1" applyFont="1" applyFill="1" applyBorder="1"/>
    <xf numFmtId="173" fontId="3" fillId="0" borderId="33" xfId="4" applyNumberFormat="1" applyFont="1" applyFill="1" applyBorder="1"/>
    <xf numFmtId="9" fontId="3" fillId="0" borderId="33" xfId="4" applyNumberFormat="1" applyFont="1" applyFill="1" applyBorder="1"/>
    <xf numFmtId="0" fontId="8" fillId="0" borderId="15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" fillId="0" borderId="21" xfId="0" quotePrefix="1" applyFont="1" applyBorder="1" applyAlignment="1">
      <alignment horizontal="center"/>
    </xf>
    <xf numFmtId="164" fontId="3" fillId="0" borderId="78" xfId="4" applyNumberFormat="1" applyFont="1" applyBorder="1" applyAlignment="1" applyProtection="1">
      <alignment horizontal="center" vertical="center"/>
      <protection hidden="1"/>
    </xf>
    <xf numFmtId="164" fontId="3" fillId="0" borderId="79" xfId="4" applyNumberFormat="1" applyFont="1" applyBorder="1" applyAlignment="1" applyProtection="1">
      <alignment horizontal="center" vertical="center"/>
      <protection hidden="1"/>
    </xf>
    <xf numFmtId="164" fontId="3" fillId="0" borderId="80" xfId="4" applyNumberFormat="1" applyFont="1" applyBorder="1" applyAlignment="1" applyProtection="1">
      <alignment horizontal="center" vertical="center"/>
      <protection hidden="1"/>
    </xf>
    <xf numFmtId="164" fontId="3" fillId="0" borderId="62" xfId="4" applyNumberFormat="1" applyFont="1" applyFill="1" applyBorder="1" applyAlignment="1" applyProtection="1">
      <alignment horizontal="center" vertical="center"/>
      <protection hidden="1"/>
    </xf>
    <xf numFmtId="164" fontId="3" fillId="0" borderId="12" xfId="5" applyNumberFormat="1" applyFont="1" applyFill="1" applyBorder="1"/>
    <xf numFmtId="164" fontId="3" fillId="0" borderId="17" xfId="5" applyNumberFormat="1" applyFont="1" applyFill="1" applyBorder="1"/>
    <xf numFmtId="164" fontId="3" fillId="0" borderId="17" xfId="4" applyNumberFormat="1" applyFont="1" applyFill="1" applyBorder="1" applyAlignment="1" applyProtection="1">
      <alignment vertical="center"/>
      <protection hidden="1"/>
    </xf>
    <xf numFmtId="164" fontId="11" fillId="0" borderId="17" xfId="5" applyNumberFormat="1" applyFont="1" applyFill="1" applyBorder="1"/>
    <xf numFmtId="164" fontId="3" fillId="0" borderId="25" xfId="4" applyNumberFormat="1" applyFont="1" applyFill="1" applyBorder="1" applyAlignment="1" applyProtection="1">
      <alignment vertical="center"/>
      <protection hidden="1"/>
    </xf>
    <xf numFmtId="0" fontId="15" fillId="0" borderId="17" xfId="4" applyFont="1" applyBorder="1" applyAlignment="1" applyProtection="1">
      <alignment horizontal="center" vertical="center"/>
      <protection hidden="1"/>
    </xf>
    <xf numFmtId="3" fontId="3" fillId="0" borderId="12" xfId="4" applyNumberFormat="1" applyFont="1" applyBorder="1" applyAlignment="1" applyProtection="1">
      <alignment horizontal="center" vertical="center"/>
      <protection hidden="1"/>
    </xf>
    <xf numFmtId="3" fontId="3" fillId="0" borderId="17" xfId="4" applyNumberFormat="1" applyFont="1" applyBorder="1" applyAlignment="1" applyProtection="1">
      <alignment horizontal="center" vertical="center"/>
      <protection hidden="1"/>
    </xf>
    <xf numFmtId="3" fontId="3" fillId="0" borderId="17" xfId="4" applyNumberFormat="1" applyFont="1" applyFill="1" applyBorder="1" applyAlignment="1" applyProtection="1">
      <alignment horizontal="center" vertical="center"/>
      <protection hidden="1"/>
    </xf>
    <xf numFmtId="3" fontId="3" fillId="0" borderId="25" xfId="4" applyNumberFormat="1" applyFont="1" applyFill="1" applyBorder="1" applyAlignment="1" applyProtection="1">
      <alignment horizontal="center" vertical="center"/>
      <protection hidden="1"/>
    </xf>
    <xf numFmtId="2" fontId="17" fillId="0" borderId="25" xfId="5" applyNumberFormat="1" applyFont="1" applyFill="1" applyBorder="1" applyAlignment="1" applyProtection="1">
      <alignment horizontal="center" vertical="center" wrapText="1"/>
      <protection hidden="1"/>
    </xf>
    <xf numFmtId="0" fontId="7" fillId="14" borderId="9" xfId="0" applyFont="1" applyFill="1" applyBorder="1" applyAlignment="1">
      <alignment horizontal="center" vertical="center"/>
    </xf>
    <xf numFmtId="0" fontId="1" fillId="0" borderId="41" xfId="0" applyFont="1" applyBorder="1" applyAlignment="1" applyProtection="1">
      <alignment horizontal="center" vertical="center"/>
      <protection locked="0"/>
    </xf>
    <xf numFmtId="0" fontId="1" fillId="0" borderId="85" xfId="0" applyFont="1" applyBorder="1" applyAlignment="1" applyProtection="1">
      <alignment horizontal="center" vertical="center"/>
      <protection locked="0"/>
    </xf>
    <xf numFmtId="0" fontId="7" fillId="14" borderId="4" xfId="0" applyFont="1" applyFill="1" applyBorder="1" applyAlignment="1">
      <alignment vertical="center"/>
    </xf>
    <xf numFmtId="44" fontId="1" fillId="3" borderId="49" xfId="2" applyFont="1" applyFill="1" applyBorder="1"/>
    <xf numFmtId="44" fontId="1" fillId="3" borderId="81" xfId="2" applyFont="1" applyFill="1" applyBorder="1"/>
    <xf numFmtId="0" fontId="1" fillId="3" borderId="44" xfId="0" applyFont="1" applyFill="1" applyBorder="1"/>
    <xf numFmtId="44" fontId="1" fillId="3" borderId="46" xfId="2" applyFont="1" applyFill="1" applyBorder="1"/>
    <xf numFmtId="9" fontId="16" fillId="0" borderId="25" xfId="4" quotePrefix="1" applyNumberFormat="1" applyFont="1" applyBorder="1" applyAlignment="1" applyProtection="1">
      <alignment horizontal="center" vertical="center" wrapText="1"/>
      <protection hidden="1"/>
    </xf>
    <xf numFmtId="0" fontId="3" fillId="0" borderId="0" xfId="4" applyFont="1" applyFill="1" applyBorder="1"/>
    <xf numFmtId="9" fontId="3" fillId="0" borderId="0" xfId="4" applyNumberFormat="1" applyFont="1" applyFill="1" applyBorder="1"/>
    <xf numFmtId="9" fontId="0" fillId="0" borderId="0" xfId="0" applyNumberFormat="1"/>
    <xf numFmtId="174" fontId="0" fillId="0" borderId="0" xfId="1" applyNumberFormat="1" applyFont="1"/>
    <xf numFmtId="166" fontId="0" fillId="0" borderId="0" xfId="0" applyNumberFormat="1"/>
    <xf numFmtId="43" fontId="3" fillId="0" borderId="71" xfId="1" applyFont="1" applyFill="1" applyBorder="1" applyAlignment="1" applyProtection="1">
      <alignment horizontal="center" vertical="center"/>
      <protection hidden="1"/>
    </xf>
    <xf numFmtId="43" fontId="3" fillId="16" borderId="17" xfId="1" applyFont="1" applyFill="1" applyBorder="1" applyAlignment="1" applyProtection="1">
      <alignment vertical="center"/>
      <protection hidden="1"/>
    </xf>
    <xf numFmtId="0" fontId="0" fillId="0" borderId="0" xfId="0" applyFont="1" applyAlignment="1"/>
    <xf numFmtId="0" fontId="0" fillId="0" borderId="36" xfId="0" applyFont="1" applyBorder="1" applyAlignment="1"/>
    <xf numFmtId="43" fontId="2" fillId="0" borderId="36" xfId="1" applyFont="1" applyBorder="1" applyAlignment="1" applyProtection="1"/>
    <xf numFmtId="0" fontId="2" fillId="0" borderId="36" xfId="0" applyFont="1" applyBorder="1" applyAlignment="1"/>
    <xf numFmtId="43" fontId="0" fillId="0" borderId="36" xfId="0" applyNumberFormat="1" applyFont="1" applyBorder="1" applyAlignment="1"/>
    <xf numFmtId="0" fontId="7" fillId="17" borderId="36" xfId="0" applyFont="1" applyFill="1" applyBorder="1" applyAlignment="1" applyProtection="1">
      <alignment horizontal="center" vertical="center"/>
      <protection hidden="1"/>
    </xf>
    <xf numFmtId="0" fontId="8" fillId="0" borderId="4" xfId="0" applyFont="1" applyBorder="1" applyAlignment="1"/>
    <xf numFmtId="0" fontId="1" fillId="0" borderId="0" xfId="0" applyFont="1" applyAlignment="1"/>
    <xf numFmtId="0" fontId="0" fillId="0" borderId="44" xfId="0" applyFont="1" applyBorder="1" applyAlignment="1"/>
    <xf numFmtId="0" fontId="1" fillId="0" borderId="43" xfId="0" applyFont="1" applyBorder="1" applyAlignment="1"/>
    <xf numFmtId="0" fontId="0" fillId="0" borderId="84" xfId="0" applyFont="1" applyBorder="1" applyAlignment="1"/>
    <xf numFmtId="0" fontId="1" fillId="0" borderId="11" xfId="0" applyFont="1" applyBorder="1" applyAlignment="1"/>
    <xf numFmtId="0" fontId="7" fillId="17" borderId="4" xfId="0" applyFont="1" applyFill="1" applyBorder="1" applyAlignment="1" applyProtection="1">
      <alignment vertical="center"/>
      <protection hidden="1"/>
    </xf>
    <xf numFmtId="0" fontId="7" fillId="17" borderId="49" xfId="0" applyFont="1" applyFill="1" applyBorder="1" applyAlignment="1" applyProtection="1">
      <alignment horizontal="center" vertical="center"/>
      <protection hidden="1"/>
    </xf>
    <xf numFmtId="0" fontId="7" fillId="17" borderId="50" xfId="0" applyFont="1" applyFill="1" applyBorder="1" applyAlignment="1" applyProtection="1">
      <alignment horizontal="center" vertical="center"/>
      <protection hidden="1"/>
    </xf>
    <xf numFmtId="0" fontId="7" fillId="17" borderId="4" xfId="0" applyFont="1" applyFill="1" applyBorder="1" applyAlignment="1" applyProtection="1">
      <alignment horizontal="center" vertical="center"/>
      <protection hidden="1"/>
    </xf>
    <xf numFmtId="0" fontId="7" fillId="14" borderId="45" xfId="0" applyFont="1" applyFill="1" applyBorder="1" applyAlignment="1">
      <alignment vertical="center"/>
    </xf>
    <xf numFmtId="0" fontId="7" fillId="14" borderId="88" xfId="0" applyFont="1" applyFill="1" applyBorder="1" applyAlignment="1">
      <alignment vertical="center"/>
    </xf>
    <xf numFmtId="0" fontId="7" fillId="14" borderId="39" xfId="0" applyFont="1" applyFill="1" applyBorder="1" applyAlignment="1">
      <alignment vertical="center"/>
    </xf>
    <xf numFmtId="0" fontId="7" fillId="14" borderId="55" xfId="0" applyFont="1" applyFill="1" applyBorder="1" applyAlignment="1">
      <alignment vertical="center"/>
    </xf>
    <xf numFmtId="0" fontId="7" fillId="14" borderId="92" xfId="0" applyFont="1" applyFill="1" applyBorder="1" applyAlignment="1">
      <alignment vertical="center"/>
    </xf>
    <xf numFmtId="0" fontId="1" fillId="0" borderId="72" xfId="0" applyFont="1" applyBorder="1" applyAlignment="1" applyProtection="1">
      <alignment horizontal="center" vertical="center"/>
      <protection locked="0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73" xfId="0" applyFont="1" applyBorder="1" applyAlignment="1" applyProtection="1">
      <alignment horizontal="center" vertical="center"/>
      <protection locked="0"/>
    </xf>
    <xf numFmtId="0" fontId="1" fillId="14" borderId="9" xfId="0" applyFont="1" applyFill="1" applyBorder="1" applyAlignment="1">
      <alignment vertical="center"/>
    </xf>
    <xf numFmtId="0" fontId="1" fillId="0" borderId="57" xfId="2" applyNumberFormat="1" applyFont="1" applyBorder="1" applyAlignment="1" applyProtection="1">
      <alignment horizontal="left" vertical="center"/>
      <protection locked="0"/>
    </xf>
    <xf numFmtId="172" fontId="1" fillId="0" borderId="57" xfId="2" applyNumberFormat="1" applyFont="1" applyBorder="1" applyAlignment="1" applyProtection="1">
      <alignment horizontal="left" vertical="center"/>
      <protection locked="0"/>
    </xf>
    <xf numFmtId="0" fontId="1" fillId="0" borderId="58" xfId="2" applyNumberFormat="1" applyFont="1" applyBorder="1" applyAlignment="1" applyProtection="1">
      <alignment horizontal="left" vertical="center"/>
      <protection locked="0"/>
    </xf>
    <xf numFmtId="0" fontId="1" fillId="0" borderId="94" xfId="2" applyNumberFormat="1" applyFont="1" applyBorder="1" applyAlignment="1" applyProtection="1">
      <alignment horizontal="left" vertical="center"/>
      <protection locked="0"/>
    </xf>
    <xf numFmtId="0" fontId="1" fillId="0" borderId="45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0" fontId="1" fillId="0" borderId="94" xfId="0" applyFont="1" applyBorder="1" applyAlignment="1" applyProtection="1">
      <alignment vertical="center"/>
      <protection locked="0"/>
    </xf>
    <xf numFmtId="0" fontId="1" fillId="0" borderId="30" xfId="0" applyFont="1" applyBorder="1" applyAlignment="1" applyProtection="1">
      <alignment vertical="center"/>
      <protection locked="0"/>
    </xf>
    <xf numFmtId="0" fontId="1" fillId="0" borderId="9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14" fontId="9" fillId="6" borderId="0" xfId="0" applyNumberFormat="1" applyFont="1" applyFill="1" applyAlignment="1" applyProtection="1">
      <alignment vertical="center"/>
      <protection hidden="1"/>
    </xf>
    <xf numFmtId="0" fontId="9" fillId="6" borderId="0" xfId="0" applyFont="1" applyFill="1" applyAlignment="1" applyProtection="1">
      <protection hidden="1"/>
    </xf>
    <xf numFmtId="0" fontId="9" fillId="0" borderId="0" xfId="0" applyFont="1" applyAlignment="1">
      <alignment vertical="center"/>
    </xf>
    <xf numFmtId="0" fontId="1" fillId="0" borderId="9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7" fillId="14" borderId="0" xfId="0" applyFont="1" applyFill="1"/>
    <xf numFmtId="0" fontId="7" fillId="14" borderId="86" xfId="0" applyFont="1" applyFill="1" applyBorder="1" applyAlignment="1" applyProtection="1">
      <alignment horizontal="center" vertical="center"/>
      <protection hidden="1"/>
    </xf>
    <xf numFmtId="0" fontId="7" fillId="14" borderId="87" xfId="0" applyFont="1" applyFill="1" applyBorder="1" applyAlignment="1" applyProtection="1">
      <alignment horizontal="center" vertical="center"/>
      <protection hidden="1"/>
    </xf>
    <xf numFmtId="44" fontId="1" fillId="0" borderId="45" xfId="0" applyNumberFormat="1" applyFont="1" applyBorder="1" applyAlignment="1">
      <alignment horizontal="center" vertical="center"/>
    </xf>
    <xf numFmtId="44" fontId="1" fillId="0" borderId="52" xfId="0" applyNumberFormat="1" applyFont="1" applyBorder="1" applyAlignment="1">
      <alignment horizontal="center" vertical="center"/>
    </xf>
    <xf numFmtId="44" fontId="1" fillId="0" borderId="60" xfId="0" applyNumberFormat="1" applyFont="1" applyBorder="1" applyAlignment="1">
      <alignment horizontal="center" vertical="center"/>
    </xf>
    <xf numFmtId="0" fontId="7" fillId="14" borderId="90" xfId="0" applyFont="1" applyFill="1" applyBorder="1" applyAlignment="1">
      <alignment horizontal="center" vertical="center"/>
    </xf>
    <xf numFmtId="0" fontId="7" fillId="14" borderId="89" xfId="0" applyFont="1" applyFill="1" applyBorder="1" applyAlignment="1">
      <alignment horizontal="center" vertical="center"/>
    </xf>
    <xf numFmtId="0" fontId="7" fillId="14" borderId="91" xfId="0" applyFont="1" applyFill="1" applyBorder="1" applyAlignment="1">
      <alignment horizontal="center" vertical="center"/>
    </xf>
    <xf numFmtId="0" fontId="7" fillId="14" borderId="82" xfId="0" applyFont="1" applyFill="1" applyBorder="1" applyAlignment="1">
      <alignment horizontal="center" vertical="center"/>
    </xf>
    <xf numFmtId="0" fontId="7" fillId="14" borderId="93" xfId="0" applyFont="1" applyFill="1" applyBorder="1" applyAlignment="1">
      <alignment horizontal="center" vertical="center"/>
    </xf>
    <xf numFmtId="0" fontId="7" fillId="14" borderId="83" xfId="0" applyFont="1" applyFill="1" applyBorder="1" applyAlignment="1">
      <alignment horizontal="center" vertical="center"/>
    </xf>
    <xf numFmtId="44" fontId="1" fillId="0" borderId="72" xfId="0" applyNumberFormat="1" applyFont="1" applyBorder="1" applyAlignment="1">
      <alignment horizontal="center" vertical="center"/>
    </xf>
    <xf numFmtId="44" fontId="1" fillId="0" borderId="40" xfId="0" applyNumberFormat="1" applyFont="1" applyBorder="1" applyAlignment="1">
      <alignment horizontal="center" vertical="center"/>
    </xf>
    <xf numFmtId="44" fontId="1" fillId="0" borderId="73" xfId="0" applyNumberFormat="1" applyFont="1" applyBorder="1" applyAlignment="1">
      <alignment horizontal="center" vertical="center"/>
    </xf>
    <xf numFmtId="44" fontId="1" fillId="0" borderId="15" xfId="2" applyFont="1" applyBorder="1" applyAlignment="1">
      <alignment horizontal="center" vertical="center"/>
    </xf>
    <xf numFmtId="44" fontId="1" fillId="0" borderId="42" xfId="2" applyFont="1" applyBorder="1" applyAlignment="1">
      <alignment horizontal="center" vertical="center"/>
    </xf>
    <xf numFmtId="44" fontId="1" fillId="0" borderId="31" xfId="2" applyFont="1" applyBorder="1" applyAlignment="1">
      <alignment horizontal="center" vertical="center"/>
    </xf>
    <xf numFmtId="44" fontId="1" fillId="0" borderId="33" xfId="2" applyFont="1" applyBorder="1" applyAlignment="1">
      <alignment horizontal="center" vertical="center"/>
    </xf>
    <xf numFmtId="44" fontId="1" fillId="0" borderId="9" xfId="0" applyNumberFormat="1" applyFont="1" applyBorder="1" applyAlignment="1">
      <alignment horizontal="center" vertical="center"/>
    </xf>
    <xf numFmtId="44" fontId="1" fillId="0" borderId="11" xfId="0" applyNumberFormat="1" applyFont="1" applyBorder="1" applyAlignment="1">
      <alignment horizontal="center" vertical="center"/>
    </xf>
    <xf numFmtId="0" fontId="7" fillId="14" borderId="9" xfId="0" applyFont="1" applyFill="1" applyBorder="1" applyAlignment="1">
      <alignment horizontal="center"/>
    </xf>
    <xf numFmtId="0" fontId="7" fillId="14" borderId="11" xfId="0" applyFont="1" applyFill="1" applyBorder="1" applyAlignment="1">
      <alignment horizontal="center"/>
    </xf>
    <xf numFmtId="0" fontId="7" fillId="14" borderId="9" xfId="0" applyFont="1" applyFill="1" applyBorder="1" applyAlignment="1">
      <alignment horizontal="center" vertical="center"/>
    </xf>
    <xf numFmtId="0" fontId="7" fillId="14" borderId="11" xfId="0" applyFont="1" applyFill="1" applyBorder="1" applyAlignment="1">
      <alignment horizontal="center" vertical="center"/>
    </xf>
    <xf numFmtId="44" fontId="1" fillId="0" borderId="21" xfId="2" applyFont="1" applyBorder="1" applyAlignment="1">
      <alignment horizontal="center" vertical="center"/>
    </xf>
    <xf numFmtId="44" fontId="1" fillId="0" borderId="16" xfId="2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4" fontId="7" fillId="14" borderId="46" xfId="2" applyFont="1" applyFill="1" applyBorder="1" applyAlignment="1">
      <alignment horizontal="center" vertical="center"/>
    </xf>
    <xf numFmtId="44" fontId="7" fillId="14" borderId="47" xfId="2" applyFont="1" applyFill="1" applyBorder="1" applyAlignment="1">
      <alignment horizontal="center" vertical="center"/>
    </xf>
    <xf numFmtId="44" fontId="7" fillId="14" borderId="48" xfId="2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44" fontId="7" fillId="14" borderId="10" xfId="2" applyFont="1" applyFill="1" applyBorder="1" applyAlignment="1">
      <alignment horizontal="center" vertical="center"/>
    </xf>
    <xf numFmtId="44" fontId="7" fillId="14" borderId="11" xfId="2" applyFont="1" applyFill="1" applyBorder="1" applyAlignment="1">
      <alignment horizontal="center" vertical="center"/>
    </xf>
    <xf numFmtId="44" fontId="1" fillId="0" borderId="53" xfId="0" applyNumberFormat="1" applyFont="1" applyBorder="1" applyAlignment="1">
      <alignment horizontal="center" vertical="center"/>
    </xf>
    <xf numFmtId="44" fontId="1" fillId="0" borderId="42" xfId="0" applyNumberFormat="1" applyFont="1" applyBorder="1" applyAlignment="1">
      <alignment horizontal="center" vertical="center"/>
    </xf>
    <xf numFmtId="44" fontId="1" fillId="0" borderId="0" xfId="2" applyFont="1" applyBorder="1" applyAlignment="1">
      <alignment horizontal="center" vertical="center"/>
    </xf>
    <xf numFmtId="44" fontId="1" fillId="0" borderId="21" xfId="0" applyNumberFormat="1" applyFont="1" applyBorder="1" applyAlignment="1">
      <alignment horizontal="center" vertical="center"/>
    </xf>
    <xf numFmtId="44" fontId="1" fillId="0" borderId="16" xfId="0" applyNumberFormat="1" applyFont="1" applyBorder="1" applyAlignment="1">
      <alignment horizontal="center" vertical="center"/>
    </xf>
    <xf numFmtId="0" fontId="3" fillId="15" borderId="0" xfId="5" applyFont="1" applyFill="1" applyBorder="1" applyAlignment="1" applyProtection="1">
      <alignment horizontal="center" vertical="center" textRotation="90"/>
      <protection hidden="1"/>
    </xf>
    <xf numFmtId="0" fontId="7" fillId="14" borderId="10" xfId="0" applyFont="1" applyFill="1" applyBorder="1" applyAlignment="1">
      <alignment horizontal="center" vertical="center"/>
    </xf>
    <xf numFmtId="0" fontId="1" fillId="0" borderId="72" xfId="0" applyFont="1" applyBorder="1" applyAlignment="1" applyProtection="1">
      <alignment horizontal="center" vertical="center"/>
      <protection locked="0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73" xfId="0" applyFont="1" applyBorder="1" applyAlignment="1" applyProtection="1">
      <alignment horizontal="center" vertical="center"/>
      <protection locked="0"/>
    </xf>
    <xf numFmtId="0" fontId="1" fillId="0" borderId="47" xfId="0" applyFont="1" applyBorder="1" applyAlignment="1" applyProtection="1">
      <alignment horizontal="center" vertical="center"/>
    </xf>
    <xf numFmtId="0" fontId="1" fillId="0" borderId="48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center" vertical="center"/>
      <protection locked="0"/>
    </xf>
    <xf numFmtId="0" fontId="1" fillId="0" borderId="36" xfId="0" applyFont="1" applyBorder="1" applyAlignment="1" applyProtection="1">
      <alignment horizontal="center" vertical="center"/>
      <protection locked="0"/>
    </xf>
    <xf numFmtId="0" fontId="1" fillId="0" borderId="43" xfId="0" applyFont="1" applyBorder="1" applyAlignment="1" applyProtection="1">
      <alignment horizontal="center" vertical="center"/>
      <protection locked="0"/>
    </xf>
    <xf numFmtId="9" fontId="1" fillId="0" borderId="44" xfId="3" applyFont="1" applyBorder="1" applyAlignment="1" applyProtection="1">
      <alignment horizontal="center" vertical="center"/>
      <protection locked="0"/>
    </xf>
    <xf numFmtId="9" fontId="1" fillId="0" borderId="36" xfId="3" applyFont="1" applyBorder="1" applyAlignment="1" applyProtection="1">
      <alignment horizontal="center" vertical="center"/>
      <protection locked="0"/>
    </xf>
    <xf numFmtId="9" fontId="1" fillId="0" borderId="43" xfId="3" applyFont="1" applyBorder="1" applyAlignment="1" applyProtection="1">
      <alignment horizontal="center" vertical="center"/>
      <protection locked="0"/>
    </xf>
    <xf numFmtId="0" fontId="1" fillId="0" borderId="44" xfId="0" applyFont="1" applyFill="1" applyBorder="1" applyAlignment="1" applyProtection="1">
      <alignment horizontal="center" vertical="center"/>
      <protection locked="0"/>
    </xf>
    <xf numFmtId="0" fontId="1" fillId="0" borderId="36" xfId="0" applyFont="1" applyFill="1" applyBorder="1" applyAlignment="1" applyProtection="1">
      <alignment horizontal="center" vertical="center"/>
      <protection locked="0"/>
    </xf>
    <xf numFmtId="0" fontId="1" fillId="0" borderId="43" xfId="0" applyFont="1" applyFill="1" applyBorder="1" applyAlignment="1" applyProtection="1">
      <alignment horizontal="center" vertical="center"/>
      <protection locked="0"/>
    </xf>
    <xf numFmtId="0" fontId="1" fillId="0" borderId="46" xfId="0" applyFont="1" applyBorder="1" applyAlignment="1" applyProtection="1">
      <alignment horizontal="left" vertical="center"/>
      <protection locked="0"/>
    </xf>
    <xf numFmtId="0" fontId="1" fillId="0" borderId="47" xfId="0" applyFont="1" applyBorder="1" applyAlignment="1" applyProtection="1">
      <alignment horizontal="left" vertical="center"/>
      <protection locked="0"/>
    </xf>
    <xf numFmtId="0" fontId="1" fillId="0" borderId="48" xfId="0" applyFont="1" applyBorder="1" applyAlignment="1" applyProtection="1">
      <alignment horizontal="left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44" fontId="3" fillId="0" borderId="36" xfId="2" applyFont="1" applyFill="1" applyBorder="1" applyAlignment="1" applyProtection="1">
      <alignment horizontal="center" vertical="center"/>
      <protection locked="0"/>
    </xf>
    <xf numFmtId="44" fontId="3" fillId="0" borderId="43" xfId="2" applyFont="1" applyFill="1" applyBorder="1" applyAlignment="1" applyProtection="1">
      <alignment horizontal="center" vertical="center"/>
      <protection locked="0"/>
    </xf>
    <xf numFmtId="44" fontId="1" fillId="0" borderId="39" xfId="2" applyFont="1" applyBorder="1" applyAlignment="1">
      <alignment horizontal="center" vertical="center"/>
    </xf>
    <xf numFmtId="44" fontId="1" fillId="0" borderId="36" xfId="2" applyFont="1" applyBorder="1" applyAlignment="1">
      <alignment horizontal="center" vertical="center"/>
    </xf>
    <xf numFmtId="44" fontId="1" fillId="0" borderId="43" xfId="2" applyFont="1" applyBorder="1" applyAlignment="1">
      <alignment horizontal="center" vertical="center"/>
    </xf>
    <xf numFmtId="44" fontId="1" fillId="0" borderId="41" xfId="2" applyFont="1" applyBorder="1" applyAlignment="1">
      <alignment horizontal="center" vertical="center"/>
    </xf>
    <xf numFmtId="44" fontId="1" fillId="0" borderId="40" xfId="2" applyFont="1" applyBorder="1" applyAlignment="1">
      <alignment horizontal="center" vertical="center"/>
    </xf>
    <xf numFmtId="44" fontId="1" fillId="0" borderId="73" xfId="2" applyFont="1" applyBorder="1" applyAlignment="1">
      <alignment horizontal="center" vertical="center"/>
    </xf>
    <xf numFmtId="0" fontId="7" fillId="14" borderId="59" xfId="0" applyFont="1" applyFill="1" applyBorder="1" applyAlignment="1">
      <alignment horizontal="center" vertical="center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39" xfId="0" applyFont="1" applyBorder="1" applyAlignment="1" applyProtection="1">
      <alignment horizontal="center" vertical="center"/>
      <protection locked="0"/>
    </xf>
    <xf numFmtId="0" fontId="7" fillId="17" borderId="36" xfId="0" applyFont="1" applyFill="1" applyBorder="1" applyAlignment="1" applyProtection="1">
      <alignment horizontal="center" vertical="center" wrapText="1"/>
      <protection hidden="1"/>
    </xf>
    <xf numFmtId="0" fontId="8" fillId="5" borderId="16" xfId="0" applyFont="1" applyFill="1" applyBorder="1" applyAlignment="1">
      <alignment horizontal="center" textRotation="90"/>
    </xf>
    <xf numFmtId="0" fontId="8" fillId="5" borderId="16" xfId="0" applyFont="1" applyFill="1" applyBorder="1" applyAlignment="1">
      <alignment horizontal="center" vertical="center" textRotation="90"/>
    </xf>
    <xf numFmtId="0" fontId="7" fillId="2" borderId="1" xfId="4" applyFont="1" applyFill="1" applyBorder="1" applyAlignment="1" applyProtection="1">
      <alignment horizontal="center" vertical="center"/>
      <protection hidden="1"/>
    </xf>
    <xf numFmtId="0" fontId="7" fillId="2" borderId="2" xfId="4" applyFont="1" applyFill="1" applyBorder="1" applyAlignment="1" applyProtection="1">
      <alignment horizontal="center" vertical="center"/>
      <protection hidden="1"/>
    </xf>
    <xf numFmtId="0" fontId="13" fillId="8" borderId="1" xfId="4" applyFont="1" applyFill="1" applyBorder="1" applyAlignment="1" applyProtection="1">
      <alignment horizontal="center" vertical="center"/>
      <protection hidden="1"/>
    </xf>
    <xf numFmtId="0" fontId="13" fillId="8" borderId="8" xfId="4" applyFont="1" applyFill="1" applyBorder="1" applyAlignment="1" applyProtection="1">
      <alignment horizontal="center" vertical="center"/>
      <protection hidden="1"/>
    </xf>
    <xf numFmtId="0" fontId="7" fillId="2" borderId="8" xfId="4" applyFont="1" applyFill="1" applyBorder="1" applyAlignment="1" applyProtection="1">
      <alignment horizontal="center" vertical="center"/>
      <protection hidden="1"/>
    </xf>
    <xf numFmtId="0" fontId="7" fillId="2" borderId="24" xfId="4" applyFont="1" applyFill="1" applyBorder="1" applyAlignment="1" applyProtection="1">
      <alignment horizontal="center" vertical="center"/>
      <protection hidden="1"/>
    </xf>
    <xf numFmtId="0" fontId="7" fillId="2" borderId="38" xfId="4" applyFont="1" applyFill="1" applyBorder="1" applyAlignment="1" applyProtection="1">
      <alignment horizontal="center" vertical="center"/>
      <protection hidden="1"/>
    </xf>
    <xf numFmtId="0" fontId="7" fillId="2" borderId="63" xfId="4" applyFont="1" applyFill="1" applyBorder="1" applyAlignment="1" applyProtection="1">
      <alignment horizontal="center" vertical="center"/>
      <protection hidden="1"/>
    </xf>
    <xf numFmtId="0" fontId="7" fillId="2" borderId="64" xfId="4" applyFont="1" applyFill="1" applyBorder="1" applyAlignment="1" applyProtection="1">
      <alignment horizontal="center" vertical="center"/>
      <protection hidden="1"/>
    </xf>
    <xf numFmtId="0" fontId="7" fillId="2" borderId="65" xfId="4" applyFont="1" applyFill="1" applyBorder="1" applyAlignment="1" applyProtection="1">
      <alignment horizontal="center" vertical="center"/>
      <protection hidden="1"/>
    </xf>
    <xf numFmtId="0" fontId="7" fillId="2" borderId="3" xfId="4" applyFont="1" applyFill="1" applyBorder="1" applyAlignment="1" applyProtection="1">
      <alignment horizontal="center" vertical="center"/>
      <protection hidden="1"/>
    </xf>
    <xf numFmtId="0" fontId="7" fillId="2" borderId="66" xfId="4" applyFont="1" applyFill="1" applyBorder="1" applyAlignment="1" applyProtection="1">
      <alignment horizontal="center" vertical="center"/>
      <protection hidden="1"/>
    </xf>
    <xf numFmtId="0" fontId="7" fillId="2" borderId="67" xfId="4" applyFont="1" applyFill="1" applyBorder="1" applyAlignment="1" applyProtection="1">
      <alignment horizontal="center" vertical="center"/>
      <protection hidden="1"/>
    </xf>
    <xf numFmtId="0" fontId="7" fillId="2" borderId="26" xfId="4" applyFont="1" applyFill="1" applyBorder="1" applyAlignment="1" applyProtection="1">
      <alignment horizontal="center" vertical="center"/>
      <protection hidden="1"/>
    </xf>
    <xf numFmtId="0" fontId="7" fillId="2" borderId="27" xfId="4" applyFont="1" applyFill="1" applyBorder="1" applyAlignment="1" applyProtection="1">
      <alignment horizontal="center" vertical="center"/>
      <protection hidden="1"/>
    </xf>
    <xf numFmtId="0" fontId="7" fillId="2" borderId="63" xfId="5" applyFont="1" applyFill="1" applyBorder="1" applyAlignment="1">
      <alignment horizontal="center"/>
    </xf>
    <xf numFmtId="0" fontId="7" fillId="2" borderId="64" xfId="5" applyFont="1" applyFill="1" applyBorder="1" applyAlignment="1">
      <alignment horizontal="center"/>
    </xf>
    <xf numFmtId="0" fontId="7" fillId="2" borderId="65" xfId="5" applyFont="1" applyFill="1" applyBorder="1" applyAlignment="1">
      <alignment horizontal="center"/>
    </xf>
    <xf numFmtId="0" fontId="7" fillId="12" borderId="3" xfId="5" applyFont="1" applyFill="1" applyBorder="1" applyAlignment="1">
      <alignment horizontal="center"/>
    </xf>
    <xf numFmtId="0" fontId="7" fillId="12" borderId="66" xfId="5" applyFont="1" applyFill="1" applyBorder="1" applyAlignment="1">
      <alignment horizontal="center"/>
    </xf>
    <xf numFmtId="0" fontId="7" fillId="12" borderId="67" xfId="5" applyFont="1" applyFill="1" applyBorder="1" applyAlignment="1">
      <alignment horizontal="center"/>
    </xf>
    <xf numFmtId="0" fontId="7" fillId="16" borderId="1" xfId="4" applyFont="1" applyFill="1" applyBorder="1" applyAlignment="1" applyProtection="1">
      <alignment horizontal="center" vertical="center"/>
      <protection hidden="1"/>
    </xf>
    <xf numFmtId="0" fontId="7" fillId="16" borderId="2" xfId="4" applyFont="1" applyFill="1" applyBorder="1" applyAlignment="1" applyProtection="1">
      <alignment horizontal="center" vertical="center"/>
      <protection hidden="1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1" fillId="0" borderId="9" xfId="4" applyFont="1" applyFill="1" applyBorder="1" applyAlignment="1" applyProtection="1">
      <alignment horizontal="center" vertical="center"/>
      <protection hidden="1"/>
    </xf>
    <xf numFmtId="0" fontId="11" fillId="0" borderId="10" xfId="4" applyFont="1" applyFill="1" applyBorder="1" applyAlignment="1" applyProtection="1">
      <alignment horizontal="center" vertical="center"/>
      <protection hidden="1"/>
    </xf>
    <xf numFmtId="0" fontId="11" fillId="0" borderId="11" xfId="4" applyFont="1" applyFill="1" applyBorder="1" applyAlignment="1" applyProtection="1">
      <alignment horizontal="center" vertical="center"/>
      <protection hidden="1"/>
    </xf>
  </cellXfs>
  <cellStyles count="10">
    <cellStyle name="Millares" xfId="1" builtinId="3"/>
    <cellStyle name="Millares 2 2" xfId="6"/>
    <cellStyle name="Moneda" xfId="2" builtinId="4"/>
    <cellStyle name="Moneda 3" xfId="8"/>
    <cellStyle name="Normal" xfId="0" builtinId="0"/>
    <cellStyle name="Normal 2" xfId="4"/>
    <cellStyle name="Normal 2 3" xfId="7"/>
    <cellStyle name="Normal 3" xfId="5"/>
    <cellStyle name="Porcentaje" xfId="3" builtinId="5"/>
    <cellStyle name="Porcentaje 2" xfId="9"/>
  </cellStyles>
  <dxfs count="14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54D7D4"/>
      <color rgb="FF33CCCC"/>
      <color rgb="FF33CCFF"/>
      <color rgb="FF00FF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180976</xdr:colOff>
      <xdr:row>0</xdr:row>
      <xdr:rowOff>28574</xdr:rowOff>
    </xdr:from>
    <xdr:to>
      <xdr:col>6</xdr:col>
      <xdr:colOff>11026</xdr:colOff>
      <xdr:row>1</xdr:row>
      <xdr:rowOff>203247</xdr:rowOff>
    </xdr:to>
    <xdr:pic>
      <xdr:nvPicPr>
        <xdr:cNvPr id="8" name="1 Imagen"/>
        <xdr:cNvPicPr preferRelativeResize="0"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91" b="60002"/>
        <a:stretch/>
      </xdr:blipFill>
      <xdr:spPr bwMode="auto">
        <a:xfrm>
          <a:off x="400051" y="28574"/>
          <a:ext cx="3240000" cy="54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394369</xdr:colOff>
      <xdr:row>0</xdr:row>
      <xdr:rowOff>0</xdr:rowOff>
    </xdr:from>
    <xdr:to>
      <xdr:col>12</xdr:col>
      <xdr:colOff>1076157</xdr:colOff>
      <xdr:row>3</xdr:row>
      <xdr:rowOff>56630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170" t="23368" r="7139" b="16421"/>
        <a:stretch/>
      </xdr:blipFill>
      <xdr:spPr>
        <a:xfrm>
          <a:off x="7934158" y="0"/>
          <a:ext cx="4224420" cy="925577"/>
        </a:xfrm>
        <a:prstGeom prst="rect">
          <a:avLst/>
        </a:prstGeom>
      </xdr:spPr>
    </xdr:pic>
    <xdr:clientData/>
  </xdr:twoCellAnchor>
  <xdr:twoCellAnchor editAs="oneCell">
    <xdr:from>
      <xdr:col>0</xdr:col>
      <xdr:colOff>73527</xdr:colOff>
      <xdr:row>38</xdr:row>
      <xdr:rowOff>80209</xdr:rowOff>
    </xdr:from>
    <xdr:to>
      <xdr:col>11</xdr:col>
      <xdr:colOff>1149684</xdr:colOff>
      <xdr:row>41</xdr:row>
      <xdr:rowOff>86894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8281" b="18254"/>
        <a:stretch/>
      </xdr:blipFill>
      <xdr:spPr>
        <a:xfrm>
          <a:off x="73527" y="7733630"/>
          <a:ext cx="8615946" cy="58821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3\Area%20Tecnica\Users\jmartinez\Documents\COTIZACIONES\CotizadorSaludOptimaIndividual_Abierto_v1_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oto/Documents/Planes/Plan%20Avanzado/Cotizadores/2022/COTI_PLANAVANZADO_1804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mpañasPreventivas"/>
      <sheetName val="RevisionClinica"/>
      <sheetName val="OPTIMA IND"/>
      <sheetName val="CARTA PROPUESTA"/>
      <sheetName val="INFOGRAFÍA"/>
      <sheetName val="ASISTENCIAS"/>
      <sheetName val="INDIVIDUAL"/>
      <sheetName val="Hoja2"/>
      <sheetName val="Hoja3"/>
      <sheetName val="Hoja1"/>
    </sheetNames>
    <sheetDataSet>
      <sheetData sheetId="0" refreshError="1"/>
      <sheetData sheetId="1" refreshError="1"/>
      <sheetData sheetId="2">
        <row r="28">
          <cell r="L28" t="str">
            <v>SUBTOTAL</v>
          </cell>
        </row>
      </sheetData>
      <sheetData sheetId="3">
        <row r="64">
          <cell r="F64" t="str">
            <v>Anual</v>
          </cell>
        </row>
        <row r="65">
          <cell r="F65" t="str">
            <v>Semestral</v>
          </cell>
        </row>
        <row r="66">
          <cell r="F66" t="str">
            <v>Trimestral</v>
          </cell>
        </row>
        <row r="67">
          <cell r="F67" t="str">
            <v>Mensual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Calculo"/>
      <sheetName val="Factores"/>
      <sheetName val="Primas"/>
      <sheetName val="paso"/>
      <sheetName val="FactoresCompletos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45"/>
  <sheetViews>
    <sheetView showGridLines="0" tabSelected="1" zoomScale="95" zoomScaleNormal="115" workbookViewId="0">
      <selection activeCell="F20" sqref="F20"/>
    </sheetView>
  </sheetViews>
  <sheetFormatPr baseColWidth="10" defaultColWidth="11.453125" defaultRowHeight="15" customHeight="1" x14ac:dyDescent="0.35"/>
  <cols>
    <col min="1" max="2" width="3.26953125" style="1" customWidth="1"/>
    <col min="3" max="3" width="15.7265625" style="1" customWidth="1"/>
    <col min="4" max="11" width="10.7265625" style="1" customWidth="1"/>
    <col min="12" max="12" width="50.7265625" style="1" customWidth="1"/>
    <col min="13" max="13" width="19.453125" style="1" customWidth="1"/>
    <col min="14" max="14" width="20.7265625" style="1" customWidth="1"/>
    <col min="15" max="15" width="9.7265625" style="1" customWidth="1"/>
    <col min="16" max="16" width="14.81640625" style="1" customWidth="1"/>
    <col min="17" max="17" width="6.7265625" style="1" customWidth="1"/>
    <col min="18" max="18" width="6.26953125" style="1" customWidth="1"/>
    <col min="19" max="19" width="7.26953125" style="1" customWidth="1"/>
    <col min="20" max="20" width="15" style="1" customWidth="1"/>
    <col min="21" max="16384" width="11.453125" style="1"/>
  </cols>
  <sheetData>
    <row r="1" spans="1:21" ht="28.5" customHeight="1" x14ac:dyDescent="0.35">
      <c r="A1" s="309" t="s">
        <v>185</v>
      </c>
      <c r="K1" s="261">
        <f ca="1">+TODAY()</f>
        <v>45328</v>
      </c>
    </row>
    <row r="2" spans="1:21" ht="20.149999999999999" customHeight="1" x14ac:dyDescent="0.35">
      <c r="A2" s="309"/>
      <c r="K2" s="261">
        <v>45626</v>
      </c>
    </row>
    <row r="3" spans="1:21" ht="20.149999999999999" customHeight="1" x14ac:dyDescent="0.35">
      <c r="A3" s="309"/>
      <c r="K3" s="261">
        <f>+DATE(F6,E6,D6)</f>
        <v>45454</v>
      </c>
    </row>
    <row r="4" spans="1:21" ht="15" customHeight="1" thickBot="1" x14ac:dyDescent="0.3">
      <c r="A4" s="309"/>
      <c r="K4" s="262">
        <f ca="1">+IF(OR(K3&gt;K2,K1&gt;K2),1,2)</f>
        <v>2</v>
      </c>
    </row>
    <row r="5" spans="1:21" ht="15" customHeight="1" thickBot="1" x14ac:dyDescent="0.4">
      <c r="A5" s="309"/>
      <c r="B5" s="3"/>
      <c r="C5" s="4" t="s">
        <v>160</v>
      </c>
      <c r="D5" s="339"/>
      <c r="E5" s="339"/>
      <c r="F5" s="340"/>
      <c r="G5"/>
      <c r="I5" s="267" t="s">
        <v>183</v>
      </c>
      <c r="J5" s="268"/>
      <c r="N5" s="5"/>
    </row>
    <row r="6" spans="1:21" ht="15" customHeight="1" thickBot="1" x14ac:dyDescent="0.3">
      <c r="A6" s="309"/>
      <c r="B6" s="3"/>
      <c r="C6" s="8" t="s">
        <v>159</v>
      </c>
      <c r="D6" s="211">
        <v>11</v>
      </c>
      <c r="E6" s="9" t="s">
        <v>101</v>
      </c>
      <c r="F6" s="9">
        <v>2024</v>
      </c>
      <c r="G6" s="10"/>
      <c r="L6" s="11"/>
      <c r="N6" s="6"/>
    </row>
    <row r="7" spans="1:21" ht="15" customHeight="1" thickBot="1" x14ac:dyDescent="0.3">
      <c r="A7" s="309"/>
      <c r="B7" s="3"/>
      <c r="C7" s="13"/>
      <c r="D7" s="14"/>
      <c r="E7" s="14"/>
      <c r="F7" s="14"/>
      <c r="G7" s="14"/>
      <c r="L7" s="11"/>
      <c r="N7" s="6"/>
    </row>
    <row r="8" spans="1:21" ht="15" customHeight="1" thickBot="1" x14ac:dyDescent="0.3">
      <c r="A8" s="2"/>
      <c r="B8" s="3"/>
      <c r="C8" s="272" t="s">
        <v>171</v>
      </c>
      <c r="D8" s="273"/>
      <c r="E8" s="273"/>
      <c r="F8" s="273"/>
      <c r="G8" s="273"/>
      <c r="H8" s="273"/>
      <c r="I8" s="273"/>
      <c r="J8" s="274"/>
      <c r="K8" s="13"/>
      <c r="L8" s="275" t="s">
        <v>105</v>
      </c>
      <c r="M8" s="277"/>
      <c r="O8" s="6"/>
      <c r="P8" s="6"/>
      <c r="Q8" s="6"/>
      <c r="R8" s="6"/>
      <c r="S8" s="6"/>
      <c r="U8" s="7"/>
    </row>
    <row r="9" spans="1:21" ht="15" customHeight="1" thickBot="1" x14ac:dyDescent="0.4">
      <c r="A9" s="2"/>
      <c r="B9" s="3"/>
      <c r="C9" s="250"/>
      <c r="D9" s="275" t="s">
        <v>31</v>
      </c>
      <c r="E9" s="276"/>
      <c r="F9" s="277"/>
      <c r="G9" s="338" t="s">
        <v>170</v>
      </c>
      <c r="H9" s="276"/>
      <c r="I9" s="276"/>
      <c r="J9" s="277"/>
      <c r="L9" s="246" t="s">
        <v>151</v>
      </c>
      <c r="M9" s="254" t="s">
        <v>7</v>
      </c>
      <c r="O9" s="12"/>
      <c r="P9" s="12"/>
      <c r="Q9" s="12"/>
      <c r="R9" s="12"/>
      <c r="S9" s="12"/>
      <c r="U9" s="7"/>
    </row>
    <row r="10" spans="1:21" ht="15" customHeight="1" x14ac:dyDescent="0.35">
      <c r="A10" s="2"/>
      <c r="B10" s="3"/>
      <c r="C10" s="246" t="s">
        <v>147</v>
      </c>
      <c r="D10" s="311">
        <v>46</v>
      </c>
      <c r="E10" s="312"/>
      <c r="F10" s="313"/>
      <c r="G10" s="335">
        <f>+VLOOKUP(D10,Factores!W6:X77,2,FALSE)</f>
        <v>151824.38</v>
      </c>
      <c r="H10" s="336"/>
      <c r="I10" s="336"/>
      <c r="J10" s="337"/>
      <c r="L10" s="242" t="s">
        <v>152</v>
      </c>
      <c r="M10" s="251" t="s">
        <v>7</v>
      </c>
      <c r="O10" s="12"/>
      <c r="P10" s="12"/>
      <c r="Q10" s="12"/>
      <c r="R10" s="12"/>
      <c r="S10" s="12"/>
      <c r="U10" s="7"/>
    </row>
    <row r="11" spans="1:21" ht="15" customHeight="1" x14ac:dyDescent="0.35">
      <c r="A11" s="2"/>
      <c r="B11" s="3"/>
      <c r="C11" s="242" t="s">
        <v>90</v>
      </c>
      <c r="D11" s="316">
        <v>3.8</v>
      </c>
      <c r="E11" s="317"/>
      <c r="F11" s="318"/>
      <c r="G11" s="332">
        <f>+VLOOKUP(D11,Factores!Z3:AA82,2,FALSE)</f>
        <v>12542.01</v>
      </c>
      <c r="H11" s="333"/>
      <c r="I11" s="333"/>
      <c r="J11" s="334"/>
      <c r="L11" s="242" t="s">
        <v>155</v>
      </c>
      <c r="M11" s="251" t="s">
        <v>7</v>
      </c>
    </row>
    <row r="12" spans="1:21" ht="15" customHeight="1" x14ac:dyDescent="0.35">
      <c r="A12" s="3"/>
      <c r="B12" s="3"/>
      <c r="C12" s="242" t="s">
        <v>79</v>
      </c>
      <c r="D12" s="319">
        <v>0.3</v>
      </c>
      <c r="E12" s="320"/>
      <c r="F12" s="321"/>
      <c r="G12" s="244" t="s">
        <v>130</v>
      </c>
      <c r="H12" s="330" t="s">
        <v>7</v>
      </c>
      <c r="I12" s="330"/>
      <c r="J12" s="331"/>
      <c r="L12" s="242" t="s">
        <v>156</v>
      </c>
      <c r="M12" s="251" t="s">
        <v>7</v>
      </c>
      <c r="N12" s="15"/>
    </row>
    <row r="13" spans="1:21" ht="15" customHeight="1" x14ac:dyDescent="0.35">
      <c r="A13" s="3"/>
      <c r="B13" s="3"/>
      <c r="C13" s="242" t="s">
        <v>148</v>
      </c>
      <c r="D13" s="322" t="s">
        <v>49</v>
      </c>
      <c r="E13" s="323"/>
      <c r="F13" s="324"/>
      <c r="G13" s="244" t="s">
        <v>161</v>
      </c>
      <c r="H13" s="328">
        <v>21</v>
      </c>
      <c r="I13" s="328"/>
      <c r="J13" s="329"/>
      <c r="K13" s="263">
        <f>+IF(AND(D13="SERIE 400",H13&lt;27),1,IF(AND(D13="SERIE 300",H13&lt;21),1,2))</f>
        <v>2</v>
      </c>
      <c r="L13" s="242" t="s">
        <v>157</v>
      </c>
      <c r="M13" s="251" t="s">
        <v>7</v>
      </c>
    </row>
    <row r="14" spans="1:21" ht="15" customHeight="1" thickBot="1" x14ac:dyDescent="0.4">
      <c r="A14" s="3"/>
      <c r="B14" s="3"/>
      <c r="C14" s="243" t="s">
        <v>149</v>
      </c>
      <c r="D14" s="325" t="s">
        <v>32</v>
      </c>
      <c r="E14" s="326"/>
      <c r="F14" s="327"/>
      <c r="G14" s="245" t="s">
        <v>150</v>
      </c>
      <c r="H14" s="314" t="str">
        <f>+VLOOKUP(D14,Factores!N11:O43,2,FALSE)</f>
        <v>BAJIO</v>
      </c>
      <c r="I14" s="314"/>
      <c r="J14" s="315"/>
      <c r="L14" s="242" t="s">
        <v>158</v>
      </c>
      <c r="M14" s="251" t="s">
        <v>7</v>
      </c>
    </row>
    <row r="15" spans="1:21" ht="15" customHeight="1" x14ac:dyDescent="0.35">
      <c r="A15" s="3"/>
      <c r="B15" s="3"/>
      <c r="L15" s="242" t="s">
        <v>153</v>
      </c>
      <c r="M15" s="252">
        <v>450000</v>
      </c>
    </row>
    <row r="16" spans="1:21" ht="15" customHeight="1" thickBot="1" x14ac:dyDescent="0.4">
      <c r="A16" s="3"/>
      <c r="B16" s="3"/>
      <c r="C16" s="16"/>
      <c r="L16" s="243" t="s">
        <v>154</v>
      </c>
      <c r="M16" s="253" t="s">
        <v>7</v>
      </c>
    </row>
    <row r="17" spans="1:12" ht="15" customHeight="1" thickBot="1" x14ac:dyDescent="0.3">
      <c r="A17" s="3"/>
      <c r="B17" s="17"/>
      <c r="C17" s="213" t="s">
        <v>92</v>
      </c>
      <c r="D17" s="289" t="s">
        <v>91</v>
      </c>
      <c r="E17" s="310"/>
      <c r="F17" s="290"/>
      <c r="G17" s="210" t="s">
        <v>1</v>
      </c>
      <c r="H17" s="275" t="s">
        <v>108</v>
      </c>
      <c r="I17" s="276"/>
      <c r="J17" s="277"/>
      <c r="K17" s="13"/>
    </row>
    <row r="18" spans="1:12" ht="15" customHeight="1" x14ac:dyDescent="0.25">
      <c r="A18" s="3"/>
      <c r="B18" s="259">
        <v>1</v>
      </c>
      <c r="C18" s="257"/>
      <c r="D18" s="247"/>
      <c r="E18" s="248"/>
      <c r="F18" s="249"/>
      <c r="G18" s="259" t="str">
        <f>IF(OR(D18="",E18="",F18=""),"",DATEDIF(DATE(F18,E18,D18),DATE($F$6,$E$6,$D$6),"Y"))</f>
        <v/>
      </c>
      <c r="H18" s="278" t="str">
        <f>IF(G18="","",IF(AND(OR($D$12=Factores!$K$5,$D$12=Factores!$K$6,$D$12=Factores!$K$7,$D$12=Factores!$K$8),$H$12&lt;&gt;"NO"),"Revisar TMC",IF(AND($D$11&gt;20,$M$12="SI"),"No aplica Eliminación de Deducible",IF($K$13=1,"Revisar THQ",Calculos!$C$18))))</f>
        <v/>
      </c>
      <c r="I18" s="279"/>
      <c r="J18" s="280"/>
      <c r="K18" s="13" t="str">
        <f>+IF($M$15="NO","",IF(AND(C18="Femenino",G18&gt;45,$M$15&gt;400000),CONCATENATE("Indemnización por Cáncer Femenino por $",$M$15," no disponible para esta edad"),IF(AND(C18="Femenino",G18&gt;50,$M$15&gt;350000),CONCATENATE("Indemnización por Cáncer Femenino por $",$M$15," no disponible para esta edad"),"")))</f>
        <v/>
      </c>
    </row>
    <row r="19" spans="1:12" ht="15" customHeight="1" x14ac:dyDescent="0.25">
      <c r="A19" s="3"/>
      <c r="B19" s="255">
        <v>2</v>
      </c>
      <c r="C19" s="257"/>
      <c r="D19" s="247"/>
      <c r="E19" s="248"/>
      <c r="F19" s="249"/>
      <c r="G19" s="259" t="str">
        <f t="shared" ref="G19:G27" si="0">IF(OR(D19="",E19="",F19=""),"",DATEDIF(DATE(F19,E19,D19),DATE($F$6,$E$6,$D$6),"Y"))</f>
        <v/>
      </c>
      <c r="H19" s="269" t="str">
        <f>IF(G19="","",IF(AND(OR($D$12=Factores!$K$5,$D$12=Factores!$K$6,$D$12=Factores!$K$7,$D$12=Factores!$K$8),$H$12&lt;&gt;"NO"),"Revisar TMC",IF(AND($D$11&gt;20,$M$12="SI"),"No aplica Eliminación de Deducible",IF($K$13=1,"Revisar THQ",Calculos!$D$18))))</f>
        <v/>
      </c>
      <c r="I19" s="270"/>
      <c r="J19" s="271"/>
      <c r="K19" s="13" t="str">
        <f t="shared" ref="K19:K27" si="1">+IF($M$15="NO","",IF(AND(C19="Femenino",G19&gt;45,$M$15&gt;400000),CONCATENATE("Indemnización por Cáncer Femenino por $",$M$15," no disponible para esta edad"),IF(AND(C19="Femenino",G19&gt;50,$M$15&gt;350000),CONCATENATE("Indemnización por Cáncer Femenino por $",$M$15," no disponible para esta edad"),"")))</f>
        <v/>
      </c>
    </row>
    <row r="20" spans="1:12" ht="15" customHeight="1" x14ac:dyDescent="0.25">
      <c r="B20" s="255">
        <v>3</v>
      </c>
      <c r="C20" s="257"/>
      <c r="D20" s="247"/>
      <c r="E20" s="248"/>
      <c r="F20" s="249"/>
      <c r="G20" s="259" t="str">
        <f t="shared" si="0"/>
        <v/>
      </c>
      <c r="H20" s="269" t="str">
        <f>IF(G20="","",IF(AND(OR($D$12=Factores!$K$5,$D$12=Factores!$K$6,$D$12=Factores!$K$7,$D$12=Factores!$K$8),$H$12&lt;&gt;"NO"),"Revisar TMC",IF(AND($D$11&gt;20,$M$12="SI"),"No aplica Eliminación de Deducible",IF($K$13=1,"Revisar THQ",Calculos!$E$18))))</f>
        <v/>
      </c>
      <c r="I20" s="270"/>
      <c r="J20" s="271"/>
      <c r="K20" s="13" t="str">
        <f t="shared" si="1"/>
        <v/>
      </c>
      <c r="L20" s="13"/>
    </row>
    <row r="21" spans="1:12" ht="15" customHeight="1" x14ac:dyDescent="0.25">
      <c r="B21" s="255">
        <v>4</v>
      </c>
      <c r="C21" s="257"/>
      <c r="D21" s="247"/>
      <c r="E21" s="248"/>
      <c r="F21" s="249"/>
      <c r="G21" s="259" t="str">
        <f t="shared" si="0"/>
        <v/>
      </c>
      <c r="H21" s="269" t="str">
        <f>IF(G21="","",IF(AND(OR($D$12=Factores!$K$5,$D$12=Factores!$K$6,$D$12=Factores!$K$7,$D$12=Factores!$K$8),$H$12&lt;&gt;"NO"),"Revisar TMC",IF(AND($D$11&gt;20,$M$12="SI"),"No aplica Eliminación de Deducible",IF($K$13=1,"Revisar THQ",Calculos!$F$18))))</f>
        <v/>
      </c>
      <c r="I21" s="270"/>
      <c r="J21" s="271"/>
      <c r="K21" s="13" t="str">
        <f t="shared" si="1"/>
        <v/>
      </c>
      <c r="L21" s="13"/>
    </row>
    <row r="22" spans="1:12" ht="15" customHeight="1" x14ac:dyDescent="0.25">
      <c r="B22" s="255">
        <v>5</v>
      </c>
      <c r="C22" s="257"/>
      <c r="D22" s="247"/>
      <c r="E22" s="248"/>
      <c r="F22" s="249"/>
      <c r="G22" s="259" t="str">
        <f t="shared" si="0"/>
        <v/>
      </c>
      <c r="H22" s="269" t="str">
        <f>IF(G22="","",IF(AND(OR($D$12=Factores!$K$5,$D$12=Factores!$K$6,$D$12=Factores!$K$7,$D$12=Factores!$K$8),$H$12&lt;&gt;"NO"),"Revisar TMC",IF(AND($D$11&gt;20,$M$12="SI"),"No aplica Eliminación de Deducible",IF($K$13=1,"Revisar THQ",Calculos!$G$18))))</f>
        <v/>
      </c>
      <c r="I22" s="270"/>
      <c r="J22" s="271"/>
      <c r="K22" s="13" t="str">
        <f t="shared" si="1"/>
        <v/>
      </c>
      <c r="L22" s="13"/>
    </row>
    <row r="23" spans="1:12" ht="15" customHeight="1" x14ac:dyDescent="0.25">
      <c r="B23" s="255">
        <v>6</v>
      </c>
      <c r="C23" s="257"/>
      <c r="D23" s="247"/>
      <c r="E23" s="248"/>
      <c r="F23" s="249"/>
      <c r="G23" s="259" t="str">
        <f t="shared" si="0"/>
        <v/>
      </c>
      <c r="H23" s="269" t="str">
        <f>IF(G23="","",IF(AND(OR($D$12=Factores!$K$5,$D$12=Factores!$K$6,$D$12=Factores!$K$7,$D$12=Factores!$K$8),$H$12&lt;&gt;"NO"),"Revisar TMC",IF(AND($D$11&gt;20,$M$12="SI"),"No aplica Eliminación de Deducible",IF($K$13=1,"Revisar THQ",Calculos!$H$18))))</f>
        <v/>
      </c>
      <c r="I23" s="270"/>
      <c r="J23" s="271"/>
      <c r="K23" s="13" t="str">
        <f t="shared" si="1"/>
        <v/>
      </c>
      <c r="L23" s="13"/>
    </row>
    <row r="24" spans="1:12" ht="15" customHeight="1" x14ac:dyDescent="0.25">
      <c r="B24" s="255">
        <v>7</v>
      </c>
      <c r="C24" s="257"/>
      <c r="D24" s="247"/>
      <c r="E24" s="248"/>
      <c r="F24" s="249"/>
      <c r="G24" s="259" t="str">
        <f t="shared" si="0"/>
        <v/>
      </c>
      <c r="H24" s="269" t="str">
        <f>IF(G24="","",IF(AND(OR($D$12=Factores!$K$5,$D$12=Factores!$K$6,$D$12=Factores!$K$7,$D$12=Factores!$K$8),$H$12&lt;&gt;"NO"),"Revisar TMC",IF(AND($D$11&gt;20,$M$12="SI"),"No aplica Eliminación de Deducible",IF($K$13=1,"Revisar THQ",Calculos!$I$18))))</f>
        <v/>
      </c>
      <c r="I24" s="270"/>
      <c r="J24" s="271"/>
      <c r="K24" s="13" t="str">
        <f t="shared" si="1"/>
        <v/>
      </c>
      <c r="L24" s="13"/>
    </row>
    <row r="25" spans="1:12" ht="15" customHeight="1" x14ac:dyDescent="0.25">
      <c r="B25" s="255">
        <v>8</v>
      </c>
      <c r="C25" s="257"/>
      <c r="D25" s="247"/>
      <c r="E25" s="248"/>
      <c r="F25" s="249"/>
      <c r="G25" s="259" t="str">
        <f t="shared" si="0"/>
        <v/>
      </c>
      <c r="H25" s="269" t="str">
        <f>IF(G25="","",IF(AND(OR($D$12=Factores!$K$5,$D$12=Factores!$K$6,$D$12=Factores!$K$7,$D$12=Factores!$K$8),$H$12&lt;&gt;"NO"),"Revisar TMC",IF(AND($D$11&gt;20,$M$12="SI"),"No aplica Eliminación de Deducible",IF($K$13=1,"Revisar THQ",Calculos!$J$18))))</f>
        <v/>
      </c>
      <c r="I25" s="270"/>
      <c r="J25" s="271"/>
      <c r="K25" s="13" t="str">
        <f t="shared" si="1"/>
        <v/>
      </c>
      <c r="L25" s="13"/>
    </row>
    <row r="26" spans="1:12" ht="15" customHeight="1" x14ac:dyDescent="0.25">
      <c r="B26" s="255">
        <v>9</v>
      </c>
      <c r="C26" s="257"/>
      <c r="D26" s="247"/>
      <c r="E26" s="248"/>
      <c r="F26" s="249"/>
      <c r="G26" s="259" t="str">
        <f t="shared" si="0"/>
        <v/>
      </c>
      <c r="H26" s="269" t="str">
        <f>IF(G26="","",IF(AND(OR($D$12=Factores!$K$5,$D$12=Factores!$K$6,$D$12=Factores!$K$7,$D$12=Factores!$K$8),$H$12&lt;&gt;"NO"),"Revisar TMC",IF(AND($D$11&gt;20,$M$12="SI"),"No aplica Eliminación de Deducible",IF($K$13=1,"Revisar THQ",Calculos!$K$18))))</f>
        <v/>
      </c>
      <c r="I26" s="270"/>
      <c r="J26" s="271"/>
      <c r="K26" s="13" t="str">
        <f t="shared" si="1"/>
        <v/>
      </c>
      <c r="L26" s="13"/>
    </row>
    <row r="27" spans="1:12" ht="15" customHeight="1" thickBot="1" x14ac:dyDescent="0.3">
      <c r="B27" s="256">
        <v>10</v>
      </c>
      <c r="C27" s="258"/>
      <c r="D27" s="264"/>
      <c r="E27" s="212"/>
      <c r="F27" s="265"/>
      <c r="G27" s="260" t="str">
        <f t="shared" si="0"/>
        <v/>
      </c>
      <c r="H27" s="269" t="str">
        <f>IF(G27="","",IF(AND(OR($D$12=Factores!$K$5,$D$12=Factores!$K$6,$D$12=Factores!$K$7,$D$12=Factores!$K$8),$H$12&lt;&gt;"NO"),"Revisar TMC",IF(AND($D$11&gt;20,$M$12="SI"),"No aplica Eliminación de Deducible",IF($K$13=1,"Revisar THQ",Calculos!$L$18))))</f>
        <v/>
      </c>
      <c r="I27" s="270"/>
      <c r="J27" s="271"/>
      <c r="K27" s="13" t="str">
        <f t="shared" si="1"/>
        <v/>
      </c>
      <c r="L27" s="13"/>
    </row>
    <row r="28" spans="1:12" ht="15" customHeight="1" thickBot="1" x14ac:dyDescent="0.4">
      <c r="H28" s="297">
        <f>+IFERROR(SUM(H18:H27),"")</f>
        <v>0</v>
      </c>
      <c r="I28" s="298"/>
      <c r="J28" s="299"/>
    </row>
    <row r="29" spans="1:12" ht="15" customHeight="1" thickBot="1" x14ac:dyDescent="0.4"/>
    <row r="30" spans="1:12" ht="15" customHeight="1" x14ac:dyDescent="0.35">
      <c r="B30" s="300" t="s">
        <v>124</v>
      </c>
      <c r="C30" s="301"/>
      <c r="D30" s="304">
        <f>+H28</f>
        <v>0</v>
      </c>
      <c r="E30" s="305"/>
    </row>
    <row r="31" spans="1:12" ht="15" customHeight="1" x14ac:dyDescent="0.35">
      <c r="B31" s="294" t="s">
        <v>125</v>
      </c>
      <c r="C31" s="295"/>
      <c r="D31" s="306">
        <v>1500</v>
      </c>
      <c r="E31" s="292"/>
    </row>
    <row r="32" spans="1:12" ht="15" customHeight="1" thickBot="1" x14ac:dyDescent="0.4">
      <c r="B32" s="294" t="s">
        <v>115</v>
      </c>
      <c r="C32" s="295"/>
      <c r="D32" s="306">
        <f>+SUM(D30:E31)*0.16</f>
        <v>240</v>
      </c>
      <c r="E32" s="292"/>
    </row>
    <row r="33" spans="1:14" ht="15" customHeight="1" thickBot="1" x14ac:dyDescent="0.4">
      <c r="B33" s="289" t="s">
        <v>126</v>
      </c>
      <c r="C33" s="290"/>
      <c r="D33" s="302">
        <f>SUM(D30:E32)</f>
        <v>1740</v>
      </c>
      <c r="E33" s="303"/>
    </row>
    <row r="34" spans="1:14" ht="15" customHeight="1" thickBot="1" x14ac:dyDescent="0.4"/>
    <row r="35" spans="1:14" ht="15" customHeight="1" thickBot="1" x14ac:dyDescent="0.35">
      <c r="B35" s="287"/>
      <c r="C35" s="288"/>
      <c r="D35" s="289" t="s">
        <v>40</v>
      </c>
      <c r="E35" s="290"/>
      <c r="F35" s="289" t="s">
        <v>38</v>
      </c>
      <c r="G35" s="290"/>
      <c r="H35" s="289" t="s">
        <v>36</v>
      </c>
      <c r="I35" s="290"/>
      <c r="J35" s="289" t="s">
        <v>33</v>
      </c>
      <c r="K35" s="290"/>
    </row>
    <row r="36" spans="1:14" ht="15" customHeight="1" x14ac:dyDescent="0.35">
      <c r="B36" s="294" t="s">
        <v>127</v>
      </c>
      <c r="C36" s="295"/>
      <c r="D36" s="307">
        <f>+D33</f>
        <v>1740</v>
      </c>
      <c r="E36" s="308"/>
      <c r="F36" s="291">
        <f>+(((D30/2)*(1+tablas!$G$12))+$D$31)*(1+0.16)</f>
        <v>1739.9999999999998</v>
      </c>
      <c r="G36" s="292"/>
      <c r="H36" s="291">
        <f>+(((D30/4)*(1+tablas!G13))+$D$31)*(1+0.16)</f>
        <v>1739.9999999999998</v>
      </c>
      <c r="I36" s="292"/>
      <c r="J36" s="281">
        <f>+(((D30/12)*(1+tablas!G14))+$D$31)*(1+0.16)</f>
        <v>1739.9999999999998</v>
      </c>
      <c r="K36" s="282"/>
    </row>
    <row r="37" spans="1:14" ht="15" customHeight="1" thickBot="1" x14ac:dyDescent="0.4">
      <c r="B37" s="294" t="s">
        <v>128</v>
      </c>
      <c r="C37" s="295"/>
      <c r="D37" s="18"/>
      <c r="E37" s="19"/>
      <c r="F37" s="291">
        <f>+(((D30/2)*(1+tablas!$G$12)))*(1+0.16)</f>
        <v>0</v>
      </c>
      <c r="G37" s="292"/>
      <c r="H37" s="291">
        <f>+(((D30/4)*(1+tablas!G13)))*(1+0.16)</f>
        <v>0</v>
      </c>
      <c r="I37" s="292"/>
      <c r="J37" s="283">
        <f>+(((D30/12)*(1+tablas!G14)))*(1+0.16)</f>
        <v>0</v>
      </c>
      <c r="K37" s="284"/>
    </row>
    <row r="38" spans="1:14" ht="15" customHeight="1" thickBot="1" x14ac:dyDescent="0.4">
      <c r="B38" s="296" t="s">
        <v>69</v>
      </c>
      <c r="C38" s="293"/>
      <c r="D38" s="285">
        <f>+D36</f>
        <v>1740</v>
      </c>
      <c r="E38" s="293"/>
      <c r="F38" s="285">
        <f>+SUM(F36:G37)</f>
        <v>1739.9999999999998</v>
      </c>
      <c r="G38" s="293"/>
      <c r="H38" s="285">
        <f>+H36+(H37*3)</f>
        <v>1739.9999999999998</v>
      </c>
      <c r="I38" s="293"/>
      <c r="J38" s="285">
        <f>+J36+(J37*11)</f>
        <v>1739.9999999999998</v>
      </c>
      <c r="K38" s="286"/>
    </row>
    <row r="41" spans="1:14" ht="15" customHeight="1" x14ac:dyDescent="0.25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</row>
    <row r="42" spans="1:14" ht="15" customHeight="1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1:14" ht="15" customHeight="1" x14ac:dyDescent="0.35">
      <c r="A43" s="21" t="s">
        <v>184</v>
      </c>
    </row>
    <row r="44" spans="1:14" ht="15" customHeight="1" x14ac:dyDescent="0.35">
      <c r="A44" s="21" t="str">
        <f>+IF(DATE(F6,E6,D6)&lt;A45,"Valor UMAM 2023: $3,153.70","Valor UMAM 2024: $3,300.53")</f>
        <v>Valor UMAM 2024: $3,300.53</v>
      </c>
    </row>
    <row r="45" spans="1:14" ht="15" customHeight="1" x14ac:dyDescent="0.35">
      <c r="A45" s="22">
        <v>45323</v>
      </c>
    </row>
  </sheetData>
  <sheetProtection algorithmName="SHA-512" hashValue="SBLgYpijzJsDw2LEjzwfp0wU1UcRjoP0Q9VY5OCQTVMInSgRxaNR6UiIQtoaWn1JZvyjHGVGkSD6RQBMA03w3A==" saltValue="txhJkdp18ciaKg+xDzVCGQ==" spinCount="100000" sheet="1" selectLockedCells="1"/>
  <protectedRanges>
    <protectedRange sqref="D10:F14 D6:F6 D5 H12:H13 M9:M16 C18:F27" name="Cambios"/>
  </protectedRanges>
  <mergeCells count="57">
    <mergeCell ref="A1:A7"/>
    <mergeCell ref="L8:M8"/>
    <mergeCell ref="D17:F17"/>
    <mergeCell ref="D10:F10"/>
    <mergeCell ref="H14:J14"/>
    <mergeCell ref="D9:F9"/>
    <mergeCell ref="D11:F11"/>
    <mergeCell ref="D12:F12"/>
    <mergeCell ref="D13:F13"/>
    <mergeCell ref="D14:F14"/>
    <mergeCell ref="H13:J13"/>
    <mergeCell ref="H12:J12"/>
    <mergeCell ref="G11:J11"/>
    <mergeCell ref="G10:J10"/>
    <mergeCell ref="G9:J9"/>
    <mergeCell ref="D5:F5"/>
    <mergeCell ref="D38:E38"/>
    <mergeCell ref="B30:C30"/>
    <mergeCell ref="B31:C31"/>
    <mergeCell ref="B32:C32"/>
    <mergeCell ref="B33:C33"/>
    <mergeCell ref="D33:E33"/>
    <mergeCell ref="D30:E30"/>
    <mergeCell ref="D31:E31"/>
    <mergeCell ref="D32:E32"/>
    <mergeCell ref="D35:E35"/>
    <mergeCell ref="D36:E36"/>
    <mergeCell ref="H25:J25"/>
    <mergeCell ref="H26:J26"/>
    <mergeCell ref="H27:J27"/>
    <mergeCell ref="H28:J28"/>
    <mergeCell ref="H24:J24"/>
    <mergeCell ref="J36:K36"/>
    <mergeCell ref="J37:K37"/>
    <mergeCell ref="J38:K38"/>
    <mergeCell ref="B35:C35"/>
    <mergeCell ref="F35:G35"/>
    <mergeCell ref="F36:G36"/>
    <mergeCell ref="F37:G37"/>
    <mergeCell ref="F38:G38"/>
    <mergeCell ref="H35:I35"/>
    <mergeCell ref="H36:I36"/>
    <mergeCell ref="H37:I37"/>
    <mergeCell ref="H38:I38"/>
    <mergeCell ref="B36:C36"/>
    <mergeCell ref="B37:C37"/>
    <mergeCell ref="B38:C38"/>
    <mergeCell ref="J35:K35"/>
    <mergeCell ref="I5:J5"/>
    <mergeCell ref="H20:J20"/>
    <mergeCell ref="H21:J21"/>
    <mergeCell ref="H22:J22"/>
    <mergeCell ref="H23:J23"/>
    <mergeCell ref="C8:J8"/>
    <mergeCell ref="H17:J17"/>
    <mergeCell ref="H18:J18"/>
    <mergeCell ref="H19:J19"/>
  </mergeCells>
  <conditionalFormatting sqref="A16:K44">
    <cfRule type="expression" dxfId="13" priority="2">
      <formula>$K$4=1</formula>
    </cfRule>
  </conditionalFormatting>
  <dataValidations count="3">
    <dataValidation type="list" allowBlank="1" showInputMessage="1" showErrorMessage="1" sqref="D6 D18:D27">
      <formula1>dia</formula1>
    </dataValidation>
    <dataValidation type="list" allowBlank="1" showInputMessage="1" showErrorMessage="1" sqref="E6 E18:E27">
      <formula1>Mes</formula1>
    </dataValidation>
    <dataValidation allowBlank="1" showErrorMessage="1" sqref="I5:J5"/>
  </dataValidations>
  <pageMargins left="0.7" right="0.7" top="0.75" bottom="0.75" header="0.3" footer="0.3"/>
  <pageSetup paperSize="256" orientation="portrait" horizontalDpi="203" verticalDpi="20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2A999C5-EF61-4021-BE1B-0894FDD10B08}">
            <xm:f>'\Users\asoto\Documents\Planes\Plan Avanzado\Cotizadores\2022\[COTI_PLANAVANZADO_180422.xlsx]Factores'!#REF!=2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B41:N42</xm:sqref>
        </x14:conditionalFormatting>
        <x14:conditionalFormatting xmlns:xm="http://schemas.microsoft.com/office/excel/2006/main">
          <x14:cfRule type="expression" priority="5" id="{8DE1FD18-A0DB-4BAB-A5AF-3C12271E6EDD}">
            <xm:f>OpCC!$B$13=10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L16:M16</xm:sqref>
        </x14:conditionalFormatting>
        <x14:conditionalFormatting xmlns:xm="http://schemas.microsoft.com/office/excel/2006/main">
          <x14:cfRule type="expression" priority="4" id="{69CE89C3-CA83-43F1-BF36-4080776E3BCF}">
            <xm:f>OpCC!$E$13=10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m:sqref>L15:M15</xm:sqref>
        </x14:conditionalFormatting>
        <x14:conditionalFormatting xmlns:xm="http://schemas.microsoft.com/office/excel/2006/main">
          <x14:cfRule type="expression" priority="3" id="{9505EE23-38D5-4ACA-98CA-42A6C1C6E8FC}">
            <xm:f>OpCC!$H$13=10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L14:M14</xm:sqref>
        </x14:conditionalFormatting>
        <x14:conditionalFormatting xmlns:xm="http://schemas.microsoft.com/office/excel/2006/main">
          <x14:cfRule type="expression" priority="1" id="{74829794-EAB9-4C5C-9E19-7A0D4183B09D}">
            <xm:f>OpCC!$E$13=10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K18:K27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'Primas_Importes '!$M$3:$M$7</xm:f>
          </x14:formula1>
          <xm:sqref>M14</xm:sqref>
        </x14:dataValidation>
        <x14:dataValidation type="list" allowBlank="1" showInputMessage="1" showErrorMessage="1">
          <x14:formula1>
            <xm:f>tablas!$D$3:$D$4</xm:f>
          </x14:formula1>
          <xm:sqref>F6</xm:sqref>
        </x14:dataValidation>
        <x14:dataValidation type="list" allowBlank="1" showInputMessage="1" showErrorMessage="1">
          <x14:formula1>
            <xm:f>Factores!$R$4:$R$6</xm:f>
          </x14:formula1>
          <xm:sqref>M9</xm:sqref>
        </x14:dataValidation>
        <x14:dataValidation type="list" allowBlank="1" showInputMessage="1" showErrorMessage="1">
          <x14:formula1>
            <xm:f>Factores!$R$11:$R$14</xm:f>
          </x14:formula1>
          <xm:sqref>M10</xm:sqref>
        </x14:dataValidation>
        <x14:dataValidation type="list" allowBlank="1" showInputMessage="1" showErrorMessage="1">
          <x14:formula1>
            <xm:f>INDIRECT('Primas_Importes '!$Y$3)</xm:f>
          </x14:formula1>
          <xm:sqref>M15</xm:sqref>
        </x14:dataValidation>
        <x14:dataValidation type="list" allowBlank="1" showInputMessage="1" showErrorMessage="1">
          <x14:formula1>
            <xm:f>Factores!$K$4:$K$8</xm:f>
          </x14:formula1>
          <xm:sqref>D12:F12</xm:sqref>
        </x14:dataValidation>
        <x14:dataValidation type="list" allowBlank="1" showInputMessage="1" showErrorMessage="1">
          <x14:formula1>
            <xm:f>'Primas_Importes '!$M$14:$N$14</xm:f>
          </x14:formula1>
          <xm:sqref>M12</xm:sqref>
        </x14:dataValidation>
        <x14:dataValidation type="list" allowBlank="1" showInputMessage="1" showErrorMessage="1">
          <x14:formula1>
            <xm:f>'Primas_Importes '!$M$10:$M$12</xm:f>
          </x14:formula1>
          <xm:sqref>M13</xm:sqref>
        </x14:dataValidation>
        <x14:dataValidation type="list" allowBlank="1" showInputMessage="1" showErrorMessage="1">
          <x14:formula1>
            <xm:f>tablas!$I$10:$I$11</xm:f>
          </x14:formula1>
          <xm:sqref>U8 C18:C27</xm:sqref>
        </x14:dataValidation>
        <x14:dataValidation type="list" allowBlank="1" showInputMessage="1" showErrorMessage="1">
          <x14:formula1>
            <xm:f>Factores!$R$19:$R$21</xm:f>
          </x14:formula1>
          <xm:sqref>M16</xm:sqref>
        </x14:dataValidation>
        <x14:dataValidation type="list" allowBlank="1" showInputMessage="1" showErrorMessage="1">
          <x14:formula1>
            <xm:f>Factores!$R$26:$R$27</xm:f>
          </x14:formula1>
          <xm:sqref>M11</xm:sqref>
        </x14:dataValidation>
        <x14:dataValidation type="list" allowBlank="1" showInputMessage="1" showErrorMessage="1">
          <x14:formula1>
            <xm:f>Factores!$N$11:$N$42</xm:f>
          </x14:formula1>
          <xm:sqref>D14</xm:sqref>
        </x14:dataValidation>
        <x14:dataValidation type="list" allowBlank="1" showInputMessage="1" showErrorMessage="1">
          <x14:formula1>
            <xm:f>Factores!$E$4:$E$75</xm:f>
          </x14:formula1>
          <xm:sqref>D10:F10</xm:sqref>
        </x14:dataValidation>
        <x14:dataValidation type="list" allowBlank="1" showInputMessage="1" showErrorMessage="1">
          <x14:formula1>
            <xm:f>Factores!$H$4:$H$83</xm:f>
          </x14:formula1>
          <xm:sqref>D11:F11</xm:sqref>
        </x14:dataValidation>
        <x14:dataValidation type="list" allowBlank="1" showInputMessage="1" showErrorMessage="1">
          <x14:formula1>
            <xm:f>Factores!$K$13:$K$16</xm:f>
          </x14:formula1>
          <xm:sqref>D13:F13</xm:sqref>
        </x14:dataValidation>
        <x14:dataValidation type="list" allowBlank="1" showInputMessage="1" showErrorMessage="1">
          <x14:formula1>
            <xm:f>IF($D$12= Factores!$K$4, Factores!$N$4:$N$7,Factores!$N$7)</xm:f>
          </x14:formula1>
          <xm:sqref>H12</xm:sqref>
        </x14:dataValidation>
        <x14:dataValidation type="custom" allowBlank="1" showInputMessage="1" showErrorMessage="1">
          <x14:formula1>
            <xm:f>IF($M$15="NO","",'Primas_Importes '!#REF!)</xm:f>
          </x14:formula1>
          <xm:sqref>N12</xm:sqref>
        </x14:dataValidation>
        <x14:dataValidation type="list" allowBlank="1" showInputMessage="1" showErrorMessage="1">
          <x14:formula1>
            <xm:f>INDIRECT(Factores!$L$31)</xm:f>
          </x14:formula1>
          <xm:sqref>H13:J13</xm:sqref>
        </x14:dataValidation>
        <x14:dataValidation type="list" allowBlank="1" showInputMessage="1" showErrorMessage="1">
          <x14:formula1>
            <xm:f>tablas!$D$3:$D$104</xm:f>
          </x14:formula1>
          <xm:sqref>F18:F27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13"/>
  <sheetViews>
    <sheetView workbookViewId="0">
      <selection activeCell="D4" sqref="D4"/>
    </sheetView>
  </sheetViews>
  <sheetFormatPr baseColWidth="10" defaultRowHeight="14.5" x14ac:dyDescent="0.35"/>
  <sheetData>
    <row r="1" spans="1:8" ht="39" customHeight="1" x14ac:dyDescent="0.35">
      <c r="A1" s="341" t="s">
        <v>172</v>
      </c>
      <c r="B1" s="341"/>
      <c r="C1" s="226"/>
      <c r="D1" s="341" t="s">
        <v>173</v>
      </c>
      <c r="E1" s="341"/>
      <c r="F1" s="226"/>
      <c r="G1" s="341" t="s">
        <v>174</v>
      </c>
      <c r="H1" s="341"/>
    </row>
    <row r="2" spans="1:8" x14ac:dyDescent="0.35">
      <c r="A2" s="231" t="s">
        <v>175</v>
      </c>
      <c r="B2" s="231" t="s">
        <v>176</v>
      </c>
      <c r="C2" s="226"/>
      <c r="D2" s="231" t="s">
        <v>175</v>
      </c>
      <c r="E2" s="231" t="s">
        <v>176</v>
      </c>
      <c r="F2" s="226"/>
      <c r="G2" s="231" t="s">
        <v>175</v>
      </c>
      <c r="H2" s="231" t="s">
        <v>176</v>
      </c>
    </row>
    <row r="3" spans="1:8" x14ac:dyDescent="0.35">
      <c r="A3" s="227">
        <v>1</v>
      </c>
      <c r="B3" s="228">
        <f>+IF(Cotizador!G18="",1,IF(OR(AND(Cotizador!C18="Femenino",Cotizador!G18&lt;&gt;"",OR(Cotizador!G18&lt;20,Cotizador!G18&gt;37)),Cotizador!C18&lt;&gt;"Femenino"),1,2))</f>
        <v>1</v>
      </c>
      <c r="C3" s="226"/>
      <c r="D3" s="227">
        <v>1</v>
      </c>
      <c r="E3" s="228">
        <f>+IF(Cotizador!G18="",1,IF(OR(AND(Cotizador!C18="Femenino",Cotizador!G18&lt;&gt;"",OR(Cotizador!G18&lt;20,Cotizador!G18&gt;55)),Cotizador!C18&lt;&gt;"Femenino"),1,2))</f>
        <v>1</v>
      </c>
      <c r="F3" s="226"/>
      <c r="G3" s="227">
        <v>1</v>
      </c>
      <c r="H3" s="228">
        <f>+IF(OR(Cotizador!G18&lt;20,Cotizador!G18&gt;65),1,2)</f>
        <v>1</v>
      </c>
    </row>
    <row r="4" spans="1:8" x14ac:dyDescent="0.35">
      <c r="A4" s="227">
        <v>2</v>
      </c>
      <c r="B4" s="228">
        <f>+IF(Cotizador!G19="",1,IF(OR(AND(Cotizador!C19="Femenino",Cotizador!G19&lt;&gt;"",OR(Cotizador!G19&lt;20,Cotizador!G19&gt;37)),Cotizador!C19&lt;&gt;"Femenino"),1,2))</f>
        <v>1</v>
      </c>
      <c r="C4" s="226"/>
      <c r="D4" s="227">
        <v>2</v>
      </c>
      <c r="E4" s="228">
        <f>+IF(Cotizador!G19="",1,IF(OR(AND(Cotizador!C19="Femenino",Cotizador!G19&lt;&gt;"",OR(Cotizador!G19&lt;20,Cotizador!G19&gt;55)),Cotizador!C19&lt;&gt;"Femenino"),1,2))</f>
        <v>1</v>
      </c>
      <c r="F4" s="226"/>
      <c r="G4" s="227">
        <v>2</v>
      </c>
      <c r="H4" s="228">
        <f>+IF(OR(Cotizador!G19&lt;20,Cotizador!G19&gt;65),1,2)</f>
        <v>1</v>
      </c>
    </row>
    <row r="5" spans="1:8" x14ac:dyDescent="0.35">
      <c r="A5" s="227">
        <v>3</v>
      </c>
      <c r="B5" s="228">
        <f>+IF(Cotizador!G20="",1,IF(OR(AND(Cotizador!C20="Femenino",Cotizador!G20&lt;&gt;"",OR(Cotizador!G20&lt;20,Cotizador!G20&gt;37)),Cotizador!C20&lt;&gt;"Femenino"),1,2))</f>
        <v>1</v>
      </c>
      <c r="C5" s="226"/>
      <c r="D5" s="227">
        <v>3</v>
      </c>
      <c r="E5" s="228">
        <f>+IF(Cotizador!G20="",1,IF(OR(AND(Cotizador!C20="Femenino",Cotizador!G20&lt;&gt;"",OR(Cotizador!G20&lt;20,Cotizador!G20&gt;55)),Cotizador!C20&lt;&gt;"Femenino"),1,2))</f>
        <v>1</v>
      </c>
      <c r="F5" s="226"/>
      <c r="G5" s="227">
        <v>3</v>
      </c>
      <c r="H5" s="228">
        <f>+IF(OR(Cotizador!G20&lt;20,Cotizador!G20&gt;65),1,2)</f>
        <v>1</v>
      </c>
    </row>
    <row r="6" spans="1:8" x14ac:dyDescent="0.35">
      <c r="A6" s="227">
        <v>4</v>
      </c>
      <c r="B6" s="228">
        <f>+IF(Cotizador!G21="",1,IF(OR(AND(Cotizador!C21="Femenino",Cotizador!G21&lt;&gt;"",OR(Cotizador!G21&lt;20,Cotizador!G21&gt;37)),Cotizador!C21&lt;&gt;"Femenino"),1,2))</f>
        <v>1</v>
      </c>
      <c r="C6" s="226"/>
      <c r="D6" s="227">
        <v>4</v>
      </c>
      <c r="E6" s="228">
        <f>+IF(Cotizador!G21="",1,IF(OR(AND(Cotizador!C21="Femenino",Cotizador!G21&lt;&gt;"",OR(Cotizador!G21&lt;20,Cotizador!G21&gt;55)),Cotizador!C21&lt;&gt;"Femenino"),1,2))</f>
        <v>1</v>
      </c>
      <c r="F6" s="226"/>
      <c r="G6" s="227">
        <v>4</v>
      </c>
      <c r="H6" s="228">
        <f>+IF(OR(Cotizador!G21&lt;20,Cotizador!G21&gt;65),1,2)</f>
        <v>1</v>
      </c>
    </row>
    <row r="7" spans="1:8" x14ac:dyDescent="0.35">
      <c r="A7" s="227">
        <v>5</v>
      </c>
      <c r="B7" s="228">
        <f>+IF(Cotizador!G22="",1,IF(OR(AND(Cotizador!C22="Femenino",Cotizador!G22&lt;&gt;"",OR(Cotizador!G22&lt;20,Cotizador!G22&gt;37)),Cotizador!C22&lt;&gt;"Femenino"),1,2))</f>
        <v>1</v>
      </c>
      <c r="C7" s="226"/>
      <c r="D7" s="227">
        <v>5</v>
      </c>
      <c r="E7" s="228">
        <f>+IF(Cotizador!G22="",1,IF(OR(AND(Cotizador!C22="Femenino",Cotizador!G22&lt;&gt;"",OR(Cotizador!G22&lt;20,Cotizador!G22&gt;55)),Cotizador!C22&lt;&gt;"Femenino"),1,2))</f>
        <v>1</v>
      </c>
      <c r="F7" s="226"/>
      <c r="G7" s="227">
        <v>5</v>
      </c>
      <c r="H7" s="228">
        <f>+IF(OR(Cotizador!G22&lt;20,Cotizador!G22&gt;65),1,2)</f>
        <v>1</v>
      </c>
    </row>
    <row r="8" spans="1:8" x14ac:dyDescent="0.35">
      <c r="A8" s="227">
        <v>6</v>
      </c>
      <c r="B8" s="228">
        <f>+IF(Cotizador!G23="",1,IF(OR(AND(Cotizador!C23="Femenino",Cotizador!G23&lt;&gt;"",OR(Cotizador!G23&lt;20,Cotizador!G23&gt;37)),Cotizador!C23&lt;&gt;"Femenino"),1,2))</f>
        <v>1</v>
      </c>
      <c r="C8" s="226"/>
      <c r="D8" s="227">
        <v>6</v>
      </c>
      <c r="E8" s="228">
        <f>+IF(Cotizador!G23="",1,IF(OR(AND(Cotizador!C23="Femenino",Cotizador!G23&lt;&gt;"",OR(Cotizador!G23&lt;20,Cotizador!G23&gt;55)),Cotizador!C23&lt;&gt;"Femenino"),1,2))</f>
        <v>1</v>
      </c>
      <c r="F8" s="226"/>
      <c r="G8" s="227">
        <v>6</v>
      </c>
      <c r="H8" s="228">
        <f>+IF(OR(Cotizador!G23&lt;20,Cotizador!G23&gt;65),1,2)</f>
        <v>1</v>
      </c>
    </row>
    <row r="9" spans="1:8" x14ac:dyDescent="0.35">
      <c r="A9" s="227">
        <v>7</v>
      </c>
      <c r="B9" s="228">
        <f>+IF(Cotizador!G24="",1,IF(OR(AND(Cotizador!C24="Femenino",Cotizador!G24&lt;&gt;"",OR(Cotizador!G24&lt;20,Cotizador!G24&gt;37)),Cotizador!C24&lt;&gt;"Femenino"),1,2))</f>
        <v>1</v>
      </c>
      <c r="C9" s="226"/>
      <c r="D9" s="227">
        <v>7</v>
      </c>
      <c r="E9" s="228">
        <f>+IF(Cotizador!G24="",1,IF(OR(AND(Cotizador!C24="Femenino",Cotizador!G24&lt;&gt;"",OR(Cotizador!G24&lt;20,Cotizador!G24&gt;55)),Cotizador!C24&lt;&gt;"Femenino"),1,2))</f>
        <v>1</v>
      </c>
      <c r="F9" s="226"/>
      <c r="G9" s="227">
        <v>7</v>
      </c>
      <c r="H9" s="228">
        <f>+IF(OR(Cotizador!G24&lt;20,Cotizador!G24&gt;65),1,2)</f>
        <v>1</v>
      </c>
    </row>
    <row r="10" spans="1:8" x14ac:dyDescent="0.35">
      <c r="A10" s="227">
        <v>8</v>
      </c>
      <c r="B10" s="228">
        <f>+IF(Cotizador!G25="",1,IF(OR(AND(Cotizador!C25="Femenino",Cotizador!G25&lt;&gt;"",OR(Cotizador!G25&lt;20,Cotizador!G25&gt;37)),Cotizador!C25&lt;&gt;"Femenino"),1,2))</f>
        <v>1</v>
      </c>
      <c r="C10" s="226"/>
      <c r="D10" s="227">
        <v>8</v>
      </c>
      <c r="E10" s="228">
        <f>+IF(Cotizador!G25="",1,IF(OR(AND(Cotizador!C25="Femenino",Cotizador!G25&lt;&gt;"",OR(Cotizador!G25&lt;20,Cotizador!G25&gt;55)),Cotizador!C25&lt;&gt;"Femenino"),1,2))</f>
        <v>1</v>
      </c>
      <c r="F10" s="226"/>
      <c r="G10" s="227">
        <v>8</v>
      </c>
      <c r="H10" s="228">
        <f>+IF(OR(Cotizador!G25&lt;20,Cotizador!G25&gt;65),1,2)</f>
        <v>1</v>
      </c>
    </row>
    <row r="11" spans="1:8" x14ac:dyDescent="0.35">
      <c r="A11" s="227">
        <v>9</v>
      </c>
      <c r="B11" s="228">
        <f>+IF(Cotizador!G26="",1,IF(OR(AND(Cotizador!C26="Femenino",Cotizador!G26&lt;&gt;"",OR(Cotizador!G26&lt;20,Cotizador!G26&gt;37)),Cotizador!C26&lt;&gt;"Femenino"),1,2))</f>
        <v>1</v>
      </c>
      <c r="C11" s="226"/>
      <c r="D11" s="227">
        <v>9</v>
      </c>
      <c r="E11" s="228">
        <f>+IF(Cotizador!G26="",1,IF(OR(AND(Cotizador!C26="Femenino",Cotizador!G26&lt;&gt;"",OR(Cotizador!G26&lt;20,Cotizador!G26&gt;55)),Cotizador!C26&lt;&gt;"Femenino"),1,2))</f>
        <v>1</v>
      </c>
      <c r="F11" s="226"/>
      <c r="G11" s="227">
        <v>9</v>
      </c>
      <c r="H11" s="228">
        <f>+IF(OR(Cotizador!G26&lt;20,Cotizador!G26&gt;65),1,2)</f>
        <v>1</v>
      </c>
    </row>
    <row r="12" spans="1:8" x14ac:dyDescent="0.35">
      <c r="A12" s="227">
        <v>10</v>
      </c>
      <c r="B12" s="228">
        <f>+IF(Cotizador!G27="",1,IF(OR(AND(Cotizador!C27="Femenino",Cotizador!G27&lt;&gt;"",OR(Cotizador!G27&lt;20,Cotizador!G27&gt;37)),Cotizador!C27&lt;&gt;"Femenino"),1,2))</f>
        <v>1</v>
      </c>
      <c r="C12" s="226"/>
      <c r="D12" s="227">
        <v>10</v>
      </c>
      <c r="E12" s="228">
        <f>+IF(Cotizador!G27="",1,IF(OR(AND(Cotizador!C27="Femenino",Cotizador!G27&lt;&gt;"",OR(Cotizador!G27&lt;20,Cotizador!G27&gt;55)),Cotizador!C27&lt;&gt;"Femenino"),1,2))</f>
        <v>1</v>
      </c>
      <c r="F12" s="226"/>
      <c r="G12" s="227">
        <v>10</v>
      </c>
      <c r="H12" s="228">
        <f>+IF(OR(Cotizador!G27&lt;20,Cotizador!G27&gt;65),1,2)</f>
        <v>1</v>
      </c>
    </row>
    <row r="13" spans="1:8" x14ac:dyDescent="0.35">
      <c r="A13" s="229" t="s">
        <v>177</v>
      </c>
      <c r="B13" s="228">
        <f>+SUM(B3:B12)</f>
        <v>10</v>
      </c>
      <c r="C13" s="226"/>
      <c r="D13" s="229" t="s">
        <v>177</v>
      </c>
      <c r="E13" s="228">
        <f>+SUM(E3:E12)</f>
        <v>10</v>
      </c>
      <c r="F13" s="226"/>
      <c r="G13" s="229" t="s">
        <v>177</v>
      </c>
      <c r="H13" s="230">
        <f>+SUM(H3:H12)</f>
        <v>10</v>
      </c>
    </row>
  </sheetData>
  <mergeCells count="3">
    <mergeCell ref="A1:B1"/>
    <mergeCell ref="D1:E1"/>
    <mergeCell ref="G1:H1"/>
  </mergeCells>
  <conditionalFormatting sqref="B3:B13">
    <cfRule type="expression" dxfId="7" priority="6">
      <formula>$K$6=1</formula>
    </cfRule>
  </conditionalFormatting>
  <conditionalFormatting sqref="D2:E2 D1">
    <cfRule type="expression" dxfId="6" priority="3">
      <formula>$K$5=1</formula>
    </cfRule>
  </conditionalFormatting>
  <conditionalFormatting sqref="A2:B2 A1">
    <cfRule type="expression" dxfId="5" priority="5">
      <formula>$K$5=1</formula>
    </cfRule>
  </conditionalFormatting>
  <conditionalFormatting sqref="E3:E13">
    <cfRule type="expression" dxfId="4" priority="4">
      <formula>$K$6=1</formula>
    </cfRule>
  </conditionalFormatting>
  <conditionalFormatting sqref="H3:H12">
    <cfRule type="expression" dxfId="3" priority="2">
      <formula>$K$5=1</formula>
    </cfRule>
  </conditionalFormatting>
  <conditionalFormatting sqref="G2:H2 G1">
    <cfRule type="expression" dxfId="2" priority="1">
      <formula>$K$5=1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23"/>
  <sheetViews>
    <sheetView showGridLines="0" topLeftCell="B1" workbookViewId="0">
      <selection activeCell="C14" sqref="C14"/>
    </sheetView>
  </sheetViews>
  <sheetFormatPr baseColWidth="10" defaultColWidth="11.453125" defaultRowHeight="12.5" x14ac:dyDescent="0.25"/>
  <cols>
    <col min="1" max="1" width="5.7265625" style="13" customWidth="1"/>
    <col min="2" max="2" width="50.7265625" style="13" customWidth="1"/>
    <col min="3" max="12" width="15.7265625" style="13" customWidth="1"/>
    <col min="13" max="16384" width="11.453125" style="13"/>
  </cols>
  <sheetData>
    <row r="1" spans="1:12" ht="13" thickBot="1" x14ac:dyDescent="0.3"/>
    <row r="2" spans="1:12" ht="13" x14ac:dyDescent="0.3">
      <c r="B2" s="24" t="s">
        <v>109</v>
      </c>
      <c r="C2" s="25">
        <v>1</v>
      </c>
      <c r="D2" s="25">
        <v>2</v>
      </c>
      <c r="E2" s="25">
        <v>3</v>
      </c>
      <c r="F2" s="25">
        <v>4</v>
      </c>
      <c r="G2" s="25">
        <v>5</v>
      </c>
      <c r="H2" s="25">
        <v>6</v>
      </c>
      <c r="I2" s="25">
        <v>7</v>
      </c>
      <c r="J2" s="25">
        <v>8</v>
      </c>
      <c r="K2" s="25">
        <v>9</v>
      </c>
      <c r="L2" s="26">
        <v>10</v>
      </c>
    </row>
    <row r="3" spans="1:12" ht="13" x14ac:dyDescent="0.3">
      <c r="B3" s="27" t="s">
        <v>110</v>
      </c>
      <c r="C3" s="28">
        <f>+Cotizador!C18</f>
        <v>0</v>
      </c>
      <c r="D3" s="28">
        <f>+Cotizador!C19</f>
        <v>0</v>
      </c>
      <c r="E3" s="28">
        <f>+Cotizador!C20</f>
        <v>0</v>
      </c>
      <c r="F3" s="28">
        <f>+Cotizador!C21</f>
        <v>0</v>
      </c>
      <c r="G3" s="28">
        <f>+Cotizador!C22</f>
        <v>0</v>
      </c>
      <c r="H3" s="28">
        <f>+Cotizador!C23</f>
        <v>0</v>
      </c>
      <c r="I3" s="28">
        <f>+Cotizador!C24</f>
        <v>0</v>
      </c>
      <c r="J3" s="28">
        <f>+Cotizador!C25</f>
        <v>0</v>
      </c>
      <c r="K3" s="28">
        <f>+Cotizador!C26</f>
        <v>0</v>
      </c>
      <c r="L3" s="29">
        <f>+Cotizador!C27</f>
        <v>0</v>
      </c>
    </row>
    <row r="4" spans="1:12" ht="13" x14ac:dyDescent="0.3">
      <c r="B4" s="27" t="s">
        <v>1</v>
      </c>
      <c r="C4" s="28" t="str">
        <f>+Cotizador!G18</f>
        <v/>
      </c>
      <c r="D4" s="28" t="str">
        <f>+Cotizador!G19</f>
        <v/>
      </c>
      <c r="E4" s="28" t="str">
        <f>+Cotizador!G20</f>
        <v/>
      </c>
      <c r="F4" s="28" t="str">
        <f>+Cotizador!G21</f>
        <v/>
      </c>
      <c r="G4" s="28" t="str">
        <f>+Cotizador!G22</f>
        <v/>
      </c>
      <c r="H4" s="28" t="str">
        <f>+Cotizador!G23</f>
        <v/>
      </c>
      <c r="I4" s="28" t="str">
        <f>+Cotizador!G24</f>
        <v/>
      </c>
      <c r="J4" s="28" t="str">
        <f>+Cotizador!G25</f>
        <v/>
      </c>
      <c r="K4" s="28" t="str">
        <f>+Cotizador!G26</f>
        <v/>
      </c>
      <c r="L4" s="29" t="str">
        <f>+Cotizador!G27</f>
        <v/>
      </c>
    </row>
    <row r="5" spans="1:12" ht="9.75" customHeight="1" x14ac:dyDescent="0.25"/>
    <row r="6" spans="1:12" ht="10.5" customHeight="1" thickBot="1" x14ac:dyDescent="0.3"/>
    <row r="7" spans="1:12" ht="15" customHeight="1" x14ac:dyDescent="0.3">
      <c r="A7" s="343" t="s">
        <v>162</v>
      </c>
      <c r="B7" s="30" t="s">
        <v>136</v>
      </c>
      <c r="C7" s="214" t="str">
        <f>+IF(OR(C3=0,C4=""),"",IF(OR(Cotizador!$H$14="LINEA",Cotizador!$H$14="SUR",Cotizador!$H$14="ESTADO DE MÉXICO",Cotizador!$H$14="NOROESTE",Cotizador!$H$14="SURESTE"),IF(C3="Masculino",VLOOKUP(C4,'Primas_Importes '!$E$2:$K$103,2,FALSE),VLOOKUP(C4,'Primas_Importes '!$E$2:$K$103,3,FALSE)),IF(Cotizador!$H$14="NORESTE",IF(C3="Masculino",VLOOKUP(C4,'Primas_Importes '!$E$2:$K$103,6,FALSE),VLOOKUP(C4,'Primas_Importes '!$E$2:$K$103,7,FALSE)),IF(C3="Masculino",VLOOKUP(C4,'Primas_Importes '!$E$2:$K$103,4,FALSE),VLOOKUP(C4,'Primas_Importes '!$E$2:$K$103,5,FALSE)))))</f>
        <v/>
      </c>
      <c r="D7" s="31" t="str">
        <f>+IF(OR(D3=0,D4=""),"",IF(OR(Cotizador!$H$14="LINEA",Cotizador!$H$14="SUR",Cotizador!$H$14="ESTADO DE MÉXICO",Cotizador!$H$14="NOROESTE",Cotizador!$H$14="SURESTE"),IF(D3="Masculino",VLOOKUP(D4,'Primas_Importes '!$E$2:$K$103,2,FALSE),VLOOKUP(D4,'Primas_Importes '!$E$2:$K$103,3,FALSE)),IF(Cotizador!$H$14="NORESTE",IF(D3="Masculino",VLOOKUP(D4,'Primas_Importes '!$E$2:$K$103,6,FALSE),VLOOKUP(D4,'Primas_Importes '!$E$2:$K$103,7,FALSE)),IF(D3="Masculino",VLOOKUP(D4,'Primas_Importes '!$E$2:$K$103,4,FALSE),VLOOKUP(D4,'Primas_Importes '!$E$2:$K$103,5,FALSE)))))</f>
        <v/>
      </c>
      <c r="E7" s="31" t="str">
        <f>+IF(OR(E3=0,E4=""),"",IF(OR(Cotizador!$H$14="LINEA",Cotizador!$H$14="SUR",Cotizador!$H$14="ESTADO DE MÉXICO",Cotizador!$H$14="NOROESTE",Cotizador!$H$14="SURESTE"),IF(E3="Masculino",VLOOKUP(E4,'Primas_Importes '!$E$2:$K$103,2,FALSE),VLOOKUP(E4,'Primas_Importes '!$E$2:$K$103,3,FALSE)),IF(Cotizador!$H$14="NORESTE",IF(E3="Masculino",VLOOKUP(E4,'Primas_Importes '!$E$2:$K$103,6,FALSE),VLOOKUP(E4,'Primas_Importes '!$E$2:$K$103,7,FALSE)),IF(E3="Masculino",VLOOKUP(E4,'Primas_Importes '!$E$2:$K$103,4,FALSE),VLOOKUP(E4,'Primas_Importes '!$E$2:$K$103,5,FALSE)))))</f>
        <v/>
      </c>
      <c r="F7" s="31" t="str">
        <f>+IF(OR(F3=0,F4=""),"",IF(OR(Cotizador!$H$14="LINEA",Cotizador!$H$14="SUR",Cotizador!$H$14="ESTADO DE MÉXICO",Cotizador!$H$14="NOROESTE",Cotizador!$H$14="SURESTE"),IF(F3="Masculino",VLOOKUP(F4,'Primas_Importes '!$E$2:$K$103,2,FALSE),VLOOKUP(F4,'Primas_Importes '!$E$2:$K$103,3,FALSE)),IF(Cotizador!$H$14="NORESTE",IF(F3="Masculino",VLOOKUP(F4,'Primas_Importes '!$E$2:$K$103,6,FALSE),VLOOKUP(F4,'Primas_Importes '!$E$2:$K$103,7,FALSE)),IF(F3="Masculino",VLOOKUP(F4,'Primas_Importes '!$E$2:$K$103,4,FALSE),VLOOKUP(F4,'Primas_Importes '!$E$2:$K$103,5,FALSE)))))</f>
        <v/>
      </c>
      <c r="G7" s="31" t="str">
        <f>+IF(OR(G3=0,G4=""),"",IF(OR(Cotizador!$H$14="LINEA",Cotizador!$H$14="SUR",Cotizador!$H$14="ESTADO DE MÉXICO",Cotizador!$H$14="NOROESTE",Cotizador!$H$14="SURESTE"),IF(G3="Masculino",VLOOKUP(G4,'Primas_Importes '!$E$2:$K$103,2,FALSE),VLOOKUP(G4,'Primas_Importes '!$E$2:$K$103,3,FALSE)),IF(Cotizador!$H$14="NORESTE",IF(G3="Masculino",VLOOKUP(G4,'Primas_Importes '!$E$2:$K$103,6,FALSE),VLOOKUP(G4,'Primas_Importes '!$E$2:$K$103,7,FALSE)),IF(G3="Masculino",VLOOKUP(G4,'Primas_Importes '!$E$2:$K$103,4,FALSE),VLOOKUP(G4,'Primas_Importes '!$E$2:$K$103,5,FALSE)))))</f>
        <v/>
      </c>
      <c r="H7" s="31" t="str">
        <f>+IF(OR(H3=0,H4=""),"",IF(OR(Cotizador!$H$14="LINEA",Cotizador!$H$14="SUR",Cotizador!$H$14="ESTADO DE MÉXICO",Cotizador!$H$14="NOROESTE",Cotizador!$H$14="SURESTE"),IF(H3="Masculino",VLOOKUP(H4,'Primas_Importes '!$E$2:$K$103,2,FALSE),VLOOKUP(H4,'Primas_Importes '!$E$2:$K$103,3,FALSE)),IF(Cotizador!$H$14="NORESTE",IF(H3="Masculino",VLOOKUP(H4,'Primas_Importes '!$E$2:$K$103,6,FALSE),VLOOKUP(H4,'Primas_Importes '!$E$2:$K$103,7,FALSE)),IF(H3="Masculino",VLOOKUP(H4,'Primas_Importes '!$E$2:$K$103,4,FALSE),VLOOKUP(H4,'Primas_Importes '!$E$2:$K$103,5,FALSE)))))</f>
        <v/>
      </c>
      <c r="I7" s="31" t="str">
        <f>+IF(OR(I3=0,I4=""),"",IF(OR(Cotizador!$H$14="LINEA",Cotizador!$H$14="SUR",Cotizador!$H$14="ESTADO DE MÉXICO",Cotizador!$H$14="NOROESTE",Cotizador!$H$14="SURESTE"),IF(I3="Masculino",VLOOKUP(I4,'Primas_Importes '!$E$2:$K$103,2,FALSE),VLOOKUP(I4,'Primas_Importes '!$E$2:$K$103,3,FALSE)),IF(Cotizador!$H$14="NORESTE",IF(I3="Masculino",VLOOKUP(I4,'Primas_Importes '!$E$2:$K$103,6,FALSE),VLOOKUP(I4,'Primas_Importes '!$E$2:$K$103,7,FALSE)),IF(I3="Masculino",VLOOKUP(I4,'Primas_Importes '!$E$2:$K$103,4,FALSE),VLOOKUP(I4,'Primas_Importes '!$E$2:$K$103,5,FALSE)))))</f>
        <v/>
      </c>
      <c r="J7" s="31" t="str">
        <f>+IF(OR(J3=0,J4=""),"",IF(OR(Cotizador!$H$14="LINEA",Cotizador!$H$14="SUR",Cotizador!$H$14="ESTADO DE MÉXICO",Cotizador!$H$14="NOROESTE",Cotizador!$H$14="SURESTE"),IF(J3="Masculino",VLOOKUP(J4,'Primas_Importes '!$E$2:$K$103,2,FALSE),VLOOKUP(J4,'Primas_Importes '!$E$2:$K$103,3,FALSE)),IF(Cotizador!$H$14="NORESTE",IF(J3="Masculino",VLOOKUP(J4,'Primas_Importes '!$E$2:$K$103,6,FALSE),VLOOKUP(J4,'Primas_Importes '!$E$2:$K$103,7,FALSE)),IF(J3="Masculino",VLOOKUP(J4,'Primas_Importes '!$E$2:$K$103,4,FALSE),VLOOKUP(J4,'Primas_Importes '!$E$2:$K$103,5,FALSE)))))</f>
        <v/>
      </c>
      <c r="K7" s="31" t="str">
        <f>+IF(OR(K3=0,K4=""),"",IF(OR(Cotizador!$H$14="LINEA",Cotizador!$H$14="SUR",Cotizador!$H$14="ESTADO DE MÉXICO",Cotizador!$H$14="NOROESTE",Cotizador!$H$14="SURESTE"),IF(K3="Masculino",VLOOKUP(K4,'Primas_Importes '!$E$2:$K$103,2,FALSE),VLOOKUP(K4,'Primas_Importes '!$E$2:$K$103,3,FALSE)),IF(Cotizador!$H$14="NORESTE",IF(K3="Masculino",VLOOKUP(K4,'Primas_Importes '!$E$2:$K$103,6,FALSE),VLOOKUP(K4,'Primas_Importes '!$E$2:$K$103,7,FALSE)),IF(K3="Masculino",VLOOKUP(K4,'Primas_Importes '!$E$2:$K$103,4,FALSE),VLOOKUP(K4,'Primas_Importes '!$E$2:$K$103,5,FALSE)))))</f>
        <v/>
      </c>
      <c r="L7" s="215" t="str">
        <f>+IF(OR(L3=0,L4=""),"",IF(OR(Cotizador!$H$14="LINEA",Cotizador!$H$14="SUR",Cotizador!$H$14="ESTADO DE MÉXICO",Cotizador!$H$14="NOROESTE",Cotizador!$H$14="SURESTE"),IF(L3="Masculino",VLOOKUP(L4,'Primas_Importes '!$E$2:$K$103,2,FALSE),VLOOKUP(L4,'Primas_Importes '!$E$2:$K$103,3,FALSE)),IF(Cotizador!$H$14="NORESTE",IF(L3="Masculino",VLOOKUP(L4,'Primas_Importes '!$E$2:$K$103,6,FALSE),VLOOKUP(L4,'Primas_Importes '!$E$2:$K$103,7,FALSE)),IF(L3="Masculino",VLOOKUP(L4,'Primas_Importes '!$E$2:$K$103,4,FALSE),VLOOKUP(L4,'Primas_Importes '!$E$2:$K$103,5,FALSE)))))</f>
        <v/>
      </c>
    </row>
    <row r="8" spans="1:12" ht="13" x14ac:dyDescent="0.3">
      <c r="A8" s="343"/>
      <c r="B8" s="32" t="s">
        <v>117</v>
      </c>
      <c r="C8" s="216" t="str">
        <f>+IF(OR(C3=0,C4=""),"",VLOOKUP(C4,Factores!$A$2:$C$103,MATCH(C3,Factores!$A$2:$C$2,0),FALSE))</f>
        <v/>
      </c>
      <c r="D8" s="33" t="str">
        <f>+IF(OR(D3=0,D4=""),"",VLOOKUP(D4,Factores!$A$2:$C$103,MATCH(D3,Factores!$A$2:$C$2,0),FALSE))</f>
        <v/>
      </c>
      <c r="E8" s="33" t="str">
        <f>+IF(OR(E3=0,E4=""),"",VLOOKUP(E4,Factores!$A$2:$C$103,MATCH(E3,Factores!$A$2:$C$2,0),FALSE))</f>
        <v/>
      </c>
      <c r="F8" s="33" t="str">
        <f>+IF(OR(F3=0,F4=""),"",VLOOKUP(F4,Factores!$A$2:$C$103,MATCH(F3,Factores!$A$2:$C$2,0),FALSE))</f>
        <v/>
      </c>
      <c r="G8" s="33" t="str">
        <f>+IF(OR(G3=0,G4=""),"",VLOOKUP(G4,Factores!$A$2:$C$103,MATCH(G3,Factores!$A$2:$C$2,0),FALSE))</f>
        <v/>
      </c>
      <c r="H8" s="33" t="str">
        <f>+IF(OR(H3=0,H4=""),"",VLOOKUP(H4,Factores!$A$2:$C$103,MATCH(H3,Factores!$A$2:$C$2,0),FALSE))</f>
        <v/>
      </c>
      <c r="I8" s="33" t="str">
        <f>+IF(OR(I3=0,I4=""),"",VLOOKUP(I4,Factores!$A$2:$C$103,MATCH(I3,Factores!$A$2:$C$2,0),FALSE))</f>
        <v/>
      </c>
      <c r="J8" s="33" t="str">
        <f>+IF(OR(J3=0,J4=""),"",VLOOKUP(J4,Factores!$A$2:$C$103,MATCH(J3,Factores!$A$2:$C$2,0),FALSE))</f>
        <v/>
      </c>
      <c r="K8" s="33" t="str">
        <f>+IF(OR(K3=0,K4=""),"",VLOOKUP(K4,Factores!$A$2:$C$103,MATCH(K3,Factores!$A$2:$C$2,0),FALSE))</f>
        <v/>
      </c>
      <c r="L8" s="34" t="str">
        <f>+IF(OR(L3=0,L4=""),"",VLOOKUP(L4,Factores!$A$2:$C$103,MATCH(L3,Factores!$A$2:$C$2,0),FALSE))</f>
        <v/>
      </c>
    </row>
    <row r="9" spans="1:12" ht="13.5" thickBot="1" x14ac:dyDescent="0.35">
      <c r="A9" s="343"/>
      <c r="B9" s="35" t="s">
        <v>123</v>
      </c>
      <c r="C9" s="217" t="str">
        <f t="shared" ref="C9:L9" si="0">+IF(OR(C3=0,C4=""),"",PRODUCT(C7:C8))</f>
        <v/>
      </c>
      <c r="D9" s="36" t="str">
        <f t="shared" si="0"/>
        <v/>
      </c>
      <c r="E9" s="36" t="str">
        <f t="shared" si="0"/>
        <v/>
      </c>
      <c r="F9" s="36" t="str">
        <f t="shared" si="0"/>
        <v/>
      </c>
      <c r="G9" s="36" t="str">
        <f t="shared" si="0"/>
        <v/>
      </c>
      <c r="H9" s="36" t="str">
        <f t="shared" si="0"/>
        <v/>
      </c>
      <c r="I9" s="36" t="str">
        <f t="shared" si="0"/>
        <v/>
      </c>
      <c r="J9" s="36" t="str">
        <f t="shared" si="0"/>
        <v/>
      </c>
      <c r="K9" s="36" t="str">
        <f t="shared" si="0"/>
        <v/>
      </c>
      <c r="L9" s="37" t="str">
        <f t="shared" si="0"/>
        <v/>
      </c>
    </row>
    <row r="10" spans="1:12" ht="13" thickBot="1" x14ac:dyDescent="0.3">
      <c r="A10" s="23"/>
      <c r="C10" s="38"/>
    </row>
    <row r="11" spans="1:12" ht="15" customHeight="1" x14ac:dyDescent="0.3">
      <c r="A11" s="342" t="s">
        <v>122</v>
      </c>
      <c r="B11" s="30" t="s">
        <v>111</v>
      </c>
      <c r="C11" s="39">
        <f>+VLOOKUP(Cotizador!$M$13,'Primas_Importes '!$M$10:$N$12,2,FALSE)</f>
        <v>0</v>
      </c>
      <c r="D11" s="39">
        <f>+VLOOKUP(Cotizador!$M$13,'Primas_Importes '!$M$10:$N$12,2,FALSE)</f>
        <v>0</v>
      </c>
      <c r="E11" s="39">
        <f>+VLOOKUP(Cotizador!$M$13,'Primas_Importes '!$M$10:$N$12,2,FALSE)</f>
        <v>0</v>
      </c>
      <c r="F11" s="39">
        <f>+VLOOKUP(Cotizador!$M$13,'Primas_Importes '!$M$10:$N$12,2,FALSE)</f>
        <v>0</v>
      </c>
      <c r="G11" s="39">
        <f>+VLOOKUP(Cotizador!$M$13,'Primas_Importes '!$M$10:$N$12,2,FALSE)</f>
        <v>0</v>
      </c>
      <c r="H11" s="39">
        <f>+VLOOKUP(Cotizador!$M$13,'Primas_Importes '!$M$10:$N$12,2,FALSE)</f>
        <v>0</v>
      </c>
      <c r="I11" s="39">
        <f>+VLOOKUP(Cotizador!$M$13,'Primas_Importes '!$M$10:$N$12,2,FALSE)</f>
        <v>0</v>
      </c>
      <c r="J11" s="39">
        <f>+VLOOKUP(Cotizador!$M$13,'Primas_Importes '!$M$10:$N$12,2,FALSE)</f>
        <v>0</v>
      </c>
      <c r="K11" s="39">
        <f>+VLOOKUP(Cotizador!$M$13,'Primas_Importes '!$M$10:$N$12,2,FALSE)</f>
        <v>0</v>
      </c>
      <c r="L11" s="40">
        <f>+VLOOKUP(Cotizador!$M$13,'Primas_Importes '!$M$10:$N$12,2,FALSE)</f>
        <v>0</v>
      </c>
    </row>
    <row r="12" spans="1:12" ht="13" x14ac:dyDescent="0.3">
      <c r="A12" s="342"/>
      <c r="B12" s="32" t="s">
        <v>119</v>
      </c>
      <c r="C12" s="41">
        <f>+IF(AND(20&lt;=C4,C4&lt;=65),IF(OR(C3=0,C4=""),"",VLOOKUP(Cotizador!$M$14,'Primas_Importes '!$M$3:$N$7,2,FALSE)),0)</f>
        <v>0</v>
      </c>
      <c r="D12" s="41">
        <f>+IF(AND(20&lt;=D4,D4&lt;=65),IF(OR(D3=0,D4=""),"",VLOOKUP(Cotizador!$M$14,'Primas_Importes '!$M$3:$N$7,2,FALSE)),0)</f>
        <v>0</v>
      </c>
      <c r="E12" s="41">
        <f>+IF(AND(20&lt;=E4,E4&lt;=65),IF(OR(E3=0,E4=""),"",VLOOKUP(Cotizador!$M$14,'Primas_Importes '!$M$3:$N$7,2,FALSE)),0)</f>
        <v>0</v>
      </c>
      <c r="F12" s="41">
        <f>+IF(AND(20&lt;=F4,F4&lt;=65),IF(OR(F3=0,F4=""),"",VLOOKUP(Cotizador!$M$14,'Primas_Importes '!$M$3:$N$7,2,FALSE)),0)</f>
        <v>0</v>
      </c>
      <c r="G12" s="41">
        <f>+IF(AND(20&lt;=G4,G4&lt;=65),IF(OR(G3=0,G4=""),"",VLOOKUP(Cotizador!$M$14,'Primas_Importes '!$M$3:$N$7,2,FALSE)),0)</f>
        <v>0</v>
      </c>
      <c r="H12" s="41">
        <f>+IF(AND(20&lt;=H4,H4&lt;=65),IF(OR(H3=0,H4=""),"",VLOOKUP(Cotizador!$M$14,'Primas_Importes '!$M$3:$N$7,2,FALSE)),0)</f>
        <v>0</v>
      </c>
      <c r="I12" s="41">
        <f>+IF(AND(20&lt;=I4,I4&lt;=65),IF(OR(I3=0,I4=""),"",VLOOKUP(Cotizador!$M$14,'Primas_Importes '!$M$3:$N$7,2,FALSE)),0)</f>
        <v>0</v>
      </c>
      <c r="J12" s="41">
        <f>+IF(AND(20&lt;=J4,J4&lt;=65),IF(OR(J3=0,J4=""),"",VLOOKUP(Cotizador!$M$14,'Primas_Importes '!$M$3:$N$7,2,FALSE)),0)</f>
        <v>0</v>
      </c>
      <c r="K12" s="41">
        <f>+IF(AND(20&lt;=K4,K4&lt;=65),IF(OR(K3=0,K4=""),"",VLOOKUP(Cotizador!$M$14,'Primas_Importes '!$M$3:$N$7,2,FALSE)),0)</f>
        <v>0</v>
      </c>
      <c r="L12" s="42">
        <f>+IF(AND(20&lt;=L4,L4&lt;=65),IF(OR(L3=0,L4=""),"",VLOOKUP(Cotizador!$M$14,'Primas_Importes '!$M$3:$N$7,2,FALSE)),0)</f>
        <v>0</v>
      </c>
    </row>
    <row r="13" spans="1:12" ht="13" x14ac:dyDescent="0.3">
      <c r="A13" s="342"/>
      <c r="B13" s="32" t="s">
        <v>120</v>
      </c>
      <c r="C13" s="41">
        <f>+IF(AND(C4&lt;=55,C4&gt;=20),IF(C3="Femenino",IF(Cotizador!$M$15="NO",0,VLOOKUP(Cotizador!G18,'Primas_Importes '!$P$4:$V$51,MATCH(Cotizador!$M$15,'Primas_Importes '!$P$3:$V$3,0),FALSE)),0),0)</f>
        <v>0</v>
      </c>
      <c r="D13" s="41">
        <f>+IF(AND(D4&lt;=55,D4&gt;=20),IF(D3="Femenino",IF(Cotizador!$M$15="NO",0,VLOOKUP(Cotizador!G19,'Primas_Importes '!$P$4:$V$51,MATCH(Cotizador!$M$15,'Primas_Importes '!$P$3:$V$3,0),FALSE)),0),0)</f>
        <v>0</v>
      </c>
      <c r="E13" s="41">
        <f>+IF(AND(E4&lt;=55,E4&gt;=20),IF(E3="Femenino",IF(Cotizador!$M$15="NO",0,VLOOKUP(Cotizador!G20,'Primas_Importes '!$P$4:$V$51,MATCH(Cotizador!$M$15,'Primas_Importes '!$P$3:$V$3,0),FALSE)),0),0)</f>
        <v>0</v>
      </c>
      <c r="F13" s="41">
        <f>+IF(AND(F4&lt;=55,F4&gt;=20),IF(F3="Femenino",IF(Cotizador!$M$15="NO",0,VLOOKUP(Cotizador!G21,'Primas_Importes '!$P$4:$V$51,MATCH(Cotizador!$M$15,'Primas_Importes '!$P$3:$V$3,0),FALSE)),0),0)</f>
        <v>0</v>
      </c>
      <c r="G13" s="41">
        <f>+IF(AND(G4&lt;=55,G4&gt;=20),IF(G3="Femenino",IF(Cotizador!$M$15="NO",0,VLOOKUP(Cotizador!G22,'Primas_Importes '!$P$4:$V$51,MATCH(Cotizador!$M$15,'Primas_Importes '!$P$3:$V$3,0),FALSE)),0),0)</f>
        <v>0</v>
      </c>
      <c r="H13" s="41">
        <f>+IF(AND(H4&lt;=55,H4&gt;=20),IF(H3="Femenino",IF(Cotizador!$M$15="NO",0,VLOOKUP(Cotizador!G23,'Primas_Importes '!$P$4:$V$51,MATCH(Cotizador!$M$15,'Primas_Importes '!$P$3:$V$3,0),FALSE)),0),0)</f>
        <v>0</v>
      </c>
      <c r="I13" s="41">
        <f>+IF(AND(I4&lt;=55,I4&gt;=20),IF(I3="Femenino",IF(Cotizador!$M$15="NO",0,VLOOKUP(Cotizador!G24,'Primas_Importes '!$P$4:$V$51,MATCH(Cotizador!$M$15,'Primas_Importes '!$P$3:$V$3,0),FALSE)),0),0)</f>
        <v>0</v>
      </c>
      <c r="J13" s="41">
        <f>+IF(AND(J4&lt;=55,J4&gt;=20),IF(J3="Femenino",IF(Cotizador!$M$15="NO",0,VLOOKUP(Cotizador!G25,'Primas_Importes '!$P$4:$V$51,MATCH(Cotizador!$M$15,'Primas_Importes '!$P$3:$V$3,0),FALSE)),0),0)</f>
        <v>0</v>
      </c>
      <c r="K13" s="41">
        <f>+IF(AND(K4&lt;=55,K4&gt;=20),IF(K3="Femenino",IF(Cotizador!$M$15="NO",0,VLOOKUP(Cotizador!G26,'Primas_Importes '!$P$4:$V$51,MATCH(Cotizador!$M$15,'Primas_Importes '!$P$3:$V$3,0),FALSE)),0),0)</f>
        <v>0</v>
      </c>
      <c r="L13" s="42">
        <f>+IF(AND(L4&lt;=55,L4&gt;=20),IF(L3="Femenino",IF(Cotizador!$M$15="NO",0,VLOOKUP(Cotizador!G27,'Primas_Importes '!$P$4:$V$51,MATCH(Cotizador!$M$15,'Primas_Importes '!$P$3:$V$3,0),FALSE)),0),0)</f>
        <v>0</v>
      </c>
    </row>
    <row r="14" spans="1:12" ht="13.5" thickBot="1" x14ac:dyDescent="0.35">
      <c r="A14" s="342"/>
      <c r="B14" s="35" t="s">
        <v>112</v>
      </c>
      <c r="C14" s="43" t="str">
        <f>+IF(OR(C3=0,C4=""),"",IF(Cotizador!$D$11&gt;20,0,IF(Cotizador!$M$12="SI",VLOOKUP(Cotizador!$D$11,'Primas_Importes '!$M$17:$N$86,2,FALSE),0)))</f>
        <v/>
      </c>
      <c r="D14" s="43" t="str">
        <f>+IF(OR(D3=0,D4=""),"",IF(Cotizador!$D$11&gt;20,0,IF(Cotizador!$M$12="SI",VLOOKUP(Cotizador!$D$11,'Primas_Importes '!$M$17:$N$86,2,FALSE),0)))</f>
        <v/>
      </c>
      <c r="E14" s="43" t="str">
        <f>+IF(OR(E3=0,E4=""),"",IF(Cotizador!$D$11&gt;20,0,IF(Cotizador!$M$12="SI",VLOOKUP(Cotizador!$D$11,'Primas_Importes '!$M$17:$N$86,2,FALSE),0)))</f>
        <v/>
      </c>
      <c r="F14" s="43" t="str">
        <f>+IF(OR(F3=0,F4=""),"",IF(Cotizador!$D$11&gt;20,0,IF(Cotizador!$M$12="SI",VLOOKUP(Cotizador!$D$11,'Primas_Importes '!$M$17:$N$86,2,FALSE),0)))</f>
        <v/>
      </c>
      <c r="G14" s="43" t="str">
        <f>+IF(OR(G3=0,G4=""),"",IF(Cotizador!$D$11&gt;20,0,IF(Cotizador!$M$12="SI",VLOOKUP(Cotizador!$D$11,'Primas_Importes '!$M$17:$N$86,2,FALSE),0)))</f>
        <v/>
      </c>
      <c r="H14" s="43" t="str">
        <f>+IF(OR(H3=0,H4=""),"",IF(Cotizador!$D$11&gt;20,0,IF(Cotizador!$M$12="SI",VLOOKUP(Cotizador!$D$11,'Primas_Importes '!$M$17:$N$86,2,FALSE),0)))</f>
        <v/>
      </c>
      <c r="I14" s="43" t="str">
        <f>+IF(OR(I3=0,I4=""),"",IF(Cotizador!$D$11&gt;20,0,IF(Cotizador!$M$12="SI",VLOOKUP(Cotizador!$D$11,'Primas_Importes '!$M$17:$N$86,2,FALSE),0)))</f>
        <v/>
      </c>
      <c r="J14" s="43" t="str">
        <f>+IF(OR(J3=0,J4=""),"",IF(Cotizador!$D$11&gt;20,0,IF(Cotizador!$M$12="SI",VLOOKUP(Cotizador!$D$11,'Primas_Importes '!$M$17:$N$86,2,FALSE),0)))</f>
        <v/>
      </c>
      <c r="K14" s="43" t="str">
        <f>+IF(OR(K3=0,K4=""),"",IF(Cotizador!$D$11&gt;20,0,IF(Cotizador!$M$12="SI",VLOOKUP(Cotizador!$D$11,'Primas_Importes '!$M$17:$N$86,2,FALSE),0)))</f>
        <v/>
      </c>
      <c r="L14" s="44" t="str">
        <f>+IF(OR(L3=0,L4=""),"",IF(Cotizador!$D$11&gt;20,0,IF(Cotizador!$M$12="SI",VLOOKUP(Cotizador!$D$11,'Primas_Importes '!$M$17:$N$86,2,FALSE),0)))</f>
        <v/>
      </c>
    </row>
    <row r="15" spans="1:12" ht="13" thickBot="1" x14ac:dyDescent="0.3"/>
    <row r="16" spans="1:12" ht="13.5" thickBot="1" x14ac:dyDescent="0.35">
      <c r="B16" s="45" t="s">
        <v>118</v>
      </c>
      <c r="C16" s="46" t="str">
        <f t="shared" ref="C16:L16" si="1">+IF(OR(C3=0,C4=""), "", C9+C11+C12+C13+C14)</f>
        <v/>
      </c>
      <c r="D16" s="46" t="str">
        <f t="shared" si="1"/>
        <v/>
      </c>
      <c r="E16" s="46" t="str">
        <f t="shared" si="1"/>
        <v/>
      </c>
      <c r="F16" s="46" t="str">
        <f t="shared" si="1"/>
        <v/>
      </c>
      <c r="G16" s="46" t="str">
        <f t="shared" si="1"/>
        <v/>
      </c>
      <c r="H16" s="46" t="str">
        <f t="shared" si="1"/>
        <v/>
      </c>
      <c r="I16" s="46" t="str">
        <f t="shared" si="1"/>
        <v/>
      </c>
      <c r="J16" s="46" t="str">
        <f t="shared" si="1"/>
        <v/>
      </c>
      <c r="K16" s="46" t="str">
        <f t="shared" si="1"/>
        <v/>
      </c>
      <c r="L16" s="47" t="str">
        <f t="shared" si="1"/>
        <v/>
      </c>
    </row>
    <row r="17" spans="2:12" ht="13" thickBot="1" x14ac:dyDescent="0.3"/>
    <row r="18" spans="2:12" ht="13" x14ac:dyDescent="0.3">
      <c r="B18" s="30" t="s">
        <v>118</v>
      </c>
      <c r="C18" s="39" t="str">
        <f>+C16</f>
        <v/>
      </c>
      <c r="D18" s="39" t="str">
        <f t="shared" ref="D18:L18" si="2">+D16</f>
        <v/>
      </c>
      <c r="E18" s="39" t="str">
        <f t="shared" si="2"/>
        <v/>
      </c>
      <c r="F18" s="39" t="str">
        <f t="shared" si="2"/>
        <v/>
      </c>
      <c r="G18" s="39" t="str">
        <f t="shared" si="2"/>
        <v/>
      </c>
      <c r="H18" s="39" t="str">
        <f t="shared" si="2"/>
        <v/>
      </c>
      <c r="I18" s="39" t="str">
        <f t="shared" si="2"/>
        <v/>
      </c>
      <c r="J18" s="39" t="str">
        <f t="shared" si="2"/>
        <v/>
      </c>
      <c r="K18" s="39" t="str">
        <f t="shared" si="2"/>
        <v/>
      </c>
      <c r="L18" s="39" t="str">
        <f t="shared" si="2"/>
        <v/>
      </c>
    </row>
    <row r="19" spans="2:12" ht="13" x14ac:dyDescent="0.3">
      <c r="B19" s="32" t="s">
        <v>113</v>
      </c>
      <c r="C19" s="41"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</row>
    <row r="20" spans="2:12" ht="13" x14ac:dyDescent="0.3">
      <c r="B20" s="32" t="s">
        <v>114</v>
      </c>
      <c r="C20" s="41" t="str">
        <f>+IF(C18="","",1500)</f>
        <v/>
      </c>
      <c r="D20" s="41" t="str">
        <f t="shared" ref="D20:L20" si="3">+IF(D18="","",1500)</f>
        <v/>
      </c>
      <c r="E20" s="41" t="str">
        <f t="shared" si="3"/>
        <v/>
      </c>
      <c r="F20" s="41" t="str">
        <f t="shared" si="3"/>
        <v/>
      </c>
      <c r="G20" s="41" t="str">
        <f t="shared" si="3"/>
        <v/>
      </c>
      <c r="H20" s="41" t="str">
        <f t="shared" si="3"/>
        <v/>
      </c>
      <c r="I20" s="41" t="str">
        <f t="shared" si="3"/>
        <v/>
      </c>
      <c r="J20" s="41" t="str">
        <f t="shared" si="3"/>
        <v/>
      </c>
      <c r="K20" s="41" t="str">
        <f t="shared" si="3"/>
        <v/>
      </c>
      <c r="L20" s="41" t="str">
        <f t="shared" si="3"/>
        <v/>
      </c>
    </row>
    <row r="21" spans="2:12" ht="13" x14ac:dyDescent="0.3">
      <c r="B21" s="32" t="s">
        <v>121</v>
      </c>
      <c r="C21" s="41">
        <f>+SUM(C18:C20)</f>
        <v>0</v>
      </c>
      <c r="D21" s="41">
        <f t="shared" ref="D21:L21" si="4">+SUM(D18:D20)</f>
        <v>0</v>
      </c>
      <c r="E21" s="41">
        <f t="shared" si="4"/>
        <v>0</v>
      </c>
      <c r="F21" s="41">
        <f t="shared" si="4"/>
        <v>0</v>
      </c>
      <c r="G21" s="41">
        <f t="shared" si="4"/>
        <v>0</v>
      </c>
      <c r="H21" s="41">
        <f t="shared" si="4"/>
        <v>0</v>
      </c>
      <c r="I21" s="41">
        <f t="shared" si="4"/>
        <v>0</v>
      </c>
      <c r="J21" s="41">
        <f t="shared" si="4"/>
        <v>0</v>
      </c>
      <c r="K21" s="41">
        <f t="shared" si="4"/>
        <v>0</v>
      </c>
      <c r="L21" s="41">
        <f t="shared" si="4"/>
        <v>0</v>
      </c>
    </row>
    <row r="22" spans="2:12" ht="13" x14ac:dyDescent="0.3">
      <c r="B22" s="32" t="s">
        <v>115</v>
      </c>
      <c r="C22" s="41">
        <f>+C21*0.16</f>
        <v>0</v>
      </c>
      <c r="D22" s="41">
        <f>+D21*0.16</f>
        <v>0</v>
      </c>
      <c r="E22" s="41">
        <f t="shared" ref="E22:L22" si="5">+E21*0.16</f>
        <v>0</v>
      </c>
      <c r="F22" s="41">
        <f t="shared" si="5"/>
        <v>0</v>
      </c>
      <c r="G22" s="41">
        <f t="shared" si="5"/>
        <v>0</v>
      </c>
      <c r="H22" s="41">
        <f t="shared" si="5"/>
        <v>0</v>
      </c>
      <c r="I22" s="41">
        <f t="shared" si="5"/>
        <v>0</v>
      </c>
      <c r="J22" s="41">
        <f t="shared" si="5"/>
        <v>0</v>
      </c>
      <c r="K22" s="41">
        <f t="shared" si="5"/>
        <v>0</v>
      </c>
      <c r="L22" s="41">
        <f t="shared" si="5"/>
        <v>0</v>
      </c>
    </row>
    <row r="23" spans="2:12" ht="13.5" thickBot="1" x14ac:dyDescent="0.35">
      <c r="B23" s="35" t="s">
        <v>116</v>
      </c>
      <c r="C23" s="43">
        <f>+C22+C21</f>
        <v>0</v>
      </c>
      <c r="D23" s="43">
        <f t="shared" ref="D23:L23" si="6">+D22+D21</f>
        <v>0</v>
      </c>
      <c r="E23" s="43">
        <f t="shared" si="6"/>
        <v>0</v>
      </c>
      <c r="F23" s="43">
        <f t="shared" si="6"/>
        <v>0</v>
      </c>
      <c r="G23" s="43">
        <f t="shared" si="6"/>
        <v>0</v>
      </c>
      <c r="H23" s="43">
        <f t="shared" si="6"/>
        <v>0</v>
      </c>
      <c r="I23" s="43">
        <f t="shared" si="6"/>
        <v>0</v>
      </c>
      <c r="J23" s="43">
        <f t="shared" si="6"/>
        <v>0</v>
      </c>
      <c r="K23" s="43">
        <f t="shared" si="6"/>
        <v>0</v>
      </c>
      <c r="L23" s="43">
        <f t="shared" si="6"/>
        <v>0</v>
      </c>
    </row>
  </sheetData>
  <mergeCells count="2">
    <mergeCell ref="A11:A14"/>
    <mergeCell ref="A7:A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D103"/>
  <sheetViews>
    <sheetView showGridLines="0" topLeftCell="R1" zoomScale="142" zoomScaleNormal="100" workbookViewId="0">
      <selection activeCell="X3" sqref="X3"/>
    </sheetView>
  </sheetViews>
  <sheetFormatPr baseColWidth="10" defaultColWidth="11.453125" defaultRowHeight="15" customHeight="1" x14ac:dyDescent="0.25"/>
  <cols>
    <col min="1" max="1" width="5.7265625" style="13" customWidth="1"/>
    <col min="2" max="3" width="10.7265625" style="13" customWidth="1"/>
    <col min="4" max="4" width="5.7265625" style="13" customWidth="1"/>
    <col min="5" max="6" width="10.7265625" style="13" customWidth="1"/>
    <col min="7" max="7" width="5.7265625" style="13" customWidth="1"/>
    <col min="8" max="9" width="10.7265625" style="13" customWidth="1"/>
    <col min="10" max="10" width="5.7265625" style="13" customWidth="1"/>
    <col min="11" max="12" width="10.7265625" style="13" customWidth="1"/>
    <col min="13" max="13" width="5.7265625" style="13" customWidth="1"/>
    <col min="14" max="14" width="20.7265625" style="13" customWidth="1"/>
    <col min="15" max="15" width="15.7265625" style="13" customWidth="1"/>
    <col min="16" max="16" width="10.7265625" style="13" customWidth="1"/>
    <col min="17" max="17" width="5.7265625" style="13" customWidth="1"/>
    <col min="18" max="19" width="10.7265625" style="13" customWidth="1"/>
    <col min="20" max="20" width="5.7265625" style="13" customWidth="1"/>
    <col min="21" max="21" width="5.7265625" style="59" customWidth="1"/>
    <col min="22" max="22" width="5.7265625" style="13" customWidth="1"/>
    <col min="23" max="23" width="13.1796875" style="13" bestFit="1" customWidth="1"/>
    <col min="24" max="24" width="15.7265625" style="13" customWidth="1"/>
    <col min="25" max="26" width="5.7265625" style="13" customWidth="1"/>
    <col min="27" max="27" width="15.7265625" style="13" customWidth="1"/>
    <col min="28" max="28" width="5.7265625" style="13" customWidth="1"/>
    <col min="29" max="29" width="11.7265625" style="13" bestFit="1" customWidth="1"/>
    <col min="30" max="30" width="15.7265625" style="13" customWidth="1"/>
    <col min="31" max="31" width="5.7265625" style="13" customWidth="1"/>
    <col min="32" max="16384" width="11.453125" style="13"/>
  </cols>
  <sheetData>
    <row r="1" spans="1:30" ht="15" customHeight="1" thickBot="1" x14ac:dyDescent="0.35">
      <c r="A1" s="351" t="s">
        <v>30</v>
      </c>
      <c r="B1" s="352"/>
      <c r="C1" s="353"/>
      <c r="E1" s="57">
        <f>+VLOOKUP(Cotizador!D10,E4:F75,2,FALSE)</f>
        <v>0.47960000000000003</v>
      </c>
      <c r="H1" s="57">
        <f>+VLOOKUP(Cotizador!D11,Factores!H4:I83,2,FALSE)</f>
        <v>0.88819999999999999</v>
      </c>
      <c r="K1" s="57">
        <f>+VLOOKUP(Cotizador!D12,Factores!K4:L8,2,FALSE)</f>
        <v>0.78</v>
      </c>
      <c r="N1" s="57">
        <f>+IF(Cotizador!$D$12=0.1,IF(OR(Cotizador!H14="LINEA",Cotizador!H14="SUR",Cotizador!H14="ESTADO DE MÉXICO",Cotizador!H14="NOROESTE",Cotizador!H14="SURESTE"),VLOOKUP(Cotizador!H12,Factores!N4:O7,2,FALSE),VLOOKUP(Cotizador!H12,Factores!N4:P7,3,FALSE)),1)</f>
        <v>1</v>
      </c>
      <c r="R1" s="57">
        <f>+VLOOKUP(Cotizador!M9,Factores!R4:S6,2,FALSE)</f>
        <v>1</v>
      </c>
      <c r="X1" s="60" t="s">
        <v>146</v>
      </c>
      <c r="Z1" s="346" t="s">
        <v>90</v>
      </c>
      <c r="AA1" s="347"/>
      <c r="AC1" s="344" t="s">
        <v>34</v>
      </c>
      <c r="AD1" s="348"/>
    </row>
    <row r="2" spans="1:30" ht="15" customHeight="1" thickBot="1" x14ac:dyDescent="0.3">
      <c r="A2" s="48" t="s">
        <v>1</v>
      </c>
      <c r="B2" s="48" t="s">
        <v>106</v>
      </c>
      <c r="C2" s="49" t="s">
        <v>107</v>
      </c>
      <c r="E2" s="344" t="s">
        <v>89</v>
      </c>
      <c r="F2" s="348"/>
      <c r="H2" s="346" t="s">
        <v>90</v>
      </c>
      <c r="I2" s="347"/>
      <c r="K2" s="349" t="s">
        <v>79</v>
      </c>
      <c r="L2" s="350"/>
      <c r="N2" s="354" t="s">
        <v>130</v>
      </c>
      <c r="O2" s="355"/>
      <c r="P2" s="356"/>
      <c r="R2" s="344" t="s">
        <v>86</v>
      </c>
      <c r="S2" s="345"/>
      <c r="W2" s="62" t="s">
        <v>31</v>
      </c>
      <c r="X2" s="63">
        <f>+IF(DATE(Cotizador!F6,Cotizador!E6,Cotizador!D6)&lt;Factores!X3,3153.7,3300.53)</f>
        <v>3300.53</v>
      </c>
      <c r="Z2" s="62" t="s">
        <v>31</v>
      </c>
      <c r="AA2" s="62" t="s">
        <v>83</v>
      </c>
      <c r="AC2" s="62" t="s">
        <v>31</v>
      </c>
      <c r="AD2" s="62" t="s">
        <v>83</v>
      </c>
    </row>
    <row r="3" spans="1:30" ht="15" customHeight="1" thickBot="1" x14ac:dyDescent="0.3">
      <c r="A3" s="50">
        <v>0</v>
      </c>
      <c r="B3" s="51">
        <f t="shared" ref="B3:C22" si="0">+$E$1*$H$1*$K$1*$K$10*$K$18*$N$9*$R$1*$R$8*$R$23*$N$1</f>
        <v>0.20208354964511999</v>
      </c>
      <c r="C3" s="52">
        <f t="shared" si="0"/>
        <v>0.20208354964511999</v>
      </c>
      <c r="E3" s="62" t="s">
        <v>31</v>
      </c>
      <c r="F3" s="62" t="s">
        <v>30</v>
      </c>
      <c r="H3" s="62" t="s">
        <v>31</v>
      </c>
      <c r="I3" s="62" t="s">
        <v>30</v>
      </c>
      <c r="K3" s="62" t="s">
        <v>82</v>
      </c>
      <c r="L3" s="62" t="s">
        <v>30</v>
      </c>
      <c r="N3" s="102" t="s">
        <v>81</v>
      </c>
      <c r="O3" s="102" t="s">
        <v>144</v>
      </c>
      <c r="P3" s="103" t="s">
        <v>143</v>
      </c>
      <c r="R3" s="62" t="s">
        <v>12</v>
      </c>
      <c r="S3" s="62" t="s">
        <v>30</v>
      </c>
      <c r="W3" s="62" t="s">
        <v>145</v>
      </c>
      <c r="X3" s="68">
        <v>45323</v>
      </c>
      <c r="Z3" s="80">
        <f>H4</f>
        <v>0.8</v>
      </c>
      <c r="AA3" s="81">
        <f>ROUND(Z3*$X$2,2)</f>
        <v>2640.42</v>
      </c>
      <c r="AC3" s="80" t="s">
        <v>131</v>
      </c>
      <c r="AD3" s="82">
        <f>ROUND(45*$X$2,2)</f>
        <v>148523.85</v>
      </c>
    </row>
    <row r="4" spans="1:30" ht="15" customHeight="1" thickBot="1" x14ac:dyDescent="0.3">
      <c r="A4" s="50">
        <v>1</v>
      </c>
      <c r="B4" s="51">
        <f t="shared" si="0"/>
        <v>0.20208354964511999</v>
      </c>
      <c r="C4" s="52">
        <f t="shared" si="0"/>
        <v>0.20208354964511999</v>
      </c>
      <c r="E4" s="205">
        <v>19</v>
      </c>
      <c r="F4" s="69">
        <v>0.29409999999999997</v>
      </c>
      <c r="H4" s="70">
        <v>0.8</v>
      </c>
      <c r="I4" s="85">
        <v>1</v>
      </c>
      <c r="K4" s="72">
        <v>0.1</v>
      </c>
      <c r="L4" s="73">
        <v>1</v>
      </c>
      <c r="N4" s="224">
        <v>50000</v>
      </c>
      <c r="O4" s="107">
        <v>1</v>
      </c>
      <c r="P4" s="107">
        <v>1.1000000000000001</v>
      </c>
      <c r="R4" s="78" t="s">
        <v>7</v>
      </c>
      <c r="S4" s="79">
        <v>1</v>
      </c>
      <c r="W4" s="344" t="s">
        <v>89</v>
      </c>
      <c r="X4" s="348"/>
      <c r="Z4" s="90">
        <f t="shared" ref="Z4:Z67" si="1">H5</f>
        <v>3</v>
      </c>
      <c r="AA4" s="91">
        <f t="shared" ref="AA4:AA66" si="2">ROUND(Z4*$X$2,2)</f>
        <v>9901.59</v>
      </c>
      <c r="AC4" s="90">
        <v>60</v>
      </c>
      <c r="AD4" s="92">
        <f t="shared" ref="AD4:AD11" si="3">ROUND(AC4*$X$2,2)</f>
        <v>198031.8</v>
      </c>
    </row>
    <row r="5" spans="1:30" ht="15" customHeight="1" thickBot="1" x14ac:dyDescent="0.3">
      <c r="A5" s="50">
        <v>2</v>
      </c>
      <c r="B5" s="51">
        <f t="shared" si="0"/>
        <v>0.20208354964511999</v>
      </c>
      <c r="C5" s="52">
        <f t="shared" si="0"/>
        <v>0.20208354964511999</v>
      </c>
      <c r="E5" s="206">
        <v>23</v>
      </c>
      <c r="F5" s="83">
        <v>0.3342</v>
      </c>
      <c r="H5" s="70">
        <v>3</v>
      </c>
      <c r="I5" s="83">
        <v>0.91669999999999996</v>
      </c>
      <c r="K5" s="84">
        <v>0.15</v>
      </c>
      <c r="L5" s="85">
        <v>0.94</v>
      </c>
      <c r="N5" s="224">
        <v>40000</v>
      </c>
      <c r="O5" s="107">
        <v>1.05</v>
      </c>
      <c r="P5" s="107">
        <v>1.155</v>
      </c>
      <c r="R5" s="204" t="s">
        <v>76</v>
      </c>
      <c r="S5" s="88">
        <v>1.0289999999999999</v>
      </c>
      <c r="W5" s="62" t="s">
        <v>31</v>
      </c>
      <c r="X5" s="62" t="s">
        <v>83</v>
      </c>
      <c r="Z5" s="90">
        <f t="shared" si="1"/>
        <v>3.1</v>
      </c>
      <c r="AA5" s="91">
        <f t="shared" si="2"/>
        <v>10231.64</v>
      </c>
      <c r="AC5" s="90">
        <v>50</v>
      </c>
      <c r="AD5" s="92">
        <f t="shared" si="3"/>
        <v>165026.5</v>
      </c>
    </row>
    <row r="6" spans="1:30" ht="15" customHeight="1" thickBot="1" x14ac:dyDescent="0.3">
      <c r="A6" s="50">
        <v>3</v>
      </c>
      <c r="B6" s="51">
        <f t="shared" si="0"/>
        <v>0.20208354964511999</v>
      </c>
      <c r="C6" s="52">
        <f t="shared" si="0"/>
        <v>0.20208354964511999</v>
      </c>
      <c r="E6" s="206">
        <v>31</v>
      </c>
      <c r="F6" s="83">
        <v>0.39679999999999999</v>
      </c>
      <c r="H6" s="70">
        <v>3.1</v>
      </c>
      <c r="I6" s="83">
        <v>0.91310000000000002</v>
      </c>
      <c r="K6" s="84">
        <v>0.2</v>
      </c>
      <c r="L6" s="85">
        <v>0.89</v>
      </c>
      <c r="N6" s="224">
        <v>30000</v>
      </c>
      <c r="O6" s="107">
        <v>1.07</v>
      </c>
      <c r="P6" s="107">
        <v>1.177</v>
      </c>
      <c r="R6" s="209" t="s">
        <v>73</v>
      </c>
      <c r="S6" s="94">
        <v>1.0580000000000001</v>
      </c>
      <c r="W6" s="80">
        <v>19</v>
      </c>
      <c r="X6" s="81">
        <f>+ROUND(W6*$X$2,2)</f>
        <v>62710.07</v>
      </c>
      <c r="Z6" s="90">
        <f t="shared" si="1"/>
        <v>3.3</v>
      </c>
      <c r="AA6" s="91">
        <f t="shared" si="2"/>
        <v>10891.75</v>
      </c>
      <c r="AC6" s="90">
        <v>40</v>
      </c>
      <c r="AD6" s="92">
        <f t="shared" si="3"/>
        <v>132021.20000000001</v>
      </c>
    </row>
    <row r="7" spans="1:30" ht="15" customHeight="1" thickBot="1" x14ac:dyDescent="0.3">
      <c r="A7" s="50">
        <v>4</v>
      </c>
      <c r="B7" s="51">
        <f t="shared" si="0"/>
        <v>0.20208354964511999</v>
      </c>
      <c r="C7" s="52">
        <f t="shared" si="0"/>
        <v>0.20208354964511999</v>
      </c>
      <c r="E7" s="206">
        <v>38</v>
      </c>
      <c r="F7" s="83">
        <v>0.4395</v>
      </c>
      <c r="H7" s="70">
        <v>3.3</v>
      </c>
      <c r="I7" s="83">
        <v>0.90600000000000003</v>
      </c>
      <c r="K7" s="84">
        <v>0.25</v>
      </c>
      <c r="L7" s="85">
        <v>0.83</v>
      </c>
      <c r="N7" s="111" t="s">
        <v>7</v>
      </c>
      <c r="O7" s="198">
        <v>1</v>
      </c>
      <c r="P7" s="198">
        <v>1</v>
      </c>
      <c r="W7" s="90">
        <v>23</v>
      </c>
      <c r="X7" s="91">
        <f t="shared" ref="X7:X73" si="4">ROUND(W7*$X$2,2)</f>
        <v>75912.19</v>
      </c>
      <c r="Z7" s="90">
        <f t="shared" si="1"/>
        <v>3.5</v>
      </c>
      <c r="AA7" s="91">
        <f t="shared" si="2"/>
        <v>11551.86</v>
      </c>
      <c r="AC7" s="90">
        <v>36</v>
      </c>
      <c r="AD7" s="92">
        <f t="shared" si="3"/>
        <v>118819.08</v>
      </c>
    </row>
    <row r="8" spans="1:30" ht="15" customHeight="1" thickBot="1" x14ac:dyDescent="0.35">
      <c r="A8" s="50">
        <v>5</v>
      </c>
      <c r="B8" s="51">
        <f t="shared" si="0"/>
        <v>0.20208354964511999</v>
      </c>
      <c r="C8" s="52">
        <f t="shared" si="0"/>
        <v>0.20208354964511999</v>
      </c>
      <c r="E8" s="206">
        <v>46</v>
      </c>
      <c r="F8" s="83">
        <v>0.47960000000000003</v>
      </c>
      <c r="H8" s="70">
        <v>3.5</v>
      </c>
      <c r="I8" s="83">
        <v>0.89880000000000004</v>
      </c>
      <c r="K8" s="96">
        <v>0.3</v>
      </c>
      <c r="L8" s="97">
        <v>0.78</v>
      </c>
      <c r="R8" s="57">
        <f>+VLOOKUP(Cotizador!M10,Factores!R11:S14,2,FALSE)</f>
        <v>1</v>
      </c>
      <c r="W8" s="90">
        <v>31</v>
      </c>
      <c r="X8" s="91">
        <f t="shared" si="4"/>
        <v>102316.43</v>
      </c>
      <c r="Z8" s="90">
        <f t="shared" si="1"/>
        <v>3.8</v>
      </c>
      <c r="AA8" s="91">
        <f t="shared" si="2"/>
        <v>12542.01</v>
      </c>
      <c r="AC8" s="90">
        <v>33</v>
      </c>
      <c r="AD8" s="92">
        <f t="shared" si="3"/>
        <v>108917.49</v>
      </c>
    </row>
    <row r="9" spans="1:30" ht="15" customHeight="1" thickBot="1" x14ac:dyDescent="0.35">
      <c r="A9" s="50">
        <v>6</v>
      </c>
      <c r="B9" s="51">
        <f t="shared" si="0"/>
        <v>0.20208354964511999</v>
      </c>
      <c r="C9" s="52">
        <f t="shared" si="0"/>
        <v>0.20208354964511999</v>
      </c>
      <c r="E9" s="206">
        <v>53</v>
      </c>
      <c r="F9" s="83">
        <v>0.50929999999999997</v>
      </c>
      <c r="H9" s="70">
        <v>3.8</v>
      </c>
      <c r="I9" s="85">
        <v>0.88819999999999999</v>
      </c>
      <c r="K9" s="98"/>
      <c r="N9" s="57">
        <f>+VLOOKUP(Cotizador!D14,Factores!N11:P42,3,FALSE)</f>
        <v>0.60819999999999996</v>
      </c>
      <c r="R9" s="344" t="s">
        <v>67</v>
      </c>
      <c r="S9" s="345"/>
      <c r="W9" s="90">
        <v>38</v>
      </c>
      <c r="X9" s="91">
        <f t="shared" si="4"/>
        <v>125420.14</v>
      </c>
      <c r="Z9" s="90">
        <f t="shared" si="1"/>
        <v>4</v>
      </c>
      <c r="AA9" s="91">
        <f t="shared" si="2"/>
        <v>13202.12</v>
      </c>
      <c r="AC9" s="90">
        <v>30</v>
      </c>
      <c r="AD9" s="92">
        <f t="shared" si="3"/>
        <v>99015.9</v>
      </c>
    </row>
    <row r="10" spans="1:30" ht="15" customHeight="1" thickBot="1" x14ac:dyDescent="0.35">
      <c r="A10" s="50">
        <v>7</v>
      </c>
      <c r="B10" s="51">
        <f t="shared" si="0"/>
        <v>0.20208354964511999</v>
      </c>
      <c r="C10" s="52">
        <f t="shared" si="0"/>
        <v>0.20208354964511999</v>
      </c>
      <c r="E10" s="206">
        <v>61</v>
      </c>
      <c r="F10" s="83">
        <v>0.53879999999999995</v>
      </c>
      <c r="H10" s="70">
        <v>4</v>
      </c>
      <c r="I10" s="85">
        <v>0.88119999999999998</v>
      </c>
      <c r="K10" s="58">
        <f>+VLOOKUP(Cotizador!D13,Factores!K13:L16,2,FALSE)</f>
        <v>1</v>
      </c>
      <c r="N10" s="61" t="s">
        <v>88</v>
      </c>
      <c r="O10" s="61" t="s">
        <v>87</v>
      </c>
      <c r="P10" s="61" t="s">
        <v>30</v>
      </c>
      <c r="R10" s="62" t="s">
        <v>12</v>
      </c>
      <c r="S10" s="62" t="s">
        <v>30</v>
      </c>
      <c r="W10" s="90">
        <v>46</v>
      </c>
      <c r="X10" s="91">
        <f t="shared" si="4"/>
        <v>151824.38</v>
      </c>
      <c r="Z10" s="90">
        <f t="shared" si="1"/>
        <v>4.0999999999999996</v>
      </c>
      <c r="AA10" s="91">
        <f t="shared" si="2"/>
        <v>13532.17</v>
      </c>
      <c r="AC10" s="90">
        <v>27</v>
      </c>
      <c r="AD10" s="92">
        <f t="shared" si="3"/>
        <v>89114.31</v>
      </c>
    </row>
    <row r="11" spans="1:30" ht="15" customHeight="1" thickBot="1" x14ac:dyDescent="0.3">
      <c r="A11" s="50">
        <v>8</v>
      </c>
      <c r="B11" s="51">
        <f t="shared" si="0"/>
        <v>0.20208354964511999</v>
      </c>
      <c r="C11" s="52">
        <f t="shared" si="0"/>
        <v>0.20208354964511999</v>
      </c>
      <c r="E11" s="206">
        <v>69</v>
      </c>
      <c r="F11" s="83">
        <v>0.56459999999999999</v>
      </c>
      <c r="H11" s="70">
        <v>4.0999999999999996</v>
      </c>
      <c r="I11" s="85">
        <v>0.87780000000000002</v>
      </c>
      <c r="K11" s="344" t="s">
        <v>53</v>
      </c>
      <c r="L11" s="348"/>
      <c r="N11" s="65" t="s">
        <v>80</v>
      </c>
      <c r="O11" s="66" t="s">
        <v>13</v>
      </c>
      <c r="P11" s="199">
        <v>0.60819999999999996</v>
      </c>
      <c r="R11" s="78" t="s">
        <v>7</v>
      </c>
      <c r="S11" s="78">
        <v>1</v>
      </c>
      <c r="W11" s="90">
        <v>53</v>
      </c>
      <c r="X11" s="91">
        <f t="shared" si="4"/>
        <v>174928.09</v>
      </c>
      <c r="Z11" s="90">
        <f t="shared" si="1"/>
        <v>4.5</v>
      </c>
      <c r="AA11" s="91">
        <f t="shared" si="2"/>
        <v>14852.39</v>
      </c>
      <c r="AC11" s="90">
        <v>24</v>
      </c>
      <c r="AD11" s="92">
        <f t="shared" si="3"/>
        <v>79212.72</v>
      </c>
    </row>
    <row r="12" spans="1:30" ht="15" customHeight="1" thickBot="1" x14ac:dyDescent="0.3">
      <c r="A12" s="50">
        <v>9</v>
      </c>
      <c r="B12" s="51">
        <f t="shared" si="0"/>
        <v>0.20208354964511999</v>
      </c>
      <c r="C12" s="52">
        <f t="shared" si="0"/>
        <v>0.20208354964511999</v>
      </c>
      <c r="E12" s="206">
        <v>75</v>
      </c>
      <c r="F12" s="83">
        <v>0.58209999999999995</v>
      </c>
      <c r="H12" s="70">
        <v>4.5</v>
      </c>
      <c r="I12" s="85">
        <v>0.86399999999999999</v>
      </c>
      <c r="K12" s="64" t="s">
        <v>51</v>
      </c>
      <c r="L12" s="64" t="s">
        <v>30</v>
      </c>
      <c r="N12" s="76" t="s">
        <v>78</v>
      </c>
      <c r="O12" s="77" t="s">
        <v>23</v>
      </c>
      <c r="P12" s="200">
        <v>0.49159999999999998</v>
      </c>
      <c r="R12" s="87" t="s">
        <v>61</v>
      </c>
      <c r="S12" s="101">
        <v>2.3574000000000002</v>
      </c>
      <c r="W12" s="90">
        <v>61</v>
      </c>
      <c r="X12" s="91">
        <f t="shared" si="4"/>
        <v>201332.33</v>
      </c>
      <c r="Z12" s="90">
        <f t="shared" si="1"/>
        <v>4.5999999999999996</v>
      </c>
      <c r="AA12" s="91">
        <f t="shared" si="2"/>
        <v>15182.44</v>
      </c>
      <c r="AC12" s="105">
        <v>21</v>
      </c>
      <c r="AD12" s="106">
        <f>ROUND(AC12*$X$2,2)</f>
        <v>69311.13</v>
      </c>
    </row>
    <row r="13" spans="1:30" ht="15" customHeight="1" x14ac:dyDescent="0.25">
      <c r="A13" s="50">
        <v>10</v>
      </c>
      <c r="B13" s="51">
        <f t="shared" si="0"/>
        <v>0.20208354964511999</v>
      </c>
      <c r="C13" s="52">
        <f t="shared" si="0"/>
        <v>0.20208354964511999</v>
      </c>
      <c r="E13" s="206">
        <v>76</v>
      </c>
      <c r="F13" s="83">
        <v>0.58489999999999998</v>
      </c>
      <c r="H13" s="70">
        <v>4.5999999999999996</v>
      </c>
      <c r="I13" s="85">
        <v>0.86060000000000003</v>
      </c>
      <c r="K13" s="74" t="s">
        <v>44</v>
      </c>
      <c r="L13" s="75">
        <v>0.85</v>
      </c>
      <c r="N13" s="76" t="s">
        <v>77</v>
      </c>
      <c r="O13" s="86" t="s">
        <v>23</v>
      </c>
      <c r="P13" s="200">
        <v>0.49159999999999998</v>
      </c>
      <c r="R13" s="87" t="s">
        <v>59</v>
      </c>
      <c r="S13" s="71">
        <v>2.0594000000000001</v>
      </c>
      <c r="W13" s="90">
        <v>69</v>
      </c>
      <c r="X13" s="91">
        <f t="shared" si="4"/>
        <v>227736.57</v>
      </c>
      <c r="Z13" s="90">
        <f t="shared" si="1"/>
        <v>4.8</v>
      </c>
      <c r="AA13" s="91">
        <f t="shared" si="2"/>
        <v>15842.54</v>
      </c>
    </row>
    <row r="14" spans="1:30" ht="15" customHeight="1" thickBot="1" x14ac:dyDescent="0.3">
      <c r="A14" s="50">
        <v>11</v>
      </c>
      <c r="B14" s="51">
        <f t="shared" si="0"/>
        <v>0.20208354964511999</v>
      </c>
      <c r="C14" s="52">
        <f t="shared" si="0"/>
        <v>0.20208354964511999</v>
      </c>
      <c r="E14" s="206">
        <v>100</v>
      </c>
      <c r="F14" s="83">
        <v>0.64249999999999996</v>
      </c>
      <c r="H14" s="70">
        <v>4.8</v>
      </c>
      <c r="I14" s="85">
        <v>0.85389999999999999</v>
      </c>
      <c r="K14" s="74" t="s">
        <v>47</v>
      </c>
      <c r="L14" s="75">
        <v>0.9</v>
      </c>
      <c r="N14" s="76" t="s">
        <v>74</v>
      </c>
      <c r="O14" s="86" t="s">
        <v>15</v>
      </c>
      <c r="P14" s="201">
        <v>0.43109999999999998</v>
      </c>
      <c r="R14" s="108" t="s">
        <v>57</v>
      </c>
      <c r="S14" s="109">
        <v>1.4631000000000001</v>
      </c>
      <c r="W14" s="90">
        <v>75</v>
      </c>
      <c r="X14" s="91">
        <f t="shared" si="4"/>
        <v>247539.75</v>
      </c>
      <c r="Z14" s="90">
        <f t="shared" si="1"/>
        <v>5</v>
      </c>
      <c r="AA14" s="91">
        <f t="shared" si="2"/>
        <v>16502.650000000001</v>
      </c>
    </row>
    <row r="15" spans="1:30" ht="15" customHeight="1" x14ac:dyDescent="0.25">
      <c r="A15" s="50">
        <v>12</v>
      </c>
      <c r="B15" s="51">
        <f t="shared" si="0"/>
        <v>0.20208354964511999</v>
      </c>
      <c r="C15" s="52">
        <f t="shared" si="0"/>
        <v>0.20208354964511999</v>
      </c>
      <c r="E15" s="206">
        <v>125</v>
      </c>
      <c r="F15" s="83">
        <v>0.68930000000000002</v>
      </c>
      <c r="H15" s="70">
        <v>5</v>
      </c>
      <c r="I15" s="85">
        <v>0.84709999999999996</v>
      </c>
      <c r="K15" s="74" t="s">
        <v>49</v>
      </c>
      <c r="L15" s="75">
        <v>1</v>
      </c>
      <c r="N15" s="76" t="s">
        <v>70</v>
      </c>
      <c r="O15" s="86" t="s">
        <v>17</v>
      </c>
      <c r="P15" s="201">
        <v>0.59830000000000005</v>
      </c>
      <c r="W15" s="90">
        <v>76</v>
      </c>
      <c r="X15" s="91">
        <f t="shared" si="4"/>
        <v>250840.28</v>
      </c>
      <c r="Z15" s="90">
        <f t="shared" si="1"/>
        <v>5.3</v>
      </c>
      <c r="AA15" s="91">
        <f t="shared" si="2"/>
        <v>17492.810000000001</v>
      </c>
      <c r="AD15" s="110"/>
    </row>
    <row r="16" spans="1:30" ht="15" customHeight="1" thickBot="1" x14ac:dyDescent="0.35">
      <c r="A16" s="50">
        <v>13</v>
      </c>
      <c r="B16" s="51">
        <f t="shared" si="0"/>
        <v>0.20208354964511999</v>
      </c>
      <c r="C16" s="52">
        <f t="shared" si="0"/>
        <v>0.20208354964511999</v>
      </c>
      <c r="E16" s="206">
        <v>150</v>
      </c>
      <c r="F16" s="83">
        <v>0.72750000000000004</v>
      </c>
      <c r="H16" s="70">
        <v>5.3</v>
      </c>
      <c r="I16" s="85">
        <v>0.83709999999999996</v>
      </c>
      <c r="K16" s="96" t="s">
        <v>41</v>
      </c>
      <c r="L16" s="120">
        <v>1.2</v>
      </c>
      <c r="N16" s="76" t="s">
        <v>68</v>
      </c>
      <c r="O16" s="86" t="s">
        <v>23</v>
      </c>
      <c r="P16" s="200">
        <v>0.49159999999999998</v>
      </c>
      <c r="R16" s="57">
        <f>+VLOOKUP(Cotizador!M16,Factores!R19:S21,2,FALSE)</f>
        <v>1</v>
      </c>
      <c r="W16" s="90">
        <v>100</v>
      </c>
      <c r="X16" s="91">
        <f t="shared" si="4"/>
        <v>330053</v>
      </c>
      <c r="Z16" s="90">
        <f t="shared" si="1"/>
        <v>5.5</v>
      </c>
      <c r="AA16" s="91">
        <f t="shared" si="2"/>
        <v>18152.919999999998</v>
      </c>
      <c r="AD16" s="112"/>
    </row>
    <row r="17" spans="1:30" ht="15" customHeight="1" thickBot="1" x14ac:dyDescent="0.3">
      <c r="A17" s="50">
        <v>14</v>
      </c>
      <c r="B17" s="51">
        <f t="shared" si="0"/>
        <v>0.20208354964511999</v>
      </c>
      <c r="C17" s="52">
        <f t="shared" si="0"/>
        <v>0.20208354964511999</v>
      </c>
      <c r="E17" s="206">
        <v>153</v>
      </c>
      <c r="F17" s="83">
        <v>0.73170000000000002</v>
      </c>
      <c r="H17" s="70">
        <v>5.5</v>
      </c>
      <c r="I17" s="85">
        <v>0.83050000000000002</v>
      </c>
      <c r="N17" s="76" t="s">
        <v>65</v>
      </c>
      <c r="O17" s="77" t="s">
        <v>64</v>
      </c>
      <c r="P17" s="200">
        <v>1</v>
      </c>
      <c r="R17" s="344" t="s">
        <v>85</v>
      </c>
      <c r="S17" s="345"/>
      <c r="W17" s="90">
        <v>125</v>
      </c>
      <c r="X17" s="91">
        <f t="shared" si="4"/>
        <v>412566.25</v>
      </c>
      <c r="Z17" s="90">
        <f t="shared" si="1"/>
        <v>5.6</v>
      </c>
      <c r="AA17" s="91">
        <f t="shared" si="2"/>
        <v>18482.97</v>
      </c>
      <c r="AD17" s="112"/>
    </row>
    <row r="18" spans="1:30" ht="15" customHeight="1" thickBot="1" x14ac:dyDescent="0.35">
      <c r="A18" s="50">
        <v>15</v>
      </c>
      <c r="B18" s="51">
        <f t="shared" si="0"/>
        <v>0.20208354964511999</v>
      </c>
      <c r="C18" s="52">
        <f t="shared" si="0"/>
        <v>0.20208354964511999</v>
      </c>
      <c r="E18" s="206">
        <v>200</v>
      </c>
      <c r="F18" s="83">
        <v>0.78779999999999994</v>
      </c>
      <c r="H18" s="70">
        <v>5.6</v>
      </c>
      <c r="I18" s="85">
        <v>0.82730000000000004</v>
      </c>
      <c r="K18" s="57">
        <f>+VLOOKUP(Cotizador!H13,Factores!K21:L30,2,FALSE)</f>
        <v>1</v>
      </c>
      <c r="N18" s="76" t="s">
        <v>63</v>
      </c>
      <c r="O18" s="86" t="s">
        <v>20</v>
      </c>
      <c r="P18" s="201">
        <v>0.64490000000000003</v>
      </c>
      <c r="R18" s="62" t="s">
        <v>79</v>
      </c>
      <c r="S18" s="62" t="s">
        <v>5</v>
      </c>
      <c r="W18" s="90">
        <v>150</v>
      </c>
      <c r="X18" s="91">
        <f t="shared" si="4"/>
        <v>495079.5</v>
      </c>
      <c r="Z18" s="90">
        <f t="shared" si="1"/>
        <v>6</v>
      </c>
      <c r="AA18" s="91">
        <f t="shared" si="2"/>
        <v>19803.18</v>
      </c>
      <c r="AD18" s="112"/>
    </row>
    <row r="19" spans="1:30" ht="15" customHeight="1" thickBot="1" x14ac:dyDescent="0.3">
      <c r="A19" s="50">
        <v>16</v>
      </c>
      <c r="B19" s="51">
        <f t="shared" si="0"/>
        <v>0.20208354964511999</v>
      </c>
      <c r="C19" s="52">
        <f t="shared" si="0"/>
        <v>0.20208354964511999</v>
      </c>
      <c r="E19" s="206">
        <v>220</v>
      </c>
      <c r="F19" s="83">
        <v>0.80779999999999996</v>
      </c>
      <c r="H19" s="70">
        <v>6</v>
      </c>
      <c r="I19" s="85">
        <v>0.81430000000000002</v>
      </c>
      <c r="K19" s="344" t="s">
        <v>34</v>
      </c>
      <c r="L19" s="348"/>
      <c r="N19" s="76" t="s">
        <v>62</v>
      </c>
      <c r="O19" s="86" t="s">
        <v>42</v>
      </c>
      <c r="P19" s="201">
        <v>0.62270000000000003</v>
      </c>
      <c r="R19" s="67" t="s">
        <v>7</v>
      </c>
      <c r="S19" s="67">
        <v>1</v>
      </c>
      <c r="W19" s="90">
        <v>153</v>
      </c>
      <c r="X19" s="91">
        <f t="shared" si="4"/>
        <v>504981.09</v>
      </c>
      <c r="Z19" s="90">
        <f t="shared" si="1"/>
        <v>6.1</v>
      </c>
      <c r="AA19" s="91">
        <f t="shared" si="2"/>
        <v>20133.23</v>
      </c>
      <c r="AD19" s="112"/>
    </row>
    <row r="20" spans="1:30" ht="15" customHeight="1" thickBot="1" x14ac:dyDescent="0.3">
      <c r="A20" s="50">
        <v>17</v>
      </c>
      <c r="B20" s="51">
        <f t="shared" si="0"/>
        <v>0.20208354964511999</v>
      </c>
      <c r="C20" s="52">
        <f t="shared" si="0"/>
        <v>0.20208354964511999</v>
      </c>
      <c r="E20" s="206">
        <v>225</v>
      </c>
      <c r="F20" s="83">
        <v>0.8125</v>
      </c>
      <c r="H20" s="70">
        <v>6.1</v>
      </c>
      <c r="I20" s="85">
        <v>0.81110000000000004</v>
      </c>
      <c r="K20" s="99" t="s">
        <v>31</v>
      </c>
      <c r="L20" s="99" t="s">
        <v>30</v>
      </c>
      <c r="N20" s="76" t="s">
        <v>60</v>
      </c>
      <c r="O20" s="77" t="s">
        <v>20</v>
      </c>
      <c r="P20" s="200">
        <v>0.64490000000000003</v>
      </c>
      <c r="R20" s="53" t="s">
        <v>132</v>
      </c>
      <c r="S20" s="89">
        <v>1.1499999999999999</v>
      </c>
      <c r="W20" s="90">
        <v>200</v>
      </c>
      <c r="X20" s="91">
        <f t="shared" si="4"/>
        <v>660106</v>
      </c>
      <c r="Z20" s="90">
        <f t="shared" si="1"/>
        <v>6.3</v>
      </c>
      <c r="AA20" s="91">
        <f t="shared" si="2"/>
        <v>20793.34</v>
      </c>
      <c r="AD20" s="112"/>
    </row>
    <row r="21" spans="1:30" ht="15" customHeight="1" thickBot="1" x14ac:dyDescent="0.3">
      <c r="A21" s="50">
        <v>18</v>
      </c>
      <c r="B21" s="51">
        <f t="shared" si="0"/>
        <v>0.20208354964511999</v>
      </c>
      <c r="C21" s="52">
        <f t="shared" si="0"/>
        <v>0.20208354964511999</v>
      </c>
      <c r="E21" s="206">
        <v>229</v>
      </c>
      <c r="F21" s="83">
        <v>0.81620000000000004</v>
      </c>
      <c r="H21" s="70">
        <v>6.3</v>
      </c>
      <c r="I21" s="85">
        <v>0.80469999999999997</v>
      </c>
      <c r="K21" s="100" t="s">
        <v>131</v>
      </c>
      <c r="L21" s="195">
        <v>1.4286000000000001</v>
      </c>
      <c r="N21" s="76" t="s">
        <v>58</v>
      </c>
      <c r="O21" s="86" t="s">
        <v>45</v>
      </c>
      <c r="P21" s="200">
        <v>0.86</v>
      </c>
      <c r="R21" s="54" t="s">
        <v>133</v>
      </c>
      <c r="S21" s="95">
        <v>1.3</v>
      </c>
      <c r="W21" s="90">
        <v>220</v>
      </c>
      <c r="X21" s="91">
        <f t="shared" si="4"/>
        <v>726116.6</v>
      </c>
      <c r="Z21" s="90">
        <f t="shared" si="1"/>
        <v>6.5</v>
      </c>
      <c r="AA21" s="91">
        <f t="shared" si="2"/>
        <v>21453.45</v>
      </c>
      <c r="AD21" s="112"/>
    </row>
    <row r="22" spans="1:30" ht="15" customHeight="1" x14ac:dyDescent="0.25">
      <c r="A22" s="50">
        <v>19</v>
      </c>
      <c r="B22" s="51">
        <f t="shared" si="0"/>
        <v>0.20208354964511999</v>
      </c>
      <c r="C22" s="52">
        <f t="shared" si="0"/>
        <v>0.20208354964511999</v>
      </c>
      <c r="E22" s="206">
        <v>245</v>
      </c>
      <c r="F22" s="83">
        <v>0.83020000000000005</v>
      </c>
      <c r="H22" s="70">
        <v>6.5</v>
      </c>
      <c r="I22" s="85">
        <v>0.79830000000000001</v>
      </c>
      <c r="K22" s="104">
        <v>60</v>
      </c>
      <c r="L22" s="196">
        <v>1.6484000000000001</v>
      </c>
      <c r="N22" s="76" t="s">
        <v>55</v>
      </c>
      <c r="O22" s="86" t="s">
        <v>13</v>
      </c>
      <c r="P22" s="200">
        <v>0.60819999999999996</v>
      </c>
      <c r="W22" s="90">
        <v>225</v>
      </c>
      <c r="X22" s="91">
        <f t="shared" si="4"/>
        <v>742619.25</v>
      </c>
      <c r="Z22" s="90">
        <f t="shared" si="1"/>
        <v>6.9</v>
      </c>
      <c r="AA22" s="91">
        <f t="shared" si="2"/>
        <v>22773.66</v>
      </c>
      <c r="AD22" s="112"/>
    </row>
    <row r="23" spans="1:30" ht="15" customHeight="1" thickBot="1" x14ac:dyDescent="0.35">
      <c r="A23" s="50">
        <v>20</v>
      </c>
      <c r="B23" s="51">
        <f t="shared" ref="B23:B54" si="5">+$E$1*$H$1*$K$1*$K$10*$K$18*$N$9*$R$1*$R$8*$R$23*$N$1</f>
        <v>0.20208354964511999</v>
      </c>
      <c r="C23" s="52">
        <f t="shared" ref="C23:C40" si="6">+$E$1*$H$1*$K$1*$K$10*$K$18*$N$9*$R$1*$R$8*$R$23*$N$1*$R$16</f>
        <v>0.20208354964511999</v>
      </c>
      <c r="E23" s="206">
        <v>250</v>
      </c>
      <c r="F23" s="83">
        <v>0.83460000000000001</v>
      </c>
      <c r="H23" s="70">
        <v>6.9</v>
      </c>
      <c r="I23" s="85">
        <v>0.78580000000000005</v>
      </c>
      <c r="K23" s="104">
        <v>50</v>
      </c>
      <c r="L23" s="196">
        <v>1.4652000000000001</v>
      </c>
      <c r="N23" s="76" t="s">
        <v>54</v>
      </c>
      <c r="O23" s="86" t="s">
        <v>17</v>
      </c>
      <c r="P23" s="200">
        <v>0.59830000000000005</v>
      </c>
      <c r="R23" s="57">
        <f>+VLOOKUP(Cotizador!M11,Factores!R26:S27,2,FALSE)</f>
        <v>1</v>
      </c>
      <c r="W23" s="90">
        <v>229</v>
      </c>
      <c r="X23" s="91">
        <f t="shared" si="4"/>
        <v>755821.37</v>
      </c>
      <c r="Z23" s="90">
        <f t="shared" si="1"/>
        <v>7</v>
      </c>
      <c r="AA23" s="91">
        <f t="shared" si="2"/>
        <v>23103.71</v>
      </c>
      <c r="AD23" s="112"/>
    </row>
    <row r="24" spans="1:30" ht="15" customHeight="1" thickBot="1" x14ac:dyDescent="0.3">
      <c r="A24" s="50">
        <v>21</v>
      </c>
      <c r="B24" s="51">
        <f t="shared" si="5"/>
        <v>0.20208354964511999</v>
      </c>
      <c r="C24" s="52">
        <f t="shared" si="6"/>
        <v>0.20208354964511999</v>
      </c>
      <c r="E24" s="206">
        <v>275</v>
      </c>
      <c r="F24" s="83">
        <v>0.85460000000000003</v>
      </c>
      <c r="H24" s="70">
        <v>7</v>
      </c>
      <c r="I24" s="85">
        <v>0.78269999999999995</v>
      </c>
      <c r="K24" s="104">
        <v>40</v>
      </c>
      <c r="L24" s="196">
        <v>1.3919999999999999</v>
      </c>
      <c r="N24" s="76" t="s">
        <v>52</v>
      </c>
      <c r="O24" s="77" t="s">
        <v>45</v>
      </c>
      <c r="P24" s="200">
        <v>0.86</v>
      </c>
      <c r="R24" s="344" t="s">
        <v>66</v>
      </c>
      <c r="S24" s="345"/>
      <c r="W24" s="90">
        <v>245</v>
      </c>
      <c r="X24" s="91">
        <f t="shared" si="4"/>
        <v>808629.85</v>
      </c>
      <c r="Z24" s="90">
        <f t="shared" si="1"/>
        <v>7.1</v>
      </c>
      <c r="AA24" s="91">
        <f t="shared" si="2"/>
        <v>23433.759999999998</v>
      </c>
      <c r="AD24" s="112"/>
    </row>
    <row r="25" spans="1:30" ht="15" customHeight="1" thickBot="1" x14ac:dyDescent="0.35">
      <c r="A25" s="50">
        <v>22</v>
      </c>
      <c r="B25" s="51">
        <f t="shared" si="5"/>
        <v>0.20208354964511999</v>
      </c>
      <c r="C25" s="52">
        <f t="shared" si="6"/>
        <v>0.20208354964511999</v>
      </c>
      <c r="E25" s="206">
        <v>300</v>
      </c>
      <c r="F25" s="83">
        <v>0.87290000000000001</v>
      </c>
      <c r="H25" s="70">
        <v>7.1</v>
      </c>
      <c r="I25" s="85">
        <v>0.77959999999999996</v>
      </c>
      <c r="K25" s="104">
        <v>36</v>
      </c>
      <c r="L25" s="196">
        <v>1.3319000000000001</v>
      </c>
      <c r="N25" s="76" t="s">
        <v>50</v>
      </c>
      <c r="O25" s="86" t="s">
        <v>42</v>
      </c>
      <c r="P25" s="202">
        <v>0.62270000000000003</v>
      </c>
      <c r="R25" s="62" t="s">
        <v>27</v>
      </c>
      <c r="S25" s="62" t="s">
        <v>5</v>
      </c>
      <c r="W25" s="90">
        <v>250</v>
      </c>
      <c r="X25" s="91">
        <f t="shared" si="4"/>
        <v>825132.5</v>
      </c>
      <c r="Z25" s="90">
        <f t="shared" si="1"/>
        <v>7.5</v>
      </c>
      <c r="AA25" s="91">
        <f t="shared" si="2"/>
        <v>24753.98</v>
      </c>
      <c r="AD25" s="112"/>
    </row>
    <row r="26" spans="1:30" ht="15" customHeight="1" x14ac:dyDescent="0.25">
      <c r="A26" s="50">
        <v>23</v>
      </c>
      <c r="B26" s="51">
        <f t="shared" si="5"/>
        <v>0.20208354964511999</v>
      </c>
      <c r="C26" s="52">
        <f t="shared" si="6"/>
        <v>0.20208354964511999</v>
      </c>
      <c r="E26" s="206">
        <v>305</v>
      </c>
      <c r="F26" s="83">
        <v>0.87629999999999997</v>
      </c>
      <c r="H26" s="70">
        <v>7.5</v>
      </c>
      <c r="I26" s="85">
        <v>0.76739999999999997</v>
      </c>
      <c r="K26" s="104">
        <v>33</v>
      </c>
      <c r="L26" s="196">
        <v>1.2088000000000001</v>
      </c>
      <c r="N26" s="76" t="s">
        <v>48</v>
      </c>
      <c r="O26" s="86" t="s">
        <v>25</v>
      </c>
      <c r="P26" s="200">
        <v>0.56869999999999998</v>
      </c>
      <c r="R26" s="67" t="s">
        <v>7</v>
      </c>
      <c r="S26" s="67">
        <v>1</v>
      </c>
      <c r="W26" s="90">
        <v>275</v>
      </c>
      <c r="X26" s="91">
        <f t="shared" si="4"/>
        <v>907645.75</v>
      </c>
      <c r="Z26" s="90">
        <f t="shared" si="1"/>
        <v>7.6</v>
      </c>
      <c r="AA26" s="91">
        <f t="shared" si="2"/>
        <v>25084.03</v>
      </c>
    </row>
    <row r="27" spans="1:30" ht="15" customHeight="1" thickBot="1" x14ac:dyDescent="0.3">
      <c r="A27" s="50">
        <v>24</v>
      </c>
      <c r="B27" s="51">
        <f t="shared" si="5"/>
        <v>0.20208354964511999</v>
      </c>
      <c r="C27" s="52">
        <f t="shared" si="6"/>
        <v>0.20208354964511999</v>
      </c>
      <c r="E27" s="206">
        <v>325</v>
      </c>
      <c r="F27" s="83">
        <v>0.88970000000000005</v>
      </c>
      <c r="H27" s="70">
        <v>7.6</v>
      </c>
      <c r="I27" s="85">
        <v>0.76439999999999997</v>
      </c>
      <c r="K27" s="104">
        <v>30</v>
      </c>
      <c r="L27" s="196">
        <v>1.1648000000000001</v>
      </c>
      <c r="N27" s="76" t="s">
        <v>46</v>
      </c>
      <c r="O27" s="86" t="s">
        <v>45</v>
      </c>
      <c r="P27" s="200">
        <v>0.86</v>
      </c>
      <c r="R27" s="93" t="s">
        <v>6</v>
      </c>
      <c r="S27" s="93">
        <v>1.04</v>
      </c>
      <c r="W27" s="90">
        <v>300</v>
      </c>
      <c r="X27" s="91">
        <f t="shared" si="4"/>
        <v>990159</v>
      </c>
      <c r="Z27" s="90">
        <f t="shared" si="1"/>
        <v>7.9</v>
      </c>
      <c r="AA27" s="91">
        <f t="shared" si="2"/>
        <v>26074.19</v>
      </c>
    </row>
    <row r="28" spans="1:30" ht="15" customHeight="1" x14ac:dyDescent="0.25">
      <c r="A28" s="50">
        <v>25</v>
      </c>
      <c r="B28" s="51">
        <f t="shared" si="5"/>
        <v>0.20208354964511999</v>
      </c>
      <c r="C28" s="52">
        <f t="shared" si="6"/>
        <v>0.20208354964511999</v>
      </c>
      <c r="E28" s="206">
        <v>350</v>
      </c>
      <c r="F28" s="83">
        <v>0.9052</v>
      </c>
      <c r="H28" s="70">
        <v>7.9</v>
      </c>
      <c r="I28" s="85">
        <v>0.75539999999999996</v>
      </c>
      <c r="K28" s="104">
        <v>27</v>
      </c>
      <c r="L28" s="196">
        <v>1.1175999999999999</v>
      </c>
      <c r="N28" s="76" t="s">
        <v>43</v>
      </c>
      <c r="O28" s="77" t="s">
        <v>42</v>
      </c>
      <c r="P28" s="200">
        <v>0.62270000000000003</v>
      </c>
      <c r="W28" s="90">
        <v>305</v>
      </c>
      <c r="X28" s="91">
        <f t="shared" si="4"/>
        <v>1006661.65</v>
      </c>
      <c r="Z28" s="90">
        <f t="shared" si="1"/>
        <v>8</v>
      </c>
      <c r="AA28" s="91">
        <f t="shared" si="2"/>
        <v>26404.240000000002</v>
      </c>
    </row>
    <row r="29" spans="1:30" ht="15" customHeight="1" x14ac:dyDescent="0.25">
      <c r="A29" s="50">
        <v>26</v>
      </c>
      <c r="B29" s="51">
        <f t="shared" si="5"/>
        <v>0.20208354964511999</v>
      </c>
      <c r="C29" s="52">
        <f t="shared" si="6"/>
        <v>0.20208354964511999</v>
      </c>
      <c r="E29" s="206">
        <v>370</v>
      </c>
      <c r="F29" s="83">
        <v>0.91669999999999996</v>
      </c>
      <c r="H29" s="70">
        <v>8</v>
      </c>
      <c r="I29" s="85">
        <v>0.75239999999999996</v>
      </c>
      <c r="K29" s="104">
        <v>24</v>
      </c>
      <c r="L29" s="196">
        <v>1.0549999999999999</v>
      </c>
      <c r="N29" s="76" t="s">
        <v>39</v>
      </c>
      <c r="O29" s="86" t="s">
        <v>20</v>
      </c>
      <c r="P29" s="200">
        <v>0.64490000000000003</v>
      </c>
      <c r="W29" s="90">
        <v>325</v>
      </c>
      <c r="X29" s="91">
        <f t="shared" si="4"/>
        <v>1072672.25</v>
      </c>
      <c r="Z29" s="90">
        <f t="shared" si="1"/>
        <v>8.4</v>
      </c>
      <c r="AA29" s="91">
        <f t="shared" si="2"/>
        <v>27724.45</v>
      </c>
    </row>
    <row r="30" spans="1:30" ht="15" customHeight="1" thickBot="1" x14ac:dyDescent="0.3">
      <c r="A30" s="50">
        <v>27</v>
      </c>
      <c r="B30" s="51">
        <f t="shared" si="5"/>
        <v>0.20208354964511999</v>
      </c>
      <c r="C30" s="52">
        <f t="shared" si="6"/>
        <v>0.20208354964511999</v>
      </c>
      <c r="E30" s="206">
        <v>382</v>
      </c>
      <c r="F30" s="83">
        <v>0.92359999999999998</v>
      </c>
      <c r="H30" s="70">
        <v>8.4</v>
      </c>
      <c r="I30" s="85">
        <v>0.74060000000000004</v>
      </c>
      <c r="K30" s="113">
        <v>21</v>
      </c>
      <c r="L30" s="197">
        <v>1</v>
      </c>
      <c r="N30" s="76" t="s">
        <v>37</v>
      </c>
      <c r="O30" s="86" t="s">
        <v>17</v>
      </c>
      <c r="P30" s="200">
        <v>0.59830000000000005</v>
      </c>
      <c r="W30" s="90">
        <v>350</v>
      </c>
      <c r="X30" s="91">
        <f t="shared" si="4"/>
        <v>1155185.5</v>
      </c>
      <c r="Z30" s="90">
        <f t="shared" si="1"/>
        <v>8.5</v>
      </c>
      <c r="AA30" s="91">
        <f t="shared" si="2"/>
        <v>28054.51</v>
      </c>
    </row>
    <row r="31" spans="1:30" ht="15" customHeight="1" x14ac:dyDescent="0.3">
      <c r="A31" s="50">
        <v>28</v>
      </c>
      <c r="B31" s="51">
        <f t="shared" si="5"/>
        <v>0.20208354964511999</v>
      </c>
      <c r="C31" s="52">
        <f t="shared" si="6"/>
        <v>0.20208354964511999</v>
      </c>
      <c r="E31" s="206">
        <v>400</v>
      </c>
      <c r="F31" s="83">
        <v>0.93320000000000003</v>
      </c>
      <c r="H31" s="70">
        <v>8.5</v>
      </c>
      <c r="I31" s="85">
        <v>0.73770000000000002</v>
      </c>
      <c r="K31" s="266" t="s">
        <v>178</v>
      </c>
      <c r="L31" s="13" t="str">
        <f>+IF(Cotizador!$D$13="SERIE 400","THQS4","THQS12y3")</f>
        <v>THQS12y3</v>
      </c>
      <c r="N31" s="76" t="s">
        <v>35</v>
      </c>
      <c r="O31" s="86" t="s">
        <v>17</v>
      </c>
      <c r="P31" s="200">
        <v>0.59830000000000005</v>
      </c>
      <c r="W31" s="90">
        <v>370</v>
      </c>
      <c r="X31" s="91">
        <f t="shared" si="4"/>
        <v>1221196.1000000001</v>
      </c>
      <c r="Z31" s="90">
        <f t="shared" si="1"/>
        <v>8.6</v>
      </c>
      <c r="AA31" s="91">
        <f t="shared" si="2"/>
        <v>28384.560000000001</v>
      </c>
    </row>
    <row r="32" spans="1:30" ht="15" customHeight="1" x14ac:dyDescent="0.25">
      <c r="A32" s="50">
        <v>29</v>
      </c>
      <c r="B32" s="51">
        <f t="shared" si="5"/>
        <v>0.20208354964511999</v>
      </c>
      <c r="C32" s="52">
        <f t="shared" si="6"/>
        <v>0.20208354964511999</v>
      </c>
      <c r="E32" s="206">
        <v>442</v>
      </c>
      <c r="F32" s="83">
        <v>0.95420000000000005</v>
      </c>
      <c r="H32" s="70">
        <v>8.6</v>
      </c>
      <c r="I32" s="85">
        <v>0.73480000000000001</v>
      </c>
      <c r="N32" s="76" t="s">
        <v>32</v>
      </c>
      <c r="O32" s="86" t="s">
        <v>13</v>
      </c>
      <c r="P32" s="200">
        <v>0.60819999999999996</v>
      </c>
      <c r="W32" s="90">
        <v>382</v>
      </c>
      <c r="X32" s="91">
        <f t="shared" si="4"/>
        <v>1260802.46</v>
      </c>
      <c r="Z32" s="90">
        <f t="shared" si="1"/>
        <v>9</v>
      </c>
      <c r="AA32" s="91">
        <f t="shared" si="2"/>
        <v>29704.77</v>
      </c>
    </row>
    <row r="33" spans="1:27" ht="15" customHeight="1" x14ac:dyDescent="0.25">
      <c r="A33" s="50">
        <v>30</v>
      </c>
      <c r="B33" s="51">
        <f t="shared" si="5"/>
        <v>0.20208354964511999</v>
      </c>
      <c r="C33" s="52">
        <f t="shared" si="6"/>
        <v>0.20208354964511999</v>
      </c>
      <c r="E33" s="206">
        <v>450</v>
      </c>
      <c r="F33" s="83">
        <v>0.95789999999999997</v>
      </c>
      <c r="H33" s="70">
        <v>9</v>
      </c>
      <c r="I33" s="85">
        <v>0.72330000000000005</v>
      </c>
      <c r="N33" s="76" t="s">
        <v>29</v>
      </c>
      <c r="O33" s="77" t="s">
        <v>15</v>
      </c>
      <c r="P33" s="200">
        <v>0.43109999999999998</v>
      </c>
      <c r="W33" s="90">
        <v>400</v>
      </c>
      <c r="X33" s="91">
        <f t="shared" si="4"/>
        <v>1320212</v>
      </c>
      <c r="Z33" s="90">
        <f t="shared" si="1"/>
        <v>9.1999999999999993</v>
      </c>
      <c r="AA33" s="91">
        <f t="shared" si="2"/>
        <v>30364.880000000001</v>
      </c>
    </row>
    <row r="34" spans="1:27" ht="15" customHeight="1" x14ac:dyDescent="0.25">
      <c r="A34" s="50">
        <v>31</v>
      </c>
      <c r="B34" s="51">
        <f t="shared" si="5"/>
        <v>0.20208354964511999</v>
      </c>
      <c r="C34" s="52">
        <f t="shared" si="6"/>
        <v>0.20208354964511999</v>
      </c>
      <c r="E34" s="206">
        <v>458</v>
      </c>
      <c r="F34" s="83">
        <v>0.96160000000000001</v>
      </c>
      <c r="H34" s="70">
        <v>9.1999999999999993</v>
      </c>
      <c r="I34" s="85">
        <v>0.71750000000000003</v>
      </c>
      <c r="N34" s="76" t="s">
        <v>28</v>
      </c>
      <c r="O34" s="86" t="s">
        <v>13</v>
      </c>
      <c r="P34" s="200">
        <v>0.60819999999999996</v>
      </c>
      <c r="W34" s="90">
        <v>442</v>
      </c>
      <c r="X34" s="91">
        <f t="shared" si="4"/>
        <v>1458834.26</v>
      </c>
      <c r="Z34" s="90">
        <f t="shared" si="1"/>
        <v>9.4</v>
      </c>
      <c r="AA34" s="91">
        <f t="shared" si="2"/>
        <v>31024.98</v>
      </c>
    </row>
    <row r="35" spans="1:27" ht="15" customHeight="1" x14ac:dyDescent="0.25">
      <c r="A35" s="50">
        <v>32</v>
      </c>
      <c r="B35" s="51">
        <f t="shared" si="5"/>
        <v>0.20208354964511999</v>
      </c>
      <c r="C35" s="52">
        <f t="shared" si="6"/>
        <v>0.20208354964511999</v>
      </c>
      <c r="E35" s="206">
        <v>500</v>
      </c>
      <c r="F35" s="83">
        <v>0.98</v>
      </c>
      <c r="H35" s="70">
        <v>9.4</v>
      </c>
      <c r="I35" s="85">
        <v>0.71189999999999998</v>
      </c>
      <c r="N35" s="76" t="s">
        <v>26</v>
      </c>
      <c r="O35" s="86" t="s">
        <v>25</v>
      </c>
      <c r="P35" s="200">
        <v>0.56869999999999998</v>
      </c>
      <c r="W35" s="90">
        <v>450</v>
      </c>
      <c r="X35" s="91">
        <f t="shared" si="4"/>
        <v>1485238.5</v>
      </c>
      <c r="Z35" s="90">
        <f t="shared" si="1"/>
        <v>9.9</v>
      </c>
      <c r="AA35" s="91">
        <f t="shared" si="2"/>
        <v>32675.25</v>
      </c>
    </row>
    <row r="36" spans="1:27" ht="15" customHeight="1" x14ac:dyDescent="0.25">
      <c r="A36" s="50">
        <v>33</v>
      </c>
      <c r="B36" s="51">
        <f t="shared" si="5"/>
        <v>0.20208354964511999</v>
      </c>
      <c r="C36" s="52">
        <f t="shared" si="6"/>
        <v>0.20208354964511999</v>
      </c>
      <c r="E36" s="206">
        <v>535</v>
      </c>
      <c r="F36" s="83">
        <v>0.99419999999999997</v>
      </c>
      <c r="H36" s="70">
        <v>9.9</v>
      </c>
      <c r="I36" s="85">
        <v>0.69799999999999995</v>
      </c>
      <c r="N36" s="76" t="s">
        <v>24</v>
      </c>
      <c r="O36" s="86" t="s">
        <v>23</v>
      </c>
      <c r="P36" s="200">
        <v>0.49159999999999998</v>
      </c>
      <c r="W36" s="90">
        <v>458</v>
      </c>
      <c r="X36" s="91">
        <f t="shared" si="4"/>
        <v>1511642.74</v>
      </c>
      <c r="Z36" s="90">
        <f t="shared" si="1"/>
        <v>10</v>
      </c>
      <c r="AA36" s="91">
        <f t="shared" si="2"/>
        <v>33005.300000000003</v>
      </c>
    </row>
    <row r="37" spans="1:27" ht="15" customHeight="1" x14ac:dyDescent="0.25">
      <c r="A37" s="50">
        <v>34</v>
      </c>
      <c r="B37" s="51">
        <f t="shared" si="5"/>
        <v>0.20208354964511999</v>
      </c>
      <c r="C37" s="52">
        <f t="shared" si="6"/>
        <v>0.20208354964511999</v>
      </c>
      <c r="E37" s="206">
        <v>550</v>
      </c>
      <c r="F37" s="83">
        <v>1</v>
      </c>
      <c r="H37" s="70">
        <v>10</v>
      </c>
      <c r="I37" s="85">
        <v>0.62570000000000003</v>
      </c>
      <c r="N37" s="76" t="s">
        <v>22</v>
      </c>
      <c r="O37" s="86" t="s">
        <v>15</v>
      </c>
      <c r="P37" s="200">
        <v>0.43109999999999998</v>
      </c>
      <c r="W37" s="90">
        <v>500</v>
      </c>
      <c r="X37" s="91">
        <f t="shared" si="4"/>
        <v>1650265</v>
      </c>
      <c r="Z37" s="90">
        <f t="shared" si="1"/>
        <v>10.199999999999999</v>
      </c>
      <c r="AA37" s="91">
        <f t="shared" si="2"/>
        <v>33665.410000000003</v>
      </c>
    </row>
    <row r="38" spans="1:27" ht="15" customHeight="1" x14ac:dyDescent="0.25">
      <c r="A38" s="50">
        <v>35</v>
      </c>
      <c r="B38" s="51">
        <f t="shared" si="5"/>
        <v>0.20208354964511999</v>
      </c>
      <c r="C38" s="52">
        <f t="shared" si="6"/>
        <v>0.20208354964511999</v>
      </c>
      <c r="E38" s="206">
        <v>600</v>
      </c>
      <c r="F38" s="83">
        <v>1.0182</v>
      </c>
      <c r="H38" s="70">
        <v>10.199999999999999</v>
      </c>
      <c r="I38" s="85">
        <v>0.61529999999999996</v>
      </c>
      <c r="N38" s="76" t="s">
        <v>21</v>
      </c>
      <c r="O38" s="86" t="s">
        <v>20</v>
      </c>
      <c r="P38" s="200">
        <v>0.64490000000000003</v>
      </c>
      <c r="W38" s="90">
        <v>535</v>
      </c>
      <c r="X38" s="91">
        <f t="shared" si="4"/>
        <v>1765783.55</v>
      </c>
      <c r="Z38" s="90">
        <f t="shared" si="1"/>
        <v>10.7</v>
      </c>
      <c r="AA38" s="91">
        <f t="shared" si="2"/>
        <v>35315.67</v>
      </c>
    </row>
    <row r="39" spans="1:27" ht="15" customHeight="1" x14ac:dyDescent="0.25">
      <c r="A39" s="50">
        <v>36</v>
      </c>
      <c r="B39" s="51">
        <f t="shared" si="5"/>
        <v>0.20208354964511999</v>
      </c>
      <c r="C39" s="52">
        <f t="shared" si="6"/>
        <v>0.20208354964511999</v>
      </c>
      <c r="E39" s="206">
        <v>611</v>
      </c>
      <c r="F39" s="83">
        <v>1.0221</v>
      </c>
      <c r="H39" s="70">
        <v>10.7</v>
      </c>
      <c r="I39" s="85">
        <v>0.58940000000000003</v>
      </c>
      <c r="N39" s="76" t="s">
        <v>19</v>
      </c>
      <c r="O39" s="77" t="s">
        <v>17</v>
      </c>
      <c r="P39" s="200">
        <v>0.59830000000000005</v>
      </c>
      <c r="W39" s="90">
        <v>550</v>
      </c>
      <c r="X39" s="91">
        <f t="shared" si="4"/>
        <v>1815291.5</v>
      </c>
      <c r="Z39" s="90">
        <f t="shared" si="1"/>
        <v>10.9</v>
      </c>
      <c r="AA39" s="91">
        <f t="shared" si="2"/>
        <v>35975.78</v>
      </c>
    </row>
    <row r="40" spans="1:27" ht="15" customHeight="1" x14ac:dyDescent="0.25">
      <c r="A40" s="50">
        <v>37</v>
      </c>
      <c r="B40" s="51">
        <f t="shared" si="5"/>
        <v>0.20208354964511999</v>
      </c>
      <c r="C40" s="52">
        <f t="shared" si="6"/>
        <v>0.20208354964511999</v>
      </c>
      <c r="E40" s="206">
        <v>615</v>
      </c>
      <c r="F40" s="83">
        <v>1.0234000000000001</v>
      </c>
      <c r="H40" s="70">
        <v>10.9</v>
      </c>
      <c r="I40" s="85">
        <v>0.58479999999999999</v>
      </c>
      <c r="N40" s="76" t="s">
        <v>18</v>
      </c>
      <c r="O40" s="86" t="s">
        <v>17</v>
      </c>
      <c r="P40" s="200">
        <v>0.59830000000000005</v>
      </c>
      <c r="W40" s="90">
        <v>600</v>
      </c>
      <c r="X40" s="91">
        <f t="shared" si="4"/>
        <v>1980318</v>
      </c>
      <c r="Z40" s="90">
        <f t="shared" si="1"/>
        <v>11</v>
      </c>
      <c r="AA40" s="91">
        <f t="shared" si="2"/>
        <v>36305.83</v>
      </c>
    </row>
    <row r="41" spans="1:27" ht="15" customHeight="1" x14ac:dyDescent="0.25">
      <c r="A41" s="50">
        <v>38</v>
      </c>
      <c r="B41" s="51">
        <f t="shared" si="5"/>
        <v>0.20208354964511999</v>
      </c>
      <c r="C41" s="52">
        <f t="shared" ref="C41:C72" si="7">+$E$1*$H$1*$K$1*$K$10*$K$18*$N$9*$R$1*$R$8*$R$23*$N$1</f>
        <v>0.20208354964511999</v>
      </c>
      <c r="E41" s="206">
        <v>650</v>
      </c>
      <c r="F41" s="83">
        <v>1.0349999999999999</v>
      </c>
      <c r="H41" s="70">
        <v>11</v>
      </c>
      <c r="I41" s="85">
        <v>0.58250000000000002</v>
      </c>
      <c r="N41" s="76" t="s">
        <v>16</v>
      </c>
      <c r="O41" s="86" t="s">
        <v>15</v>
      </c>
      <c r="P41" s="200">
        <v>0.43109999999999998</v>
      </c>
      <c r="W41" s="90">
        <v>611</v>
      </c>
      <c r="X41" s="91">
        <f t="shared" si="4"/>
        <v>2016623.83</v>
      </c>
      <c r="Z41" s="90">
        <f t="shared" si="1"/>
        <v>11.5</v>
      </c>
      <c r="AA41" s="91">
        <f t="shared" si="2"/>
        <v>37956.1</v>
      </c>
    </row>
    <row r="42" spans="1:27" ht="15" customHeight="1" thickBot="1" x14ac:dyDescent="0.3">
      <c r="A42" s="50">
        <v>39</v>
      </c>
      <c r="B42" s="51">
        <f t="shared" si="5"/>
        <v>0.20208354964511999</v>
      </c>
      <c r="C42" s="52">
        <f t="shared" si="7"/>
        <v>0.20208354964511999</v>
      </c>
      <c r="E42" s="206">
        <v>687</v>
      </c>
      <c r="F42" s="83">
        <v>1.0466</v>
      </c>
      <c r="H42" s="70">
        <v>11.5</v>
      </c>
      <c r="I42" s="85">
        <v>0.57099999999999995</v>
      </c>
      <c r="N42" s="114" t="s">
        <v>14</v>
      </c>
      <c r="O42" s="115" t="s">
        <v>13</v>
      </c>
      <c r="P42" s="203">
        <v>0.60819999999999996</v>
      </c>
      <c r="W42" s="90">
        <v>615</v>
      </c>
      <c r="X42" s="91">
        <f t="shared" si="4"/>
        <v>2029825.95</v>
      </c>
      <c r="Z42" s="90">
        <f t="shared" si="1"/>
        <v>11.7</v>
      </c>
      <c r="AA42" s="91">
        <f t="shared" si="2"/>
        <v>38616.199999999997</v>
      </c>
    </row>
    <row r="43" spans="1:27" ht="15" customHeight="1" x14ac:dyDescent="0.25">
      <c r="A43" s="50">
        <v>40</v>
      </c>
      <c r="B43" s="51">
        <f t="shared" si="5"/>
        <v>0.20208354964511999</v>
      </c>
      <c r="C43" s="52">
        <f t="shared" si="7"/>
        <v>0.20208354964511999</v>
      </c>
      <c r="E43" s="206">
        <v>700</v>
      </c>
      <c r="F43" s="83">
        <v>1.0506</v>
      </c>
      <c r="H43" s="70">
        <v>11.7</v>
      </c>
      <c r="I43" s="85">
        <v>0.5665</v>
      </c>
      <c r="W43" s="90">
        <v>650</v>
      </c>
      <c r="X43" s="91">
        <f t="shared" si="4"/>
        <v>2145344.5</v>
      </c>
      <c r="Z43" s="90">
        <f t="shared" si="1"/>
        <v>12</v>
      </c>
      <c r="AA43" s="91">
        <f t="shared" si="2"/>
        <v>39606.36</v>
      </c>
    </row>
    <row r="44" spans="1:27" ht="15" customHeight="1" x14ac:dyDescent="0.25">
      <c r="A44" s="50">
        <v>41</v>
      </c>
      <c r="B44" s="51">
        <f t="shared" si="5"/>
        <v>0.20208354964511999</v>
      </c>
      <c r="C44" s="52">
        <f t="shared" si="7"/>
        <v>0.20208354964511999</v>
      </c>
      <c r="E44" s="206">
        <v>750</v>
      </c>
      <c r="F44" s="83">
        <v>1.0649999999999999</v>
      </c>
      <c r="H44" s="70">
        <v>12</v>
      </c>
      <c r="I44" s="85">
        <v>0.55989999999999995</v>
      </c>
      <c r="W44" s="90">
        <v>687</v>
      </c>
      <c r="X44" s="91">
        <f t="shared" si="4"/>
        <v>2267464.11</v>
      </c>
      <c r="Z44" s="90">
        <f t="shared" si="1"/>
        <v>12.2</v>
      </c>
      <c r="AA44" s="91">
        <f t="shared" si="2"/>
        <v>40266.47</v>
      </c>
    </row>
    <row r="45" spans="1:27" ht="15" customHeight="1" x14ac:dyDescent="0.25">
      <c r="A45" s="50">
        <v>42</v>
      </c>
      <c r="B45" s="51">
        <f t="shared" si="5"/>
        <v>0.20208354964511999</v>
      </c>
      <c r="C45" s="52">
        <f t="shared" si="7"/>
        <v>0.20208354964511999</v>
      </c>
      <c r="E45" s="206">
        <v>764</v>
      </c>
      <c r="F45" s="83">
        <v>1.0689</v>
      </c>
      <c r="H45" s="70">
        <v>12.2</v>
      </c>
      <c r="I45" s="85">
        <v>0.5554</v>
      </c>
      <c r="W45" s="90">
        <v>700</v>
      </c>
      <c r="X45" s="91">
        <f t="shared" si="4"/>
        <v>2310371</v>
      </c>
      <c r="Z45" s="90">
        <f t="shared" si="1"/>
        <v>12.5</v>
      </c>
      <c r="AA45" s="91">
        <f t="shared" si="2"/>
        <v>41256.629999999997</v>
      </c>
    </row>
    <row r="46" spans="1:27" ht="15" customHeight="1" x14ac:dyDescent="0.25">
      <c r="A46" s="50">
        <v>43</v>
      </c>
      <c r="B46" s="51">
        <f t="shared" si="5"/>
        <v>0.20208354964511999</v>
      </c>
      <c r="C46" s="52">
        <f t="shared" si="7"/>
        <v>0.20208354964511999</v>
      </c>
      <c r="E46" s="206">
        <v>800</v>
      </c>
      <c r="F46" s="83">
        <v>1.0786</v>
      </c>
      <c r="H46" s="70">
        <v>12.5</v>
      </c>
      <c r="I46" s="85">
        <v>0.54900000000000004</v>
      </c>
      <c r="P46" s="116"/>
      <c r="W46" s="90">
        <v>750</v>
      </c>
      <c r="X46" s="91">
        <f t="shared" si="4"/>
        <v>2475397.5</v>
      </c>
      <c r="Z46" s="90">
        <f t="shared" si="1"/>
        <v>13</v>
      </c>
      <c r="AA46" s="91">
        <f t="shared" si="2"/>
        <v>42906.89</v>
      </c>
    </row>
    <row r="47" spans="1:27" ht="15" customHeight="1" x14ac:dyDescent="0.25">
      <c r="A47" s="50">
        <v>44</v>
      </c>
      <c r="B47" s="51">
        <f t="shared" si="5"/>
        <v>0.20208354964511999</v>
      </c>
      <c r="C47" s="52">
        <f t="shared" si="7"/>
        <v>0.20208354964511999</v>
      </c>
      <c r="E47" s="206">
        <v>900</v>
      </c>
      <c r="F47" s="83">
        <v>1.1032999999999999</v>
      </c>
      <c r="H47" s="70">
        <v>13</v>
      </c>
      <c r="I47" s="85">
        <v>0.53820000000000001</v>
      </c>
      <c r="P47" s="117"/>
      <c r="W47" s="90">
        <v>764</v>
      </c>
      <c r="X47" s="91">
        <f t="shared" si="4"/>
        <v>2521604.92</v>
      </c>
      <c r="Z47" s="90">
        <f t="shared" si="1"/>
        <v>13.2</v>
      </c>
      <c r="AA47" s="91">
        <f t="shared" si="2"/>
        <v>43567</v>
      </c>
    </row>
    <row r="48" spans="1:27" ht="15" customHeight="1" x14ac:dyDescent="0.25">
      <c r="A48" s="50">
        <v>45</v>
      </c>
      <c r="B48" s="51">
        <f t="shared" si="5"/>
        <v>0.20208354964511999</v>
      </c>
      <c r="C48" s="52">
        <f t="shared" si="7"/>
        <v>0.20208354964511999</v>
      </c>
      <c r="E48" s="206">
        <v>1000</v>
      </c>
      <c r="F48" s="83">
        <v>1.1254</v>
      </c>
      <c r="H48" s="70">
        <v>13.2</v>
      </c>
      <c r="I48" s="85">
        <v>0.53400000000000003</v>
      </c>
      <c r="P48" s="118"/>
      <c r="W48" s="90">
        <v>800</v>
      </c>
      <c r="X48" s="91">
        <f t="shared" si="4"/>
        <v>2640424</v>
      </c>
      <c r="Z48" s="90">
        <f t="shared" si="1"/>
        <v>13.7</v>
      </c>
      <c r="AA48" s="91">
        <f t="shared" si="2"/>
        <v>45217.26</v>
      </c>
    </row>
    <row r="49" spans="1:27" ht="15" customHeight="1" x14ac:dyDescent="0.25">
      <c r="A49" s="50">
        <v>46</v>
      </c>
      <c r="B49" s="51">
        <f t="shared" si="5"/>
        <v>0.20208354964511999</v>
      </c>
      <c r="C49" s="52">
        <f t="shared" si="7"/>
        <v>0.20208354964511999</v>
      </c>
      <c r="E49" s="206">
        <v>1104</v>
      </c>
      <c r="F49" s="83">
        <v>1.1460999999999999</v>
      </c>
      <c r="H49" s="70">
        <v>13.7</v>
      </c>
      <c r="I49" s="85">
        <v>0.52339999999999998</v>
      </c>
      <c r="P49" s="118"/>
      <c r="W49" s="90">
        <v>900</v>
      </c>
      <c r="X49" s="91">
        <f t="shared" si="4"/>
        <v>2970477</v>
      </c>
      <c r="Z49" s="90">
        <f t="shared" si="1"/>
        <v>14</v>
      </c>
      <c r="AA49" s="91">
        <f t="shared" si="2"/>
        <v>46207.42</v>
      </c>
    </row>
    <row r="50" spans="1:27" ht="15" customHeight="1" x14ac:dyDescent="0.25">
      <c r="A50" s="50">
        <v>47</v>
      </c>
      <c r="B50" s="51">
        <f t="shared" si="5"/>
        <v>0.20208354964511999</v>
      </c>
      <c r="C50" s="52">
        <f t="shared" si="7"/>
        <v>0.20208354964511999</v>
      </c>
      <c r="E50" s="206">
        <v>1500</v>
      </c>
      <c r="F50" s="83">
        <v>1.2103999999999999</v>
      </c>
      <c r="H50" s="70">
        <v>14</v>
      </c>
      <c r="I50" s="85">
        <v>0.51729999999999998</v>
      </c>
      <c r="P50" s="118"/>
      <c r="W50" s="90">
        <v>1000</v>
      </c>
      <c r="X50" s="91">
        <f t="shared" si="4"/>
        <v>3300530</v>
      </c>
      <c r="Z50" s="90">
        <f t="shared" si="1"/>
        <v>14.5</v>
      </c>
      <c r="AA50" s="91">
        <f t="shared" si="2"/>
        <v>47857.69</v>
      </c>
    </row>
    <row r="51" spans="1:27" ht="15" customHeight="1" x14ac:dyDescent="0.25">
      <c r="A51" s="50">
        <v>48</v>
      </c>
      <c r="B51" s="51">
        <f t="shared" si="5"/>
        <v>0.20208354964511999</v>
      </c>
      <c r="C51" s="52">
        <f t="shared" si="7"/>
        <v>0.20208354964511999</v>
      </c>
      <c r="E51" s="206">
        <v>1527</v>
      </c>
      <c r="F51" s="83">
        <v>1.2141999999999999</v>
      </c>
      <c r="H51" s="70">
        <v>14.5</v>
      </c>
      <c r="I51" s="85">
        <v>0.50719999999999998</v>
      </c>
      <c r="P51" s="118"/>
      <c r="W51" s="90">
        <v>1104</v>
      </c>
      <c r="X51" s="91">
        <f t="shared" si="4"/>
        <v>3643785.12</v>
      </c>
      <c r="Z51" s="90">
        <f t="shared" si="1"/>
        <v>14.7</v>
      </c>
      <c r="AA51" s="91">
        <f t="shared" si="2"/>
        <v>48517.79</v>
      </c>
    </row>
    <row r="52" spans="1:27" ht="15" customHeight="1" x14ac:dyDescent="0.25">
      <c r="A52" s="50">
        <v>49</v>
      </c>
      <c r="B52" s="51">
        <f t="shared" si="5"/>
        <v>0.20208354964511999</v>
      </c>
      <c r="C52" s="52">
        <f t="shared" si="7"/>
        <v>0.20208354964511999</v>
      </c>
      <c r="E52" s="206">
        <v>1650</v>
      </c>
      <c r="F52" s="83">
        <v>1.2297</v>
      </c>
      <c r="H52" s="70">
        <v>14.7</v>
      </c>
      <c r="I52" s="85">
        <v>0.50319999999999998</v>
      </c>
      <c r="P52" s="118"/>
      <c r="W52" s="90">
        <v>1500</v>
      </c>
      <c r="X52" s="91">
        <f t="shared" si="4"/>
        <v>4950795</v>
      </c>
      <c r="Z52" s="90">
        <f t="shared" si="1"/>
        <v>15</v>
      </c>
      <c r="AA52" s="91">
        <f t="shared" si="2"/>
        <v>49507.95</v>
      </c>
    </row>
    <row r="53" spans="1:27" ht="15" customHeight="1" x14ac:dyDescent="0.25">
      <c r="A53" s="50">
        <v>50</v>
      </c>
      <c r="B53" s="51">
        <f t="shared" si="5"/>
        <v>0.20208354964511999</v>
      </c>
      <c r="C53" s="52">
        <f t="shared" si="7"/>
        <v>0.20208354964511999</v>
      </c>
      <c r="E53" s="206">
        <v>1765</v>
      </c>
      <c r="F53" s="83">
        <v>1.2443</v>
      </c>
      <c r="H53" s="70">
        <v>15</v>
      </c>
      <c r="I53" s="85">
        <v>0.49719999999999998</v>
      </c>
      <c r="P53" s="118"/>
      <c r="W53" s="90">
        <v>1527</v>
      </c>
      <c r="X53" s="91">
        <f t="shared" si="4"/>
        <v>5039909.3099999996</v>
      </c>
      <c r="Z53" s="90">
        <f t="shared" si="1"/>
        <v>15.3</v>
      </c>
      <c r="AA53" s="91">
        <f t="shared" si="2"/>
        <v>50498.11</v>
      </c>
    </row>
    <row r="54" spans="1:27" ht="15" customHeight="1" x14ac:dyDescent="0.25">
      <c r="A54" s="50">
        <v>51</v>
      </c>
      <c r="B54" s="51">
        <f t="shared" si="5"/>
        <v>0.20208354964511999</v>
      </c>
      <c r="C54" s="52">
        <f t="shared" si="7"/>
        <v>0.20208354964511999</v>
      </c>
      <c r="E54" s="206">
        <v>1800</v>
      </c>
      <c r="F54" s="83">
        <v>1.2486999999999999</v>
      </c>
      <c r="H54" s="70">
        <v>15.3</v>
      </c>
      <c r="I54" s="85">
        <v>0.49159999999999998</v>
      </c>
      <c r="P54" s="118"/>
      <c r="W54" s="90">
        <v>1650</v>
      </c>
      <c r="X54" s="91">
        <f t="shared" si="4"/>
        <v>5445874.5</v>
      </c>
      <c r="Z54" s="90">
        <f t="shared" si="1"/>
        <v>15.5</v>
      </c>
      <c r="AA54" s="91">
        <f t="shared" si="2"/>
        <v>51158.22</v>
      </c>
    </row>
    <row r="55" spans="1:27" ht="15" customHeight="1" x14ac:dyDescent="0.25">
      <c r="A55" s="50">
        <v>52</v>
      </c>
      <c r="B55" s="51">
        <f t="shared" ref="B55:B86" si="8">+$E$1*$H$1*$K$1*$K$10*$K$18*$N$9*$R$1*$R$8*$R$23*$N$1</f>
        <v>0.20208354964511999</v>
      </c>
      <c r="C55" s="52">
        <f t="shared" si="7"/>
        <v>0.20208354964511999</v>
      </c>
      <c r="E55" s="206">
        <v>1824</v>
      </c>
      <c r="F55" s="83">
        <v>1.2514000000000001</v>
      </c>
      <c r="H55" s="70">
        <v>15.5</v>
      </c>
      <c r="I55" s="85">
        <v>0.4879</v>
      </c>
      <c r="P55" s="118"/>
      <c r="W55" s="90">
        <v>1765</v>
      </c>
      <c r="X55" s="91">
        <f t="shared" si="4"/>
        <v>5825435.4500000002</v>
      </c>
      <c r="Z55" s="90">
        <f t="shared" si="1"/>
        <v>16</v>
      </c>
      <c r="AA55" s="91">
        <f t="shared" si="2"/>
        <v>52808.480000000003</v>
      </c>
    </row>
    <row r="56" spans="1:27" ht="15" customHeight="1" x14ac:dyDescent="0.25">
      <c r="A56" s="50">
        <v>53</v>
      </c>
      <c r="B56" s="51">
        <f t="shared" si="8"/>
        <v>0.20208354964511999</v>
      </c>
      <c r="C56" s="52">
        <f t="shared" si="7"/>
        <v>0.20208354964511999</v>
      </c>
      <c r="E56" s="206">
        <v>1909</v>
      </c>
      <c r="F56" s="83">
        <v>1.2609999999999999</v>
      </c>
      <c r="H56" s="70">
        <v>16</v>
      </c>
      <c r="I56" s="85">
        <v>0.47849999999999998</v>
      </c>
      <c r="P56" s="118"/>
      <c r="W56" s="90">
        <v>1800</v>
      </c>
      <c r="X56" s="91">
        <f t="shared" si="4"/>
        <v>5940954</v>
      </c>
      <c r="Z56" s="90">
        <f t="shared" si="1"/>
        <v>16.3</v>
      </c>
      <c r="AA56" s="91">
        <f t="shared" si="2"/>
        <v>53798.64</v>
      </c>
    </row>
    <row r="57" spans="1:27" ht="15" customHeight="1" x14ac:dyDescent="0.25">
      <c r="A57" s="50">
        <v>54</v>
      </c>
      <c r="B57" s="51">
        <f t="shared" si="8"/>
        <v>0.20208354964511999</v>
      </c>
      <c r="C57" s="52">
        <f t="shared" si="7"/>
        <v>0.20208354964511999</v>
      </c>
      <c r="E57" s="206">
        <v>2000</v>
      </c>
      <c r="F57" s="83">
        <v>1.2707999999999999</v>
      </c>
      <c r="H57" s="70">
        <v>16.3</v>
      </c>
      <c r="I57" s="85">
        <v>0.47289999999999999</v>
      </c>
      <c r="P57" s="118"/>
      <c r="W57" s="90">
        <v>1824</v>
      </c>
      <c r="X57" s="91">
        <f t="shared" si="4"/>
        <v>6020166.7199999997</v>
      </c>
      <c r="Z57" s="90">
        <f t="shared" si="1"/>
        <v>17.2</v>
      </c>
      <c r="AA57" s="91">
        <f t="shared" si="2"/>
        <v>56769.120000000003</v>
      </c>
    </row>
    <row r="58" spans="1:27" ht="15" customHeight="1" x14ac:dyDescent="0.25">
      <c r="A58" s="50">
        <v>55</v>
      </c>
      <c r="B58" s="51">
        <f t="shared" si="8"/>
        <v>0.20208354964511999</v>
      </c>
      <c r="C58" s="52">
        <f t="shared" si="7"/>
        <v>0.20208354964511999</v>
      </c>
      <c r="E58" s="206">
        <v>2208</v>
      </c>
      <c r="F58" s="83">
        <v>1.2915000000000001</v>
      </c>
      <c r="H58" s="70">
        <v>17.2</v>
      </c>
      <c r="I58" s="85">
        <v>0.45600000000000002</v>
      </c>
      <c r="P58" s="117"/>
      <c r="W58" s="90">
        <v>1909</v>
      </c>
      <c r="X58" s="91">
        <f t="shared" si="4"/>
        <v>6300711.7699999996</v>
      </c>
      <c r="Z58" s="90">
        <f t="shared" si="1"/>
        <v>18</v>
      </c>
      <c r="AA58" s="91">
        <f t="shared" si="2"/>
        <v>59409.54</v>
      </c>
    </row>
    <row r="59" spans="1:27" ht="15" customHeight="1" x14ac:dyDescent="0.25">
      <c r="A59" s="50">
        <v>56</v>
      </c>
      <c r="B59" s="51">
        <f t="shared" si="8"/>
        <v>0.20208354964511999</v>
      </c>
      <c r="C59" s="52">
        <f t="shared" si="7"/>
        <v>0.20208354964511999</v>
      </c>
      <c r="E59" s="206">
        <v>2291</v>
      </c>
      <c r="F59" s="83">
        <v>1.2992999999999999</v>
      </c>
      <c r="H59" s="70">
        <v>18</v>
      </c>
      <c r="I59" s="85">
        <v>0.44209999999999999</v>
      </c>
      <c r="P59" s="118"/>
      <c r="W59" s="90">
        <v>2000</v>
      </c>
      <c r="X59" s="91">
        <f t="shared" si="4"/>
        <v>6601060</v>
      </c>
      <c r="Z59" s="90">
        <f t="shared" si="1"/>
        <v>18.2</v>
      </c>
      <c r="AA59" s="91">
        <f t="shared" si="2"/>
        <v>60069.65</v>
      </c>
    </row>
    <row r="60" spans="1:27" ht="15" customHeight="1" x14ac:dyDescent="0.25">
      <c r="A60" s="50">
        <v>57</v>
      </c>
      <c r="B60" s="51">
        <f t="shared" si="8"/>
        <v>0.20208354964511999</v>
      </c>
      <c r="C60" s="52">
        <f t="shared" si="7"/>
        <v>0.20208354964511999</v>
      </c>
      <c r="E60" s="206">
        <v>2500</v>
      </c>
      <c r="F60" s="83">
        <v>1.3176000000000001</v>
      </c>
      <c r="H60" s="70">
        <v>18.2</v>
      </c>
      <c r="I60" s="85">
        <v>0.43859999999999999</v>
      </c>
      <c r="P60" s="118"/>
      <c r="W60" s="90">
        <v>2208</v>
      </c>
      <c r="X60" s="91">
        <f t="shared" si="4"/>
        <v>7287570.2400000002</v>
      </c>
      <c r="Z60" s="90">
        <f t="shared" si="1"/>
        <v>19.100000000000001</v>
      </c>
      <c r="AA60" s="91">
        <f t="shared" si="2"/>
        <v>63040.12</v>
      </c>
    </row>
    <row r="61" spans="1:27" ht="15" customHeight="1" x14ac:dyDescent="0.25">
      <c r="A61" s="50">
        <v>58</v>
      </c>
      <c r="B61" s="51">
        <f t="shared" si="8"/>
        <v>0.20208354964511999</v>
      </c>
      <c r="C61" s="52">
        <f t="shared" si="7"/>
        <v>0.20208354964511999</v>
      </c>
      <c r="E61" s="206">
        <v>2673</v>
      </c>
      <c r="F61" s="83">
        <v>1.3315999999999999</v>
      </c>
      <c r="H61" s="70">
        <v>19.100000000000001</v>
      </c>
      <c r="I61" s="85">
        <v>0.4229</v>
      </c>
      <c r="P61" s="118"/>
      <c r="W61" s="90">
        <v>2291</v>
      </c>
      <c r="X61" s="91">
        <f t="shared" si="4"/>
        <v>7561514.2300000004</v>
      </c>
      <c r="Z61" s="90">
        <f t="shared" si="1"/>
        <v>20</v>
      </c>
      <c r="AA61" s="91">
        <f t="shared" si="2"/>
        <v>66010.600000000006</v>
      </c>
    </row>
    <row r="62" spans="1:27" ht="15" customHeight="1" x14ac:dyDescent="0.25">
      <c r="A62" s="50">
        <v>59</v>
      </c>
      <c r="B62" s="51">
        <f t="shared" si="8"/>
        <v>0.20208354964511999</v>
      </c>
      <c r="C62" s="52">
        <f t="shared" si="7"/>
        <v>0.20208354964511999</v>
      </c>
      <c r="E62" s="206">
        <v>3000</v>
      </c>
      <c r="F62" s="83">
        <v>1.3557999999999999</v>
      </c>
      <c r="H62" s="70">
        <v>20</v>
      </c>
      <c r="I62" s="85">
        <v>0.40839999999999999</v>
      </c>
      <c r="W62" s="90">
        <v>2500</v>
      </c>
      <c r="X62" s="91">
        <f t="shared" si="4"/>
        <v>8251325</v>
      </c>
      <c r="Z62" s="90">
        <f t="shared" si="1"/>
        <v>20.100000000000001</v>
      </c>
      <c r="AA62" s="91">
        <f t="shared" si="2"/>
        <v>66340.649999999994</v>
      </c>
    </row>
    <row r="63" spans="1:27" ht="15" customHeight="1" x14ac:dyDescent="0.25">
      <c r="A63" s="50">
        <v>60</v>
      </c>
      <c r="B63" s="51">
        <f t="shared" si="8"/>
        <v>0.20208354964511999</v>
      </c>
      <c r="C63" s="52">
        <f t="shared" si="7"/>
        <v>0.20208354964511999</v>
      </c>
      <c r="E63" s="206">
        <v>3055</v>
      </c>
      <c r="F63" s="83">
        <v>1.3595999999999999</v>
      </c>
      <c r="H63" s="70">
        <v>20.100000000000001</v>
      </c>
      <c r="I63" s="85">
        <v>0.40679999999999999</v>
      </c>
      <c r="W63" s="90">
        <v>2673</v>
      </c>
      <c r="X63" s="91">
        <f t="shared" si="4"/>
        <v>8822316.6899999995</v>
      </c>
      <c r="Z63" s="90">
        <f t="shared" si="1"/>
        <v>21</v>
      </c>
      <c r="AA63" s="91">
        <f t="shared" si="2"/>
        <v>69311.13</v>
      </c>
    </row>
    <row r="64" spans="1:27" ht="15" customHeight="1" x14ac:dyDescent="0.25">
      <c r="A64" s="50">
        <v>61</v>
      </c>
      <c r="B64" s="51">
        <f t="shared" si="8"/>
        <v>0.20208354964511999</v>
      </c>
      <c r="C64" s="52">
        <f t="shared" si="7"/>
        <v>0.20208354964511999</v>
      </c>
      <c r="E64" s="206">
        <v>3311</v>
      </c>
      <c r="F64" s="83">
        <v>1.3765000000000001</v>
      </c>
      <c r="H64" s="70">
        <v>21</v>
      </c>
      <c r="I64" s="85">
        <v>0.39229999999999998</v>
      </c>
      <c r="W64" s="90">
        <v>3000</v>
      </c>
      <c r="X64" s="91">
        <f t="shared" si="4"/>
        <v>9901590</v>
      </c>
      <c r="Z64" s="90">
        <f t="shared" si="1"/>
        <v>22</v>
      </c>
      <c r="AA64" s="91">
        <f t="shared" si="2"/>
        <v>72611.66</v>
      </c>
    </row>
    <row r="65" spans="1:27" ht="15" customHeight="1" x14ac:dyDescent="0.25">
      <c r="A65" s="50">
        <v>62</v>
      </c>
      <c r="B65" s="51">
        <f t="shared" si="8"/>
        <v>0.20208354964511999</v>
      </c>
      <c r="C65" s="52">
        <f t="shared" si="7"/>
        <v>0.20208354964511999</v>
      </c>
      <c r="E65" s="206">
        <v>3320</v>
      </c>
      <c r="F65" s="83">
        <v>1.3771</v>
      </c>
      <c r="H65" s="70">
        <v>22</v>
      </c>
      <c r="I65" s="85">
        <v>0.37669999999999998</v>
      </c>
      <c r="W65" s="90">
        <v>3055</v>
      </c>
      <c r="X65" s="91">
        <f t="shared" si="4"/>
        <v>10083119.15</v>
      </c>
      <c r="Z65" s="90">
        <f t="shared" si="1"/>
        <v>22.9</v>
      </c>
      <c r="AA65" s="91">
        <f t="shared" si="2"/>
        <v>75582.14</v>
      </c>
    </row>
    <row r="66" spans="1:27" ht="15" customHeight="1" x14ac:dyDescent="0.25">
      <c r="A66" s="50">
        <v>63</v>
      </c>
      <c r="B66" s="51">
        <f t="shared" si="8"/>
        <v>0.20208354964511999</v>
      </c>
      <c r="C66" s="52">
        <f t="shared" si="7"/>
        <v>0.20208354964511999</v>
      </c>
      <c r="E66" s="206">
        <v>3436</v>
      </c>
      <c r="F66" s="83">
        <v>1.3843000000000001</v>
      </c>
      <c r="H66" s="70">
        <v>22.9</v>
      </c>
      <c r="I66" s="85">
        <v>0.36259999999999998</v>
      </c>
      <c r="W66" s="90">
        <v>3311</v>
      </c>
      <c r="X66" s="91">
        <f t="shared" si="4"/>
        <v>10928054.83</v>
      </c>
      <c r="Z66" s="90">
        <f t="shared" si="1"/>
        <v>23.9</v>
      </c>
      <c r="AA66" s="91">
        <f t="shared" si="2"/>
        <v>78882.67</v>
      </c>
    </row>
    <row r="67" spans="1:27" ht="15" customHeight="1" x14ac:dyDescent="0.25">
      <c r="A67" s="50">
        <v>64</v>
      </c>
      <c r="B67" s="51">
        <f t="shared" si="8"/>
        <v>0.20208354964511999</v>
      </c>
      <c r="C67" s="52">
        <f t="shared" si="7"/>
        <v>0.20208354964511999</v>
      </c>
      <c r="E67" s="206">
        <v>3500</v>
      </c>
      <c r="F67" s="83">
        <v>1.3880999999999999</v>
      </c>
      <c r="H67" s="70">
        <v>23.9</v>
      </c>
      <c r="I67" s="85">
        <v>0.3488</v>
      </c>
      <c r="W67" s="90">
        <v>3320</v>
      </c>
      <c r="X67" s="91">
        <f t="shared" si="4"/>
        <v>10957759.6</v>
      </c>
      <c r="Z67" s="90">
        <f t="shared" si="1"/>
        <v>24.8</v>
      </c>
      <c r="AA67" s="91">
        <f t="shared" ref="AA67:AA82" si="9">ROUND(Z67*$X$2,2)</f>
        <v>81853.14</v>
      </c>
    </row>
    <row r="68" spans="1:27" ht="15" customHeight="1" x14ac:dyDescent="0.25">
      <c r="A68" s="50">
        <v>65</v>
      </c>
      <c r="B68" s="51">
        <f t="shared" si="8"/>
        <v>0.20208354964511999</v>
      </c>
      <c r="C68" s="52">
        <f t="shared" si="7"/>
        <v>0.20208354964511999</v>
      </c>
      <c r="E68" s="207">
        <v>3818</v>
      </c>
      <c r="F68" s="85">
        <v>1.4064000000000001</v>
      </c>
      <c r="H68" s="70">
        <v>24.8</v>
      </c>
      <c r="I68" s="85">
        <v>0.33639999999999998</v>
      </c>
      <c r="W68" s="90">
        <v>3436</v>
      </c>
      <c r="X68" s="91">
        <f t="shared" si="4"/>
        <v>11340621.08</v>
      </c>
      <c r="Z68" s="90">
        <f t="shared" ref="Z68:Z82" si="10">H69</f>
        <v>25</v>
      </c>
      <c r="AA68" s="91">
        <f t="shared" si="9"/>
        <v>82513.25</v>
      </c>
    </row>
    <row r="69" spans="1:27" ht="15" customHeight="1" x14ac:dyDescent="0.25">
      <c r="A69" s="50">
        <v>66</v>
      </c>
      <c r="B69" s="51">
        <f t="shared" si="8"/>
        <v>0.20208354964511999</v>
      </c>
      <c r="C69" s="52">
        <f t="shared" si="7"/>
        <v>0.20208354964511999</v>
      </c>
      <c r="E69" s="207">
        <v>4000</v>
      </c>
      <c r="F69" s="85">
        <v>1.4064000000000001</v>
      </c>
      <c r="H69" s="70">
        <v>25</v>
      </c>
      <c r="I69" s="85">
        <v>0.33379999999999999</v>
      </c>
      <c r="W69" s="90">
        <v>3500</v>
      </c>
      <c r="X69" s="91">
        <f t="shared" si="4"/>
        <v>11551855</v>
      </c>
      <c r="Z69" s="90">
        <f t="shared" si="10"/>
        <v>25.8</v>
      </c>
      <c r="AA69" s="91">
        <f t="shared" si="9"/>
        <v>85153.67</v>
      </c>
    </row>
    <row r="70" spans="1:27" ht="15" customHeight="1" x14ac:dyDescent="0.25">
      <c r="A70" s="50">
        <v>67</v>
      </c>
      <c r="B70" s="51">
        <f t="shared" si="8"/>
        <v>0.20208354964511999</v>
      </c>
      <c r="C70" s="52">
        <f t="shared" si="7"/>
        <v>0.20208354964511999</v>
      </c>
      <c r="E70" s="207">
        <v>7000</v>
      </c>
      <c r="F70" s="85">
        <v>1.4067000000000001</v>
      </c>
      <c r="H70" s="70">
        <v>25.8</v>
      </c>
      <c r="I70" s="85">
        <v>0.3236</v>
      </c>
      <c r="W70" s="90">
        <v>3818</v>
      </c>
      <c r="X70" s="91">
        <f t="shared" si="4"/>
        <v>12601423.539999999</v>
      </c>
      <c r="Z70" s="90">
        <f t="shared" si="10"/>
        <v>26.7</v>
      </c>
      <c r="AA70" s="91">
        <f t="shared" si="9"/>
        <v>88124.15</v>
      </c>
    </row>
    <row r="71" spans="1:27" ht="15" customHeight="1" x14ac:dyDescent="0.25">
      <c r="A71" s="50">
        <v>68</v>
      </c>
      <c r="B71" s="51">
        <f t="shared" si="8"/>
        <v>0.20208354964511999</v>
      </c>
      <c r="C71" s="52">
        <f t="shared" si="7"/>
        <v>0.20208354964511999</v>
      </c>
      <c r="E71" s="207">
        <v>11000</v>
      </c>
      <c r="F71" s="85">
        <v>1.4072</v>
      </c>
      <c r="H71" s="70">
        <v>26.7</v>
      </c>
      <c r="I71" s="85">
        <v>0.312</v>
      </c>
      <c r="W71" s="90">
        <v>4000</v>
      </c>
      <c r="X71" s="91">
        <f t="shared" si="4"/>
        <v>13202120</v>
      </c>
      <c r="Z71" s="90">
        <f t="shared" si="10"/>
        <v>27.7</v>
      </c>
      <c r="AA71" s="91">
        <f t="shared" si="9"/>
        <v>91424.68</v>
      </c>
    </row>
    <row r="72" spans="1:27" ht="15" customHeight="1" x14ac:dyDescent="0.25">
      <c r="A72" s="50">
        <v>69</v>
      </c>
      <c r="B72" s="51">
        <f t="shared" si="8"/>
        <v>0.20208354964511999</v>
      </c>
      <c r="C72" s="52">
        <f t="shared" si="7"/>
        <v>0.20208354964511999</v>
      </c>
      <c r="E72" s="207">
        <v>14000</v>
      </c>
      <c r="F72" s="85">
        <v>1.4075</v>
      </c>
      <c r="H72" s="70">
        <v>27.7</v>
      </c>
      <c r="I72" s="85">
        <v>0.2999</v>
      </c>
      <c r="W72" s="90">
        <v>7000</v>
      </c>
      <c r="X72" s="91">
        <f t="shared" si="4"/>
        <v>23103710</v>
      </c>
      <c r="Z72" s="90">
        <f t="shared" si="10"/>
        <v>28.6</v>
      </c>
      <c r="AA72" s="91">
        <f t="shared" si="9"/>
        <v>94395.16</v>
      </c>
    </row>
    <row r="73" spans="1:27" ht="15" customHeight="1" x14ac:dyDescent="0.25">
      <c r="A73" s="50">
        <v>70</v>
      </c>
      <c r="B73" s="51">
        <f t="shared" si="8"/>
        <v>0.20208354964511999</v>
      </c>
      <c r="C73" s="52">
        <f t="shared" ref="C73:C103" si="11">+$E$1*$H$1*$K$1*$K$10*$K$18*$N$9*$R$1*$R$8*$R$23*$N$1</f>
        <v>0.20208354964511999</v>
      </c>
      <c r="E73" s="207">
        <v>20000</v>
      </c>
      <c r="F73" s="85">
        <v>1.4080999999999999</v>
      </c>
      <c r="H73" s="70">
        <v>28.6</v>
      </c>
      <c r="I73" s="85">
        <v>0.28899999999999998</v>
      </c>
      <c r="W73" s="90">
        <v>11000</v>
      </c>
      <c r="X73" s="91">
        <f t="shared" si="4"/>
        <v>36305830</v>
      </c>
      <c r="Z73" s="90">
        <f t="shared" si="10"/>
        <v>29.6</v>
      </c>
      <c r="AA73" s="91">
        <f t="shared" si="9"/>
        <v>97695.69</v>
      </c>
    </row>
    <row r="74" spans="1:27" ht="15" customHeight="1" x14ac:dyDescent="0.25">
      <c r="A74" s="50">
        <v>71</v>
      </c>
      <c r="B74" s="51">
        <f t="shared" si="8"/>
        <v>0.20208354964511999</v>
      </c>
      <c r="C74" s="52">
        <f t="shared" si="11"/>
        <v>0.20208354964511999</v>
      </c>
      <c r="E74" s="207">
        <v>25000</v>
      </c>
      <c r="F74" s="85">
        <v>1.4087000000000001</v>
      </c>
      <c r="H74" s="70">
        <v>29.6</v>
      </c>
      <c r="I74" s="85">
        <v>0.27689999999999998</v>
      </c>
      <c r="W74" s="90">
        <v>14000</v>
      </c>
      <c r="X74" s="91">
        <f t="shared" ref="X74:X76" si="12">ROUND(W74*$X$2,2)</f>
        <v>46207420</v>
      </c>
      <c r="Z74" s="90">
        <f t="shared" si="10"/>
        <v>30</v>
      </c>
      <c r="AA74" s="91">
        <f t="shared" si="9"/>
        <v>99015.9</v>
      </c>
    </row>
    <row r="75" spans="1:27" ht="15" customHeight="1" thickBot="1" x14ac:dyDescent="0.3">
      <c r="A75" s="50">
        <v>72</v>
      </c>
      <c r="B75" s="51">
        <f t="shared" si="8"/>
        <v>0.20208354964511999</v>
      </c>
      <c r="C75" s="52">
        <f t="shared" si="11"/>
        <v>0.20208354964511999</v>
      </c>
      <c r="E75" s="208" t="s">
        <v>129</v>
      </c>
      <c r="F75" s="120">
        <v>1.4087000000000001</v>
      </c>
      <c r="H75" s="70">
        <v>30</v>
      </c>
      <c r="I75" s="85">
        <v>0.27210000000000001</v>
      </c>
      <c r="W75" s="90">
        <v>20000</v>
      </c>
      <c r="X75" s="91">
        <f t="shared" si="12"/>
        <v>66010600</v>
      </c>
      <c r="Z75" s="90">
        <f t="shared" si="10"/>
        <v>30.5</v>
      </c>
      <c r="AA75" s="91">
        <f t="shared" si="9"/>
        <v>100666.17</v>
      </c>
    </row>
    <row r="76" spans="1:27" ht="15" customHeight="1" x14ac:dyDescent="0.25">
      <c r="A76" s="50">
        <v>73</v>
      </c>
      <c r="B76" s="51">
        <f t="shared" si="8"/>
        <v>0.20208354964511999</v>
      </c>
      <c r="C76" s="52">
        <f t="shared" si="11"/>
        <v>0.20208354964511999</v>
      </c>
      <c r="H76" s="70">
        <v>30.5</v>
      </c>
      <c r="I76" s="85">
        <v>0.2661</v>
      </c>
      <c r="W76" s="90">
        <v>25000</v>
      </c>
      <c r="X76" s="91">
        <f t="shared" si="12"/>
        <v>82513250</v>
      </c>
      <c r="Z76" s="90">
        <f t="shared" si="10"/>
        <v>31.5</v>
      </c>
      <c r="AA76" s="91">
        <f t="shared" si="9"/>
        <v>103966.7</v>
      </c>
    </row>
    <row r="77" spans="1:27" ht="15" customHeight="1" thickBot="1" x14ac:dyDescent="0.3">
      <c r="A77" s="50">
        <v>74</v>
      </c>
      <c r="B77" s="51">
        <f t="shared" si="8"/>
        <v>0.20208354964511999</v>
      </c>
      <c r="C77" s="52">
        <f t="shared" si="11"/>
        <v>0.20208354964511999</v>
      </c>
      <c r="H77" s="70">
        <v>31.5</v>
      </c>
      <c r="I77" s="85">
        <v>0.25590000000000002</v>
      </c>
      <c r="W77" s="105" t="s">
        <v>129</v>
      </c>
      <c r="X77" s="106" t="s">
        <v>139</v>
      </c>
      <c r="Z77" s="90">
        <f t="shared" si="10"/>
        <v>32.5</v>
      </c>
      <c r="AA77" s="91">
        <f t="shared" si="9"/>
        <v>107267.23</v>
      </c>
    </row>
    <row r="78" spans="1:27" ht="15" customHeight="1" x14ac:dyDescent="0.25">
      <c r="A78" s="50">
        <v>75</v>
      </c>
      <c r="B78" s="51">
        <f t="shared" si="8"/>
        <v>0.20208354964511999</v>
      </c>
      <c r="C78" s="52">
        <f t="shared" si="11"/>
        <v>0.20208354964511999</v>
      </c>
      <c r="H78" s="70">
        <v>32.5</v>
      </c>
      <c r="I78" s="85">
        <v>0.2457</v>
      </c>
      <c r="Z78" s="90">
        <f t="shared" si="10"/>
        <v>33.5</v>
      </c>
      <c r="AA78" s="91">
        <f t="shared" si="9"/>
        <v>110567.76</v>
      </c>
    </row>
    <row r="79" spans="1:27" ht="15" customHeight="1" x14ac:dyDescent="0.25">
      <c r="A79" s="50">
        <v>76</v>
      </c>
      <c r="B79" s="51">
        <f t="shared" si="8"/>
        <v>0.20208354964511999</v>
      </c>
      <c r="C79" s="52">
        <f t="shared" si="11"/>
        <v>0.20208354964511999</v>
      </c>
      <c r="H79" s="70">
        <v>33.5</v>
      </c>
      <c r="I79" s="85">
        <v>0.23630000000000001</v>
      </c>
      <c r="Z79" s="90">
        <f t="shared" si="10"/>
        <v>34.4</v>
      </c>
      <c r="AA79" s="91">
        <f t="shared" si="9"/>
        <v>113538.23</v>
      </c>
    </row>
    <row r="80" spans="1:27" ht="15" customHeight="1" x14ac:dyDescent="0.25">
      <c r="A80" s="50">
        <v>77</v>
      </c>
      <c r="B80" s="51">
        <f t="shared" si="8"/>
        <v>0.20208354964511999</v>
      </c>
      <c r="C80" s="52">
        <f t="shared" si="11"/>
        <v>0.20208354964511999</v>
      </c>
      <c r="H80" s="70">
        <v>34.4</v>
      </c>
      <c r="I80" s="85">
        <v>0.2278</v>
      </c>
      <c r="Z80" s="90">
        <f t="shared" si="10"/>
        <v>35</v>
      </c>
      <c r="AA80" s="91">
        <f t="shared" si="9"/>
        <v>115518.55</v>
      </c>
    </row>
    <row r="81" spans="1:27" ht="15" customHeight="1" x14ac:dyDescent="0.25">
      <c r="A81" s="50">
        <v>78</v>
      </c>
      <c r="B81" s="51">
        <f t="shared" si="8"/>
        <v>0.20208354964511999</v>
      </c>
      <c r="C81" s="52">
        <f t="shared" si="11"/>
        <v>0.20208354964511999</v>
      </c>
      <c r="H81" s="70">
        <v>35</v>
      </c>
      <c r="I81" s="85">
        <v>0.22259999999999999</v>
      </c>
      <c r="Z81" s="90">
        <f t="shared" si="10"/>
        <v>35.4</v>
      </c>
      <c r="AA81" s="91">
        <f t="shared" si="9"/>
        <v>116838.76</v>
      </c>
    </row>
    <row r="82" spans="1:27" ht="15" customHeight="1" thickBot="1" x14ac:dyDescent="0.3">
      <c r="A82" s="50">
        <v>79</v>
      </c>
      <c r="B82" s="51">
        <f t="shared" si="8"/>
        <v>0.20208354964511999</v>
      </c>
      <c r="C82" s="52">
        <f t="shared" si="11"/>
        <v>0.20208354964511999</v>
      </c>
      <c r="H82" s="70">
        <v>35.4</v>
      </c>
      <c r="I82" s="85">
        <v>0.21870000000000001</v>
      </c>
      <c r="Z82" s="105">
        <f t="shared" si="10"/>
        <v>40</v>
      </c>
      <c r="AA82" s="106">
        <f t="shared" si="9"/>
        <v>132021.20000000001</v>
      </c>
    </row>
    <row r="83" spans="1:27" ht="15" customHeight="1" thickBot="1" x14ac:dyDescent="0.3">
      <c r="A83" s="50">
        <v>80</v>
      </c>
      <c r="B83" s="51">
        <f t="shared" si="8"/>
        <v>0.20208354964511999</v>
      </c>
      <c r="C83" s="52">
        <f t="shared" si="11"/>
        <v>0.20208354964511999</v>
      </c>
      <c r="H83" s="122">
        <v>40</v>
      </c>
      <c r="I83" s="120">
        <v>0.18360000000000001</v>
      </c>
    </row>
    <row r="84" spans="1:27" ht="15" customHeight="1" x14ac:dyDescent="0.25">
      <c r="A84" s="50">
        <v>81</v>
      </c>
      <c r="B84" s="51">
        <f t="shared" si="8"/>
        <v>0.20208354964511999</v>
      </c>
      <c r="C84" s="52">
        <f t="shared" si="11"/>
        <v>0.20208354964511999</v>
      </c>
    </row>
    <row r="85" spans="1:27" ht="15" customHeight="1" x14ac:dyDescent="0.25">
      <c r="A85" s="50">
        <v>82</v>
      </c>
      <c r="B85" s="51">
        <f t="shared" si="8"/>
        <v>0.20208354964511999</v>
      </c>
      <c r="C85" s="52">
        <f t="shared" si="11"/>
        <v>0.20208354964511999</v>
      </c>
    </row>
    <row r="86" spans="1:27" ht="15" customHeight="1" x14ac:dyDescent="0.25">
      <c r="A86" s="50">
        <v>83</v>
      </c>
      <c r="B86" s="51">
        <f t="shared" si="8"/>
        <v>0.20208354964511999</v>
      </c>
      <c r="C86" s="52">
        <f t="shared" si="11"/>
        <v>0.20208354964511999</v>
      </c>
      <c r="R86" s="121"/>
    </row>
    <row r="87" spans="1:27" ht="15" customHeight="1" x14ac:dyDescent="0.25">
      <c r="A87" s="50">
        <v>84</v>
      </c>
      <c r="B87" s="51">
        <f t="shared" ref="B87:B103" si="13">+$E$1*$H$1*$K$1*$K$10*$K$18*$N$9*$R$1*$R$8*$R$23*$N$1</f>
        <v>0.20208354964511999</v>
      </c>
      <c r="C87" s="52">
        <f t="shared" si="11"/>
        <v>0.20208354964511999</v>
      </c>
      <c r="R87" s="121"/>
    </row>
    <row r="88" spans="1:27" ht="15" customHeight="1" x14ac:dyDescent="0.25">
      <c r="A88" s="50">
        <v>85</v>
      </c>
      <c r="B88" s="51">
        <f t="shared" si="13"/>
        <v>0.20208354964511999</v>
      </c>
      <c r="C88" s="52">
        <f t="shared" si="11"/>
        <v>0.20208354964511999</v>
      </c>
      <c r="R88" s="121"/>
    </row>
    <row r="89" spans="1:27" ht="15" customHeight="1" x14ac:dyDescent="0.25">
      <c r="A89" s="50">
        <v>86</v>
      </c>
      <c r="B89" s="51">
        <f t="shared" si="13"/>
        <v>0.20208354964511999</v>
      </c>
      <c r="C89" s="52">
        <f t="shared" si="11"/>
        <v>0.20208354964511999</v>
      </c>
      <c r="R89" s="121"/>
    </row>
    <row r="90" spans="1:27" ht="15" customHeight="1" x14ac:dyDescent="0.25">
      <c r="A90" s="50">
        <v>87</v>
      </c>
      <c r="B90" s="51">
        <f t="shared" si="13"/>
        <v>0.20208354964511999</v>
      </c>
      <c r="C90" s="52">
        <f t="shared" si="11"/>
        <v>0.20208354964511999</v>
      </c>
      <c r="R90" s="121"/>
    </row>
    <row r="91" spans="1:27" ht="15" customHeight="1" x14ac:dyDescent="0.25">
      <c r="A91" s="50">
        <v>88</v>
      </c>
      <c r="B91" s="51">
        <f t="shared" si="13"/>
        <v>0.20208354964511999</v>
      </c>
      <c r="C91" s="52">
        <f t="shared" si="11"/>
        <v>0.20208354964511999</v>
      </c>
    </row>
    <row r="92" spans="1:27" ht="15" customHeight="1" x14ac:dyDescent="0.25">
      <c r="A92" s="50">
        <v>89</v>
      </c>
      <c r="B92" s="51">
        <f t="shared" si="13"/>
        <v>0.20208354964511999</v>
      </c>
      <c r="C92" s="52">
        <f t="shared" si="11"/>
        <v>0.20208354964511999</v>
      </c>
    </row>
    <row r="93" spans="1:27" ht="15" customHeight="1" x14ac:dyDescent="0.25">
      <c r="A93" s="50">
        <v>90</v>
      </c>
      <c r="B93" s="51">
        <f t="shared" si="13"/>
        <v>0.20208354964511999</v>
      </c>
      <c r="C93" s="52">
        <f t="shared" si="11"/>
        <v>0.20208354964511999</v>
      </c>
    </row>
    <row r="94" spans="1:27" ht="15" customHeight="1" x14ac:dyDescent="0.25">
      <c r="A94" s="50">
        <v>91</v>
      </c>
      <c r="B94" s="51">
        <f t="shared" si="13"/>
        <v>0.20208354964511999</v>
      </c>
      <c r="C94" s="52">
        <f t="shared" si="11"/>
        <v>0.20208354964511999</v>
      </c>
    </row>
    <row r="95" spans="1:27" ht="15" customHeight="1" x14ac:dyDescent="0.25">
      <c r="A95" s="50">
        <v>92</v>
      </c>
      <c r="B95" s="51">
        <f t="shared" si="13"/>
        <v>0.20208354964511999</v>
      </c>
      <c r="C95" s="52">
        <f t="shared" si="11"/>
        <v>0.20208354964511999</v>
      </c>
    </row>
    <row r="96" spans="1:27" ht="15" customHeight="1" x14ac:dyDescent="0.25">
      <c r="A96" s="50">
        <v>93</v>
      </c>
      <c r="B96" s="51">
        <f t="shared" si="13"/>
        <v>0.20208354964511999</v>
      </c>
      <c r="C96" s="52">
        <f t="shared" si="11"/>
        <v>0.20208354964511999</v>
      </c>
    </row>
    <row r="97" spans="1:3" ht="15" customHeight="1" x14ac:dyDescent="0.25">
      <c r="A97" s="50">
        <v>94</v>
      </c>
      <c r="B97" s="51">
        <f t="shared" si="13"/>
        <v>0.20208354964511999</v>
      </c>
      <c r="C97" s="52">
        <f t="shared" si="11"/>
        <v>0.20208354964511999</v>
      </c>
    </row>
    <row r="98" spans="1:3" ht="15" customHeight="1" x14ac:dyDescent="0.25">
      <c r="A98" s="50">
        <v>95</v>
      </c>
      <c r="B98" s="51">
        <f t="shared" si="13"/>
        <v>0.20208354964511999</v>
      </c>
      <c r="C98" s="52">
        <f t="shared" si="11"/>
        <v>0.20208354964511999</v>
      </c>
    </row>
    <row r="99" spans="1:3" ht="15" customHeight="1" x14ac:dyDescent="0.25">
      <c r="A99" s="50">
        <v>96</v>
      </c>
      <c r="B99" s="51">
        <f t="shared" si="13"/>
        <v>0.20208354964511999</v>
      </c>
      <c r="C99" s="52">
        <f t="shared" si="11"/>
        <v>0.20208354964511999</v>
      </c>
    </row>
    <row r="100" spans="1:3" ht="15" customHeight="1" x14ac:dyDescent="0.25">
      <c r="A100" s="50">
        <v>97</v>
      </c>
      <c r="B100" s="51">
        <f t="shared" si="13"/>
        <v>0.20208354964511999</v>
      </c>
      <c r="C100" s="52">
        <f t="shared" si="11"/>
        <v>0.20208354964511999</v>
      </c>
    </row>
    <row r="101" spans="1:3" ht="15" customHeight="1" x14ac:dyDescent="0.25">
      <c r="A101" s="50">
        <v>98</v>
      </c>
      <c r="B101" s="51">
        <f t="shared" si="13"/>
        <v>0.20208354964511999</v>
      </c>
      <c r="C101" s="52">
        <f t="shared" si="11"/>
        <v>0.20208354964511999</v>
      </c>
    </row>
    <row r="102" spans="1:3" ht="15" customHeight="1" x14ac:dyDescent="0.25">
      <c r="A102" s="50">
        <v>99</v>
      </c>
      <c r="B102" s="51">
        <f t="shared" si="13"/>
        <v>0.20208354964511999</v>
      </c>
      <c r="C102" s="52">
        <f t="shared" si="11"/>
        <v>0.20208354964511999</v>
      </c>
    </row>
    <row r="103" spans="1:3" ht="15" customHeight="1" thickBot="1" x14ac:dyDescent="0.3">
      <c r="A103" s="55">
        <v>100</v>
      </c>
      <c r="B103" s="56">
        <f t="shared" si="13"/>
        <v>0.20208354964511999</v>
      </c>
      <c r="C103" s="52">
        <f t="shared" si="11"/>
        <v>0.20208354964511999</v>
      </c>
    </row>
  </sheetData>
  <mergeCells count="14">
    <mergeCell ref="A1:C1"/>
    <mergeCell ref="Z1:AA1"/>
    <mergeCell ref="AC1:AD1"/>
    <mergeCell ref="K11:L11"/>
    <mergeCell ref="N2:P2"/>
    <mergeCell ref="W4:X4"/>
    <mergeCell ref="E2:F2"/>
    <mergeCell ref="R24:S24"/>
    <mergeCell ref="H2:I2"/>
    <mergeCell ref="K19:L19"/>
    <mergeCell ref="R2:S2"/>
    <mergeCell ref="R9:S9"/>
    <mergeCell ref="R17:S17"/>
    <mergeCell ref="K2:L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03"/>
  <sheetViews>
    <sheetView showGridLines="0" topLeftCell="Q1" zoomScaleNormal="100" workbookViewId="0">
      <selection activeCell="Q19" sqref="Q19"/>
    </sheetView>
  </sheetViews>
  <sheetFormatPr baseColWidth="10" defaultColWidth="11.453125" defaultRowHeight="15" customHeight="1" x14ac:dyDescent="0.25"/>
  <cols>
    <col min="1" max="1" width="5.7265625" style="13" customWidth="1"/>
    <col min="2" max="3" width="15.7265625" style="13" customWidth="1"/>
    <col min="4" max="5" width="5.7265625" style="13" customWidth="1"/>
    <col min="6" max="11" width="15.7265625" style="13" customWidth="1"/>
    <col min="12" max="12" width="5.7265625" style="13" customWidth="1"/>
    <col min="13" max="13" width="15.7265625" style="13" customWidth="1"/>
    <col min="14" max="14" width="10.7265625" style="13" customWidth="1"/>
    <col min="15" max="15" width="5.7265625" style="13" customWidth="1"/>
    <col min="16" max="16" width="4.7265625" style="13" bestFit="1" customWidth="1"/>
    <col min="17" max="22" width="12.54296875" style="13" bestFit="1" customWidth="1"/>
    <col min="23" max="23" width="11.453125" style="13"/>
    <col min="24" max="24" width="16.453125" style="13" bestFit="1" customWidth="1"/>
    <col min="25" max="16384" width="11.453125" style="13"/>
  </cols>
  <sheetData>
    <row r="1" spans="1:26" ht="15" customHeight="1" thickBot="1" x14ac:dyDescent="0.35">
      <c r="A1" s="344" t="s">
        <v>141</v>
      </c>
      <c r="B1" s="348"/>
      <c r="C1" s="345"/>
      <c r="E1" s="344" t="s">
        <v>134</v>
      </c>
      <c r="F1" s="348"/>
      <c r="G1" s="345"/>
      <c r="H1" s="344" t="s">
        <v>142</v>
      </c>
      <c r="I1" s="345"/>
      <c r="J1" s="365" t="s">
        <v>135</v>
      </c>
      <c r="K1" s="366"/>
      <c r="M1" s="357" t="s">
        <v>167</v>
      </c>
      <c r="N1" s="358"/>
      <c r="P1" s="359" t="s">
        <v>0</v>
      </c>
      <c r="Q1" s="360"/>
      <c r="R1" s="360"/>
      <c r="S1" s="360"/>
      <c r="T1" s="360"/>
      <c r="U1" s="360"/>
      <c r="V1" s="361"/>
    </row>
    <row r="2" spans="1:26" ht="15" customHeight="1" thickBot="1" x14ac:dyDescent="0.35">
      <c r="A2" s="62" t="s">
        <v>1</v>
      </c>
      <c r="B2" s="124" t="s">
        <v>2</v>
      </c>
      <c r="C2" s="125" t="s">
        <v>3</v>
      </c>
      <c r="E2" s="62" t="s">
        <v>1</v>
      </c>
      <c r="F2" s="124" t="s">
        <v>2</v>
      </c>
      <c r="G2" s="125" t="s">
        <v>3</v>
      </c>
      <c r="H2" s="124" t="s">
        <v>2</v>
      </c>
      <c r="I2" s="125" t="s">
        <v>3</v>
      </c>
      <c r="J2" s="124" t="s">
        <v>2</v>
      </c>
      <c r="K2" s="125" t="s">
        <v>3</v>
      </c>
      <c r="M2" s="62" t="s">
        <v>168</v>
      </c>
      <c r="N2" s="62" t="s">
        <v>5</v>
      </c>
      <c r="P2" s="362" t="s">
        <v>4</v>
      </c>
      <c r="Q2" s="363"/>
      <c r="R2" s="363"/>
      <c r="S2" s="363"/>
      <c r="T2" s="363"/>
      <c r="U2" s="363"/>
      <c r="V2" s="364"/>
      <c r="X2" s="238" t="s">
        <v>160</v>
      </c>
      <c r="Y2" s="232" t="str">
        <f>Cotizador!$I$5</f>
        <v>Renovada</v>
      </c>
    </row>
    <row r="3" spans="1:26" ht="15" customHeight="1" thickBot="1" x14ac:dyDescent="0.35">
      <c r="A3" s="126">
        <v>0</v>
      </c>
      <c r="B3" s="127">
        <v>7188.25</v>
      </c>
      <c r="C3" s="127">
        <v>6827.28</v>
      </c>
      <c r="E3" s="126">
        <v>0</v>
      </c>
      <c r="F3" s="127">
        <f>ROUND(B3/(1-tablas!$G$6),2)</f>
        <v>13069.55</v>
      </c>
      <c r="G3" s="127">
        <f>ROUND(C3/(1-tablas!$G$6),2)</f>
        <v>12413.24</v>
      </c>
      <c r="H3" s="127">
        <f>ROUND(B3/(1-tablas!$H$6),2)</f>
        <v>11980.42</v>
      </c>
      <c r="I3" s="127">
        <f>ROUND(C3/(1-tablas!$H$6),2)</f>
        <v>11378.8</v>
      </c>
      <c r="J3" s="127">
        <f>ROUND(B3/(1-tablas!$I$6),2)</f>
        <v>12501.3</v>
      </c>
      <c r="K3" s="127">
        <f>ROUND(C3/(1-tablas!$I$6),2)</f>
        <v>11873.53</v>
      </c>
      <c r="M3" s="132" t="s">
        <v>7</v>
      </c>
      <c r="N3" s="78">
        <v>0</v>
      </c>
      <c r="P3" s="128" t="s">
        <v>7</v>
      </c>
      <c r="Q3" s="129">
        <v>250000</v>
      </c>
      <c r="R3" s="129">
        <v>300000</v>
      </c>
      <c r="S3" s="129">
        <v>350000</v>
      </c>
      <c r="T3" s="129">
        <v>400000</v>
      </c>
      <c r="U3" s="129">
        <v>450000</v>
      </c>
      <c r="V3" s="129">
        <v>500000</v>
      </c>
      <c r="X3" s="238" t="s">
        <v>178</v>
      </c>
      <c r="Y3" s="232" t="str">
        <f>+IF(Y2="Nueva",IF(Y15=1,"ICFGPO1",IF(Y15=2,"ICFGPO2",IF(Y15=3,"ICFGPO3"))),"ICFGPO1")</f>
        <v>ICFGPO1</v>
      </c>
      <c r="Z3" s="233"/>
    </row>
    <row r="4" spans="1:26" ht="15" customHeight="1" x14ac:dyDescent="0.3">
      <c r="A4" s="130">
        <v>1</v>
      </c>
      <c r="B4" s="131">
        <v>7190.15</v>
      </c>
      <c r="C4" s="131">
        <v>6829.18</v>
      </c>
      <c r="E4" s="130">
        <v>1</v>
      </c>
      <c r="F4" s="131">
        <f>ROUND(B4/(1-tablas!$G$6),2)</f>
        <v>13073</v>
      </c>
      <c r="G4" s="131">
        <f>ROUND(C4/(1-tablas!$G$6),2)</f>
        <v>12416.69</v>
      </c>
      <c r="H4" s="131">
        <f>ROUND(B4/(1-tablas!$H$6),2)</f>
        <v>11983.58</v>
      </c>
      <c r="I4" s="131">
        <f>ROUND(C4/(1-tablas!$H$6),2)</f>
        <v>11381.97</v>
      </c>
      <c r="J4" s="131">
        <f>ROUND(B4/(1-tablas!$I$6),2)</f>
        <v>12504.61</v>
      </c>
      <c r="K4" s="131">
        <f>ROUND(C4/(1-tablas!$I$6),2)</f>
        <v>11876.83</v>
      </c>
      <c r="M4" s="136" t="s">
        <v>8</v>
      </c>
      <c r="N4" s="137">
        <v>50</v>
      </c>
      <c r="P4" s="138">
        <v>18</v>
      </c>
      <c r="Q4" s="133">
        <v>251</v>
      </c>
      <c r="R4" s="134">
        <v>301</v>
      </c>
      <c r="S4" s="134">
        <v>352</v>
      </c>
      <c r="T4" s="134">
        <v>402</v>
      </c>
      <c r="U4" s="134">
        <v>452</v>
      </c>
      <c r="V4" s="135">
        <v>502</v>
      </c>
      <c r="X4" s="239" t="s">
        <v>175</v>
      </c>
      <c r="Y4" s="240" t="s">
        <v>176</v>
      </c>
      <c r="Z4" s="233"/>
    </row>
    <row r="5" spans="1:26" ht="15" customHeight="1" x14ac:dyDescent="0.35">
      <c r="A5" s="130">
        <v>2</v>
      </c>
      <c r="B5" s="131">
        <v>7193.95</v>
      </c>
      <c r="C5" s="131">
        <v>6831.08</v>
      </c>
      <c r="E5" s="130">
        <v>2</v>
      </c>
      <c r="F5" s="131">
        <f>ROUND(B5/(1-tablas!$G$6),2)</f>
        <v>13079.91</v>
      </c>
      <c r="G5" s="131">
        <f>ROUND(C5/(1-tablas!$G$6),2)</f>
        <v>12420.15</v>
      </c>
      <c r="H5" s="131">
        <f>ROUND(B5/(1-tablas!$H$6),2)</f>
        <v>11989.92</v>
      </c>
      <c r="I5" s="131">
        <f>ROUND(C5/(1-tablas!$H$6),2)</f>
        <v>11385.13</v>
      </c>
      <c r="J5" s="131">
        <f>ROUND(B5/(1-tablas!$I$6),2)</f>
        <v>12511.22</v>
      </c>
      <c r="K5" s="131">
        <f>ROUND(C5/(1-tablas!$I$6),2)</f>
        <v>11880.14</v>
      </c>
      <c r="M5" s="136" t="s">
        <v>9</v>
      </c>
      <c r="N5" s="137">
        <v>100</v>
      </c>
      <c r="P5" s="138">
        <f t="shared" ref="P5:P51" si="0">P4+1</f>
        <v>19</v>
      </c>
      <c r="Q5" s="139">
        <v>251</v>
      </c>
      <c r="R5" s="140">
        <v>301</v>
      </c>
      <c r="S5" s="140">
        <v>352</v>
      </c>
      <c r="T5" s="140">
        <v>402</v>
      </c>
      <c r="U5" s="140">
        <v>452</v>
      </c>
      <c r="V5" s="141">
        <v>502</v>
      </c>
      <c r="X5" s="234">
        <v>1</v>
      </c>
      <c r="Y5" s="235" t="str">
        <f>+IF(Cotizador!G18&lt;46,1,IF(AND(Cotizador!G18&gt;45,Cotizador!G18&lt;51),2,IF(AND(Cotizador!G18&gt;50,Cotizador!G18&lt;56),3,"")))</f>
        <v/>
      </c>
      <c r="Z5" s="233" t="s">
        <v>179</v>
      </c>
    </row>
    <row r="6" spans="1:26" ht="15" customHeight="1" thickBot="1" x14ac:dyDescent="0.4">
      <c r="A6" s="130">
        <v>3</v>
      </c>
      <c r="B6" s="131">
        <v>7197.11</v>
      </c>
      <c r="C6" s="131">
        <v>6835.52</v>
      </c>
      <c r="E6" s="130">
        <v>3</v>
      </c>
      <c r="F6" s="131">
        <f>ROUND(B6/(1-tablas!$G$6),2)</f>
        <v>13085.65</v>
      </c>
      <c r="G6" s="131">
        <f>ROUND(C6/(1-tablas!$G$6),2)</f>
        <v>12428.22</v>
      </c>
      <c r="H6" s="131">
        <f>ROUND(B6/(1-tablas!$H$6),2)</f>
        <v>11995.18</v>
      </c>
      <c r="I6" s="131">
        <f>ROUND(C6/(1-tablas!$H$6),2)</f>
        <v>11392.53</v>
      </c>
      <c r="J6" s="131">
        <f>ROUND(B6/(1-tablas!$I$6),2)</f>
        <v>12516.71</v>
      </c>
      <c r="K6" s="131">
        <f>ROUND(C6/(1-tablas!$I$6),2)</f>
        <v>11887.86</v>
      </c>
      <c r="M6" s="136" t="s">
        <v>10</v>
      </c>
      <c r="N6" s="137">
        <v>150</v>
      </c>
      <c r="P6" s="138">
        <f t="shared" si="0"/>
        <v>20</v>
      </c>
      <c r="Q6" s="150">
        <v>251</v>
      </c>
      <c r="R6" s="151">
        <v>301</v>
      </c>
      <c r="S6" s="151">
        <v>352</v>
      </c>
      <c r="T6" s="151">
        <v>402</v>
      </c>
      <c r="U6" s="151">
        <v>452</v>
      </c>
      <c r="V6" s="152">
        <v>502</v>
      </c>
      <c r="X6" s="234">
        <v>2</v>
      </c>
      <c r="Y6" s="235" t="str">
        <f>+IF(Cotizador!G19&lt;46,1,IF(AND(Cotizador!G19&gt;45,Cotizador!G19&lt;51),2,IF(AND(Cotizador!G19&gt;50,Cotizador!G19&lt;56),3,"")))</f>
        <v/>
      </c>
      <c r="Z6" s="233" t="s">
        <v>180</v>
      </c>
    </row>
    <row r="7" spans="1:26" ht="15" customHeight="1" thickBot="1" x14ac:dyDescent="0.4">
      <c r="A7" s="130">
        <v>4</v>
      </c>
      <c r="B7" s="131">
        <v>7199.01</v>
      </c>
      <c r="C7" s="131">
        <v>6836.15</v>
      </c>
      <c r="E7" s="130">
        <v>4</v>
      </c>
      <c r="F7" s="131">
        <f>ROUND(B7/(1-tablas!$G$6),2)</f>
        <v>13089.11</v>
      </c>
      <c r="G7" s="131">
        <f>ROUND(C7/(1-tablas!$G$6),2)</f>
        <v>12429.36</v>
      </c>
      <c r="H7" s="131">
        <f>ROUND(B7/(1-tablas!$H$6),2)</f>
        <v>11998.35</v>
      </c>
      <c r="I7" s="131">
        <f>ROUND(C7/(1-tablas!$H$6),2)</f>
        <v>11393.58</v>
      </c>
      <c r="J7" s="131">
        <f>ROUND(B7/(1-tablas!$I$6),2)</f>
        <v>12520.02</v>
      </c>
      <c r="K7" s="131">
        <f>ROUND(C7/(1-tablas!$I$6),2)</f>
        <v>11888.96</v>
      </c>
      <c r="M7" s="108" t="s">
        <v>11</v>
      </c>
      <c r="N7" s="142">
        <v>200</v>
      </c>
      <c r="P7" s="138">
        <f t="shared" si="0"/>
        <v>21</v>
      </c>
      <c r="Q7" s="153">
        <v>239</v>
      </c>
      <c r="R7" s="154">
        <v>287</v>
      </c>
      <c r="S7" s="154">
        <v>335</v>
      </c>
      <c r="T7" s="154">
        <v>382</v>
      </c>
      <c r="U7" s="154">
        <v>430</v>
      </c>
      <c r="V7" s="155">
        <v>478</v>
      </c>
      <c r="X7" s="234">
        <v>3</v>
      </c>
      <c r="Y7" s="235" t="str">
        <f>+IF(Cotizador!G20&lt;46,1,IF(AND(Cotizador!G20&gt;45,Cotizador!G20&lt;51),2,IF(AND(Cotizador!G20&gt;50,Cotizador!G20&lt;56),3,"")))</f>
        <v/>
      </c>
      <c r="Z7" s="233" t="s">
        <v>181</v>
      </c>
    </row>
    <row r="8" spans="1:26" ht="15" customHeight="1" thickBot="1" x14ac:dyDescent="0.4">
      <c r="A8" s="130">
        <v>5</v>
      </c>
      <c r="B8" s="131">
        <v>7200.91</v>
      </c>
      <c r="C8" s="131">
        <v>6838.05</v>
      </c>
      <c r="E8" s="130">
        <v>5</v>
      </c>
      <c r="F8" s="131">
        <f>ROUND(B8/(1-tablas!$G$6),2)</f>
        <v>13092.56</v>
      </c>
      <c r="G8" s="131">
        <f>ROUND(C8/(1-tablas!$G$6),2)</f>
        <v>12432.82</v>
      </c>
      <c r="H8" s="131">
        <f>ROUND(B8/(1-tablas!$H$6),2)</f>
        <v>12001.52</v>
      </c>
      <c r="I8" s="131">
        <f>ROUND(C8/(1-tablas!$H$6),2)</f>
        <v>11396.75</v>
      </c>
      <c r="J8" s="131">
        <f>ROUND(B8/(1-tablas!$I$6),2)</f>
        <v>12523.32</v>
      </c>
      <c r="K8" s="131">
        <f>ROUND(C8/(1-tablas!$I$6),2)</f>
        <v>11892.26</v>
      </c>
      <c r="P8" s="138">
        <f>P7+1</f>
        <v>22</v>
      </c>
      <c r="Q8" s="156">
        <v>239</v>
      </c>
      <c r="R8" s="157">
        <v>287</v>
      </c>
      <c r="S8" s="157">
        <v>335</v>
      </c>
      <c r="T8" s="157">
        <v>382</v>
      </c>
      <c r="U8" s="157">
        <v>430</v>
      </c>
      <c r="V8" s="158">
        <v>478</v>
      </c>
      <c r="X8" s="234">
        <v>4</v>
      </c>
      <c r="Y8" s="235" t="str">
        <f>+IF(Cotizador!G21&lt;46,1,IF(AND(Cotizador!G21&gt;45,Cotizador!G21&lt;51),2,IF(AND(Cotizador!G21&gt;50,Cotizador!G21&lt;56),3,"")))</f>
        <v/>
      </c>
      <c r="Z8" s="233"/>
    </row>
    <row r="9" spans="1:26" ht="15" customHeight="1" thickBot="1" x14ac:dyDescent="0.4">
      <c r="A9" s="130">
        <v>6</v>
      </c>
      <c r="B9" s="131">
        <v>7203.45</v>
      </c>
      <c r="C9" s="131">
        <v>6841.85</v>
      </c>
      <c r="E9" s="130">
        <v>6</v>
      </c>
      <c r="F9" s="131">
        <f>ROUND(B9/(1-tablas!$G$6),2)</f>
        <v>13097.18</v>
      </c>
      <c r="G9" s="131">
        <f>ROUND(C9/(1-tablas!$G$6),2)</f>
        <v>12439.73</v>
      </c>
      <c r="H9" s="131">
        <f>ROUND(B9/(1-tablas!$H$6),2)</f>
        <v>12005.75</v>
      </c>
      <c r="I9" s="131">
        <f>ROUND(C9/(1-tablas!$H$6),2)</f>
        <v>11403.08</v>
      </c>
      <c r="J9" s="131">
        <f>ROUND(B9/(1-tablas!$I$6),2)</f>
        <v>12527.74</v>
      </c>
      <c r="K9" s="131">
        <f>ROUND(C9/(1-tablas!$I$6),2)</f>
        <v>11898.87</v>
      </c>
      <c r="M9" s="357" t="s">
        <v>157</v>
      </c>
      <c r="N9" s="358"/>
      <c r="P9" s="138">
        <f t="shared" si="0"/>
        <v>23</v>
      </c>
      <c r="Q9" s="156">
        <v>239</v>
      </c>
      <c r="R9" s="157">
        <v>287</v>
      </c>
      <c r="S9" s="157">
        <v>335</v>
      </c>
      <c r="T9" s="157">
        <v>382</v>
      </c>
      <c r="U9" s="157">
        <v>430</v>
      </c>
      <c r="V9" s="158">
        <v>478</v>
      </c>
      <c r="X9" s="234">
        <v>5</v>
      </c>
      <c r="Y9" s="235" t="str">
        <f>+IF(Cotizador!G22&lt;46,1,IF(AND(Cotizador!G22&gt;45,Cotizador!G22&lt;51),2,IF(AND(Cotizador!G22&gt;50,Cotizador!G22&lt;56),3,"")))</f>
        <v/>
      </c>
      <c r="Z9" s="233"/>
    </row>
    <row r="10" spans="1:26" ht="15" customHeight="1" x14ac:dyDescent="0.35">
      <c r="A10" s="130">
        <v>7</v>
      </c>
      <c r="B10" s="131">
        <v>7206.61</v>
      </c>
      <c r="C10" s="131">
        <v>6843.75</v>
      </c>
      <c r="E10" s="130">
        <v>7</v>
      </c>
      <c r="F10" s="131">
        <f>ROUND(B10/(1-tablas!$G$6),2)</f>
        <v>13102.93</v>
      </c>
      <c r="G10" s="131">
        <f>ROUND(C10/(1-tablas!$G$6),2)</f>
        <v>12443.18</v>
      </c>
      <c r="H10" s="131">
        <f>ROUND(B10/(1-tablas!$H$6),2)</f>
        <v>12011.02</v>
      </c>
      <c r="I10" s="131">
        <f>ROUND(C10/(1-tablas!$H$6),2)</f>
        <v>11406.25</v>
      </c>
      <c r="J10" s="131">
        <f>ROUND(B10/(1-tablas!$I$6),2)</f>
        <v>12533.23</v>
      </c>
      <c r="K10" s="131">
        <f>ROUND(C10/(1-tablas!$I$6),2)</f>
        <v>11902.17</v>
      </c>
      <c r="M10" s="78" t="s">
        <v>7</v>
      </c>
      <c r="N10" s="78">
        <v>0</v>
      </c>
      <c r="P10" s="138">
        <f t="shared" si="0"/>
        <v>24</v>
      </c>
      <c r="Q10" s="156">
        <v>239</v>
      </c>
      <c r="R10" s="157">
        <v>287</v>
      </c>
      <c r="S10" s="157">
        <v>335</v>
      </c>
      <c r="T10" s="157">
        <v>382</v>
      </c>
      <c r="U10" s="157">
        <v>430</v>
      </c>
      <c r="V10" s="158">
        <v>478</v>
      </c>
      <c r="X10" s="234">
        <v>6</v>
      </c>
      <c r="Y10" s="235" t="str">
        <f>+IF(Cotizador!G23&lt;46,1,IF(AND(Cotizador!G23&gt;45,Cotizador!G23&lt;51),2,IF(AND(Cotizador!G23&gt;50,Cotizador!G23&lt;56),3,"")))</f>
        <v/>
      </c>
      <c r="Z10" s="233"/>
    </row>
    <row r="11" spans="1:26" ht="15" customHeight="1" thickBot="1" x14ac:dyDescent="0.4">
      <c r="A11" s="130">
        <v>8</v>
      </c>
      <c r="B11" s="131">
        <v>7207.25</v>
      </c>
      <c r="C11" s="131">
        <v>6845.02</v>
      </c>
      <c r="E11" s="130">
        <v>8</v>
      </c>
      <c r="F11" s="131">
        <f>ROUND(B11/(1-tablas!$G$6),2)</f>
        <v>13104.09</v>
      </c>
      <c r="G11" s="131">
        <f>ROUND(C11/(1-tablas!$G$6),2)</f>
        <v>12445.49</v>
      </c>
      <c r="H11" s="131">
        <f>ROUND(B11/(1-tablas!$H$6),2)</f>
        <v>12012.08</v>
      </c>
      <c r="I11" s="131">
        <f>ROUND(C11/(1-tablas!$H$6),2)</f>
        <v>11408.37</v>
      </c>
      <c r="J11" s="131">
        <f>ROUND(B11/(1-tablas!$I$6),2)</f>
        <v>12534.35</v>
      </c>
      <c r="K11" s="131">
        <f>ROUND(C11/(1-tablas!$I$6),2)</f>
        <v>11904.38</v>
      </c>
      <c r="M11" s="143" t="s">
        <v>137</v>
      </c>
      <c r="N11" s="144">
        <v>233</v>
      </c>
      <c r="P11" s="138">
        <f t="shared" si="0"/>
        <v>25</v>
      </c>
      <c r="Q11" s="159">
        <v>239</v>
      </c>
      <c r="R11" s="160">
        <v>287</v>
      </c>
      <c r="S11" s="160">
        <v>335</v>
      </c>
      <c r="T11" s="160">
        <v>382</v>
      </c>
      <c r="U11" s="160">
        <v>430</v>
      </c>
      <c r="V11" s="161">
        <v>478</v>
      </c>
      <c r="X11" s="234">
        <v>7</v>
      </c>
      <c r="Y11" s="235" t="str">
        <f>+IF(Cotizador!G24&lt;46,1,IF(AND(Cotizador!G24&gt;45,Cotizador!G24&lt;51),2,IF(AND(Cotizador!G24&gt;50,Cotizador!G24&lt;56),3,"")))</f>
        <v/>
      </c>
      <c r="Z11" s="233"/>
    </row>
    <row r="12" spans="1:26" ht="15" customHeight="1" thickBot="1" x14ac:dyDescent="0.4">
      <c r="A12" s="130">
        <v>9</v>
      </c>
      <c r="B12" s="131">
        <v>7212.95</v>
      </c>
      <c r="C12" s="131">
        <v>6846.92</v>
      </c>
      <c r="E12" s="130">
        <v>9</v>
      </c>
      <c r="F12" s="131">
        <f>ROUND(B12/(1-tablas!$G$6),2)</f>
        <v>13114.45</v>
      </c>
      <c r="G12" s="131">
        <f>ROUND(C12/(1-tablas!$G$6),2)</f>
        <v>12448.95</v>
      </c>
      <c r="H12" s="131">
        <f>ROUND(B12/(1-tablas!$H$6),2)</f>
        <v>12021.58</v>
      </c>
      <c r="I12" s="131">
        <f>ROUND(C12/(1-tablas!$H$6),2)</f>
        <v>11411.53</v>
      </c>
      <c r="J12" s="131">
        <f>ROUND(B12/(1-tablas!$I$6),2)</f>
        <v>12544.26</v>
      </c>
      <c r="K12" s="131">
        <f>ROUND(C12/(1-tablas!$I$6),2)</f>
        <v>11907.69</v>
      </c>
      <c r="M12" s="218" t="s">
        <v>138</v>
      </c>
      <c r="N12" s="145">
        <v>1223.3699999999999</v>
      </c>
      <c r="P12" s="138">
        <f t="shared" si="0"/>
        <v>26</v>
      </c>
      <c r="Q12" s="153">
        <v>333</v>
      </c>
      <c r="R12" s="154">
        <v>400</v>
      </c>
      <c r="S12" s="154">
        <v>466</v>
      </c>
      <c r="T12" s="154">
        <v>533</v>
      </c>
      <c r="U12" s="154">
        <v>600</v>
      </c>
      <c r="V12" s="155">
        <v>666</v>
      </c>
      <c r="X12" s="234">
        <v>8</v>
      </c>
      <c r="Y12" s="235" t="str">
        <f>+IF(Cotizador!G25&lt;46,1,IF(AND(Cotizador!G25&gt;45,Cotizador!G25&lt;51),2,IF(AND(Cotizador!G25&gt;50,Cotizador!G25&lt;56),3,"")))</f>
        <v/>
      </c>
      <c r="Z12" s="233"/>
    </row>
    <row r="13" spans="1:26" ht="15" customHeight="1" x14ac:dyDescent="0.35">
      <c r="A13" s="130">
        <v>10</v>
      </c>
      <c r="B13" s="131">
        <v>7214.85</v>
      </c>
      <c r="C13" s="131">
        <v>6849.45</v>
      </c>
      <c r="E13" s="130">
        <v>10</v>
      </c>
      <c r="F13" s="131">
        <f>ROUND(B13/(1-tablas!$G$6),2)</f>
        <v>13117.91</v>
      </c>
      <c r="G13" s="131">
        <f>ROUND(C13/(1-tablas!$G$6),2)</f>
        <v>12453.55</v>
      </c>
      <c r="H13" s="131">
        <f>ROUND(B13/(1-tablas!$H$6),2)</f>
        <v>12024.75</v>
      </c>
      <c r="I13" s="131">
        <f>ROUND(C13/(1-tablas!$H$6),2)</f>
        <v>11415.75</v>
      </c>
      <c r="J13" s="131">
        <f>ROUND(B13/(1-tablas!$I$6),2)</f>
        <v>12547.57</v>
      </c>
      <c r="K13" s="131">
        <f>ROUND(C13/(1-tablas!$I$6),2)</f>
        <v>11912.09</v>
      </c>
      <c r="P13" s="138">
        <f t="shared" si="0"/>
        <v>27</v>
      </c>
      <c r="Q13" s="156">
        <v>333</v>
      </c>
      <c r="R13" s="157">
        <v>400</v>
      </c>
      <c r="S13" s="157">
        <v>466</v>
      </c>
      <c r="T13" s="157">
        <v>533</v>
      </c>
      <c r="U13" s="157">
        <v>600</v>
      </c>
      <c r="V13" s="158">
        <v>666</v>
      </c>
      <c r="X13" s="234">
        <v>9</v>
      </c>
      <c r="Y13" s="235" t="str">
        <f>+IF(Cotizador!G26&lt;46,1,IF(AND(Cotizador!G26&gt;45,Cotizador!G26&lt;51),2,IF(AND(Cotizador!G26&gt;50,Cotizador!G26&lt;56),3,"")))</f>
        <v/>
      </c>
      <c r="Z13" s="233"/>
    </row>
    <row r="14" spans="1:26" ht="15" customHeight="1" thickBot="1" x14ac:dyDescent="0.4">
      <c r="A14" s="130">
        <v>11</v>
      </c>
      <c r="B14" s="131">
        <v>7218.01</v>
      </c>
      <c r="C14" s="131">
        <v>6852.61</v>
      </c>
      <c r="E14" s="130">
        <v>11</v>
      </c>
      <c r="F14" s="131">
        <f>ROUND(B14/(1-tablas!$G$6),2)</f>
        <v>13123.65</v>
      </c>
      <c r="G14" s="131">
        <f>ROUND(C14/(1-tablas!$G$6),2)</f>
        <v>12459.29</v>
      </c>
      <c r="H14" s="131">
        <f>ROUND(B14/(1-tablas!$H$6),2)</f>
        <v>12030.02</v>
      </c>
      <c r="I14" s="131">
        <f>ROUND(C14/(1-tablas!$H$6),2)</f>
        <v>11421.02</v>
      </c>
      <c r="J14" s="225">
        <f>ROUND(B14/(1-tablas!$I$6),2)</f>
        <v>12553.06</v>
      </c>
      <c r="K14" s="225">
        <f>ROUND(C14/(1-tablas!$I$6),2)</f>
        <v>11917.58</v>
      </c>
      <c r="M14" s="13" t="s">
        <v>6</v>
      </c>
      <c r="N14" s="13" t="s">
        <v>7</v>
      </c>
      <c r="P14" s="138">
        <f t="shared" si="0"/>
        <v>28</v>
      </c>
      <c r="Q14" s="156">
        <v>333</v>
      </c>
      <c r="R14" s="157">
        <v>400</v>
      </c>
      <c r="S14" s="157">
        <v>466</v>
      </c>
      <c r="T14" s="157">
        <v>533</v>
      </c>
      <c r="U14" s="157">
        <v>600</v>
      </c>
      <c r="V14" s="158">
        <v>666</v>
      </c>
      <c r="X14" s="236">
        <v>10</v>
      </c>
      <c r="Y14" s="235" t="str">
        <f>+IF(Cotizador!G27&lt;46,1,IF(AND(Cotizador!G27&gt;45,Cotizador!G27&lt;51),2,IF(AND(Cotizador!G27&gt;50,Cotizador!G27&lt;56),3,"")))</f>
        <v/>
      </c>
      <c r="Z14" s="233"/>
    </row>
    <row r="15" spans="1:26" ht="15" customHeight="1" thickBot="1" x14ac:dyDescent="0.35">
      <c r="A15" s="130">
        <v>12</v>
      </c>
      <c r="B15" s="131">
        <v>7220.54</v>
      </c>
      <c r="C15" s="131">
        <v>6853.25</v>
      </c>
      <c r="E15" s="130">
        <v>12</v>
      </c>
      <c r="F15" s="131">
        <f>ROUND(B15/(1-tablas!$G$6),2)</f>
        <v>13128.25</v>
      </c>
      <c r="G15" s="131">
        <f>ROUND(C15/(1-tablas!$G$6),2)</f>
        <v>12460.45</v>
      </c>
      <c r="H15" s="131">
        <f>ROUND(B15/(1-tablas!$H$6),2)</f>
        <v>12034.23</v>
      </c>
      <c r="I15" s="131">
        <f>ROUND(C15/(1-tablas!$H$6),2)</f>
        <v>11422.08</v>
      </c>
      <c r="J15" s="131">
        <f>ROUND(B15/(1-tablas!$I$6),2)</f>
        <v>12557.46</v>
      </c>
      <c r="K15" s="131">
        <f>ROUND(C15/(1-tablas!$I$6),2)</f>
        <v>11918.7</v>
      </c>
      <c r="M15" s="344" t="s">
        <v>166</v>
      </c>
      <c r="N15" s="348"/>
      <c r="P15" s="138">
        <f>P14+1</f>
        <v>29</v>
      </c>
      <c r="Q15" s="156">
        <v>333</v>
      </c>
      <c r="R15" s="157">
        <v>400</v>
      </c>
      <c r="S15" s="157">
        <v>466</v>
      </c>
      <c r="T15" s="157">
        <v>533</v>
      </c>
      <c r="U15" s="157">
        <v>600</v>
      </c>
      <c r="V15" s="158">
        <v>666</v>
      </c>
      <c r="X15" s="241" t="s">
        <v>182</v>
      </c>
      <c r="Y15" s="237">
        <f>+IF(OR(AND(Y5&lt;&gt;0,Y5=3),AND(Y6&lt;&gt;0,Y6=3),AND(Y7&lt;&gt;0,Y7=3),AND(Y8&lt;&gt;0,Y8=3),AND(Y9&lt;&gt;0,Y9=3),AND(Y10&lt;&gt;0,Y10=3),AND(Y11&lt;&gt;0,Y11=3),AND(Y12&lt;&gt;0,Y12=3),AND(Y13&lt;&gt;0,Y13=3),AND(Y14&lt;&gt;0,Y14=3)),3,IF(OR(AND(Y5&lt;&gt;0,Y5=2),AND(Y6&lt;&gt;0,Y6=2),AND(Y7&lt;&gt;0,Y7=2),AND(Y8&lt;&gt;0,Y8=2),AND(Y9&lt;&gt;0,Y9=2),AND(Y10&lt;&gt;0,Y10=2),AND(Y11&lt;&gt;0,Y11=2),AND(Y12&lt;&gt;0,Y12=2),AND(Y13&lt;&gt;0,Y13=2),AND(Y14&lt;&gt;0,Y14=2)),2,1))</f>
        <v>1</v>
      </c>
      <c r="Z15" s="233"/>
    </row>
    <row r="16" spans="1:26" ht="15" customHeight="1" thickBot="1" x14ac:dyDescent="0.35">
      <c r="A16" s="130">
        <v>13</v>
      </c>
      <c r="B16" s="131">
        <v>7221.81</v>
      </c>
      <c r="C16" s="131">
        <v>6854.51</v>
      </c>
      <c r="E16" s="130">
        <v>13</v>
      </c>
      <c r="F16" s="131">
        <f>ROUND(B16/(1-tablas!$G$6),2)</f>
        <v>13130.56</v>
      </c>
      <c r="G16" s="131">
        <f>ROUND(C16/(1-tablas!$G$6),2)</f>
        <v>12462.75</v>
      </c>
      <c r="H16" s="131">
        <f>ROUND(B16/(1-tablas!$H$6),2)</f>
        <v>12036.35</v>
      </c>
      <c r="I16" s="131">
        <f>ROUND(C16/(1-tablas!$H$6),2)</f>
        <v>11424.18</v>
      </c>
      <c r="J16" s="131">
        <f>ROUND(B16/(1-tablas!$I$6),2)</f>
        <v>12559.67</v>
      </c>
      <c r="K16" s="131">
        <f>ROUND(C16/(1-tablas!$I$6),2)</f>
        <v>11920.89</v>
      </c>
      <c r="M16" s="62" t="s">
        <v>169</v>
      </c>
      <c r="N16" s="62" t="s">
        <v>5</v>
      </c>
      <c r="P16" s="138">
        <f t="shared" si="0"/>
        <v>30</v>
      </c>
      <c r="Q16" s="159">
        <v>333</v>
      </c>
      <c r="R16" s="160">
        <v>400</v>
      </c>
      <c r="S16" s="160">
        <v>466</v>
      </c>
      <c r="T16" s="160">
        <v>533</v>
      </c>
      <c r="U16" s="160">
        <v>600</v>
      </c>
      <c r="V16" s="161">
        <v>666</v>
      </c>
    </row>
    <row r="17" spans="1:22" ht="15" customHeight="1" x14ac:dyDescent="0.3">
      <c r="A17" s="130">
        <v>14</v>
      </c>
      <c r="B17" s="131">
        <v>7223.71</v>
      </c>
      <c r="C17" s="131">
        <v>6857.05</v>
      </c>
      <c r="E17" s="130">
        <v>14</v>
      </c>
      <c r="F17" s="131">
        <f>ROUND(B17/(1-tablas!$G$6),2)</f>
        <v>13134.02</v>
      </c>
      <c r="G17" s="131">
        <f>ROUND(C17/(1-tablas!$G$6),2)</f>
        <v>12467.36</v>
      </c>
      <c r="H17" s="131">
        <f>ROUND(B17/(1-tablas!$H$6),2)</f>
        <v>12039.52</v>
      </c>
      <c r="I17" s="131">
        <f>ROUND(C17/(1-tablas!$H$6),2)</f>
        <v>11428.42</v>
      </c>
      <c r="J17" s="131">
        <f>ROUND(B17/(1-tablas!$I$6),2)</f>
        <v>12562.97</v>
      </c>
      <c r="K17" s="131">
        <f>ROUND(C17/(1-tablas!$I$6),2)</f>
        <v>11925.3</v>
      </c>
      <c r="M17" s="147">
        <v>0.8</v>
      </c>
      <c r="N17" s="148">
        <v>1147.9000000000001</v>
      </c>
      <c r="P17" s="138">
        <f t="shared" si="0"/>
        <v>31</v>
      </c>
      <c r="Q17" s="153">
        <v>542</v>
      </c>
      <c r="R17" s="154">
        <v>650</v>
      </c>
      <c r="S17" s="154">
        <v>759</v>
      </c>
      <c r="T17" s="154">
        <v>867</v>
      </c>
      <c r="U17" s="154">
        <v>975</v>
      </c>
      <c r="V17" s="155">
        <v>1084</v>
      </c>
    </row>
    <row r="18" spans="1:22" ht="15" customHeight="1" x14ac:dyDescent="0.3">
      <c r="A18" s="130">
        <v>15</v>
      </c>
      <c r="B18" s="146">
        <v>7304.77</v>
      </c>
      <c r="C18" s="146">
        <v>7155.95</v>
      </c>
      <c r="E18" s="130">
        <v>15</v>
      </c>
      <c r="F18" s="146">
        <f>ROUND(B18/(1-tablas!$G$6),2)</f>
        <v>13281.4</v>
      </c>
      <c r="G18" s="146">
        <f>ROUND(C18/(1-tablas!$G$6),2)</f>
        <v>13010.82</v>
      </c>
      <c r="H18" s="146">
        <f>ROUND(B18/(1-tablas!$H$6),2)</f>
        <v>12174.62</v>
      </c>
      <c r="I18" s="146">
        <f>ROUND(C18/(1-tablas!$H$6),2)</f>
        <v>11926.58</v>
      </c>
      <c r="J18" s="146">
        <f>ROUND(B18/(1-tablas!$I$6),2)</f>
        <v>12703.95</v>
      </c>
      <c r="K18" s="146">
        <f>ROUND(C18/(1-tablas!$I$6),2)</f>
        <v>12445.13</v>
      </c>
      <c r="M18" s="70">
        <v>1</v>
      </c>
      <c r="N18" s="149">
        <v>1147.9000000000001</v>
      </c>
      <c r="P18" s="138">
        <f>P17+1</f>
        <v>32</v>
      </c>
      <c r="Q18" s="156">
        <v>542</v>
      </c>
      <c r="R18" s="157">
        <v>650</v>
      </c>
      <c r="S18" s="157">
        <v>759</v>
      </c>
      <c r="T18" s="157">
        <v>867</v>
      </c>
      <c r="U18" s="157">
        <v>975</v>
      </c>
      <c r="V18" s="158">
        <v>1084</v>
      </c>
    </row>
    <row r="19" spans="1:22" ht="15" customHeight="1" x14ac:dyDescent="0.3">
      <c r="A19" s="130">
        <v>16</v>
      </c>
      <c r="B19" s="146">
        <v>7388.99</v>
      </c>
      <c r="C19" s="146">
        <v>7164.18</v>
      </c>
      <c r="E19" s="130">
        <v>16</v>
      </c>
      <c r="F19" s="146">
        <f>ROUND(B19/(1-tablas!$G$6),2)</f>
        <v>13434.53</v>
      </c>
      <c r="G19" s="146">
        <f>ROUND(C19/(1-tablas!$G$6),2)</f>
        <v>13025.78</v>
      </c>
      <c r="H19" s="146">
        <f>ROUND(B19/(1-tablas!$H$6),2)</f>
        <v>12314.98</v>
      </c>
      <c r="I19" s="146">
        <f>ROUND(C19/(1-tablas!$H$6),2)</f>
        <v>11940.3</v>
      </c>
      <c r="J19" s="146">
        <f>ROUND(B19/(1-tablas!$I$6),2)</f>
        <v>12850.42</v>
      </c>
      <c r="K19" s="146">
        <f>ROUND(C19/(1-tablas!$I$6),2)</f>
        <v>12459.44</v>
      </c>
      <c r="M19" s="70">
        <v>1.3</v>
      </c>
      <c r="N19" s="149">
        <v>1147.9000000000001</v>
      </c>
      <c r="P19" s="138">
        <f t="shared" si="0"/>
        <v>33</v>
      </c>
      <c r="Q19" s="156">
        <v>542</v>
      </c>
      <c r="R19" s="157">
        <v>650</v>
      </c>
      <c r="S19" s="157">
        <v>759</v>
      </c>
      <c r="T19" s="157">
        <v>867</v>
      </c>
      <c r="U19" s="157">
        <v>975</v>
      </c>
      <c r="V19" s="158">
        <v>1084</v>
      </c>
    </row>
    <row r="20" spans="1:22" ht="15" customHeight="1" x14ac:dyDescent="0.3">
      <c r="A20" s="130">
        <v>17</v>
      </c>
      <c r="B20" s="146">
        <v>7468.79</v>
      </c>
      <c r="C20" s="146">
        <v>7180.02</v>
      </c>
      <c r="E20" s="130">
        <v>17</v>
      </c>
      <c r="F20" s="146">
        <f>ROUND(B20/(1-tablas!$G$6),2)</f>
        <v>13579.62</v>
      </c>
      <c r="G20" s="146">
        <f>ROUND(C20/(1-tablas!$G$6),2)</f>
        <v>13054.58</v>
      </c>
      <c r="H20" s="146">
        <f>ROUND(B20/(1-tablas!$H$6),2)</f>
        <v>12447.98</v>
      </c>
      <c r="I20" s="146">
        <f>ROUND(C20/(1-tablas!$H$6),2)</f>
        <v>11966.7</v>
      </c>
      <c r="J20" s="146">
        <f>ROUND(B20/(1-tablas!$I$6),2)</f>
        <v>12989.2</v>
      </c>
      <c r="K20" s="146">
        <f>ROUND(C20/(1-tablas!$I$6),2)</f>
        <v>12486.99</v>
      </c>
      <c r="M20" s="70">
        <v>1.5</v>
      </c>
      <c r="N20" s="149">
        <v>1147.9000000000001</v>
      </c>
      <c r="P20" s="138">
        <f t="shared" si="0"/>
        <v>34</v>
      </c>
      <c r="Q20" s="156">
        <v>542</v>
      </c>
      <c r="R20" s="157">
        <v>650</v>
      </c>
      <c r="S20" s="157">
        <v>759</v>
      </c>
      <c r="T20" s="157">
        <v>867</v>
      </c>
      <c r="U20" s="157">
        <v>975</v>
      </c>
      <c r="V20" s="158">
        <v>1084</v>
      </c>
    </row>
    <row r="21" spans="1:22" ht="15" customHeight="1" thickBot="1" x14ac:dyDescent="0.35">
      <c r="A21" s="130">
        <v>18</v>
      </c>
      <c r="B21" s="131">
        <v>7553.01</v>
      </c>
      <c r="C21" s="131">
        <v>7186.35</v>
      </c>
      <c r="E21" s="130">
        <v>18</v>
      </c>
      <c r="F21" s="131">
        <f>ROUND(B21/(1-tablas!$G$6),2)</f>
        <v>13732.75</v>
      </c>
      <c r="G21" s="131">
        <f>ROUND(C21/(1-tablas!$G$6),2)</f>
        <v>13066.09</v>
      </c>
      <c r="H21" s="131">
        <f>ROUND(B21/(1-tablas!$H$6),2)</f>
        <v>12588.35</v>
      </c>
      <c r="I21" s="131">
        <f>ROUND(C21/(1-tablas!$H$6),2)</f>
        <v>11977.25</v>
      </c>
      <c r="J21" s="131">
        <f>ROUND(B21/(1-tablas!$I$6),2)</f>
        <v>13135.67</v>
      </c>
      <c r="K21" s="131">
        <f>ROUND(C21/(1-tablas!$I$6),2)</f>
        <v>12498</v>
      </c>
      <c r="M21" s="70">
        <v>1.7</v>
      </c>
      <c r="N21" s="149">
        <v>1147.9000000000001</v>
      </c>
      <c r="P21" s="138">
        <f t="shared" si="0"/>
        <v>35</v>
      </c>
      <c r="Q21" s="159">
        <v>542</v>
      </c>
      <c r="R21" s="160">
        <v>650</v>
      </c>
      <c r="S21" s="160">
        <v>759</v>
      </c>
      <c r="T21" s="160">
        <v>867</v>
      </c>
      <c r="U21" s="160">
        <v>975</v>
      </c>
      <c r="V21" s="161">
        <v>1084</v>
      </c>
    </row>
    <row r="22" spans="1:22" ht="15" customHeight="1" x14ac:dyDescent="0.3">
      <c r="A22" s="130">
        <v>19</v>
      </c>
      <c r="B22" s="131">
        <v>7572.64</v>
      </c>
      <c r="C22" s="131">
        <v>7193.95</v>
      </c>
      <c r="E22" s="130">
        <v>19</v>
      </c>
      <c r="F22" s="131">
        <f>ROUND(B22/(1-tablas!$G$6),2)</f>
        <v>13768.44</v>
      </c>
      <c r="G22" s="131">
        <f>ROUND(C22/(1-tablas!$G$6),2)</f>
        <v>13079.91</v>
      </c>
      <c r="H22" s="131">
        <f>ROUND(B22/(1-tablas!$H$6),2)</f>
        <v>12621.07</v>
      </c>
      <c r="I22" s="131">
        <f>ROUND(C22/(1-tablas!$H$6),2)</f>
        <v>11989.92</v>
      </c>
      <c r="J22" s="131">
        <f>ROUND(B22/(1-tablas!$I$6),2)</f>
        <v>13169.81</v>
      </c>
      <c r="K22" s="131">
        <f>ROUND(C22/(1-tablas!$I$6),2)</f>
        <v>12511.22</v>
      </c>
      <c r="M22" s="70">
        <v>1.8</v>
      </c>
      <c r="N22" s="149">
        <v>1147.9000000000001</v>
      </c>
      <c r="P22" s="138">
        <f t="shared" si="0"/>
        <v>36</v>
      </c>
      <c r="Q22" s="153">
        <v>855</v>
      </c>
      <c r="R22" s="154">
        <v>1026</v>
      </c>
      <c r="S22" s="154">
        <v>1197</v>
      </c>
      <c r="T22" s="154">
        <v>1368</v>
      </c>
      <c r="U22" s="154">
        <v>1539</v>
      </c>
      <c r="V22" s="155">
        <v>1710</v>
      </c>
    </row>
    <row r="23" spans="1:22" ht="15" customHeight="1" x14ac:dyDescent="0.3">
      <c r="A23" s="130">
        <v>20</v>
      </c>
      <c r="B23" s="131">
        <v>7720.83</v>
      </c>
      <c r="C23" s="131">
        <v>8858.18</v>
      </c>
      <c r="E23" s="130">
        <v>20</v>
      </c>
      <c r="F23" s="131">
        <f>ROUND(B23/(1-tablas!$G$6),2)</f>
        <v>14037.87</v>
      </c>
      <c r="G23" s="131">
        <f>ROUND(C23/(1-tablas!$G$6),2)</f>
        <v>16105.78</v>
      </c>
      <c r="H23" s="131">
        <f>ROUND(B23/(1-tablas!$H$6),2)</f>
        <v>12868.05</v>
      </c>
      <c r="I23" s="131">
        <f>ROUND(C23/(1-tablas!$H$6),2)</f>
        <v>14763.63</v>
      </c>
      <c r="J23" s="225">
        <f>ROUND(B23/(1-tablas!$I$6),2)</f>
        <v>13427.53</v>
      </c>
      <c r="K23" s="225">
        <f>ROUND(C23/(1-tablas!$I$6),2)</f>
        <v>15405.53</v>
      </c>
      <c r="M23" s="70">
        <v>1.9</v>
      </c>
      <c r="N23" s="149">
        <v>1147.9000000000001</v>
      </c>
      <c r="P23" s="138">
        <f t="shared" si="0"/>
        <v>37</v>
      </c>
      <c r="Q23" s="156">
        <v>855</v>
      </c>
      <c r="R23" s="157">
        <v>1026</v>
      </c>
      <c r="S23" s="157">
        <v>1197</v>
      </c>
      <c r="T23" s="157">
        <v>1368</v>
      </c>
      <c r="U23" s="157">
        <v>1539</v>
      </c>
      <c r="V23" s="158">
        <v>1710</v>
      </c>
    </row>
    <row r="24" spans="1:22" ht="15" customHeight="1" x14ac:dyDescent="0.3">
      <c r="A24" s="130">
        <v>21</v>
      </c>
      <c r="B24" s="131">
        <v>7807.59</v>
      </c>
      <c r="C24" s="131">
        <v>9247.64</v>
      </c>
      <c r="E24" s="130">
        <v>21</v>
      </c>
      <c r="F24" s="131">
        <f>ROUND(B24/(1-tablas!$G$6),2)</f>
        <v>14195.62</v>
      </c>
      <c r="G24" s="131">
        <f>ROUND(C24/(1-tablas!$G$6),2)</f>
        <v>16813.89</v>
      </c>
      <c r="H24" s="131">
        <f>ROUND(B24/(1-tablas!$H$6),2)</f>
        <v>13012.65</v>
      </c>
      <c r="I24" s="131">
        <f>ROUND(C24/(1-tablas!$H$6),2)</f>
        <v>15412.73</v>
      </c>
      <c r="J24" s="131">
        <f>ROUND(B24/(1-tablas!$I$6),2)</f>
        <v>13578.42</v>
      </c>
      <c r="K24" s="131">
        <f>ROUND(C24/(1-tablas!$I$6),2)</f>
        <v>16082.85</v>
      </c>
      <c r="M24" s="70">
        <v>2</v>
      </c>
      <c r="N24" s="149">
        <v>1147.9000000000001</v>
      </c>
      <c r="P24" s="138">
        <f t="shared" si="0"/>
        <v>38</v>
      </c>
      <c r="Q24" s="156">
        <v>855</v>
      </c>
      <c r="R24" s="157">
        <v>1026</v>
      </c>
      <c r="S24" s="157">
        <v>1197</v>
      </c>
      <c r="T24" s="157">
        <v>1368</v>
      </c>
      <c r="U24" s="157">
        <v>1539</v>
      </c>
      <c r="V24" s="158">
        <v>1710</v>
      </c>
    </row>
    <row r="25" spans="1:22" ht="15" customHeight="1" x14ac:dyDescent="0.3">
      <c r="A25" s="130">
        <v>22</v>
      </c>
      <c r="B25" s="131">
        <v>7894.34</v>
      </c>
      <c r="C25" s="131">
        <v>9650.4</v>
      </c>
      <c r="E25" s="130">
        <v>22</v>
      </c>
      <c r="F25" s="131">
        <f>ROUND(B25/(1-tablas!$G$6),2)</f>
        <v>14353.35</v>
      </c>
      <c r="G25" s="131">
        <f>ROUND(C25/(1-tablas!$G$6),2)</f>
        <v>17546.18</v>
      </c>
      <c r="H25" s="131">
        <f>ROUND(B25/(1-tablas!$H$6),2)</f>
        <v>13157.23</v>
      </c>
      <c r="I25" s="131">
        <f>ROUND(C25/(1-tablas!$H$6),2)</f>
        <v>16084</v>
      </c>
      <c r="J25" s="131">
        <f>ROUND(B25/(1-tablas!$I$6),2)</f>
        <v>13729.29</v>
      </c>
      <c r="K25" s="131">
        <f>ROUND(C25/(1-tablas!$I$6),2)</f>
        <v>16783.3</v>
      </c>
      <c r="M25" s="70">
        <v>2.2999999999999998</v>
      </c>
      <c r="N25" s="149">
        <v>1147.9000000000001</v>
      </c>
      <c r="P25" s="138">
        <f t="shared" si="0"/>
        <v>39</v>
      </c>
      <c r="Q25" s="156">
        <v>855</v>
      </c>
      <c r="R25" s="157">
        <v>1026</v>
      </c>
      <c r="S25" s="157">
        <v>1197</v>
      </c>
      <c r="T25" s="157">
        <v>1368</v>
      </c>
      <c r="U25" s="157">
        <v>1539</v>
      </c>
      <c r="V25" s="158">
        <v>1710</v>
      </c>
    </row>
    <row r="26" spans="1:22" ht="15" customHeight="1" thickBot="1" x14ac:dyDescent="0.35">
      <c r="A26" s="130">
        <v>23</v>
      </c>
      <c r="B26" s="131">
        <v>7982.37</v>
      </c>
      <c r="C26" s="131">
        <v>10069.629999999999</v>
      </c>
      <c r="E26" s="130">
        <v>23</v>
      </c>
      <c r="F26" s="131">
        <f>ROUND(B26/(1-tablas!$G$6),2)</f>
        <v>14513.4</v>
      </c>
      <c r="G26" s="131">
        <f>ROUND(C26/(1-tablas!$G$6),2)</f>
        <v>18308.419999999998</v>
      </c>
      <c r="H26" s="131">
        <f>ROUND(B26/(1-tablas!$H$6),2)</f>
        <v>13303.95</v>
      </c>
      <c r="I26" s="131">
        <f>ROUND(C26/(1-tablas!$H$6),2)</f>
        <v>16782.72</v>
      </c>
      <c r="J26" s="131">
        <f>ROUND(B26/(1-tablas!$I$6),2)</f>
        <v>13882.38</v>
      </c>
      <c r="K26" s="131">
        <f>ROUND(C26/(1-tablas!$I$6),2)</f>
        <v>17512.400000000001</v>
      </c>
      <c r="M26" s="70">
        <v>2.5</v>
      </c>
      <c r="N26" s="149">
        <v>1147.9000000000001</v>
      </c>
      <c r="P26" s="138">
        <f t="shared" si="0"/>
        <v>40</v>
      </c>
      <c r="Q26" s="159">
        <v>855</v>
      </c>
      <c r="R26" s="160">
        <v>1026</v>
      </c>
      <c r="S26" s="160">
        <v>1197</v>
      </c>
      <c r="T26" s="160">
        <v>1368</v>
      </c>
      <c r="U26" s="160">
        <v>1539</v>
      </c>
      <c r="V26" s="161">
        <v>1710</v>
      </c>
    </row>
    <row r="27" spans="1:22" ht="15" customHeight="1" x14ac:dyDescent="0.3">
      <c r="A27" s="130">
        <v>24</v>
      </c>
      <c r="B27" s="131">
        <v>8072.93</v>
      </c>
      <c r="C27" s="131">
        <v>10510.38</v>
      </c>
      <c r="E27" s="130">
        <v>24</v>
      </c>
      <c r="F27" s="131">
        <f>ROUND(B27/(1-tablas!$G$6),2)</f>
        <v>14678.05</v>
      </c>
      <c r="G27" s="131">
        <f>ROUND(C27/(1-tablas!$G$6),2)</f>
        <v>19109.78</v>
      </c>
      <c r="H27" s="131">
        <f>ROUND(B27/(1-tablas!$H$6),2)</f>
        <v>13454.88</v>
      </c>
      <c r="I27" s="131">
        <f>ROUND(C27/(1-tablas!$H$6),2)</f>
        <v>17517.3</v>
      </c>
      <c r="J27" s="131">
        <f>ROUND(B27/(1-tablas!$I$6),2)</f>
        <v>14039.88</v>
      </c>
      <c r="K27" s="131">
        <f>ROUND(C27/(1-tablas!$I$6),2)</f>
        <v>18278.919999999998</v>
      </c>
      <c r="M27" s="70">
        <v>2.7</v>
      </c>
      <c r="N27" s="149">
        <v>1147.9000000000001</v>
      </c>
      <c r="P27" s="138">
        <f t="shared" si="0"/>
        <v>41</v>
      </c>
      <c r="Q27" s="153">
        <v>1255</v>
      </c>
      <c r="R27" s="154">
        <v>1506</v>
      </c>
      <c r="S27" s="154">
        <v>1757</v>
      </c>
      <c r="T27" s="154">
        <v>2008</v>
      </c>
      <c r="U27" s="154">
        <v>2259</v>
      </c>
      <c r="V27" s="155">
        <v>2510</v>
      </c>
    </row>
    <row r="28" spans="1:22" ht="15" customHeight="1" x14ac:dyDescent="0.3">
      <c r="A28" s="130">
        <v>25</v>
      </c>
      <c r="B28" s="131">
        <v>9348.33</v>
      </c>
      <c r="C28" s="131">
        <v>12236.04</v>
      </c>
      <c r="E28" s="130">
        <v>25</v>
      </c>
      <c r="F28" s="131">
        <f>ROUND(B28/(1-tablas!$G$6),2)</f>
        <v>16996.96</v>
      </c>
      <c r="G28" s="131">
        <f>ROUND(C28/(1-tablas!$G$6),2)</f>
        <v>22247.35</v>
      </c>
      <c r="H28" s="131">
        <f>ROUND(B28/(1-tablas!$H$6),2)</f>
        <v>15580.55</v>
      </c>
      <c r="I28" s="131">
        <f>ROUND(C28/(1-tablas!$H$6),2)</f>
        <v>20393.400000000001</v>
      </c>
      <c r="J28" s="131">
        <f>ROUND(B28/(1-tablas!$I$6),2)</f>
        <v>16257.97</v>
      </c>
      <c r="K28" s="131">
        <f>ROUND(C28/(1-tablas!$I$6),2)</f>
        <v>21280.07</v>
      </c>
      <c r="M28" s="70">
        <v>2.9</v>
      </c>
      <c r="N28" s="149">
        <v>1147.9000000000001</v>
      </c>
      <c r="P28" s="138">
        <f t="shared" si="0"/>
        <v>42</v>
      </c>
      <c r="Q28" s="156">
        <v>1255</v>
      </c>
      <c r="R28" s="157">
        <v>1506</v>
      </c>
      <c r="S28" s="157">
        <v>1757</v>
      </c>
      <c r="T28" s="157">
        <v>2008</v>
      </c>
      <c r="U28" s="157">
        <v>2259</v>
      </c>
      <c r="V28" s="158">
        <v>2510</v>
      </c>
    </row>
    <row r="29" spans="1:22" ht="15" customHeight="1" x14ac:dyDescent="0.3">
      <c r="A29" s="130">
        <v>26</v>
      </c>
      <c r="B29" s="131">
        <v>9773.89</v>
      </c>
      <c r="C29" s="131">
        <v>12855.38</v>
      </c>
      <c r="E29" s="130">
        <v>26</v>
      </c>
      <c r="F29" s="131">
        <f>ROUND(B29/(1-tablas!$G$6),2)</f>
        <v>17770.71</v>
      </c>
      <c r="G29" s="131">
        <f>ROUND(C29/(1-tablas!$G$6),2)</f>
        <v>23373.42</v>
      </c>
      <c r="H29" s="131">
        <f>ROUND(B29/(1-tablas!$H$6),2)</f>
        <v>16289.82</v>
      </c>
      <c r="I29" s="131">
        <f>ROUND(C29/(1-tablas!$H$6),2)</f>
        <v>21425.63</v>
      </c>
      <c r="J29" s="131">
        <f>ROUND(B29/(1-tablas!$I$6),2)</f>
        <v>16998.07</v>
      </c>
      <c r="K29" s="131">
        <f>ROUND(C29/(1-tablas!$I$6),2)</f>
        <v>22357.18</v>
      </c>
      <c r="M29" s="70">
        <v>3</v>
      </c>
      <c r="N29" s="149">
        <v>1147.9000000000001</v>
      </c>
      <c r="P29" s="138">
        <f t="shared" si="0"/>
        <v>43</v>
      </c>
      <c r="Q29" s="156">
        <v>1255</v>
      </c>
      <c r="R29" s="157">
        <v>1506</v>
      </c>
      <c r="S29" s="157">
        <v>1757</v>
      </c>
      <c r="T29" s="157">
        <v>2008</v>
      </c>
      <c r="U29" s="157">
        <v>2259</v>
      </c>
      <c r="V29" s="158">
        <v>2510</v>
      </c>
    </row>
    <row r="30" spans="1:22" ht="15" customHeight="1" x14ac:dyDescent="0.3">
      <c r="A30" s="130">
        <v>27</v>
      </c>
      <c r="B30" s="131">
        <v>10217.81</v>
      </c>
      <c r="C30" s="131">
        <v>13508.92</v>
      </c>
      <c r="E30" s="130">
        <v>27</v>
      </c>
      <c r="F30" s="131">
        <f>ROUND(B30/(1-tablas!$G$6),2)</f>
        <v>18577.84</v>
      </c>
      <c r="G30" s="131">
        <f>ROUND(C30/(1-tablas!$G$6),2)</f>
        <v>24561.67</v>
      </c>
      <c r="H30" s="131">
        <f>ROUND(B30/(1-tablas!$H$6),2)</f>
        <v>17029.68</v>
      </c>
      <c r="I30" s="131">
        <f>ROUND(C30/(1-tablas!$H$6),2)</f>
        <v>22514.87</v>
      </c>
      <c r="J30" s="131">
        <f>ROUND(B30/(1-tablas!$I$6),2)</f>
        <v>17770.099999999999</v>
      </c>
      <c r="K30" s="131">
        <f>ROUND(C30/(1-tablas!$I$6),2)</f>
        <v>23493.77</v>
      </c>
      <c r="M30" s="70">
        <v>3.1</v>
      </c>
      <c r="N30" s="149">
        <v>1147.9000000000001</v>
      </c>
      <c r="P30" s="138">
        <f t="shared" si="0"/>
        <v>44</v>
      </c>
      <c r="Q30" s="156">
        <v>1255</v>
      </c>
      <c r="R30" s="157">
        <v>1506</v>
      </c>
      <c r="S30" s="157">
        <v>1757</v>
      </c>
      <c r="T30" s="157">
        <v>2008</v>
      </c>
      <c r="U30" s="157">
        <v>2259</v>
      </c>
      <c r="V30" s="158">
        <v>2510</v>
      </c>
    </row>
    <row r="31" spans="1:22" ht="15" customHeight="1" thickBot="1" x14ac:dyDescent="0.35">
      <c r="A31" s="130">
        <v>28</v>
      </c>
      <c r="B31" s="131">
        <v>10681.37</v>
      </c>
      <c r="C31" s="131">
        <v>14190.31</v>
      </c>
      <c r="E31" s="130">
        <v>28</v>
      </c>
      <c r="F31" s="131">
        <f>ROUND(B31/(1-tablas!$G$6),2)</f>
        <v>19420.669999999998</v>
      </c>
      <c r="G31" s="131">
        <f>ROUND(C31/(1-tablas!$G$6),2)</f>
        <v>25800.560000000001</v>
      </c>
      <c r="H31" s="131">
        <f>ROUND(B31/(1-tablas!$H$6),2)</f>
        <v>17802.28</v>
      </c>
      <c r="I31" s="131">
        <f>ROUND(C31/(1-tablas!$H$6),2)</f>
        <v>23650.52</v>
      </c>
      <c r="J31" s="131">
        <f>ROUND(B31/(1-tablas!$I$6),2)</f>
        <v>18576.3</v>
      </c>
      <c r="K31" s="131">
        <f>ROUND(C31/(1-tablas!$I$6),2)</f>
        <v>24678.799999999999</v>
      </c>
      <c r="M31" s="70">
        <v>3.3</v>
      </c>
      <c r="N31" s="149">
        <v>1147.9000000000001</v>
      </c>
      <c r="P31" s="138">
        <f t="shared" si="0"/>
        <v>45</v>
      </c>
      <c r="Q31" s="159">
        <v>1255</v>
      </c>
      <c r="R31" s="160">
        <v>1506</v>
      </c>
      <c r="S31" s="160">
        <v>1757</v>
      </c>
      <c r="T31" s="160">
        <v>2008</v>
      </c>
      <c r="U31" s="160">
        <v>2259</v>
      </c>
      <c r="V31" s="161">
        <v>2510</v>
      </c>
    </row>
    <row r="32" spans="1:22" ht="15" customHeight="1" x14ac:dyDescent="0.3">
      <c r="A32" s="130">
        <v>29</v>
      </c>
      <c r="B32" s="131">
        <v>11167.08</v>
      </c>
      <c r="C32" s="131">
        <v>14912.88</v>
      </c>
      <c r="E32" s="130">
        <v>29</v>
      </c>
      <c r="F32" s="131">
        <f>ROUND(B32/(1-tablas!$G$6),2)</f>
        <v>20303.78</v>
      </c>
      <c r="G32" s="131">
        <f>ROUND(C32/(1-tablas!$G$6),2)</f>
        <v>27114.33</v>
      </c>
      <c r="H32" s="131">
        <f>ROUND(B32/(1-tablas!$H$6),2)</f>
        <v>18611.8</v>
      </c>
      <c r="I32" s="131">
        <f>ROUND(C32/(1-tablas!$H$6),2)</f>
        <v>24854.799999999999</v>
      </c>
      <c r="J32" s="131">
        <f>ROUND(B32/(1-tablas!$I$6),2)</f>
        <v>19421.009999999998</v>
      </c>
      <c r="K32" s="131">
        <f>ROUND(C32/(1-tablas!$I$6),2)</f>
        <v>25935.439999999999</v>
      </c>
      <c r="M32" s="70">
        <v>3.5</v>
      </c>
      <c r="N32" s="149">
        <v>1147.9000000000001</v>
      </c>
      <c r="P32" s="138">
        <f t="shared" si="0"/>
        <v>46</v>
      </c>
      <c r="Q32" s="153">
        <v>1688</v>
      </c>
      <c r="R32" s="154">
        <v>2025</v>
      </c>
      <c r="S32" s="154">
        <v>2363</v>
      </c>
      <c r="T32" s="154">
        <v>2700</v>
      </c>
      <c r="U32" s="154">
        <v>0</v>
      </c>
      <c r="V32" s="155">
        <v>0</v>
      </c>
    </row>
    <row r="33" spans="1:22" ht="15" customHeight="1" x14ac:dyDescent="0.3">
      <c r="A33" s="130">
        <v>30</v>
      </c>
      <c r="B33" s="131">
        <v>11487.52</v>
      </c>
      <c r="C33" s="131">
        <v>15379.6</v>
      </c>
      <c r="E33" s="130">
        <v>30</v>
      </c>
      <c r="F33" s="131">
        <f>ROUND(B33/(1-tablas!$G$6),2)</f>
        <v>20886.400000000001</v>
      </c>
      <c r="G33" s="131">
        <f>ROUND(C33/(1-tablas!$G$6),2)</f>
        <v>27962.91</v>
      </c>
      <c r="H33" s="131">
        <f>ROUND(B33/(1-tablas!$H$6),2)</f>
        <v>19145.87</v>
      </c>
      <c r="I33" s="131">
        <f>ROUND(C33/(1-tablas!$H$6),2)</f>
        <v>25632.67</v>
      </c>
      <c r="J33" s="225">
        <f>ROUND(B33/(1-tablas!$I$6),2)</f>
        <v>19978.3</v>
      </c>
      <c r="K33" s="225">
        <f>ROUND(C33/(1-tablas!$I$6),2)</f>
        <v>26747.13</v>
      </c>
      <c r="M33" s="70">
        <v>3.8</v>
      </c>
      <c r="N33" s="149">
        <v>1147.9000000000001</v>
      </c>
      <c r="P33" s="138">
        <f t="shared" si="0"/>
        <v>47</v>
      </c>
      <c r="Q33" s="156">
        <v>1688</v>
      </c>
      <c r="R33" s="157">
        <v>2025</v>
      </c>
      <c r="S33" s="157">
        <v>2363</v>
      </c>
      <c r="T33" s="157">
        <v>2700</v>
      </c>
      <c r="U33" s="157">
        <v>0</v>
      </c>
      <c r="V33" s="158">
        <v>0</v>
      </c>
    </row>
    <row r="34" spans="1:22" ht="15" customHeight="1" x14ac:dyDescent="0.3">
      <c r="A34" s="130">
        <v>31</v>
      </c>
      <c r="B34" s="131">
        <v>11818.08</v>
      </c>
      <c r="C34" s="131">
        <v>15861.51</v>
      </c>
      <c r="E34" s="130">
        <v>31</v>
      </c>
      <c r="F34" s="131">
        <f>ROUND(B34/(1-tablas!$G$6),2)</f>
        <v>21487.42</v>
      </c>
      <c r="G34" s="131">
        <f>ROUND(C34/(1-tablas!$G$6),2)</f>
        <v>28839.11</v>
      </c>
      <c r="H34" s="131">
        <f>ROUND(B34/(1-tablas!$H$6),2)</f>
        <v>19696.8</v>
      </c>
      <c r="I34" s="131">
        <f>ROUND(C34/(1-tablas!$H$6),2)</f>
        <v>26435.85</v>
      </c>
      <c r="J34" s="131">
        <f>ROUND(B34/(1-tablas!$I$6),2)</f>
        <v>20553.18</v>
      </c>
      <c r="K34" s="131">
        <f>ROUND(C34/(1-tablas!$I$6),2)</f>
        <v>27585.23</v>
      </c>
      <c r="M34" s="70">
        <v>4</v>
      </c>
      <c r="N34" s="149">
        <v>1147.9000000000001</v>
      </c>
      <c r="P34" s="138">
        <f t="shared" si="0"/>
        <v>48</v>
      </c>
      <c r="Q34" s="156">
        <v>1688</v>
      </c>
      <c r="R34" s="157">
        <v>2025</v>
      </c>
      <c r="S34" s="157">
        <v>2363</v>
      </c>
      <c r="T34" s="157">
        <v>2700</v>
      </c>
      <c r="U34" s="157">
        <v>0</v>
      </c>
      <c r="V34" s="158">
        <v>0</v>
      </c>
    </row>
    <row r="35" spans="1:22" ht="15" customHeight="1" x14ac:dyDescent="0.3">
      <c r="A35" s="130">
        <v>32</v>
      </c>
      <c r="B35" s="131">
        <v>12155.62</v>
      </c>
      <c r="C35" s="131">
        <v>16356.73</v>
      </c>
      <c r="E35" s="130">
        <v>32</v>
      </c>
      <c r="F35" s="131">
        <f>ROUND(B35/(1-tablas!$G$6),2)</f>
        <v>22101.13</v>
      </c>
      <c r="G35" s="131">
        <f>ROUND(C35/(1-tablas!$G$6),2)</f>
        <v>29739.51</v>
      </c>
      <c r="H35" s="131">
        <f>ROUND(B35/(1-tablas!$H$6),2)</f>
        <v>20259.37</v>
      </c>
      <c r="I35" s="131">
        <f>ROUND(C35/(1-tablas!$H$6),2)</f>
        <v>27261.22</v>
      </c>
      <c r="J35" s="131">
        <f>ROUND(B35/(1-tablas!$I$6),2)</f>
        <v>21140.21</v>
      </c>
      <c r="K35" s="131">
        <f>ROUND(C35/(1-tablas!$I$6),2)</f>
        <v>28446.49</v>
      </c>
      <c r="M35" s="70">
        <v>4.0999999999999996</v>
      </c>
      <c r="N35" s="149">
        <v>1371.79</v>
      </c>
      <c r="P35" s="138">
        <f t="shared" si="0"/>
        <v>49</v>
      </c>
      <c r="Q35" s="156">
        <v>1688</v>
      </c>
      <c r="R35" s="157">
        <v>2025</v>
      </c>
      <c r="S35" s="157">
        <v>2363</v>
      </c>
      <c r="T35" s="157">
        <v>2700</v>
      </c>
      <c r="U35" s="157">
        <v>0</v>
      </c>
      <c r="V35" s="158">
        <v>0</v>
      </c>
    </row>
    <row r="36" spans="1:22" ht="15" customHeight="1" thickBot="1" x14ac:dyDescent="0.35">
      <c r="A36" s="130">
        <v>33</v>
      </c>
      <c r="B36" s="131">
        <v>12507.08</v>
      </c>
      <c r="C36" s="131">
        <v>16871.580000000002</v>
      </c>
      <c r="E36" s="130">
        <v>33</v>
      </c>
      <c r="F36" s="131">
        <f>ROUND(B36/(1-tablas!$G$6),2)</f>
        <v>22740.15</v>
      </c>
      <c r="G36" s="131">
        <f>ROUND(C36/(1-tablas!$G$6),2)</f>
        <v>30675.599999999999</v>
      </c>
      <c r="H36" s="131">
        <f>ROUND(B36/(1-tablas!$H$6),2)</f>
        <v>20845.13</v>
      </c>
      <c r="I36" s="131">
        <f>ROUND(C36/(1-tablas!$H$6),2)</f>
        <v>28119.3</v>
      </c>
      <c r="J36" s="131">
        <f>ROUND(B36/(1-tablas!$I$6),2)</f>
        <v>21751.439999999999</v>
      </c>
      <c r="K36" s="131">
        <f>ROUND(C36/(1-tablas!$I$6),2)</f>
        <v>29341.88</v>
      </c>
      <c r="M36" s="70">
        <v>4.5</v>
      </c>
      <c r="N36" s="149">
        <v>1371.79</v>
      </c>
      <c r="P36" s="138">
        <f t="shared" si="0"/>
        <v>50</v>
      </c>
      <c r="Q36" s="159">
        <v>1688</v>
      </c>
      <c r="R36" s="160">
        <v>2025</v>
      </c>
      <c r="S36" s="160">
        <v>2363</v>
      </c>
      <c r="T36" s="160">
        <v>2700</v>
      </c>
      <c r="U36" s="160">
        <v>0</v>
      </c>
      <c r="V36" s="161">
        <v>0</v>
      </c>
    </row>
    <row r="37" spans="1:22" ht="15" customHeight="1" x14ac:dyDescent="0.3">
      <c r="A37" s="130">
        <v>34</v>
      </c>
      <c r="B37" s="131">
        <v>12866.78</v>
      </c>
      <c r="C37" s="131">
        <v>17400.36</v>
      </c>
      <c r="E37" s="130">
        <v>34</v>
      </c>
      <c r="F37" s="131">
        <f>ROUND(B37/(1-tablas!$G$6),2)</f>
        <v>23394.15</v>
      </c>
      <c r="G37" s="131">
        <f>ROUND(C37/(1-tablas!$G$6),2)</f>
        <v>31637.02</v>
      </c>
      <c r="H37" s="131">
        <f>ROUND(B37/(1-tablas!$H$6),2)</f>
        <v>21444.63</v>
      </c>
      <c r="I37" s="131">
        <f>ROUND(C37/(1-tablas!$H$6),2)</f>
        <v>29000.6</v>
      </c>
      <c r="J37" s="131">
        <f>ROUND(B37/(1-tablas!$I$6),2)</f>
        <v>22377.01</v>
      </c>
      <c r="K37" s="131">
        <f>ROUND(C37/(1-tablas!$I$6),2)</f>
        <v>30261.5</v>
      </c>
      <c r="M37" s="70">
        <v>4.5999999999999996</v>
      </c>
      <c r="N37" s="149">
        <v>1371.79</v>
      </c>
      <c r="P37" s="138">
        <f t="shared" si="0"/>
        <v>51</v>
      </c>
      <c r="Q37" s="153">
        <v>2137</v>
      </c>
      <c r="R37" s="154">
        <v>2565</v>
      </c>
      <c r="S37" s="154">
        <v>2992</v>
      </c>
      <c r="T37" s="154">
        <v>0</v>
      </c>
      <c r="U37" s="154">
        <v>0</v>
      </c>
      <c r="V37" s="155">
        <v>0</v>
      </c>
    </row>
    <row r="38" spans="1:22" ht="15" customHeight="1" x14ac:dyDescent="0.3">
      <c r="A38" s="130">
        <v>35</v>
      </c>
      <c r="B38" s="131">
        <v>13180.88</v>
      </c>
      <c r="C38" s="131">
        <v>17901.28</v>
      </c>
      <c r="E38" s="130">
        <v>35</v>
      </c>
      <c r="F38" s="131">
        <f>ROUND(B38/(1-tablas!$G$6),2)</f>
        <v>23965.24</v>
      </c>
      <c r="G38" s="131">
        <f>ROUND(C38/(1-tablas!$G$6),2)</f>
        <v>32547.78</v>
      </c>
      <c r="H38" s="131">
        <f>ROUND(B38/(1-tablas!$H$6),2)</f>
        <v>21968.13</v>
      </c>
      <c r="I38" s="131">
        <f>ROUND(C38/(1-tablas!$H$6),2)</f>
        <v>29835.47</v>
      </c>
      <c r="J38" s="131">
        <f>ROUND(B38/(1-tablas!$I$6),2)</f>
        <v>22923.27</v>
      </c>
      <c r="K38" s="131">
        <f>ROUND(C38/(1-tablas!$I$6),2)</f>
        <v>31132.66</v>
      </c>
      <c r="M38" s="70">
        <v>4.8</v>
      </c>
      <c r="N38" s="149">
        <v>1371.79</v>
      </c>
      <c r="P38" s="138">
        <f t="shared" si="0"/>
        <v>52</v>
      </c>
      <c r="Q38" s="156">
        <v>2137</v>
      </c>
      <c r="R38" s="157">
        <v>2565</v>
      </c>
      <c r="S38" s="157">
        <v>2992</v>
      </c>
      <c r="T38" s="157">
        <v>0</v>
      </c>
      <c r="U38" s="157">
        <v>0</v>
      </c>
      <c r="V38" s="158">
        <v>0</v>
      </c>
    </row>
    <row r="39" spans="1:22" ht="15" customHeight="1" x14ac:dyDescent="0.3">
      <c r="A39" s="130">
        <v>36</v>
      </c>
      <c r="B39" s="131">
        <v>13501.32</v>
      </c>
      <c r="C39" s="131">
        <v>18415.490000000002</v>
      </c>
      <c r="E39" s="130">
        <v>36</v>
      </c>
      <c r="F39" s="131">
        <f>ROUND(B39/(1-tablas!$G$6),2)</f>
        <v>24547.85</v>
      </c>
      <c r="G39" s="131">
        <f>ROUND(C39/(1-tablas!$G$6),2)</f>
        <v>33482.71</v>
      </c>
      <c r="H39" s="131">
        <f>ROUND(B39/(1-tablas!$H$6),2)</f>
        <v>22502.2</v>
      </c>
      <c r="I39" s="131">
        <f>ROUND(C39/(1-tablas!$H$6),2)</f>
        <v>30692.48</v>
      </c>
      <c r="J39" s="131">
        <f>ROUND(B39/(1-tablas!$I$6),2)</f>
        <v>23480.560000000001</v>
      </c>
      <c r="K39" s="131">
        <f>ROUND(C39/(1-tablas!$I$6),2)</f>
        <v>32026.94</v>
      </c>
      <c r="M39" s="70">
        <v>5</v>
      </c>
      <c r="N39" s="149">
        <v>1371.79</v>
      </c>
      <c r="P39" s="138">
        <f t="shared" si="0"/>
        <v>53</v>
      </c>
      <c r="Q39" s="156">
        <v>2137</v>
      </c>
      <c r="R39" s="157">
        <v>2565</v>
      </c>
      <c r="S39" s="157">
        <v>2992</v>
      </c>
      <c r="T39" s="157">
        <v>0</v>
      </c>
      <c r="U39" s="157">
        <v>0</v>
      </c>
      <c r="V39" s="158">
        <v>0</v>
      </c>
    </row>
    <row r="40" spans="1:22" ht="15" customHeight="1" x14ac:dyDescent="0.3">
      <c r="A40" s="130">
        <v>37</v>
      </c>
      <c r="B40" s="131">
        <v>13833.78</v>
      </c>
      <c r="C40" s="131">
        <v>18944.27</v>
      </c>
      <c r="E40" s="130">
        <v>37</v>
      </c>
      <c r="F40" s="131">
        <f>ROUND(B40/(1-tablas!$G$6),2)</f>
        <v>25152.33</v>
      </c>
      <c r="G40" s="131">
        <f>ROUND(C40/(1-tablas!$G$6),2)</f>
        <v>34444.129999999997</v>
      </c>
      <c r="H40" s="131">
        <f>ROUND(B40/(1-tablas!$H$6),2)</f>
        <v>23056.3</v>
      </c>
      <c r="I40" s="131">
        <f>ROUND(C40/(1-tablas!$H$6),2)</f>
        <v>31573.78</v>
      </c>
      <c r="J40" s="131">
        <f>ROUND(B40/(1-tablas!$I$6),2)</f>
        <v>24058.75</v>
      </c>
      <c r="K40" s="131">
        <f>ROUND(C40/(1-tablas!$I$6),2)</f>
        <v>32946.559999999998</v>
      </c>
      <c r="M40" s="70">
        <v>5.3</v>
      </c>
      <c r="N40" s="149">
        <v>1595.67</v>
      </c>
      <c r="P40" s="138">
        <f t="shared" si="0"/>
        <v>54</v>
      </c>
      <c r="Q40" s="156">
        <v>2137</v>
      </c>
      <c r="R40" s="157">
        <v>2565</v>
      </c>
      <c r="S40" s="157">
        <v>2992</v>
      </c>
      <c r="T40" s="157">
        <v>0</v>
      </c>
      <c r="U40" s="157">
        <v>0</v>
      </c>
      <c r="V40" s="158">
        <v>0</v>
      </c>
    </row>
    <row r="41" spans="1:22" ht="15" customHeight="1" thickBot="1" x14ac:dyDescent="0.35">
      <c r="A41" s="130">
        <v>38</v>
      </c>
      <c r="B41" s="131">
        <v>14169.42</v>
      </c>
      <c r="C41" s="131">
        <v>19490.150000000001</v>
      </c>
      <c r="E41" s="130">
        <v>38</v>
      </c>
      <c r="F41" s="131">
        <f>ROUND(B41/(1-tablas!$G$6),2)</f>
        <v>25762.58</v>
      </c>
      <c r="G41" s="131">
        <f>ROUND(C41/(1-tablas!$G$6),2)</f>
        <v>35436.639999999999</v>
      </c>
      <c r="H41" s="131">
        <f>ROUND(B41/(1-tablas!$H$6),2)</f>
        <v>23615.7</v>
      </c>
      <c r="I41" s="131">
        <f>ROUND(C41/(1-tablas!$H$6),2)</f>
        <v>32483.58</v>
      </c>
      <c r="J41" s="131">
        <f>ROUND(B41/(1-tablas!$I$6),2)</f>
        <v>24642.47</v>
      </c>
      <c r="K41" s="131">
        <f>ROUND(C41/(1-tablas!$I$6),2)</f>
        <v>33895.910000000003</v>
      </c>
      <c r="M41" s="70">
        <v>5.5</v>
      </c>
      <c r="N41" s="149">
        <v>1595.67</v>
      </c>
      <c r="P41" s="138">
        <f t="shared" si="0"/>
        <v>55</v>
      </c>
      <c r="Q41" s="159">
        <v>2137</v>
      </c>
      <c r="R41" s="160">
        <v>2565</v>
      </c>
      <c r="S41" s="160">
        <v>2992</v>
      </c>
      <c r="T41" s="160">
        <v>0</v>
      </c>
      <c r="U41" s="160">
        <v>0</v>
      </c>
      <c r="V41" s="161">
        <v>0</v>
      </c>
    </row>
    <row r="42" spans="1:22" ht="15" customHeight="1" x14ac:dyDescent="0.3">
      <c r="A42" s="130">
        <v>39</v>
      </c>
      <c r="B42" s="131">
        <v>14515.81</v>
      </c>
      <c r="C42" s="131">
        <v>20050.59</v>
      </c>
      <c r="E42" s="130">
        <v>39</v>
      </c>
      <c r="F42" s="131">
        <f>ROUND(B42/(1-tablas!$G$6),2)</f>
        <v>26392.38</v>
      </c>
      <c r="G42" s="131">
        <f>ROUND(C42/(1-tablas!$G$6),2)</f>
        <v>36455.620000000003</v>
      </c>
      <c r="H42" s="131">
        <f>ROUND(B42/(1-tablas!$H$6),2)</f>
        <v>24193.02</v>
      </c>
      <c r="I42" s="131">
        <f>ROUND(C42/(1-tablas!$H$6),2)</f>
        <v>33417.65</v>
      </c>
      <c r="J42" s="131">
        <f>ROUND(B42/(1-tablas!$I$6),2)</f>
        <v>25244.89</v>
      </c>
      <c r="K42" s="131">
        <f>ROUND(C42/(1-tablas!$I$6),2)</f>
        <v>34870.589999999997</v>
      </c>
      <c r="M42" s="70">
        <v>5.6</v>
      </c>
      <c r="N42" s="149">
        <v>1595.67</v>
      </c>
      <c r="P42" s="138">
        <f t="shared" si="0"/>
        <v>56</v>
      </c>
      <c r="Q42" s="133">
        <v>2615</v>
      </c>
      <c r="R42" s="134">
        <v>0</v>
      </c>
      <c r="S42" s="134">
        <v>0</v>
      </c>
      <c r="T42" s="134">
        <v>0</v>
      </c>
      <c r="U42" s="134">
        <v>0</v>
      </c>
      <c r="V42" s="135">
        <v>0</v>
      </c>
    </row>
    <row r="43" spans="1:22" ht="15" customHeight="1" x14ac:dyDescent="0.3">
      <c r="A43" s="130">
        <v>40</v>
      </c>
      <c r="B43" s="131">
        <v>15125.02</v>
      </c>
      <c r="C43" s="131">
        <v>20326.07</v>
      </c>
      <c r="E43" s="130">
        <v>40</v>
      </c>
      <c r="F43" s="131">
        <f>ROUND(B43/(1-tablas!$G$6),2)</f>
        <v>27500.04</v>
      </c>
      <c r="G43" s="131">
        <f>ROUND(C43/(1-tablas!$G$6),2)</f>
        <v>36956.49</v>
      </c>
      <c r="H43" s="131">
        <f>ROUND(B43/(1-tablas!$H$6),2)</f>
        <v>25208.37</v>
      </c>
      <c r="I43" s="131">
        <f>ROUND(C43/(1-tablas!$H$6),2)</f>
        <v>33876.78</v>
      </c>
      <c r="J43" s="225">
        <f>ROUND(B43/(1-tablas!$I$6),2)</f>
        <v>26304.38</v>
      </c>
      <c r="K43" s="225">
        <f>ROUND(C43/(1-tablas!$I$6),2)</f>
        <v>35349.69</v>
      </c>
      <c r="M43" s="70">
        <v>6</v>
      </c>
      <c r="N43" s="149">
        <v>1595.67</v>
      </c>
      <c r="P43" s="138">
        <f t="shared" si="0"/>
        <v>57</v>
      </c>
      <c r="Q43" s="139">
        <v>2615</v>
      </c>
      <c r="R43" s="140">
        <v>0</v>
      </c>
      <c r="S43" s="140">
        <v>0</v>
      </c>
      <c r="T43" s="140">
        <v>0</v>
      </c>
      <c r="U43" s="140">
        <v>0</v>
      </c>
      <c r="V43" s="141">
        <v>0</v>
      </c>
    </row>
    <row r="44" spans="1:22" ht="15" customHeight="1" x14ac:dyDescent="0.3">
      <c r="A44" s="130">
        <v>41</v>
      </c>
      <c r="B44" s="131">
        <v>15757.66</v>
      </c>
      <c r="C44" s="131">
        <v>20606.61</v>
      </c>
      <c r="E44" s="130">
        <v>41</v>
      </c>
      <c r="F44" s="131">
        <f>ROUND(B44/(1-tablas!$G$6),2)</f>
        <v>28650.29</v>
      </c>
      <c r="G44" s="131">
        <f>ROUND(C44/(1-tablas!$G$6),2)</f>
        <v>37466.559999999998</v>
      </c>
      <c r="H44" s="131">
        <f>ROUND(B44/(1-tablas!$H$6),2)</f>
        <v>26262.77</v>
      </c>
      <c r="I44" s="131">
        <f>ROUND(C44/(1-tablas!$H$6),2)</f>
        <v>34344.35</v>
      </c>
      <c r="J44" s="131">
        <f>ROUND(B44/(1-tablas!$I$6),2)</f>
        <v>27404.63</v>
      </c>
      <c r="K44" s="131">
        <f>ROUND(C44/(1-tablas!$I$6),2)</f>
        <v>35837.58</v>
      </c>
      <c r="M44" s="70">
        <v>6.1</v>
      </c>
      <c r="N44" s="149">
        <v>1819.56</v>
      </c>
      <c r="P44" s="138">
        <f t="shared" si="0"/>
        <v>58</v>
      </c>
      <c r="Q44" s="139">
        <v>2615</v>
      </c>
      <c r="R44" s="140">
        <v>0</v>
      </c>
      <c r="S44" s="140">
        <v>0</v>
      </c>
      <c r="T44" s="140">
        <v>0</v>
      </c>
      <c r="U44" s="140">
        <v>0</v>
      </c>
      <c r="V44" s="141">
        <v>0</v>
      </c>
    </row>
    <row r="45" spans="1:22" ht="15" customHeight="1" x14ac:dyDescent="0.3">
      <c r="A45" s="130">
        <v>42</v>
      </c>
      <c r="B45" s="131">
        <v>16416.89</v>
      </c>
      <c r="C45" s="131">
        <v>20890.939999999999</v>
      </c>
      <c r="E45" s="130">
        <v>42</v>
      </c>
      <c r="F45" s="131">
        <f>ROUND(B45/(1-tablas!$G$6),2)</f>
        <v>29848.89</v>
      </c>
      <c r="G45" s="131">
        <f>ROUND(C45/(1-tablas!$G$6),2)</f>
        <v>37983.53</v>
      </c>
      <c r="H45" s="131">
        <f>ROUND(B45/(1-tablas!$H$6),2)</f>
        <v>27361.48</v>
      </c>
      <c r="I45" s="131">
        <f>ROUND(C45/(1-tablas!$H$6),2)</f>
        <v>34818.230000000003</v>
      </c>
      <c r="J45" s="131">
        <f>ROUND(B45/(1-tablas!$I$6),2)</f>
        <v>28551.11</v>
      </c>
      <c r="K45" s="131">
        <f>ROUND(C45/(1-tablas!$I$6),2)</f>
        <v>36332.07</v>
      </c>
      <c r="M45" s="70">
        <v>6.3</v>
      </c>
      <c r="N45" s="149">
        <v>1819.56</v>
      </c>
      <c r="P45" s="138">
        <f t="shared" si="0"/>
        <v>59</v>
      </c>
      <c r="Q45" s="139">
        <v>2615</v>
      </c>
      <c r="R45" s="140">
        <v>0</v>
      </c>
      <c r="S45" s="140">
        <v>0</v>
      </c>
      <c r="T45" s="140">
        <v>0</v>
      </c>
      <c r="U45" s="140">
        <v>0</v>
      </c>
      <c r="V45" s="141">
        <v>0</v>
      </c>
    </row>
    <row r="46" spans="1:22" ht="15" customHeight="1" thickBot="1" x14ac:dyDescent="0.35">
      <c r="A46" s="130">
        <v>43</v>
      </c>
      <c r="B46" s="131">
        <v>17103.36</v>
      </c>
      <c r="C46" s="131">
        <v>21181.61</v>
      </c>
      <c r="E46" s="130">
        <v>43</v>
      </c>
      <c r="F46" s="131">
        <f>ROUND(B46/(1-tablas!$G$6),2)</f>
        <v>31097.02</v>
      </c>
      <c r="G46" s="131">
        <f>ROUND(C46/(1-tablas!$G$6),2)</f>
        <v>38512.019999999997</v>
      </c>
      <c r="H46" s="131">
        <f>ROUND(B46/(1-tablas!$H$6),2)</f>
        <v>28505.599999999999</v>
      </c>
      <c r="I46" s="131">
        <f>ROUND(C46/(1-tablas!$H$6),2)</f>
        <v>35302.68</v>
      </c>
      <c r="J46" s="131">
        <f>ROUND(B46/(1-tablas!$I$6),2)</f>
        <v>29744.97</v>
      </c>
      <c r="K46" s="131">
        <f>ROUND(C46/(1-tablas!$I$6),2)</f>
        <v>36837.58</v>
      </c>
      <c r="M46" s="70">
        <v>6.5</v>
      </c>
      <c r="N46" s="149">
        <v>1819.56</v>
      </c>
      <c r="P46" s="138">
        <f t="shared" si="0"/>
        <v>60</v>
      </c>
      <c r="Q46" s="150">
        <v>2615</v>
      </c>
      <c r="R46" s="151">
        <v>0</v>
      </c>
      <c r="S46" s="151">
        <v>0</v>
      </c>
      <c r="T46" s="151">
        <v>0</v>
      </c>
      <c r="U46" s="151">
        <v>0</v>
      </c>
      <c r="V46" s="152">
        <v>0</v>
      </c>
    </row>
    <row r="47" spans="1:22" ht="15" customHeight="1" x14ac:dyDescent="0.3">
      <c r="A47" s="130">
        <v>44</v>
      </c>
      <c r="B47" s="131">
        <v>17818.95</v>
      </c>
      <c r="C47" s="131">
        <v>21471.65</v>
      </c>
      <c r="E47" s="130">
        <v>44</v>
      </c>
      <c r="F47" s="131">
        <f>ROUND(B47/(1-tablas!$G$6),2)</f>
        <v>32398.09</v>
      </c>
      <c r="G47" s="131">
        <f>ROUND(C47/(1-tablas!$G$6),2)</f>
        <v>39039.360000000001</v>
      </c>
      <c r="H47" s="131">
        <f>ROUND(B47/(1-tablas!$H$6),2)</f>
        <v>29698.25</v>
      </c>
      <c r="I47" s="131">
        <f>ROUND(C47/(1-tablas!$H$6),2)</f>
        <v>35786.080000000002</v>
      </c>
      <c r="J47" s="131">
        <f>ROUND(B47/(1-tablas!$I$6),2)</f>
        <v>30989.48</v>
      </c>
      <c r="K47" s="131">
        <f>ROUND(C47/(1-tablas!$I$6),2)</f>
        <v>37342</v>
      </c>
      <c r="M47" s="70">
        <v>6.9</v>
      </c>
      <c r="N47" s="149">
        <v>1819.56</v>
      </c>
      <c r="P47" s="138">
        <f t="shared" si="0"/>
        <v>61</v>
      </c>
      <c r="Q47" s="139">
        <v>2719</v>
      </c>
      <c r="R47" s="140">
        <v>0</v>
      </c>
      <c r="S47" s="140">
        <v>0</v>
      </c>
      <c r="T47" s="140">
        <v>0</v>
      </c>
      <c r="U47" s="140">
        <v>0</v>
      </c>
      <c r="V47" s="141">
        <v>0</v>
      </c>
    </row>
    <row r="48" spans="1:22" ht="15" customHeight="1" x14ac:dyDescent="0.3">
      <c r="A48" s="130">
        <v>45</v>
      </c>
      <c r="B48" s="131">
        <v>18525.05</v>
      </c>
      <c r="C48" s="131">
        <v>21880.75</v>
      </c>
      <c r="E48" s="130">
        <v>45</v>
      </c>
      <c r="F48" s="131">
        <f>ROUND(B48/(1-tablas!$G$6),2)</f>
        <v>33681.910000000003</v>
      </c>
      <c r="G48" s="131">
        <f>ROUND(C48/(1-tablas!$G$6),2)</f>
        <v>39783.18</v>
      </c>
      <c r="H48" s="131">
        <f>ROUND(B48/(1-tablas!$H$6),2)</f>
        <v>30875.08</v>
      </c>
      <c r="I48" s="131">
        <f>ROUND(C48/(1-tablas!$H$6),2)</f>
        <v>36467.919999999998</v>
      </c>
      <c r="J48" s="131">
        <f>ROUND(B48/(1-tablas!$I$6),2)</f>
        <v>32217.48</v>
      </c>
      <c r="K48" s="131">
        <f>ROUND(C48/(1-tablas!$I$6),2)</f>
        <v>38053.480000000003</v>
      </c>
      <c r="M48" s="70">
        <v>7</v>
      </c>
      <c r="N48" s="149">
        <v>1819.56</v>
      </c>
      <c r="P48" s="138">
        <f t="shared" si="0"/>
        <v>62</v>
      </c>
      <c r="Q48" s="139">
        <v>2719</v>
      </c>
      <c r="R48" s="140">
        <v>0</v>
      </c>
      <c r="S48" s="140">
        <v>0</v>
      </c>
      <c r="T48" s="140">
        <v>0</v>
      </c>
      <c r="U48" s="140">
        <v>0</v>
      </c>
      <c r="V48" s="141">
        <v>0</v>
      </c>
    </row>
    <row r="49" spans="1:22" ht="15" customHeight="1" x14ac:dyDescent="0.3">
      <c r="A49" s="130">
        <v>46</v>
      </c>
      <c r="B49" s="131">
        <v>19259.009999999998</v>
      </c>
      <c r="C49" s="131">
        <v>22296.799999999999</v>
      </c>
      <c r="E49" s="130">
        <v>46</v>
      </c>
      <c r="F49" s="131">
        <f>ROUND(B49/(1-tablas!$G$6),2)</f>
        <v>35016.379999999997</v>
      </c>
      <c r="G49" s="131">
        <f>ROUND(C49/(1-tablas!$G$6),2)</f>
        <v>40539.64</v>
      </c>
      <c r="H49" s="131">
        <f>ROUND(B49/(1-tablas!$H$6),2)</f>
        <v>32098.35</v>
      </c>
      <c r="I49" s="131">
        <f>ROUND(C49/(1-tablas!$H$6),2)</f>
        <v>37161.33</v>
      </c>
      <c r="J49" s="131">
        <f>ROUND(B49/(1-tablas!$I$6),2)</f>
        <v>33493.93</v>
      </c>
      <c r="K49" s="131">
        <f>ROUND(C49/(1-tablas!$I$6),2)</f>
        <v>38777.040000000001</v>
      </c>
      <c r="M49" s="70">
        <v>7.1</v>
      </c>
      <c r="N49" s="149">
        <v>2043.44</v>
      </c>
      <c r="P49" s="138">
        <f t="shared" si="0"/>
        <v>63</v>
      </c>
      <c r="Q49" s="139">
        <v>2719</v>
      </c>
      <c r="R49" s="140">
        <v>0</v>
      </c>
      <c r="S49" s="140">
        <v>0</v>
      </c>
      <c r="T49" s="140">
        <v>0</v>
      </c>
      <c r="U49" s="140">
        <v>0</v>
      </c>
      <c r="V49" s="141">
        <v>0</v>
      </c>
    </row>
    <row r="50" spans="1:22" ht="15" customHeight="1" x14ac:dyDescent="0.3">
      <c r="A50" s="130">
        <v>47</v>
      </c>
      <c r="B50" s="131">
        <v>20024.63</v>
      </c>
      <c r="C50" s="131">
        <v>22720.46</v>
      </c>
      <c r="E50" s="130">
        <v>47</v>
      </c>
      <c r="F50" s="131">
        <f>ROUND(B50/(1-tablas!$G$6),2)</f>
        <v>36408.42</v>
      </c>
      <c r="G50" s="131">
        <f>ROUND(C50/(1-tablas!$G$6),2)</f>
        <v>41309.93</v>
      </c>
      <c r="H50" s="131">
        <f>ROUND(B50/(1-tablas!$H$6),2)</f>
        <v>33374.379999999997</v>
      </c>
      <c r="I50" s="131">
        <f>ROUND(C50/(1-tablas!$H$6),2)</f>
        <v>37867.43</v>
      </c>
      <c r="J50" s="131">
        <f>ROUND(B50/(1-tablas!$I$6),2)</f>
        <v>34825.440000000002</v>
      </c>
      <c r="K50" s="131">
        <f>ROUND(C50/(1-tablas!$I$6),2)</f>
        <v>39513.839999999997</v>
      </c>
      <c r="M50" s="70">
        <v>7.5</v>
      </c>
      <c r="N50" s="149">
        <v>2043.44</v>
      </c>
      <c r="P50" s="138">
        <f t="shared" si="0"/>
        <v>64</v>
      </c>
      <c r="Q50" s="139">
        <v>2719</v>
      </c>
      <c r="R50" s="140">
        <v>0</v>
      </c>
      <c r="S50" s="140">
        <v>0</v>
      </c>
      <c r="T50" s="140">
        <v>0</v>
      </c>
      <c r="U50" s="140">
        <v>0</v>
      </c>
      <c r="V50" s="141">
        <v>0</v>
      </c>
    </row>
    <row r="51" spans="1:22" ht="15" customHeight="1" thickBot="1" x14ac:dyDescent="0.35">
      <c r="A51" s="130">
        <v>48</v>
      </c>
      <c r="B51" s="131">
        <v>20819.38</v>
      </c>
      <c r="C51" s="131">
        <v>23152.35</v>
      </c>
      <c r="E51" s="130">
        <v>48</v>
      </c>
      <c r="F51" s="131">
        <f>ROUND(B51/(1-tablas!$G$6),2)</f>
        <v>37853.42</v>
      </c>
      <c r="G51" s="131">
        <f>ROUND(C51/(1-tablas!$G$6),2)</f>
        <v>42095.18</v>
      </c>
      <c r="H51" s="131">
        <f>ROUND(B51/(1-tablas!$H$6),2)</f>
        <v>34698.97</v>
      </c>
      <c r="I51" s="131">
        <f>ROUND(C51/(1-tablas!$H$6),2)</f>
        <v>38587.25</v>
      </c>
      <c r="J51" s="131">
        <f>ROUND(B51/(1-tablas!$I$6),2)</f>
        <v>36207.620000000003</v>
      </c>
      <c r="K51" s="131">
        <f>ROUND(C51/(1-tablas!$I$6),2)</f>
        <v>40264.959999999999</v>
      </c>
      <c r="M51" s="70">
        <v>7.6</v>
      </c>
      <c r="N51" s="149">
        <v>2043.44</v>
      </c>
      <c r="P51" s="138">
        <f t="shared" si="0"/>
        <v>65</v>
      </c>
      <c r="Q51" s="150">
        <v>2719</v>
      </c>
      <c r="R51" s="151">
        <v>0</v>
      </c>
      <c r="S51" s="151">
        <v>0</v>
      </c>
      <c r="T51" s="151">
        <v>0</v>
      </c>
      <c r="U51" s="151">
        <v>0</v>
      </c>
      <c r="V51" s="152">
        <v>0</v>
      </c>
    </row>
    <row r="52" spans="1:22" ht="15" customHeight="1" x14ac:dyDescent="0.25">
      <c r="A52" s="130">
        <v>49</v>
      </c>
      <c r="B52" s="131">
        <v>21645.17</v>
      </c>
      <c r="C52" s="131">
        <v>23591.84</v>
      </c>
      <c r="E52" s="130">
        <v>49</v>
      </c>
      <c r="F52" s="131">
        <f>ROUND(B52/(1-tablas!$G$6),2)</f>
        <v>39354.85</v>
      </c>
      <c r="G52" s="131">
        <f>ROUND(C52/(1-tablas!$G$6),2)</f>
        <v>42894.25</v>
      </c>
      <c r="H52" s="131">
        <f>ROUND(B52/(1-tablas!$H$6),2)</f>
        <v>36075.279999999999</v>
      </c>
      <c r="I52" s="131">
        <f>ROUND(C52/(1-tablas!$H$6),2)</f>
        <v>39319.730000000003</v>
      </c>
      <c r="J52" s="131">
        <f>ROUND(B52/(1-tablas!$I$6),2)</f>
        <v>37643.769999999997</v>
      </c>
      <c r="K52" s="131">
        <f>ROUND(C52/(1-tablas!$I$6),2)</f>
        <v>41029.29</v>
      </c>
      <c r="M52" s="70">
        <v>7.9</v>
      </c>
      <c r="N52" s="149">
        <v>2043.44</v>
      </c>
    </row>
    <row r="53" spans="1:22" ht="15" customHeight="1" x14ac:dyDescent="0.25">
      <c r="A53" s="130">
        <v>50</v>
      </c>
      <c r="B53" s="131">
        <v>22539.35</v>
      </c>
      <c r="C53" s="131">
        <v>24254.240000000002</v>
      </c>
      <c r="E53" s="130">
        <v>50</v>
      </c>
      <c r="F53" s="131">
        <f>ROUND(B53/(1-tablas!$G$6),2)</f>
        <v>40980.639999999999</v>
      </c>
      <c r="G53" s="131">
        <f>ROUND(C53/(1-tablas!$G$6),2)</f>
        <v>44098.62</v>
      </c>
      <c r="H53" s="131">
        <f>ROUND(B53/(1-tablas!$H$6),2)</f>
        <v>37565.58</v>
      </c>
      <c r="I53" s="131">
        <f>ROUND(C53/(1-tablas!$H$6),2)</f>
        <v>40423.730000000003</v>
      </c>
      <c r="J53" s="225">
        <f>ROUND(B53/(1-tablas!$I$6),2)</f>
        <v>39198.870000000003</v>
      </c>
      <c r="K53" s="225">
        <f>ROUND(C53/(1-tablas!$I$6),2)</f>
        <v>42181.29</v>
      </c>
      <c r="M53" s="70">
        <v>8</v>
      </c>
      <c r="N53" s="149">
        <v>2043.44</v>
      </c>
    </row>
    <row r="54" spans="1:22" ht="15" customHeight="1" x14ac:dyDescent="0.25">
      <c r="A54" s="130">
        <v>51</v>
      </c>
      <c r="B54" s="131">
        <v>23470.89</v>
      </c>
      <c r="C54" s="131">
        <v>24935.01</v>
      </c>
      <c r="E54" s="130">
        <v>51</v>
      </c>
      <c r="F54" s="131">
        <f>ROUND(B54/(1-tablas!$G$6),2)</f>
        <v>42674.35</v>
      </c>
      <c r="G54" s="131">
        <f>ROUND(C54/(1-tablas!$G$6),2)</f>
        <v>45336.38</v>
      </c>
      <c r="H54" s="131">
        <f>ROUND(B54/(1-tablas!$H$6),2)</f>
        <v>39118.15</v>
      </c>
      <c r="I54" s="131">
        <f>ROUND(C54/(1-tablas!$H$6),2)</f>
        <v>41558.35</v>
      </c>
      <c r="J54" s="131">
        <f>ROUND(B54/(1-tablas!$I$6),2)</f>
        <v>40818.94</v>
      </c>
      <c r="K54" s="131">
        <f>ROUND(C54/(1-tablas!$I$6),2)</f>
        <v>43365.23</v>
      </c>
      <c r="M54" s="70">
        <v>8.4</v>
      </c>
      <c r="N54" s="149">
        <v>2267.33</v>
      </c>
    </row>
    <row r="55" spans="1:22" ht="15" customHeight="1" x14ac:dyDescent="0.25">
      <c r="A55" s="130">
        <v>52</v>
      </c>
      <c r="B55" s="131">
        <v>24441.69</v>
      </c>
      <c r="C55" s="131">
        <v>25633.5</v>
      </c>
      <c r="E55" s="130">
        <v>52</v>
      </c>
      <c r="F55" s="131">
        <f>ROUND(B55/(1-tablas!$G$6),2)</f>
        <v>44439.44</v>
      </c>
      <c r="G55" s="131">
        <f>ROUND(C55/(1-tablas!$G$6),2)</f>
        <v>46606.36</v>
      </c>
      <c r="H55" s="131">
        <f>ROUND(B55/(1-tablas!$H$6),2)</f>
        <v>40736.15</v>
      </c>
      <c r="I55" s="131">
        <f>ROUND(C55/(1-tablas!$H$6),2)</f>
        <v>42722.5</v>
      </c>
      <c r="J55" s="131">
        <f>ROUND(B55/(1-tablas!$I$6),2)</f>
        <v>42507.29</v>
      </c>
      <c r="K55" s="131">
        <f>ROUND(C55/(1-tablas!$I$6),2)</f>
        <v>44580</v>
      </c>
      <c r="M55" s="70">
        <v>8.5</v>
      </c>
      <c r="N55" s="149">
        <v>2267.33</v>
      </c>
    </row>
    <row r="56" spans="1:22" ht="15" customHeight="1" x14ac:dyDescent="0.25">
      <c r="A56" s="130">
        <v>53</v>
      </c>
      <c r="B56" s="131">
        <v>25454.29</v>
      </c>
      <c r="C56" s="131">
        <v>26352.26</v>
      </c>
      <c r="E56" s="130">
        <v>53</v>
      </c>
      <c r="F56" s="131">
        <f>ROUND(B56/(1-tablas!$G$6),2)</f>
        <v>46280.53</v>
      </c>
      <c r="G56" s="131">
        <f>ROUND(C56/(1-tablas!$G$6),2)</f>
        <v>47913.2</v>
      </c>
      <c r="H56" s="131">
        <f>ROUND(B56/(1-tablas!$H$6),2)</f>
        <v>42423.82</v>
      </c>
      <c r="I56" s="131">
        <f>ROUND(C56/(1-tablas!$H$6),2)</f>
        <v>43920.43</v>
      </c>
      <c r="J56" s="131">
        <f>ROUND(B56/(1-tablas!$I$6),2)</f>
        <v>44268.33</v>
      </c>
      <c r="K56" s="131">
        <f>ROUND(C56/(1-tablas!$I$6),2)</f>
        <v>45830.02</v>
      </c>
      <c r="M56" s="70">
        <v>8.6</v>
      </c>
      <c r="N56" s="149">
        <v>2267.33</v>
      </c>
    </row>
    <row r="57" spans="1:22" ht="15" customHeight="1" x14ac:dyDescent="0.25">
      <c r="A57" s="130">
        <v>54</v>
      </c>
      <c r="B57" s="131">
        <v>26505.52</v>
      </c>
      <c r="C57" s="131">
        <v>27094.46</v>
      </c>
      <c r="E57" s="130">
        <v>54</v>
      </c>
      <c r="F57" s="131">
        <f>ROUND(B57/(1-tablas!$G$6),2)</f>
        <v>48191.85</v>
      </c>
      <c r="G57" s="131">
        <f>ROUND(C57/(1-tablas!$G$6),2)</f>
        <v>49262.65</v>
      </c>
      <c r="H57" s="131">
        <f>ROUND(B57/(1-tablas!$H$6),2)</f>
        <v>44175.87</v>
      </c>
      <c r="I57" s="131">
        <f>ROUND(C57/(1-tablas!$H$6),2)</f>
        <v>45157.43</v>
      </c>
      <c r="J57" s="131">
        <f>ROUND(B57/(1-tablas!$I$6),2)</f>
        <v>46096.56</v>
      </c>
      <c r="K57" s="131">
        <f>ROUND(C57/(1-tablas!$I$6),2)</f>
        <v>47120.800000000003</v>
      </c>
      <c r="M57" s="70">
        <v>9</v>
      </c>
      <c r="N57" s="149">
        <v>2267.33</v>
      </c>
    </row>
    <row r="58" spans="1:22" ht="15" customHeight="1" x14ac:dyDescent="0.25">
      <c r="A58" s="130">
        <v>55</v>
      </c>
      <c r="B58" s="131">
        <v>27792.95</v>
      </c>
      <c r="C58" s="131">
        <v>28007.63</v>
      </c>
      <c r="E58" s="130">
        <v>55</v>
      </c>
      <c r="F58" s="131">
        <f>ROUND(B58/(1-tablas!$G$6),2)</f>
        <v>50532.639999999999</v>
      </c>
      <c r="G58" s="131">
        <f>ROUND(C58/(1-tablas!$G$6),2)</f>
        <v>50922.96</v>
      </c>
      <c r="H58" s="131">
        <f>ROUND(B58/(1-tablas!$H$6),2)</f>
        <v>46321.58</v>
      </c>
      <c r="I58" s="131">
        <f>ROUND(C58/(1-tablas!$H$6),2)</f>
        <v>46679.38</v>
      </c>
      <c r="J58" s="131">
        <f>ROUND(B58/(1-tablas!$I$6),2)</f>
        <v>48335.57</v>
      </c>
      <c r="K58" s="131">
        <f>ROUND(C58/(1-tablas!$I$6),2)</f>
        <v>48708.92</v>
      </c>
      <c r="M58" s="70">
        <v>9.1999999999999993</v>
      </c>
      <c r="N58" s="149">
        <v>2491.2199999999998</v>
      </c>
    </row>
    <row r="59" spans="1:22" ht="15" customHeight="1" x14ac:dyDescent="0.25">
      <c r="A59" s="130">
        <v>56</v>
      </c>
      <c r="B59" s="131">
        <v>29142.45</v>
      </c>
      <c r="C59" s="131">
        <v>28951.84</v>
      </c>
      <c r="E59" s="130">
        <v>56</v>
      </c>
      <c r="F59" s="131">
        <f>ROUND(B59/(1-tablas!$G$6),2)</f>
        <v>52986.27</v>
      </c>
      <c r="G59" s="131">
        <f>ROUND(C59/(1-tablas!$G$6),2)</f>
        <v>52639.71</v>
      </c>
      <c r="H59" s="131">
        <f>ROUND(B59/(1-tablas!$H$6),2)</f>
        <v>48570.75</v>
      </c>
      <c r="I59" s="131">
        <f>ROUND(C59/(1-tablas!$H$6),2)</f>
        <v>48253.07</v>
      </c>
      <c r="J59" s="131">
        <f>ROUND(B59/(1-tablas!$I$6),2)</f>
        <v>50682.52</v>
      </c>
      <c r="K59" s="131">
        <f>ROUND(C59/(1-tablas!$I$6),2)</f>
        <v>50351.03</v>
      </c>
      <c r="M59" s="70">
        <v>9.4</v>
      </c>
      <c r="N59" s="149">
        <v>2491.2199999999998</v>
      </c>
    </row>
    <row r="60" spans="1:22" ht="15" customHeight="1" x14ac:dyDescent="0.25">
      <c r="A60" s="130">
        <v>57</v>
      </c>
      <c r="B60" s="131">
        <v>30557.18</v>
      </c>
      <c r="C60" s="131">
        <v>29928.97</v>
      </c>
      <c r="E60" s="130">
        <v>57</v>
      </c>
      <c r="F60" s="131">
        <f>ROUND(B60/(1-tablas!$G$6),2)</f>
        <v>55558.51</v>
      </c>
      <c r="G60" s="131">
        <f>ROUND(C60/(1-tablas!$G$6),2)</f>
        <v>54416.31</v>
      </c>
      <c r="H60" s="131">
        <f>ROUND(B60/(1-tablas!$H$6),2)</f>
        <v>50928.63</v>
      </c>
      <c r="I60" s="131">
        <f>ROUND(C60/(1-tablas!$H$6),2)</f>
        <v>49881.62</v>
      </c>
      <c r="J60" s="131">
        <f>ROUND(B60/(1-tablas!$I$6),2)</f>
        <v>53142.92</v>
      </c>
      <c r="K60" s="131">
        <f>ROUND(C60/(1-tablas!$I$6),2)</f>
        <v>52050.38</v>
      </c>
      <c r="M60" s="70">
        <v>9.9</v>
      </c>
      <c r="N60" s="149">
        <v>2491.2199999999998</v>
      </c>
    </row>
    <row r="61" spans="1:22" ht="15" customHeight="1" x14ac:dyDescent="0.25">
      <c r="A61" s="130">
        <v>58</v>
      </c>
      <c r="B61" s="131">
        <v>32040.93</v>
      </c>
      <c r="C61" s="131">
        <v>30937.77</v>
      </c>
      <c r="E61" s="130">
        <v>58</v>
      </c>
      <c r="F61" s="131">
        <f>ROUND(B61/(1-tablas!$G$6),2)</f>
        <v>58256.24</v>
      </c>
      <c r="G61" s="131">
        <f>ROUND(C61/(1-tablas!$G$6),2)</f>
        <v>56250.49</v>
      </c>
      <c r="H61" s="131">
        <f>ROUND(B61/(1-tablas!$H$6),2)</f>
        <v>53401.55</v>
      </c>
      <c r="I61" s="131">
        <f>ROUND(C61/(1-tablas!$H$6),2)</f>
        <v>51562.95</v>
      </c>
      <c r="J61" s="131">
        <f>ROUND(B61/(1-tablas!$I$6),2)</f>
        <v>55723.360000000001</v>
      </c>
      <c r="K61" s="131">
        <f>ROUND(C61/(1-tablas!$I$6),2)</f>
        <v>53804.82</v>
      </c>
      <c r="M61" s="70">
        <v>10</v>
      </c>
      <c r="N61" s="149">
        <v>2491.2199999999998</v>
      </c>
    </row>
    <row r="62" spans="1:22" ht="15" customHeight="1" x14ac:dyDescent="0.25">
      <c r="A62" s="130">
        <v>59</v>
      </c>
      <c r="B62" s="131">
        <v>33598.769999999997</v>
      </c>
      <c r="C62" s="131">
        <v>31982.67</v>
      </c>
      <c r="E62" s="130">
        <v>59</v>
      </c>
      <c r="F62" s="131">
        <f>ROUND(B62/(1-tablas!$G$6),2)</f>
        <v>61088.67</v>
      </c>
      <c r="G62" s="131">
        <f>ROUND(C62/(1-tablas!$G$6),2)</f>
        <v>58150.31</v>
      </c>
      <c r="H62" s="131">
        <f>ROUND(B62/(1-tablas!$H$6),2)</f>
        <v>55997.95</v>
      </c>
      <c r="I62" s="131">
        <f>ROUND(C62/(1-tablas!$H$6),2)</f>
        <v>53304.45</v>
      </c>
      <c r="J62" s="131">
        <f>ROUND(B62/(1-tablas!$I$6),2)</f>
        <v>58432.639999999999</v>
      </c>
      <c r="K62" s="131">
        <f>ROUND(C62/(1-tablas!$I$6),2)</f>
        <v>55622.03</v>
      </c>
      <c r="M62" s="70">
        <v>10.199999999999999</v>
      </c>
      <c r="N62" s="149">
        <v>2715.1</v>
      </c>
    </row>
    <row r="63" spans="1:22" ht="15" customHeight="1" x14ac:dyDescent="0.25">
      <c r="A63" s="130">
        <v>60</v>
      </c>
      <c r="B63" s="131">
        <v>34641.769999999997</v>
      </c>
      <c r="C63" s="131">
        <v>32966.769999999997</v>
      </c>
      <c r="E63" s="130">
        <v>60</v>
      </c>
      <c r="F63" s="131">
        <f>ROUND(B63/(1-tablas!$G$6),2)</f>
        <v>62985.04</v>
      </c>
      <c r="G63" s="131">
        <f>ROUND(C63/(1-tablas!$G$6),2)</f>
        <v>59939.58</v>
      </c>
      <c r="H63" s="131">
        <f>ROUND(B63/(1-tablas!$H$6),2)</f>
        <v>57736.28</v>
      </c>
      <c r="I63" s="131">
        <f>ROUND(C63/(1-tablas!$H$6),2)</f>
        <v>54944.62</v>
      </c>
      <c r="J63" s="225">
        <f>ROUND(B63/(1-tablas!$I$6),2)</f>
        <v>60246.559999999998</v>
      </c>
      <c r="K63" s="225">
        <f>ROUND(C63/(1-tablas!$I$6),2)</f>
        <v>57333.51</v>
      </c>
      <c r="M63" s="70">
        <v>10.7</v>
      </c>
      <c r="N63" s="149">
        <v>2715.1</v>
      </c>
    </row>
    <row r="64" spans="1:22" ht="15" customHeight="1" x14ac:dyDescent="0.25">
      <c r="A64" s="130">
        <v>61</v>
      </c>
      <c r="B64" s="131">
        <v>35722.129999999997</v>
      </c>
      <c r="C64" s="131">
        <v>33981.269999999997</v>
      </c>
      <c r="E64" s="130">
        <v>61</v>
      </c>
      <c r="F64" s="131">
        <f>ROUND(B64/(1-tablas!$G$6),2)</f>
        <v>64949.33</v>
      </c>
      <c r="G64" s="131">
        <f>ROUND(C64/(1-tablas!$G$6),2)</f>
        <v>61784.13</v>
      </c>
      <c r="H64" s="131">
        <f>ROUND(B64/(1-tablas!$H$6),2)</f>
        <v>59536.88</v>
      </c>
      <c r="I64" s="131">
        <f>ROUND(C64/(1-tablas!$H$6),2)</f>
        <v>56635.45</v>
      </c>
      <c r="J64" s="131">
        <f>ROUND(B64/(1-tablas!$I$6),2)</f>
        <v>62125.440000000002</v>
      </c>
      <c r="K64" s="131">
        <f>ROUND(C64/(1-tablas!$I$6),2)</f>
        <v>59097.86</v>
      </c>
      <c r="M64" s="70">
        <v>10.9</v>
      </c>
      <c r="N64" s="149">
        <v>2715.1</v>
      </c>
    </row>
    <row r="65" spans="1:14" ht="15" customHeight="1" x14ac:dyDescent="0.25">
      <c r="A65" s="130">
        <v>62</v>
      </c>
      <c r="B65" s="131">
        <v>36834.78</v>
      </c>
      <c r="C65" s="131">
        <v>35029.33</v>
      </c>
      <c r="E65" s="130">
        <v>62</v>
      </c>
      <c r="F65" s="131">
        <f>ROUND(B65/(1-tablas!$G$6),2)</f>
        <v>66972.33</v>
      </c>
      <c r="G65" s="131">
        <f>ROUND(C65/(1-tablas!$G$6),2)</f>
        <v>63689.69</v>
      </c>
      <c r="H65" s="131">
        <f>ROUND(B65/(1-tablas!$H$6),2)</f>
        <v>61391.3</v>
      </c>
      <c r="I65" s="131">
        <f>ROUND(C65/(1-tablas!$H$6),2)</f>
        <v>58382.22</v>
      </c>
      <c r="J65" s="131">
        <f>ROUND(B65/(1-tablas!$I$6),2)</f>
        <v>64060.49</v>
      </c>
      <c r="K65" s="131">
        <f>ROUND(C65/(1-tablas!$I$6),2)</f>
        <v>60920.57</v>
      </c>
      <c r="M65" s="70">
        <v>11</v>
      </c>
      <c r="N65" s="149">
        <v>2715.1</v>
      </c>
    </row>
    <row r="66" spans="1:14" ht="15" customHeight="1" x14ac:dyDescent="0.25">
      <c r="A66" s="130">
        <v>63</v>
      </c>
      <c r="B66" s="131">
        <v>37982.269999999997</v>
      </c>
      <c r="C66" s="131">
        <v>36105.89</v>
      </c>
      <c r="E66" s="130">
        <v>63</v>
      </c>
      <c r="F66" s="131">
        <f>ROUND(B66/(1-tablas!$G$6),2)</f>
        <v>69058.67</v>
      </c>
      <c r="G66" s="131">
        <f>ROUND(C66/(1-tablas!$G$6),2)</f>
        <v>65647.070000000007</v>
      </c>
      <c r="H66" s="131">
        <f>ROUND(B66/(1-tablas!$H$6),2)</f>
        <v>63303.78</v>
      </c>
      <c r="I66" s="131">
        <f>ROUND(C66/(1-tablas!$H$6),2)</f>
        <v>60176.480000000003</v>
      </c>
      <c r="J66" s="131">
        <f>ROUND(B66/(1-tablas!$I$6),2)</f>
        <v>66056.12</v>
      </c>
      <c r="K66" s="131">
        <f>ROUND(C66/(1-tablas!$I$6),2)</f>
        <v>62792.85</v>
      </c>
      <c r="M66" s="70">
        <v>11.5</v>
      </c>
      <c r="N66" s="149">
        <v>2938.38</v>
      </c>
    </row>
    <row r="67" spans="1:14" ht="15" customHeight="1" x14ac:dyDescent="0.25">
      <c r="A67" s="130">
        <v>64</v>
      </c>
      <c r="B67" s="131">
        <v>39164.58</v>
      </c>
      <c r="C67" s="131">
        <v>37217.910000000003</v>
      </c>
      <c r="E67" s="130">
        <v>64</v>
      </c>
      <c r="F67" s="131">
        <f>ROUND(B67/(1-tablas!$G$6),2)</f>
        <v>71208.33</v>
      </c>
      <c r="G67" s="131">
        <f>ROUND(C67/(1-tablas!$G$6),2)</f>
        <v>67668.929999999993</v>
      </c>
      <c r="H67" s="131">
        <f>ROUND(B67/(1-tablas!$H$6),2)</f>
        <v>65274.3</v>
      </c>
      <c r="I67" s="131">
        <f>ROUND(C67/(1-tablas!$H$6),2)</f>
        <v>62029.85</v>
      </c>
      <c r="J67" s="131">
        <f>ROUND(B67/(1-tablas!$I$6),2)</f>
        <v>68112.31</v>
      </c>
      <c r="K67" s="131">
        <f>ROUND(C67/(1-tablas!$I$6),2)</f>
        <v>64726.8</v>
      </c>
      <c r="M67" s="70">
        <v>11.7</v>
      </c>
      <c r="N67" s="149">
        <v>2938.38</v>
      </c>
    </row>
    <row r="68" spans="1:14" ht="15" customHeight="1" x14ac:dyDescent="0.25">
      <c r="A68" s="130">
        <v>65</v>
      </c>
      <c r="B68" s="131">
        <v>42256.84</v>
      </c>
      <c r="C68" s="131">
        <v>40557.14</v>
      </c>
      <c r="E68" s="130">
        <v>65</v>
      </c>
      <c r="F68" s="131">
        <f>ROUND(B68/(1-tablas!$G$6),2)</f>
        <v>76830.62</v>
      </c>
      <c r="G68" s="131">
        <f>ROUND(C68/(1-tablas!$G$6),2)</f>
        <v>73740.25</v>
      </c>
      <c r="H68" s="131">
        <f>ROUND(B68/(1-tablas!$H$6),2)</f>
        <v>70428.070000000007</v>
      </c>
      <c r="I68" s="131">
        <f>ROUND(C68/(1-tablas!$H$6),2)</f>
        <v>67595.23</v>
      </c>
      <c r="J68" s="131">
        <f>ROUND(B68/(1-tablas!$I$6),2)</f>
        <v>73490.16</v>
      </c>
      <c r="K68" s="131">
        <f>ROUND(C68/(1-tablas!$I$6),2)</f>
        <v>70534.16</v>
      </c>
      <c r="M68" s="70">
        <v>12</v>
      </c>
      <c r="N68" s="149">
        <v>2938.38</v>
      </c>
    </row>
    <row r="69" spans="1:14" ht="15" customHeight="1" x14ac:dyDescent="0.25">
      <c r="A69" s="130">
        <v>66</v>
      </c>
      <c r="B69" s="131">
        <v>45596.07</v>
      </c>
      <c r="C69" s="131">
        <v>44193.38</v>
      </c>
      <c r="E69" s="130">
        <v>66</v>
      </c>
      <c r="F69" s="131">
        <f>ROUND(B69/(1-tablas!$G$6),2)</f>
        <v>82901.95</v>
      </c>
      <c r="G69" s="131">
        <f>ROUND(C69/(1-tablas!$G$6),2)</f>
        <v>80351.600000000006</v>
      </c>
      <c r="H69" s="131">
        <f>ROUND(B69/(1-tablas!$H$6),2)</f>
        <v>75993.45</v>
      </c>
      <c r="I69" s="131">
        <f>ROUND(C69/(1-tablas!$H$6),2)</f>
        <v>73655.63</v>
      </c>
      <c r="J69" s="131">
        <f>ROUND(B69/(1-tablas!$I$6),2)</f>
        <v>79297.509999999995</v>
      </c>
      <c r="K69" s="131">
        <f>ROUND(C69/(1-tablas!$I$6),2)</f>
        <v>76858.05</v>
      </c>
      <c r="M69" s="70">
        <v>12.2</v>
      </c>
      <c r="N69" s="149">
        <v>3162.87</v>
      </c>
    </row>
    <row r="70" spans="1:14" ht="15" customHeight="1" x14ac:dyDescent="0.25">
      <c r="A70" s="130">
        <v>67</v>
      </c>
      <c r="B70" s="131">
        <v>49196.21</v>
      </c>
      <c r="C70" s="131">
        <v>48155.75</v>
      </c>
      <c r="E70" s="130">
        <v>67</v>
      </c>
      <c r="F70" s="131">
        <f>ROUND(B70/(1-tablas!$G$6),2)</f>
        <v>89447.65</v>
      </c>
      <c r="G70" s="131">
        <f>ROUND(C70/(1-tablas!$G$6),2)</f>
        <v>87555.91</v>
      </c>
      <c r="H70" s="131">
        <f>ROUND(B70/(1-tablas!$H$6),2)</f>
        <v>81993.679999999993</v>
      </c>
      <c r="I70" s="131">
        <f>ROUND(C70/(1-tablas!$H$6),2)</f>
        <v>80259.58</v>
      </c>
      <c r="J70" s="131">
        <f>ROUND(B70/(1-tablas!$I$6),2)</f>
        <v>85558.63</v>
      </c>
      <c r="K70" s="131">
        <f>ROUND(C70/(1-tablas!$I$6),2)</f>
        <v>83749.13</v>
      </c>
      <c r="M70" s="70">
        <v>12.5</v>
      </c>
      <c r="N70" s="149">
        <v>3162.87</v>
      </c>
    </row>
    <row r="71" spans="1:14" ht="15" customHeight="1" x14ac:dyDescent="0.25">
      <c r="A71" s="130">
        <v>68</v>
      </c>
      <c r="B71" s="131">
        <v>53080.06</v>
      </c>
      <c r="C71" s="131">
        <v>52473.39</v>
      </c>
      <c r="E71" s="130">
        <v>68</v>
      </c>
      <c r="F71" s="131">
        <f>ROUND(B71/(1-tablas!$G$6),2)</f>
        <v>96509.2</v>
      </c>
      <c r="G71" s="131">
        <f>ROUND(C71/(1-tablas!$G$6),2)</f>
        <v>95406.16</v>
      </c>
      <c r="H71" s="131">
        <f>ROUND(B71/(1-tablas!$H$6),2)</f>
        <v>88466.77</v>
      </c>
      <c r="I71" s="131">
        <f>ROUND(C71/(1-tablas!$H$6),2)</f>
        <v>87455.65</v>
      </c>
      <c r="J71" s="131">
        <f>ROUND(B71/(1-tablas!$I$6),2)</f>
        <v>92313.15</v>
      </c>
      <c r="K71" s="131">
        <f>ROUND(C71/(1-tablas!$I$6),2)</f>
        <v>91258.07</v>
      </c>
      <c r="M71" s="70">
        <v>13</v>
      </c>
      <c r="N71" s="149">
        <v>3162.87</v>
      </c>
    </row>
    <row r="72" spans="1:14" ht="15" customHeight="1" x14ac:dyDescent="0.25">
      <c r="A72" s="130">
        <v>69</v>
      </c>
      <c r="B72" s="131">
        <v>57273.57</v>
      </c>
      <c r="C72" s="131">
        <v>57178.58</v>
      </c>
      <c r="E72" s="130">
        <v>69</v>
      </c>
      <c r="F72" s="131">
        <f>ROUND(B72/(1-tablas!$G$6),2)</f>
        <v>104133.75999999999</v>
      </c>
      <c r="G72" s="131">
        <f>ROUND(C72/(1-tablas!$G$6),2)</f>
        <v>103961.05</v>
      </c>
      <c r="H72" s="131">
        <f>ROUND(B72/(1-tablas!$H$6),2)</f>
        <v>95455.95</v>
      </c>
      <c r="I72" s="131">
        <f>ROUND(C72/(1-tablas!$H$6),2)</f>
        <v>95297.63</v>
      </c>
      <c r="J72" s="131">
        <f>ROUND(B72/(1-tablas!$I$6),2)</f>
        <v>99606.21</v>
      </c>
      <c r="K72" s="131">
        <f>ROUND(C72/(1-tablas!$I$6),2)</f>
        <v>99441.01</v>
      </c>
      <c r="M72" s="70">
        <v>13.2</v>
      </c>
      <c r="N72" s="149">
        <v>3386.76</v>
      </c>
    </row>
    <row r="73" spans="1:14" ht="15" customHeight="1" x14ac:dyDescent="0.25">
      <c r="A73" s="130">
        <v>70</v>
      </c>
      <c r="B73" s="131">
        <v>62161.78</v>
      </c>
      <c r="C73" s="131">
        <v>61968</v>
      </c>
      <c r="E73" s="130">
        <v>70</v>
      </c>
      <c r="F73" s="131">
        <f>ROUND(B73/(1-tablas!$G$6),2)</f>
        <v>113021.42</v>
      </c>
      <c r="G73" s="131">
        <f>ROUND(C73/(1-tablas!$G$6),2)</f>
        <v>112669.09</v>
      </c>
      <c r="H73" s="131">
        <f>ROUND(B73/(1-tablas!$H$6),2)</f>
        <v>103602.97</v>
      </c>
      <c r="I73" s="131">
        <f>ROUND(C73/(1-tablas!$H$6),2)</f>
        <v>103280</v>
      </c>
      <c r="J73" s="225">
        <f>ROUND(B73/(1-tablas!$I$6),2)</f>
        <v>108107.44</v>
      </c>
      <c r="K73" s="225">
        <f>ROUND(C73/(1-tablas!$I$6),2)</f>
        <v>107770.43</v>
      </c>
      <c r="M73" s="70">
        <v>13.7</v>
      </c>
      <c r="N73" s="149">
        <v>3386.76</v>
      </c>
    </row>
    <row r="74" spans="1:14" ht="15" customHeight="1" x14ac:dyDescent="0.25">
      <c r="A74" s="130">
        <v>71</v>
      </c>
      <c r="B74" s="131">
        <v>67467.320000000007</v>
      </c>
      <c r="C74" s="131">
        <v>67158.28</v>
      </c>
      <c r="E74" s="130">
        <v>71</v>
      </c>
      <c r="F74" s="131">
        <f>ROUND(B74/(1-tablas!$G$6),2)</f>
        <v>122667.85</v>
      </c>
      <c r="G74" s="131">
        <f>ROUND(C74/(1-tablas!$G$6),2)</f>
        <v>122105.96</v>
      </c>
      <c r="H74" s="131">
        <f>ROUND(B74/(1-tablas!$H$6),2)</f>
        <v>112445.53</v>
      </c>
      <c r="I74" s="131">
        <f>ROUND(C74/(1-tablas!$H$6),2)</f>
        <v>111930.47</v>
      </c>
      <c r="J74" s="131">
        <f>ROUND(B74/(1-tablas!$I$6),2)</f>
        <v>117334.47</v>
      </c>
      <c r="K74" s="131">
        <f>ROUND(C74/(1-tablas!$I$6),2)</f>
        <v>116797.01</v>
      </c>
      <c r="M74" s="70">
        <v>14</v>
      </c>
      <c r="N74" s="149">
        <v>3386.76</v>
      </c>
    </row>
    <row r="75" spans="1:14" ht="15" customHeight="1" x14ac:dyDescent="0.25">
      <c r="A75" s="130">
        <v>72</v>
      </c>
      <c r="B75" s="131">
        <v>73225.009999999995</v>
      </c>
      <c r="C75" s="131">
        <v>72782.990000000005</v>
      </c>
      <c r="E75" s="130">
        <v>72</v>
      </c>
      <c r="F75" s="131">
        <f>ROUND(B75/(1-tablas!$G$6),2)</f>
        <v>133136.38</v>
      </c>
      <c r="G75" s="131">
        <f>ROUND(C75/(1-tablas!$G$6),2)</f>
        <v>132332.71</v>
      </c>
      <c r="H75" s="131">
        <f>ROUND(B75/(1-tablas!$H$6),2)</f>
        <v>122041.68</v>
      </c>
      <c r="I75" s="131">
        <f>ROUND(C75/(1-tablas!$H$6),2)</f>
        <v>121304.98</v>
      </c>
      <c r="J75" s="131">
        <f>ROUND(B75/(1-tablas!$I$6),2)</f>
        <v>127347.84</v>
      </c>
      <c r="K75" s="131">
        <f>ROUND(C75/(1-tablas!$I$6),2)</f>
        <v>126579.11</v>
      </c>
      <c r="M75" s="70">
        <v>14.5</v>
      </c>
      <c r="N75" s="149">
        <v>3610.65</v>
      </c>
    </row>
    <row r="76" spans="1:14" ht="15" customHeight="1" x14ac:dyDescent="0.25">
      <c r="A76" s="130">
        <v>73</v>
      </c>
      <c r="B76" s="131">
        <v>79475.39</v>
      </c>
      <c r="C76" s="131">
        <v>78881.38</v>
      </c>
      <c r="E76" s="130">
        <v>73</v>
      </c>
      <c r="F76" s="131">
        <f>ROUND(B76/(1-tablas!$G$6),2)</f>
        <v>144500.71</v>
      </c>
      <c r="G76" s="131">
        <f>ROUND(C76/(1-tablas!$G$6),2)</f>
        <v>143420.69</v>
      </c>
      <c r="H76" s="131">
        <f>ROUND(B76/(1-tablas!$H$6),2)</f>
        <v>132458.98000000001</v>
      </c>
      <c r="I76" s="131">
        <f>ROUND(C76/(1-tablas!$H$6),2)</f>
        <v>131468.97</v>
      </c>
      <c r="J76" s="131">
        <f>ROUND(B76/(1-tablas!$I$6),2)</f>
        <v>138218.07</v>
      </c>
      <c r="K76" s="131">
        <f>ROUND(C76/(1-tablas!$I$6),2)</f>
        <v>137185.01</v>
      </c>
      <c r="M76" s="70">
        <v>14.7</v>
      </c>
      <c r="N76" s="149">
        <v>3610.65</v>
      </c>
    </row>
    <row r="77" spans="1:14" ht="15" customHeight="1" x14ac:dyDescent="0.25">
      <c r="A77" s="130">
        <v>74</v>
      </c>
      <c r="B77" s="131">
        <v>86262.77</v>
      </c>
      <c r="C77" s="131">
        <v>85496.52</v>
      </c>
      <c r="E77" s="130">
        <v>74</v>
      </c>
      <c r="F77" s="131">
        <f>ROUND(B77/(1-tablas!$G$6),2)</f>
        <v>156841.4</v>
      </c>
      <c r="G77" s="131">
        <f>ROUND(C77/(1-tablas!$G$6),2)</f>
        <v>155448.22</v>
      </c>
      <c r="H77" s="131">
        <f>ROUND(B77/(1-tablas!$H$6),2)</f>
        <v>143771.28</v>
      </c>
      <c r="I77" s="131">
        <f>ROUND(C77/(1-tablas!$H$6),2)</f>
        <v>142494.20000000001</v>
      </c>
      <c r="J77" s="131">
        <f>ROUND(B77/(1-tablas!$I$6),2)</f>
        <v>150022.21</v>
      </c>
      <c r="K77" s="131">
        <f>ROUND(C77/(1-tablas!$I$6),2)</f>
        <v>148689.60000000001</v>
      </c>
      <c r="M77" s="70">
        <v>15</v>
      </c>
      <c r="N77" s="149">
        <v>3610.65</v>
      </c>
    </row>
    <row r="78" spans="1:14" ht="15" customHeight="1" x14ac:dyDescent="0.25">
      <c r="A78" s="130">
        <v>75</v>
      </c>
      <c r="B78" s="131">
        <v>91979.3</v>
      </c>
      <c r="C78" s="131">
        <v>90163.08</v>
      </c>
      <c r="E78" s="130">
        <v>75</v>
      </c>
      <c r="F78" s="131">
        <f>ROUND(B78/(1-tablas!$G$6),2)</f>
        <v>167235.09</v>
      </c>
      <c r="G78" s="131">
        <f>ROUND(C78/(1-tablas!$G$6),2)</f>
        <v>163932.87</v>
      </c>
      <c r="H78" s="131">
        <f>ROUND(B78/(1-tablas!$H$6),2)</f>
        <v>153298.82999999999</v>
      </c>
      <c r="I78" s="131">
        <f>ROUND(C78/(1-tablas!$H$6),2)</f>
        <v>150271.79999999999</v>
      </c>
      <c r="J78" s="131">
        <f>ROUND(B78/(1-tablas!$I$6),2)</f>
        <v>159964</v>
      </c>
      <c r="K78" s="131">
        <f>ROUND(C78/(1-tablas!$I$6),2)</f>
        <v>156805.35999999999</v>
      </c>
      <c r="M78" s="70">
        <v>15.3</v>
      </c>
      <c r="N78" s="149">
        <v>3834.53</v>
      </c>
    </row>
    <row r="79" spans="1:14" ht="15" customHeight="1" x14ac:dyDescent="0.25">
      <c r="A79" s="130">
        <v>76</v>
      </c>
      <c r="B79" s="131">
        <v>98077.06</v>
      </c>
      <c r="C79" s="131">
        <v>95084.22</v>
      </c>
      <c r="E79" s="130">
        <v>76</v>
      </c>
      <c r="F79" s="131">
        <f>ROUND(B79/(1-tablas!$G$6),2)</f>
        <v>178321.93</v>
      </c>
      <c r="G79" s="131">
        <f>ROUND(C79/(1-tablas!$G$6),2)</f>
        <v>172880.4</v>
      </c>
      <c r="H79" s="131">
        <f>ROUND(B79/(1-tablas!$H$6),2)</f>
        <v>163461.76999999999</v>
      </c>
      <c r="I79" s="131">
        <f>ROUND(C79/(1-tablas!$H$6),2)</f>
        <v>158473.70000000001</v>
      </c>
      <c r="J79" s="131">
        <f>ROUND(B79/(1-tablas!$I$6),2)</f>
        <v>170568.8</v>
      </c>
      <c r="K79" s="131">
        <f>ROUND(C79/(1-tablas!$I$6),2)</f>
        <v>165363.85999999999</v>
      </c>
      <c r="M79" s="70">
        <v>15.5</v>
      </c>
      <c r="N79" s="149">
        <v>3834.53</v>
      </c>
    </row>
    <row r="80" spans="1:14" ht="15" customHeight="1" x14ac:dyDescent="0.25">
      <c r="A80" s="130">
        <v>77</v>
      </c>
      <c r="B80" s="131">
        <v>104584.54</v>
      </c>
      <c r="C80" s="131">
        <v>100268.17</v>
      </c>
      <c r="E80" s="130">
        <v>77</v>
      </c>
      <c r="F80" s="131">
        <f>ROUND(B80/(1-tablas!$G$6),2)</f>
        <v>190153.71</v>
      </c>
      <c r="G80" s="131">
        <f>ROUND(C80/(1-tablas!$G$6),2)</f>
        <v>182305.76</v>
      </c>
      <c r="H80" s="131">
        <f>ROUND(B80/(1-tablas!$H$6),2)</f>
        <v>174307.57</v>
      </c>
      <c r="I80" s="131">
        <f>ROUND(C80/(1-tablas!$H$6),2)</f>
        <v>167113.62</v>
      </c>
      <c r="J80" s="131">
        <f>ROUND(B80/(1-tablas!$I$6),2)</f>
        <v>181886.16</v>
      </c>
      <c r="K80" s="131">
        <f>ROUND(C80/(1-tablas!$I$6),2)</f>
        <v>174379.43</v>
      </c>
      <c r="M80" s="70">
        <v>16</v>
      </c>
      <c r="N80" s="149">
        <v>3834.53</v>
      </c>
    </row>
    <row r="81" spans="1:14" ht="15" customHeight="1" x14ac:dyDescent="0.25">
      <c r="A81" s="130">
        <v>78</v>
      </c>
      <c r="B81" s="131">
        <v>111516.31</v>
      </c>
      <c r="C81" s="131">
        <v>105743.42</v>
      </c>
      <c r="E81" s="130">
        <v>78</v>
      </c>
      <c r="F81" s="131">
        <f>ROUND(B81/(1-tablas!$G$6),2)</f>
        <v>202756.93</v>
      </c>
      <c r="G81" s="131">
        <f>ROUND(C81/(1-tablas!$G$6),2)</f>
        <v>192260.76</v>
      </c>
      <c r="H81" s="131">
        <f>ROUND(B81/(1-tablas!$H$6),2)</f>
        <v>185860.52</v>
      </c>
      <c r="I81" s="131">
        <f>ROUND(C81/(1-tablas!$H$6),2)</f>
        <v>176239.03</v>
      </c>
      <c r="J81" s="131">
        <f>ROUND(B81/(1-tablas!$I$6),2)</f>
        <v>193941.41</v>
      </c>
      <c r="K81" s="131">
        <f>ROUND(C81/(1-tablas!$I$6),2)</f>
        <v>183901.6</v>
      </c>
      <c r="M81" s="70">
        <v>16.3</v>
      </c>
      <c r="N81" s="149">
        <v>4058.42</v>
      </c>
    </row>
    <row r="82" spans="1:14" ht="15" customHeight="1" x14ac:dyDescent="0.25">
      <c r="A82" s="130">
        <v>79</v>
      </c>
      <c r="B82" s="131">
        <v>118915.44</v>
      </c>
      <c r="C82" s="131">
        <v>111506.81</v>
      </c>
      <c r="E82" s="130">
        <v>79</v>
      </c>
      <c r="F82" s="131">
        <f>ROUND(B82/(1-tablas!$G$6),2)</f>
        <v>216209.89</v>
      </c>
      <c r="G82" s="131">
        <f>ROUND(C82/(1-tablas!$G$6),2)</f>
        <v>202739.65</v>
      </c>
      <c r="H82" s="131">
        <f>ROUND(B82/(1-tablas!$H$6),2)</f>
        <v>198192.4</v>
      </c>
      <c r="I82" s="131">
        <f>ROUND(C82/(1-tablas!$H$6),2)</f>
        <v>185844.68</v>
      </c>
      <c r="J82" s="131">
        <f>ROUND(B82/(1-tablas!$I$6),2)</f>
        <v>206809.46</v>
      </c>
      <c r="K82" s="131">
        <f>ROUND(C82/(1-tablas!$I$6),2)</f>
        <v>193924.89</v>
      </c>
      <c r="M82" s="70">
        <v>17.2</v>
      </c>
      <c r="N82" s="149">
        <v>4282.3</v>
      </c>
    </row>
    <row r="83" spans="1:14" ht="15" customHeight="1" x14ac:dyDescent="0.25">
      <c r="A83" s="130">
        <v>80</v>
      </c>
      <c r="B83" s="131">
        <v>123697.9</v>
      </c>
      <c r="C83" s="131">
        <v>115702.23</v>
      </c>
      <c r="E83" s="130">
        <v>80</v>
      </c>
      <c r="F83" s="131">
        <f>ROUND(B83/(1-tablas!$G$6),2)</f>
        <v>224905.27</v>
      </c>
      <c r="G83" s="131">
        <f>ROUND(C83/(1-tablas!$G$6),2)</f>
        <v>210367.69</v>
      </c>
      <c r="H83" s="131">
        <f>ROUND(B83/(1-tablas!$H$6),2)</f>
        <v>206163.17</v>
      </c>
      <c r="I83" s="131">
        <f>ROUND(C83/(1-tablas!$H$6),2)</f>
        <v>192837.05</v>
      </c>
      <c r="J83" s="225">
        <f>ROUND(B83/(1-tablas!$I$6),2)</f>
        <v>215126.78</v>
      </c>
      <c r="K83" s="225">
        <f>ROUND(C83/(1-tablas!$I$6),2)</f>
        <v>201221.27</v>
      </c>
      <c r="M83" s="70">
        <v>18</v>
      </c>
      <c r="N83" s="149">
        <v>4282.3</v>
      </c>
    </row>
    <row r="84" spans="1:14" ht="15" customHeight="1" x14ac:dyDescent="0.25">
      <c r="A84" s="130">
        <v>81</v>
      </c>
      <c r="B84" s="131">
        <v>128678.56</v>
      </c>
      <c r="C84" s="131">
        <v>120051.53</v>
      </c>
      <c r="E84" s="130">
        <v>81</v>
      </c>
      <c r="F84" s="131">
        <f>ROUND(B84/(1-tablas!$G$6),2)</f>
        <v>233961.02</v>
      </c>
      <c r="G84" s="131">
        <f>ROUND(C84/(1-tablas!$G$6),2)</f>
        <v>218275.51</v>
      </c>
      <c r="H84" s="131">
        <f>ROUND(B84/(1-tablas!$H$6),2)</f>
        <v>214464.27</v>
      </c>
      <c r="I84" s="131">
        <f>ROUND(C84/(1-tablas!$H$6),2)</f>
        <v>200085.88</v>
      </c>
      <c r="J84" s="131">
        <f>ROUND(B84/(1-tablas!$I$6),2)</f>
        <v>223788.79999999999</v>
      </c>
      <c r="K84" s="131">
        <f>ROUND(C84/(1-tablas!$I$6),2)</f>
        <v>208785.27</v>
      </c>
      <c r="M84" s="70">
        <v>18.2</v>
      </c>
      <c r="N84" s="149">
        <v>4506.1899999999996</v>
      </c>
    </row>
    <row r="85" spans="1:14" ht="15" customHeight="1" x14ac:dyDescent="0.25">
      <c r="A85" s="130">
        <v>82</v>
      </c>
      <c r="B85" s="131">
        <v>133873.28</v>
      </c>
      <c r="C85" s="131">
        <v>124567.38</v>
      </c>
      <c r="E85" s="130">
        <v>82</v>
      </c>
      <c r="F85" s="131">
        <f>ROUND(B85/(1-tablas!$G$6),2)</f>
        <v>243405.96</v>
      </c>
      <c r="G85" s="131">
        <f>ROUND(C85/(1-tablas!$G$6),2)</f>
        <v>226486.15</v>
      </c>
      <c r="H85" s="131">
        <f>ROUND(B85/(1-tablas!$H$6),2)</f>
        <v>223122.13</v>
      </c>
      <c r="I85" s="131">
        <f>ROUND(C85/(1-tablas!$H$6),2)</f>
        <v>207612.3</v>
      </c>
      <c r="J85" s="131">
        <f>ROUND(B85/(1-tablas!$I$6),2)</f>
        <v>232823.1</v>
      </c>
      <c r="K85" s="131">
        <f>ROUND(C85/(1-tablas!$I$6),2)</f>
        <v>216638.92</v>
      </c>
      <c r="M85" s="70">
        <v>19.100000000000001</v>
      </c>
      <c r="N85" s="149">
        <v>4730.08</v>
      </c>
    </row>
    <row r="86" spans="1:14" ht="15" customHeight="1" thickBot="1" x14ac:dyDescent="0.3">
      <c r="A86" s="130">
        <v>83</v>
      </c>
      <c r="B86" s="131">
        <v>139265.57</v>
      </c>
      <c r="C86" s="131">
        <v>129252.31</v>
      </c>
      <c r="E86" s="130">
        <v>83</v>
      </c>
      <c r="F86" s="131">
        <f>ROUND(B86/(1-tablas!$G$6),2)</f>
        <v>253210.13</v>
      </c>
      <c r="G86" s="131">
        <f>ROUND(C86/(1-tablas!$G$6),2)</f>
        <v>235004.2</v>
      </c>
      <c r="H86" s="131">
        <f>ROUND(B86/(1-tablas!$H$6),2)</f>
        <v>232109.28</v>
      </c>
      <c r="I86" s="131">
        <f>ROUND(C86/(1-tablas!$H$6),2)</f>
        <v>215420.52</v>
      </c>
      <c r="J86" s="131">
        <f>ROUND(B86/(1-tablas!$I$6),2)</f>
        <v>242200.99</v>
      </c>
      <c r="K86" s="131">
        <f>ROUND(C86/(1-tablas!$I$6),2)</f>
        <v>224786.63</v>
      </c>
      <c r="M86" s="122">
        <v>20</v>
      </c>
      <c r="N86" s="162">
        <v>4730.08</v>
      </c>
    </row>
    <row r="87" spans="1:14" ht="15" customHeight="1" x14ac:dyDescent="0.25">
      <c r="A87" s="130">
        <v>84</v>
      </c>
      <c r="B87" s="131">
        <v>144872.54</v>
      </c>
      <c r="C87" s="131">
        <v>134112.01999999999</v>
      </c>
      <c r="E87" s="130">
        <v>84</v>
      </c>
      <c r="F87" s="131">
        <f>ROUND(B87/(1-tablas!$G$6),2)</f>
        <v>263404.62</v>
      </c>
      <c r="G87" s="131">
        <f>ROUND(C87/(1-tablas!$G$6),2)</f>
        <v>243840.04</v>
      </c>
      <c r="H87" s="131">
        <f>ROUND(B87/(1-tablas!$H$6),2)</f>
        <v>241454.23</v>
      </c>
      <c r="I87" s="131">
        <f>ROUND(C87/(1-tablas!$H$6),2)</f>
        <v>223520.03</v>
      </c>
      <c r="J87" s="131">
        <f>ROUND(B87/(1-tablas!$I$6),2)</f>
        <v>251952.24</v>
      </c>
      <c r="K87" s="131">
        <f>ROUND(C87/(1-tablas!$I$6),2)</f>
        <v>233238.3</v>
      </c>
    </row>
    <row r="88" spans="1:14" ht="15" customHeight="1" x14ac:dyDescent="0.25">
      <c r="A88" s="130">
        <v>85</v>
      </c>
      <c r="B88" s="131">
        <v>153402.06</v>
      </c>
      <c r="C88" s="131">
        <v>141618.17000000001</v>
      </c>
      <c r="E88" s="130">
        <v>85</v>
      </c>
      <c r="F88" s="131">
        <f>ROUND(B88/(1-tablas!$G$6),2)</f>
        <v>278912.84000000003</v>
      </c>
      <c r="G88" s="131">
        <f>ROUND(C88/(1-tablas!$G$6),2)</f>
        <v>257487.58</v>
      </c>
      <c r="H88" s="131">
        <f>ROUND(B88/(1-tablas!$H$6),2)</f>
        <v>255670.1</v>
      </c>
      <c r="I88" s="131">
        <f>ROUND(C88/(1-tablas!$H$6),2)</f>
        <v>236030.28</v>
      </c>
      <c r="J88" s="131">
        <f>ROUND(B88/(1-tablas!$I$6),2)</f>
        <v>266786.19</v>
      </c>
      <c r="K88" s="131">
        <f>ROUND(C88/(1-tablas!$I$6),2)</f>
        <v>246292.47</v>
      </c>
    </row>
    <row r="89" spans="1:14" ht="15" customHeight="1" x14ac:dyDescent="0.25">
      <c r="A89" s="130">
        <v>86</v>
      </c>
      <c r="B89" s="131">
        <v>162423.62</v>
      </c>
      <c r="C89" s="131">
        <v>149537.84</v>
      </c>
      <c r="E89" s="130">
        <v>86</v>
      </c>
      <c r="F89" s="131">
        <f>ROUND(B89/(1-tablas!$G$6),2)</f>
        <v>295315.67</v>
      </c>
      <c r="G89" s="131">
        <f>ROUND(C89/(1-tablas!$G$6),2)</f>
        <v>271886.98</v>
      </c>
      <c r="H89" s="131">
        <f>ROUND(B89/(1-tablas!$H$6),2)</f>
        <v>270706.03000000003</v>
      </c>
      <c r="I89" s="131">
        <f>ROUND(C89/(1-tablas!$H$6),2)</f>
        <v>249229.73</v>
      </c>
      <c r="J89" s="131">
        <f>ROUND(B89/(1-tablas!$I$6),2)</f>
        <v>282475.86</v>
      </c>
      <c r="K89" s="131">
        <f>ROUND(C89/(1-tablas!$I$6),2)</f>
        <v>260065.81</v>
      </c>
    </row>
    <row r="90" spans="1:14" ht="15" customHeight="1" x14ac:dyDescent="0.25">
      <c r="A90" s="130">
        <v>87</v>
      </c>
      <c r="B90" s="131">
        <v>171983.47</v>
      </c>
      <c r="C90" s="131">
        <v>157895.10999999999</v>
      </c>
      <c r="E90" s="130">
        <v>87</v>
      </c>
      <c r="F90" s="131">
        <f>ROUND(B90/(1-tablas!$G$6),2)</f>
        <v>312697.21999999997</v>
      </c>
      <c r="G90" s="131">
        <f>ROUND(C90/(1-tablas!$G$6),2)</f>
        <v>287082.02</v>
      </c>
      <c r="H90" s="131">
        <f>ROUND(B90/(1-tablas!$H$6),2)</f>
        <v>286639.12</v>
      </c>
      <c r="I90" s="131">
        <f>ROUND(C90/(1-tablas!$H$6),2)</f>
        <v>263158.52</v>
      </c>
      <c r="J90" s="131">
        <f>ROUND(B90/(1-tablas!$I$6),2)</f>
        <v>299101.69</v>
      </c>
      <c r="K90" s="131">
        <f>ROUND(C90/(1-tablas!$I$6),2)</f>
        <v>274600.19</v>
      </c>
    </row>
    <row r="91" spans="1:14" ht="15" customHeight="1" x14ac:dyDescent="0.25">
      <c r="A91" s="130">
        <v>88</v>
      </c>
      <c r="B91" s="131">
        <v>182108.19</v>
      </c>
      <c r="C91" s="131">
        <v>166722.89000000001</v>
      </c>
      <c r="E91" s="130">
        <v>88</v>
      </c>
      <c r="F91" s="131">
        <f>ROUND(B91/(1-tablas!$G$6),2)</f>
        <v>331105.8</v>
      </c>
      <c r="G91" s="131">
        <f>ROUND(C91/(1-tablas!$G$6),2)</f>
        <v>303132.53000000003</v>
      </c>
      <c r="H91" s="131">
        <f>ROUND(B91/(1-tablas!$H$6),2)</f>
        <v>303513.65000000002</v>
      </c>
      <c r="I91" s="131">
        <f>ROUND(C91/(1-tablas!$H$6),2)</f>
        <v>277871.48</v>
      </c>
      <c r="J91" s="131">
        <f>ROUND(B91/(1-tablas!$I$6),2)</f>
        <v>316709.90000000002</v>
      </c>
      <c r="K91" s="131">
        <f>ROUND(C91/(1-tablas!$I$6),2)</f>
        <v>289952.84999999998</v>
      </c>
    </row>
    <row r="92" spans="1:14" ht="15" customHeight="1" x14ac:dyDescent="0.25">
      <c r="A92" s="130">
        <v>89</v>
      </c>
      <c r="B92" s="131">
        <v>192817.42</v>
      </c>
      <c r="C92" s="131">
        <v>176043.36</v>
      </c>
      <c r="E92" s="130">
        <v>89</v>
      </c>
      <c r="F92" s="131">
        <f>ROUND(B92/(1-tablas!$G$6),2)</f>
        <v>350577.13</v>
      </c>
      <c r="G92" s="131">
        <f>ROUND(C92/(1-tablas!$G$6),2)</f>
        <v>320078.84000000003</v>
      </c>
      <c r="H92" s="131">
        <f>ROUND(B92/(1-tablas!$H$6),2)</f>
        <v>321362.37</v>
      </c>
      <c r="I92" s="131">
        <f>ROUND(C92/(1-tablas!$H$6),2)</f>
        <v>293405.59999999998</v>
      </c>
      <c r="J92" s="131">
        <f>ROUND(B92/(1-tablas!$I$6),2)</f>
        <v>335334.64</v>
      </c>
      <c r="K92" s="131">
        <f>ROUND(C92/(1-tablas!$I$6),2)</f>
        <v>306162.37</v>
      </c>
    </row>
    <row r="93" spans="1:14" ht="15" customHeight="1" x14ac:dyDescent="0.25">
      <c r="A93" s="130">
        <v>90</v>
      </c>
      <c r="B93" s="131">
        <v>204168.78</v>
      </c>
      <c r="C93" s="131">
        <v>185817.25</v>
      </c>
      <c r="E93" s="130">
        <v>90</v>
      </c>
      <c r="F93" s="131">
        <f>ROUND(B93/(1-tablas!$G$6),2)</f>
        <v>371215.96</v>
      </c>
      <c r="G93" s="131">
        <f>ROUND(C93/(1-tablas!$G$6),2)</f>
        <v>337849.55</v>
      </c>
      <c r="H93" s="131">
        <f>ROUND(B93/(1-tablas!$H$6),2)</f>
        <v>340281.3</v>
      </c>
      <c r="I93" s="131">
        <f>ROUND(C93/(1-tablas!$H$6),2)</f>
        <v>309695.42</v>
      </c>
      <c r="J93" s="225">
        <f>ROUND(B93/(1-tablas!$I$6),2)</f>
        <v>355076.14</v>
      </c>
      <c r="K93" s="225">
        <f>ROUND(C93/(1-tablas!$I$6),2)</f>
        <v>323160.43</v>
      </c>
    </row>
    <row r="94" spans="1:14" ht="15" customHeight="1" x14ac:dyDescent="0.25">
      <c r="A94" s="130">
        <v>91</v>
      </c>
      <c r="B94" s="131">
        <v>216203.44</v>
      </c>
      <c r="C94" s="131">
        <v>196124.35</v>
      </c>
      <c r="E94" s="130">
        <v>91</v>
      </c>
      <c r="F94" s="131">
        <f>ROUND(B94/(1-tablas!$G$6),2)</f>
        <v>393097.16</v>
      </c>
      <c r="G94" s="131">
        <f>ROUND(C94/(1-tablas!$G$6),2)</f>
        <v>356589.73</v>
      </c>
      <c r="H94" s="131">
        <f>ROUND(B94/(1-tablas!$H$6),2)</f>
        <v>360339.07</v>
      </c>
      <c r="I94" s="131">
        <f>ROUND(C94/(1-tablas!$H$6),2)</f>
        <v>326873.92</v>
      </c>
      <c r="J94" s="131">
        <f>ROUND(B94/(1-tablas!$I$6),2)</f>
        <v>376005.98</v>
      </c>
      <c r="K94" s="131">
        <f>ROUND(C94/(1-tablas!$I$6),2)</f>
        <v>341085.83</v>
      </c>
    </row>
    <row r="95" spans="1:14" ht="15" customHeight="1" x14ac:dyDescent="0.25">
      <c r="A95" s="130">
        <v>92</v>
      </c>
      <c r="B95" s="131">
        <v>228932.8</v>
      </c>
      <c r="C95" s="131">
        <v>207014.7</v>
      </c>
      <c r="E95" s="130">
        <v>92</v>
      </c>
      <c r="F95" s="131">
        <f>ROUND(B95/(1-tablas!$G$6),2)</f>
        <v>416241.45</v>
      </c>
      <c r="G95" s="131">
        <f>ROUND(C95/(1-tablas!$G$6),2)</f>
        <v>376390.36</v>
      </c>
      <c r="H95" s="131">
        <f>ROUND(B95/(1-tablas!$H$6),2)</f>
        <v>381554.67</v>
      </c>
      <c r="I95" s="131">
        <f>ROUND(C95/(1-tablas!$H$6),2)</f>
        <v>345024.5</v>
      </c>
      <c r="J95" s="131">
        <f>ROUND(B95/(1-tablas!$I$6),2)</f>
        <v>398144</v>
      </c>
      <c r="K95" s="131">
        <f>ROUND(C95/(1-tablas!$I$6),2)</f>
        <v>360025.57</v>
      </c>
    </row>
    <row r="96" spans="1:14" ht="15" customHeight="1" x14ac:dyDescent="0.25">
      <c r="A96" s="130">
        <v>93</v>
      </c>
      <c r="B96" s="131">
        <v>242409.42</v>
      </c>
      <c r="C96" s="131">
        <v>218495.88</v>
      </c>
      <c r="E96" s="130">
        <v>93</v>
      </c>
      <c r="F96" s="131">
        <f>ROUND(B96/(1-tablas!$G$6),2)</f>
        <v>440744.4</v>
      </c>
      <c r="G96" s="131">
        <f>ROUND(C96/(1-tablas!$G$6),2)</f>
        <v>397265.24</v>
      </c>
      <c r="H96" s="131">
        <f>ROUND(B96/(1-tablas!$H$6),2)</f>
        <v>404015.7</v>
      </c>
      <c r="I96" s="131">
        <f>ROUND(C96/(1-tablas!$H$6),2)</f>
        <v>364159.8</v>
      </c>
      <c r="J96" s="131">
        <f>ROUND(B96/(1-tablas!$I$6),2)</f>
        <v>421581.6</v>
      </c>
      <c r="K96" s="131">
        <f>ROUND(C96/(1-tablas!$I$6),2)</f>
        <v>379992.83</v>
      </c>
    </row>
    <row r="97" spans="1:11" ht="15" customHeight="1" x14ac:dyDescent="0.25">
      <c r="A97" s="130">
        <v>94</v>
      </c>
      <c r="B97" s="131">
        <v>256700.43</v>
      </c>
      <c r="C97" s="131">
        <v>230613.5</v>
      </c>
      <c r="E97" s="130">
        <v>94</v>
      </c>
      <c r="F97" s="131">
        <f>ROUND(B97/(1-tablas!$G$6),2)</f>
        <v>466728.05</v>
      </c>
      <c r="G97" s="131">
        <f>ROUND(C97/(1-tablas!$G$6),2)</f>
        <v>419297.27</v>
      </c>
      <c r="H97" s="131">
        <f>ROUND(B97/(1-tablas!$H$6),2)</f>
        <v>427834.05</v>
      </c>
      <c r="I97" s="131">
        <f>ROUND(C97/(1-tablas!$H$6),2)</f>
        <v>384355.83</v>
      </c>
      <c r="J97" s="131">
        <f>ROUND(B97/(1-tablas!$I$6),2)</f>
        <v>446435.53</v>
      </c>
      <c r="K97" s="131">
        <f>ROUND(C97/(1-tablas!$I$6),2)</f>
        <v>401066.96</v>
      </c>
    </row>
    <row r="98" spans="1:11" ht="15" customHeight="1" x14ac:dyDescent="0.25">
      <c r="A98" s="130">
        <v>95</v>
      </c>
      <c r="B98" s="131">
        <v>271830.51</v>
      </c>
      <c r="C98" s="131">
        <v>243261.8</v>
      </c>
      <c r="E98" s="130">
        <v>95</v>
      </c>
      <c r="F98" s="131">
        <f>ROUND(B98/(1-tablas!$G$6),2)</f>
        <v>494237.29</v>
      </c>
      <c r="G98" s="131">
        <f>ROUND(C98/(1-tablas!$G$6),2)</f>
        <v>442294.18</v>
      </c>
      <c r="H98" s="131">
        <f>ROUND(B98/(1-tablas!$H$6),2)</f>
        <v>453050.85</v>
      </c>
      <c r="I98" s="131">
        <f>ROUND(C98/(1-tablas!$H$6),2)</f>
        <v>405436.33</v>
      </c>
      <c r="J98" s="131">
        <f>ROUND(B98/(1-tablas!$I$6),2)</f>
        <v>472748.71</v>
      </c>
      <c r="K98" s="131">
        <f>ROUND(C98/(1-tablas!$I$6),2)</f>
        <v>423064</v>
      </c>
    </row>
    <row r="99" spans="1:11" ht="15" customHeight="1" x14ac:dyDescent="0.25">
      <c r="A99" s="130">
        <v>96</v>
      </c>
      <c r="B99" s="131">
        <v>287859.21000000002</v>
      </c>
      <c r="C99" s="131">
        <v>256599.74</v>
      </c>
      <c r="E99" s="130">
        <v>96</v>
      </c>
      <c r="F99" s="131">
        <f>ROUND(B99/(1-tablas!$G$6),2)</f>
        <v>523380.38</v>
      </c>
      <c r="G99" s="131">
        <f>ROUND(C99/(1-tablas!$G$6),2)</f>
        <v>466544.98</v>
      </c>
      <c r="H99" s="131">
        <f>ROUND(B99/(1-tablas!$H$6),2)</f>
        <v>479765.35</v>
      </c>
      <c r="I99" s="131">
        <f>ROUND(C99/(1-tablas!$H$6),2)</f>
        <v>427666.23</v>
      </c>
      <c r="J99" s="131">
        <f>ROUND(B99/(1-tablas!$I$6),2)</f>
        <v>500624.71</v>
      </c>
      <c r="K99" s="131">
        <f>ROUND(C99/(1-tablas!$I$6),2)</f>
        <v>446260.42</v>
      </c>
    </row>
    <row r="100" spans="1:11" ht="15" customHeight="1" x14ac:dyDescent="0.25">
      <c r="A100" s="130">
        <v>97</v>
      </c>
      <c r="B100" s="131">
        <v>304840.34999999998</v>
      </c>
      <c r="C100" s="131">
        <v>270672.26</v>
      </c>
      <c r="E100" s="130">
        <v>97</v>
      </c>
      <c r="F100" s="131">
        <f>ROUND(B100/(1-tablas!$G$6),2)</f>
        <v>554255.18000000005</v>
      </c>
      <c r="G100" s="131">
        <f>ROUND(C100/(1-tablas!$G$6),2)</f>
        <v>492131.38</v>
      </c>
      <c r="H100" s="131">
        <f>ROUND(B100/(1-tablas!$H$6),2)</f>
        <v>508067.25</v>
      </c>
      <c r="I100" s="131">
        <f>ROUND(C100/(1-tablas!$H$6),2)</f>
        <v>451120.43</v>
      </c>
      <c r="J100" s="131">
        <f>ROUND(B100/(1-tablas!$I$6),2)</f>
        <v>530157.13</v>
      </c>
      <c r="K100" s="131">
        <f>ROUND(C100/(1-tablas!$I$6),2)</f>
        <v>470734.37</v>
      </c>
    </row>
    <row r="101" spans="1:11" ht="15" customHeight="1" x14ac:dyDescent="0.25">
      <c r="A101" s="130">
        <v>98</v>
      </c>
      <c r="B101" s="131">
        <v>322828.38</v>
      </c>
      <c r="C101" s="131">
        <v>285515.48</v>
      </c>
      <c r="E101" s="130">
        <v>98</v>
      </c>
      <c r="F101" s="131">
        <f>ROUND(B101/(1-tablas!$G$6),2)</f>
        <v>586960.68999999994</v>
      </c>
      <c r="G101" s="131">
        <f>ROUND(C101/(1-tablas!$G$6),2)</f>
        <v>519119.05</v>
      </c>
      <c r="H101" s="131">
        <f>ROUND(B101/(1-tablas!$H$6),2)</f>
        <v>538047.30000000005</v>
      </c>
      <c r="I101" s="131">
        <f>ROUND(C101/(1-tablas!$H$6),2)</f>
        <v>475859.13</v>
      </c>
      <c r="J101" s="131">
        <f>ROUND(B101/(1-tablas!$I$6),2)</f>
        <v>561440.66</v>
      </c>
      <c r="K101" s="131">
        <f>ROUND(C101/(1-tablas!$I$6),2)</f>
        <v>496548.66</v>
      </c>
    </row>
    <row r="102" spans="1:11" ht="15" customHeight="1" x14ac:dyDescent="0.25">
      <c r="A102" s="130">
        <v>99</v>
      </c>
      <c r="B102" s="131">
        <v>322828.38</v>
      </c>
      <c r="C102" s="131">
        <v>285515.48</v>
      </c>
      <c r="E102" s="130">
        <v>99</v>
      </c>
      <c r="F102" s="131">
        <f>ROUND(B102/(1-tablas!$G$6),2)</f>
        <v>586960.68999999994</v>
      </c>
      <c r="G102" s="131">
        <f>ROUND(C102/(1-tablas!$G$6),2)</f>
        <v>519119.05</v>
      </c>
      <c r="H102" s="131">
        <f>ROUND(B102/(1-tablas!$H$6),2)</f>
        <v>538047.30000000005</v>
      </c>
      <c r="I102" s="131">
        <f>ROUND(C102/(1-tablas!$H$6),2)</f>
        <v>475859.13</v>
      </c>
      <c r="J102" s="131">
        <f>ROUND(B102/(1-tablas!$I$6),2)</f>
        <v>561440.66</v>
      </c>
      <c r="K102" s="131">
        <f>ROUND(C102/(1-tablas!$I$6),2)</f>
        <v>496548.66</v>
      </c>
    </row>
    <row r="103" spans="1:11" ht="15" customHeight="1" thickBot="1" x14ac:dyDescent="0.3">
      <c r="A103" s="163">
        <v>100</v>
      </c>
      <c r="B103" s="164">
        <v>322828.38</v>
      </c>
      <c r="C103" s="164">
        <v>285515.48</v>
      </c>
      <c r="E103" s="163">
        <v>100</v>
      </c>
      <c r="F103" s="164">
        <f>ROUND(B103/(1-tablas!$G$6),2)</f>
        <v>586960.68999999994</v>
      </c>
      <c r="G103" s="164">
        <f>ROUND(C103/(1-tablas!$G$6),2)</f>
        <v>519119.05</v>
      </c>
      <c r="H103" s="164">
        <f>ROUND(B103/(1-tablas!$H$6),2)</f>
        <v>538047.30000000005</v>
      </c>
      <c r="I103" s="164">
        <f>ROUND(C103/(1-tablas!$H$6),2)</f>
        <v>475859.13</v>
      </c>
      <c r="J103" s="164">
        <f>ROUND(B103/(1-tablas!$I$6),2)</f>
        <v>561440.66</v>
      </c>
      <c r="K103" s="164">
        <f>ROUND(C103/(1-tablas!$I$6),2)</f>
        <v>496548.66</v>
      </c>
    </row>
  </sheetData>
  <mergeCells count="9">
    <mergeCell ref="A1:C1"/>
    <mergeCell ref="M15:N15"/>
    <mergeCell ref="M9:N9"/>
    <mergeCell ref="E1:G1"/>
    <mergeCell ref="M1:N1"/>
    <mergeCell ref="P1:V1"/>
    <mergeCell ref="P2:V2"/>
    <mergeCell ref="H1:I1"/>
    <mergeCell ref="J1:K1"/>
  </mergeCells>
  <conditionalFormatting sqref="X4:Y4">
    <cfRule type="expression" dxfId="1" priority="2">
      <formula>$K$5=1</formula>
    </cfRule>
  </conditionalFormatting>
  <conditionalFormatting sqref="X15">
    <cfRule type="expression" dxfId="0" priority="1">
      <formula>$K$5=1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Y105"/>
  <sheetViews>
    <sheetView showGridLines="0" topLeftCell="A5" zoomScaleNormal="100" workbookViewId="0">
      <selection activeCell="D104" sqref="D104"/>
    </sheetView>
  </sheetViews>
  <sheetFormatPr baseColWidth="10" defaultColWidth="11.453125" defaultRowHeight="12.5" x14ac:dyDescent="0.25"/>
  <cols>
    <col min="1" max="5" width="5.7265625" style="13" customWidth="1"/>
    <col min="6" max="6" width="15.7265625" style="13" customWidth="1"/>
    <col min="7" max="8" width="10.7265625" style="13" customWidth="1"/>
    <col min="9" max="9" width="10.7265625" style="123" customWidth="1"/>
    <col min="10" max="11" width="10.7265625" style="13" customWidth="1"/>
    <col min="12" max="12" width="4.453125" style="13" bestFit="1" customWidth="1"/>
    <col min="13" max="13" width="9.26953125" style="13" customWidth="1"/>
    <col min="14" max="15" width="8" style="13" bestFit="1" customWidth="1"/>
    <col min="16" max="16" width="8" style="13" customWidth="1"/>
    <col min="17" max="17" width="9.81640625" style="13" customWidth="1"/>
    <col min="18" max="18" width="2.453125" style="13" customWidth="1"/>
    <col min="19" max="19" width="11.453125" style="13"/>
    <col min="20" max="20" width="5.26953125" style="13" customWidth="1"/>
    <col min="21" max="21" width="7.81640625" style="13" customWidth="1"/>
    <col min="22" max="25" width="6.54296875" style="119" bestFit="1" customWidth="1"/>
    <col min="26" max="26" width="11.453125" style="13"/>
    <col min="27" max="27" width="10.81640625" style="13" bestFit="1" customWidth="1"/>
    <col min="28" max="28" width="8.54296875" style="13" bestFit="1" customWidth="1"/>
    <col min="29" max="29" width="6.7265625" style="13" bestFit="1" customWidth="1"/>
    <col min="30" max="30" width="6.7265625" style="13" customWidth="1"/>
    <col min="31" max="16384" width="11.453125" style="13"/>
  </cols>
  <sheetData>
    <row r="1" spans="1:25" ht="12" customHeight="1" thickBot="1" x14ac:dyDescent="0.35">
      <c r="A1" s="367" t="s">
        <v>93</v>
      </c>
      <c r="B1" s="368"/>
      <c r="C1" s="368"/>
      <c r="D1" s="369"/>
      <c r="F1" s="370" t="s">
        <v>84</v>
      </c>
      <c r="G1" s="371"/>
      <c r="H1" s="371"/>
      <c r="I1" s="372"/>
      <c r="V1" s="13"/>
      <c r="W1" s="13"/>
      <c r="X1" s="13"/>
      <c r="Y1" s="13"/>
    </row>
    <row r="2" spans="1:25" ht="13.5" thickBot="1" x14ac:dyDescent="0.35">
      <c r="A2" s="165"/>
      <c r="B2" s="191" t="s">
        <v>140</v>
      </c>
      <c r="C2" s="192" t="s">
        <v>94</v>
      </c>
      <c r="D2" s="193" t="s">
        <v>95</v>
      </c>
      <c r="F2" s="175" t="s">
        <v>163</v>
      </c>
      <c r="G2" s="175" t="s">
        <v>144</v>
      </c>
      <c r="H2" s="175" t="s">
        <v>164</v>
      </c>
      <c r="I2" s="175" t="s">
        <v>165</v>
      </c>
      <c r="V2" s="13"/>
      <c r="W2" s="13"/>
      <c r="X2" s="13"/>
      <c r="Y2" s="13"/>
    </row>
    <row r="3" spans="1:25" x14ac:dyDescent="0.25">
      <c r="A3" s="168">
        <v>1</v>
      </c>
      <c r="B3" s="194" t="s">
        <v>96</v>
      </c>
      <c r="C3" s="169" t="s">
        <v>96</v>
      </c>
      <c r="D3" s="170">
        <v>2024</v>
      </c>
      <c r="F3" s="167" t="s">
        <v>71</v>
      </c>
      <c r="G3" s="187">
        <v>0.12</v>
      </c>
      <c r="H3" s="187">
        <v>0.12</v>
      </c>
      <c r="I3" s="187">
        <v>0.12</v>
      </c>
      <c r="V3" s="13"/>
      <c r="W3" s="13"/>
      <c r="X3" s="13"/>
      <c r="Y3" s="13"/>
    </row>
    <row r="4" spans="1:25" x14ac:dyDescent="0.25">
      <c r="A4" s="168">
        <f>A3+1</f>
        <v>2</v>
      </c>
      <c r="B4" s="194" t="s">
        <v>97</v>
      </c>
      <c r="C4" s="169" t="s">
        <v>97</v>
      </c>
      <c r="D4" s="170">
        <v>2023</v>
      </c>
      <c r="F4" s="172" t="s">
        <v>75</v>
      </c>
      <c r="G4" s="188">
        <v>0.1</v>
      </c>
      <c r="H4" s="188">
        <v>0.05</v>
      </c>
      <c r="I4" s="188">
        <v>7.4999999999999997E-2</v>
      </c>
      <c r="V4" s="13"/>
      <c r="W4" s="13"/>
      <c r="X4" s="13"/>
      <c r="Y4" s="13"/>
    </row>
    <row r="5" spans="1:25" ht="13" thickBot="1" x14ac:dyDescent="0.3">
      <c r="A5" s="168">
        <f t="shared" ref="A5:B20" si="0">A4+1</f>
        <v>3</v>
      </c>
      <c r="B5" s="194" t="s">
        <v>98</v>
      </c>
      <c r="C5" s="169" t="s">
        <v>98</v>
      </c>
      <c r="D5" s="170">
        <v>2022</v>
      </c>
      <c r="F5" s="174" t="s">
        <v>72</v>
      </c>
      <c r="G5" s="189">
        <v>0.23</v>
      </c>
      <c r="H5" s="189">
        <v>0.23</v>
      </c>
      <c r="I5" s="189">
        <v>0.23</v>
      </c>
      <c r="V5" s="13"/>
      <c r="W5" s="13"/>
      <c r="X5" s="13"/>
      <c r="Y5" s="13"/>
    </row>
    <row r="6" spans="1:25" ht="13" thickBot="1" x14ac:dyDescent="0.3">
      <c r="A6" s="168">
        <f t="shared" si="0"/>
        <v>4</v>
      </c>
      <c r="B6" s="194" t="s">
        <v>99</v>
      </c>
      <c r="C6" s="169" t="s">
        <v>99</v>
      </c>
      <c r="D6" s="170">
        <v>2021</v>
      </c>
      <c r="F6" s="174" t="s">
        <v>69</v>
      </c>
      <c r="G6" s="190">
        <f>SUM(G3:G5)</f>
        <v>0.45</v>
      </c>
      <c r="H6" s="190">
        <f>SUM(H3:H5)</f>
        <v>0.4</v>
      </c>
      <c r="I6" s="190">
        <f>SUM(I3:I5)</f>
        <v>0.42500000000000004</v>
      </c>
      <c r="V6" s="13"/>
      <c r="W6" s="13"/>
      <c r="X6" s="13"/>
      <c r="Y6" s="13"/>
    </row>
    <row r="7" spans="1:25" ht="14.5" x14ac:dyDescent="0.35">
      <c r="A7" s="168">
        <f t="shared" si="0"/>
        <v>5</v>
      </c>
      <c r="B7" s="194" t="s">
        <v>100</v>
      </c>
      <c r="C7" s="169" t="s">
        <v>100</v>
      </c>
      <c r="D7" s="170">
        <v>2020</v>
      </c>
      <c r="F7" s="219"/>
      <c r="G7" s="220"/>
      <c r="H7" s="221">
        <f>1-H6</f>
        <v>0.6</v>
      </c>
      <c r="I7" s="221">
        <f>1-I6</f>
        <v>0.57499999999999996</v>
      </c>
      <c r="J7" s="222">
        <f>H7/I7</f>
        <v>1.0434782608695652</v>
      </c>
      <c r="K7" s="223">
        <f>ROUND(J7*(0.6449/0.6227),6)</f>
        <v>1.0806800000000001</v>
      </c>
      <c r="V7" s="13"/>
      <c r="W7" s="13"/>
      <c r="X7" s="13"/>
      <c r="Y7" s="13"/>
    </row>
    <row r="8" spans="1:25" ht="13" thickBot="1" x14ac:dyDescent="0.3">
      <c r="A8" s="168">
        <f t="shared" si="0"/>
        <v>6</v>
      </c>
      <c r="B8" s="194" t="s">
        <v>101</v>
      </c>
      <c r="C8" s="169" t="s">
        <v>101</v>
      </c>
      <c r="D8" s="170">
        <v>2019</v>
      </c>
      <c r="V8" s="13"/>
      <c r="W8" s="13"/>
      <c r="X8" s="13"/>
      <c r="Y8" s="13"/>
    </row>
    <row r="9" spans="1:25" ht="13.5" thickBot="1" x14ac:dyDescent="0.35">
      <c r="A9" s="168">
        <f t="shared" si="0"/>
        <v>7</v>
      </c>
      <c r="B9" s="194" t="s">
        <v>102</v>
      </c>
      <c r="C9" s="169" t="s">
        <v>102</v>
      </c>
      <c r="D9" s="170">
        <v>2018</v>
      </c>
      <c r="F9" s="370" t="s">
        <v>56</v>
      </c>
      <c r="G9" s="372"/>
      <c r="I9" s="166" t="s">
        <v>92</v>
      </c>
      <c r="V9" s="13"/>
      <c r="W9" s="13"/>
      <c r="X9" s="13"/>
      <c r="Y9" s="13"/>
    </row>
    <row r="10" spans="1:25" ht="13.5" thickBot="1" x14ac:dyDescent="0.3">
      <c r="A10" s="168">
        <f t="shared" si="0"/>
        <v>8</v>
      </c>
      <c r="B10" s="194" t="s">
        <v>103</v>
      </c>
      <c r="C10" s="169" t="s">
        <v>103</v>
      </c>
      <c r="D10" s="170">
        <v>2017</v>
      </c>
      <c r="F10" s="175" t="s">
        <v>12</v>
      </c>
      <c r="G10" s="176" t="s">
        <v>30</v>
      </c>
      <c r="I10" s="171" t="s">
        <v>106</v>
      </c>
      <c r="V10" s="13"/>
      <c r="W10" s="13"/>
      <c r="X10" s="13"/>
      <c r="Y10" s="13"/>
    </row>
    <row r="11" spans="1:25" ht="13" thickBot="1" x14ac:dyDescent="0.3">
      <c r="A11" s="168">
        <f t="shared" si="0"/>
        <v>9</v>
      </c>
      <c r="B11" s="194" t="s">
        <v>104</v>
      </c>
      <c r="C11" s="169" t="s">
        <v>104</v>
      </c>
      <c r="D11" s="170">
        <v>2016</v>
      </c>
      <c r="F11" s="177" t="s">
        <v>40</v>
      </c>
      <c r="G11" s="178">
        <v>0</v>
      </c>
      <c r="I11" s="173" t="s">
        <v>107</v>
      </c>
      <c r="V11" s="13"/>
      <c r="W11" s="13"/>
      <c r="X11" s="13"/>
      <c r="Y11" s="13"/>
    </row>
    <row r="12" spans="1:25" x14ac:dyDescent="0.25">
      <c r="A12" s="168">
        <f t="shared" si="0"/>
        <v>10</v>
      </c>
      <c r="B12" s="168">
        <f t="shared" si="0"/>
        <v>10</v>
      </c>
      <c r="C12" s="181">
        <f t="shared" ref="C12" si="1">C11+1</f>
        <v>10</v>
      </c>
      <c r="D12" s="170">
        <v>2015</v>
      </c>
      <c r="F12" s="177" t="s">
        <v>38</v>
      </c>
      <c r="G12" s="179">
        <v>0.05</v>
      </c>
      <c r="V12" s="13"/>
      <c r="W12" s="13"/>
      <c r="X12" s="13"/>
      <c r="Y12" s="13"/>
    </row>
    <row r="13" spans="1:25" ht="14.5" x14ac:dyDescent="0.35">
      <c r="A13" s="168">
        <f t="shared" si="0"/>
        <v>11</v>
      </c>
      <c r="B13" s="168">
        <f t="shared" si="0"/>
        <v>11</v>
      </c>
      <c r="C13" s="181">
        <f t="shared" ref="C13" si="2">C12+1</f>
        <v>11</v>
      </c>
      <c r="D13" s="170">
        <v>2014</v>
      </c>
      <c r="F13" s="177" t="s">
        <v>36</v>
      </c>
      <c r="G13" s="180">
        <v>0.1</v>
      </c>
      <c r="I13"/>
      <c r="V13" s="13"/>
      <c r="W13" s="13"/>
      <c r="X13" s="13"/>
      <c r="Y13" s="13"/>
    </row>
    <row r="14" spans="1:25" x14ac:dyDescent="0.25">
      <c r="A14" s="168">
        <f t="shared" si="0"/>
        <v>12</v>
      </c>
      <c r="B14" s="168">
        <f t="shared" si="0"/>
        <v>12</v>
      </c>
      <c r="C14" s="181">
        <f t="shared" ref="C14" si="3">C13+1</f>
        <v>12</v>
      </c>
      <c r="D14" s="170">
        <v>2013</v>
      </c>
      <c r="F14" s="177" t="s">
        <v>33</v>
      </c>
      <c r="G14" s="179">
        <v>0.15</v>
      </c>
      <c r="V14" s="13"/>
      <c r="W14" s="13"/>
      <c r="X14" s="13"/>
      <c r="Y14" s="13"/>
    </row>
    <row r="15" spans="1:25" ht="15" customHeight="1" x14ac:dyDescent="0.25">
      <c r="A15" s="168">
        <f t="shared" si="0"/>
        <v>13</v>
      </c>
      <c r="B15" s="168">
        <f t="shared" si="0"/>
        <v>13</v>
      </c>
      <c r="C15" s="181"/>
      <c r="D15" s="170">
        <v>2012</v>
      </c>
      <c r="F15" s="177" t="s">
        <v>40</v>
      </c>
      <c r="G15" s="180">
        <v>1</v>
      </c>
      <c r="V15" s="13"/>
      <c r="W15" s="13"/>
      <c r="X15" s="13"/>
      <c r="Y15" s="13"/>
    </row>
    <row r="16" spans="1:25" ht="15.75" customHeight="1" x14ac:dyDescent="0.25">
      <c r="A16" s="168">
        <f t="shared" si="0"/>
        <v>14</v>
      </c>
      <c r="B16" s="168">
        <f t="shared" si="0"/>
        <v>14</v>
      </c>
      <c r="C16" s="181"/>
      <c r="D16" s="170">
        <v>2011</v>
      </c>
      <c r="F16" s="177" t="s">
        <v>38</v>
      </c>
      <c r="G16" s="179">
        <v>2</v>
      </c>
      <c r="V16" s="13"/>
      <c r="W16" s="13"/>
      <c r="X16" s="13"/>
      <c r="Y16" s="13"/>
    </row>
    <row r="17" spans="1:25" ht="14.25" customHeight="1" x14ac:dyDescent="0.25">
      <c r="A17" s="168">
        <f t="shared" si="0"/>
        <v>15</v>
      </c>
      <c r="B17" s="168">
        <f t="shared" si="0"/>
        <v>15</v>
      </c>
      <c r="C17" s="181"/>
      <c r="D17" s="170">
        <v>2010</v>
      </c>
      <c r="F17" s="177" t="s">
        <v>36</v>
      </c>
      <c r="G17" s="180">
        <v>4</v>
      </c>
      <c r="V17" s="13"/>
      <c r="W17" s="13"/>
      <c r="X17" s="13"/>
      <c r="Y17" s="13"/>
    </row>
    <row r="18" spans="1:25" ht="15.75" customHeight="1" thickBot="1" x14ac:dyDescent="0.3">
      <c r="A18" s="168">
        <f t="shared" si="0"/>
        <v>16</v>
      </c>
      <c r="B18" s="168">
        <f t="shared" si="0"/>
        <v>16</v>
      </c>
      <c r="C18" s="181"/>
      <c r="D18" s="170">
        <v>2009</v>
      </c>
      <c r="F18" s="182" t="s">
        <v>33</v>
      </c>
      <c r="G18" s="183">
        <v>12</v>
      </c>
      <c r="V18" s="13"/>
      <c r="W18" s="13"/>
      <c r="X18" s="13"/>
      <c r="Y18" s="13"/>
    </row>
    <row r="19" spans="1:25" x14ac:dyDescent="0.25">
      <c r="A19" s="168">
        <f t="shared" si="0"/>
        <v>17</v>
      </c>
      <c r="B19" s="168">
        <f t="shared" si="0"/>
        <v>17</v>
      </c>
      <c r="C19" s="181"/>
      <c r="D19" s="170">
        <v>2008</v>
      </c>
      <c r="V19" s="13"/>
      <c r="W19" s="13"/>
      <c r="X19" s="13"/>
      <c r="Y19" s="13"/>
    </row>
    <row r="20" spans="1:25" ht="15.75" customHeight="1" x14ac:dyDescent="0.25">
      <c r="A20" s="168">
        <f t="shared" si="0"/>
        <v>18</v>
      </c>
      <c r="B20" s="168">
        <f t="shared" si="0"/>
        <v>18</v>
      </c>
      <c r="C20" s="181"/>
      <c r="D20" s="170">
        <v>2007</v>
      </c>
      <c r="V20" s="13"/>
      <c r="W20" s="13"/>
      <c r="X20" s="13"/>
      <c r="Y20" s="13"/>
    </row>
    <row r="21" spans="1:25" x14ac:dyDescent="0.25">
      <c r="A21" s="168">
        <f t="shared" ref="A21:B36" si="4">A20+1</f>
        <v>19</v>
      </c>
      <c r="B21" s="168">
        <f t="shared" si="4"/>
        <v>19</v>
      </c>
      <c r="C21" s="181"/>
      <c r="D21" s="170">
        <v>2006</v>
      </c>
      <c r="V21" s="13"/>
      <c r="W21" s="13"/>
      <c r="X21" s="13"/>
      <c r="Y21" s="13"/>
    </row>
    <row r="22" spans="1:25" x14ac:dyDescent="0.25">
      <c r="A22" s="168">
        <f t="shared" si="4"/>
        <v>20</v>
      </c>
      <c r="B22" s="168">
        <f t="shared" si="4"/>
        <v>20</v>
      </c>
      <c r="C22" s="181"/>
      <c r="D22" s="170">
        <v>2005</v>
      </c>
      <c r="V22" s="13"/>
      <c r="W22" s="13"/>
      <c r="X22" s="13"/>
      <c r="Y22" s="13"/>
    </row>
    <row r="23" spans="1:25" x14ac:dyDescent="0.25">
      <c r="A23" s="168">
        <f t="shared" si="4"/>
        <v>21</v>
      </c>
      <c r="B23" s="168">
        <f t="shared" si="4"/>
        <v>21</v>
      </c>
      <c r="C23" s="181"/>
      <c r="D23" s="170">
        <v>2004</v>
      </c>
      <c r="V23" s="13"/>
      <c r="W23" s="13"/>
      <c r="X23" s="13"/>
      <c r="Y23" s="13"/>
    </row>
    <row r="24" spans="1:25" x14ac:dyDescent="0.25">
      <c r="A24" s="168">
        <f t="shared" si="4"/>
        <v>22</v>
      </c>
      <c r="B24" s="168">
        <f t="shared" si="4"/>
        <v>22</v>
      </c>
      <c r="C24" s="181"/>
      <c r="D24" s="170">
        <v>2003</v>
      </c>
      <c r="V24" s="13"/>
      <c r="W24" s="13"/>
      <c r="X24" s="13"/>
      <c r="Y24" s="13"/>
    </row>
    <row r="25" spans="1:25" x14ac:dyDescent="0.25">
      <c r="A25" s="168">
        <f t="shared" si="4"/>
        <v>23</v>
      </c>
      <c r="B25" s="168">
        <f t="shared" si="4"/>
        <v>23</v>
      </c>
      <c r="C25" s="181"/>
      <c r="D25" s="170">
        <v>2002</v>
      </c>
      <c r="V25" s="13"/>
      <c r="W25" s="13"/>
      <c r="X25" s="13"/>
      <c r="Y25" s="13"/>
    </row>
    <row r="26" spans="1:25" x14ac:dyDescent="0.25">
      <c r="A26" s="168">
        <f t="shared" si="4"/>
        <v>24</v>
      </c>
      <c r="B26" s="168">
        <f t="shared" si="4"/>
        <v>24</v>
      </c>
      <c r="C26" s="181"/>
      <c r="D26" s="170">
        <v>2001</v>
      </c>
      <c r="V26" s="13"/>
      <c r="W26" s="13"/>
      <c r="X26" s="13"/>
      <c r="Y26" s="13"/>
    </row>
    <row r="27" spans="1:25" x14ac:dyDescent="0.25">
      <c r="A27" s="168">
        <f t="shared" si="4"/>
        <v>25</v>
      </c>
      <c r="B27" s="168">
        <f t="shared" si="4"/>
        <v>25</v>
      </c>
      <c r="C27" s="181"/>
      <c r="D27" s="170">
        <v>2000</v>
      </c>
      <c r="V27" s="13"/>
      <c r="W27" s="13"/>
      <c r="X27" s="13"/>
      <c r="Y27" s="13"/>
    </row>
    <row r="28" spans="1:25" x14ac:dyDescent="0.25">
      <c r="A28" s="168">
        <f t="shared" si="4"/>
        <v>26</v>
      </c>
      <c r="B28" s="168">
        <f t="shared" si="4"/>
        <v>26</v>
      </c>
      <c r="C28" s="181"/>
      <c r="D28" s="170">
        <v>1999</v>
      </c>
      <c r="V28" s="13"/>
      <c r="W28" s="13"/>
      <c r="X28" s="13"/>
      <c r="Y28" s="13"/>
    </row>
    <row r="29" spans="1:25" x14ac:dyDescent="0.25">
      <c r="A29" s="168">
        <f t="shared" si="4"/>
        <v>27</v>
      </c>
      <c r="B29" s="168">
        <f t="shared" si="4"/>
        <v>27</v>
      </c>
      <c r="C29" s="181"/>
      <c r="D29" s="170">
        <v>1998</v>
      </c>
      <c r="V29" s="13"/>
      <c r="W29" s="13"/>
      <c r="X29" s="13"/>
      <c r="Y29" s="13"/>
    </row>
    <row r="30" spans="1:25" x14ac:dyDescent="0.25">
      <c r="A30" s="168">
        <f t="shared" si="4"/>
        <v>28</v>
      </c>
      <c r="B30" s="168">
        <f t="shared" si="4"/>
        <v>28</v>
      </c>
      <c r="C30" s="181"/>
      <c r="D30" s="170">
        <v>1997</v>
      </c>
      <c r="V30" s="13"/>
      <c r="W30" s="13"/>
      <c r="X30" s="13"/>
      <c r="Y30" s="13"/>
    </row>
    <row r="31" spans="1:25" x14ac:dyDescent="0.25">
      <c r="A31" s="168">
        <f t="shared" si="4"/>
        <v>29</v>
      </c>
      <c r="B31" s="168">
        <f t="shared" si="4"/>
        <v>29</v>
      </c>
      <c r="C31" s="181"/>
      <c r="D31" s="170">
        <v>1996</v>
      </c>
      <c r="V31" s="13"/>
      <c r="W31" s="13"/>
      <c r="X31" s="13"/>
      <c r="Y31" s="13"/>
    </row>
    <row r="32" spans="1:25" x14ac:dyDescent="0.25">
      <c r="A32" s="168">
        <f t="shared" si="4"/>
        <v>30</v>
      </c>
      <c r="B32" s="168">
        <f t="shared" si="4"/>
        <v>30</v>
      </c>
      <c r="C32" s="181"/>
      <c r="D32" s="170">
        <v>1995</v>
      </c>
      <c r="V32" s="13"/>
      <c r="W32" s="13"/>
      <c r="X32" s="13"/>
      <c r="Y32" s="13"/>
    </row>
    <row r="33" spans="1:25" x14ac:dyDescent="0.25">
      <c r="A33" s="168">
        <f t="shared" si="4"/>
        <v>31</v>
      </c>
      <c r="B33" s="168">
        <f t="shared" si="4"/>
        <v>31</v>
      </c>
      <c r="C33" s="181"/>
      <c r="D33" s="170">
        <v>1994</v>
      </c>
      <c r="V33" s="13"/>
      <c r="W33" s="13"/>
      <c r="X33" s="13"/>
      <c r="Y33" s="13"/>
    </row>
    <row r="34" spans="1:25" x14ac:dyDescent="0.25">
      <c r="A34" s="168">
        <f t="shared" si="4"/>
        <v>32</v>
      </c>
      <c r="B34" s="168"/>
      <c r="C34" s="181"/>
      <c r="D34" s="170">
        <v>1993</v>
      </c>
      <c r="V34" s="13"/>
      <c r="W34" s="13"/>
      <c r="X34" s="13"/>
      <c r="Y34" s="13"/>
    </row>
    <row r="35" spans="1:25" x14ac:dyDescent="0.25">
      <c r="A35" s="168">
        <f t="shared" si="4"/>
        <v>33</v>
      </c>
      <c r="B35" s="168"/>
      <c r="C35" s="181"/>
      <c r="D35" s="170">
        <v>1992</v>
      </c>
      <c r="V35" s="13"/>
      <c r="W35" s="13"/>
      <c r="X35" s="13"/>
      <c r="Y35" s="13"/>
    </row>
    <row r="36" spans="1:25" x14ac:dyDescent="0.25">
      <c r="A36" s="168">
        <f t="shared" si="4"/>
        <v>34</v>
      </c>
      <c r="B36" s="168"/>
      <c r="C36" s="181"/>
      <c r="D36" s="170">
        <v>1991</v>
      </c>
      <c r="V36" s="13"/>
      <c r="W36" s="13"/>
      <c r="X36" s="13"/>
      <c r="Y36" s="13"/>
    </row>
    <row r="37" spans="1:25" x14ac:dyDescent="0.25">
      <c r="A37" s="168">
        <f t="shared" ref="A37:A100" si="5">A36+1</f>
        <v>35</v>
      </c>
      <c r="B37" s="168"/>
      <c r="C37" s="181"/>
      <c r="D37" s="170">
        <v>1990</v>
      </c>
      <c r="V37" s="13"/>
      <c r="W37" s="13"/>
      <c r="X37" s="13"/>
      <c r="Y37" s="13"/>
    </row>
    <row r="38" spans="1:25" x14ac:dyDescent="0.25">
      <c r="A38" s="168">
        <f t="shared" si="5"/>
        <v>36</v>
      </c>
      <c r="B38" s="168"/>
      <c r="C38" s="181"/>
      <c r="D38" s="170">
        <v>1989</v>
      </c>
      <c r="V38" s="13"/>
      <c r="W38" s="13"/>
      <c r="X38" s="13"/>
      <c r="Y38" s="13"/>
    </row>
    <row r="39" spans="1:25" x14ac:dyDescent="0.25">
      <c r="A39" s="168">
        <f t="shared" si="5"/>
        <v>37</v>
      </c>
      <c r="B39" s="168"/>
      <c r="C39" s="181"/>
      <c r="D39" s="170">
        <v>1988</v>
      </c>
      <c r="V39" s="13"/>
      <c r="W39" s="13"/>
      <c r="X39" s="13"/>
      <c r="Y39" s="13"/>
    </row>
    <row r="40" spans="1:25" x14ac:dyDescent="0.25">
      <c r="A40" s="168">
        <f t="shared" si="5"/>
        <v>38</v>
      </c>
      <c r="B40" s="168"/>
      <c r="C40" s="181"/>
      <c r="D40" s="170">
        <v>1987</v>
      </c>
      <c r="V40" s="13"/>
      <c r="W40" s="13"/>
      <c r="X40" s="13"/>
      <c r="Y40" s="13"/>
    </row>
    <row r="41" spans="1:25" x14ac:dyDescent="0.25">
      <c r="A41" s="168">
        <f t="shared" si="5"/>
        <v>39</v>
      </c>
      <c r="B41" s="168"/>
      <c r="C41" s="181"/>
      <c r="D41" s="170">
        <v>1986</v>
      </c>
      <c r="V41" s="13"/>
      <c r="W41" s="13"/>
      <c r="X41" s="13"/>
      <c r="Y41" s="13"/>
    </row>
    <row r="42" spans="1:25" x14ac:dyDescent="0.25">
      <c r="A42" s="168">
        <f t="shared" si="5"/>
        <v>40</v>
      </c>
      <c r="B42" s="168"/>
      <c r="C42" s="181"/>
      <c r="D42" s="170">
        <v>1985</v>
      </c>
      <c r="V42" s="13"/>
      <c r="W42" s="13"/>
      <c r="X42" s="13"/>
      <c r="Y42" s="13"/>
    </row>
    <row r="43" spans="1:25" x14ac:dyDescent="0.25">
      <c r="A43" s="168">
        <f t="shared" si="5"/>
        <v>41</v>
      </c>
      <c r="B43" s="168"/>
      <c r="C43" s="181"/>
      <c r="D43" s="170">
        <v>1984</v>
      </c>
      <c r="V43" s="13"/>
      <c r="W43" s="13"/>
      <c r="X43" s="13"/>
      <c r="Y43" s="13"/>
    </row>
    <row r="44" spans="1:25" x14ac:dyDescent="0.25">
      <c r="A44" s="168">
        <f t="shared" si="5"/>
        <v>42</v>
      </c>
      <c r="B44" s="168"/>
      <c r="C44" s="181"/>
      <c r="D44" s="170">
        <v>1983</v>
      </c>
      <c r="V44" s="13"/>
      <c r="W44" s="13"/>
      <c r="X44" s="13"/>
      <c r="Y44" s="13"/>
    </row>
    <row r="45" spans="1:25" x14ac:dyDescent="0.25">
      <c r="A45" s="168">
        <f t="shared" si="5"/>
        <v>43</v>
      </c>
      <c r="B45" s="168"/>
      <c r="C45" s="181"/>
      <c r="D45" s="170">
        <v>1982</v>
      </c>
      <c r="V45" s="13"/>
      <c r="W45" s="13"/>
      <c r="X45" s="13"/>
      <c r="Y45" s="13"/>
    </row>
    <row r="46" spans="1:25" x14ac:dyDescent="0.25">
      <c r="A46" s="168">
        <f t="shared" si="5"/>
        <v>44</v>
      </c>
      <c r="B46" s="168"/>
      <c r="C46" s="181"/>
      <c r="D46" s="170">
        <v>1981</v>
      </c>
      <c r="V46" s="13"/>
      <c r="W46" s="13"/>
      <c r="X46" s="13"/>
      <c r="Y46" s="13"/>
    </row>
    <row r="47" spans="1:25" x14ac:dyDescent="0.25">
      <c r="A47" s="168">
        <f t="shared" si="5"/>
        <v>45</v>
      </c>
      <c r="B47" s="168"/>
      <c r="C47" s="181"/>
      <c r="D47" s="170">
        <v>1980</v>
      </c>
      <c r="V47" s="13"/>
      <c r="W47" s="13"/>
      <c r="X47" s="13"/>
      <c r="Y47" s="13"/>
    </row>
    <row r="48" spans="1:25" x14ac:dyDescent="0.25">
      <c r="A48" s="168">
        <f t="shared" si="5"/>
        <v>46</v>
      </c>
      <c r="B48" s="168"/>
      <c r="C48" s="181"/>
      <c r="D48" s="170">
        <v>1979</v>
      </c>
      <c r="V48" s="13"/>
      <c r="W48" s="13"/>
      <c r="X48" s="13"/>
      <c r="Y48" s="13"/>
    </row>
    <row r="49" spans="1:25" x14ac:dyDescent="0.25">
      <c r="A49" s="168">
        <f t="shared" si="5"/>
        <v>47</v>
      </c>
      <c r="B49" s="168"/>
      <c r="C49" s="181"/>
      <c r="D49" s="170">
        <v>1978</v>
      </c>
      <c r="V49" s="13"/>
      <c r="W49" s="13"/>
      <c r="X49" s="13"/>
      <c r="Y49" s="13"/>
    </row>
    <row r="50" spans="1:25" x14ac:dyDescent="0.25">
      <c r="A50" s="168">
        <f t="shared" si="5"/>
        <v>48</v>
      </c>
      <c r="B50" s="168"/>
      <c r="C50" s="181"/>
      <c r="D50" s="170">
        <v>1977</v>
      </c>
      <c r="V50" s="13"/>
      <c r="W50" s="13"/>
      <c r="X50" s="13"/>
      <c r="Y50" s="13"/>
    </row>
    <row r="51" spans="1:25" x14ac:dyDescent="0.25">
      <c r="A51" s="168">
        <f t="shared" si="5"/>
        <v>49</v>
      </c>
      <c r="B51" s="168"/>
      <c r="C51" s="181"/>
      <c r="D51" s="170">
        <v>1976</v>
      </c>
      <c r="V51" s="13"/>
      <c r="W51" s="13"/>
      <c r="X51" s="13"/>
      <c r="Y51" s="13"/>
    </row>
    <row r="52" spans="1:25" x14ac:dyDescent="0.25">
      <c r="A52" s="168">
        <f t="shared" si="5"/>
        <v>50</v>
      </c>
      <c r="B52" s="168"/>
      <c r="C52" s="181"/>
      <c r="D52" s="170">
        <v>1975</v>
      </c>
      <c r="V52" s="13"/>
      <c r="W52" s="13"/>
      <c r="X52" s="13"/>
      <c r="Y52" s="13"/>
    </row>
    <row r="53" spans="1:25" x14ac:dyDescent="0.25">
      <c r="A53" s="168">
        <f t="shared" si="5"/>
        <v>51</v>
      </c>
      <c r="B53" s="168"/>
      <c r="C53" s="181"/>
      <c r="D53" s="170">
        <v>1974</v>
      </c>
      <c r="V53" s="13"/>
      <c r="W53" s="13"/>
      <c r="X53" s="13"/>
      <c r="Y53" s="13"/>
    </row>
    <row r="54" spans="1:25" x14ac:dyDescent="0.25">
      <c r="A54" s="168">
        <f t="shared" si="5"/>
        <v>52</v>
      </c>
      <c r="B54" s="168"/>
      <c r="C54" s="181"/>
      <c r="D54" s="170">
        <v>1973</v>
      </c>
      <c r="V54" s="13"/>
      <c r="W54" s="13"/>
      <c r="X54" s="13"/>
      <c r="Y54" s="13"/>
    </row>
    <row r="55" spans="1:25" x14ac:dyDescent="0.25">
      <c r="A55" s="168">
        <f t="shared" si="5"/>
        <v>53</v>
      </c>
      <c r="B55" s="168"/>
      <c r="C55" s="181"/>
      <c r="D55" s="170">
        <v>1972</v>
      </c>
      <c r="V55" s="13"/>
      <c r="W55" s="13"/>
      <c r="X55" s="13"/>
      <c r="Y55" s="13"/>
    </row>
    <row r="56" spans="1:25" x14ac:dyDescent="0.25">
      <c r="A56" s="168">
        <f t="shared" si="5"/>
        <v>54</v>
      </c>
      <c r="B56" s="168"/>
      <c r="C56" s="181"/>
      <c r="D56" s="170">
        <v>1971</v>
      </c>
      <c r="V56" s="13"/>
      <c r="W56" s="13"/>
      <c r="X56" s="13"/>
      <c r="Y56" s="13"/>
    </row>
    <row r="57" spans="1:25" x14ac:dyDescent="0.25">
      <c r="A57" s="168">
        <f t="shared" si="5"/>
        <v>55</v>
      </c>
      <c r="B57" s="168"/>
      <c r="C57" s="181"/>
      <c r="D57" s="170">
        <v>1970</v>
      </c>
      <c r="V57" s="13"/>
      <c r="W57" s="13"/>
      <c r="X57" s="13"/>
      <c r="Y57" s="13"/>
    </row>
    <row r="58" spans="1:25" x14ac:dyDescent="0.25">
      <c r="A58" s="168">
        <f t="shared" si="5"/>
        <v>56</v>
      </c>
      <c r="B58" s="168"/>
      <c r="C58" s="181"/>
      <c r="D58" s="170">
        <v>1969</v>
      </c>
      <c r="V58" s="13"/>
      <c r="W58" s="13"/>
      <c r="X58" s="13"/>
      <c r="Y58" s="13"/>
    </row>
    <row r="59" spans="1:25" x14ac:dyDescent="0.25">
      <c r="A59" s="168">
        <f t="shared" si="5"/>
        <v>57</v>
      </c>
      <c r="B59" s="168"/>
      <c r="C59" s="181"/>
      <c r="D59" s="170">
        <v>1968</v>
      </c>
      <c r="V59" s="13"/>
      <c r="W59" s="13"/>
      <c r="X59" s="13"/>
      <c r="Y59" s="13"/>
    </row>
    <row r="60" spans="1:25" x14ac:dyDescent="0.25">
      <c r="A60" s="168">
        <f t="shared" si="5"/>
        <v>58</v>
      </c>
      <c r="B60" s="168"/>
      <c r="C60" s="181"/>
      <c r="D60" s="170">
        <v>1967</v>
      </c>
      <c r="V60" s="13"/>
      <c r="W60" s="13"/>
      <c r="X60" s="13"/>
      <c r="Y60" s="13"/>
    </row>
    <row r="61" spans="1:25" x14ac:dyDescent="0.25">
      <c r="A61" s="168">
        <f t="shared" si="5"/>
        <v>59</v>
      </c>
      <c r="B61" s="168"/>
      <c r="C61" s="181"/>
      <c r="D61" s="170">
        <v>1966</v>
      </c>
      <c r="V61" s="13"/>
      <c r="W61" s="13"/>
      <c r="X61" s="13"/>
      <c r="Y61" s="13"/>
    </row>
    <row r="62" spans="1:25" x14ac:dyDescent="0.25">
      <c r="A62" s="168">
        <f t="shared" si="5"/>
        <v>60</v>
      </c>
      <c r="B62" s="168"/>
      <c r="C62" s="181"/>
      <c r="D62" s="170">
        <v>1965</v>
      </c>
      <c r="V62" s="13"/>
      <c r="W62" s="13"/>
      <c r="X62" s="13"/>
      <c r="Y62" s="13"/>
    </row>
    <row r="63" spans="1:25" x14ac:dyDescent="0.25">
      <c r="A63" s="168">
        <f t="shared" si="5"/>
        <v>61</v>
      </c>
      <c r="B63" s="168"/>
      <c r="C63" s="181"/>
      <c r="D63" s="170">
        <v>1964</v>
      </c>
      <c r="V63" s="13"/>
      <c r="W63" s="13"/>
      <c r="X63" s="13"/>
      <c r="Y63" s="13"/>
    </row>
    <row r="64" spans="1:25" x14ac:dyDescent="0.25">
      <c r="A64" s="168">
        <f t="shared" si="5"/>
        <v>62</v>
      </c>
      <c r="B64" s="168"/>
      <c r="C64" s="181"/>
      <c r="D64" s="170">
        <v>1963</v>
      </c>
      <c r="V64" s="13"/>
      <c r="W64" s="13"/>
      <c r="X64" s="13"/>
      <c r="Y64" s="13"/>
    </row>
    <row r="65" spans="1:25" x14ac:dyDescent="0.25">
      <c r="A65" s="168">
        <f t="shared" si="5"/>
        <v>63</v>
      </c>
      <c r="B65" s="168"/>
      <c r="C65" s="181"/>
      <c r="D65" s="170">
        <v>1962</v>
      </c>
      <c r="V65" s="13"/>
      <c r="W65" s="13"/>
      <c r="X65" s="13"/>
      <c r="Y65" s="13"/>
    </row>
    <row r="66" spans="1:25" x14ac:dyDescent="0.25">
      <c r="A66" s="168">
        <f t="shared" si="5"/>
        <v>64</v>
      </c>
      <c r="B66" s="168"/>
      <c r="C66" s="181"/>
      <c r="D66" s="170">
        <v>1961</v>
      </c>
      <c r="V66" s="13"/>
      <c r="W66" s="13"/>
      <c r="X66" s="13"/>
      <c r="Y66" s="13"/>
    </row>
    <row r="67" spans="1:25" x14ac:dyDescent="0.25">
      <c r="A67" s="168">
        <f t="shared" si="5"/>
        <v>65</v>
      </c>
      <c r="B67" s="168"/>
      <c r="C67" s="181"/>
      <c r="D67" s="170">
        <v>1960</v>
      </c>
      <c r="V67" s="13"/>
      <c r="W67" s="13"/>
      <c r="X67" s="13"/>
      <c r="Y67" s="13"/>
    </row>
    <row r="68" spans="1:25" x14ac:dyDescent="0.25">
      <c r="A68" s="168">
        <f t="shared" si="5"/>
        <v>66</v>
      </c>
      <c r="B68" s="168"/>
      <c r="C68" s="181"/>
      <c r="D68" s="170">
        <v>1959</v>
      </c>
      <c r="V68" s="13"/>
      <c r="W68" s="13"/>
      <c r="X68" s="13"/>
      <c r="Y68" s="13"/>
    </row>
    <row r="69" spans="1:25" x14ac:dyDescent="0.25">
      <c r="A69" s="168">
        <f t="shared" si="5"/>
        <v>67</v>
      </c>
      <c r="B69" s="168"/>
      <c r="C69" s="181"/>
      <c r="D69" s="170">
        <v>1958</v>
      </c>
      <c r="V69" s="13"/>
      <c r="W69" s="13"/>
      <c r="X69" s="13"/>
      <c r="Y69" s="13"/>
    </row>
    <row r="70" spans="1:25" x14ac:dyDescent="0.25">
      <c r="A70" s="168">
        <f t="shared" si="5"/>
        <v>68</v>
      </c>
      <c r="B70" s="168"/>
      <c r="C70" s="181"/>
      <c r="D70" s="170">
        <v>1957</v>
      </c>
      <c r="V70" s="13"/>
      <c r="W70" s="13"/>
      <c r="X70" s="13"/>
      <c r="Y70" s="13"/>
    </row>
    <row r="71" spans="1:25" x14ac:dyDescent="0.25">
      <c r="A71" s="168">
        <f t="shared" si="5"/>
        <v>69</v>
      </c>
      <c r="B71" s="168"/>
      <c r="C71" s="181"/>
      <c r="D71" s="170">
        <v>1956</v>
      </c>
      <c r="V71" s="13"/>
      <c r="W71" s="13"/>
      <c r="X71" s="13"/>
      <c r="Y71" s="13"/>
    </row>
    <row r="72" spans="1:25" x14ac:dyDescent="0.25">
      <c r="A72" s="168">
        <f t="shared" si="5"/>
        <v>70</v>
      </c>
      <c r="B72" s="168"/>
      <c r="C72" s="181"/>
      <c r="D72" s="170">
        <v>1955</v>
      </c>
      <c r="V72" s="13"/>
      <c r="W72" s="13"/>
      <c r="X72" s="13"/>
      <c r="Y72" s="13"/>
    </row>
    <row r="73" spans="1:25" x14ac:dyDescent="0.25">
      <c r="A73" s="168">
        <f t="shared" si="5"/>
        <v>71</v>
      </c>
      <c r="B73" s="168"/>
      <c r="C73" s="181"/>
      <c r="D73" s="170">
        <v>1954</v>
      </c>
      <c r="V73" s="13"/>
      <c r="W73" s="13"/>
      <c r="X73" s="13"/>
      <c r="Y73" s="13"/>
    </row>
    <row r="74" spans="1:25" x14ac:dyDescent="0.25">
      <c r="A74" s="168">
        <f t="shared" si="5"/>
        <v>72</v>
      </c>
      <c r="B74" s="168"/>
      <c r="C74" s="181"/>
      <c r="D74" s="170">
        <v>1953</v>
      </c>
      <c r="V74" s="13"/>
      <c r="W74" s="13"/>
      <c r="X74" s="13"/>
      <c r="Y74" s="13"/>
    </row>
    <row r="75" spans="1:25" x14ac:dyDescent="0.25">
      <c r="A75" s="168">
        <f t="shared" si="5"/>
        <v>73</v>
      </c>
      <c r="B75" s="168"/>
      <c r="C75" s="181"/>
      <c r="D75" s="170">
        <v>1952</v>
      </c>
      <c r="V75" s="13"/>
      <c r="W75" s="13"/>
      <c r="X75" s="13"/>
      <c r="Y75" s="13"/>
    </row>
    <row r="76" spans="1:25" x14ac:dyDescent="0.25">
      <c r="A76" s="168">
        <f t="shared" si="5"/>
        <v>74</v>
      </c>
      <c r="B76" s="168"/>
      <c r="C76" s="181"/>
      <c r="D76" s="170">
        <v>1951</v>
      </c>
      <c r="V76" s="13"/>
      <c r="W76" s="13"/>
      <c r="X76" s="13"/>
      <c r="Y76" s="13"/>
    </row>
    <row r="77" spans="1:25" x14ac:dyDescent="0.25">
      <c r="A77" s="168">
        <f t="shared" si="5"/>
        <v>75</v>
      </c>
      <c r="B77" s="168"/>
      <c r="C77" s="181"/>
      <c r="D77" s="170">
        <v>1950</v>
      </c>
      <c r="V77" s="13"/>
      <c r="W77" s="13"/>
      <c r="X77" s="13"/>
      <c r="Y77" s="13"/>
    </row>
    <row r="78" spans="1:25" x14ac:dyDescent="0.25">
      <c r="A78" s="168">
        <f t="shared" si="5"/>
        <v>76</v>
      </c>
      <c r="B78" s="168"/>
      <c r="C78" s="181"/>
      <c r="D78" s="170">
        <v>1949</v>
      </c>
      <c r="V78" s="13"/>
      <c r="W78" s="13"/>
      <c r="X78" s="13"/>
      <c r="Y78" s="13"/>
    </row>
    <row r="79" spans="1:25" x14ac:dyDescent="0.25">
      <c r="A79" s="168">
        <f t="shared" si="5"/>
        <v>77</v>
      </c>
      <c r="B79" s="168"/>
      <c r="C79" s="181"/>
      <c r="D79" s="170">
        <v>1948</v>
      </c>
      <c r="V79" s="13"/>
      <c r="W79" s="13"/>
      <c r="X79" s="13"/>
      <c r="Y79" s="13"/>
    </row>
    <row r="80" spans="1:25" x14ac:dyDescent="0.25">
      <c r="A80" s="168">
        <f t="shared" si="5"/>
        <v>78</v>
      </c>
      <c r="B80" s="168"/>
      <c r="C80" s="181"/>
      <c r="D80" s="170">
        <v>1947</v>
      </c>
      <c r="V80" s="13"/>
      <c r="W80" s="13"/>
      <c r="X80" s="13"/>
      <c r="Y80" s="13"/>
    </row>
    <row r="81" spans="1:25" x14ac:dyDescent="0.25">
      <c r="A81" s="168">
        <f t="shared" si="5"/>
        <v>79</v>
      </c>
      <c r="B81" s="168"/>
      <c r="C81" s="181"/>
      <c r="D81" s="170">
        <v>1946</v>
      </c>
      <c r="V81" s="13"/>
      <c r="W81" s="13"/>
      <c r="X81" s="13"/>
      <c r="Y81" s="13"/>
    </row>
    <row r="82" spans="1:25" x14ac:dyDescent="0.25">
      <c r="A82" s="168">
        <f t="shared" si="5"/>
        <v>80</v>
      </c>
      <c r="B82" s="168"/>
      <c r="C82" s="181"/>
      <c r="D82" s="170">
        <v>1945</v>
      </c>
      <c r="V82" s="13"/>
      <c r="W82" s="13"/>
      <c r="X82" s="13"/>
      <c r="Y82" s="13"/>
    </row>
    <row r="83" spans="1:25" x14ac:dyDescent="0.25">
      <c r="A83" s="168">
        <f t="shared" si="5"/>
        <v>81</v>
      </c>
      <c r="B83" s="168"/>
      <c r="C83" s="181"/>
      <c r="D83" s="170">
        <v>1944</v>
      </c>
      <c r="V83" s="13"/>
      <c r="W83" s="13"/>
      <c r="X83" s="13"/>
      <c r="Y83" s="13"/>
    </row>
    <row r="84" spans="1:25" x14ac:dyDescent="0.25">
      <c r="A84" s="168">
        <f t="shared" si="5"/>
        <v>82</v>
      </c>
      <c r="B84" s="168"/>
      <c r="C84" s="181"/>
      <c r="D84" s="170">
        <v>1943</v>
      </c>
      <c r="V84" s="13"/>
      <c r="W84" s="13"/>
      <c r="X84" s="13"/>
      <c r="Y84" s="13"/>
    </row>
    <row r="85" spans="1:25" x14ac:dyDescent="0.25">
      <c r="A85" s="168">
        <f t="shared" si="5"/>
        <v>83</v>
      </c>
      <c r="B85" s="168"/>
      <c r="C85" s="181"/>
      <c r="D85" s="170">
        <v>1942</v>
      </c>
      <c r="V85" s="13"/>
      <c r="W85" s="13"/>
      <c r="X85" s="13"/>
      <c r="Y85" s="13"/>
    </row>
    <row r="86" spans="1:25" x14ac:dyDescent="0.25">
      <c r="A86" s="168">
        <f t="shared" si="5"/>
        <v>84</v>
      </c>
      <c r="B86" s="168"/>
      <c r="C86" s="181"/>
      <c r="D86" s="170">
        <v>1941</v>
      </c>
      <c r="V86" s="13"/>
      <c r="W86" s="13"/>
      <c r="X86" s="13"/>
      <c r="Y86" s="13"/>
    </row>
    <row r="87" spans="1:25" x14ac:dyDescent="0.25">
      <c r="A87" s="168">
        <f t="shared" si="5"/>
        <v>85</v>
      </c>
      <c r="B87" s="168"/>
      <c r="C87" s="181"/>
      <c r="D87" s="170">
        <v>1940</v>
      </c>
      <c r="V87" s="13"/>
      <c r="W87" s="13"/>
      <c r="X87" s="13"/>
      <c r="Y87" s="13"/>
    </row>
    <row r="88" spans="1:25" x14ac:dyDescent="0.25">
      <c r="A88" s="168">
        <f t="shared" si="5"/>
        <v>86</v>
      </c>
      <c r="B88" s="168"/>
      <c r="C88" s="181"/>
      <c r="D88" s="170">
        <v>1939</v>
      </c>
      <c r="V88" s="13"/>
      <c r="W88" s="13"/>
      <c r="X88" s="13"/>
      <c r="Y88" s="13"/>
    </row>
    <row r="89" spans="1:25" x14ac:dyDescent="0.25">
      <c r="A89" s="168">
        <f t="shared" si="5"/>
        <v>87</v>
      </c>
      <c r="B89" s="168"/>
      <c r="C89" s="181"/>
      <c r="D89" s="170">
        <v>1938</v>
      </c>
      <c r="V89" s="13"/>
      <c r="W89" s="13"/>
      <c r="X89" s="13"/>
      <c r="Y89" s="13"/>
    </row>
    <row r="90" spans="1:25" x14ac:dyDescent="0.25">
      <c r="A90" s="168">
        <f t="shared" si="5"/>
        <v>88</v>
      </c>
      <c r="B90" s="168"/>
      <c r="C90" s="181"/>
      <c r="D90" s="170">
        <v>1937</v>
      </c>
      <c r="V90" s="13"/>
      <c r="W90" s="13"/>
      <c r="X90" s="13"/>
      <c r="Y90" s="13"/>
    </row>
    <row r="91" spans="1:25" x14ac:dyDescent="0.25">
      <c r="A91" s="168">
        <f t="shared" si="5"/>
        <v>89</v>
      </c>
      <c r="B91" s="168"/>
      <c r="C91" s="181"/>
      <c r="D91" s="170">
        <v>1936</v>
      </c>
      <c r="V91" s="13"/>
      <c r="W91" s="13"/>
      <c r="X91" s="13"/>
      <c r="Y91" s="13"/>
    </row>
    <row r="92" spans="1:25" x14ac:dyDescent="0.25">
      <c r="A92" s="168">
        <f t="shared" si="5"/>
        <v>90</v>
      </c>
      <c r="B92" s="168"/>
      <c r="C92" s="181"/>
      <c r="D92" s="170">
        <v>1935</v>
      </c>
      <c r="V92" s="13"/>
      <c r="W92" s="13"/>
      <c r="X92" s="13"/>
      <c r="Y92" s="13"/>
    </row>
    <row r="93" spans="1:25" x14ac:dyDescent="0.25">
      <c r="A93" s="168">
        <f t="shared" si="5"/>
        <v>91</v>
      </c>
      <c r="B93" s="168"/>
      <c r="C93" s="181"/>
      <c r="D93" s="170">
        <v>1934</v>
      </c>
      <c r="V93" s="13"/>
      <c r="W93" s="13"/>
      <c r="X93" s="13"/>
      <c r="Y93" s="13"/>
    </row>
    <row r="94" spans="1:25" x14ac:dyDescent="0.25">
      <c r="A94" s="168">
        <f t="shared" si="5"/>
        <v>92</v>
      </c>
      <c r="B94" s="168"/>
      <c r="C94" s="181"/>
      <c r="D94" s="170">
        <v>1933</v>
      </c>
      <c r="V94" s="13"/>
      <c r="W94" s="13"/>
      <c r="X94" s="13"/>
      <c r="Y94" s="13"/>
    </row>
    <row r="95" spans="1:25" x14ac:dyDescent="0.25">
      <c r="A95" s="168">
        <f t="shared" si="5"/>
        <v>93</v>
      </c>
      <c r="B95" s="168"/>
      <c r="C95" s="181"/>
      <c r="D95" s="170">
        <v>1932</v>
      </c>
      <c r="V95" s="13"/>
      <c r="W95" s="13"/>
      <c r="X95" s="13"/>
      <c r="Y95" s="13"/>
    </row>
    <row r="96" spans="1:25" x14ac:dyDescent="0.25">
      <c r="A96" s="168">
        <f t="shared" si="5"/>
        <v>94</v>
      </c>
      <c r="B96" s="168"/>
      <c r="C96" s="181"/>
      <c r="D96" s="170">
        <v>1931</v>
      </c>
      <c r="V96" s="13"/>
      <c r="W96" s="13"/>
      <c r="X96" s="13"/>
      <c r="Y96" s="13"/>
    </row>
    <row r="97" spans="1:25" x14ac:dyDescent="0.25">
      <c r="A97" s="168">
        <f t="shared" si="5"/>
        <v>95</v>
      </c>
      <c r="B97" s="168"/>
      <c r="C97" s="181"/>
      <c r="D97" s="170">
        <v>1930</v>
      </c>
      <c r="V97" s="13"/>
      <c r="W97" s="13"/>
      <c r="X97" s="13"/>
      <c r="Y97" s="13"/>
    </row>
    <row r="98" spans="1:25" x14ac:dyDescent="0.25">
      <c r="A98" s="168">
        <f t="shared" si="5"/>
        <v>96</v>
      </c>
      <c r="B98" s="168"/>
      <c r="C98" s="181"/>
      <c r="D98" s="170">
        <v>1929</v>
      </c>
      <c r="V98" s="13"/>
      <c r="W98" s="13"/>
      <c r="X98" s="13"/>
      <c r="Y98" s="13"/>
    </row>
    <row r="99" spans="1:25" x14ac:dyDescent="0.25">
      <c r="A99" s="168">
        <f t="shared" si="5"/>
        <v>97</v>
      </c>
      <c r="B99" s="168"/>
      <c r="C99" s="181"/>
      <c r="D99" s="170">
        <v>1928</v>
      </c>
      <c r="V99" s="13"/>
      <c r="W99" s="13"/>
      <c r="X99" s="13"/>
      <c r="Y99" s="13"/>
    </row>
    <row r="100" spans="1:25" x14ac:dyDescent="0.25">
      <c r="A100" s="168">
        <f t="shared" si="5"/>
        <v>98</v>
      </c>
      <c r="B100" s="168"/>
      <c r="C100" s="181"/>
      <c r="D100" s="170">
        <v>1927</v>
      </c>
      <c r="V100" s="13"/>
      <c r="W100" s="13"/>
      <c r="X100" s="13"/>
      <c r="Y100" s="13"/>
    </row>
    <row r="101" spans="1:25" x14ac:dyDescent="0.25">
      <c r="A101" s="168">
        <f t="shared" ref="A101:A103" si="6">A100+1</f>
        <v>99</v>
      </c>
      <c r="B101" s="168"/>
      <c r="C101" s="181"/>
      <c r="D101" s="170">
        <v>1926</v>
      </c>
      <c r="V101" s="13"/>
      <c r="W101" s="13"/>
      <c r="X101" s="13"/>
      <c r="Y101" s="13"/>
    </row>
    <row r="102" spans="1:25" x14ac:dyDescent="0.25">
      <c r="A102" s="168">
        <f t="shared" si="6"/>
        <v>100</v>
      </c>
      <c r="B102" s="168"/>
      <c r="C102" s="181"/>
      <c r="D102" s="170">
        <v>1925</v>
      </c>
      <c r="V102" s="13"/>
      <c r="W102" s="13"/>
      <c r="X102" s="13"/>
      <c r="Y102" s="13"/>
    </row>
    <row r="103" spans="1:25" x14ac:dyDescent="0.25">
      <c r="A103" s="168">
        <f t="shared" si="6"/>
        <v>101</v>
      </c>
      <c r="B103" s="168"/>
      <c r="C103" s="181"/>
      <c r="D103" s="170">
        <v>1924</v>
      </c>
      <c r="V103" s="13"/>
      <c r="W103" s="13"/>
      <c r="X103" s="13"/>
      <c r="Y103" s="13"/>
    </row>
    <row r="104" spans="1:25" x14ac:dyDescent="0.25">
      <c r="A104" s="168">
        <v>102</v>
      </c>
      <c r="B104" s="168"/>
      <c r="C104" s="181"/>
      <c r="D104" s="170">
        <v>1923</v>
      </c>
      <c r="V104" s="13"/>
      <c r="W104" s="13"/>
      <c r="X104" s="13"/>
      <c r="Y104" s="13"/>
    </row>
    <row r="105" spans="1:25" ht="13" thickBot="1" x14ac:dyDescent="0.3">
      <c r="A105" s="184">
        <v>103</v>
      </c>
      <c r="B105" s="184"/>
      <c r="C105" s="185"/>
      <c r="D105" s="186">
        <v>1922</v>
      </c>
      <c r="V105" s="13"/>
      <c r="W105" s="13"/>
      <c r="X105" s="13"/>
      <c r="Y105" s="13"/>
    </row>
  </sheetData>
  <mergeCells count="3">
    <mergeCell ref="A1:D1"/>
    <mergeCell ref="F1:I1"/>
    <mergeCell ref="F9:G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HeadingPairs>
  <TitlesOfParts>
    <vt:vector size="10" baseType="lpstr">
      <vt:lpstr>Cotizador</vt:lpstr>
      <vt:lpstr>Año</vt:lpstr>
      <vt:lpstr>dia</vt:lpstr>
      <vt:lpstr>ICFGPO1</vt:lpstr>
      <vt:lpstr>ICFGPO2</vt:lpstr>
      <vt:lpstr>ICFGPO3</vt:lpstr>
      <vt:lpstr>Mes</vt:lpstr>
      <vt:lpstr>THQS12y3</vt:lpstr>
      <vt:lpstr>THQS1y2</vt:lpstr>
      <vt:lpstr>THQS4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Ángel Soto Gómez</dc:creator>
  <cp:lastModifiedBy>ADMIN</cp:lastModifiedBy>
  <cp:lastPrinted>2022-04-04T22:52:40Z</cp:lastPrinted>
  <dcterms:created xsi:type="dcterms:W3CDTF">2022-03-03T16:39:56Z</dcterms:created>
  <dcterms:modified xsi:type="dcterms:W3CDTF">2024-02-06T23:05:47Z</dcterms:modified>
</cp:coreProperties>
</file>