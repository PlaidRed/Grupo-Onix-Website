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Users\ADMIN\Desktop\GASTOS MEDICOS\"/>
    </mc:Choice>
  </mc:AlternateContent>
  <workbookProtection workbookAlgorithmName="SHA-512" workbookHashValue="y2lMI9tGv6DoRLPksUn7NroomcZK+G1NQBGQTrVHXv3SXk4nYAB1enCjI/CAKEMy2t7JR1WR0ZgOOIgh2HNMvg==" workbookSaltValue="2bBUaNiFaYfZGUi7HF5HZw==" workbookSpinCount="100000" lockStructure="1"/>
  <bookViews>
    <workbookView xWindow="0" yWindow="0" windowWidth="19200" windowHeight="7310" tabRatio="551"/>
  </bookViews>
  <sheets>
    <sheet name="DATOS GENERALES" sheetId="2" r:id="rId1"/>
    <sheet name="CAPTURA DP" sheetId="3" state="hidden" r:id="rId2"/>
    <sheet name="CAPTURA LISTADO" sheetId="5" r:id="rId3"/>
    <sheet name="CARTA-COTIZACION" sheetId="4" r:id="rId4"/>
    <sheet name="DATOS" sheetId="6" state="hidden" r:id="rId5"/>
    <sheet name="RESUMEN" sheetId="8" state="hidden" r:id="rId6"/>
    <sheet name="POLIZAS" sheetId="9" state="hidden" r:id="rId7"/>
  </sheets>
  <definedNames>
    <definedName name="_xlnm._FilterDatabase" localSheetId="4" hidden="1">DATOS!$S$3:$Y$51</definedName>
    <definedName name="_xlnm._FilterDatabase" localSheetId="0" hidden="1">'DATOS GENERALES'!$A$25:$I$28</definedName>
    <definedName name="_xlnm._FilterDatabase" localSheetId="6" hidden="1">POLIZAS!$A$2:$A$18583</definedName>
    <definedName name="_xlnm._FilterDatabase" localSheetId="5" hidden="1">RESUMEN!$W$106:$Z$433</definedName>
    <definedName name="_Key1" hidden="1">#REF!</definedName>
    <definedName name="_Key2" hidden="1">#REF!</definedName>
    <definedName name="_Order1" hidden="1">255</definedName>
    <definedName name="_Order2" hidden="1">255</definedName>
    <definedName name="_Sort" hidden="1">#REF!</definedName>
    <definedName name="a">'DATOS GENERALES'!$C$11</definedName>
    <definedName name="_xlnm.Print_Area" localSheetId="3">'CARTA-COTIZACION'!$B$1:$N$95</definedName>
    <definedName name="b">'CAPTURA DP'!$B$3</definedName>
    <definedName name="H">'CAPTURA LISTADO'!$O$16</definedName>
    <definedName name="IVA">DATOS!$AO$10</definedName>
    <definedName name="M">'CAPTURA LISTADO'!$N$16</definedName>
    <definedName name="MATERNIDAD">'CAPTURA DP'!$W$105:$AE$110</definedName>
    <definedName name="Nueva" comment="a">'CAPTURA DP'!$D$3</definedName>
    <definedName name="p">'CAPTURA DP'!$B$4</definedName>
    <definedName name="pcosto">DATOS!$A$14:$C$20</definedName>
    <definedName name="POLIZAS">POLIZAS!$A$2:$A$28231</definedName>
    <definedName name="PRIMA_N">'CAPTURA DP'!$AQ$1:$CO$104</definedName>
    <definedName name="suma">DATOS!$AA$3:$AD$102</definedName>
    <definedName name="_xlnm.Print_Titles" localSheetId="3">'CARTA-COTIZACION'!$1:$2</definedName>
    <definedName name="ve">DATOS!$BD$11</definedName>
    <definedName name="vo">DATOS!$BB$11</definedName>
    <definedName name="vp">DATOS!$BC$11</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4" i="5" l="1"/>
  <c r="N14" i="5"/>
  <c r="O13" i="5"/>
  <c r="N13" i="5"/>
  <c r="O12" i="5"/>
  <c r="N12" i="5"/>
  <c r="O11" i="5"/>
  <c r="N11" i="5"/>
  <c r="O10" i="5"/>
  <c r="N10" i="5"/>
  <c r="O9" i="5"/>
  <c r="N9" i="5"/>
  <c r="O8" i="5"/>
  <c r="N8" i="5"/>
  <c r="O7" i="5"/>
  <c r="N7" i="5"/>
  <c r="CW3" i="3"/>
  <c r="N16" i="5" l="1"/>
  <c r="O16" i="5"/>
  <c r="K38" i="4" s="1"/>
  <c r="B17" i="4"/>
  <c r="C5" i="2"/>
  <c r="Z4" i="6"/>
  <c r="A6" i="2" l="1"/>
  <c r="D7" i="2"/>
  <c r="D10" i="2"/>
  <c r="F22" i="3" l="1"/>
  <c r="F21" i="3"/>
  <c r="CW64" i="3" l="1"/>
  <c r="CX64" i="3"/>
  <c r="CY64" i="3"/>
  <c r="CZ64" i="3"/>
  <c r="CW65" i="3"/>
  <c r="CX65" i="3"/>
  <c r="CY65" i="3"/>
  <c r="CZ65" i="3"/>
  <c r="CW66" i="3"/>
  <c r="CX66" i="3"/>
  <c r="CY66" i="3"/>
  <c r="CZ66" i="3"/>
  <c r="CW67" i="3"/>
  <c r="CX67" i="3"/>
  <c r="CY67" i="3"/>
  <c r="CZ67" i="3"/>
  <c r="CW68" i="3"/>
  <c r="CX68" i="3"/>
  <c r="CY68" i="3"/>
  <c r="CZ68" i="3"/>
  <c r="CW69" i="3"/>
  <c r="CX69" i="3"/>
  <c r="CY69" i="3"/>
  <c r="CZ69" i="3"/>
  <c r="CW70" i="3"/>
  <c r="CX70" i="3"/>
  <c r="CY70" i="3"/>
  <c r="CZ70" i="3"/>
  <c r="CW71" i="3"/>
  <c r="CX71" i="3"/>
  <c r="CY71" i="3"/>
  <c r="CZ71" i="3"/>
  <c r="CW72" i="3"/>
  <c r="CX72" i="3"/>
  <c r="CY72" i="3"/>
  <c r="CZ72" i="3"/>
  <c r="CW73" i="3"/>
  <c r="CX73" i="3"/>
  <c r="CY73" i="3"/>
  <c r="CZ73" i="3"/>
  <c r="CW74" i="3"/>
  <c r="CX74" i="3"/>
  <c r="CY74" i="3"/>
  <c r="CZ74" i="3"/>
  <c r="CW75" i="3"/>
  <c r="CX75" i="3"/>
  <c r="CY75" i="3"/>
  <c r="CZ75" i="3"/>
  <c r="CW76" i="3"/>
  <c r="CX76" i="3"/>
  <c r="CY76" i="3"/>
  <c r="CZ76" i="3"/>
  <c r="CW77" i="3"/>
  <c r="CX77" i="3"/>
  <c r="CY77" i="3"/>
  <c r="CZ77" i="3"/>
  <c r="CW78" i="3"/>
  <c r="CX78" i="3"/>
  <c r="CY78" i="3"/>
  <c r="CZ78" i="3"/>
  <c r="CW79" i="3"/>
  <c r="CX79" i="3"/>
  <c r="CY79" i="3"/>
  <c r="CZ79" i="3"/>
  <c r="CW80" i="3"/>
  <c r="CX80" i="3"/>
  <c r="CY80" i="3"/>
  <c r="CZ80" i="3"/>
  <c r="CW81" i="3"/>
  <c r="CX81" i="3"/>
  <c r="CY81" i="3"/>
  <c r="CZ81" i="3"/>
  <c r="CW82" i="3"/>
  <c r="CX82" i="3"/>
  <c r="CY82" i="3"/>
  <c r="CZ82" i="3"/>
  <c r="CW83" i="3"/>
  <c r="CX83" i="3"/>
  <c r="CY83" i="3"/>
  <c r="CZ83" i="3"/>
  <c r="CW84" i="3"/>
  <c r="CX84" i="3"/>
  <c r="CY84" i="3"/>
  <c r="CZ84" i="3"/>
  <c r="CW85" i="3"/>
  <c r="CX85" i="3"/>
  <c r="CY85" i="3"/>
  <c r="CZ85" i="3"/>
  <c r="CW86" i="3"/>
  <c r="CX86" i="3"/>
  <c r="CY86" i="3"/>
  <c r="CZ86" i="3"/>
  <c r="CW87" i="3"/>
  <c r="CX87" i="3"/>
  <c r="CY87" i="3"/>
  <c r="CZ87" i="3"/>
  <c r="CW88" i="3"/>
  <c r="CX88" i="3"/>
  <c r="CY88" i="3"/>
  <c r="CZ88" i="3"/>
  <c r="CW89" i="3"/>
  <c r="CX89" i="3"/>
  <c r="CY89" i="3"/>
  <c r="CZ89" i="3"/>
  <c r="CW90" i="3"/>
  <c r="CX90" i="3"/>
  <c r="CY90" i="3"/>
  <c r="CZ90" i="3"/>
  <c r="CW91" i="3"/>
  <c r="CX91" i="3"/>
  <c r="CY91" i="3"/>
  <c r="CZ91" i="3"/>
  <c r="CW92" i="3"/>
  <c r="CX92" i="3"/>
  <c r="CY92" i="3"/>
  <c r="CZ92" i="3"/>
  <c r="CW93" i="3"/>
  <c r="CX93" i="3"/>
  <c r="CY93" i="3"/>
  <c r="CZ93" i="3"/>
  <c r="CW94" i="3"/>
  <c r="CX94" i="3"/>
  <c r="CY94" i="3"/>
  <c r="CZ94" i="3"/>
  <c r="CW95" i="3"/>
  <c r="CX95" i="3"/>
  <c r="CY95" i="3"/>
  <c r="CZ95" i="3"/>
  <c r="CW96" i="3"/>
  <c r="CX96" i="3"/>
  <c r="CY96" i="3"/>
  <c r="CZ96" i="3"/>
  <c r="CW97" i="3"/>
  <c r="CX97" i="3"/>
  <c r="CY97" i="3"/>
  <c r="CZ97" i="3"/>
  <c r="CW98" i="3"/>
  <c r="CX98" i="3"/>
  <c r="CY98" i="3"/>
  <c r="CZ98" i="3"/>
  <c r="CW99" i="3"/>
  <c r="CX99" i="3"/>
  <c r="CY99" i="3"/>
  <c r="CZ99" i="3"/>
  <c r="CW100" i="3"/>
  <c r="CX100" i="3"/>
  <c r="CY100" i="3"/>
  <c r="CZ100" i="3"/>
  <c r="CW101" i="3"/>
  <c r="CX101" i="3"/>
  <c r="CY101" i="3"/>
  <c r="CZ101" i="3"/>
  <c r="CW102" i="3"/>
  <c r="CX102" i="3"/>
  <c r="CY102" i="3"/>
  <c r="CZ102" i="3"/>
  <c r="CW103" i="3"/>
  <c r="CX103" i="3"/>
  <c r="CY103" i="3"/>
  <c r="CZ103" i="3"/>
  <c r="CZ63" i="3"/>
  <c r="CY63" i="3"/>
  <c r="CX63" i="3"/>
  <c r="CW63" i="3"/>
  <c r="CW54" i="3"/>
  <c r="CX54" i="3"/>
  <c r="CY54" i="3"/>
  <c r="CZ54" i="3"/>
  <c r="CW55" i="3"/>
  <c r="CX55" i="3"/>
  <c r="CY55" i="3"/>
  <c r="CZ55" i="3"/>
  <c r="CW56" i="3"/>
  <c r="CX56" i="3"/>
  <c r="CY56" i="3"/>
  <c r="CZ56" i="3"/>
  <c r="CW57" i="3"/>
  <c r="CX57" i="3"/>
  <c r="CY57" i="3"/>
  <c r="CZ57" i="3"/>
  <c r="CW58" i="3"/>
  <c r="CX58" i="3"/>
  <c r="CY58" i="3"/>
  <c r="CZ58" i="3"/>
  <c r="CW59" i="3"/>
  <c r="CX59" i="3"/>
  <c r="CY59" i="3"/>
  <c r="CZ59" i="3"/>
  <c r="CW60" i="3"/>
  <c r="CX60" i="3"/>
  <c r="CY60" i="3"/>
  <c r="CZ60" i="3"/>
  <c r="CW61" i="3"/>
  <c r="CX61" i="3"/>
  <c r="CY61" i="3"/>
  <c r="CZ61" i="3"/>
  <c r="CW62" i="3"/>
  <c r="CX62" i="3"/>
  <c r="CY62" i="3"/>
  <c r="CZ62" i="3"/>
  <c r="CZ53" i="3"/>
  <c r="CY53" i="3"/>
  <c r="CX53" i="3"/>
  <c r="CW53" i="3"/>
  <c r="CW4" i="3"/>
  <c r="CX4" i="3"/>
  <c r="CY4" i="3"/>
  <c r="CZ4" i="3"/>
  <c r="CW5" i="3"/>
  <c r="CX5" i="3"/>
  <c r="CY5" i="3"/>
  <c r="CZ5" i="3"/>
  <c r="CW6" i="3"/>
  <c r="CX6" i="3"/>
  <c r="CY6" i="3"/>
  <c r="CZ6" i="3"/>
  <c r="CW7" i="3"/>
  <c r="CX7" i="3"/>
  <c r="CY7" i="3"/>
  <c r="CZ7" i="3"/>
  <c r="CW8" i="3"/>
  <c r="CX8" i="3"/>
  <c r="CY8" i="3"/>
  <c r="CZ8" i="3"/>
  <c r="CW9" i="3"/>
  <c r="CX9" i="3"/>
  <c r="CY9" i="3"/>
  <c r="CZ9" i="3"/>
  <c r="CW10" i="3"/>
  <c r="CX10" i="3"/>
  <c r="CY10" i="3"/>
  <c r="CZ10" i="3"/>
  <c r="CW11" i="3"/>
  <c r="CX11" i="3"/>
  <c r="CY11" i="3"/>
  <c r="CZ11" i="3"/>
  <c r="CW12" i="3"/>
  <c r="CX12" i="3"/>
  <c r="CY12" i="3"/>
  <c r="CZ12" i="3"/>
  <c r="CW13" i="3"/>
  <c r="CX13" i="3"/>
  <c r="CY13" i="3"/>
  <c r="CZ13" i="3"/>
  <c r="CW14" i="3"/>
  <c r="CX14" i="3"/>
  <c r="CY14" i="3"/>
  <c r="CZ14" i="3"/>
  <c r="CW15" i="3"/>
  <c r="CX15" i="3"/>
  <c r="CY15" i="3"/>
  <c r="CZ15" i="3"/>
  <c r="CW16" i="3"/>
  <c r="CX16" i="3"/>
  <c r="CY16" i="3"/>
  <c r="CZ16" i="3"/>
  <c r="CW17" i="3"/>
  <c r="CX17" i="3"/>
  <c r="CY17" i="3"/>
  <c r="CZ17" i="3"/>
  <c r="CW18" i="3"/>
  <c r="CX18" i="3"/>
  <c r="CY18" i="3"/>
  <c r="CZ18" i="3"/>
  <c r="CW19" i="3"/>
  <c r="CX19" i="3"/>
  <c r="CY19" i="3"/>
  <c r="CZ19" i="3"/>
  <c r="CW20" i="3"/>
  <c r="CX20" i="3"/>
  <c r="CY20" i="3"/>
  <c r="CZ20" i="3"/>
  <c r="CW21" i="3"/>
  <c r="CX21" i="3"/>
  <c r="CY21" i="3"/>
  <c r="CZ21" i="3"/>
  <c r="CW22" i="3"/>
  <c r="CX22" i="3"/>
  <c r="CY22" i="3"/>
  <c r="CZ22" i="3"/>
  <c r="CW23" i="3"/>
  <c r="CX23" i="3"/>
  <c r="CY23" i="3"/>
  <c r="CZ23" i="3"/>
  <c r="CW24" i="3"/>
  <c r="CX24" i="3"/>
  <c r="CY24" i="3"/>
  <c r="CZ24" i="3"/>
  <c r="CW25" i="3"/>
  <c r="CX25" i="3"/>
  <c r="CY25" i="3"/>
  <c r="CZ25" i="3"/>
  <c r="CW26" i="3"/>
  <c r="CX26" i="3"/>
  <c r="CY26" i="3"/>
  <c r="CZ26" i="3"/>
  <c r="CW27" i="3"/>
  <c r="CX27" i="3"/>
  <c r="CY27" i="3"/>
  <c r="CZ27" i="3"/>
  <c r="CW28" i="3"/>
  <c r="CX28" i="3"/>
  <c r="CY28" i="3"/>
  <c r="CZ28" i="3"/>
  <c r="CW29" i="3"/>
  <c r="CX29" i="3"/>
  <c r="CY29" i="3"/>
  <c r="CZ29" i="3"/>
  <c r="CW30" i="3"/>
  <c r="CX30" i="3"/>
  <c r="CY30" i="3"/>
  <c r="CZ30" i="3"/>
  <c r="CW31" i="3"/>
  <c r="CX31" i="3"/>
  <c r="CY31" i="3"/>
  <c r="CZ31" i="3"/>
  <c r="CW32" i="3"/>
  <c r="CX32" i="3"/>
  <c r="CY32" i="3"/>
  <c r="CZ32" i="3"/>
  <c r="CW33" i="3"/>
  <c r="CX33" i="3"/>
  <c r="CY33" i="3"/>
  <c r="CZ33" i="3"/>
  <c r="CW34" i="3"/>
  <c r="CX34" i="3"/>
  <c r="CY34" i="3"/>
  <c r="CZ34" i="3"/>
  <c r="CW35" i="3"/>
  <c r="CX35" i="3"/>
  <c r="CY35" i="3"/>
  <c r="CZ35" i="3"/>
  <c r="CW36" i="3"/>
  <c r="CX36" i="3"/>
  <c r="CY36" i="3"/>
  <c r="CZ36" i="3"/>
  <c r="CW37" i="3"/>
  <c r="CX37" i="3"/>
  <c r="CY37" i="3"/>
  <c r="CZ37" i="3"/>
  <c r="CW38" i="3"/>
  <c r="CX38" i="3"/>
  <c r="CY38" i="3"/>
  <c r="CZ38" i="3"/>
  <c r="CW39" i="3"/>
  <c r="CX39" i="3"/>
  <c r="CY39" i="3"/>
  <c r="CZ39" i="3"/>
  <c r="CW40" i="3"/>
  <c r="CX40" i="3"/>
  <c r="CY40" i="3"/>
  <c r="CZ40" i="3"/>
  <c r="CW41" i="3"/>
  <c r="CX41" i="3"/>
  <c r="CY41" i="3"/>
  <c r="CZ41" i="3"/>
  <c r="CW42" i="3"/>
  <c r="CX42" i="3"/>
  <c r="CY42" i="3"/>
  <c r="CZ42" i="3"/>
  <c r="CW43" i="3"/>
  <c r="CX43" i="3"/>
  <c r="CY43" i="3"/>
  <c r="CZ43" i="3"/>
  <c r="CW44" i="3"/>
  <c r="CX44" i="3"/>
  <c r="CY44" i="3"/>
  <c r="CZ44" i="3"/>
  <c r="CW45" i="3"/>
  <c r="CX45" i="3"/>
  <c r="CY45" i="3"/>
  <c r="CZ45" i="3"/>
  <c r="CW46" i="3"/>
  <c r="CX46" i="3"/>
  <c r="CY46" i="3"/>
  <c r="CZ46" i="3"/>
  <c r="CW47" i="3"/>
  <c r="CX47" i="3"/>
  <c r="CY47" i="3"/>
  <c r="CZ47" i="3"/>
  <c r="CW48" i="3"/>
  <c r="CX48" i="3"/>
  <c r="CY48" i="3"/>
  <c r="CZ48" i="3"/>
  <c r="CW49" i="3"/>
  <c r="CX49" i="3"/>
  <c r="CY49" i="3"/>
  <c r="CZ49" i="3"/>
  <c r="CW50" i="3"/>
  <c r="CX50" i="3"/>
  <c r="CY50" i="3"/>
  <c r="CZ50" i="3"/>
  <c r="CW51" i="3"/>
  <c r="CX51" i="3"/>
  <c r="CY51" i="3"/>
  <c r="CZ51" i="3"/>
  <c r="CW52" i="3"/>
  <c r="CX52" i="3"/>
  <c r="CY52" i="3"/>
  <c r="CZ52" i="3"/>
  <c r="CY3" i="3"/>
  <c r="CX3" i="3"/>
  <c r="B91" i="4"/>
  <c r="B90" i="4"/>
  <c r="B86" i="4"/>
  <c r="G85" i="4"/>
  <c r="M5" i="4"/>
  <c r="B4" i="4"/>
  <c r="B2" i="4"/>
  <c r="J24" i="4"/>
  <c r="Z51" i="6" l="1"/>
  <c r="Z50" i="6"/>
  <c r="Z49" i="6"/>
  <c r="Z48" i="6"/>
  <c r="Z47" i="6"/>
  <c r="Z46" i="6"/>
  <c r="Z45" i="6"/>
  <c r="Z44" i="6"/>
  <c r="Z43" i="6"/>
  <c r="Z42" i="6"/>
  <c r="Z41" i="6"/>
  <c r="Z40" i="6"/>
  <c r="Z39" i="6"/>
  <c r="Z38" i="6"/>
  <c r="Z37" i="6"/>
  <c r="Z36" i="6"/>
  <c r="Z35" i="6"/>
  <c r="Z34" i="6"/>
  <c r="Z33" i="6"/>
  <c r="Z32" i="6"/>
  <c r="Z31" i="6"/>
  <c r="Z28" i="6"/>
  <c r="Z27" i="6"/>
  <c r="Z26" i="6"/>
  <c r="Z25" i="6"/>
  <c r="Z24" i="6"/>
  <c r="Z23" i="6"/>
  <c r="Z22" i="6"/>
  <c r="Z21" i="6"/>
  <c r="Z20" i="6"/>
  <c r="Z18" i="6"/>
  <c r="Z17" i="6"/>
  <c r="Z16" i="6"/>
  <c r="Z15" i="6"/>
  <c r="Z14" i="6"/>
  <c r="Z13" i="6"/>
  <c r="Z12" i="6"/>
  <c r="Z11" i="6"/>
  <c r="Z10" i="6"/>
  <c r="Z9" i="6"/>
  <c r="Z8" i="6"/>
  <c r="Z7" i="6"/>
  <c r="Z6" i="6"/>
  <c r="Z5" i="6"/>
  <c r="B15" i="4"/>
  <c r="E5" i="3"/>
  <c r="K11" i="6" l="1"/>
  <c r="K10" i="6"/>
  <c r="K9" i="6"/>
  <c r="K8" i="6"/>
  <c r="K7" i="6"/>
  <c r="K6" i="6"/>
  <c r="K5" i="6"/>
  <c r="CZ3" i="3"/>
  <c r="F24" i="3"/>
  <c r="F23" i="3"/>
  <c r="K3" i="3" l="1"/>
  <c r="L3" i="3"/>
  <c r="M3" i="3"/>
  <c r="N3" i="3"/>
  <c r="O3" i="3"/>
  <c r="P3" i="3"/>
  <c r="K4" i="3"/>
  <c r="L4" i="3"/>
  <c r="M4" i="3"/>
  <c r="N4" i="3"/>
  <c r="O4" i="3"/>
  <c r="P4" i="3"/>
  <c r="K5" i="3"/>
  <c r="L5" i="3"/>
  <c r="M5" i="3"/>
  <c r="N5" i="3"/>
  <c r="O5" i="3"/>
  <c r="P5" i="3"/>
  <c r="K6" i="3"/>
  <c r="L6" i="3"/>
  <c r="M6" i="3"/>
  <c r="N6" i="3"/>
  <c r="O6" i="3"/>
  <c r="P6" i="3"/>
  <c r="K7" i="3"/>
  <c r="L7" i="3"/>
  <c r="M7" i="3"/>
  <c r="N7" i="3"/>
  <c r="O7" i="3"/>
  <c r="P7" i="3"/>
  <c r="K8" i="3"/>
  <c r="L8" i="3"/>
  <c r="M8" i="3"/>
  <c r="N8" i="3"/>
  <c r="O8" i="3"/>
  <c r="P8" i="3"/>
  <c r="K9" i="3"/>
  <c r="L9" i="3"/>
  <c r="M9" i="3"/>
  <c r="N9" i="3"/>
  <c r="O9" i="3"/>
  <c r="P9" i="3"/>
  <c r="K10" i="3"/>
  <c r="L10" i="3"/>
  <c r="M10" i="3"/>
  <c r="N10" i="3"/>
  <c r="O10" i="3"/>
  <c r="P10" i="3"/>
  <c r="K11" i="3"/>
  <c r="L11" i="3"/>
  <c r="M11" i="3"/>
  <c r="N11" i="3"/>
  <c r="O11" i="3"/>
  <c r="P11" i="3"/>
  <c r="K12" i="3"/>
  <c r="L12" i="3"/>
  <c r="M12" i="3"/>
  <c r="N12" i="3"/>
  <c r="O12" i="3"/>
  <c r="P12" i="3"/>
  <c r="K13" i="3"/>
  <c r="L13" i="3"/>
  <c r="M13" i="3"/>
  <c r="N13" i="3"/>
  <c r="O13" i="3"/>
  <c r="P13" i="3"/>
  <c r="K14" i="3"/>
  <c r="L14" i="3"/>
  <c r="M14" i="3"/>
  <c r="N14" i="3"/>
  <c r="O14" i="3"/>
  <c r="P14" i="3"/>
  <c r="K15" i="3"/>
  <c r="L15" i="3"/>
  <c r="M15" i="3"/>
  <c r="N15" i="3"/>
  <c r="O15" i="3"/>
  <c r="P15" i="3"/>
  <c r="K16" i="3"/>
  <c r="L16" i="3"/>
  <c r="M16" i="3"/>
  <c r="N16" i="3"/>
  <c r="O16" i="3"/>
  <c r="P16" i="3"/>
  <c r="K17" i="3"/>
  <c r="L17" i="3"/>
  <c r="M17" i="3"/>
  <c r="N17" i="3"/>
  <c r="O17" i="3"/>
  <c r="P17" i="3"/>
  <c r="K18" i="3"/>
  <c r="L18" i="3"/>
  <c r="M18" i="3"/>
  <c r="N18" i="3"/>
  <c r="O18" i="3"/>
  <c r="P18" i="3"/>
  <c r="K19" i="3"/>
  <c r="L19" i="3"/>
  <c r="M19" i="3"/>
  <c r="N19" i="3"/>
  <c r="O19" i="3"/>
  <c r="P19" i="3"/>
  <c r="K20" i="3"/>
  <c r="L20" i="3"/>
  <c r="M20" i="3"/>
  <c r="N20" i="3"/>
  <c r="O20" i="3"/>
  <c r="P20" i="3"/>
  <c r="K21" i="3"/>
  <c r="L21" i="3"/>
  <c r="M21" i="3"/>
  <c r="N21" i="3"/>
  <c r="O21" i="3"/>
  <c r="P21" i="3"/>
  <c r="K22" i="3"/>
  <c r="L22" i="3"/>
  <c r="M22" i="3"/>
  <c r="N22" i="3"/>
  <c r="O22" i="3"/>
  <c r="P22" i="3"/>
  <c r="K23" i="3"/>
  <c r="L23" i="3"/>
  <c r="M23" i="3"/>
  <c r="N23" i="3"/>
  <c r="O23" i="3"/>
  <c r="P23" i="3"/>
  <c r="K24" i="3"/>
  <c r="L24" i="3"/>
  <c r="M24" i="3"/>
  <c r="N24" i="3"/>
  <c r="O24" i="3"/>
  <c r="P24" i="3"/>
  <c r="K25" i="3"/>
  <c r="L25" i="3"/>
  <c r="M25" i="3"/>
  <c r="N25" i="3"/>
  <c r="O25" i="3"/>
  <c r="P25" i="3"/>
  <c r="K26" i="3"/>
  <c r="L26" i="3"/>
  <c r="M26" i="3"/>
  <c r="N26" i="3"/>
  <c r="O26" i="3"/>
  <c r="P26" i="3"/>
  <c r="K27" i="3"/>
  <c r="L27" i="3"/>
  <c r="M27" i="3"/>
  <c r="N27" i="3"/>
  <c r="O27" i="3"/>
  <c r="P27" i="3"/>
  <c r="K28" i="3"/>
  <c r="L28" i="3"/>
  <c r="M28" i="3"/>
  <c r="N28" i="3"/>
  <c r="O28" i="3"/>
  <c r="P28" i="3"/>
  <c r="K29" i="3"/>
  <c r="L29" i="3"/>
  <c r="M29" i="3"/>
  <c r="N29" i="3"/>
  <c r="O29" i="3"/>
  <c r="P29" i="3"/>
  <c r="K30" i="3"/>
  <c r="L30" i="3"/>
  <c r="M30" i="3"/>
  <c r="N30" i="3"/>
  <c r="O30" i="3"/>
  <c r="P30" i="3"/>
  <c r="K31" i="3"/>
  <c r="L31" i="3"/>
  <c r="M31" i="3"/>
  <c r="N31" i="3"/>
  <c r="O31" i="3"/>
  <c r="P31" i="3"/>
  <c r="K32" i="3"/>
  <c r="L32" i="3"/>
  <c r="M32" i="3"/>
  <c r="N32" i="3"/>
  <c r="O32" i="3"/>
  <c r="P32" i="3"/>
  <c r="K33" i="3"/>
  <c r="L33" i="3"/>
  <c r="M33" i="3"/>
  <c r="N33" i="3"/>
  <c r="O33" i="3"/>
  <c r="P33" i="3"/>
  <c r="K34" i="3"/>
  <c r="L34" i="3"/>
  <c r="M34" i="3"/>
  <c r="N34" i="3"/>
  <c r="O34" i="3"/>
  <c r="P34" i="3"/>
  <c r="K35" i="3"/>
  <c r="L35" i="3"/>
  <c r="M35" i="3"/>
  <c r="N35" i="3"/>
  <c r="O35" i="3"/>
  <c r="P35" i="3"/>
  <c r="K36" i="3"/>
  <c r="L36" i="3"/>
  <c r="M36" i="3"/>
  <c r="N36" i="3"/>
  <c r="O36" i="3"/>
  <c r="P36" i="3"/>
  <c r="K37" i="3"/>
  <c r="L37" i="3"/>
  <c r="M37" i="3"/>
  <c r="N37" i="3"/>
  <c r="O37" i="3"/>
  <c r="P37" i="3"/>
  <c r="K38" i="3"/>
  <c r="L38" i="3"/>
  <c r="M38" i="3"/>
  <c r="N38" i="3"/>
  <c r="O38" i="3"/>
  <c r="P38" i="3"/>
  <c r="K39" i="3"/>
  <c r="L39" i="3"/>
  <c r="M39" i="3"/>
  <c r="N39" i="3"/>
  <c r="O39" i="3"/>
  <c r="P39" i="3"/>
  <c r="K40" i="3"/>
  <c r="L40" i="3"/>
  <c r="M40" i="3"/>
  <c r="N40" i="3"/>
  <c r="O40" i="3"/>
  <c r="P40" i="3"/>
  <c r="K41" i="3"/>
  <c r="L41" i="3"/>
  <c r="M41" i="3"/>
  <c r="N41" i="3"/>
  <c r="O41" i="3"/>
  <c r="P41" i="3"/>
  <c r="K42" i="3"/>
  <c r="L42" i="3"/>
  <c r="M42" i="3"/>
  <c r="N42" i="3"/>
  <c r="O42" i="3"/>
  <c r="P42" i="3"/>
  <c r="K43" i="3"/>
  <c r="L43" i="3"/>
  <c r="M43" i="3"/>
  <c r="N43" i="3"/>
  <c r="O43" i="3"/>
  <c r="P43" i="3"/>
  <c r="K44" i="3"/>
  <c r="L44" i="3"/>
  <c r="M44" i="3"/>
  <c r="N44" i="3"/>
  <c r="O44" i="3"/>
  <c r="P44" i="3"/>
  <c r="K45" i="3"/>
  <c r="L45" i="3"/>
  <c r="M45" i="3"/>
  <c r="N45" i="3"/>
  <c r="O45" i="3"/>
  <c r="P45" i="3"/>
  <c r="K46" i="3"/>
  <c r="L46" i="3"/>
  <c r="M46" i="3"/>
  <c r="N46" i="3"/>
  <c r="O46" i="3"/>
  <c r="P46" i="3"/>
  <c r="K47" i="3"/>
  <c r="L47" i="3"/>
  <c r="M47" i="3"/>
  <c r="N47" i="3"/>
  <c r="O47" i="3"/>
  <c r="P47" i="3"/>
  <c r="K48" i="3"/>
  <c r="L48" i="3"/>
  <c r="M48" i="3"/>
  <c r="N48" i="3"/>
  <c r="O48" i="3"/>
  <c r="P48" i="3"/>
  <c r="K49" i="3"/>
  <c r="L49" i="3"/>
  <c r="M49" i="3"/>
  <c r="N49" i="3"/>
  <c r="O49" i="3"/>
  <c r="P49" i="3"/>
  <c r="K50" i="3"/>
  <c r="L50" i="3"/>
  <c r="M50" i="3"/>
  <c r="N50" i="3"/>
  <c r="O50" i="3"/>
  <c r="P50" i="3"/>
  <c r="K51" i="3"/>
  <c r="L51" i="3"/>
  <c r="M51" i="3"/>
  <c r="N51" i="3"/>
  <c r="O51" i="3"/>
  <c r="P51" i="3"/>
  <c r="K52" i="3"/>
  <c r="L52" i="3"/>
  <c r="M52" i="3"/>
  <c r="N52" i="3"/>
  <c r="O52" i="3"/>
  <c r="P52" i="3"/>
  <c r="B52" i="4"/>
  <c r="B53" i="4"/>
  <c r="B54" i="4"/>
  <c r="B55" i="4"/>
  <c r="B56" i="4"/>
  <c r="B57" i="4"/>
  <c r="B58" i="4"/>
  <c r="B51" i="4"/>
  <c r="J7" i="5"/>
  <c r="I7" i="5"/>
  <c r="H7" i="5"/>
  <c r="J8" i="5"/>
  <c r="J9" i="5"/>
  <c r="J10" i="5"/>
  <c r="J11" i="5"/>
  <c r="J12" i="5"/>
  <c r="J13" i="5"/>
  <c r="J14" i="5"/>
  <c r="I8" i="5"/>
  <c r="I9" i="5"/>
  <c r="I10" i="5"/>
  <c r="I11" i="5"/>
  <c r="I12" i="5"/>
  <c r="I13" i="5"/>
  <c r="I14" i="5"/>
  <c r="H8" i="5"/>
  <c r="H9" i="5"/>
  <c r="H10" i="5"/>
  <c r="H11" i="5"/>
  <c r="H12" i="5"/>
  <c r="H13" i="5"/>
  <c r="H14" i="5"/>
  <c r="G22" i="3" l="1"/>
  <c r="H179" i="3" s="1"/>
  <c r="G21" i="3"/>
  <c r="C51" i="4"/>
  <c r="G187" i="3" l="1"/>
  <c r="G198" i="3"/>
  <c r="H206" i="3"/>
  <c r="G186" i="3"/>
  <c r="G206" i="3"/>
  <c r="H194" i="3"/>
  <c r="G183" i="3"/>
  <c r="G203" i="3"/>
  <c r="G179" i="3"/>
  <c r="H182" i="3"/>
  <c r="H202" i="3"/>
  <c r="G191" i="3"/>
  <c r="G202" i="3"/>
  <c r="H190" i="3"/>
  <c r="H178" i="3"/>
  <c r="H198" i="3"/>
  <c r="G207" i="3"/>
  <c r="H186" i="3"/>
  <c r="G195" i="3"/>
  <c r="G194" i="3"/>
  <c r="G199" i="3"/>
  <c r="G190" i="3"/>
  <c r="G178" i="3"/>
  <c r="G182" i="3"/>
  <c r="H205" i="3"/>
  <c r="H197" i="3"/>
  <c r="H189" i="3"/>
  <c r="H181" i="3"/>
  <c r="G205" i="3"/>
  <c r="G201" i="3"/>
  <c r="G197" i="3"/>
  <c r="G193" i="3"/>
  <c r="G189" i="3"/>
  <c r="G185" i="3"/>
  <c r="G181" i="3"/>
  <c r="H201" i="3"/>
  <c r="H193" i="3"/>
  <c r="H185" i="3"/>
  <c r="H204" i="3"/>
  <c r="H200" i="3"/>
  <c r="H196" i="3"/>
  <c r="H192" i="3"/>
  <c r="H188" i="3"/>
  <c r="H184" i="3"/>
  <c r="H180" i="3"/>
  <c r="G204" i="3"/>
  <c r="G200" i="3"/>
  <c r="G196" i="3"/>
  <c r="G192" i="3"/>
  <c r="G188" i="3"/>
  <c r="G184" i="3"/>
  <c r="G180" i="3"/>
  <c r="H207" i="3"/>
  <c r="H203" i="3"/>
  <c r="H199" i="3"/>
  <c r="H195" i="3"/>
  <c r="H191" i="3"/>
  <c r="H187" i="3"/>
  <c r="H183" i="3"/>
  <c r="C14" i="3"/>
  <c r="L196" i="6" l="1"/>
  <c r="L194" i="6"/>
  <c r="L191" i="6"/>
  <c r="L176" i="6"/>
  <c r="L174" i="6"/>
  <c r="L171" i="6"/>
  <c r="L156" i="6"/>
  <c r="L154" i="6"/>
  <c r="L151" i="6"/>
  <c r="L136" i="6"/>
  <c r="L134" i="6"/>
  <c r="L131" i="6"/>
  <c r="L116" i="6"/>
  <c r="L114" i="6"/>
  <c r="L111" i="6"/>
  <c r="L96" i="6"/>
  <c r="L94" i="6"/>
  <c r="L91" i="6"/>
  <c r="L76" i="6"/>
  <c r="L74" i="6"/>
  <c r="L71" i="6"/>
  <c r="L56" i="6"/>
  <c r="L54" i="6"/>
  <c r="L51" i="6"/>
  <c r="L36" i="6"/>
  <c r="L34" i="6"/>
  <c r="L31" i="6"/>
  <c r="F17" i="2" l="1"/>
  <c r="J11" i="6" l="1"/>
  <c r="J10" i="6"/>
  <c r="J9" i="6"/>
  <c r="J8" i="6"/>
  <c r="J7" i="6"/>
  <c r="J6" i="6"/>
  <c r="AL11" i="6"/>
  <c r="AL10" i="6"/>
  <c r="AL9" i="6"/>
  <c r="AL8" i="6"/>
  <c r="AL7" i="6"/>
  <c r="AK11" i="6"/>
  <c r="AK10" i="6"/>
  <c r="AK9" i="6"/>
  <c r="AK8" i="6"/>
  <c r="AK7" i="6"/>
  <c r="BD6" i="6"/>
  <c r="BC6" i="6"/>
  <c r="BB6" i="6"/>
  <c r="A24" i="2"/>
  <c r="L203" i="6"/>
  <c r="L202" i="6"/>
  <c r="L201" i="6"/>
  <c r="L200" i="6"/>
  <c r="L199" i="6"/>
  <c r="L198" i="6"/>
  <c r="L197" i="6"/>
  <c r="L195" i="6"/>
  <c r="L193" i="6"/>
  <c r="L192" i="6"/>
  <c r="L190" i="6"/>
  <c r="L189" i="6"/>
  <c r="L188" i="6"/>
  <c r="L187" i="6"/>
  <c r="L186" i="6"/>
  <c r="L185" i="6"/>
  <c r="L184" i="6"/>
  <c r="L183" i="6"/>
  <c r="L182" i="6"/>
  <c r="L181" i="6"/>
  <c r="L180" i="6"/>
  <c r="L179" i="6"/>
  <c r="L178" i="6"/>
  <c r="L177" i="6"/>
  <c r="L175" i="6"/>
  <c r="L173" i="6"/>
  <c r="L172" i="6"/>
  <c r="L170" i="6"/>
  <c r="L169" i="6"/>
  <c r="L168" i="6"/>
  <c r="L167" i="6"/>
  <c r="L166" i="6"/>
  <c r="L165" i="6"/>
  <c r="L164" i="6"/>
  <c r="L163" i="6"/>
  <c r="L162" i="6"/>
  <c r="L161" i="6"/>
  <c r="L160" i="6"/>
  <c r="L159" i="6"/>
  <c r="L158" i="6"/>
  <c r="L157" i="6"/>
  <c r="L155" i="6"/>
  <c r="L153" i="6"/>
  <c r="L152" i="6"/>
  <c r="L150" i="6"/>
  <c r="L149" i="6"/>
  <c r="L148" i="6"/>
  <c r="L147" i="6"/>
  <c r="L146" i="6"/>
  <c r="L145" i="6"/>
  <c r="L144" i="6"/>
  <c r="L143" i="6"/>
  <c r="L142" i="6"/>
  <c r="L141" i="6"/>
  <c r="L140" i="6"/>
  <c r="L139" i="6"/>
  <c r="L138" i="6"/>
  <c r="L137" i="6"/>
  <c r="L135" i="6"/>
  <c r="L133" i="6"/>
  <c r="L132" i="6"/>
  <c r="L130" i="6"/>
  <c r="L129" i="6"/>
  <c r="L128" i="6"/>
  <c r="L127" i="6"/>
  <c r="L126" i="6"/>
  <c r="L125" i="6"/>
  <c r="L124" i="6"/>
  <c r="L123" i="6"/>
  <c r="L122" i="6"/>
  <c r="L121" i="6"/>
  <c r="L120" i="6"/>
  <c r="L119" i="6"/>
  <c r="L118" i="6"/>
  <c r="L117" i="6"/>
  <c r="L115" i="6"/>
  <c r="L113" i="6"/>
  <c r="L112" i="6"/>
  <c r="L110" i="6"/>
  <c r="L109" i="6"/>
  <c r="L108" i="6"/>
  <c r="L107" i="6"/>
  <c r="L106" i="6"/>
  <c r="L105" i="6"/>
  <c r="L104" i="6"/>
  <c r="L103" i="6"/>
  <c r="L102" i="6"/>
  <c r="L101" i="6"/>
  <c r="L100" i="6"/>
  <c r="L99" i="6"/>
  <c r="L98" i="6"/>
  <c r="L97" i="6"/>
  <c r="L95" i="6"/>
  <c r="L93" i="6"/>
  <c r="L92" i="6"/>
  <c r="L90" i="6"/>
  <c r="L89" i="6"/>
  <c r="L88" i="6"/>
  <c r="L87" i="6"/>
  <c r="L86" i="6"/>
  <c r="L85" i="6"/>
  <c r="L84" i="6"/>
  <c r="L83" i="6"/>
  <c r="L82" i="6"/>
  <c r="L81" i="6"/>
  <c r="L80" i="6"/>
  <c r="L79" i="6"/>
  <c r="L78" i="6"/>
  <c r="L77" i="6"/>
  <c r="L75" i="6"/>
  <c r="L73" i="6"/>
  <c r="L72" i="6"/>
  <c r="L70" i="6"/>
  <c r="L69" i="6"/>
  <c r="L68" i="6"/>
  <c r="L67" i="6"/>
  <c r="L66" i="6"/>
  <c r="L65" i="6"/>
  <c r="L64" i="6"/>
  <c r="L63" i="6"/>
  <c r="L62" i="6"/>
  <c r="L61" i="6"/>
  <c r="L60" i="6"/>
  <c r="L59" i="6"/>
  <c r="L58" i="6"/>
  <c r="L57" i="6"/>
  <c r="L55" i="6"/>
  <c r="L53" i="6"/>
  <c r="L52" i="6"/>
  <c r="L50" i="6"/>
  <c r="L49" i="6"/>
  <c r="L48" i="6"/>
  <c r="L47" i="6"/>
  <c r="L46" i="6"/>
  <c r="L45" i="6"/>
  <c r="L44" i="6"/>
  <c r="G168" i="3" l="1"/>
  <c r="G161" i="3"/>
  <c r="G107" i="3"/>
  <c r="G108" i="3"/>
  <c r="H108" i="3"/>
  <c r="G109" i="3"/>
  <c r="H109" i="3"/>
  <c r="G110" i="3"/>
  <c r="H110" i="3"/>
  <c r="G111" i="3"/>
  <c r="H111" i="3"/>
  <c r="G112" i="3"/>
  <c r="H112" i="3"/>
  <c r="G113" i="3"/>
  <c r="H113" i="3"/>
  <c r="G114" i="3"/>
  <c r="H114" i="3"/>
  <c r="G115" i="3"/>
  <c r="H115" i="3"/>
  <c r="G116" i="3"/>
  <c r="H116" i="3"/>
  <c r="G117" i="3"/>
  <c r="H117" i="3"/>
  <c r="G118" i="3"/>
  <c r="H118" i="3"/>
  <c r="G119" i="3"/>
  <c r="H119" i="3"/>
  <c r="G120" i="3"/>
  <c r="H120" i="3"/>
  <c r="G121" i="3"/>
  <c r="H121" i="3"/>
  <c r="G122" i="3"/>
  <c r="H122" i="3"/>
  <c r="G123" i="3"/>
  <c r="H123" i="3"/>
  <c r="G124" i="3"/>
  <c r="H124" i="3"/>
  <c r="G125" i="3"/>
  <c r="H125" i="3"/>
  <c r="G126" i="3"/>
  <c r="H126" i="3"/>
  <c r="G127" i="3"/>
  <c r="H127" i="3"/>
  <c r="G128" i="3"/>
  <c r="H128" i="3"/>
  <c r="G129" i="3"/>
  <c r="H129" i="3"/>
  <c r="G130" i="3"/>
  <c r="H130" i="3"/>
  <c r="G131" i="3"/>
  <c r="H131" i="3"/>
  <c r="G132" i="3"/>
  <c r="H132" i="3"/>
  <c r="G133" i="3"/>
  <c r="H133" i="3"/>
  <c r="G134" i="3"/>
  <c r="H134" i="3"/>
  <c r="G135" i="3"/>
  <c r="H135" i="3"/>
  <c r="G136" i="3"/>
  <c r="H136" i="3"/>
  <c r="G137" i="3"/>
  <c r="H137" i="3"/>
  <c r="G138" i="3"/>
  <c r="H138" i="3"/>
  <c r="G139" i="3"/>
  <c r="H139" i="3"/>
  <c r="G140" i="3"/>
  <c r="H140" i="3"/>
  <c r="G141" i="3"/>
  <c r="H141" i="3"/>
  <c r="G142" i="3"/>
  <c r="H142" i="3"/>
  <c r="G143" i="3"/>
  <c r="H143" i="3"/>
  <c r="G144" i="3"/>
  <c r="H144" i="3"/>
  <c r="G145" i="3"/>
  <c r="H145" i="3"/>
  <c r="G146" i="3"/>
  <c r="H146" i="3"/>
  <c r="G147" i="3"/>
  <c r="H147" i="3"/>
  <c r="G148" i="3"/>
  <c r="H148" i="3"/>
  <c r="G149" i="3"/>
  <c r="H149" i="3"/>
  <c r="G150" i="3"/>
  <c r="H150" i="3"/>
  <c r="G151" i="3"/>
  <c r="H151" i="3"/>
  <c r="G152" i="3"/>
  <c r="H152" i="3"/>
  <c r="G153" i="3"/>
  <c r="H153" i="3"/>
  <c r="G154" i="3"/>
  <c r="H154" i="3"/>
  <c r="G155" i="3"/>
  <c r="H155" i="3"/>
  <c r="G156" i="3"/>
  <c r="H156" i="3"/>
  <c r="H107" i="3"/>
  <c r="H171" i="3" l="1"/>
  <c r="H175" i="3"/>
  <c r="G171" i="3"/>
  <c r="G160" i="3"/>
  <c r="H170" i="3"/>
  <c r="H157" i="3"/>
  <c r="G174" i="3"/>
  <c r="G170" i="3"/>
  <c r="H160" i="3"/>
  <c r="G175" i="3"/>
  <c r="H163" i="3"/>
  <c r="G159" i="3"/>
  <c r="H162" i="3"/>
  <c r="H158" i="3"/>
  <c r="H177" i="3"/>
  <c r="H173" i="3"/>
  <c r="H169" i="3"/>
  <c r="G164" i="3"/>
  <c r="G157" i="3"/>
  <c r="G163" i="3"/>
  <c r="G177" i="3"/>
  <c r="G173" i="3"/>
  <c r="G169" i="3"/>
  <c r="H164" i="3"/>
  <c r="H159" i="3"/>
  <c r="H166" i="3"/>
  <c r="G166" i="3"/>
  <c r="G158" i="3"/>
  <c r="H165" i="3"/>
  <c r="H176" i="3"/>
  <c r="H172" i="3"/>
  <c r="H168" i="3"/>
  <c r="H174" i="3"/>
  <c r="G162" i="3"/>
  <c r="H161" i="3"/>
  <c r="G167" i="3"/>
  <c r="G165" i="3"/>
  <c r="H167" i="3"/>
  <c r="G176" i="3"/>
  <c r="G172" i="3"/>
  <c r="G27" i="3"/>
  <c r="G26" i="3"/>
  <c r="K24" i="4" l="1"/>
  <c r="AC25" i="6"/>
  <c r="C28" i="3" l="1"/>
  <c r="B84" i="4" s="1"/>
  <c r="C13" i="3"/>
  <c r="K23" i="4" s="1"/>
  <c r="CV3" i="3" l="1"/>
  <c r="H12" i="2"/>
  <c r="AO10" i="6"/>
  <c r="AK4" i="6"/>
  <c r="J5" i="6" l="1"/>
  <c r="J4" i="6"/>
  <c r="G107" i="8" l="1"/>
  <c r="D9" i="8"/>
  <c r="B9" i="8"/>
  <c r="A9" i="8"/>
  <c r="C9" i="8" s="1"/>
  <c r="D8" i="8"/>
  <c r="B8" i="8"/>
  <c r="A8" i="8"/>
  <c r="C8" i="8" s="1"/>
  <c r="D7" i="8"/>
  <c r="B7" i="8"/>
  <c r="A7" i="8"/>
  <c r="C7" i="8" s="1"/>
  <c r="D6" i="8"/>
  <c r="B6" i="8"/>
  <c r="A6" i="8"/>
  <c r="C6" i="8" s="1"/>
  <c r="D5" i="8"/>
  <c r="B5" i="8"/>
  <c r="A5" i="8"/>
  <c r="C5" i="8" s="1"/>
  <c r="D4" i="8"/>
  <c r="B4" i="8"/>
  <c r="A4" i="8"/>
  <c r="C4" i="8" s="1"/>
  <c r="D3" i="8"/>
  <c r="B3" i="8"/>
  <c r="A3" i="8"/>
  <c r="C3" i="8" s="1"/>
  <c r="D2" i="8"/>
  <c r="B2" i="8"/>
  <c r="A2" i="8"/>
  <c r="C2" i="8" s="1"/>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I124" i="6"/>
  <c r="I123" i="6"/>
  <c r="I122" i="6"/>
  <c r="I121" i="6"/>
  <c r="I120" i="6"/>
  <c r="I119" i="6"/>
  <c r="I118" i="6"/>
  <c r="I117" i="6"/>
  <c r="I116" i="6"/>
  <c r="I115" i="6"/>
  <c r="I114" i="6"/>
  <c r="I113" i="6"/>
  <c r="I112" i="6"/>
  <c r="I111" i="6"/>
  <c r="I110" i="6"/>
  <c r="I109" i="6"/>
  <c r="I108" i="6"/>
  <c r="I107" i="6"/>
  <c r="I106" i="6"/>
  <c r="I105" i="6"/>
  <c r="I104" i="6"/>
  <c r="I103" i="6"/>
  <c r="AC102" i="6"/>
  <c r="I102" i="6"/>
  <c r="AC101" i="6"/>
  <c r="I101" i="6"/>
  <c r="AC100" i="6"/>
  <c r="I100" i="6"/>
  <c r="AC99" i="6"/>
  <c r="I99" i="6"/>
  <c r="AC98" i="6"/>
  <c r="I98" i="6"/>
  <c r="AC97" i="6"/>
  <c r="I97" i="6"/>
  <c r="AC96" i="6"/>
  <c r="I96" i="6"/>
  <c r="AC95" i="6"/>
  <c r="I95" i="6"/>
  <c r="AC94" i="6"/>
  <c r="I94" i="6"/>
  <c r="AC93" i="6"/>
  <c r="I93" i="6"/>
  <c r="AC92" i="6"/>
  <c r="I92" i="6"/>
  <c r="AC91" i="6"/>
  <c r="I91" i="6"/>
  <c r="AC90" i="6"/>
  <c r="I90" i="6"/>
  <c r="AC89" i="6"/>
  <c r="I89" i="6"/>
  <c r="AC88" i="6"/>
  <c r="I88" i="6"/>
  <c r="AC87" i="6"/>
  <c r="I87" i="6"/>
  <c r="AC86" i="6"/>
  <c r="I86" i="6"/>
  <c r="AC85" i="6"/>
  <c r="I85" i="6"/>
  <c r="AC84" i="6"/>
  <c r="I84" i="6"/>
  <c r="AC83" i="6"/>
  <c r="I83" i="6"/>
  <c r="AC82" i="6"/>
  <c r="I82" i="6"/>
  <c r="AC81" i="6"/>
  <c r="I81" i="6"/>
  <c r="AC80" i="6"/>
  <c r="I80" i="6"/>
  <c r="AC79" i="6"/>
  <c r="I79" i="6"/>
  <c r="AC78" i="6"/>
  <c r="I78" i="6"/>
  <c r="AC77" i="6"/>
  <c r="I77" i="6"/>
  <c r="AC76" i="6"/>
  <c r="I76" i="6"/>
  <c r="AC75" i="6"/>
  <c r="I75" i="6"/>
  <c r="AC74" i="6"/>
  <c r="I74" i="6"/>
  <c r="AC73" i="6"/>
  <c r="I73" i="6"/>
  <c r="AC72" i="6"/>
  <c r="I72" i="6"/>
  <c r="AC71" i="6"/>
  <c r="I71" i="6"/>
  <c r="AC70" i="6"/>
  <c r="I70" i="6"/>
  <c r="AC69" i="6"/>
  <c r="I69" i="6"/>
  <c r="AC68" i="6"/>
  <c r="I68" i="6"/>
  <c r="AC67" i="6"/>
  <c r="I67" i="6"/>
  <c r="AC66" i="6"/>
  <c r="I66" i="6"/>
  <c r="AC65" i="6"/>
  <c r="I65" i="6"/>
  <c r="AC64" i="6"/>
  <c r="I64" i="6"/>
  <c r="AC63" i="6"/>
  <c r="I63" i="6"/>
  <c r="AC62" i="6"/>
  <c r="I62" i="6"/>
  <c r="AC61" i="6"/>
  <c r="I61" i="6"/>
  <c r="AC60" i="6"/>
  <c r="I60" i="6"/>
  <c r="AC59" i="6"/>
  <c r="I59" i="6"/>
  <c r="AC58" i="6"/>
  <c r="I58" i="6"/>
  <c r="AC57" i="6"/>
  <c r="I57" i="6"/>
  <c r="AC56" i="6"/>
  <c r="I56" i="6"/>
  <c r="AC55" i="6"/>
  <c r="I55" i="6"/>
  <c r="AC54" i="6"/>
  <c r="I54" i="6"/>
  <c r="AC53" i="6"/>
  <c r="O53" i="6"/>
  <c r="I53" i="6"/>
  <c r="AC52" i="6"/>
  <c r="O52" i="6"/>
  <c r="I52" i="6"/>
  <c r="AC51" i="6"/>
  <c r="O51" i="6"/>
  <c r="I51" i="6"/>
  <c r="AC50" i="6"/>
  <c r="O50" i="6"/>
  <c r="I50" i="6"/>
  <c r="AC49" i="6"/>
  <c r="O49" i="6"/>
  <c r="I49" i="6"/>
  <c r="AC48" i="6"/>
  <c r="O48" i="6"/>
  <c r="I48" i="6"/>
  <c r="AC47" i="6"/>
  <c r="O47" i="6"/>
  <c r="I47" i="6"/>
  <c r="AC46" i="6"/>
  <c r="O46" i="6"/>
  <c r="I46" i="6"/>
  <c r="AC45" i="6"/>
  <c r="O45" i="6"/>
  <c r="I45" i="6"/>
  <c r="AC44" i="6"/>
  <c r="O44" i="6"/>
  <c r="I44" i="6"/>
  <c r="AC43" i="6"/>
  <c r="O43" i="6"/>
  <c r="L43" i="6"/>
  <c r="I43" i="6"/>
  <c r="AC42" i="6"/>
  <c r="O42" i="6"/>
  <c r="L42" i="6"/>
  <c r="I42" i="6"/>
  <c r="AC41" i="6"/>
  <c r="O41" i="6"/>
  <c r="L41" i="6"/>
  <c r="I41" i="6"/>
  <c r="AC40" i="6"/>
  <c r="O40" i="6"/>
  <c r="L40" i="6"/>
  <c r="I40" i="6"/>
  <c r="AC39" i="6"/>
  <c r="O39" i="6"/>
  <c r="L39" i="6"/>
  <c r="I39" i="6"/>
  <c r="AC38" i="6"/>
  <c r="O38" i="6"/>
  <c r="L38" i="6"/>
  <c r="I38" i="6"/>
  <c r="AC37" i="6"/>
  <c r="O37" i="6"/>
  <c r="L37" i="6"/>
  <c r="I37" i="6"/>
  <c r="AC36" i="6"/>
  <c r="O36" i="6"/>
  <c r="I36" i="6"/>
  <c r="AC35" i="6"/>
  <c r="O35" i="6"/>
  <c r="L35" i="6"/>
  <c r="I35" i="6"/>
  <c r="AC34" i="6"/>
  <c r="O34" i="6"/>
  <c r="I34" i="6"/>
  <c r="AC33" i="6"/>
  <c r="O33" i="6"/>
  <c r="L33" i="6"/>
  <c r="I33" i="6"/>
  <c r="AC32" i="6"/>
  <c r="O32" i="6"/>
  <c r="L32" i="6"/>
  <c r="I32" i="6"/>
  <c r="AC31" i="6"/>
  <c r="O31" i="6"/>
  <c r="I31" i="6"/>
  <c r="AC30" i="6"/>
  <c r="O30" i="6"/>
  <c r="L30" i="6"/>
  <c r="I30" i="6"/>
  <c r="AC29" i="6"/>
  <c r="O29" i="6"/>
  <c r="L29" i="6"/>
  <c r="I29" i="6"/>
  <c r="AC28" i="6"/>
  <c r="O28" i="6"/>
  <c r="L28" i="6"/>
  <c r="I28" i="6"/>
  <c r="AC27" i="6"/>
  <c r="O27" i="6"/>
  <c r="L27" i="6"/>
  <c r="I27" i="6"/>
  <c r="A27" i="6"/>
  <c r="AC26" i="6"/>
  <c r="O26" i="6"/>
  <c r="L26" i="6"/>
  <c r="I26" i="6"/>
  <c r="O25" i="6"/>
  <c r="L25" i="6"/>
  <c r="I25" i="6"/>
  <c r="AC24" i="6"/>
  <c r="O24" i="6"/>
  <c r="L24" i="6"/>
  <c r="I24" i="6"/>
  <c r="AL23" i="6"/>
  <c r="AK23" i="6"/>
  <c r="AC23" i="6"/>
  <c r="O23" i="6"/>
  <c r="L23" i="6"/>
  <c r="I23" i="6"/>
  <c r="G23" i="6"/>
  <c r="AL22" i="6"/>
  <c r="AK22" i="6"/>
  <c r="AC22" i="6"/>
  <c r="O22" i="6"/>
  <c r="L22" i="6"/>
  <c r="I22" i="6"/>
  <c r="G22" i="6"/>
  <c r="AL21" i="6"/>
  <c r="AK21" i="6"/>
  <c r="AC21" i="6"/>
  <c r="O21" i="6"/>
  <c r="L21" i="6"/>
  <c r="I21" i="6"/>
  <c r="G21" i="6"/>
  <c r="AL20" i="6"/>
  <c r="AK20" i="6"/>
  <c r="AC20" i="6"/>
  <c r="O20" i="6"/>
  <c r="L20" i="6"/>
  <c r="I20" i="6"/>
  <c r="G20" i="6"/>
  <c r="AL19" i="6"/>
  <c r="AK19" i="6"/>
  <c r="AC19" i="6"/>
  <c r="O19" i="6"/>
  <c r="L19" i="6"/>
  <c r="I19" i="6"/>
  <c r="G19" i="6"/>
  <c r="AL18" i="6"/>
  <c r="AK18" i="6"/>
  <c r="AC18" i="6"/>
  <c r="O18" i="6"/>
  <c r="L18" i="6"/>
  <c r="I18" i="6"/>
  <c r="G18" i="6"/>
  <c r="AL17" i="6"/>
  <c r="AK17" i="6"/>
  <c r="AC17" i="6"/>
  <c r="O17" i="6"/>
  <c r="L17" i="6"/>
  <c r="I17" i="6"/>
  <c r="G17" i="6"/>
  <c r="AL16" i="6"/>
  <c r="AK16" i="6"/>
  <c r="AC16" i="6"/>
  <c r="O16" i="6"/>
  <c r="L16" i="6"/>
  <c r="I16" i="6"/>
  <c r="G16" i="6"/>
  <c r="AL15" i="6"/>
  <c r="AK15" i="6"/>
  <c r="AC15" i="6"/>
  <c r="O15" i="6"/>
  <c r="L15" i="6"/>
  <c r="I15" i="6"/>
  <c r="G15" i="6"/>
  <c r="AS14" i="6"/>
  <c r="AQ14" i="6"/>
  <c r="AL14" i="6"/>
  <c r="AK14" i="6"/>
  <c r="AC14" i="6"/>
  <c r="O14" i="6"/>
  <c r="L14" i="6"/>
  <c r="I14" i="6"/>
  <c r="G14" i="6"/>
  <c r="AS13" i="6"/>
  <c r="AQ13" i="6"/>
  <c r="AL13" i="6"/>
  <c r="AK13" i="6"/>
  <c r="AH13" i="6"/>
  <c r="AC13" i="6"/>
  <c r="O13" i="6"/>
  <c r="L13" i="6"/>
  <c r="I13" i="6"/>
  <c r="G13" i="6"/>
  <c r="AS12" i="6"/>
  <c r="AQ12" i="6"/>
  <c r="AL12" i="6"/>
  <c r="AK12" i="6"/>
  <c r="AH12" i="6"/>
  <c r="AC12" i="6"/>
  <c r="O12" i="6"/>
  <c r="L12" i="6"/>
  <c r="I12" i="6"/>
  <c r="G12" i="6"/>
  <c r="AS11" i="6"/>
  <c r="AQ11" i="6"/>
  <c r="AH11" i="6"/>
  <c r="AC11" i="6"/>
  <c r="O11" i="6"/>
  <c r="L11" i="6"/>
  <c r="I11" i="6"/>
  <c r="G11" i="6"/>
  <c r="AS10" i="6"/>
  <c r="AQ10" i="6"/>
  <c r="AH10" i="6"/>
  <c r="AC10" i="6"/>
  <c r="O10" i="6"/>
  <c r="L10" i="6"/>
  <c r="I10" i="6"/>
  <c r="G10" i="6"/>
  <c r="AS9" i="6"/>
  <c r="AQ9" i="6"/>
  <c r="AH9" i="6"/>
  <c r="AC9" i="6"/>
  <c r="O9" i="6"/>
  <c r="L9" i="6"/>
  <c r="I9" i="6"/>
  <c r="G9" i="6"/>
  <c r="BD8" i="6"/>
  <c r="BB8" i="6"/>
  <c r="AS8" i="6"/>
  <c r="AQ8" i="6"/>
  <c r="AH8" i="6"/>
  <c r="AD8" i="6"/>
  <c r="AC8" i="6"/>
  <c r="O8" i="6"/>
  <c r="L8" i="6"/>
  <c r="I8" i="6"/>
  <c r="G8" i="6"/>
  <c r="AS7" i="6"/>
  <c r="AQ7" i="6"/>
  <c r="AH7" i="6"/>
  <c r="AD7" i="6"/>
  <c r="AC7" i="6"/>
  <c r="O7" i="6"/>
  <c r="L7" i="6"/>
  <c r="I7" i="6"/>
  <c r="G7" i="6"/>
  <c r="AS6" i="6"/>
  <c r="AL6" i="6"/>
  <c r="AK6" i="6"/>
  <c r="AH6" i="6"/>
  <c r="AD6" i="6"/>
  <c r="AC6" i="6"/>
  <c r="O6" i="6"/>
  <c r="L6" i="6"/>
  <c r="I6" i="6"/>
  <c r="G6" i="6"/>
  <c r="AL5" i="6"/>
  <c r="AK5" i="6"/>
  <c r="AH5" i="6"/>
  <c r="AD5" i="6"/>
  <c r="B19" i="3" s="1"/>
  <c r="D15" i="2" s="1"/>
  <c r="AC5" i="6"/>
  <c r="O5" i="6"/>
  <c r="L5" i="6"/>
  <c r="I5" i="6"/>
  <c r="G5" i="6"/>
  <c r="BD4" i="6"/>
  <c r="BB4" i="6"/>
  <c r="AL4" i="6"/>
  <c r="AH4" i="6"/>
  <c r="AC4" i="6"/>
  <c r="O4" i="6"/>
  <c r="L4" i="6"/>
  <c r="I4" i="6"/>
  <c r="G4" i="6"/>
  <c r="B21" i="3" s="1"/>
  <c r="D20" i="2" s="1"/>
  <c r="BB2" i="6"/>
  <c r="AV2" i="6"/>
  <c r="BB1" i="6"/>
  <c r="J85" i="4"/>
  <c r="D58" i="4"/>
  <c r="D57" i="4"/>
  <c r="D56" i="4"/>
  <c r="D55" i="4"/>
  <c r="D54" i="4"/>
  <c r="D53" i="4"/>
  <c r="D52" i="4"/>
  <c r="D51" i="4"/>
  <c r="B1" i="4"/>
  <c r="E14" i="5"/>
  <c r="K14" i="5" s="1"/>
  <c r="E13" i="5"/>
  <c r="K13" i="5" s="1"/>
  <c r="E12" i="5"/>
  <c r="K12" i="5" s="1"/>
  <c r="E11" i="5"/>
  <c r="K11" i="5" s="1"/>
  <c r="E10" i="5"/>
  <c r="K10" i="5" s="1"/>
  <c r="E9" i="5"/>
  <c r="K9" i="5" s="1"/>
  <c r="E8" i="5"/>
  <c r="K8" i="5" s="1"/>
  <c r="E7" i="5"/>
  <c r="K7" i="5" s="1"/>
  <c r="D3" i="5"/>
  <c r="C3" i="5"/>
  <c r="AK52" i="3"/>
  <c r="AO52" i="3" s="1"/>
  <c r="AJ52" i="3"/>
  <c r="AL52" i="3" s="1"/>
  <c r="AE52" i="3"/>
  <c r="AG52" i="3" s="1"/>
  <c r="AD52" i="3"/>
  <c r="AH52" i="3" s="1"/>
  <c r="Y52" i="3"/>
  <c r="AC52" i="3" s="1"/>
  <c r="X52" i="3"/>
  <c r="Z52" i="3" s="1"/>
  <c r="AK51" i="3"/>
  <c r="AO51" i="3" s="1"/>
  <c r="AJ51" i="3"/>
  <c r="AL51" i="3" s="1"/>
  <c r="AE51" i="3"/>
  <c r="AG51" i="3" s="1"/>
  <c r="AD51" i="3"/>
  <c r="AH51" i="3" s="1"/>
  <c r="Y51" i="3"/>
  <c r="AA51" i="3" s="1"/>
  <c r="X51" i="3"/>
  <c r="Z51" i="3" s="1"/>
  <c r="AK50" i="3"/>
  <c r="AO50" i="3" s="1"/>
  <c r="AJ50" i="3"/>
  <c r="AL50" i="3" s="1"/>
  <c r="AE50" i="3"/>
  <c r="AG50" i="3" s="1"/>
  <c r="AD50" i="3"/>
  <c r="AF50" i="3" s="1"/>
  <c r="Y50" i="3"/>
  <c r="AC50" i="3" s="1"/>
  <c r="X50" i="3"/>
  <c r="Z50" i="3" s="1"/>
  <c r="AK49" i="3"/>
  <c r="AO49" i="3" s="1"/>
  <c r="AJ49" i="3"/>
  <c r="AL49" i="3" s="1"/>
  <c r="AE49" i="3"/>
  <c r="AG49" i="3" s="1"/>
  <c r="AD49" i="3"/>
  <c r="AF49" i="3" s="1"/>
  <c r="Y49" i="3"/>
  <c r="AC49" i="3" s="1"/>
  <c r="X49" i="3"/>
  <c r="Z49" i="3" s="1"/>
  <c r="AK48" i="3"/>
  <c r="AO48" i="3" s="1"/>
  <c r="AJ48" i="3"/>
  <c r="AL48" i="3" s="1"/>
  <c r="AE48" i="3"/>
  <c r="AG48" i="3" s="1"/>
  <c r="AD48" i="3"/>
  <c r="AH48" i="3" s="1"/>
  <c r="Y48" i="3"/>
  <c r="AC48" i="3" s="1"/>
  <c r="X48" i="3"/>
  <c r="Z48" i="3" s="1"/>
  <c r="AK47" i="3"/>
  <c r="AO47" i="3" s="1"/>
  <c r="AJ47" i="3"/>
  <c r="AL47" i="3" s="1"/>
  <c r="AE47" i="3"/>
  <c r="AG47" i="3" s="1"/>
  <c r="AD47" i="3"/>
  <c r="AH47" i="3" s="1"/>
  <c r="Y47" i="3"/>
  <c r="AA47" i="3" s="1"/>
  <c r="X47" i="3"/>
  <c r="Z47" i="3" s="1"/>
  <c r="AK46" i="3"/>
  <c r="AO46" i="3" s="1"/>
  <c r="AJ46" i="3"/>
  <c r="AL46" i="3" s="1"/>
  <c r="AE46" i="3"/>
  <c r="AG46" i="3" s="1"/>
  <c r="AD46" i="3"/>
  <c r="AF46" i="3" s="1"/>
  <c r="Y46" i="3"/>
  <c r="AC46" i="3" s="1"/>
  <c r="X46" i="3"/>
  <c r="Z46" i="3" s="1"/>
  <c r="AK45" i="3"/>
  <c r="AO45" i="3" s="1"/>
  <c r="AJ45" i="3"/>
  <c r="AL45" i="3" s="1"/>
  <c r="AE45" i="3"/>
  <c r="AG45" i="3" s="1"/>
  <c r="AD45" i="3"/>
  <c r="AF45" i="3" s="1"/>
  <c r="Y45" i="3"/>
  <c r="AC45" i="3" s="1"/>
  <c r="X45" i="3"/>
  <c r="Z45" i="3" s="1"/>
  <c r="AK44" i="3"/>
  <c r="AO44" i="3" s="1"/>
  <c r="AJ44" i="3"/>
  <c r="AL44" i="3" s="1"/>
  <c r="AE44" i="3"/>
  <c r="AG44" i="3" s="1"/>
  <c r="AD44" i="3"/>
  <c r="AH44" i="3" s="1"/>
  <c r="Y44" i="3"/>
  <c r="AC44" i="3" s="1"/>
  <c r="X44" i="3"/>
  <c r="Z44" i="3" s="1"/>
  <c r="AK43" i="3"/>
  <c r="AO43" i="3" s="1"/>
  <c r="AJ43" i="3"/>
  <c r="AL43" i="3" s="1"/>
  <c r="AE43" i="3"/>
  <c r="AI43" i="3" s="1"/>
  <c r="AD43" i="3"/>
  <c r="AH43" i="3" s="1"/>
  <c r="Y43" i="3"/>
  <c r="AC43" i="3" s="1"/>
  <c r="X43" i="3"/>
  <c r="Z43" i="3" s="1"/>
  <c r="AK42" i="3"/>
  <c r="AO42" i="3" s="1"/>
  <c r="AJ42" i="3"/>
  <c r="AL42" i="3" s="1"/>
  <c r="AE42" i="3"/>
  <c r="AI42" i="3" s="1"/>
  <c r="AD42" i="3"/>
  <c r="AF42" i="3" s="1"/>
  <c r="Y42" i="3"/>
  <c r="AC42" i="3" s="1"/>
  <c r="X42" i="3"/>
  <c r="Z42" i="3" s="1"/>
  <c r="AK41" i="3"/>
  <c r="AO41" i="3" s="1"/>
  <c r="AJ41" i="3"/>
  <c r="AL41" i="3" s="1"/>
  <c r="AE41" i="3"/>
  <c r="AG41" i="3" s="1"/>
  <c r="AD41" i="3"/>
  <c r="AH41" i="3" s="1"/>
  <c r="Y41" i="3"/>
  <c r="AC41" i="3" s="1"/>
  <c r="X41" i="3"/>
  <c r="Z41" i="3" s="1"/>
  <c r="AK40" i="3"/>
  <c r="AO40" i="3" s="1"/>
  <c r="AJ40" i="3"/>
  <c r="AL40" i="3" s="1"/>
  <c r="AE40" i="3"/>
  <c r="AG40" i="3" s="1"/>
  <c r="AD40" i="3"/>
  <c r="AH40" i="3" s="1"/>
  <c r="Y40" i="3"/>
  <c r="AA40" i="3" s="1"/>
  <c r="X40" i="3"/>
  <c r="Z40" i="3" s="1"/>
  <c r="AK39" i="3"/>
  <c r="AO39" i="3" s="1"/>
  <c r="AJ39" i="3"/>
  <c r="AL39" i="3" s="1"/>
  <c r="AE39" i="3"/>
  <c r="AG39" i="3" s="1"/>
  <c r="AD39" i="3"/>
  <c r="AF39" i="3" s="1"/>
  <c r="Y39" i="3"/>
  <c r="AC39" i="3" s="1"/>
  <c r="X39" i="3"/>
  <c r="Z39" i="3" s="1"/>
  <c r="AK38" i="3"/>
  <c r="AO38" i="3" s="1"/>
  <c r="AJ38" i="3"/>
  <c r="AL38" i="3" s="1"/>
  <c r="AE38" i="3"/>
  <c r="AG38" i="3" s="1"/>
  <c r="AD38" i="3"/>
  <c r="AF38" i="3" s="1"/>
  <c r="Y38" i="3"/>
  <c r="AC38" i="3" s="1"/>
  <c r="X38" i="3"/>
  <c r="Z38" i="3" s="1"/>
  <c r="AK37" i="3"/>
  <c r="AO37" i="3" s="1"/>
  <c r="AJ37" i="3"/>
  <c r="AL37" i="3" s="1"/>
  <c r="AE37" i="3"/>
  <c r="AG37" i="3" s="1"/>
  <c r="AD37" i="3"/>
  <c r="AH37" i="3" s="1"/>
  <c r="Y37" i="3"/>
  <c r="AC37" i="3" s="1"/>
  <c r="X37" i="3"/>
  <c r="Z37" i="3" s="1"/>
  <c r="AK36" i="3"/>
  <c r="AO36" i="3" s="1"/>
  <c r="AJ36" i="3"/>
  <c r="AL36" i="3" s="1"/>
  <c r="AE36" i="3"/>
  <c r="AG36" i="3" s="1"/>
  <c r="AD36" i="3"/>
  <c r="AH36" i="3" s="1"/>
  <c r="Y36" i="3"/>
  <c r="AA36" i="3" s="1"/>
  <c r="X36" i="3"/>
  <c r="Z36" i="3" s="1"/>
  <c r="AK35" i="3"/>
  <c r="AO35" i="3" s="1"/>
  <c r="AJ35" i="3"/>
  <c r="AL35" i="3" s="1"/>
  <c r="AE35" i="3"/>
  <c r="AI35" i="3" s="1"/>
  <c r="AD35" i="3"/>
  <c r="AH35" i="3" s="1"/>
  <c r="Y35" i="3"/>
  <c r="AC35" i="3" s="1"/>
  <c r="X35" i="3"/>
  <c r="Z35" i="3" s="1"/>
  <c r="AK34" i="3"/>
  <c r="AO34" i="3" s="1"/>
  <c r="AJ34" i="3"/>
  <c r="AL34" i="3" s="1"/>
  <c r="AE34" i="3"/>
  <c r="AG34" i="3" s="1"/>
  <c r="AD34" i="3"/>
  <c r="AH34" i="3" s="1"/>
  <c r="Y34" i="3"/>
  <c r="AC34" i="3" s="1"/>
  <c r="X34" i="3"/>
  <c r="Z34" i="3" s="1"/>
  <c r="AK33" i="3"/>
  <c r="AO33" i="3" s="1"/>
  <c r="AJ33" i="3"/>
  <c r="AL33" i="3" s="1"/>
  <c r="AE33" i="3"/>
  <c r="AG33" i="3" s="1"/>
  <c r="AD33" i="3"/>
  <c r="AH33" i="3" s="1"/>
  <c r="Y33" i="3"/>
  <c r="AA33" i="3" s="1"/>
  <c r="X33" i="3"/>
  <c r="Z33" i="3" s="1"/>
  <c r="AK32" i="3"/>
  <c r="AO32" i="3" s="1"/>
  <c r="AJ32" i="3"/>
  <c r="AL32" i="3" s="1"/>
  <c r="AE32" i="3"/>
  <c r="AG32" i="3" s="1"/>
  <c r="AD32" i="3"/>
  <c r="AF32" i="3" s="1"/>
  <c r="Y32" i="3"/>
  <c r="AA32" i="3" s="1"/>
  <c r="X32" i="3"/>
  <c r="Z32" i="3" s="1"/>
  <c r="AK31" i="3"/>
  <c r="AO31" i="3" s="1"/>
  <c r="AJ31" i="3"/>
  <c r="AL31" i="3" s="1"/>
  <c r="AE31" i="3"/>
  <c r="AG31" i="3" s="1"/>
  <c r="AD31" i="3"/>
  <c r="AF31" i="3" s="1"/>
  <c r="Y31" i="3"/>
  <c r="AC31" i="3" s="1"/>
  <c r="X31" i="3"/>
  <c r="Z31" i="3" s="1"/>
  <c r="AK30" i="3"/>
  <c r="AO30" i="3" s="1"/>
  <c r="AJ30" i="3"/>
  <c r="AL30" i="3" s="1"/>
  <c r="AE30" i="3"/>
  <c r="AG30" i="3" s="1"/>
  <c r="AD30" i="3"/>
  <c r="AH30" i="3" s="1"/>
  <c r="Y30" i="3"/>
  <c r="AC30" i="3" s="1"/>
  <c r="X30" i="3"/>
  <c r="Z30" i="3" s="1"/>
  <c r="AK29" i="3"/>
  <c r="AO29" i="3" s="1"/>
  <c r="AJ29" i="3"/>
  <c r="AL29" i="3" s="1"/>
  <c r="AE29" i="3"/>
  <c r="AG29" i="3" s="1"/>
  <c r="AD29" i="3"/>
  <c r="AH29" i="3" s="1"/>
  <c r="Y29" i="3"/>
  <c r="AA29" i="3" s="1"/>
  <c r="X29" i="3"/>
  <c r="Z29" i="3" s="1"/>
  <c r="AK28" i="3"/>
  <c r="AO28" i="3" s="1"/>
  <c r="AJ28" i="3"/>
  <c r="AL28" i="3" s="1"/>
  <c r="AE28" i="3"/>
  <c r="AI28" i="3" s="1"/>
  <c r="AD28" i="3"/>
  <c r="AH28" i="3" s="1"/>
  <c r="Y28" i="3"/>
  <c r="AA28" i="3" s="1"/>
  <c r="X28" i="3"/>
  <c r="Z28" i="3" s="1"/>
  <c r="AK27" i="3"/>
  <c r="AO27" i="3" s="1"/>
  <c r="AJ27" i="3"/>
  <c r="AL27" i="3" s="1"/>
  <c r="AE27" i="3"/>
  <c r="AG27" i="3" s="1"/>
  <c r="AD27" i="3"/>
  <c r="AH27" i="3" s="1"/>
  <c r="Y27" i="3"/>
  <c r="AA27" i="3" s="1"/>
  <c r="X27" i="3"/>
  <c r="Z27" i="3" s="1"/>
  <c r="AK26" i="3"/>
  <c r="AO26" i="3" s="1"/>
  <c r="AJ26" i="3"/>
  <c r="AL26" i="3" s="1"/>
  <c r="AE26" i="3"/>
  <c r="AI26" i="3" s="1"/>
  <c r="AD26" i="3"/>
  <c r="AH26" i="3" s="1"/>
  <c r="Y26" i="3"/>
  <c r="AA26" i="3" s="1"/>
  <c r="X26" i="3"/>
  <c r="Z26" i="3" s="1"/>
  <c r="AK25" i="3"/>
  <c r="AO25" i="3" s="1"/>
  <c r="AJ25" i="3"/>
  <c r="AL25" i="3" s="1"/>
  <c r="AE25" i="3"/>
  <c r="AI25" i="3" s="1"/>
  <c r="AD25" i="3"/>
  <c r="AH25" i="3" s="1"/>
  <c r="Y25" i="3"/>
  <c r="AC25" i="3" s="1"/>
  <c r="X25" i="3"/>
  <c r="Z25" i="3" s="1"/>
  <c r="AK24" i="3"/>
  <c r="AO24" i="3" s="1"/>
  <c r="AJ24" i="3"/>
  <c r="AL24" i="3" s="1"/>
  <c r="AE24" i="3"/>
  <c r="AG24" i="3" s="1"/>
  <c r="AD24" i="3"/>
  <c r="AH24" i="3" s="1"/>
  <c r="Y24" i="3"/>
  <c r="AA24" i="3" s="1"/>
  <c r="X24" i="3"/>
  <c r="Z24" i="3" s="1"/>
  <c r="AK23" i="3"/>
  <c r="AM23" i="3" s="1"/>
  <c r="AJ23" i="3"/>
  <c r="AE23" i="3"/>
  <c r="AG23" i="3" s="1"/>
  <c r="AD23" i="3"/>
  <c r="AH23" i="3" s="1"/>
  <c r="Y23" i="3"/>
  <c r="AA23" i="3" s="1"/>
  <c r="X23" i="3"/>
  <c r="Z23" i="3" s="1"/>
  <c r="AJ56" i="3"/>
  <c r="B23" i="3"/>
  <c r="M85" i="4" s="1"/>
  <c r="AK22" i="3"/>
  <c r="AO22" i="3" s="1"/>
  <c r="AJ22" i="3"/>
  <c r="AN22" i="3" s="1"/>
  <c r="AE22" i="3"/>
  <c r="AG22" i="3" s="1"/>
  <c r="AD22" i="3"/>
  <c r="Y22" i="3"/>
  <c r="AA22" i="3" s="1"/>
  <c r="X22" i="3"/>
  <c r="AB22" i="3" s="1"/>
  <c r="AK21" i="3"/>
  <c r="AM21" i="3" s="1"/>
  <c r="AJ21" i="3"/>
  <c r="AL21" i="3" s="1"/>
  <c r="AE21" i="3"/>
  <c r="AI21" i="3" s="1"/>
  <c r="AD21" i="3"/>
  <c r="AH21" i="3" s="1"/>
  <c r="Y21" i="3"/>
  <c r="AA21" i="3" s="1"/>
  <c r="X21" i="3"/>
  <c r="AK20" i="3"/>
  <c r="AO20" i="3" s="1"/>
  <c r="AJ20" i="3"/>
  <c r="AN20" i="3" s="1"/>
  <c r="AE20" i="3"/>
  <c r="AG20" i="3" s="1"/>
  <c r="AD20" i="3"/>
  <c r="AF20" i="3" s="1"/>
  <c r="Y20" i="3"/>
  <c r="X20" i="3"/>
  <c r="AB20" i="3" s="1"/>
  <c r="AK19" i="3"/>
  <c r="AO19" i="3" s="1"/>
  <c r="AJ19" i="3"/>
  <c r="AN19" i="3" s="1"/>
  <c r="AE19" i="3"/>
  <c r="AG19" i="3" s="1"/>
  <c r="AD19" i="3"/>
  <c r="AF19" i="3" s="1"/>
  <c r="Y19" i="3"/>
  <c r="X19" i="3"/>
  <c r="AB19" i="3" s="1"/>
  <c r="AK18" i="3"/>
  <c r="AO18" i="3" s="1"/>
  <c r="AJ18" i="3"/>
  <c r="AN18" i="3" s="1"/>
  <c r="AE18" i="3"/>
  <c r="AG18" i="3" s="1"/>
  <c r="AD18" i="3"/>
  <c r="AF18" i="3" s="1"/>
  <c r="Y18" i="3"/>
  <c r="AC18" i="3" s="1"/>
  <c r="X18" i="3"/>
  <c r="Z18" i="3" s="1"/>
  <c r="F18" i="3"/>
  <c r="AK17" i="3"/>
  <c r="AO17" i="3" s="1"/>
  <c r="AJ17" i="3"/>
  <c r="AL17" i="3" s="1"/>
  <c r="AE17" i="3"/>
  <c r="AI17" i="3" s="1"/>
  <c r="AD17" i="3"/>
  <c r="AH17" i="3" s="1"/>
  <c r="Y17" i="3"/>
  <c r="AC17" i="3" s="1"/>
  <c r="X17" i="3"/>
  <c r="Z17" i="3" s="1"/>
  <c r="AK16" i="3"/>
  <c r="AO16" i="3" s="1"/>
  <c r="AJ16" i="3"/>
  <c r="AL16" i="3" s="1"/>
  <c r="AE16" i="3"/>
  <c r="AI16" i="3" s="1"/>
  <c r="AD16" i="3"/>
  <c r="AF16" i="3" s="1"/>
  <c r="Y16" i="3"/>
  <c r="AC16" i="3" s="1"/>
  <c r="X16" i="3"/>
  <c r="Z16" i="3" s="1"/>
  <c r="G16" i="3"/>
  <c r="AK15" i="3"/>
  <c r="AM15" i="3" s="1"/>
  <c r="AJ15" i="3"/>
  <c r="AE15" i="3"/>
  <c r="AI15" i="3" s="1"/>
  <c r="AD15" i="3"/>
  <c r="AH15" i="3" s="1"/>
  <c r="Y15" i="3"/>
  <c r="AA15" i="3" s="1"/>
  <c r="X15" i="3"/>
  <c r="AB15" i="3" s="1"/>
  <c r="C15" i="3"/>
  <c r="AK14" i="3"/>
  <c r="AJ14" i="3"/>
  <c r="AN14" i="3" s="1"/>
  <c r="AE14" i="3"/>
  <c r="AI14" i="3" s="1"/>
  <c r="AD14" i="3"/>
  <c r="AF14" i="3" s="1"/>
  <c r="Y14" i="3"/>
  <c r="AC14" i="3" s="1"/>
  <c r="X14" i="3"/>
  <c r="AB14" i="3" s="1"/>
  <c r="AK13" i="3"/>
  <c r="AO13" i="3" s="1"/>
  <c r="AJ13" i="3"/>
  <c r="AN13" i="3" s="1"/>
  <c r="AE13" i="3"/>
  <c r="AG13" i="3" s="1"/>
  <c r="AD13" i="3"/>
  <c r="Y13" i="3"/>
  <c r="AC13" i="3" s="1"/>
  <c r="X13" i="3"/>
  <c r="AB13" i="3" s="1"/>
  <c r="G13" i="3"/>
  <c r="AK12" i="3"/>
  <c r="AM12" i="3" s="1"/>
  <c r="AJ12" i="3"/>
  <c r="AL12" i="3" s="1"/>
  <c r="AE12" i="3"/>
  <c r="AI12" i="3" s="1"/>
  <c r="AD12" i="3"/>
  <c r="AF12" i="3" s="1"/>
  <c r="Y12" i="3"/>
  <c r="AC12" i="3" s="1"/>
  <c r="X12" i="3"/>
  <c r="G12" i="3"/>
  <c r="AK11" i="3"/>
  <c r="AM11" i="3" s="1"/>
  <c r="AJ11" i="3"/>
  <c r="AN11" i="3" s="1"/>
  <c r="AE11" i="3"/>
  <c r="AI11" i="3" s="1"/>
  <c r="AD11" i="3"/>
  <c r="AF11" i="3" s="1"/>
  <c r="Y11" i="3"/>
  <c r="X11" i="3"/>
  <c r="AB11" i="3" s="1"/>
  <c r="C11" i="3"/>
  <c r="AK10" i="3"/>
  <c r="AO10" i="3" s="1"/>
  <c r="AJ10" i="3"/>
  <c r="AN10" i="3" s="1"/>
  <c r="AE10" i="3"/>
  <c r="AG10" i="3" s="1"/>
  <c r="AD10" i="3"/>
  <c r="AH10" i="3" s="1"/>
  <c r="Y10" i="3"/>
  <c r="AC10" i="3" s="1"/>
  <c r="X10" i="3"/>
  <c r="AB10" i="3" s="1"/>
  <c r="G10" i="3"/>
  <c r="AK9" i="3"/>
  <c r="AO9" i="3" s="1"/>
  <c r="AJ9" i="3"/>
  <c r="AN9" i="3" s="1"/>
  <c r="AE9" i="3"/>
  <c r="AI9" i="3" s="1"/>
  <c r="AD9" i="3"/>
  <c r="AF9" i="3" s="1"/>
  <c r="Y9" i="3"/>
  <c r="AA9" i="3" s="1"/>
  <c r="X9" i="3"/>
  <c r="AB9" i="3" s="1"/>
  <c r="G9" i="3"/>
  <c r="AK8" i="3"/>
  <c r="AO8" i="3" s="1"/>
  <c r="AJ8" i="3"/>
  <c r="AE8" i="3"/>
  <c r="AI8" i="3" s="1"/>
  <c r="AD8" i="3"/>
  <c r="AH8" i="3" s="1"/>
  <c r="Y8" i="3"/>
  <c r="AC8" i="3" s="1"/>
  <c r="X8" i="3"/>
  <c r="AB8" i="3" s="1"/>
  <c r="AK7" i="3"/>
  <c r="AO7" i="3" s="1"/>
  <c r="AJ7" i="3"/>
  <c r="AE7" i="3"/>
  <c r="AI7" i="3" s="1"/>
  <c r="AD7" i="3"/>
  <c r="AH7" i="3" s="1"/>
  <c r="Y7" i="3"/>
  <c r="AA7" i="3" s="1"/>
  <c r="X7" i="3"/>
  <c r="Z7" i="3" s="1"/>
  <c r="D7" i="3"/>
  <c r="C7" i="3"/>
  <c r="B7" i="3"/>
  <c r="E7" i="3" s="1"/>
  <c r="AK6" i="3"/>
  <c r="AO6" i="3" s="1"/>
  <c r="AJ6" i="3"/>
  <c r="AL6" i="3" s="1"/>
  <c r="AE6" i="3"/>
  <c r="AD6" i="3"/>
  <c r="Y6" i="3"/>
  <c r="AC6" i="3" s="1"/>
  <c r="X6" i="3"/>
  <c r="D6" i="3"/>
  <c r="C6" i="3"/>
  <c r="AK5" i="3"/>
  <c r="AM5" i="3" s="1"/>
  <c r="AJ5" i="3"/>
  <c r="AN5" i="3" s="1"/>
  <c r="AE5" i="3"/>
  <c r="AI5" i="3" s="1"/>
  <c r="AD5" i="3"/>
  <c r="AF5" i="3" s="1"/>
  <c r="Y5" i="3"/>
  <c r="X5" i="3"/>
  <c r="AB5" i="3" s="1"/>
  <c r="D5" i="3"/>
  <c r="C5" i="3"/>
  <c r="AK4" i="3"/>
  <c r="AO4" i="3" s="1"/>
  <c r="AJ4" i="3"/>
  <c r="AE4" i="3"/>
  <c r="AI4" i="3" s="1"/>
  <c r="AD4" i="3"/>
  <c r="AF4" i="3" s="1"/>
  <c r="Y4" i="3"/>
  <c r="AA4" i="3" s="1"/>
  <c r="X4" i="3"/>
  <c r="Z4" i="3" s="1"/>
  <c r="D4" i="3"/>
  <c r="B3" i="4" s="1"/>
  <c r="C4" i="3"/>
  <c r="AK3" i="3"/>
  <c r="AJ3" i="3"/>
  <c r="AN3" i="3" s="1"/>
  <c r="AE3" i="3"/>
  <c r="AI3" i="3" s="1"/>
  <c r="AD3" i="3"/>
  <c r="Y3" i="3"/>
  <c r="AC3" i="3" s="1"/>
  <c r="X3" i="3"/>
  <c r="AB3" i="3" s="1"/>
  <c r="C3" i="3"/>
  <c r="CS2" i="3"/>
  <c r="CS54" i="3" s="1"/>
  <c r="CL1" i="3"/>
  <c r="CE1" i="3"/>
  <c r="BX1" i="3"/>
  <c r="BQ1" i="3"/>
  <c r="BJ1" i="3"/>
  <c r="BC1" i="3"/>
  <c r="AV1" i="3"/>
  <c r="F55" i="2"/>
  <c r="F54" i="2"/>
  <c r="H46" i="2"/>
  <c r="H44" i="2"/>
  <c r="C35" i="2"/>
  <c r="A18" i="2" s="1"/>
  <c r="F23" i="2"/>
  <c r="F22" i="2"/>
  <c r="F21" i="2"/>
  <c r="F20" i="2"/>
  <c r="F19" i="2"/>
  <c r="A16" i="2"/>
  <c r="BD7" i="6" s="1"/>
  <c r="H15" i="2"/>
  <c r="F15" i="2"/>
  <c r="D11" i="2"/>
  <c r="D3" i="3" s="1"/>
  <c r="A12" i="2" s="1"/>
  <c r="A11" i="2"/>
  <c r="A25" i="6"/>
  <c r="AW7" i="6" l="1"/>
  <c r="AV7" i="6"/>
  <c r="A14" i="2"/>
  <c r="F38" i="2" s="1"/>
  <c r="H38" i="2" s="1"/>
  <c r="B27" i="6"/>
  <c r="E5" i="4" s="1"/>
  <c r="D24" i="4"/>
  <c r="D23" i="4"/>
  <c r="L64" i="3"/>
  <c r="O64" i="3"/>
  <c r="M67" i="3"/>
  <c r="K70" i="3"/>
  <c r="O72" i="3"/>
  <c r="M75" i="3"/>
  <c r="K78" i="3"/>
  <c r="O80" i="3"/>
  <c r="M83" i="3"/>
  <c r="K86" i="3"/>
  <c r="O88" i="3"/>
  <c r="M91" i="3"/>
  <c r="K94" i="3"/>
  <c r="O96" i="3"/>
  <c r="M99" i="3"/>
  <c r="K102" i="3"/>
  <c r="P64" i="3"/>
  <c r="N67" i="3"/>
  <c r="L70" i="3"/>
  <c r="P72" i="3"/>
  <c r="N75" i="3"/>
  <c r="L78" i="3"/>
  <c r="P80" i="3"/>
  <c r="N83" i="3"/>
  <c r="L86" i="3"/>
  <c r="P88" i="3"/>
  <c r="N91" i="3"/>
  <c r="L94" i="3"/>
  <c r="P96" i="3"/>
  <c r="N99" i="3"/>
  <c r="L102" i="3"/>
  <c r="K65" i="3"/>
  <c r="O67" i="3"/>
  <c r="M70" i="3"/>
  <c r="K73" i="3"/>
  <c r="O75" i="3"/>
  <c r="M78" i="3"/>
  <c r="K81" i="3"/>
  <c r="O83" i="3"/>
  <c r="M86" i="3"/>
  <c r="K89" i="3"/>
  <c r="O91" i="3"/>
  <c r="M94" i="3"/>
  <c r="K97" i="3"/>
  <c r="O99" i="3"/>
  <c r="M102" i="3"/>
  <c r="L65" i="3"/>
  <c r="P67" i="3"/>
  <c r="N70" i="3"/>
  <c r="L73" i="3"/>
  <c r="P75" i="3"/>
  <c r="N78" i="3"/>
  <c r="K63" i="3"/>
  <c r="O65" i="3"/>
  <c r="M68" i="3"/>
  <c r="K71" i="3"/>
  <c r="O73" i="3"/>
  <c r="M76" i="3"/>
  <c r="K79" i="3"/>
  <c r="O81" i="3"/>
  <c r="M84" i="3"/>
  <c r="K87" i="3"/>
  <c r="O89" i="3"/>
  <c r="M92" i="3"/>
  <c r="K95" i="3"/>
  <c r="O97" i="3"/>
  <c r="M100" i="3"/>
  <c r="K103" i="3"/>
  <c r="K74" i="3"/>
  <c r="N63" i="3"/>
  <c r="N79" i="3"/>
  <c r="L90" i="3"/>
  <c r="L98" i="3"/>
  <c r="N103" i="3"/>
  <c r="M66" i="3"/>
  <c r="O71" i="3"/>
  <c r="M74" i="3"/>
  <c r="O79" i="3"/>
  <c r="M82" i="3"/>
  <c r="O87" i="3"/>
  <c r="K93" i="3"/>
  <c r="M98" i="3"/>
  <c r="O103" i="3"/>
  <c r="N66" i="3"/>
  <c r="L69" i="3"/>
  <c r="P71" i="3"/>
  <c r="N74" i="3"/>
  <c r="P79" i="3"/>
  <c r="N82" i="3"/>
  <c r="L85" i="3"/>
  <c r="P87" i="3"/>
  <c r="L93" i="3"/>
  <c r="P95" i="3"/>
  <c r="N98" i="3"/>
  <c r="P103" i="3"/>
  <c r="M69" i="3"/>
  <c r="K80" i="3"/>
  <c r="K88" i="3"/>
  <c r="K96" i="3"/>
  <c r="P66" i="3"/>
  <c r="L72" i="3"/>
  <c r="N77" i="3"/>
  <c r="P82" i="3"/>
  <c r="L88" i="3"/>
  <c r="P90" i="3"/>
  <c r="N93" i="3"/>
  <c r="L96" i="3"/>
  <c r="P98" i="3"/>
  <c r="N101" i="3"/>
  <c r="M64" i="3"/>
  <c r="K67" i="3"/>
  <c r="M72" i="3"/>
  <c r="K75" i="3"/>
  <c r="O77" i="3"/>
  <c r="M80" i="3"/>
  <c r="K83" i="3"/>
  <c r="M88" i="3"/>
  <c r="K91" i="3"/>
  <c r="M96" i="3"/>
  <c r="K99" i="3"/>
  <c r="L63" i="3"/>
  <c r="P65" i="3"/>
  <c r="N68" i="3"/>
  <c r="L71" i="3"/>
  <c r="P73" i="3"/>
  <c r="N76" i="3"/>
  <c r="L79" i="3"/>
  <c r="P81" i="3"/>
  <c r="N84" i="3"/>
  <c r="L87" i="3"/>
  <c r="P89" i="3"/>
  <c r="N92" i="3"/>
  <c r="L95" i="3"/>
  <c r="P97" i="3"/>
  <c r="N100" i="3"/>
  <c r="L103" i="3"/>
  <c r="M63" i="3"/>
  <c r="K66" i="3"/>
  <c r="O68" i="3"/>
  <c r="M71" i="3"/>
  <c r="O76" i="3"/>
  <c r="M79" i="3"/>
  <c r="K82" i="3"/>
  <c r="O84" i="3"/>
  <c r="M87" i="3"/>
  <c r="K90" i="3"/>
  <c r="O92" i="3"/>
  <c r="M95" i="3"/>
  <c r="K98" i="3"/>
  <c r="O100" i="3"/>
  <c r="M103" i="3"/>
  <c r="L66" i="3"/>
  <c r="P68" i="3"/>
  <c r="N71" i="3"/>
  <c r="L74" i="3"/>
  <c r="P76" i="3"/>
  <c r="L82" i="3"/>
  <c r="P84" i="3"/>
  <c r="N87" i="3"/>
  <c r="P92" i="3"/>
  <c r="N95" i="3"/>
  <c r="P100" i="3"/>
  <c r="O63" i="3"/>
  <c r="K69" i="3"/>
  <c r="K77" i="3"/>
  <c r="K85" i="3"/>
  <c r="M90" i="3"/>
  <c r="O95" i="3"/>
  <c r="K101" i="3"/>
  <c r="P63" i="3"/>
  <c r="L77" i="3"/>
  <c r="N90" i="3"/>
  <c r="L101" i="3"/>
  <c r="K64" i="3"/>
  <c r="O66" i="3"/>
  <c r="K72" i="3"/>
  <c r="O74" i="3"/>
  <c r="M77" i="3"/>
  <c r="O82" i="3"/>
  <c r="M85" i="3"/>
  <c r="O90" i="3"/>
  <c r="M93" i="3"/>
  <c r="O98" i="3"/>
  <c r="M101" i="3"/>
  <c r="N69" i="3"/>
  <c r="P74" i="3"/>
  <c r="L80" i="3"/>
  <c r="N85" i="3"/>
  <c r="O69" i="3"/>
  <c r="O85" i="3"/>
  <c r="O93" i="3"/>
  <c r="L68" i="3"/>
  <c r="P69" i="3"/>
  <c r="O70" i="3"/>
  <c r="P83" i="3"/>
  <c r="N94" i="3"/>
  <c r="P70" i="3"/>
  <c r="K84" i="3"/>
  <c r="O94" i="3"/>
  <c r="N72" i="3"/>
  <c r="L84" i="3"/>
  <c r="P94" i="3"/>
  <c r="M73" i="3"/>
  <c r="N73" i="3"/>
  <c r="N86" i="3"/>
  <c r="L97" i="3"/>
  <c r="L75" i="3"/>
  <c r="O86" i="3"/>
  <c r="M97" i="3"/>
  <c r="P78" i="3"/>
  <c r="L91" i="3"/>
  <c r="P99" i="3"/>
  <c r="N89" i="3"/>
  <c r="K76" i="3"/>
  <c r="P86" i="3"/>
  <c r="N97" i="3"/>
  <c r="P77" i="3"/>
  <c r="L76" i="3"/>
  <c r="N88" i="3"/>
  <c r="L99" i="3"/>
  <c r="O101" i="3"/>
  <c r="L89" i="3"/>
  <c r="L100" i="3"/>
  <c r="N64" i="3"/>
  <c r="O78" i="3"/>
  <c r="M89" i="3"/>
  <c r="K100" i="3"/>
  <c r="M65" i="3"/>
  <c r="N65" i="3"/>
  <c r="N80" i="3"/>
  <c r="L67" i="3"/>
  <c r="L81" i="3"/>
  <c r="P91" i="3"/>
  <c r="P101" i="3"/>
  <c r="N102" i="3"/>
  <c r="P93" i="3"/>
  <c r="P85" i="3"/>
  <c r="K68" i="3"/>
  <c r="M81" i="3"/>
  <c r="K92" i="3"/>
  <c r="N81" i="3"/>
  <c r="L92" i="3"/>
  <c r="O102" i="3"/>
  <c r="L83" i="3"/>
  <c r="P102" i="3"/>
  <c r="N96" i="3"/>
  <c r="O58" i="3"/>
  <c r="O53" i="3"/>
  <c r="P53" i="3"/>
  <c r="K54" i="3"/>
  <c r="O56" i="3"/>
  <c r="M59" i="3"/>
  <c r="K62" i="3"/>
  <c r="P56" i="3"/>
  <c r="N59" i="3"/>
  <c r="L62" i="3"/>
  <c r="K57" i="3"/>
  <c r="O59" i="3"/>
  <c r="M62" i="3"/>
  <c r="L57" i="3"/>
  <c r="P59" i="3"/>
  <c r="N62" i="3"/>
  <c r="L54" i="3"/>
  <c r="M54" i="3"/>
  <c r="N54" i="3"/>
  <c r="O54" i="3"/>
  <c r="P54" i="3"/>
  <c r="K55" i="3"/>
  <c r="O57" i="3"/>
  <c r="M60" i="3"/>
  <c r="K53" i="3"/>
  <c r="M58" i="3"/>
  <c r="K61" i="3"/>
  <c r="L53" i="3"/>
  <c r="P55" i="3"/>
  <c r="N58" i="3"/>
  <c r="L61" i="3"/>
  <c r="M53" i="3"/>
  <c r="N53" i="3"/>
  <c r="P58" i="3"/>
  <c r="M56" i="3"/>
  <c r="K59" i="3"/>
  <c r="O61" i="3"/>
  <c r="L55" i="3"/>
  <c r="P57" i="3"/>
  <c r="N60" i="3"/>
  <c r="M55" i="3"/>
  <c r="K58" i="3"/>
  <c r="O60" i="3"/>
  <c r="N55" i="3"/>
  <c r="L58" i="3"/>
  <c r="P60" i="3"/>
  <c r="O55" i="3"/>
  <c r="K56" i="3"/>
  <c r="M61" i="3"/>
  <c r="L56" i="3"/>
  <c r="N61" i="3"/>
  <c r="N56" i="3"/>
  <c r="M57" i="3"/>
  <c r="N57" i="3"/>
  <c r="L59" i="3"/>
  <c r="K60" i="3"/>
  <c r="L60" i="3"/>
  <c r="P62" i="3"/>
  <c r="P61" i="3"/>
  <c r="O62" i="3"/>
  <c r="B22" i="3"/>
  <c r="D22" i="2" s="1"/>
  <c r="A23" i="2"/>
  <c r="C55" i="4"/>
  <c r="AI34" i="3"/>
  <c r="AC29" i="3"/>
  <c r="AG11" i="3"/>
  <c r="AG15" i="3"/>
  <c r="AA17" i="3"/>
  <c r="AO21" i="3"/>
  <c r="AC33" i="3"/>
  <c r="AI48" i="3"/>
  <c r="AG5" i="3"/>
  <c r="AM6" i="3"/>
  <c r="AH9" i="3"/>
  <c r="AN12" i="3"/>
  <c r="AI18" i="3"/>
  <c r="AI24" i="3"/>
  <c r="AB30" i="3"/>
  <c r="AB34" i="3"/>
  <c r="AA37" i="3"/>
  <c r="AC40" i="3"/>
  <c r="AA42" i="3"/>
  <c r="AA44" i="3"/>
  <c r="AI45" i="3"/>
  <c r="AH49" i="3"/>
  <c r="AB41" i="3"/>
  <c r="AH42" i="3"/>
  <c r="AB4" i="3"/>
  <c r="AB7" i="3"/>
  <c r="Z8" i="3"/>
  <c r="Z10" i="3"/>
  <c r="Z14" i="3"/>
  <c r="AL14" i="3"/>
  <c r="AH16" i="3"/>
  <c r="AB17" i="3"/>
  <c r="AH18" i="3"/>
  <c r="AL19" i="3"/>
  <c r="AH20" i="3"/>
  <c r="AN21" i="3"/>
  <c r="AC23" i="3"/>
  <c r="AB24" i="3"/>
  <c r="AF25" i="3"/>
  <c r="AC26" i="3"/>
  <c r="AI27" i="3"/>
  <c r="AG28" i="3"/>
  <c r="AA30" i="3"/>
  <c r="AI31" i="3"/>
  <c r="AH32" i="3"/>
  <c r="AA34" i="3"/>
  <c r="AF35" i="3"/>
  <c r="AC36" i="3"/>
  <c r="AB37" i="3"/>
  <c r="AA38" i="3"/>
  <c r="AI38" i="3"/>
  <c r="AH39" i="3"/>
  <c r="AA41" i="3"/>
  <c r="AG42" i="3"/>
  <c r="AB44" i="3"/>
  <c r="AI44" i="3"/>
  <c r="AH45" i="3"/>
  <c r="AB47" i="3"/>
  <c r="AB48" i="3"/>
  <c r="AI49" i="3"/>
  <c r="AC51" i="3"/>
  <c r="AI52" i="3"/>
  <c r="AC4" i="3"/>
  <c r="AH5" i="3"/>
  <c r="AO5" i="3"/>
  <c r="AN6" i="3"/>
  <c r="AC7" i="3"/>
  <c r="AA8" i="3"/>
  <c r="AA10" i="3"/>
  <c r="R10" i="3"/>
  <c r="AH11" i="3"/>
  <c r="AO11" i="3"/>
  <c r="AA14" i="3"/>
  <c r="Z19" i="3"/>
  <c r="AM19" i="3"/>
  <c r="AI20" i="3"/>
  <c r="AB23" i="3"/>
  <c r="AG25" i="3"/>
  <c r="AB27" i="3"/>
  <c r="AF28" i="3"/>
  <c r="AH31" i="3"/>
  <c r="AG35" i="3"/>
  <c r="AH38" i="3"/>
  <c r="AC47" i="3"/>
  <c r="AB51" i="3"/>
  <c r="AB52" i="3"/>
  <c r="AA48" i="3"/>
  <c r="AA52" i="3"/>
  <c r="Z3" i="3"/>
  <c r="AA25" i="3"/>
  <c r="AF26" i="3"/>
  <c r="AC27" i="3"/>
  <c r="AF29" i="3"/>
  <c r="AB31" i="3"/>
  <c r="AF33" i="3"/>
  <c r="AA35" i="3"/>
  <c r="AF36" i="3"/>
  <c r="AB38" i="3"/>
  <c r="AI39" i="3"/>
  <c r="AF40" i="3"/>
  <c r="AB42" i="3"/>
  <c r="AG43" i="3"/>
  <c r="AA45" i="3"/>
  <c r="AH46" i="3"/>
  <c r="AA49" i="3"/>
  <c r="AH50" i="3"/>
  <c r="AM10" i="3"/>
  <c r="Z15" i="3"/>
  <c r="AG16" i="3"/>
  <c r="AF43" i="3"/>
  <c r="AF21" i="3"/>
  <c r="AC24" i="3"/>
  <c r="AL13" i="3"/>
  <c r="AA16" i="3"/>
  <c r="AA18" i="3"/>
  <c r="AG21" i="3"/>
  <c r="AB28" i="3"/>
  <c r="AB35" i="3"/>
  <c r="AI46" i="3"/>
  <c r="AF47" i="3"/>
  <c r="AB49" i="3"/>
  <c r="AI50" i="3"/>
  <c r="AF51" i="3"/>
  <c r="AL22" i="3"/>
  <c r="AL3" i="3"/>
  <c r="Z9" i="3"/>
  <c r="AO12" i="3"/>
  <c r="AF17" i="3"/>
  <c r="AL20" i="3"/>
  <c r="AB45" i="3"/>
  <c r="AF10" i="3"/>
  <c r="AL11" i="3"/>
  <c r="AG12" i="3"/>
  <c r="AG17" i="3"/>
  <c r="AB18" i="3"/>
  <c r="AI19" i="3"/>
  <c r="AM20" i="3"/>
  <c r="AC22" i="3"/>
  <c r="AI23" i="3"/>
  <c r="AC28" i="3"/>
  <c r="AI29" i="3"/>
  <c r="AF30" i="3"/>
  <c r="AB32" i="3"/>
  <c r="AI33" i="3"/>
  <c r="AF34" i="3"/>
  <c r="AI36" i="3"/>
  <c r="AF37" i="3"/>
  <c r="AB39" i="3"/>
  <c r="AI40" i="3"/>
  <c r="AF41" i="3"/>
  <c r="AA43" i="3"/>
  <c r="AF44" i="3"/>
  <c r="AA46" i="3"/>
  <c r="AA50" i="3"/>
  <c r="AG9" i="3"/>
  <c r="AA31" i="3"/>
  <c r="AM22" i="3"/>
  <c r="AA3" i="3"/>
  <c r="Z5" i="3"/>
  <c r="Z20" i="3"/>
  <c r="AG26" i="3"/>
  <c r="AA39" i="3"/>
  <c r="AM13" i="3"/>
  <c r="AB16" i="3"/>
  <c r="AM18" i="3"/>
  <c r="AH4" i="3"/>
  <c r="AG8" i="3"/>
  <c r="AC9" i="3"/>
  <c r="AH12" i="3"/>
  <c r="AA13" i="3"/>
  <c r="AF24" i="3"/>
  <c r="AF27" i="3"/>
  <c r="AC32" i="3"/>
  <c r="AB43" i="3"/>
  <c r="AB46" i="3"/>
  <c r="AI47" i="3"/>
  <c r="AF48" i="3"/>
  <c r="AB50" i="3"/>
  <c r="AI51" i="3"/>
  <c r="AF52" i="3"/>
  <c r="AI32" i="3"/>
  <c r="AG7" i="3"/>
  <c r="AC15" i="3"/>
  <c r="AH19" i="3"/>
  <c r="AB25" i="3"/>
  <c r="AG4" i="3"/>
  <c r="AL5" i="3"/>
  <c r="Z11" i="3"/>
  <c r="AI10" i="3"/>
  <c r="AB26" i="3"/>
  <c r="AB29" i="3"/>
  <c r="AI30" i="3"/>
  <c r="AB33" i="3"/>
  <c r="AB36" i="3"/>
  <c r="AI37" i="3"/>
  <c r="AB40" i="3"/>
  <c r="AI41" i="3"/>
  <c r="AB6" i="3"/>
  <c r="Z6" i="3"/>
  <c r="AL15" i="3"/>
  <c r="AN15" i="3"/>
  <c r="AG6" i="3"/>
  <c r="AI6" i="3"/>
  <c r="AH3" i="3"/>
  <c r="AF3" i="3"/>
  <c r="AN4" i="3"/>
  <c r="AL4" i="3"/>
  <c r="AL8" i="3"/>
  <c r="AN8" i="3"/>
  <c r="Z12" i="3"/>
  <c r="AB12" i="3"/>
  <c r="AM3" i="3"/>
  <c r="AO3" i="3"/>
  <c r="AA11" i="3"/>
  <c r="AC11" i="3"/>
  <c r="AM14" i="3"/>
  <c r="AO14" i="3"/>
  <c r="AF13" i="3"/>
  <c r="AH13" i="3"/>
  <c r="AC5" i="3"/>
  <c r="AA5" i="3"/>
  <c r="AF6" i="3"/>
  <c r="AH6" i="3"/>
  <c r="AA20" i="3"/>
  <c r="AC20" i="3"/>
  <c r="AL7" i="3"/>
  <c r="AN7" i="3"/>
  <c r="AF22" i="3"/>
  <c r="AH22" i="3"/>
  <c r="AL23" i="3"/>
  <c r="AN23" i="3"/>
  <c r="AA19" i="3"/>
  <c r="AC19" i="3"/>
  <c r="Z21" i="3"/>
  <c r="AB21" i="3"/>
  <c r="AM7" i="3"/>
  <c r="AM8" i="3"/>
  <c r="AL9" i="3"/>
  <c r="AA12" i="3"/>
  <c r="AG3" i="3"/>
  <c r="AM4" i="3"/>
  <c r="AA6" i="3"/>
  <c r="AF7" i="3"/>
  <c r="AF8" i="3"/>
  <c r="AM9" i="3"/>
  <c r="AL10" i="3"/>
  <c r="Z13" i="3"/>
  <c r="AG14" i="3"/>
  <c r="AF15" i="3"/>
  <c r="AM16" i="3"/>
  <c r="AM17" i="3"/>
  <c r="AL18" i="3"/>
  <c r="Z22" i="3"/>
  <c r="AF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I13" i="3"/>
  <c r="AH14" i="3"/>
  <c r="AO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O15" i="3"/>
  <c r="AN16" i="3"/>
  <c r="AN17" i="3"/>
  <c r="AC21" i="3"/>
  <c r="AI22" i="3"/>
  <c r="J16" i="5"/>
  <c r="A66" i="2"/>
  <c r="D18" i="2"/>
  <c r="C9" i="3"/>
  <c r="C8" i="3"/>
  <c r="R7" i="3"/>
  <c r="H18" i="2"/>
  <c r="H19" i="2"/>
  <c r="H20" i="2"/>
  <c r="H21" i="2"/>
  <c r="H22" i="2"/>
  <c r="H23" i="2"/>
  <c r="C12" i="3"/>
  <c r="C53" i="4"/>
  <c r="C57" i="4"/>
  <c r="C52" i="4"/>
  <c r="C54" i="4"/>
  <c r="C56" i="4"/>
  <c r="C58" i="4"/>
  <c r="E3" i="5"/>
  <c r="A2" i="5" s="1"/>
  <c r="CV5" i="3"/>
  <c r="CV4" i="3"/>
  <c r="CV7" i="3"/>
  <c r="CV10" i="3"/>
  <c r="CV11" i="3"/>
  <c r="S3" i="3"/>
  <c r="T4" i="3"/>
  <c r="S5" i="3"/>
  <c r="V8" i="3"/>
  <c r="Q9" i="3"/>
  <c r="CV21" i="3"/>
  <c r="CV26" i="3"/>
  <c r="CV30" i="3"/>
  <c r="CV34" i="3"/>
  <c r="CV38" i="3"/>
  <c r="CV42" i="3"/>
  <c r="CV46" i="3"/>
  <c r="CV50" i="3"/>
  <c r="CV6" i="3"/>
  <c r="CV8" i="3"/>
  <c r="CV9" i="3"/>
  <c r="CV12" i="3"/>
  <c r="CV17" i="3"/>
  <c r="CV18" i="3"/>
  <c r="CV19" i="3"/>
  <c r="CV23" i="3"/>
  <c r="CV24" i="3"/>
  <c r="CV28" i="3"/>
  <c r="CV32" i="3"/>
  <c r="CV36" i="3"/>
  <c r="CV40" i="3"/>
  <c r="CV44" i="3"/>
  <c r="CV48" i="3"/>
  <c r="V10" i="3"/>
  <c r="Q3" i="3"/>
  <c r="U3" i="3"/>
  <c r="R4" i="3"/>
  <c r="V4" i="3"/>
  <c r="Q5" i="3"/>
  <c r="U5" i="3"/>
  <c r="S6" i="3"/>
  <c r="V7" i="3"/>
  <c r="H16" i="5"/>
  <c r="CV13" i="3"/>
  <c r="CV14" i="3"/>
  <c r="CV15" i="3"/>
  <c r="CV16" i="3"/>
  <c r="CV20" i="3"/>
  <c r="CV22" i="3"/>
  <c r="CV25" i="3"/>
  <c r="CV27" i="3"/>
  <c r="CV29" i="3"/>
  <c r="CV31" i="3"/>
  <c r="CV33" i="3"/>
  <c r="CV35" i="3"/>
  <c r="CV37" i="3"/>
  <c r="CV39" i="3"/>
  <c r="CV41" i="3"/>
  <c r="CV43" i="3"/>
  <c r="CV45" i="3"/>
  <c r="CV47" i="3"/>
  <c r="CV49" i="3"/>
  <c r="CV51" i="3"/>
  <c r="CV53" i="3"/>
  <c r="CV55" i="3"/>
  <c r="CV57" i="3"/>
  <c r="CV59" i="3"/>
  <c r="CV61" i="3"/>
  <c r="CV63" i="3"/>
  <c r="CV65" i="3"/>
  <c r="CV67" i="3"/>
  <c r="CV69" i="3"/>
  <c r="CV71" i="3"/>
  <c r="CV73" i="3"/>
  <c r="CV75" i="3"/>
  <c r="CV77" i="3"/>
  <c r="CV79" i="3"/>
  <c r="CV81" i="3"/>
  <c r="CV83" i="3"/>
  <c r="CV85" i="3"/>
  <c r="CV87" i="3"/>
  <c r="CV89" i="3"/>
  <c r="CV91" i="3"/>
  <c r="CV93" i="3"/>
  <c r="CV95" i="3"/>
  <c r="CV97" i="3"/>
  <c r="CV99" i="3"/>
  <c r="CV101" i="3"/>
  <c r="CV103" i="3"/>
  <c r="CV52" i="3"/>
  <c r="CV54" i="3"/>
  <c r="CV56" i="3"/>
  <c r="CV58" i="3"/>
  <c r="CV60" i="3"/>
  <c r="CV62" i="3"/>
  <c r="CV64" i="3"/>
  <c r="CV66" i="3"/>
  <c r="CV68" i="3"/>
  <c r="CV70" i="3"/>
  <c r="CV72" i="3"/>
  <c r="CV74" i="3"/>
  <c r="CV76" i="3"/>
  <c r="CV78" i="3"/>
  <c r="CV80" i="3"/>
  <c r="CV82" i="3"/>
  <c r="CV84" i="3"/>
  <c r="CV86" i="3"/>
  <c r="CV88" i="3"/>
  <c r="CV90" i="3"/>
  <c r="CV92" i="3"/>
  <c r="CV94" i="3"/>
  <c r="CV96" i="3"/>
  <c r="CV98" i="3"/>
  <c r="CV100" i="3"/>
  <c r="CV102" i="3"/>
  <c r="R3" i="3"/>
  <c r="T3" i="3"/>
  <c r="V3" i="3"/>
  <c r="Q4" i="3"/>
  <c r="S4" i="3"/>
  <c r="U4" i="3"/>
  <c r="R5" i="3"/>
  <c r="T5" i="3"/>
  <c r="V5" i="3"/>
  <c r="Q6" i="3"/>
  <c r="U6" i="3"/>
  <c r="T7" i="3"/>
  <c r="R8" i="3"/>
  <c r="U9" i="3"/>
  <c r="A21" i="2"/>
  <c r="F40" i="2" s="1"/>
  <c r="H40" i="2" s="1"/>
  <c r="B20" i="3"/>
  <c r="D17" i="2" s="1"/>
  <c r="C15" i="2"/>
  <c r="F45" i="2"/>
  <c r="H45" i="2" s="1"/>
  <c r="A34" i="2"/>
  <c r="A36" i="2"/>
  <c r="F37" i="2"/>
  <c r="H37" i="2" s="1"/>
  <c r="A38" i="2"/>
  <c r="A40" i="2"/>
  <c r="A42" i="2"/>
  <c r="A46" i="2"/>
  <c r="A47" i="2"/>
  <c r="A49" i="2"/>
  <c r="A51" i="2"/>
  <c r="A53" i="2"/>
  <c r="A57" i="2"/>
  <c r="A59" i="2"/>
  <c r="A61" i="2"/>
  <c r="A63" i="2"/>
  <c r="A65" i="2"/>
  <c r="A67" i="2"/>
  <c r="B17" i="3"/>
  <c r="D9" i="2" s="1"/>
  <c r="B18" i="3"/>
  <c r="D13" i="2" s="1"/>
  <c r="C10" i="3"/>
  <c r="BC7" i="6"/>
  <c r="A35" i="2"/>
  <c r="A37" i="2"/>
  <c r="A39" i="2"/>
  <c r="A41" i="2"/>
  <c r="A43" i="2"/>
  <c r="A44" i="2"/>
  <c r="A45" i="2"/>
  <c r="A48" i="2"/>
  <c r="A50" i="2"/>
  <c r="A52" i="2"/>
  <c r="A54" i="2"/>
  <c r="A55" i="2"/>
  <c r="A56" i="2"/>
  <c r="A58" i="2"/>
  <c r="A60" i="2"/>
  <c r="A62" i="2"/>
  <c r="A64" i="2"/>
  <c r="U52" i="3"/>
  <c r="S52" i="3"/>
  <c r="Q52" i="3"/>
  <c r="V51" i="3"/>
  <c r="T51" i="3"/>
  <c r="R51" i="3"/>
  <c r="U50" i="3"/>
  <c r="S50" i="3"/>
  <c r="Q50" i="3"/>
  <c r="V49" i="3"/>
  <c r="T49" i="3"/>
  <c r="R49" i="3"/>
  <c r="U48" i="3"/>
  <c r="S48" i="3"/>
  <c r="Q48" i="3"/>
  <c r="V47" i="3"/>
  <c r="T47" i="3"/>
  <c r="R47" i="3"/>
  <c r="U46" i="3"/>
  <c r="S46" i="3"/>
  <c r="Q46" i="3"/>
  <c r="V45" i="3"/>
  <c r="T45" i="3"/>
  <c r="R45" i="3"/>
  <c r="U44" i="3"/>
  <c r="S44" i="3"/>
  <c r="Q44" i="3"/>
  <c r="V43" i="3"/>
  <c r="T43" i="3"/>
  <c r="R43" i="3"/>
  <c r="U42" i="3"/>
  <c r="S42" i="3"/>
  <c r="Q42" i="3"/>
  <c r="V41" i="3"/>
  <c r="T41" i="3"/>
  <c r="R41" i="3"/>
  <c r="U40" i="3"/>
  <c r="S40" i="3"/>
  <c r="Q40" i="3"/>
  <c r="V39" i="3"/>
  <c r="T39" i="3"/>
  <c r="R39" i="3"/>
  <c r="U38" i="3"/>
  <c r="S38" i="3"/>
  <c r="Q38" i="3"/>
  <c r="V37" i="3"/>
  <c r="T37" i="3"/>
  <c r="R37" i="3"/>
  <c r="U36" i="3"/>
  <c r="S36" i="3"/>
  <c r="Q36" i="3"/>
  <c r="V35" i="3"/>
  <c r="T35" i="3"/>
  <c r="R35" i="3"/>
  <c r="U34" i="3"/>
  <c r="S34" i="3"/>
  <c r="Q34" i="3"/>
  <c r="V33" i="3"/>
  <c r="T33" i="3"/>
  <c r="R33" i="3"/>
  <c r="U32" i="3"/>
  <c r="S32" i="3"/>
  <c r="Q32" i="3"/>
  <c r="V31" i="3"/>
  <c r="T31" i="3"/>
  <c r="R31" i="3"/>
  <c r="U30" i="3"/>
  <c r="S30" i="3"/>
  <c r="Q30" i="3"/>
  <c r="V29" i="3"/>
  <c r="T29" i="3"/>
  <c r="R29" i="3"/>
  <c r="U28" i="3"/>
  <c r="S28" i="3"/>
  <c r="Q28" i="3"/>
  <c r="V27" i="3"/>
  <c r="T27" i="3"/>
  <c r="R27" i="3"/>
  <c r="U26" i="3"/>
  <c r="S26" i="3"/>
  <c r="Q26" i="3"/>
  <c r="V25" i="3"/>
  <c r="T25" i="3"/>
  <c r="R25" i="3"/>
  <c r="V52" i="3"/>
  <c r="R52" i="3"/>
  <c r="U51" i="3"/>
  <c r="Q51" i="3"/>
  <c r="V50" i="3"/>
  <c r="R50" i="3"/>
  <c r="U49" i="3"/>
  <c r="Q49" i="3"/>
  <c r="V48" i="3"/>
  <c r="R48" i="3"/>
  <c r="U47" i="3"/>
  <c r="Q47" i="3"/>
  <c r="V46" i="3"/>
  <c r="R46" i="3"/>
  <c r="U45" i="3"/>
  <c r="Q45" i="3"/>
  <c r="V44" i="3"/>
  <c r="R44" i="3"/>
  <c r="U43" i="3"/>
  <c r="Q43" i="3"/>
  <c r="V42" i="3"/>
  <c r="R42" i="3"/>
  <c r="U41" i="3"/>
  <c r="Q41" i="3"/>
  <c r="V40" i="3"/>
  <c r="R40" i="3"/>
  <c r="U39" i="3"/>
  <c r="Q39" i="3"/>
  <c r="V38" i="3"/>
  <c r="R38" i="3"/>
  <c r="U37" i="3"/>
  <c r="Q37" i="3"/>
  <c r="V36" i="3"/>
  <c r="R36" i="3"/>
  <c r="U35" i="3"/>
  <c r="Q35" i="3"/>
  <c r="V34" i="3"/>
  <c r="R34" i="3"/>
  <c r="U33" i="3"/>
  <c r="Q33" i="3"/>
  <c r="V32" i="3"/>
  <c r="R32" i="3"/>
  <c r="U31" i="3"/>
  <c r="Q31" i="3"/>
  <c r="V30" i="3"/>
  <c r="R30" i="3"/>
  <c r="U29" i="3"/>
  <c r="Q29" i="3"/>
  <c r="V28" i="3"/>
  <c r="R28" i="3"/>
  <c r="U27" i="3"/>
  <c r="Q27" i="3"/>
  <c r="V26" i="3"/>
  <c r="R26" i="3"/>
  <c r="U25" i="3"/>
  <c r="Q25" i="3"/>
  <c r="V24" i="3"/>
  <c r="T24" i="3"/>
  <c r="R24" i="3"/>
  <c r="V23" i="3"/>
  <c r="T23" i="3"/>
  <c r="R23" i="3"/>
  <c r="U22" i="3"/>
  <c r="S22" i="3"/>
  <c r="Q22" i="3"/>
  <c r="V21" i="3"/>
  <c r="T21" i="3"/>
  <c r="R21" i="3"/>
  <c r="U20" i="3"/>
  <c r="S20" i="3"/>
  <c r="Q20" i="3"/>
  <c r="U19" i="3"/>
  <c r="S19" i="3"/>
  <c r="Q19" i="3"/>
  <c r="U18" i="3"/>
  <c r="S18" i="3"/>
  <c r="Q18" i="3"/>
  <c r="V17" i="3"/>
  <c r="T17" i="3"/>
  <c r="R17" i="3"/>
  <c r="V16" i="3"/>
  <c r="T16" i="3"/>
  <c r="R16" i="3"/>
  <c r="V15" i="3"/>
  <c r="T15" i="3"/>
  <c r="R15" i="3"/>
  <c r="V14" i="3"/>
  <c r="T14" i="3"/>
  <c r="R14" i="3"/>
  <c r="V13" i="3"/>
  <c r="T13" i="3"/>
  <c r="R13" i="3"/>
  <c r="U12" i="3"/>
  <c r="S12" i="3"/>
  <c r="Q12" i="3"/>
  <c r="V11" i="3"/>
  <c r="T11" i="3"/>
  <c r="T52" i="3"/>
  <c r="S51" i="3"/>
  <c r="T50" i="3"/>
  <c r="S49" i="3"/>
  <c r="T48" i="3"/>
  <c r="S47" i="3"/>
  <c r="T46" i="3"/>
  <c r="S45" i="3"/>
  <c r="T44" i="3"/>
  <c r="S43" i="3"/>
  <c r="T42" i="3"/>
  <c r="S41" i="3"/>
  <c r="T40" i="3"/>
  <c r="S39" i="3"/>
  <c r="T38" i="3"/>
  <c r="S37" i="3"/>
  <c r="T36" i="3"/>
  <c r="S35" i="3"/>
  <c r="T34" i="3"/>
  <c r="S33" i="3"/>
  <c r="T32" i="3"/>
  <c r="S31" i="3"/>
  <c r="T30" i="3"/>
  <c r="S29" i="3"/>
  <c r="T28" i="3"/>
  <c r="S27" i="3"/>
  <c r="T26" i="3"/>
  <c r="S25" i="3"/>
  <c r="U24" i="3"/>
  <c r="S24" i="3"/>
  <c r="Q24" i="3"/>
  <c r="U23" i="3"/>
  <c r="S23" i="3"/>
  <c r="Q23" i="3"/>
  <c r="V22" i="3"/>
  <c r="T22" i="3"/>
  <c r="R22" i="3"/>
  <c r="U21" i="3"/>
  <c r="S21" i="3"/>
  <c r="Q21" i="3"/>
  <c r="V20" i="3"/>
  <c r="T20" i="3"/>
  <c r="R20" i="3"/>
  <c r="V19" i="3"/>
  <c r="T19" i="3"/>
  <c r="R19" i="3"/>
  <c r="V18" i="3"/>
  <c r="T18" i="3"/>
  <c r="R18" i="3"/>
  <c r="U17" i="3"/>
  <c r="S17" i="3"/>
  <c r="Q17" i="3"/>
  <c r="U16" i="3"/>
  <c r="S16" i="3"/>
  <c r="Q16" i="3"/>
  <c r="U15" i="3"/>
  <c r="S15" i="3"/>
  <c r="Q15" i="3"/>
  <c r="U14" i="3"/>
  <c r="S14" i="3"/>
  <c r="Q14" i="3"/>
  <c r="U13" i="3"/>
  <c r="S13" i="3"/>
  <c r="Q13" i="3"/>
  <c r="V12" i="3"/>
  <c r="T12" i="3"/>
  <c r="R12" i="3"/>
  <c r="U11" i="3"/>
  <c r="S11" i="3"/>
  <c r="Q11" i="3"/>
  <c r="U10" i="3"/>
  <c r="S10" i="3"/>
  <c r="Q10" i="3"/>
  <c r="V9" i="3"/>
  <c r="T9" i="3"/>
  <c r="R9" i="3"/>
  <c r="U8" i="3"/>
  <c r="S8" i="3"/>
  <c r="Q8" i="3"/>
  <c r="U7" i="3"/>
  <c r="S7" i="3"/>
  <c r="Q7" i="3"/>
  <c r="V6" i="3"/>
  <c r="T6" i="3"/>
  <c r="R6" i="3"/>
  <c r="T8" i="3"/>
  <c r="S9" i="3"/>
  <c r="T10" i="3"/>
  <c r="R11" i="3"/>
  <c r="CS3" i="3"/>
  <c r="CT3" i="3" s="1"/>
  <c r="C36" i="6" s="1"/>
  <c r="CS4" i="3"/>
  <c r="CT4" i="3" s="1"/>
  <c r="CT54" i="3"/>
  <c r="CU54" i="3"/>
  <c r="AL56" i="3"/>
  <c r="U56" i="3"/>
  <c r="AN56" i="3"/>
  <c r="CS5" i="3"/>
  <c r="CS6" i="3"/>
  <c r="CS7" i="3"/>
  <c r="CS11" i="3"/>
  <c r="CS12" i="3"/>
  <c r="CS13" i="3"/>
  <c r="CS15" i="3"/>
  <c r="CS17" i="3"/>
  <c r="CS18" i="3"/>
  <c r="CS20" i="3"/>
  <c r="CS21" i="3"/>
  <c r="CS22" i="3"/>
  <c r="CS23" i="3"/>
  <c r="AJ103" i="3"/>
  <c r="AD103" i="3"/>
  <c r="X103" i="3"/>
  <c r="AJ102" i="3"/>
  <c r="AD102" i="3"/>
  <c r="X102" i="3"/>
  <c r="AJ101" i="3"/>
  <c r="AD101" i="3"/>
  <c r="X101" i="3"/>
  <c r="AJ100" i="3"/>
  <c r="AD100" i="3"/>
  <c r="X100" i="3"/>
  <c r="AJ99" i="3"/>
  <c r="AD99" i="3"/>
  <c r="AK103" i="3"/>
  <c r="Y103" i="3"/>
  <c r="AK102" i="3"/>
  <c r="Y102" i="3"/>
  <c r="AK101" i="3"/>
  <c r="Y101" i="3"/>
  <c r="AK100" i="3"/>
  <c r="Y100" i="3"/>
  <c r="AK99" i="3"/>
  <c r="Y99" i="3"/>
  <c r="AK98" i="3"/>
  <c r="AE98" i="3"/>
  <c r="Y98" i="3"/>
  <c r="AK97" i="3"/>
  <c r="AE97" i="3"/>
  <c r="Y97" i="3"/>
  <c r="AK96" i="3"/>
  <c r="AE96" i="3"/>
  <c r="Y96" i="3"/>
  <c r="AK95" i="3"/>
  <c r="AE95" i="3"/>
  <c r="Y95" i="3"/>
  <c r="AK94" i="3"/>
  <c r="AE94" i="3"/>
  <c r="Y94" i="3"/>
  <c r="AK93" i="3"/>
  <c r="AE93" i="3"/>
  <c r="Y93" i="3"/>
  <c r="AK92" i="3"/>
  <c r="AE92" i="3"/>
  <c r="Y92" i="3"/>
  <c r="AE103" i="3"/>
  <c r="AE102" i="3"/>
  <c r="AE101" i="3"/>
  <c r="AE100" i="3"/>
  <c r="AE99" i="3"/>
  <c r="X99" i="3"/>
  <c r="AJ98" i="3"/>
  <c r="AD98" i="3"/>
  <c r="X98" i="3"/>
  <c r="AJ97" i="3"/>
  <c r="AD97" i="3"/>
  <c r="X97" i="3"/>
  <c r="AD96" i="3"/>
  <c r="AJ95" i="3"/>
  <c r="X95" i="3"/>
  <c r="AD94" i="3"/>
  <c r="AJ93" i="3"/>
  <c r="X93" i="3"/>
  <c r="AD92" i="3"/>
  <c r="AK91" i="3"/>
  <c r="AE91" i="3"/>
  <c r="Y91" i="3"/>
  <c r="AK90" i="3"/>
  <c r="AE90" i="3"/>
  <c r="Y90" i="3"/>
  <c r="AK89" i="3"/>
  <c r="AE89" i="3"/>
  <c r="Y89" i="3"/>
  <c r="AK88" i="3"/>
  <c r="AE88" i="3"/>
  <c r="Y88" i="3"/>
  <c r="AK87" i="3"/>
  <c r="AE87" i="3"/>
  <c r="Y87" i="3"/>
  <c r="AK86" i="3"/>
  <c r="AE86" i="3"/>
  <c r="Y86" i="3"/>
  <c r="AK85" i="3"/>
  <c r="AE85" i="3"/>
  <c r="Y85" i="3"/>
  <c r="AK84" i="3"/>
  <c r="AJ96" i="3"/>
  <c r="X96" i="3"/>
  <c r="AD95" i="3"/>
  <c r="AJ94" i="3"/>
  <c r="X94" i="3"/>
  <c r="AD93" i="3"/>
  <c r="AJ92" i="3"/>
  <c r="X92" i="3"/>
  <c r="AJ91" i="3"/>
  <c r="AD91" i="3"/>
  <c r="X91" i="3"/>
  <c r="AJ90" i="3"/>
  <c r="AD90" i="3"/>
  <c r="X90" i="3"/>
  <c r="AJ89" i="3"/>
  <c r="AD89" i="3"/>
  <c r="X89" i="3"/>
  <c r="AJ88" i="3"/>
  <c r="AD88" i="3"/>
  <c r="X88" i="3"/>
  <c r="AJ87" i="3"/>
  <c r="AD87" i="3"/>
  <c r="X87" i="3"/>
  <c r="AJ86" i="3"/>
  <c r="AD86" i="3"/>
  <c r="X86" i="3"/>
  <c r="AJ85" i="3"/>
  <c r="AD85" i="3"/>
  <c r="X85" i="3"/>
  <c r="AJ84" i="3"/>
  <c r="AD84" i="3"/>
  <c r="X84" i="3"/>
  <c r="AJ83" i="3"/>
  <c r="AD83" i="3"/>
  <c r="X83" i="3"/>
  <c r="AJ82" i="3"/>
  <c r="AD82" i="3"/>
  <c r="X82" i="3"/>
  <c r="AJ81" i="3"/>
  <c r="AD81" i="3"/>
  <c r="X81" i="3"/>
  <c r="AJ80" i="3"/>
  <c r="AD80" i="3"/>
  <c r="X80" i="3"/>
  <c r="AJ79" i="3"/>
  <c r="AD79" i="3"/>
  <c r="X79" i="3"/>
  <c r="AJ78" i="3"/>
  <c r="AD78" i="3"/>
  <c r="X78" i="3"/>
  <c r="AJ77" i="3"/>
  <c r="AD77" i="3"/>
  <c r="X77" i="3"/>
  <c r="AJ76" i="3"/>
  <c r="AD76" i="3"/>
  <c r="X76" i="3"/>
  <c r="AJ75" i="3"/>
  <c r="AD75" i="3"/>
  <c r="X75" i="3"/>
  <c r="AE84" i="3"/>
  <c r="Y84" i="3"/>
  <c r="AK83" i="3"/>
  <c r="AE83" i="3"/>
  <c r="Y83" i="3"/>
  <c r="AK82" i="3"/>
  <c r="AE82" i="3"/>
  <c r="Y82" i="3"/>
  <c r="AK81" i="3"/>
  <c r="AE81" i="3"/>
  <c r="Y81" i="3"/>
  <c r="AK80" i="3"/>
  <c r="AE80" i="3"/>
  <c r="Y80" i="3"/>
  <c r="AK79" i="3"/>
  <c r="AE79" i="3"/>
  <c r="Y79" i="3"/>
  <c r="AK78" i="3"/>
  <c r="AE78" i="3"/>
  <c r="Y78" i="3"/>
  <c r="AK77" i="3"/>
  <c r="AE77" i="3"/>
  <c r="Y77" i="3"/>
  <c r="AK76" i="3"/>
  <c r="AE76" i="3"/>
  <c r="Y76" i="3"/>
  <c r="AK75" i="3"/>
  <c r="AE75" i="3"/>
  <c r="Y75" i="3"/>
  <c r="AK74" i="3"/>
  <c r="AE74" i="3"/>
  <c r="Y74" i="3"/>
  <c r="AK73" i="3"/>
  <c r="AE73" i="3"/>
  <c r="Y73" i="3"/>
  <c r="AK72" i="3"/>
  <c r="AE72" i="3"/>
  <c r="Y72" i="3"/>
  <c r="AK71" i="3"/>
  <c r="AE71" i="3"/>
  <c r="Y71" i="3"/>
  <c r="AK70" i="3"/>
  <c r="AE70" i="3"/>
  <c r="Y70" i="3"/>
  <c r="AK69" i="3"/>
  <c r="AE69" i="3"/>
  <c r="Y69" i="3"/>
  <c r="AK68" i="3"/>
  <c r="AE68" i="3"/>
  <c r="Y68" i="3"/>
  <c r="AK67" i="3"/>
  <c r="AE67" i="3"/>
  <c r="Y67" i="3"/>
  <c r="AK66" i="3"/>
  <c r="AE66" i="3"/>
  <c r="Y66" i="3"/>
  <c r="AK65" i="3"/>
  <c r="AE65" i="3"/>
  <c r="Y65" i="3"/>
  <c r="AK64" i="3"/>
  <c r="AE64" i="3"/>
  <c r="Y64" i="3"/>
  <c r="AK63" i="3"/>
  <c r="AE63" i="3"/>
  <c r="Y63" i="3"/>
  <c r="AJ74" i="3"/>
  <c r="AD74" i="3"/>
  <c r="X74" i="3"/>
  <c r="AJ73" i="3"/>
  <c r="AD73" i="3"/>
  <c r="X73" i="3"/>
  <c r="AJ72" i="3"/>
  <c r="AD72" i="3"/>
  <c r="X72" i="3"/>
  <c r="AJ71" i="3"/>
  <c r="AD71" i="3"/>
  <c r="X71" i="3"/>
  <c r="AJ70" i="3"/>
  <c r="AD70" i="3"/>
  <c r="X70" i="3"/>
  <c r="AJ69" i="3"/>
  <c r="AD69" i="3"/>
  <c r="X69" i="3"/>
  <c r="AJ68" i="3"/>
  <c r="AD68" i="3"/>
  <c r="X68" i="3"/>
  <c r="AJ67" i="3"/>
  <c r="AD67" i="3"/>
  <c r="X67" i="3"/>
  <c r="AJ66" i="3"/>
  <c r="AD66" i="3"/>
  <c r="X66" i="3"/>
  <c r="AJ65" i="3"/>
  <c r="AD65" i="3"/>
  <c r="X65" i="3"/>
  <c r="AJ64" i="3"/>
  <c r="AD64" i="3"/>
  <c r="X64" i="3"/>
  <c r="AJ63" i="3"/>
  <c r="AD63" i="3"/>
  <c r="X63" i="3"/>
  <c r="CS25" i="3"/>
  <c r="CS26" i="3"/>
  <c r="CS27" i="3"/>
  <c r="CS28" i="3"/>
  <c r="CS29" i="3"/>
  <c r="CS30" i="3"/>
  <c r="CS31" i="3"/>
  <c r="CS32" i="3"/>
  <c r="CS33" i="3"/>
  <c r="CS34" i="3"/>
  <c r="CS35" i="3"/>
  <c r="CS36" i="3"/>
  <c r="CS37" i="3"/>
  <c r="CS38" i="3"/>
  <c r="CS39" i="3"/>
  <c r="CS40" i="3"/>
  <c r="CS41" i="3"/>
  <c r="CS42" i="3"/>
  <c r="CS43" i="3"/>
  <c r="CS44" i="3"/>
  <c r="CS45" i="3"/>
  <c r="CS46" i="3"/>
  <c r="CS47" i="3"/>
  <c r="CS48" i="3"/>
  <c r="CS49" i="3"/>
  <c r="CS50" i="3"/>
  <c r="CS51" i="3"/>
  <c r="CS52" i="3"/>
  <c r="X53" i="3"/>
  <c r="AD53" i="3"/>
  <c r="AJ53" i="3"/>
  <c r="CS53" i="3"/>
  <c r="X54" i="3"/>
  <c r="AD54" i="3"/>
  <c r="AJ54" i="3"/>
  <c r="AD55" i="3"/>
  <c r="X56" i="3"/>
  <c r="CS103" i="3"/>
  <c r="CS102" i="3"/>
  <c r="CS101" i="3"/>
  <c r="CS100" i="3"/>
  <c r="CS99" i="3"/>
  <c r="CS98" i="3"/>
  <c r="CS97" i="3"/>
  <c r="CS96" i="3"/>
  <c r="CS95" i="3"/>
  <c r="CS93" i="3"/>
  <c r="CS94" i="3"/>
  <c r="CS92" i="3"/>
  <c r="CS91" i="3"/>
  <c r="CS90" i="3"/>
  <c r="CS89" i="3"/>
  <c r="CS88" i="3"/>
  <c r="CS87" i="3"/>
  <c r="CS86" i="3"/>
  <c r="CS85" i="3"/>
  <c r="CS84" i="3"/>
  <c r="CS83" i="3"/>
  <c r="CS82" i="3"/>
  <c r="CS81" i="3"/>
  <c r="CS80" i="3"/>
  <c r="CS79" i="3"/>
  <c r="CS78" i="3"/>
  <c r="CS77" i="3"/>
  <c r="CS76" i="3"/>
  <c r="CS75" i="3"/>
  <c r="CS74" i="3"/>
  <c r="CS73" i="3"/>
  <c r="CS72" i="3"/>
  <c r="CS71" i="3"/>
  <c r="CS70" i="3"/>
  <c r="CS69" i="3"/>
  <c r="CS68" i="3"/>
  <c r="CS67" i="3"/>
  <c r="CS66" i="3"/>
  <c r="CS65" i="3"/>
  <c r="CS64" i="3"/>
  <c r="CS63" i="3"/>
  <c r="CS62" i="3"/>
  <c r="CS61" i="3"/>
  <c r="CS60" i="3"/>
  <c r="CS59" i="3"/>
  <c r="CS58" i="3"/>
  <c r="CS57" i="3"/>
  <c r="CS56" i="3"/>
  <c r="CS8" i="3"/>
  <c r="CS9" i="3"/>
  <c r="CS10" i="3"/>
  <c r="CS14" i="3"/>
  <c r="CS16" i="3"/>
  <c r="CS19" i="3"/>
  <c r="AK62" i="3"/>
  <c r="AE62" i="3"/>
  <c r="Y62" i="3"/>
  <c r="AK61" i="3"/>
  <c r="AE61" i="3"/>
  <c r="Y61" i="3"/>
  <c r="AK60" i="3"/>
  <c r="AE60" i="3"/>
  <c r="Y60" i="3"/>
  <c r="AK59" i="3"/>
  <c r="AE59" i="3"/>
  <c r="Y59" i="3"/>
  <c r="AK58" i="3"/>
  <c r="AE58" i="3"/>
  <c r="Y58" i="3"/>
  <c r="AK57" i="3"/>
  <c r="AE57" i="3"/>
  <c r="Y57" i="3"/>
  <c r="AK56" i="3"/>
  <c r="AE56" i="3"/>
  <c r="Y56" i="3"/>
  <c r="AK55" i="3"/>
  <c r="AE55" i="3"/>
  <c r="Y55" i="3"/>
  <c r="AJ62" i="3"/>
  <c r="AD62" i="3"/>
  <c r="X62" i="3"/>
  <c r="AJ61" i="3"/>
  <c r="AD61" i="3"/>
  <c r="X61" i="3"/>
  <c r="AJ60" i="3"/>
  <c r="AD60" i="3"/>
  <c r="X60" i="3"/>
  <c r="AJ59" i="3"/>
  <c r="AD59" i="3"/>
  <c r="X59" i="3"/>
  <c r="AJ58" i="3"/>
  <c r="AD58" i="3"/>
  <c r="X58" i="3"/>
  <c r="AJ57" i="3"/>
  <c r="AD57" i="3"/>
  <c r="X57" i="3"/>
  <c r="CS24" i="3"/>
  <c r="B25" i="3"/>
  <c r="Y53" i="3"/>
  <c r="AE53" i="3"/>
  <c r="AK53" i="3"/>
  <c r="Y54" i="3"/>
  <c r="AE54" i="3"/>
  <c r="AK54" i="3"/>
  <c r="X55" i="3"/>
  <c r="AJ55" i="3"/>
  <c r="CS55" i="3"/>
  <c r="AD56" i="3"/>
  <c r="F42" i="2"/>
  <c r="H42" i="2" s="1"/>
  <c r="B25" i="6"/>
  <c r="E6" i="4" s="1"/>
  <c r="Z103" i="8"/>
  <c r="C242" i="3" s="1"/>
  <c r="K103" i="8"/>
  <c r="C136" i="3" s="1"/>
  <c r="G103" i="8"/>
  <c r="AS103" i="3" s="1"/>
  <c r="Z102" i="8"/>
  <c r="C241" i="3" s="1"/>
  <c r="K102" i="8"/>
  <c r="C135" i="3" s="1"/>
  <c r="G102" i="8"/>
  <c r="AS102" i="3" s="1"/>
  <c r="Z101" i="8"/>
  <c r="C240" i="3" s="1"/>
  <c r="K101" i="8"/>
  <c r="C134" i="3" s="1"/>
  <c r="G101" i="8"/>
  <c r="AS101" i="3" s="1"/>
  <c r="Z100" i="8"/>
  <c r="C239" i="3" s="1"/>
  <c r="K100" i="8"/>
  <c r="C133" i="3" s="1"/>
  <c r="G100" i="8"/>
  <c r="AS100" i="3" s="1"/>
  <c r="Z99" i="8"/>
  <c r="C238" i="3" s="1"/>
  <c r="K99" i="8"/>
  <c r="C132" i="3" s="1"/>
  <c r="G99" i="8"/>
  <c r="AS99" i="3" s="1"/>
  <c r="Z98" i="8"/>
  <c r="C237" i="3" s="1"/>
  <c r="K98" i="8"/>
  <c r="C131" i="3" s="1"/>
  <c r="G98" i="8"/>
  <c r="AS98" i="3" s="1"/>
  <c r="Z97" i="8"/>
  <c r="C236" i="3" s="1"/>
  <c r="K97" i="8"/>
  <c r="C130" i="3" s="1"/>
  <c r="G97" i="8"/>
  <c r="AS97" i="3" s="1"/>
  <c r="Z96" i="8"/>
  <c r="C235" i="3" s="1"/>
  <c r="K96" i="8"/>
  <c r="C129" i="3" s="1"/>
  <c r="G96" i="8"/>
  <c r="AS96" i="3" s="1"/>
  <c r="Z95" i="8"/>
  <c r="C234" i="3" s="1"/>
  <c r="K95" i="8"/>
  <c r="C128" i="3" s="1"/>
  <c r="G95" i="8"/>
  <c r="AS95" i="3" s="1"/>
  <c r="Z94" i="8"/>
  <c r="C233" i="3" s="1"/>
  <c r="K94" i="8"/>
  <c r="C127" i="3" s="1"/>
  <c r="G94" i="8"/>
  <c r="AS94" i="3" s="1"/>
  <c r="Z93" i="8"/>
  <c r="C232" i="3" s="1"/>
  <c r="K93" i="8"/>
  <c r="C126" i="3" s="1"/>
  <c r="G93" i="8"/>
  <c r="AS93" i="3" s="1"/>
  <c r="Z92" i="8"/>
  <c r="C231" i="3" s="1"/>
  <c r="K92" i="8"/>
  <c r="C125" i="3" s="1"/>
  <c r="G92" i="8"/>
  <c r="AS92" i="3" s="1"/>
  <c r="Z91" i="8"/>
  <c r="C230" i="3" s="1"/>
  <c r="K91" i="8"/>
  <c r="C124" i="3" s="1"/>
  <c r="G91" i="8"/>
  <c r="AS91" i="3" s="1"/>
  <c r="Z90" i="8"/>
  <c r="C229" i="3" s="1"/>
  <c r="K90" i="8"/>
  <c r="C123" i="3" s="1"/>
  <c r="G90" i="8"/>
  <c r="AS90" i="3" s="1"/>
  <c r="Z89" i="8"/>
  <c r="C228" i="3" s="1"/>
  <c r="K89" i="8"/>
  <c r="C122" i="3" s="1"/>
  <c r="G89" i="8"/>
  <c r="AS89" i="3" s="1"/>
  <c r="Z88" i="8"/>
  <c r="C227" i="3" s="1"/>
  <c r="K88" i="8"/>
  <c r="C121" i="3" s="1"/>
  <c r="G88" i="8"/>
  <c r="AS88" i="3" s="1"/>
  <c r="Z87" i="8"/>
  <c r="C226" i="3" s="1"/>
  <c r="K87" i="8"/>
  <c r="C120" i="3" s="1"/>
  <c r="G87" i="8"/>
  <c r="AS87" i="3" s="1"/>
  <c r="Z86" i="8"/>
  <c r="C225" i="3" s="1"/>
  <c r="K86" i="8"/>
  <c r="C119" i="3" s="1"/>
  <c r="G86" i="8"/>
  <c r="AS86" i="3" s="1"/>
  <c r="Z85" i="8"/>
  <c r="C224" i="3" s="1"/>
  <c r="K85" i="8"/>
  <c r="C118" i="3" s="1"/>
  <c r="G85" i="8"/>
  <c r="AS85" i="3" s="1"/>
  <c r="Z84" i="8"/>
  <c r="C223" i="3" s="1"/>
  <c r="K84" i="8"/>
  <c r="C117" i="3" s="1"/>
  <c r="G84" i="8"/>
  <c r="AS84" i="3" s="1"/>
  <c r="Z83" i="8"/>
  <c r="C222" i="3" s="1"/>
  <c r="K83" i="8"/>
  <c r="C116" i="3" s="1"/>
  <c r="G83" i="8"/>
  <c r="AS83" i="3" s="1"/>
  <c r="Z82" i="8"/>
  <c r="C221" i="3" s="1"/>
  <c r="K82" i="8"/>
  <c r="C115" i="3" s="1"/>
  <c r="G82" i="8"/>
  <c r="AS82" i="3" s="1"/>
  <c r="Z81" i="8"/>
  <c r="C220" i="3" s="1"/>
  <c r="K81" i="8"/>
  <c r="C114" i="3" s="1"/>
  <c r="G81" i="8"/>
  <c r="AS81" i="3" s="1"/>
  <c r="Z80" i="8"/>
  <c r="C219" i="3" s="1"/>
  <c r="K80" i="8"/>
  <c r="C113" i="3" s="1"/>
  <c r="G80" i="8"/>
  <c r="AS80" i="3" s="1"/>
  <c r="Z79" i="8"/>
  <c r="C218" i="3" s="1"/>
  <c r="K79" i="8"/>
  <c r="C112" i="3" s="1"/>
  <c r="G79" i="8"/>
  <c r="AS79" i="3" s="1"/>
  <c r="Z78" i="8"/>
  <c r="C217" i="3" s="1"/>
  <c r="K78" i="8"/>
  <c r="C111" i="3" s="1"/>
  <c r="G78" i="8"/>
  <c r="AS78" i="3" s="1"/>
  <c r="Z77" i="8"/>
  <c r="C216" i="3" s="1"/>
  <c r="K77" i="8"/>
  <c r="C110" i="3" s="1"/>
  <c r="Y103" i="8"/>
  <c r="B242" i="3" s="1"/>
  <c r="J103" i="8"/>
  <c r="B136" i="3" s="1"/>
  <c r="F103" i="8"/>
  <c r="AR103" i="3" s="1"/>
  <c r="Y102" i="8"/>
  <c r="B241" i="3" s="1"/>
  <c r="J102" i="8"/>
  <c r="B135" i="3" s="1"/>
  <c r="F102" i="8"/>
  <c r="AR102" i="3" s="1"/>
  <c r="Y101" i="8"/>
  <c r="B240" i="3" s="1"/>
  <c r="J101" i="8"/>
  <c r="B134" i="3" s="1"/>
  <c r="F101" i="8"/>
  <c r="AR101" i="3" s="1"/>
  <c r="Y100" i="8"/>
  <c r="B239" i="3" s="1"/>
  <c r="J100" i="8"/>
  <c r="B133" i="3" s="1"/>
  <c r="F100" i="8"/>
  <c r="AR100" i="3" s="1"/>
  <c r="Y99" i="8"/>
  <c r="B238" i="3" s="1"/>
  <c r="J99" i="8"/>
  <c r="B132" i="3" s="1"/>
  <c r="F99" i="8"/>
  <c r="AR99" i="3" s="1"/>
  <c r="Y98" i="8"/>
  <c r="B237" i="3" s="1"/>
  <c r="J98" i="8"/>
  <c r="B131" i="3" s="1"/>
  <c r="F98" i="8"/>
  <c r="AR98" i="3" s="1"/>
  <c r="Y97" i="8"/>
  <c r="B236" i="3" s="1"/>
  <c r="J97" i="8"/>
  <c r="B130" i="3" s="1"/>
  <c r="F97" i="8"/>
  <c r="AR97" i="3" s="1"/>
  <c r="Y96" i="8"/>
  <c r="B235" i="3" s="1"/>
  <c r="J96" i="8"/>
  <c r="B129" i="3" s="1"/>
  <c r="F96" i="8"/>
  <c r="AR96" i="3" s="1"/>
  <c r="Y95" i="8"/>
  <c r="B234" i="3" s="1"/>
  <c r="J95" i="8"/>
  <c r="B128" i="3" s="1"/>
  <c r="F95" i="8"/>
  <c r="AR95" i="3" s="1"/>
  <c r="Y94" i="8"/>
  <c r="B233" i="3" s="1"/>
  <c r="J94" i="8"/>
  <c r="B127" i="3" s="1"/>
  <c r="F94" i="8"/>
  <c r="AR94" i="3" s="1"/>
  <c r="Y93" i="8"/>
  <c r="B232" i="3" s="1"/>
  <c r="J93" i="8"/>
  <c r="B126" i="3" s="1"/>
  <c r="F93" i="8"/>
  <c r="AR93" i="3" s="1"/>
  <c r="Y92" i="8"/>
  <c r="B231" i="3" s="1"/>
  <c r="J92" i="8"/>
  <c r="B125" i="3" s="1"/>
  <c r="F92" i="8"/>
  <c r="AR92" i="3" s="1"/>
  <c r="Y91" i="8"/>
  <c r="B230" i="3" s="1"/>
  <c r="J91" i="8"/>
  <c r="B124" i="3" s="1"/>
  <c r="F91" i="8"/>
  <c r="AR91" i="3" s="1"/>
  <c r="Y90" i="8"/>
  <c r="B229" i="3" s="1"/>
  <c r="J90" i="8"/>
  <c r="B123" i="3" s="1"/>
  <c r="F90" i="8"/>
  <c r="AR90" i="3" s="1"/>
  <c r="Y89" i="8"/>
  <c r="B228" i="3" s="1"/>
  <c r="J89" i="8"/>
  <c r="B122" i="3" s="1"/>
  <c r="F89" i="8"/>
  <c r="AR89" i="3" s="1"/>
  <c r="Y88" i="8"/>
  <c r="B227" i="3" s="1"/>
  <c r="J88" i="8"/>
  <c r="B121" i="3" s="1"/>
  <c r="F88" i="8"/>
  <c r="AR88" i="3" s="1"/>
  <c r="Y87" i="8"/>
  <c r="B226" i="3" s="1"/>
  <c r="J87" i="8"/>
  <c r="B120" i="3" s="1"/>
  <c r="F87" i="8"/>
  <c r="AR87" i="3" s="1"/>
  <c r="Y86" i="8"/>
  <c r="B225" i="3" s="1"/>
  <c r="J86" i="8"/>
  <c r="B119" i="3" s="1"/>
  <c r="F86" i="8"/>
  <c r="AR86" i="3" s="1"/>
  <c r="AT86" i="3" s="1"/>
  <c r="Y85" i="8"/>
  <c r="B224" i="3" s="1"/>
  <c r="J85" i="8"/>
  <c r="B118" i="3" s="1"/>
  <c r="D118" i="3" s="1"/>
  <c r="F85" i="8"/>
  <c r="AR85" i="3" s="1"/>
  <c r="Y84" i="8"/>
  <c r="B223" i="3" s="1"/>
  <c r="J84" i="8"/>
  <c r="B117" i="3" s="1"/>
  <c r="F84" i="8"/>
  <c r="AR84" i="3" s="1"/>
  <c r="Y83" i="8"/>
  <c r="B222" i="3" s="1"/>
  <c r="J83" i="8"/>
  <c r="B116" i="3" s="1"/>
  <c r="F83" i="8"/>
  <c r="AR83" i="3" s="1"/>
  <c r="Y82" i="8"/>
  <c r="B221" i="3" s="1"/>
  <c r="J82" i="8"/>
  <c r="B115" i="3" s="1"/>
  <c r="F82" i="8"/>
  <c r="AR82" i="3" s="1"/>
  <c r="Y81" i="8"/>
  <c r="B220" i="3" s="1"/>
  <c r="J81" i="8"/>
  <c r="B114" i="3" s="1"/>
  <c r="F81" i="8"/>
  <c r="AR81" i="3" s="1"/>
  <c r="Y80" i="8"/>
  <c r="B219" i="3" s="1"/>
  <c r="J80" i="8"/>
  <c r="B113" i="3" s="1"/>
  <c r="F80" i="8"/>
  <c r="AR80" i="3" s="1"/>
  <c r="Y79" i="8"/>
  <c r="B218" i="3" s="1"/>
  <c r="J79" i="8"/>
  <c r="B112" i="3" s="1"/>
  <c r="F79" i="8"/>
  <c r="AR79" i="3" s="1"/>
  <c r="Y78" i="8"/>
  <c r="B217" i="3" s="1"/>
  <c r="J78" i="8"/>
  <c r="B111" i="3" s="1"/>
  <c r="F78" i="8"/>
  <c r="AR78" i="3" s="1"/>
  <c r="Y77" i="8"/>
  <c r="B216" i="3" s="1"/>
  <c r="J77" i="8"/>
  <c r="B110" i="3" s="1"/>
  <c r="F77" i="8"/>
  <c r="AR77" i="3" s="1"/>
  <c r="G77" i="8"/>
  <c r="AS77" i="3" s="1"/>
  <c r="Y76" i="8"/>
  <c r="B215" i="3" s="1"/>
  <c r="J76" i="8"/>
  <c r="B109" i="3" s="1"/>
  <c r="F76" i="8"/>
  <c r="AR76" i="3" s="1"/>
  <c r="Y75" i="8"/>
  <c r="B214" i="3" s="1"/>
  <c r="J75" i="8"/>
  <c r="B108" i="3" s="1"/>
  <c r="F75" i="8"/>
  <c r="AR75" i="3" s="1"/>
  <c r="Y74" i="8"/>
  <c r="B213" i="3" s="1"/>
  <c r="J74" i="8"/>
  <c r="B107" i="3" s="1"/>
  <c r="F74" i="8"/>
  <c r="AR74" i="3" s="1"/>
  <c r="Y73" i="8"/>
  <c r="B212" i="3" s="1"/>
  <c r="J73" i="8"/>
  <c r="B106" i="3" s="1"/>
  <c r="F73" i="8"/>
  <c r="AR73" i="3" s="1"/>
  <c r="Y72" i="8"/>
  <c r="B211" i="3" s="1"/>
  <c r="J72" i="8"/>
  <c r="B105" i="3" s="1"/>
  <c r="F72" i="8"/>
  <c r="AR72" i="3" s="1"/>
  <c r="Y71" i="8"/>
  <c r="B210" i="3" s="1"/>
  <c r="J71" i="8"/>
  <c r="B104" i="3" s="1"/>
  <c r="F71" i="8"/>
  <c r="AR71" i="3" s="1"/>
  <c r="Y70" i="8"/>
  <c r="B209" i="3" s="1"/>
  <c r="J70" i="8"/>
  <c r="B103" i="3" s="1"/>
  <c r="F70" i="8"/>
  <c r="AR70" i="3" s="1"/>
  <c r="Y69" i="8"/>
  <c r="B208" i="3" s="1"/>
  <c r="J69" i="8"/>
  <c r="B102" i="3" s="1"/>
  <c r="F69" i="8"/>
  <c r="AR69" i="3" s="1"/>
  <c r="Y68" i="8"/>
  <c r="B207" i="3" s="1"/>
  <c r="J68" i="8"/>
  <c r="B101" i="3" s="1"/>
  <c r="F68" i="8"/>
  <c r="AR68" i="3" s="1"/>
  <c r="Y67" i="8"/>
  <c r="B206" i="3" s="1"/>
  <c r="J67" i="8"/>
  <c r="B100" i="3" s="1"/>
  <c r="F67" i="8"/>
  <c r="AR67" i="3" s="1"/>
  <c r="Y66" i="8"/>
  <c r="B205" i="3" s="1"/>
  <c r="J66" i="8"/>
  <c r="B99" i="3" s="1"/>
  <c r="F66" i="8"/>
  <c r="AR66" i="3" s="1"/>
  <c r="Y65" i="8"/>
  <c r="B204" i="3" s="1"/>
  <c r="J65" i="8"/>
  <c r="B98" i="3" s="1"/>
  <c r="F65" i="8"/>
  <c r="AR65" i="3" s="1"/>
  <c r="Y64" i="8"/>
  <c r="B203" i="3" s="1"/>
  <c r="J64" i="8"/>
  <c r="B97" i="3" s="1"/>
  <c r="F64" i="8"/>
  <c r="AR64" i="3" s="1"/>
  <c r="Y63" i="8"/>
  <c r="B202" i="3" s="1"/>
  <c r="J63" i="8"/>
  <c r="B96" i="3" s="1"/>
  <c r="F63" i="8"/>
  <c r="AR63" i="3" s="1"/>
  <c r="Y62" i="8"/>
  <c r="B201" i="3" s="1"/>
  <c r="J62" i="8"/>
  <c r="B95" i="3" s="1"/>
  <c r="F62" i="8"/>
  <c r="AR62" i="3" s="1"/>
  <c r="Y61" i="8"/>
  <c r="B200" i="3" s="1"/>
  <c r="J61" i="8"/>
  <c r="B94" i="3" s="1"/>
  <c r="F61" i="8"/>
  <c r="AR61" i="3" s="1"/>
  <c r="Y60" i="8"/>
  <c r="B199" i="3" s="1"/>
  <c r="J60" i="8"/>
  <c r="B93" i="3" s="1"/>
  <c r="F60" i="8"/>
  <c r="AR60" i="3" s="1"/>
  <c r="Y59" i="8"/>
  <c r="B198" i="3" s="1"/>
  <c r="J59" i="8"/>
  <c r="B92" i="3" s="1"/>
  <c r="F59" i="8"/>
  <c r="AR59" i="3" s="1"/>
  <c r="Y58" i="8"/>
  <c r="B197" i="3" s="1"/>
  <c r="J58" i="8"/>
  <c r="B91" i="3" s="1"/>
  <c r="F58" i="8"/>
  <c r="AR58" i="3" s="1"/>
  <c r="Y57" i="8"/>
  <c r="B196" i="3" s="1"/>
  <c r="J57" i="8"/>
  <c r="B90" i="3" s="1"/>
  <c r="F57" i="8"/>
  <c r="AR57" i="3" s="1"/>
  <c r="Y56" i="8"/>
  <c r="B195" i="3" s="1"/>
  <c r="J56" i="8"/>
  <c r="B89" i="3" s="1"/>
  <c r="F56" i="8"/>
  <c r="AR56" i="3" s="1"/>
  <c r="Y55" i="8"/>
  <c r="B194" i="3" s="1"/>
  <c r="J55" i="8"/>
  <c r="B88" i="3" s="1"/>
  <c r="F55" i="8"/>
  <c r="AR55" i="3" s="1"/>
  <c r="Y54" i="8"/>
  <c r="B193" i="3" s="1"/>
  <c r="J54" i="8"/>
  <c r="B87" i="3" s="1"/>
  <c r="F54" i="8"/>
  <c r="AR54" i="3" s="1"/>
  <c r="Y53" i="8"/>
  <c r="B192" i="3" s="1"/>
  <c r="J53" i="8"/>
  <c r="B86" i="3" s="1"/>
  <c r="F53" i="8"/>
  <c r="AR53" i="3" s="1"/>
  <c r="Y52" i="8"/>
  <c r="B191" i="3" s="1"/>
  <c r="J52" i="8"/>
  <c r="B85" i="3" s="1"/>
  <c r="F52" i="8"/>
  <c r="AR52" i="3" s="1"/>
  <c r="Y51" i="8"/>
  <c r="B190" i="3" s="1"/>
  <c r="J51" i="8"/>
  <c r="B84" i="3" s="1"/>
  <c r="F51" i="8"/>
  <c r="AR51" i="3" s="1"/>
  <c r="Y50" i="8"/>
  <c r="B189" i="3" s="1"/>
  <c r="J50" i="8"/>
  <c r="B83" i="3" s="1"/>
  <c r="F50" i="8"/>
  <c r="AR50" i="3" s="1"/>
  <c r="Y49" i="8"/>
  <c r="B188" i="3" s="1"/>
  <c r="J49" i="8"/>
  <c r="B82" i="3" s="1"/>
  <c r="F49" i="8"/>
  <c r="AR49" i="3" s="1"/>
  <c r="Y48" i="8"/>
  <c r="B187" i="3" s="1"/>
  <c r="J48" i="8"/>
  <c r="B81" i="3" s="1"/>
  <c r="F48" i="8"/>
  <c r="AR48" i="3" s="1"/>
  <c r="Y47" i="8"/>
  <c r="B186" i="3" s="1"/>
  <c r="J47" i="8"/>
  <c r="B80" i="3" s="1"/>
  <c r="F47" i="8"/>
  <c r="AR47" i="3" s="1"/>
  <c r="Y46" i="8"/>
  <c r="B185" i="3" s="1"/>
  <c r="J46" i="8"/>
  <c r="B79" i="3" s="1"/>
  <c r="F46" i="8"/>
  <c r="AR46" i="3" s="1"/>
  <c r="Y45" i="8"/>
  <c r="B184" i="3" s="1"/>
  <c r="J45" i="8"/>
  <c r="B78" i="3" s="1"/>
  <c r="F45" i="8"/>
  <c r="AR45" i="3" s="1"/>
  <c r="Y44" i="8"/>
  <c r="B183" i="3" s="1"/>
  <c r="J44" i="8"/>
  <c r="B77" i="3" s="1"/>
  <c r="F44" i="8"/>
  <c r="AR44" i="3" s="1"/>
  <c r="Y43" i="8"/>
  <c r="B182" i="3" s="1"/>
  <c r="J43" i="8"/>
  <c r="B76" i="3" s="1"/>
  <c r="F43" i="8"/>
  <c r="AR43" i="3" s="1"/>
  <c r="Y42" i="8"/>
  <c r="B181" i="3" s="1"/>
  <c r="J42" i="8"/>
  <c r="B75" i="3" s="1"/>
  <c r="F42" i="8"/>
  <c r="AR42" i="3" s="1"/>
  <c r="Y41" i="8"/>
  <c r="B180" i="3" s="1"/>
  <c r="J41" i="8"/>
  <c r="B74" i="3" s="1"/>
  <c r="F41" i="8"/>
  <c r="AR41" i="3" s="1"/>
  <c r="Y40" i="8"/>
  <c r="B179" i="3" s="1"/>
  <c r="J40" i="8"/>
  <c r="B73" i="3" s="1"/>
  <c r="F40" i="8"/>
  <c r="AR40" i="3" s="1"/>
  <c r="Y39" i="8"/>
  <c r="B178" i="3" s="1"/>
  <c r="J39" i="8"/>
  <c r="B72" i="3" s="1"/>
  <c r="F39" i="8"/>
  <c r="AR39" i="3" s="1"/>
  <c r="Y38" i="8"/>
  <c r="B177" i="3" s="1"/>
  <c r="J38" i="8"/>
  <c r="B71" i="3" s="1"/>
  <c r="F38" i="8"/>
  <c r="AR38" i="3" s="1"/>
  <c r="Y37" i="8"/>
  <c r="B176" i="3" s="1"/>
  <c r="J37" i="8"/>
  <c r="B70" i="3" s="1"/>
  <c r="F37" i="8"/>
  <c r="AR37" i="3" s="1"/>
  <c r="Y36" i="8"/>
  <c r="B175" i="3" s="1"/>
  <c r="J36" i="8"/>
  <c r="B69" i="3" s="1"/>
  <c r="F36" i="8"/>
  <c r="AR36" i="3" s="1"/>
  <c r="Y35" i="8"/>
  <c r="B174" i="3" s="1"/>
  <c r="J35" i="8"/>
  <c r="B68" i="3" s="1"/>
  <c r="F35" i="8"/>
  <c r="AR35" i="3" s="1"/>
  <c r="Y34" i="8"/>
  <c r="B173" i="3" s="1"/>
  <c r="J34" i="8"/>
  <c r="B67" i="3" s="1"/>
  <c r="F34" i="8"/>
  <c r="AR34" i="3" s="1"/>
  <c r="Y33" i="8"/>
  <c r="B172" i="3" s="1"/>
  <c r="J33" i="8"/>
  <c r="B66" i="3" s="1"/>
  <c r="F33" i="8"/>
  <c r="AR33" i="3" s="1"/>
  <c r="Y32" i="8"/>
  <c r="B171" i="3" s="1"/>
  <c r="J32" i="8"/>
  <c r="B65" i="3" s="1"/>
  <c r="F32" i="8"/>
  <c r="AR32" i="3" s="1"/>
  <c r="Y31" i="8"/>
  <c r="B170" i="3" s="1"/>
  <c r="J31" i="8"/>
  <c r="B64" i="3" s="1"/>
  <c r="F31" i="8"/>
  <c r="AR31" i="3" s="1"/>
  <c r="Y30" i="8"/>
  <c r="B169" i="3" s="1"/>
  <c r="J30" i="8"/>
  <c r="B63" i="3" s="1"/>
  <c r="F30" i="8"/>
  <c r="AR30" i="3" s="1"/>
  <c r="Y29" i="8"/>
  <c r="B168" i="3" s="1"/>
  <c r="N29" i="8"/>
  <c r="J29" i="8"/>
  <c r="B62" i="3" s="1"/>
  <c r="F29" i="8"/>
  <c r="AR29" i="3" s="1"/>
  <c r="Y28" i="8"/>
  <c r="B167" i="3" s="1"/>
  <c r="N28" i="8"/>
  <c r="J28" i="8"/>
  <c r="B61" i="3" s="1"/>
  <c r="F28" i="8"/>
  <c r="AR28" i="3" s="1"/>
  <c r="Y27" i="8"/>
  <c r="B166" i="3" s="1"/>
  <c r="N27" i="8"/>
  <c r="J27" i="8"/>
  <c r="B60" i="3" s="1"/>
  <c r="F27" i="8"/>
  <c r="AR27" i="3" s="1"/>
  <c r="Y26" i="8"/>
  <c r="B165" i="3" s="1"/>
  <c r="N26" i="8"/>
  <c r="J26" i="8"/>
  <c r="B59" i="3" s="1"/>
  <c r="F26" i="8"/>
  <c r="AR26" i="3" s="1"/>
  <c r="Y25" i="8"/>
  <c r="B164" i="3" s="1"/>
  <c r="N25" i="8"/>
  <c r="J25" i="8"/>
  <c r="B58" i="3" s="1"/>
  <c r="K76" i="8"/>
  <c r="C109" i="3" s="1"/>
  <c r="Z75" i="8"/>
  <c r="C214" i="3" s="1"/>
  <c r="G75" i="8"/>
  <c r="AS75" i="3" s="1"/>
  <c r="K74" i="8"/>
  <c r="C107" i="3" s="1"/>
  <c r="Z73" i="8"/>
  <c r="C212" i="3" s="1"/>
  <c r="G73" i="8"/>
  <c r="AS73" i="3" s="1"/>
  <c r="K72" i="8"/>
  <c r="C105" i="3" s="1"/>
  <c r="Z71" i="8"/>
  <c r="C210" i="3" s="1"/>
  <c r="G71" i="8"/>
  <c r="AS71" i="3" s="1"/>
  <c r="K70" i="8"/>
  <c r="C103" i="3" s="1"/>
  <c r="Z69" i="8"/>
  <c r="C208" i="3" s="1"/>
  <c r="G69" i="8"/>
  <c r="AS69" i="3" s="1"/>
  <c r="K68" i="8"/>
  <c r="C101" i="3" s="1"/>
  <c r="K67" i="8"/>
  <c r="C100" i="3" s="1"/>
  <c r="Z66" i="8"/>
  <c r="C205" i="3" s="1"/>
  <c r="G66" i="8"/>
  <c r="AS66" i="3" s="1"/>
  <c r="K65" i="8"/>
  <c r="C98" i="3" s="1"/>
  <c r="Z64" i="8"/>
  <c r="C203" i="3" s="1"/>
  <c r="G64" i="8"/>
  <c r="AS64" i="3" s="1"/>
  <c r="K63" i="8"/>
  <c r="C96" i="3" s="1"/>
  <c r="K62" i="8"/>
  <c r="C95" i="3" s="1"/>
  <c r="Z61" i="8"/>
  <c r="C200" i="3" s="1"/>
  <c r="G61" i="8"/>
  <c r="AS61" i="3" s="1"/>
  <c r="K60" i="8"/>
  <c r="C93" i="3" s="1"/>
  <c r="Z59" i="8"/>
  <c r="C198" i="3" s="1"/>
  <c r="G59" i="8"/>
  <c r="AS59" i="3" s="1"/>
  <c r="K58" i="8"/>
  <c r="C91" i="3" s="1"/>
  <c r="Z57" i="8"/>
  <c r="C196" i="3" s="1"/>
  <c r="G57" i="8"/>
  <c r="AS57" i="3" s="1"/>
  <c r="K56" i="8"/>
  <c r="C89" i="3" s="1"/>
  <c r="Z55" i="8"/>
  <c r="C194" i="3" s="1"/>
  <c r="G55" i="8"/>
  <c r="AS55" i="3" s="1"/>
  <c r="K54" i="8"/>
  <c r="C87" i="3" s="1"/>
  <c r="Z53" i="8"/>
  <c r="C192" i="3" s="1"/>
  <c r="G53" i="8"/>
  <c r="AS53" i="3" s="1"/>
  <c r="K52" i="8"/>
  <c r="C85" i="3" s="1"/>
  <c r="Z51" i="8"/>
  <c r="C190" i="3" s="1"/>
  <c r="G51" i="8"/>
  <c r="AS51" i="3" s="1"/>
  <c r="K50" i="8"/>
  <c r="C83" i="3" s="1"/>
  <c r="Z49" i="8"/>
  <c r="C188" i="3" s="1"/>
  <c r="G49" i="8"/>
  <c r="AS49" i="3" s="1"/>
  <c r="K48" i="8"/>
  <c r="C81" i="3" s="1"/>
  <c r="Z47" i="8"/>
  <c r="C186" i="3" s="1"/>
  <c r="G47" i="8"/>
  <c r="AS47" i="3" s="1"/>
  <c r="K46" i="8"/>
  <c r="C79" i="3" s="1"/>
  <c r="Z45" i="8"/>
  <c r="C184" i="3" s="1"/>
  <c r="G45" i="8"/>
  <c r="AS45" i="3" s="1"/>
  <c r="K44" i="8"/>
  <c r="C77" i="3" s="1"/>
  <c r="Z43" i="8"/>
  <c r="C182" i="3" s="1"/>
  <c r="G43" i="8"/>
  <c r="AS43" i="3" s="1"/>
  <c r="K42" i="8"/>
  <c r="C75" i="3" s="1"/>
  <c r="Z41" i="8"/>
  <c r="C180" i="3" s="1"/>
  <c r="G41" i="8"/>
  <c r="AS41" i="3" s="1"/>
  <c r="K40" i="8"/>
  <c r="C73" i="3" s="1"/>
  <c r="Z39" i="8"/>
  <c r="C178" i="3" s="1"/>
  <c r="G39" i="8"/>
  <c r="AS39" i="3" s="1"/>
  <c r="K38" i="8"/>
  <c r="C71" i="3" s="1"/>
  <c r="Z37" i="8"/>
  <c r="C176" i="3" s="1"/>
  <c r="G37" i="8"/>
  <c r="AS37" i="3" s="1"/>
  <c r="K36" i="8"/>
  <c r="C69" i="3" s="1"/>
  <c r="Z35" i="8"/>
  <c r="C174" i="3" s="1"/>
  <c r="G35" i="8"/>
  <c r="AS35" i="3" s="1"/>
  <c r="K34" i="8"/>
  <c r="C67" i="3" s="1"/>
  <c r="Z33" i="8"/>
  <c r="C172" i="3" s="1"/>
  <c r="G33" i="8"/>
  <c r="AS33" i="3" s="1"/>
  <c r="K32" i="8"/>
  <c r="C65" i="3" s="1"/>
  <c r="Z31" i="8"/>
  <c r="C170" i="3" s="1"/>
  <c r="G31" i="8"/>
  <c r="AS31" i="3" s="1"/>
  <c r="K30" i="8"/>
  <c r="C63" i="3" s="1"/>
  <c r="Z29" i="8"/>
  <c r="C168" i="3" s="1"/>
  <c r="O29" i="8"/>
  <c r="G29" i="8"/>
  <c r="AS29" i="3" s="1"/>
  <c r="T28" i="8"/>
  <c r="E79" i="3" s="1"/>
  <c r="K28" i="8"/>
  <c r="C61" i="3" s="1"/>
  <c r="Z27" i="8"/>
  <c r="C166" i="3" s="1"/>
  <c r="O27" i="8"/>
  <c r="G27" i="8"/>
  <c r="AS27" i="3" s="1"/>
  <c r="T26" i="8"/>
  <c r="E77" i="3" s="1"/>
  <c r="K26" i="8"/>
  <c r="C59" i="3" s="1"/>
  <c r="Z25" i="8"/>
  <c r="C164" i="3" s="1"/>
  <c r="O25" i="8"/>
  <c r="G25" i="8"/>
  <c r="AS25" i="3" s="1"/>
  <c r="Z76" i="8"/>
  <c r="C215" i="3" s="1"/>
  <c r="G76" i="8"/>
  <c r="AS76" i="3" s="1"/>
  <c r="K75" i="8"/>
  <c r="C108" i="3" s="1"/>
  <c r="Z74" i="8"/>
  <c r="C213" i="3" s="1"/>
  <c r="G74" i="8"/>
  <c r="AS74" i="3" s="1"/>
  <c r="K73" i="8"/>
  <c r="C106" i="3" s="1"/>
  <c r="Z72" i="8"/>
  <c r="C211" i="3" s="1"/>
  <c r="G72" i="8"/>
  <c r="AS72" i="3" s="1"/>
  <c r="K71" i="8"/>
  <c r="C104" i="3" s="1"/>
  <c r="Z70" i="8"/>
  <c r="C209" i="3" s="1"/>
  <c r="G70" i="8"/>
  <c r="AS70" i="3" s="1"/>
  <c r="K69" i="8"/>
  <c r="C102" i="3" s="1"/>
  <c r="Z68" i="8"/>
  <c r="C207" i="3" s="1"/>
  <c r="G68" i="8"/>
  <c r="AS68" i="3" s="1"/>
  <c r="Z67" i="8"/>
  <c r="C206" i="3" s="1"/>
  <c r="G67" i="8"/>
  <c r="AS67" i="3" s="1"/>
  <c r="K66" i="8"/>
  <c r="C99" i="3" s="1"/>
  <c r="Z65" i="8"/>
  <c r="C204" i="3" s="1"/>
  <c r="G65" i="8"/>
  <c r="AS65" i="3" s="1"/>
  <c r="K64" i="8"/>
  <c r="C97" i="3" s="1"/>
  <c r="Z63" i="8"/>
  <c r="C202" i="3" s="1"/>
  <c r="G63" i="8"/>
  <c r="AS63" i="3" s="1"/>
  <c r="Z62" i="8"/>
  <c r="C201" i="3" s="1"/>
  <c r="G62" i="8"/>
  <c r="AS62" i="3" s="1"/>
  <c r="K61" i="8"/>
  <c r="C94" i="3" s="1"/>
  <c r="Z60" i="8"/>
  <c r="C199" i="3" s="1"/>
  <c r="G60" i="8"/>
  <c r="AS60" i="3" s="1"/>
  <c r="K59" i="8"/>
  <c r="C92" i="3" s="1"/>
  <c r="Z58" i="8"/>
  <c r="C197" i="3" s="1"/>
  <c r="G58" i="8"/>
  <c r="AS58" i="3" s="1"/>
  <c r="K57" i="8"/>
  <c r="C90" i="3" s="1"/>
  <c r="Z56" i="8"/>
  <c r="C195" i="3" s="1"/>
  <c r="G56" i="8"/>
  <c r="AS56" i="3" s="1"/>
  <c r="K55" i="8"/>
  <c r="C88" i="3" s="1"/>
  <c r="Z54" i="8"/>
  <c r="C193" i="3" s="1"/>
  <c r="G54" i="8"/>
  <c r="AS54" i="3" s="1"/>
  <c r="K53" i="8"/>
  <c r="C86" i="3" s="1"/>
  <c r="Z52" i="8"/>
  <c r="C191" i="3" s="1"/>
  <c r="G52" i="8"/>
  <c r="AS52" i="3" s="1"/>
  <c r="K51" i="8"/>
  <c r="C84" i="3" s="1"/>
  <c r="Z50" i="8"/>
  <c r="C189" i="3" s="1"/>
  <c r="G50" i="8"/>
  <c r="AS50" i="3" s="1"/>
  <c r="K49" i="8"/>
  <c r="C82" i="3" s="1"/>
  <c r="Z48" i="8"/>
  <c r="C187" i="3" s="1"/>
  <c r="G48" i="8"/>
  <c r="AS48" i="3" s="1"/>
  <c r="K47" i="8"/>
  <c r="C80" i="3" s="1"/>
  <c r="Z46" i="8"/>
  <c r="C185" i="3" s="1"/>
  <c r="G46" i="8"/>
  <c r="AS46" i="3" s="1"/>
  <c r="K45" i="8"/>
  <c r="C78" i="3" s="1"/>
  <c r="Z44" i="8"/>
  <c r="C183" i="3" s="1"/>
  <c r="G44" i="8"/>
  <c r="AS44" i="3" s="1"/>
  <c r="K43" i="8"/>
  <c r="C76" i="3" s="1"/>
  <c r="Z42" i="8"/>
  <c r="C181" i="3" s="1"/>
  <c r="G42" i="8"/>
  <c r="AS42" i="3" s="1"/>
  <c r="K41" i="8"/>
  <c r="C74" i="3" s="1"/>
  <c r="Z40" i="8"/>
  <c r="C179" i="3" s="1"/>
  <c r="G40" i="8"/>
  <c r="AS40" i="3" s="1"/>
  <c r="K39" i="8"/>
  <c r="C72" i="3" s="1"/>
  <c r="Z38" i="8"/>
  <c r="C177" i="3" s="1"/>
  <c r="G38" i="8"/>
  <c r="AS38" i="3" s="1"/>
  <c r="K37" i="8"/>
  <c r="C70" i="3" s="1"/>
  <c r="Z36" i="8"/>
  <c r="C175" i="3" s="1"/>
  <c r="G36" i="8"/>
  <c r="AS36" i="3" s="1"/>
  <c r="K35" i="8"/>
  <c r="C68" i="3" s="1"/>
  <c r="Z34" i="8"/>
  <c r="C173" i="3" s="1"/>
  <c r="G34" i="8"/>
  <c r="AS34" i="3" s="1"/>
  <c r="K33" i="8"/>
  <c r="C66" i="3" s="1"/>
  <c r="Z32" i="8"/>
  <c r="C171" i="3" s="1"/>
  <c r="G32" i="8"/>
  <c r="AS32" i="3" s="1"/>
  <c r="K31" i="8"/>
  <c r="C64" i="3" s="1"/>
  <c r="Z30" i="8"/>
  <c r="C169" i="3" s="1"/>
  <c r="G30" i="8"/>
  <c r="AS30" i="3" s="1"/>
  <c r="T29" i="8"/>
  <c r="E80" i="3" s="1"/>
  <c r="K29" i="8"/>
  <c r="C62" i="3" s="1"/>
  <c r="Z28" i="8"/>
  <c r="C167" i="3" s="1"/>
  <c r="O28" i="8"/>
  <c r="G28" i="8"/>
  <c r="AS28" i="3" s="1"/>
  <c r="T27" i="8"/>
  <c r="E78" i="3" s="1"/>
  <c r="K27" i="8"/>
  <c r="C60" i="3" s="1"/>
  <c r="Z26" i="8"/>
  <c r="C165" i="3" s="1"/>
  <c r="O26" i="8"/>
  <c r="G26" i="8"/>
  <c r="AS26" i="3" s="1"/>
  <c r="T25" i="8"/>
  <c r="E76" i="3" s="1"/>
  <c r="K25" i="8"/>
  <c r="C58" i="3" s="1"/>
  <c r="Z24" i="8"/>
  <c r="C163" i="3" s="1"/>
  <c r="T24" i="8"/>
  <c r="E75" i="3" s="1"/>
  <c r="O24" i="8"/>
  <c r="K24" i="8"/>
  <c r="C57" i="3" s="1"/>
  <c r="G24" i="8"/>
  <c r="AS24" i="3" s="1"/>
  <c r="Z23" i="8"/>
  <c r="C162" i="3" s="1"/>
  <c r="T23" i="8"/>
  <c r="E74" i="3" s="1"/>
  <c r="O23" i="8"/>
  <c r="K23" i="8"/>
  <c r="C56" i="3" s="1"/>
  <c r="G23" i="8"/>
  <c r="AS23" i="3" s="1"/>
  <c r="Z22" i="8"/>
  <c r="C161" i="3" s="1"/>
  <c r="T22" i="8"/>
  <c r="E73" i="3" s="1"/>
  <c r="O22" i="8"/>
  <c r="K22" i="8"/>
  <c r="C55" i="3" s="1"/>
  <c r="G22" i="8"/>
  <c r="AS22" i="3" s="1"/>
  <c r="Z21" i="8"/>
  <c r="C160" i="3" s="1"/>
  <c r="T21" i="8"/>
  <c r="E72" i="3" s="1"/>
  <c r="O21" i="8"/>
  <c r="K21" i="8"/>
  <c r="C54" i="3" s="1"/>
  <c r="G21" i="8"/>
  <c r="AS21" i="3" s="1"/>
  <c r="Z20" i="8"/>
  <c r="C159" i="3" s="1"/>
  <c r="T20" i="8"/>
  <c r="E71" i="3" s="1"/>
  <c r="O20" i="8"/>
  <c r="K20" i="8"/>
  <c r="C53" i="3" s="1"/>
  <c r="G20" i="8"/>
  <c r="AS20" i="3" s="1"/>
  <c r="Z19" i="8"/>
  <c r="C158" i="3" s="1"/>
  <c r="T19" i="8"/>
  <c r="E70" i="3" s="1"/>
  <c r="O19" i="8"/>
  <c r="K19" i="8"/>
  <c r="C52" i="3" s="1"/>
  <c r="G19" i="8"/>
  <c r="AS19" i="3" s="1"/>
  <c r="Z18" i="8"/>
  <c r="C157" i="3" s="1"/>
  <c r="T18" i="8"/>
  <c r="E69" i="3" s="1"/>
  <c r="O18" i="8"/>
  <c r="K18" i="8"/>
  <c r="C51" i="3" s="1"/>
  <c r="G18" i="8"/>
  <c r="AS18" i="3" s="1"/>
  <c r="Z17" i="8"/>
  <c r="C156" i="3" s="1"/>
  <c r="T17" i="8"/>
  <c r="E68" i="3" s="1"/>
  <c r="O17" i="8"/>
  <c r="K17" i="8"/>
  <c r="C50" i="3" s="1"/>
  <c r="G17" i="8"/>
  <c r="AS17" i="3" s="1"/>
  <c r="Z16" i="8"/>
  <c r="C155" i="3" s="1"/>
  <c r="T16" i="8"/>
  <c r="E67" i="3" s="1"/>
  <c r="O16" i="8"/>
  <c r="K16" i="8"/>
  <c r="C49" i="3" s="1"/>
  <c r="G16" i="8"/>
  <c r="AS16" i="3" s="1"/>
  <c r="Z15" i="8"/>
  <c r="C154" i="3" s="1"/>
  <c r="T15" i="8"/>
  <c r="E66" i="3" s="1"/>
  <c r="O15" i="8"/>
  <c r="K15" i="8"/>
  <c r="C48" i="3" s="1"/>
  <c r="G15" i="8"/>
  <c r="AS15" i="3" s="1"/>
  <c r="Z14" i="8"/>
  <c r="C153" i="3" s="1"/>
  <c r="T14" i="8"/>
  <c r="E65" i="3" s="1"/>
  <c r="O14" i="8"/>
  <c r="K14" i="8"/>
  <c r="C47" i="3" s="1"/>
  <c r="G14" i="8"/>
  <c r="AS14" i="3" s="1"/>
  <c r="Z13" i="8"/>
  <c r="C152" i="3" s="1"/>
  <c r="T13" i="8"/>
  <c r="E64" i="3" s="1"/>
  <c r="O13" i="8"/>
  <c r="K13" i="8"/>
  <c r="C46" i="3" s="1"/>
  <c r="G13" i="8"/>
  <c r="AS13" i="3" s="1"/>
  <c r="Z12" i="8"/>
  <c r="C151" i="3" s="1"/>
  <c r="T12" i="8"/>
  <c r="E63" i="3" s="1"/>
  <c r="O12" i="8"/>
  <c r="K12" i="8"/>
  <c r="C45" i="3" s="1"/>
  <c r="G12" i="8"/>
  <c r="AS12" i="3" s="1"/>
  <c r="Z11" i="8"/>
  <c r="C150" i="3" s="1"/>
  <c r="T11" i="8"/>
  <c r="E62" i="3" s="1"/>
  <c r="O11" i="8"/>
  <c r="K11" i="8"/>
  <c r="C44" i="3" s="1"/>
  <c r="G11" i="8"/>
  <c r="AS11" i="3" s="1"/>
  <c r="Z10" i="8"/>
  <c r="C149" i="3" s="1"/>
  <c r="T10" i="8"/>
  <c r="E61" i="3" s="1"/>
  <c r="O10" i="8"/>
  <c r="K10" i="8"/>
  <c r="C43" i="3" s="1"/>
  <c r="G10" i="8"/>
  <c r="AS10" i="3" s="1"/>
  <c r="Z9" i="8"/>
  <c r="C148" i="3" s="1"/>
  <c r="T9" i="8"/>
  <c r="E60" i="3" s="1"/>
  <c r="O9" i="8"/>
  <c r="K9" i="8"/>
  <c r="C42" i="3" s="1"/>
  <c r="G9" i="8"/>
  <c r="AS9" i="3" s="1"/>
  <c r="Z8" i="8"/>
  <c r="C147" i="3" s="1"/>
  <c r="T8" i="8"/>
  <c r="E59" i="3" s="1"/>
  <c r="O8" i="8"/>
  <c r="K8" i="8"/>
  <c r="C41" i="3" s="1"/>
  <c r="G8" i="8"/>
  <c r="AS8" i="3" s="1"/>
  <c r="Z7" i="8"/>
  <c r="C146" i="3" s="1"/>
  <c r="T7" i="8"/>
  <c r="E58" i="3" s="1"/>
  <c r="O7" i="8"/>
  <c r="K7" i="8"/>
  <c r="C40" i="3" s="1"/>
  <c r="G7" i="8"/>
  <c r="AS7" i="3" s="1"/>
  <c r="Z6" i="8"/>
  <c r="C145" i="3" s="1"/>
  <c r="T6" i="8"/>
  <c r="E57" i="3" s="1"/>
  <c r="O6" i="8"/>
  <c r="K6" i="8"/>
  <c r="C39" i="3" s="1"/>
  <c r="G6" i="8"/>
  <c r="AS6" i="3" s="1"/>
  <c r="Z5" i="8"/>
  <c r="C144" i="3" s="1"/>
  <c r="T5" i="8"/>
  <c r="E56" i="3" s="1"/>
  <c r="O5" i="8"/>
  <c r="K5" i="8"/>
  <c r="C38" i="3" s="1"/>
  <c r="G5" i="8"/>
  <c r="AS5" i="3" s="1"/>
  <c r="Z4" i="8"/>
  <c r="C143" i="3" s="1"/>
  <c r="T4" i="8"/>
  <c r="E55" i="3" s="1"/>
  <c r="O4" i="8"/>
  <c r="K4" i="8"/>
  <c r="C37" i="3" s="1"/>
  <c r="G4" i="8"/>
  <c r="AS4" i="3" s="1"/>
  <c r="Z3" i="8"/>
  <c r="T3" i="8"/>
  <c r="O3" i="8"/>
  <c r="K3" i="8"/>
  <c r="G3" i="8"/>
  <c r="F25" i="8"/>
  <c r="AR25" i="3" s="1"/>
  <c r="Y24" i="8"/>
  <c r="B163" i="3" s="1"/>
  <c r="N24" i="8"/>
  <c r="J24" i="8"/>
  <c r="B57" i="3" s="1"/>
  <c r="F24" i="8"/>
  <c r="AR24" i="3" s="1"/>
  <c r="Y23" i="8"/>
  <c r="B162" i="3" s="1"/>
  <c r="N23" i="8"/>
  <c r="J23" i="8"/>
  <c r="B56" i="3" s="1"/>
  <c r="F23" i="8"/>
  <c r="AR23" i="3" s="1"/>
  <c r="Y22" i="8"/>
  <c r="B161" i="3" s="1"/>
  <c r="N22" i="8"/>
  <c r="J22" i="8"/>
  <c r="B55" i="3" s="1"/>
  <c r="F22" i="8"/>
  <c r="AR22" i="3" s="1"/>
  <c r="Y21" i="8"/>
  <c r="B160" i="3" s="1"/>
  <c r="N21" i="8"/>
  <c r="J21" i="8"/>
  <c r="B54" i="3" s="1"/>
  <c r="F21" i="8"/>
  <c r="AR21" i="3" s="1"/>
  <c r="Y20" i="8"/>
  <c r="B159" i="3" s="1"/>
  <c r="N20" i="8"/>
  <c r="J20" i="8"/>
  <c r="B53" i="3" s="1"/>
  <c r="F20" i="8"/>
  <c r="AR20" i="3" s="1"/>
  <c r="Y19" i="8"/>
  <c r="B158" i="3" s="1"/>
  <c r="N19" i="8"/>
  <c r="J19" i="8"/>
  <c r="B52" i="3" s="1"/>
  <c r="F19" i="8"/>
  <c r="AR19" i="3" s="1"/>
  <c r="Y18" i="8"/>
  <c r="B157" i="3" s="1"/>
  <c r="N18" i="8"/>
  <c r="J18" i="8"/>
  <c r="B51" i="3" s="1"/>
  <c r="F18" i="8"/>
  <c r="AR18" i="3" s="1"/>
  <c r="Y17" i="8"/>
  <c r="B156" i="3" s="1"/>
  <c r="N17" i="8"/>
  <c r="J17" i="8"/>
  <c r="B50" i="3" s="1"/>
  <c r="F17" i="8"/>
  <c r="AR17" i="3" s="1"/>
  <c r="Y16" i="8"/>
  <c r="B155" i="3" s="1"/>
  <c r="N16" i="8"/>
  <c r="J16" i="8"/>
  <c r="B49" i="3" s="1"/>
  <c r="F16" i="8"/>
  <c r="AR16" i="3" s="1"/>
  <c r="Y15" i="8"/>
  <c r="B154" i="3" s="1"/>
  <c r="N15" i="8"/>
  <c r="J15" i="8"/>
  <c r="B48" i="3" s="1"/>
  <c r="F15" i="8"/>
  <c r="AR15" i="3" s="1"/>
  <c r="Y14" i="8"/>
  <c r="B153" i="3" s="1"/>
  <c r="N14" i="8"/>
  <c r="J14" i="8"/>
  <c r="B47" i="3" s="1"/>
  <c r="F14" i="8"/>
  <c r="AR14" i="3" s="1"/>
  <c r="Y13" i="8"/>
  <c r="B152" i="3" s="1"/>
  <c r="N13" i="8"/>
  <c r="J13" i="8"/>
  <c r="B46" i="3" s="1"/>
  <c r="F13" i="8"/>
  <c r="AR13" i="3" s="1"/>
  <c r="Y12" i="8"/>
  <c r="B151" i="3" s="1"/>
  <c r="N12" i="8"/>
  <c r="J12" i="8"/>
  <c r="B45" i="3" s="1"/>
  <c r="F12" i="8"/>
  <c r="AR12" i="3" s="1"/>
  <c r="Y11" i="8"/>
  <c r="B150" i="3" s="1"/>
  <c r="N11" i="8"/>
  <c r="J11" i="8"/>
  <c r="B44" i="3" s="1"/>
  <c r="F11" i="8"/>
  <c r="AR11" i="3" s="1"/>
  <c r="Y10" i="8"/>
  <c r="B149" i="3" s="1"/>
  <c r="N10" i="8"/>
  <c r="J10" i="8"/>
  <c r="B43" i="3" s="1"/>
  <c r="F10" i="8"/>
  <c r="AR10" i="3" s="1"/>
  <c r="Y9" i="8"/>
  <c r="B148" i="3" s="1"/>
  <c r="N9" i="8"/>
  <c r="J9" i="8"/>
  <c r="B42" i="3" s="1"/>
  <c r="F9" i="8"/>
  <c r="AR9" i="3" s="1"/>
  <c r="Y8" i="8"/>
  <c r="B147" i="3" s="1"/>
  <c r="N8" i="8"/>
  <c r="J8" i="8"/>
  <c r="B41" i="3" s="1"/>
  <c r="F8" i="8"/>
  <c r="AR8" i="3" s="1"/>
  <c r="Y7" i="8"/>
  <c r="B146" i="3" s="1"/>
  <c r="N7" i="8"/>
  <c r="J7" i="8"/>
  <c r="B40" i="3" s="1"/>
  <c r="F7" i="8"/>
  <c r="AR7" i="3" s="1"/>
  <c r="Y6" i="8"/>
  <c r="B145" i="3" s="1"/>
  <c r="N6" i="8"/>
  <c r="J6" i="8"/>
  <c r="B39" i="3" s="1"/>
  <c r="F6" i="8"/>
  <c r="AR6" i="3" s="1"/>
  <c r="Y5" i="8"/>
  <c r="B144" i="3" s="1"/>
  <c r="N5" i="8"/>
  <c r="J5" i="8"/>
  <c r="B38" i="3" s="1"/>
  <c r="F5" i="8"/>
  <c r="AR5" i="3" s="1"/>
  <c r="Y4" i="8"/>
  <c r="B143" i="3" s="1"/>
  <c r="N4" i="8"/>
  <c r="J4" i="8"/>
  <c r="B37" i="3" s="1"/>
  <c r="F4" i="8"/>
  <c r="AR4" i="3" s="1"/>
  <c r="Y3" i="8"/>
  <c r="N3" i="8"/>
  <c r="J3" i="8"/>
  <c r="F3" i="8"/>
  <c r="D219" i="3" l="1"/>
  <c r="AT84" i="3"/>
  <c r="D223" i="3"/>
  <c r="D228" i="3"/>
  <c r="D112" i="3"/>
  <c r="AT97" i="3"/>
  <c r="D119" i="3"/>
  <c r="AT80" i="3"/>
  <c r="D116" i="3"/>
  <c r="D231" i="3"/>
  <c r="D226" i="3"/>
  <c r="D121" i="3"/>
  <c r="D135" i="3"/>
  <c r="D110" i="3"/>
  <c r="D117" i="3"/>
  <c r="D234" i="3"/>
  <c r="D127" i="3"/>
  <c r="D227" i="3"/>
  <c r="D222" i="3"/>
  <c r="D236" i="3"/>
  <c r="AT92" i="3"/>
  <c r="D130" i="3"/>
  <c r="AT87" i="3"/>
  <c r="D221" i="3"/>
  <c r="D220" i="3"/>
  <c r="D114" i="3"/>
  <c r="AT101" i="3"/>
  <c r="D230" i="3"/>
  <c r="AT88" i="3"/>
  <c r="D134" i="3"/>
  <c r="D133" i="3"/>
  <c r="D126" i="3"/>
  <c r="D124" i="3"/>
  <c r="AT83" i="3"/>
  <c r="D233" i="3"/>
  <c r="D237" i="3"/>
  <c r="D129" i="3"/>
  <c r="D217" i="3"/>
  <c r="D122" i="3"/>
  <c r="AT91" i="3"/>
  <c r="D232" i="3"/>
  <c r="D224" i="3"/>
  <c r="D229" i="3"/>
  <c r="AT79" i="3"/>
  <c r="AT96" i="3"/>
  <c r="AT100" i="3"/>
  <c r="D131" i="3"/>
  <c r="D156" i="3"/>
  <c r="D115" i="3"/>
  <c r="P18" i="8"/>
  <c r="F69" i="3" s="1"/>
  <c r="G69" i="3" s="1"/>
  <c r="D238" i="3"/>
  <c r="AT85" i="3"/>
  <c r="AT90" i="3"/>
  <c r="D125" i="3"/>
  <c r="AT89" i="3"/>
  <c r="D241" i="3"/>
  <c r="AT78" i="3"/>
  <c r="D120" i="3"/>
  <c r="D225" i="3"/>
  <c r="D43" i="3"/>
  <c r="D218" i="3"/>
  <c r="D113" i="3"/>
  <c r="D239" i="3"/>
  <c r="AT99" i="3"/>
  <c r="AT103" i="3"/>
  <c r="AT102" i="3"/>
  <c r="D51" i="3"/>
  <c r="P10" i="8"/>
  <c r="F61" i="3" s="1"/>
  <c r="G61" i="3" s="1"/>
  <c r="AT81" i="3"/>
  <c r="D235" i="3"/>
  <c r="AT95" i="3"/>
  <c r="AT94" i="3"/>
  <c r="D128" i="3"/>
  <c r="D148" i="3"/>
  <c r="AT18" i="3"/>
  <c r="AT82" i="3"/>
  <c r="D136" i="3"/>
  <c r="AT93" i="3"/>
  <c r="AT98" i="3"/>
  <c r="D123" i="3"/>
  <c r="D150" i="3"/>
  <c r="D158" i="3"/>
  <c r="D132" i="3"/>
  <c r="AT16" i="3"/>
  <c r="D160" i="3"/>
  <c r="D53" i="3"/>
  <c r="P22" i="8"/>
  <c r="F73" i="3" s="1"/>
  <c r="G73" i="3" s="1"/>
  <c r="D144" i="3"/>
  <c r="D152" i="3"/>
  <c r="D37" i="3"/>
  <c r="D45" i="3"/>
  <c r="AT12" i="3"/>
  <c r="AT20" i="3"/>
  <c r="AT4" i="3"/>
  <c r="D41" i="3"/>
  <c r="D49" i="3"/>
  <c r="D57" i="3"/>
  <c r="D242" i="3"/>
  <c r="P24" i="8"/>
  <c r="F75" i="3" s="1"/>
  <c r="G75" i="3" s="1"/>
  <c r="P6" i="8"/>
  <c r="F57" i="3" s="1"/>
  <c r="G57" i="3" s="1"/>
  <c r="P8" i="8"/>
  <c r="F59" i="3" s="1"/>
  <c r="G59" i="3" s="1"/>
  <c r="P14" i="8"/>
  <c r="F65" i="3" s="1"/>
  <c r="G65" i="3" s="1"/>
  <c r="P16" i="8"/>
  <c r="F67" i="3" s="1"/>
  <c r="G67" i="3" s="1"/>
  <c r="D162" i="3"/>
  <c r="D154" i="3"/>
  <c r="D55" i="3"/>
  <c r="D146" i="3"/>
  <c r="D39" i="3"/>
  <c r="D47" i="3"/>
  <c r="AT22" i="3"/>
  <c r="P12" i="8"/>
  <c r="F63" i="3" s="1"/>
  <c r="G63" i="3" s="1"/>
  <c r="P20" i="8"/>
  <c r="F71" i="3" s="1"/>
  <c r="G71" i="3" s="1"/>
  <c r="AT6" i="3"/>
  <c r="P4" i="8"/>
  <c r="F55" i="3" s="1"/>
  <c r="G55" i="3" s="1"/>
  <c r="D240" i="3"/>
  <c r="AT10" i="3"/>
  <c r="D216" i="3"/>
  <c r="AT14" i="3"/>
  <c r="D111" i="3"/>
  <c r="AT8" i="3"/>
  <c r="AT24" i="3"/>
  <c r="F41" i="2"/>
  <c r="H41" i="2" s="1"/>
  <c r="CU3" i="3"/>
  <c r="K16" i="5"/>
  <c r="I16" i="5"/>
  <c r="D35" i="2"/>
  <c r="A19" i="2" s="1"/>
  <c r="F39" i="2" s="1"/>
  <c r="AT5" i="3"/>
  <c r="P5" i="8"/>
  <c r="F56" i="3" s="1"/>
  <c r="AT7" i="3"/>
  <c r="P7" i="8"/>
  <c r="F58" i="3" s="1"/>
  <c r="AT9" i="3"/>
  <c r="P9" i="8"/>
  <c r="F60" i="3" s="1"/>
  <c r="AT11" i="3"/>
  <c r="P11" i="8"/>
  <c r="F62" i="3" s="1"/>
  <c r="AT13" i="3"/>
  <c r="P13" i="8"/>
  <c r="F64" i="3" s="1"/>
  <c r="AT15" i="3"/>
  <c r="P15" i="8"/>
  <c r="F66" i="3" s="1"/>
  <c r="AT17" i="3"/>
  <c r="P17" i="8"/>
  <c r="F68" i="3" s="1"/>
  <c r="AT19" i="3"/>
  <c r="P19" i="8"/>
  <c r="F70" i="3" s="1"/>
  <c r="AT21" i="3"/>
  <c r="P21" i="8"/>
  <c r="F72" i="3" s="1"/>
  <c r="AT23" i="3"/>
  <c r="P23" i="8"/>
  <c r="F74" i="3" s="1"/>
  <c r="AT25" i="3"/>
  <c r="D145" i="3"/>
  <c r="D40" i="3"/>
  <c r="D147" i="3"/>
  <c r="D42" i="3"/>
  <c r="D149" i="3"/>
  <c r="D44" i="3"/>
  <c r="D151" i="3"/>
  <c r="D46" i="3"/>
  <c r="D153" i="3"/>
  <c r="D48" i="3"/>
  <c r="D155" i="3"/>
  <c r="D50" i="3"/>
  <c r="D157" i="3"/>
  <c r="D52" i="3"/>
  <c r="D159" i="3"/>
  <c r="D54" i="3"/>
  <c r="D161" i="3"/>
  <c r="D56" i="3"/>
  <c r="D163" i="3"/>
  <c r="CU4" i="3"/>
  <c r="AH56" i="3"/>
  <c r="AF56" i="3"/>
  <c r="S56" i="3"/>
  <c r="CT55" i="3"/>
  <c r="CU55" i="3"/>
  <c r="AB55" i="3"/>
  <c r="Z55" i="3"/>
  <c r="Q55" i="3"/>
  <c r="AI54" i="3"/>
  <c r="AG54" i="3"/>
  <c r="T54" i="3"/>
  <c r="AI53" i="3"/>
  <c r="AG53" i="3"/>
  <c r="T53" i="3"/>
  <c r="CU24" i="3"/>
  <c r="CT24" i="3"/>
  <c r="AH57" i="3"/>
  <c r="AF57" i="3"/>
  <c r="S57" i="3"/>
  <c r="AB58" i="3"/>
  <c r="Z58" i="3"/>
  <c r="Q58" i="3"/>
  <c r="AN58" i="3"/>
  <c r="AL58" i="3"/>
  <c r="U58" i="3" s="1"/>
  <c r="AH59" i="3"/>
  <c r="AF59" i="3"/>
  <c r="S59" i="3" s="1"/>
  <c r="AB60" i="3"/>
  <c r="Z60" i="3"/>
  <c r="Q60" i="3" s="1"/>
  <c r="AN60" i="3"/>
  <c r="AL60" i="3"/>
  <c r="U60" i="3" s="1"/>
  <c r="AH61" i="3"/>
  <c r="AF61" i="3"/>
  <c r="S61" i="3" s="1"/>
  <c r="AB62" i="3"/>
  <c r="Z62" i="3"/>
  <c r="Q62" i="3" s="1"/>
  <c r="AN62" i="3"/>
  <c r="AL62" i="3"/>
  <c r="U62" i="3"/>
  <c r="AI55" i="3"/>
  <c r="AG55" i="3"/>
  <c r="T55" i="3"/>
  <c r="AC56" i="3"/>
  <c r="AA56" i="3"/>
  <c r="R56" i="3" s="1"/>
  <c r="AO56" i="3"/>
  <c r="AM56" i="3"/>
  <c r="V56" i="3" s="1"/>
  <c r="AI57" i="3"/>
  <c r="AG57" i="3"/>
  <c r="T57" i="3"/>
  <c r="AC58" i="3"/>
  <c r="AA58" i="3"/>
  <c r="R58" i="3" s="1"/>
  <c r="AO58" i="3"/>
  <c r="AM58" i="3"/>
  <c r="V58" i="3" s="1"/>
  <c r="AI59" i="3"/>
  <c r="AG59" i="3"/>
  <c r="T59" i="3"/>
  <c r="AC60" i="3"/>
  <c r="AA60" i="3"/>
  <c r="R60" i="3" s="1"/>
  <c r="AO60" i="3"/>
  <c r="AM60" i="3"/>
  <c r="V60" i="3" s="1"/>
  <c r="AI61" i="3"/>
  <c r="AG61" i="3"/>
  <c r="T61" i="3" s="1"/>
  <c r="AC62" i="3"/>
  <c r="AA62" i="3"/>
  <c r="R62" i="3" s="1"/>
  <c r="AO62" i="3"/>
  <c r="AM62" i="3"/>
  <c r="V62" i="3"/>
  <c r="CU19" i="3"/>
  <c r="CT19" i="3"/>
  <c r="CU14" i="3"/>
  <c r="CT14" i="3"/>
  <c r="CU9" i="3"/>
  <c r="CT9" i="3"/>
  <c r="CT56" i="3"/>
  <c r="CU56" i="3"/>
  <c r="CT58" i="3"/>
  <c r="CU58" i="3"/>
  <c r="CT60" i="3"/>
  <c r="CU60" i="3"/>
  <c r="CT62" i="3"/>
  <c r="CU62" i="3"/>
  <c r="CT64" i="3"/>
  <c r="CU64" i="3"/>
  <c r="CT66" i="3"/>
  <c r="CU66" i="3"/>
  <c r="CT68" i="3"/>
  <c r="CU68" i="3"/>
  <c r="CT70" i="3"/>
  <c r="CU70" i="3"/>
  <c r="CT72" i="3"/>
  <c r="CU72" i="3"/>
  <c r="CT74" i="3"/>
  <c r="CU74" i="3"/>
  <c r="CU76" i="3"/>
  <c r="CT76" i="3"/>
  <c r="CU78" i="3"/>
  <c r="CT78" i="3"/>
  <c r="CU80" i="3"/>
  <c r="CT80" i="3"/>
  <c r="CU82" i="3"/>
  <c r="CT82" i="3"/>
  <c r="CT84" i="3"/>
  <c r="CU84" i="3"/>
  <c r="CT86" i="3"/>
  <c r="CU86" i="3"/>
  <c r="CT88" i="3"/>
  <c r="CU88" i="3"/>
  <c r="CT90" i="3"/>
  <c r="CU90" i="3"/>
  <c r="CT92" i="3"/>
  <c r="CU92" i="3"/>
  <c r="CT93" i="3"/>
  <c r="CU93" i="3"/>
  <c r="CT96" i="3"/>
  <c r="CU96" i="3"/>
  <c r="CT98" i="3"/>
  <c r="CU98" i="3"/>
  <c r="CU100" i="3"/>
  <c r="CT100" i="3"/>
  <c r="CU102" i="3"/>
  <c r="CT102" i="3"/>
  <c r="Z56" i="3"/>
  <c r="Q56" i="3"/>
  <c r="AB56" i="3"/>
  <c r="AF55" i="3"/>
  <c r="S55" i="3"/>
  <c r="AH55" i="3"/>
  <c r="AH54" i="3"/>
  <c r="AF54" i="3"/>
  <c r="S54" i="3"/>
  <c r="AN53" i="3"/>
  <c r="AL53" i="3"/>
  <c r="U53" i="3" s="1"/>
  <c r="AB53" i="3"/>
  <c r="Z53" i="3"/>
  <c r="Q53" i="3" s="1"/>
  <c r="CT52" i="3"/>
  <c r="CU52" i="3"/>
  <c r="CT50" i="3"/>
  <c r="CU50" i="3"/>
  <c r="CT48" i="3"/>
  <c r="CU48" i="3"/>
  <c r="CT46" i="3"/>
  <c r="CU46" i="3"/>
  <c r="CT44" i="3"/>
  <c r="CU44" i="3"/>
  <c r="CT42" i="3"/>
  <c r="CU42" i="3"/>
  <c r="CT40" i="3"/>
  <c r="CU40" i="3"/>
  <c r="CT38" i="3"/>
  <c r="CU38" i="3"/>
  <c r="CT36" i="3"/>
  <c r="CU36" i="3"/>
  <c r="CT34" i="3"/>
  <c r="CU34" i="3"/>
  <c r="CT32" i="3"/>
  <c r="CU32" i="3"/>
  <c r="CT30" i="3"/>
  <c r="CU30" i="3"/>
  <c r="CT28" i="3"/>
  <c r="CU28" i="3"/>
  <c r="CT26" i="3"/>
  <c r="CU26" i="3"/>
  <c r="AB63" i="3"/>
  <c r="Z63" i="3"/>
  <c r="Q63" i="3"/>
  <c r="AN63" i="3"/>
  <c r="AL63" i="3"/>
  <c r="U63" i="3"/>
  <c r="AH64" i="3"/>
  <c r="AF64" i="3"/>
  <c r="S64" i="3" s="1"/>
  <c r="AB65" i="3"/>
  <c r="Z65" i="3"/>
  <c r="Q65" i="3" s="1"/>
  <c r="AN65" i="3"/>
  <c r="AL65" i="3"/>
  <c r="U65" i="3"/>
  <c r="AH66" i="3"/>
  <c r="AF66" i="3"/>
  <c r="S66" i="3"/>
  <c r="AB67" i="3"/>
  <c r="Z67" i="3"/>
  <c r="Q67" i="3"/>
  <c r="AN67" i="3"/>
  <c r="AL67" i="3"/>
  <c r="U67" i="3"/>
  <c r="AH68" i="3"/>
  <c r="AF68" i="3"/>
  <c r="S68" i="3" s="1"/>
  <c r="AB69" i="3"/>
  <c r="Z69" i="3"/>
  <c r="Q69" i="3"/>
  <c r="AN69" i="3"/>
  <c r="AL69" i="3"/>
  <c r="U69" i="3" s="1"/>
  <c r="AH70" i="3"/>
  <c r="AF70" i="3"/>
  <c r="S70" i="3" s="1"/>
  <c r="AB71" i="3"/>
  <c r="Z71" i="3"/>
  <c r="Q71" i="3"/>
  <c r="AN71" i="3"/>
  <c r="AL71" i="3"/>
  <c r="U71" i="3"/>
  <c r="AH72" i="3"/>
  <c r="AF72" i="3"/>
  <c r="S72" i="3" s="1"/>
  <c r="AB73" i="3"/>
  <c r="Z73" i="3"/>
  <c r="Q73" i="3"/>
  <c r="AN73" i="3"/>
  <c r="AL73" i="3"/>
  <c r="U73" i="3"/>
  <c r="AH74" i="3"/>
  <c r="AF74" i="3"/>
  <c r="S74" i="3" s="1"/>
  <c r="AC63" i="3"/>
  <c r="AA63" i="3"/>
  <c r="R63" i="3" s="1"/>
  <c r="AO63" i="3"/>
  <c r="AM63" i="3"/>
  <c r="V63" i="3" s="1"/>
  <c r="AI64" i="3"/>
  <c r="AG64" i="3"/>
  <c r="T64" i="3"/>
  <c r="AC65" i="3"/>
  <c r="AA65" i="3"/>
  <c r="R65" i="3"/>
  <c r="AO65" i="3"/>
  <c r="AM65" i="3"/>
  <c r="V65" i="3" s="1"/>
  <c r="AI66" i="3"/>
  <c r="AG66" i="3"/>
  <c r="T66" i="3"/>
  <c r="AC67" i="3"/>
  <c r="AA67" i="3"/>
  <c r="R67" i="3"/>
  <c r="AO67" i="3"/>
  <c r="AM67" i="3"/>
  <c r="V67" i="3"/>
  <c r="AI68" i="3"/>
  <c r="AG68" i="3"/>
  <c r="T68" i="3" s="1"/>
  <c r="AC69" i="3"/>
  <c r="AA69" i="3"/>
  <c r="R69" i="3" s="1"/>
  <c r="AO69" i="3"/>
  <c r="AM69" i="3"/>
  <c r="V69" i="3"/>
  <c r="AI70" i="3"/>
  <c r="AG70" i="3"/>
  <c r="T70" i="3"/>
  <c r="AC71" i="3"/>
  <c r="AA71" i="3"/>
  <c r="R71" i="3" s="1"/>
  <c r="AO71" i="3"/>
  <c r="AM71" i="3"/>
  <c r="V71" i="3"/>
  <c r="AI72" i="3"/>
  <c r="AG72" i="3"/>
  <c r="T72" i="3"/>
  <c r="AC73" i="3"/>
  <c r="AA73" i="3"/>
  <c r="R73" i="3"/>
  <c r="AO73" i="3"/>
  <c r="AM73" i="3"/>
  <c r="V73" i="3" s="1"/>
  <c r="AI74" i="3"/>
  <c r="AG74" i="3"/>
  <c r="T74" i="3" s="1"/>
  <c r="AC75" i="3"/>
  <c r="AA75" i="3"/>
  <c r="R75" i="3"/>
  <c r="AO75" i="3"/>
  <c r="AM75" i="3"/>
  <c r="V75" i="3"/>
  <c r="AI76" i="3"/>
  <c r="AG76" i="3"/>
  <c r="T76" i="3" s="1"/>
  <c r="AC77" i="3"/>
  <c r="AA77" i="3"/>
  <c r="R77" i="3"/>
  <c r="AO77" i="3"/>
  <c r="AM77" i="3"/>
  <c r="V77" i="3"/>
  <c r="AI78" i="3"/>
  <c r="AG78" i="3"/>
  <c r="T78" i="3"/>
  <c r="AC79" i="3"/>
  <c r="AA79" i="3"/>
  <c r="R79" i="3" s="1"/>
  <c r="AO79" i="3"/>
  <c r="AM79" i="3"/>
  <c r="V79" i="3" s="1"/>
  <c r="AI80" i="3"/>
  <c r="AG80" i="3"/>
  <c r="T80" i="3" s="1"/>
  <c r="AC81" i="3"/>
  <c r="AA81" i="3"/>
  <c r="R81" i="3"/>
  <c r="AO81" i="3"/>
  <c r="AM81" i="3"/>
  <c r="V81" i="3" s="1"/>
  <c r="AI82" i="3"/>
  <c r="AG82" i="3"/>
  <c r="T82" i="3" s="1"/>
  <c r="AC83" i="3"/>
  <c r="AA83" i="3"/>
  <c r="R83" i="3"/>
  <c r="AO83" i="3"/>
  <c r="AM83" i="3"/>
  <c r="V83" i="3"/>
  <c r="AI84" i="3"/>
  <c r="AG84" i="3"/>
  <c r="T84" i="3" s="1"/>
  <c r="AH75" i="3"/>
  <c r="AF75" i="3"/>
  <c r="S75" i="3" s="1"/>
  <c r="AB76" i="3"/>
  <c r="Z76" i="3"/>
  <c r="Q76" i="3"/>
  <c r="AN76" i="3"/>
  <c r="AL76" i="3"/>
  <c r="U76" i="3" s="1"/>
  <c r="AH77" i="3"/>
  <c r="AF77" i="3"/>
  <c r="S77" i="3" s="1"/>
  <c r="AB78" i="3"/>
  <c r="Z78" i="3"/>
  <c r="Q78" i="3"/>
  <c r="AN78" i="3"/>
  <c r="AL78" i="3"/>
  <c r="U78" i="3" s="1"/>
  <c r="AH79" i="3"/>
  <c r="AF79" i="3"/>
  <c r="S79" i="3" s="1"/>
  <c r="AB80" i="3"/>
  <c r="Z80" i="3"/>
  <c r="Q80" i="3" s="1"/>
  <c r="AN80" i="3"/>
  <c r="AL80" i="3"/>
  <c r="U80" i="3" s="1"/>
  <c r="AH81" i="3"/>
  <c r="AF81" i="3"/>
  <c r="S81" i="3" s="1"/>
  <c r="AB82" i="3"/>
  <c r="Z82" i="3"/>
  <c r="Q82" i="3"/>
  <c r="AN82" i="3"/>
  <c r="AL82" i="3"/>
  <c r="U82" i="3" s="1"/>
  <c r="AH83" i="3"/>
  <c r="AF83" i="3"/>
  <c r="S83" i="3" s="1"/>
  <c r="AB84" i="3"/>
  <c r="Z84" i="3"/>
  <c r="Q84" i="3"/>
  <c r="AN84" i="3"/>
  <c r="U84" i="3"/>
  <c r="AL84" i="3"/>
  <c r="AH85" i="3"/>
  <c r="AF85" i="3"/>
  <c r="S85" i="3" s="1"/>
  <c r="AB86" i="3"/>
  <c r="Z86" i="3"/>
  <c r="Q86" i="3" s="1"/>
  <c r="AN86" i="3"/>
  <c r="AL86" i="3"/>
  <c r="U86" i="3"/>
  <c r="AH87" i="3"/>
  <c r="AF87" i="3"/>
  <c r="S87" i="3"/>
  <c r="AB88" i="3"/>
  <c r="Z88" i="3"/>
  <c r="Q88" i="3" s="1"/>
  <c r="AN88" i="3"/>
  <c r="AL88" i="3"/>
  <c r="U88" i="3"/>
  <c r="AH89" i="3"/>
  <c r="AF89" i="3"/>
  <c r="S89" i="3"/>
  <c r="AB90" i="3"/>
  <c r="Z90" i="3"/>
  <c r="Q90" i="3"/>
  <c r="AN90" i="3"/>
  <c r="AL90" i="3"/>
  <c r="U90" i="3" s="1"/>
  <c r="AH91" i="3"/>
  <c r="AF91" i="3"/>
  <c r="S91" i="3" s="1"/>
  <c r="Z92" i="3"/>
  <c r="Q92" i="3" s="1"/>
  <c r="AB92" i="3"/>
  <c r="AF93" i="3"/>
  <c r="S93" i="3" s="1"/>
  <c r="AH93" i="3"/>
  <c r="AL94" i="3"/>
  <c r="U94" i="3" s="1"/>
  <c r="AN94" i="3"/>
  <c r="Z96" i="3"/>
  <c r="Q96" i="3"/>
  <c r="AB96" i="3"/>
  <c r="AO84" i="3"/>
  <c r="AM84" i="3"/>
  <c r="V84" i="3"/>
  <c r="AI85" i="3"/>
  <c r="AG85" i="3"/>
  <c r="T85" i="3"/>
  <c r="AC86" i="3"/>
  <c r="AA86" i="3"/>
  <c r="R86" i="3" s="1"/>
  <c r="AO86" i="3"/>
  <c r="AM86" i="3"/>
  <c r="V86" i="3" s="1"/>
  <c r="AI87" i="3"/>
  <c r="AG87" i="3"/>
  <c r="T87" i="3" s="1"/>
  <c r="AC88" i="3"/>
  <c r="AA88" i="3"/>
  <c r="R88" i="3" s="1"/>
  <c r="AO88" i="3"/>
  <c r="AM88" i="3"/>
  <c r="V88" i="3" s="1"/>
  <c r="AI89" i="3"/>
  <c r="AG89" i="3"/>
  <c r="T89" i="3" s="1"/>
  <c r="AC90" i="3"/>
  <c r="AA90" i="3"/>
  <c r="R90" i="3"/>
  <c r="AO90" i="3"/>
  <c r="AM90" i="3"/>
  <c r="V90" i="3"/>
  <c r="AI91" i="3"/>
  <c r="AG91" i="3"/>
  <c r="T91" i="3" s="1"/>
  <c r="AH92" i="3"/>
  <c r="AF92" i="3"/>
  <c r="S92" i="3" s="1"/>
  <c r="AN93" i="3"/>
  <c r="AL93" i="3"/>
  <c r="U93" i="3"/>
  <c r="AB95" i="3"/>
  <c r="Z95" i="3"/>
  <c r="Q95" i="3" s="1"/>
  <c r="AH96" i="3"/>
  <c r="AF96" i="3"/>
  <c r="S96" i="3" s="1"/>
  <c r="AH97" i="3"/>
  <c r="AF97" i="3"/>
  <c r="S97" i="3"/>
  <c r="AB98" i="3"/>
  <c r="Z98" i="3"/>
  <c r="Q98" i="3" s="1"/>
  <c r="AN98" i="3"/>
  <c r="AL98" i="3"/>
  <c r="U98" i="3"/>
  <c r="AG99" i="3"/>
  <c r="T99" i="3"/>
  <c r="AI99" i="3"/>
  <c r="AG101" i="3"/>
  <c r="T101" i="3" s="1"/>
  <c r="AI101" i="3"/>
  <c r="AG103" i="3"/>
  <c r="T103" i="3"/>
  <c r="AI103" i="3"/>
  <c r="AI92" i="3"/>
  <c r="AG92" i="3"/>
  <c r="T92" i="3"/>
  <c r="AC93" i="3"/>
  <c r="AA93" i="3"/>
  <c r="R93" i="3" s="1"/>
  <c r="AO93" i="3"/>
  <c r="AM93" i="3"/>
  <c r="V93" i="3" s="1"/>
  <c r="AI94" i="3"/>
  <c r="AG94" i="3"/>
  <c r="T94" i="3"/>
  <c r="AC95" i="3"/>
  <c r="AA95" i="3"/>
  <c r="R95" i="3"/>
  <c r="AO95" i="3"/>
  <c r="AM95" i="3"/>
  <c r="V95" i="3" s="1"/>
  <c r="AI96" i="3"/>
  <c r="AG96" i="3"/>
  <c r="T96" i="3" s="1"/>
  <c r="AC97" i="3"/>
  <c r="AA97" i="3"/>
  <c r="R97" i="3"/>
  <c r="AO97" i="3"/>
  <c r="AM97" i="3"/>
  <c r="V97" i="3" s="1"/>
  <c r="AI98" i="3"/>
  <c r="AG98" i="3"/>
  <c r="T98" i="3" s="1"/>
  <c r="AC99" i="3"/>
  <c r="AA99" i="3"/>
  <c r="R99" i="3" s="1"/>
  <c r="AC100" i="3"/>
  <c r="AA100" i="3"/>
  <c r="R100" i="3"/>
  <c r="AC101" i="3"/>
  <c r="AA101" i="3"/>
  <c r="R101" i="3"/>
  <c r="AC102" i="3"/>
  <c r="AA102" i="3"/>
  <c r="R102" i="3" s="1"/>
  <c r="AC103" i="3"/>
  <c r="AA103" i="3"/>
  <c r="R103" i="3" s="1"/>
  <c r="AH99" i="3"/>
  <c r="AF99" i="3"/>
  <c r="S99" i="3"/>
  <c r="AB100" i="3"/>
  <c r="Z100" i="3"/>
  <c r="Q100" i="3" s="1"/>
  <c r="AN100" i="3"/>
  <c r="AL100" i="3"/>
  <c r="U100" i="3" s="1"/>
  <c r="AH101" i="3"/>
  <c r="AF101" i="3"/>
  <c r="S101" i="3"/>
  <c r="AB102" i="3"/>
  <c r="Z102" i="3"/>
  <c r="Q102" i="3" s="1"/>
  <c r="AN102" i="3"/>
  <c r="AL102" i="3"/>
  <c r="U102" i="3"/>
  <c r="AH103" i="3"/>
  <c r="AF103" i="3"/>
  <c r="S103" i="3" s="1"/>
  <c r="CT23" i="3"/>
  <c r="CU23" i="3"/>
  <c r="CT21" i="3"/>
  <c r="CU21" i="3"/>
  <c r="CT18" i="3"/>
  <c r="CU18" i="3"/>
  <c r="CT15" i="3"/>
  <c r="CU15" i="3"/>
  <c r="CT12" i="3"/>
  <c r="CU12" i="3"/>
  <c r="CT7" i="3"/>
  <c r="CU7" i="3"/>
  <c r="CT5" i="3"/>
  <c r="CU5" i="3"/>
  <c r="AN55" i="3"/>
  <c r="AL55" i="3"/>
  <c r="U55" i="3"/>
  <c r="AO54" i="3"/>
  <c r="AM54" i="3"/>
  <c r="V54" i="3" s="1"/>
  <c r="AC54" i="3"/>
  <c r="AA54" i="3"/>
  <c r="R54" i="3" s="1"/>
  <c r="AO53" i="3"/>
  <c r="AM53" i="3"/>
  <c r="V53" i="3"/>
  <c r="AC53" i="3"/>
  <c r="AA53" i="3"/>
  <c r="R53" i="3" s="1"/>
  <c r="AB57" i="3"/>
  <c r="Z57" i="3"/>
  <c r="Q57" i="3" s="1"/>
  <c r="AN57" i="3"/>
  <c r="AL57" i="3"/>
  <c r="U57" i="3" s="1"/>
  <c r="AH58" i="3"/>
  <c r="AF58" i="3"/>
  <c r="S58" i="3" s="1"/>
  <c r="AB59" i="3"/>
  <c r="Z59" i="3"/>
  <c r="Q59" i="3"/>
  <c r="AN59" i="3"/>
  <c r="AL59" i="3"/>
  <c r="U59" i="3" s="1"/>
  <c r="AH60" i="3"/>
  <c r="AF60" i="3"/>
  <c r="S60" i="3" s="1"/>
  <c r="AB61" i="3"/>
  <c r="Z61" i="3"/>
  <c r="Q61" i="3"/>
  <c r="AN61" i="3"/>
  <c r="AL61" i="3"/>
  <c r="U61" i="3"/>
  <c r="AH62" i="3"/>
  <c r="AF62" i="3"/>
  <c r="S62" i="3" s="1"/>
  <c r="AC55" i="3"/>
  <c r="AA55" i="3"/>
  <c r="R55" i="3" s="1"/>
  <c r="AO55" i="3"/>
  <c r="AM55" i="3"/>
  <c r="V55" i="3"/>
  <c r="AI56" i="3"/>
  <c r="AG56" i="3"/>
  <c r="T56" i="3" s="1"/>
  <c r="AC57" i="3"/>
  <c r="AA57" i="3"/>
  <c r="R57" i="3" s="1"/>
  <c r="AO57" i="3"/>
  <c r="AM57" i="3"/>
  <c r="V57" i="3"/>
  <c r="AI58" i="3"/>
  <c r="AG58" i="3"/>
  <c r="T58" i="3" s="1"/>
  <c r="AC59" i="3"/>
  <c r="AA59" i="3"/>
  <c r="R59" i="3"/>
  <c r="AO59" i="3"/>
  <c r="AM59" i="3"/>
  <c r="V59" i="3" s="1"/>
  <c r="AI60" i="3"/>
  <c r="AG60" i="3"/>
  <c r="T60" i="3" s="1"/>
  <c r="AC61" i="3"/>
  <c r="AA61" i="3"/>
  <c r="R61" i="3"/>
  <c r="AO61" i="3"/>
  <c r="AM61" i="3"/>
  <c r="V61" i="3"/>
  <c r="AI62" i="3"/>
  <c r="AG62" i="3"/>
  <c r="T62" i="3" s="1"/>
  <c r="CU16" i="3"/>
  <c r="CT16" i="3"/>
  <c r="CU10" i="3"/>
  <c r="CT10" i="3"/>
  <c r="CU8" i="3"/>
  <c r="CT8" i="3"/>
  <c r="CT57" i="3"/>
  <c r="CU57" i="3"/>
  <c r="CT59" i="3"/>
  <c r="CU59" i="3"/>
  <c r="CT61" i="3"/>
  <c r="CU61" i="3"/>
  <c r="CT63" i="3"/>
  <c r="C38" i="6" s="1"/>
  <c r="CU63" i="3"/>
  <c r="CT65" i="3"/>
  <c r="CU65" i="3"/>
  <c r="CT67" i="3"/>
  <c r="CU67" i="3"/>
  <c r="CT69" i="3"/>
  <c r="CU69" i="3"/>
  <c r="CT71" i="3"/>
  <c r="CU71" i="3"/>
  <c r="CT73" i="3"/>
  <c r="CU73" i="3"/>
  <c r="CU75" i="3"/>
  <c r="CT75" i="3"/>
  <c r="CU77" i="3"/>
  <c r="CT77" i="3"/>
  <c r="CU79" i="3"/>
  <c r="CT79" i="3"/>
  <c r="CU81" i="3"/>
  <c r="CT81" i="3"/>
  <c r="CU83" i="3"/>
  <c r="CT83" i="3"/>
  <c r="CT85" i="3"/>
  <c r="CU85" i="3"/>
  <c r="CT87" i="3"/>
  <c r="CU87" i="3"/>
  <c r="CT89" i="3"/>
  <c r="CU89" i="3"/>
  <c r="CT91" i="3"/>
  <c r="CU91" i="3"/>
  <c r="CT94" i="3"/>
  <c r="CU94" i="3"/>
  <c r="CT95" i="3"/>
  <c r="CU95" i="3"/>
  <c r="CT97" i="3"/>
  <c r="CU97" i="3"/>
  <c r="CU99" i="3"/>
  <c r="CT99" i="3"/>
  <c r="CU101" i="3"/>
  <c r="CT101" i="3"/>
  <c r="CU103" i="3"/>
  <c r="CT103" i="3"/>
  <c r="AN54" i="3"/>
  <c r="AL54" i="3"/>
  <c r="U54" i="3" s="1"/>
  <c r="AB54" i="3"/>
  <c r="Z54" i="3"/>
  <c r="Q54" i="3" s="1"/>
  <c r="CT53" i="3"/>
  <c r="C37" i="6" s="1"/>
  <c r="CU53" i="3"/>
  <c r="AH53" i="3"/>
  <c r="AF53" i="3"/>
  <c r="S53" i="3"/>
  <c r="CT51" i="3"/>
  <c r="CU51" i="3"/>
  <c r="CT49" i="3"/>
  <c r="CU49" i="3"/>
  <c r="CT47" i="3"/>
  <c r="CU47" i="3"/>
  <c r="CT45" i="3"/>
  <c r="CU45" i="3"/>
  <c r="CT43" i="3"/>
  <c r="CU43" i="3"/>
  <c r="CT41" i="3"/>
  <c r="CU41" i="3"/>
  <c r="CT39" i="3"/>
  <c r="CU39" i="3"/>
  <c r="CT37" i="3"/>
  <c r="CU37" i="3"/>
  <c r="CT35" i="3"/>
  <c r="CU35" i="3"/>
  <c r="CT33" i="3"/>
  <c r="CU33" i="3"/>
  <c r="CT31" i="3"/>
  <c r="CU31" i="3"/>
  <c r="CT29" i="3"/>
  <c r="CU29" i="3"/>
  <c r="CT27" i="3"/>
  <c r="CU27" i="3"/>
  <c r="CT25" i="3"/>
  <c r="CU25" i="3"/>
  <c r="AH63" i="3"/>
  <c r="AF63" i="3"/>
  <c r="S63" i="3" s="1"/>
  <c r="AB64" i="3"/>
  <c r="Z64" i="3"/>
  <c r="Q64" i="3" s="1"/>
  <c r="AN64" i="3"/>
  <c r="AL64" i="3"/>
  <c r="U64" i="3"/>
  <c r="AH65" i="3"/>
  <c r="AF65" i="3"/>
  <c r="S65" i="3"/>
  <c r="AB66" i="3"/>
  <c r="Z66" i="3"/>
  <c r="Q66" i="3" s="1"/>
  <c r="AN66" i="3"/>
  <c r="AL66" i="3"/>
  <c r="U66" i="3" s="1"/>
  <c r="AH67" i="3"/>
  <c r="AF67" i="3"/>
  <c r="S67" i="3"/>
  <c r="AB68" i="3"/>
  <c r="Z68" i="3"/>
  <c r="Q68" i="3" s="1"/>
  <c r="AN68" i="3"/>
  <c r="AL68" i="3"/>
  <c r="U68" i="3" s="1"/>
  <c r="AH69" i="3"/>
  <c r="AF69" i="3"/>
  <c r="S69" i="3"/>
  <c r="AB70" i="3"/>
  <c r="Z70" i="3"/>
  <c r="Q70" i="3" s="1"/>
  <c r="AN70" i="3"/>
  <c r="AL70" i="3"/>
  <c r="U70" i="3"/>
  <c r="AH71" i="3"/>
  <c r="AF71" i="3"/>
  <c r="S71" i="3" s="1"/>
  <c r="AB72" i="3"/>
  <c r="Z72" i="3"/>
  <c r="Q72" i="3" s="1"/>
  <c r="AN72" i="3"/>
  <c r="AL72" i="3"/>
  <c r="U72" i="3"/>
  <c r="AH73" i="3"/>
  <c r="AF73" i="3"/>
  <c r="S73" i="3"/>
  <c r="AB74" i="3"/>
  <c r="Z74" i="3"/>
  <c r="Q74" i="3" s="1"/>
  <c r="AN74" i="3"/>
  <c r="AL74" i="3"/>
  <c r="U74" i="3"/>
  <c r="AI63" i="3"/>
  <c r="AG63" i="3"/>
  <c r="T63" i="3"/>
  <c r="AC64" i="3"/>
  <c r="AA64" i="3"/>
  <c r="R64" i="3" s="1"/>
  <c r="AO64" i="3"/>
  <c r="AM64" i="3"/>
  <c r="V64" i="3" s="1"/>
  <c r="AI65" i="3"/>
  <c r="AG65" i="3"/>
  <c r="T65" i="3" s="1"/>
  <c r="AC66" i="3"/>
  <c r="AA66" i="3"/>
  <c r="R66" i="3"/>
  <c r="AO66" i="3"/>
  <c r="AM66" i="3"/>
  <c r="V66" i="3"/>
  <c r="AI67" i="3"/>
  <c r="AG67" i="3"/>
  <c r="T67" i="3" s="1"/>
  <c r="AC68" i="3"/>
  <c r="AA68" i="3"/>
  <c r="R68" i="3"/>
  <c r="AO68" i="3"/>
  <c r="AM68" i="3"/>
  <c r="V68" i="3"/>
  <c r="AI69" i="3"/>
  <c r="AG69" i="3"/>
  <c r="T69" i="3"/>
  <c r="AC70" i="3"/>
  <c r="AA70" i="3"/>
  <c r="R70" i="3" s="1"/>
  <c r="AO70" i="3"/>
  <c r="AM70" i="3"/>
  <c r="V70" i="3" s="1"/>
  <c r="AI71" i="3"/>
  <c r="AG71" i="3"/>
  <c r="T71" i="3" s="1"/>
  <c r="AC72" i="3"/>
  <c r="AA72" i="3"/>
  <c r="R72" i="3"/>
  <c r="AO72" i="3"/>
  <c r="AM72" i="3"/>
  <c r="V72" i="3" s="1"/>
  <c r="AI73" i="3"/>
  <c r="AG73" i="3"/>
  <c r="T73" i="3" s="1"/>
  <c r="AC74" i="3"/>
  <c r="AA74" i="3"/>
  <c r="R74" i="3"/>
  <c r="AO74" i="3"/>
  <c r="AM74" i="3"/>
  <c r="V74" i="3"/>
  <c r="AI75" i="3"/>
  <c r="AG75" i="3"/>
  <c r="T75" i="3" s="1"/>
  <c r="AC76" i="3"/>
  <c r="AA76" i="3"/>
  <c r="R76" i="3" s="1"/>
  <c r="AO76" i="3"/>
  <c r="AM76" i="3"/>
  <c r="V76" i="3" s="1"/>
  <c r="AI77" i="3"/>
  <c r="AG77" i="3"/>
  <c r="T77" i="3" s="1"/>
  <c r="AC78" i="3"/>
  <c r="AA78" i="3"/>
  <c r="R78" i="3" s="1"/>
  <c r="AO78" i="3"/>
  <c r="AM78" i="3"/>
  <c r="V78" i="3" s="1"/>
  <c r="AI79" i="3"/>
  <c r="AG79" i="3"/>
  <c r="T79" i="3" s="1"/>
  <c r="AC80" i="3"/>
  <c r="AA80" i="3"/>
  <c r="R80" i="3"/>
  <c r="AO80" i="3"/>
  <c r="AM80" i="3"/>
  <c r="V80" i="3" s="1"/>
  <c r="AI81" i="3"/>
  <c r="AG81" i="3"/>
  <c r="T81" i="3" s="1"/>
  <c r="AC82" i="3"/>
  <c r="AA82" i="3"/>
  <c r="R82" i="3"/>
  <c r="AO82" i="3"/>
  <c r="AM82" i="3"/>
  <c r="V82" i="3" s="1"/>
  <c r="AI83" i="3"/>
  <c r="AG83" i="3"/>
  <c r="T83" i="3" s="1"/>
  <c r="AC84" i="3"/>
  <c r="AA84" i="3"/>
  <c r="R84" i="3"/>
  <c r="AB75" i="3"/>
  <c r="Z75" i="3"/>
  <c r="Q75" i="3" s="1"/>
  <c r="AN75" i="3"/>
  <c r="AL75" i="3"/>
  <c r="U75" i="3" s="1"/>
  <c r="AH76" i="3"/>
  <c r="AF76" i="3"/>
  <c r="S76" i="3" s="1"/>
  <c r="AB77" i="3"/>
  <c r="Z77" i="3"/>
  <c r="Q77" i="3" s="1"/>
  <c r="AN77" i="3"/>
  <c r="AL77" i="3"/>
  <c r="U77" i="3"/>
  <c r="AH78" i="3"/>
  <c r="AF78" i="3"/>
  <c r="S78" i="3"/>
  <c r="AB79" i="3"/>
  <c r="Z79" i="3"/>
  <c r="Q79" i="3" s="1"/>
  <c r="AN79" i="3"/>
  <c r="AL79" i="3"/>
  <c r="U79" i="3"/>
  <c r="AH80" i="3"/>
  <c r="AF80" i="3"/>
  <c r="S80" i="3"/>
  <c r="AB81" i="3"/>
  <c r="Z81" i="3"/>
  <c r="Q81" i="3" s="1"/>
  <c r="AN81" i="3"/>
  <c r="AL81" i="3"/>
  <c r="U81" i="3" s="1"/>
  <c r="AH82" i="3"/>
  <c r="AF82" i="3"/>
  <c r="S82" i="3" s="1"/>
  <c r="AB83" i="3"/>
  <c r="Z83" i="3"/>
  <c r="Q83" i="3" s="1"/>
  <c r="AN83" i="3"/>
  <c r="AL83" i="3"/>
  <c r="U83" i="3"/>
  <c r="AF84" i="3"/>
  <c r="S84" i="3" s="1"/>
  <c r="AH84" i="3"/>
  <c r="AB85" i="3"/>
  <c r="Z85" i="3"/>
  <c r="Q85" i="3"/>
  <c r="AN85" i="3"/>
  <c r="AL85" i="3"/>
  <c r="U85" i="3"/>
  <c r="AH86" i="3"/>
  <c r="AF86" i="3"/>
  <c r="S86" i="3"/>
  <c r="AB87" i="3"/>
  <c r="Z87" i="3"/>
  <c r="Q87" i="3" s="1"/>
  <c r="AN87" i="3"/>
  <c r="AL87" i="3"/>
  <c r="U87" i="3" s="1"/>
  <c r="AH88" i="3"/>
  <c r="AF88" i="3"/>
  <c r="S88" i="3" s="1"/>
  <c r="AB89" i="3"/>
  <c r="Z89" i="3"/>
  <c r="Q89" i="3"/>
  <c r="AN89" i="3"/>
  <c r="AL89" i="3"/>
  <c r="U89" i="3" s="1"/>
  <c r="AH90" i="3"/>
  <c r="AF90" i="3"/>
  <c r="S90" i="3"/>
  <c r="AB91" i="3"/>
  <c r="Z91" i="3"/>
  <c r="Q91" i="3"/>
  <c r="AN91" i="3"/>
  <c r="AL91" i="3"/>
  <c r="U91" i="3" s="1"/>
  <c r="AL92" i="3"/>
  <c r="U92" i="3"/>
  <c r="AN92" i="3"/>
  <c r="Z94" i="3"/>
  <c r="Q94" i="3"/>
  <c r="AB94" i="3"/>
  <c r="AF95" i="3"/>
  <c r="S95" i="3"/>
  <c r="AH95" i="3"/>
  <c r="AN96" i="3"/>
  <c r="AL96" i="3"/>
  <c r="U96" i="3"/>
  <c r="AC85" i="3"/>
  <c r="AA85" i="3"/>
  <c r="R85" i="3" s="1"/>
  <c r="AO85" i="3"/>
  <c r="AM85" i="3"/>
  <c r="V85" i="3"/>
  <c r="AI86" i="3"/>
  <c r="AG86" i="3"/>
  <c r="T86" i="3"/>
  <c r="AC87" i="3"/>
  <c r="AA87" i="3"/>
  <c r="R87" i="3" s="1"/>
  <c r="AO87" i="3"/>
  <c r="AM87" i="3"/>
  <c r="V87" i="3" s="1"/>
  <c r="AI88" i="3"/>
  <c r="AG88" i="3"/>
  <c r="T88" i="3" s="1"/>
  <c r="AC89" i="3"/>
  <c r="AA89" i="3"/>
  <c r="R89" i="3" s="1"/>
  <c r="AO89" i="3"/>
  <c r="AM89" i="3"/>
  <c r="V89" i="3"/>
  <c r="AI90" i="3"/>
  <c r="AG90" i="3"/>
  <c r="T90" i="3" s="1"/>
  <c r="AC91" i="3"/>
  <c r="AA91" i="3"/>
  <c r="R91" i="3"/>
  <c r="AO91" i="3"/>
  <c r="AM91" i="3"/>
  <c r="V91" i="3"/>
  <c r="AB93" i="3"/>
  <c r="Z93" i="3"/>
  <c r="Q93" i="3" s="1"/>
  <c r="AH94" i="3"/>
  <c r="AF94" i="3"/>
  <c r="S94" i="3" s="1"/>
  <c r="AN95" i="3"/>
  <c r="AL95" i="3"/>
  <c r="U95" i="3" s="1"/>
  <c r="AB97" i="3"/>
  <c r="Z97" i="3"/>
  <c r="Q97" i="3" s="1"/>
  <c r="AN97" i="3"/>
  <c r="AL97" i="3"/>
  <c r="U97" i="3"/>
  <c r="AH98" i="3"/>
  <c r="AF98" i="3"/>
  <c r="S98" i="3" s="1"/>
  <c r="AB99" i="3"/>
  <c r="Z99" i="3"/>
  <c r="Q99" i="3"/>
  <c r="AG100" i="3"/>
  <c r="T100" i="3" s="1"/>
  <c r="AI100" i="3"/>
  <c r="AG102" i="3"/>
  <c r="T102" i="3" s="1"/>
  <c r="AI102" i="3"/>
  <c r="AC92" i="3"/>
  <c r="AA92" i="3"/>
  <c r="R92" i="3" s="1"/>
  <c r="AO92" i="3"/>
  <c r="AM92" i="3"/>
  <c r="V92" i="3" s="1"/>
  <c r="AI93" i="3"/>
  <c r="AG93" i="3"/>
  <c r="T93" i="3" s="1"/>
  <c r="AC94" i="3"/>
  <c r="AA94" i="3"/>
  <c r="R94" i="3" s="1"/>
  <c r="AO94" i="3"/>
  <c r="AM94" i="3"/>
  <c r="V94" i="3" s="1"/>
  <c r="AI95" i="3"/>
  <c r="AG95" i="3"/>
  <c r="T95" i="3"/>
  <c r="AC96" i="3"/>
  <c r="AA96" i="3"/>
  <c r="R96" i="3" s="1"/>
  <c r="AO96" i="3"/>
  <c r="AM96" i="3"/>
  <c r="V96" i="3"/>
  <c r="AI97" i="3"/>
  <c r="AG97" i="3"/>
  <c r="T97" i="3" s="1"/>
  <c r="AC98" i="3"/>
  <c r="AA98" i="3"/>
  <c r="R98" i="3" s="1"/>
  <c r="AO98" i="3"/>
  <c r="AM98" i="3"/>
  <c r="V98" i="3" s="1"/>
  <c r="AO99" i="3"/>
  <c r="AM99" i="3"/>
  <c r="V99" i="3" s="1"/>
  <c r="AO100" i="3"/>
  <c r="AM100" i="3"/>
  <c r="V100" i="3" s="1"/>
  <c r="AO101" i="3"/>
  <c r="AM101" i="3"/>
  <c r="V101" i="3" s="1"/>
  <c r="AO102" i="3"/>
  <c r="AM102" i="3"/>
  <c r="V102" i="3"/>
  <c r="AO103" i="3"/>
  <c r="AM103" i="3"/>
  <c r="V103" i="3"/>
  <c r="AN99" i="3"/>
  <c r="AL99" i="3"/>
  <c r="U99" i="3" s="1"/>
  <c r="AH100" i="3"/>
  <c r="AF100" i="3"/>
  <c r="S100" i="3" s="1"/>
  <c r="AB101" i="3"/>
  <c r="Z101" i="3"/>
  <c r="Q101" i="3" s="1"/>
  <c r="AN101" i="3"/>
  <c r="AL101" i="3"/>
  <c r="U101" i="3"/>
  <c r="AH102" i="3"/>
  <c r="AF102" i="3"/>
  <c r="S102" i="3" s="1"/>
  <c r="AB103" i="3"/>
  <c r="Z103" i="3"/>
  <c r="Q103" i="3" s="1"/>
  <c r="AN103" i="3"/>
  <c r="AL103" i="3"/>
  <c r="U103" i="3"/>
  <c r="CT22" i="3"/>
  <c r="CU22" i="3"/>
  <c r="CT20" i="3"/>
  <c r="CU20" i="3"/>
  <c r="CT17" i="3"/>
  <c r="CU17" i="3"/>
  <c r="CT13" i="3"/>
  <c r="CU13" i="3"/>
  <c r="CT11" i="3"/>
  <c r="CU11" i="3"/>
  <c r="CT6" i="3"/>
  <c r="CU6" i="3"/>
  <c r="AT77" i="3"/>
  <c r="N30" i="8"/>
  <c r="P3" i="8"/>
  <c r="K104" i="8"/>
  <c r="C36" i="3"/>
  <c r="C137" i="3" s="1"/>
  <c r="T30" i="8"/>
  <c r="E54" i="3"/>
  <c r="J104" i="8"/>
  <c r="B36" i="3"/>
  <c r="Y104" i="8"/>
  <c r="AA67" i="8"/>
  <c r="AA62" i="8"/>
  <c r="B142" i="3"/>
  <c r="D143" i="3"/>
  <c r="D38" i="3"/>
  <c r="G104" i="8"/>
  <c r="AS3" i="3"/>
  <c r="AS104" i="3" s="1"/>
  <c r="O30" i="8"/>
  <c r="Z104" i="8"/>
  <c r="AB67" i="8"/>
  <c r="AB62" i="8"/>
  <c r="C142" i="3"/>
  <c r="C243" i="3" s="1"/>
  <c r="D58" i="3"/>
  <c r="D164" i="3"/>
  <c r="D59" i="3"/>
  <c r="D165" i="3"/>
  <c r="D60" i="3"/>
  <c r="D166" i="3"/>
  <c r="D61" i="3"/>
  <c r="D167" i="3"/>
  <c r="D62" i="3"/>
  <c r="D168" i="3"/>
  <c r="D63" i="3"/>
  <c r="AT31" i="3"/>
  <c r="D170" i="3"/>
  <c r="D65" i="3"/>
  <c r="AT33" i="3"/>
  <c r="D172" i="3"/>
  <c r="D67" i="3"/>
  <c r="AT35" i="3"/>
  <c r="D174" i="3"/>
  <c r="D69" i="3"/>
  <c r="AT37" i="3"/>
  <c r="D176" i="3"/>
  <c r="D71" i="3"/>
  <c r="AT39" i="3"/>
  <c r="D178" i="3"/>
  <c r="D73" i="3"/>
  <c r="AT41" i="3"/>
  <c r="D180" i="3"/>
  <c r="D75" i="3"/>
  <c r="AT43" i="3"/>
  <c r="D182" i="3"/>
  <c r="D77" i="3"/>
  <c r="AT45" i="3"/>
  <c r="D184" i="3"/>
  <c r="D79" i="3"/>
  <c r="AT47" i="3"/>
  <c r="D186" i="3"/>
  <c r="D81" i="3"/>
  <c r="AT49" i="3"/>
  <c r="D188" i="3"/>
  <c r="D83" i="3"/>
  <c r="AT51" i="3"/>
  <c r="D190" i="3"/>
  <c r="D85" i="3"/>
  <c r="AT53" i="3"/>
  <c r="D192" i="3"/>
  <c r="D87" i="3"/>
  <c r="AT55" i="3"/>
  <c r="D194" i="3"/>
  <c r="D89" i="3"/>
  <c r="AT57" i="3"/>
  <c r="D196" i="3"/>
  <c r="D91" i="3"/>
  <c r="AT59" i="3"/>
  <c r="D198" i="3"/>
  <c r="D93" i="3"/>
  <c r="AT61" i="3"/>
  <c r="D200" i="3"/>
  <c r="D95" i="3"/>
  <c r="AT63" i="3"/>
  <c r="D202" i="3"/>
  <c r="D97" i="3"/>
  <c r="AT65" i="3"/>
  <c r="D204" i="3"/>
  <c r="D99" i="3"/>
  <c r="AT67" i="3"/>
  <c r="D206" i="3"/>
  <c r="D101" i="3"/>
  <c r="AT69" i="3"/>
  <c r="D208" i="3"/>
  <c r="D103" i="3"/>
  <c r="AT71" i="3"/>
  <c r="D210" i="3"/>
  <c r="D105" i="3"/>
  <c r="AT73" i="3"/>
  <c r="D212" i="3"/>
  <c r="D107" i="3"/>
  <c r="AT75" i="3"/>
  <c r="D214" i="3"/>
  <c r="D109" i="3"/>
  <c r="F104" i="8"/>
  <c r="AR3" i="3"/>
  <c r="P25" i="8"/>
  <c r="F76" i="3" s="1"/>
  <c r="AT26" i="3"/>
  <c r="P26" i="8"/>
  <c r="F77" i="3" s="1"/>
  <c r="AT27" i="3"/>
  <c r="P27" i="8"/>
  <c r="F78" i="3" s="1"/>
  <c r="AT28" i="3"/>
  <c r="P28" i="8"/>
  <c r="F79" i="3" s="1"/>
  <c r="AT29" i="3"/>
  <c r="P29" i="8"/>
  <c r="F80" i="3" s="1"/>
  <c r="AT30" i="3"/>
  <c r="D169" i="3"/>
  <c r="D64" i="3"/>
  <c r="AT32" i="3"/>
  <c r="D171" i="3"/>
  <c r="D66" i="3"/>
  <c r="AT34" i="3"/>
  <c r="D173" i="3"/>
  <c r="D68" i="3"/>
  <c r="AT36" i="3"/>
  <c r="D175" i="3"/>
  <c r="D70" i="3"/>
  <c r="AT38" i="3"/>
  <c r="D177" i="3"/>
  <c r="D72" i="3"/>
  <c r="AT40" i="3"/>
  <c r="D179" i="3"/>
  <c r="D74" i="3"/>
  <c r="AT42" i="3"/>
  <c r="D181" i="3"/>
  <c r="D76" i="3"/>
  <c r="AT44" i="3"/>
  <c r="D183" i="3"/>
  <c r="D78" i="3"/>
  <c r="AT46" i="3"/>
  <c r="D185" i="3"/>
  <c r="D80" i="3"/>
  <c r="AT48" i="3"/>
  <c r="D187" i="3"/>
  <c r="D82" i="3"/>
  <c r="AT50" i="3"/>
  <c r="D189" i="3"/>
  <c r="D84" i="3"/>
  <c r="AT52" i="3"/>
  <c r="D191" i="3"/>
  <c r="D86" i="3"/>
  <c r="AT54" i="3"/>
  <c r="D193" i="3"/>
  <c r="D88" i="3"/>
  <c r="AT56" i="3"/>
  <c r="D195" i="3"/>
  <c r="D90" i="3"/>
  <c r="AT58" i="3"/>
  <c r="D197" i="3"/>
  <c r="D92" i="3"/>
  <c r="AT60" i="3"/>
  <c r="D199" i="3"/>
  <c r="D94" i="3"/>
  <c r="AT62" i="3"/>
  <c r="D201" i="3"/>
  <c r="D96" i="3"/>
  <c r="AT64" i="3"/>
  <c r="D203" i="3"/>
  <c r="D98" i="3"/>
  <c r="AT66" i="3"/>
  <c r="D205" i="3"/>
  <c r="D100" i="3"/>
  <c r="AT68" i="3"/>
  <c r="D207" i="3"/>
  <c r="D102" i="3"/>
  <c r="AT70" i="3"/>
  <c r="D209" i="3"/>
  <c r="D104" i="3"/>
  <c r="AT72" i="3"/>
  <c r="D211" i="3"/>
  <c r="D106" i="3"/>
  <c r="AT74" i="3"/>
  <c r="D213" i="3"/>
  <c r="D108" i="3"/>
  <c r="AT76" i="3"/>
  <c r="D215" i="3"/>
  <c r="B87" i="4" l="1"/>
  <c r="F43" i="2"/>
  <c r="H43" i="2" s="1"/>
  <c r="B59" i="4"/>
  <c r="G80" i="3"/>
  <c r="G79" i="3"/>
  <c r="G78" i="3"/>
  <c r="G77" i="3"/>
  <c r="G76" i="3"/>
  <c r="G74" i="3"/>
  <c r="G72" i="3"/>
  <c r="G70" i="3"/>
  <c r="G68" i="3"/>
  <c r="G66" i="3"/>
  <c r="G64" i="3"/>
  <c r="G62" i="3"/>
  <c r="G60" i="3"/>
  <c r="G58" i="3"/>
  <c r="G56" i="3"/>
  <c r="BB5" i="6"/>
  <c r="BC5" i="6"/>
  <c r="BD5" i="6"/>
  <c r="H39" i="2"/>
  <c r="AA104" i="8"/>
  <c r="E81" i="3"/>
  <c r="P30" i="8"/>
  <c r="F54" i="3"/>
  <c r="AR104" i="3"/>
  <c r="AT3" i="3"/>
  <c r="AT104" i="3" s="1"/>
  <c r="D142" i="3"/>
  <c r="D243" i="3" s="1"/>
  <c r="B243" i="3"/>
  <c r="B137" i="3"/>
  <c r="D36" i="3"/>
  <c r="D137" i="3" s="1"/>
  <c r="H47" i="2" l="1"/>
  <c r="F81" i="3"/>
  <c r="G54" i="3"/>
  <c r="G81" i="3" s="1"/>
  <c r="B24" i="3" l="1"/>
  <c r="BJ40" i="3" s="1"/>
  <c r="BB9" i="6"/>
  <c r="BB11" i="6" s="1"/>
  <c r="E17" i="4" s="1"/>
  <c r="BC9" i="6"/>
  <c r="BC11" i="6" s="1"/>
  <c r="BD9" i="6"/>
  <c r="BD11" i="6" s="1"/>
  <c r="L17" i="4" s="1"/>
  <c r="AW88" i="3"/>
  <c r="AX32" i="3"/>
  <c r="AX64" i="3"/>
  <c r="AW5" i="3"/>
  <c r="AW37" i="3"/>
  <c r="AW69" i="3"/>
  <c r="AX61" i="3"/>
  <c r="AW26" i="3"/>
  <c r="AW90" i="3"/>
  <c r="AX82" i="3"/>
  <c r="AW7" i="3"/>
  <c r="AX67" i="3"/>
  <c r="AW41" i="3"/>
  <c r="AX86" i="3"/>
  <c r="AW75" i="3"/>
  <c r="AX72" i="3"/>
  <c r="AX26" i="3"/>
  <c r="AW64" i="3"/>
  <c r="AW94" i="3"/>
  <c r="AW79" i="3"/>
  <c r="AX8" i="3"/>
  <c r="AX37" i="3"/>
  <c r="AX90" i="3"/>
  <c r="AX12" i="3"/>
  <c r="AX44" i="3"/>
  <c r="AX76" i="3"/>
  <c r="AW17" i="3"/>
  <c r="AW49" i="3"/>
  <c r="AW81" i="3"/>
  <c r="AX9" i="3"/>
  <c r="AX41" i="3"/>
  <c r="AX73" i="3"/>
  <c r="AW6" i="3"/>
  <c r="AW38" i="3"/>
  <c r="AW70" i="3"/>
  <c r="AW102" i="3"/>
  <c r="AX30" i="3"/>
  <c r="AX62" i="3"/>
  <c r="AX94" i="3"/>
  <c r="AX47" i="3"/>
  <c r="AW4" i="3"/>
  <c r="AW72" i="3"/>
  <c r="AW19" i="3"/>
  <c r="AW51" i="3"/>
  <c r="AW83" i="3"/>
  <c r="AX27" i="3"/>
  <c r="AX91" i="3"/>
  <c r="AW52" i="3"/>
  <c r="AX48" i="3"/>
  <c r="AW21" i="3"/>
  <c r="AW85" i="3"/>
  <c r="AX45" i="3"/>
  <c r="AW10" i="3"/>
  <c r="AW74" i="3"/>
  <c r="AX34" i="3"/>
  <c r="AX98" i="3"/>
  <c r="AW16" i="3"/>
  <c r="AW23" i="3"/>
  <c r="AW87" i="3"/>
  <c r="AX99" i="3"/>
  <c r="AW9" i="3"/>
  <c r="AX33" i="3"/>
  <c r="AW30" i="3"/>
  <c r="AX95" i="3"/>
  <c r="AX75" i="3"/>
  <c r="AW13" i="3"/>
  <c r="AW66" i="3"/>
  <c r="AW15" i="3"/>
  <c r="AX16" i="3"/>
  <c r="AX80" i="3"/>
  <c r="AW53" i="3"/>
  <c r="AX13" i="3"/>
  <c r="AX77" i="3"/>
  <c r="AW42" i="3"/>
  <c r="AW84" i="3"/>
  <c r="AX66" i="3"/>
  <c r="AX55" i="3"/>
  <c r="AW80" i="3"/>
  <c r="AW55" i="3"/>
  <c r="AX35" i="3"/>
  <c r="AW60" i="3"/>
  <c r="AW73" i="3"/>
  <c r="AX22" i="3"/>
  <c r="AW11" i="3"/>
  <c r="AX100" i="3"/>
  <c r="AX5" i="3"/>
  <c r="AW34" i="3"/>
  <c r="AX103" i="3"/>
  <c r="AW44" i="3"/>
  <c r="AX20" i="3"/>
  <c r="AX52" i="3"/>
  <c r="AX84" i="3"/>
  <c r="AW25" i="3"/>
  <c r="AW57" i="3"/>
  <c r="AW89" i="3"/>
  <c r="AX17" i="3"/>
  <c r="AX49" i="3"/>
  <c r="AX81" i="3"/>
  <c r="AW14" i="3"/>
  <c r="AW46" i="3"/>
  <c r="AW78" i="3"/>
  <c r="AX6" i="3"/>
  <c r="AX38" i="3"/>
  <c r="AX70" i="3"/>
  <c r="AX102" i="3"/>
  <c r="AX63" i="3"/>
  <c r="AW24" i="3"/>
  <c r="AW96" i="3"/>
  <c r="AW27" i="3"/>
  <c r="AW59" i="3"/>
  <c r="AW91" i="3"/>
  <c r="AX43" i="3"/>
  <c r="AW8" i="3"/>
  <c r="AW68" i="3"/>
  <c r="AX46" i="3"/>
  <c r="AX79" i="3"/>
  <c r="AW35" i="3"/>
  <c r="AX59" i="3"/>
  <c r="AX29" i="3"/>
  <c r="AW58" i="3"/>
  <c r="AX23" i="3"/>
  <c r="AW39" i="3"/>
  <c r="AW100" i="3"/>
  <c r="AX36" i="3"/>
  <c r="AX65" i="3"/>
  <c r="AX54" i="3"/>
  <c r="AW43" i="3"/>
  <c r="AX40" i="3"/>
  <c r="AX101" i="3"/>
  <c r="AX39" i="3"/>
  <c r="AX83" i="3"/>
  <c r="AX24" i="3"/>
  <c r="AX56" i="3"/>
  <c r="AX88" i="3"/>
  <c r="AW29" i="3"/>
  <c r="AW61" i="3"/>
  <c r="AW93" i="3"/>
  <c r="AX21" i="3"/>
  <c r="AX53" i="3"/>
  <c r="AX85" i="3"/>
  <c r="AW18" i="3"/>
  <c r="AW50" i="3"/>
  <c r="AW82" i="3"/>
  <c r="AX10" i="3"/>
  <c r="AX42" i="3"/>
  <c r="AX74" i="3"/>
  <c r="AX11" i="3"/>
  <c r="AX71" i="3"/>
  <c r="AW32" i="3"/>
  <c r="AX3" i="3"/>
  <c r="AW31" i="3"/>
  <c r="AW63" i="3"/>
  <c r="AW95" i="3"/>
  <c r="AX51" i="3"/>
  <c r="AW12" i="3"/>
  <c r="AW76" i="3"/>
  <c r="AX14" i="3"/>
  <c r="AW40" i="3"/>
  <c r="AW67" i="3"/>
  <c r="AW20" i="3"/>
  <c r="AW101" i="3"/>
  <c r="AX18" i="3"/>
  <c r="AX87" i="3"/>
  <c r="AW71" i="3"/>
  <c r="AW28" i="3"/>
  <c r="AX68" i="3"/>
  <c r="AW3" i="3"/>
  <c r="AW62" i="3"/>
  <c r="AW56" i="3"/>
  <c r="AW36" i="3"/>
  <c r="AW77" i="3"/>
  <c r="AX69" i="3"/>
  <c r="AX58" i="3"/>
  <c r="AX19" i="3"/>
  <c r="AX28" i="3"/>
  <c r="AX60" i="3"/>
  <c r="AX92" i="3"/>
  <c r="AW33" i="3"/>
  <c r="AW65" i="3"/>
  <c r="AW97" i="3"/>
  <c r="AX25" i="3"/>
  <c r="AX57" i="3"/>
  <c r="AX89" i="3"/>
  <c r="AW22" i="3"/>
  <c r="AW54" i="3"/>
  <c r="AW86" i="3"/>
  <c r="AX78" i="3"/>
  <c r="AX15" i="3"/>
  <c r="AX96" i="3"/>
  <c r="AW99" i="3"/>
  <c r="AW92" i="3"/>
  <c r="AX93" i="3"/>
  <c r="AX50" i="3"/>
  <c r="AW48" i="3"/>
  <c r="AW103" i="3"/>
  <c r="AX4" i="3"/>
  <c r="AX97" i="3"/>
  <c r="AX31" i="3"/>
  <c r="AX7" i="3"/>
  <c r="AW45" i="3"/>
  <c r="AW98" i="3"/>
  <c r="AW47" i="3"/>
  <c r="AU7" i="3"/>
  <c r="AU11" i="3"/>
  <c r="AU47" i="3"/>
  <c r="AU63" i="3"/>
  <c r="AU67" i="3"/>
  <c r="AU71" i="3"/>
  <c r="AU75" i="3"/>
  <c r="AV3" i="3"/>
  <c r="AV15" i="3"/>
  <c r="AV19" i="3"/>
  <c r="AV23" i="3"/>
  <c r="AV27" i="3"/>
  <c r="AV31" i="3"/>
  <c r="AV67" i="3"/>
  <c r="AV79" i="3"/>
  <c r="AV83" i="3"/>
  <c r="AV87" i="3"/>
  <c r="AV91" i="3"/>
  <c r="AV95" i="3"/>
  <c r="AU56" i="3"/>
  <c r="AU68" i="3"/>
  <c r="AU72" i="3"/>
  <c r="AU76" i="3"/>
  <c r="AU80" i="3"/>
  <c r="AU84" i="3"/>
  <c r="AU24" i="3"/>
  <c r="AV4" i="3"/>
  <c r="AV8" i="3"/>
  <c r="AV12" i="3"/>
  <c r="AV16" i="3"/>
  <c r="AV20" i="3"/>
  <c r="AV24" i="3"/>
  <c r="AV60" i="3"/>
  <c r="AV68" i="3"/>
  <c r="AV72" i="3"/>
  <c r="AV76" i="3"/>
  <c r="AV80" i="3"/>
  <c r="AV84" i="3"/>
  <c r="AV88" i="3"/>
  <c r="AV85" i="3"/>
  <c r="AV101" i="3"/>
  <c r="AV66" i="3"/>
  <c r="AV82" i="3"/>
  <c r="AV94" i="3"/>
  <c r="AU5" i="3"/>
  <c r="AU9" i="3"/>
  <c r="AU17" i="3"/>
  <c r="AU45" i="3"/>
  <c r="AU53" i="3"/>
  <c r="AU57" i="3"/>
  <c r="AU61" i="3"/>
  <c r="AU65" i="3"/>
  <c r="AU69" i="3"/>
  <c r="AU73" i="3"/>
  <c r="AU81" i="3"/>
  <c r="AV21" i="3"/>
  <c r="AV25" i="3"/>
  <c r="AV29" i="3"/>
  <c r="AV33" i="3"/>
  <c r="AV37" i="3"/>
  <c r="AV41" i="3"/>
  <c r="AV45" i="3"/>
  <c r="AV49" i="3"/>
  <c r="AV57" i="3"/>
  <c r="AV70" i="3"/>
  <c r="AV86" i="3"/>
  <c r="AV102" i="3"/>
  <c r="AU6" i="3"/>
  <c r="AU10" i="3"/>
  <c r="AU14" i="3"/>
  <c r="AU18" i="3"/>
  <c r="AU22" i="3"/>
  <c r="AU30" i="3"/>
  <c r="AU58" i="3"/>
  <c r="AU62" i="3"/>
  <c r="AU66" i="3"/>
  <c r="AU70" i="3"/>
  <c r="AU74" i="3"/>
  <c r="AU78" i="3"/>
  <c r="AU82" i="3"/>
  <c r="AU86" i="3"/>
  <c r="AU94" i="3"/>
  <c r="AV22" i="3"/>
  <c r="AV26" i="3"/>
  <c r="AV30" i="3"/>
  <c r="AV34" i="3"/>
  <c r="AV38" i="3"/>
  <c r="AV42" i="3"/>
  <c r="AV46" i="3"/>
  <c r="AV50" i="3"/>
  <c r="AV58" i="3"/>
  <c r="I11" i="4" l="1"/>
  <c r="I17" i="4"/>
  <c r="AY76" i="3"/>
  <c r="BC44" i="3"/>
  <c r="AY41" i="3"/>
  <c r="AY102" i="3"/>
  <c r="AY69" i="3"/>
  <c r="CE45" i="3"/>
  <c r="CE24" i="3"/>
  <c r="BC45" i="3"/>
  <c r="CE34" i="3"/>
  <c r="BJ42" i="3"/>
  <c r="AY55" i="3"/>
  <c r="CE40" i="3"/>
  <c r="AY70" i="3"/>
  <c r="BC40" i="3"/>
  <c r="BX45" i="3"/>
  <c r="AY74" i="3"/>
  <c r="BX38" i="3"/>
  <c r="BQ33" i="3"/>
  <c r="BQ43" i="3"/>
  <c r="AY91" i="3"/>
  <c r="AY63" i="3"/>
  <c r="BJ47" i="3"/>
  <c r="BQ35" i="3"/>
  <c r="AY66" i="3"/>
  <c r="BJ37" i="3"/>
  <c r="CL44" i="3"/>
  <c r="BQ40" i="3"/>
  <c r="BX22" i="3"/>
  <c r="AY62" i="3"/>
  <c r="BQ39" i="3"/>
  <c r="CE42" i="3"/>
  <c r="BX42" i="3"/>
  <c r="BX36" i="3"/>
  <c r="BJ26" i="3"/>
  <c r="AY51" i="3"/>
  <c r="BJ35" i="3"/>
  <c r="AU59" i="3"/>
  <c r="AU64" i="3"/>
  <c r="AV75" i="3"/>
  <c r="AV11" i="3"/>
  <c r="AU55" i="3"/>
  <c r="AU49" i="3"/>
  <c r="AV93" i="3"/>
  <c r="AV64" i="3"/>
  <c r="AU28" i="3"/>
  <c r="AU60" i="3"/>
  <c r="AV71" i="3"/>
  <c r="AV7" i="3"/>
  <c r="AU51" i="3"/>
  <c r="AV18" i="3"/>
  <c r="AV97" i="3"/>
  <c r="AV17" i="3"/>
  <c r="AU41" i="3"/>
  <c r="AV77" i="3"/>
  <c r="AV56" i="3"/>
  <c r="AU20" i="3"/>
  <c r="AU52" i="3"/>
  <c r="AV63" i="3"/>
  <c r="AU96" i="3"/>
  <c r="AU43" i="3"/>
  <c r="AY6" i="3"/>
  <c r="CL24" i="3"/>
  <c r="AV98" i="3"/>
  <c r="AV14" i="3"/>
  <c r="AU50" i="3"/>
  <c r="AV89" i="3"/>
  <c r="AV13" i="3"/>
  <c r="AU37" i="3"/>
  <c r="AV65" i="3"/>
  <c r="AV52" i="3"/>
  <c r="AU16" i="3"/>
  <c r="AU48" i="3"/>
  <c r="AV59" i="3"/>
  <c r="AU103" i="3"/>
  <c r="AU39" i="3"/>
  <c r="AU54" i="3"/>
  <c r="BJ46" i="3"/>
  <c r="AY21" i="3"/>
  <c r="AV90" i="3"/>
  <c r="AV10" i="3"/>
  <c r="AU46" i="3"/>
  <c r="AV81" i="3"/>
  <c r="AV9" i="3"/>
  <c r="AU33" i="3"/>
  <c r="AU101" i="3"/>
  <c r="AV48" i="3"/>
  <c r="AU12" i="3"/>
  <c r="AU44" i="3"/>
  <c r="AV55" i="3"/>
  <c r="AU99" i="3"/>
  <c r="AU35" i="3"/>
  <c r="AY97" i="3"/>
  <c r="AY18" i="3"/>
  <c r="BC27" i="3"/>
  <c r="CL31" i="3"/>
  <c r="CE41" i="3"/>
  <c r="AV78" i="3"/>
  <c r="AV6" i="3"/>
  <c r="AU42" i="3"/>
  <c r="AV73" i="3"/>
  <c r="AV5" i="3"/>
  <c r="AU29" i="3"/>
  <c r="AU97" i="3"/>
  <c r="AV44" i="3"/>
  <c r="AU8" i="3"/>
  <c r="AU40" i="3"/>
  <c r="AV51" i="3"/>
  <c r="AU95" i="3"/>
  <c r="AU31" i="3"/>
  <c r="AY61" i="3"/>
  <c r="AY53" i="3"/>
  <c r="BQ26" i="3"/>
  <c r="CE31" i="3"/>
  <c r="BC23" i="3"/>
  <c r="BX39" i="3"/>
  <c r="AV74" i="3"/>
  <c r="AU102" i="3"/>
  <c r="AU38" i="3"/>
  <c r="AV69" i="3"/>
  <c r="AU89" i="3"/>
  <c r="AU25" i="3"/>
  <c r="AU93" i="3"/>
  <c r="AV40" i="3"/>
  <c r="AU4" i="3"/>
  <c r="AU36" i="3"/>
  <c r="AV47" i="3"/>
  <c r="AU91" i="3"/>
  <c r="AU27" i="3"/>
  <c r="AU3" i="3"/>
  <c r="BX40" i="3"/>
  <c r="BQ29" i="3"/>
  <c r="CE35" i="3"/>
  <c r="AY85" i="3"/>
  <c r="BQ37" i="3"/>
  <c r="AV62" i="3"/>
  <c r="AU98" i="3"/>
  <c r="AU34" i="3"/>
  <c r="AV61" i="3"/>
  <c r="AU85" i="3"/>
  <c r="AU21" i="3"/>
  <c r="AV100" i="3"/>
  <c r="AV36" i="3"/>
  <c r="AU100" i="3"/>
  <c r="AU32" i="3"/>
  <c r="AV43" i="3"/>
  <c r="AU87" i="3"/>
  <c r="AU23" i="3"/>
  <c r="AV96" i="3"/>
  <c r="AU92" i="3"/>
  <c r="AV39" i="3"/>
  <c r="AU19" i="3"/>
  <c r="AV32" i="3"/>
  <c r="AV103" i="3"/>
  <c r="AU83" i="3"/>
  <c r="BC34" i="3"/>
  <c r="CL37" i="3"/>
  <c r="AY67" i="3"/>
  <c r="AY59" i="3"/>
  <c r="AV54" i="3"/>
  <c r="AU90" i="3"/>
  <c r="AU26" i="3"/>
  <c r="AV53" i="3"/>
  <c r="AU77" i="3"/>
  <c r="AU13" i="3"/>
  <c r="AV92" i="3"/>
  <c r="AV28" i="3"/>
  <c r="AU88" i="3"/>
  <c r="AV99" i="3"/>
  <c r="AV35" i="3"/>
  <c r="AU79" i="3"/>
  <c r="AU15" i="3"/>
  <c r="AY40" i="3"/>
  <c r="CL33" i="3"/>
  <c r="AY35" i="3"/>
  <c r="CE27" i="3"/>
  <c r="BJ43" i="3"/>
  <c r="CL38" i="3"/>
  <c r="BC26" i="3"/>
  <c r="BX37" i="3"/>
  <c r="BQ45" i="3"/>
  <c r="BQ28" i="3"/>
  <c r="BX41" i="3"/>
  <c r="AY80" i="3"/>
  <c r="BC41" i="3"/>
  <c r="AY42" i="3"/>
  <c r="BQ36" i="3"/>
  <c r="BX29" i="3"/>
  <c r="AY25" i="3"/>
  <c r="BJ38" i="3"/>
  <c r="BX44" i="3"/>
  <c r="BX24" i="3"/>
  <c r="CL47" i="3"/>
  <c r="BC39" i="3"/>
  <c r="AY87" i="3"/>
  <c r="AY38" i="3"/>
  <c r="CE37" i="3"/>
  <c r="AY34" i="3"/>
  <c r="CL21" i="3"/>
  <c r="CE22" i="3"/>
  <c r="CE36" i="3"/>
  <c r="BJ32" i="3"/>
  <c r="AY78" i="3"/>
  <c r="AY37" i="3"/>
  <c r="BC43" i="3"/>
  <c r="BQ27" i="3"/>
  <c r="CE39" i="3"/>
  <c r="BX47" i="3"/>
  <c r="CE29" i="3"/>
  <c r="CE43" i="3"/>
  <c r="AY95" i="3"/>
  <c r="CL35" i="3"/>
  <c r="BJ34" i="3"/>
  <c r="AY30" i="3"/>
  <c r="AY43" i="3"/>
  <c r="AY84" i="3"/>
  <c r="AY92" i="3"/>
  <c r="AY103" i="3"/>
  <c r="BX43" i="3"/>
  <c r="CE26" i="3"/>
  <c r="BC29" i="3"/>
  <c r="BC28" i="3"/>
  <c r="BJ41" i="3"/>
  <c r="AY50" i="3"/>
  <c r="BQ30" i="3"/>
  <c r="BC46" i="3"/>
  <c r="AY86" i="3"/>
  <c r="BX34" i="3"/>
  <c r="BX31" i="3"/>
  <c r="AY26" i="3"/>
  <c r="CE38" i="3"/>
  <c r="CE47" i="3"/>
  <c r="BC37" i="3"/>
  <c r="AY99" i="3"/>
  <c r="AY36" i="3"/>
  <c r="AY49" i="3"/>
  <c r="AY46" i="3"/>
  <c r="CE28" i="3"/>
  <c r="CL41" i="3"/>
  <c r="AY83" i="3"/>
  <c r="BC31" i="3"/>
  <c r="CE46" i="3"/>
  <c r="AY94" i="3"/>
  <c r="BJ33" i="3"/>
  <c r="CL28" i="3"/>
  <c r="AY8" i="3"/>
  <c r="AY31" i="3"/>
  <c r="AY75" i="3"/>
  <c r="CL30" i="3"/>
  <c r="BC30" i="3"/>
  <c r="AY44" i="3"/>
  <c r="AY82" i="3"/>
  <c r="BQ32" i="3"/>
  <c r="AY56" i="3"/>
  <c r="AY88" i="3"/>
  <c r="BX30" i="3"/>
  <c r="BX23" i="3"/>
  <c r="BQ41" i="3"/>
  <c r="BC47" i="3"/>
  <c r="AY45" i="3"/>
  <c r="BJ22" i="3"/>
  <c r="CE30" i="3"/>
  <c r="BQ46" i="3"/>
  <c r="AY90" i="3"/>
  <c r="BC33" i="3"/>
  <c r="AY60" i="3"/>
  <c r="AY89" i="3"/>
  <c r="BJ29" i="3"/>
  <c r="BQ22" i="3"/>
  <c r="BX33" i="3"/>
  <c r="BJ45" i="3"/>
  <c r="CL39" i="3"/>
  <c r="AY19" i="3"/>
  <c r="BQ31" i="3"/>
  <c r="AY47" i="3"/>
  <c r="AY98" i="3"/>
  <c r="CE33" i="3"/>
  <c r="AY64" i="3"/>
  <c r="AY48" i="3"/>
  <c r="CL27" i="3"/>
  <c r="CE21" i="3"/>
  <c r="BJ28" i="3"/>
  <c r="AY57" i="3"/>
  <c r="BX35" i="3"/>
  <c r="AY33" i="3"/>
  <c r="BC32" i="3"/>
  <c r="AY54" i="3"/>
  <c r="AY101" i="3"/>
  <c r="BQ34" i="3"/>
  <c r="AY68" i="3"/>
  <c r="CL45" i="3"/>
  <c r="BX26" i="3"/>
  <c r="AY10" i="3"/>
  <c r="BJ23" i="3"/>
  <c r="CL46" i="3"/>
  <c r="BC22" i="3"/>
  <c r="AY12" i="3"/>
  <c r="CE32" i="3"/>
  <c r="AY58" i="3"/>
  <c r="AY96" i="3"/>
  <c r="BC35" i="3"/>
  <c r="AY72" i="3"/>
  <c r="AY77" i="3"/>
  <c r="BQ24" i="3"/>
  <c r="CL42" i="3"/>
  <c r="BX21" i="3"/>
  <c r="CL43" i="3"/>
  <c r="CE44" i="3"/>
  <c r="AY4" i="3"/>
  <c r="CL26" i="3"/>
  <c r="BX32" i="3"/>
  <c r="CL32" i="3"/>
  <c r="BC36" i="3"/>
  <c r="AY71" i="3"/>
  <c r="B26" i="3"/>
  <c r="BW103" i="3" s="1"/>
  <c r="BX25" i="3"/>
  <c r="BQ38" i="3"/>
  <c r="BQ42" i="3"/>
  <c r="BJ31" i="3"/>
  <c r="BJ30" i="3"/>
  <c r="BJ25" i="3"/>
  <c r="CL34" i="3"/>
  <c r="AY24" i="3"/>
  <c r="BJ36" i="3"/>
  <c r="AY27" i="3"/>
  <c r="CL29" i="3"/>
  <c r="BX27" i="3"/>
  <c r="AY22" i="3"/>
  <c r="CL23" i="3"/>
  <c r="AY20" i="3"/>
  <c r="AY29" i="3"/>
  <c r="AY81" i="3"/>
  <c r="BX28" i="3"/>
  <c r="BJ24" i="3"/>
  <c r="AY11" i="3"/>
  <c r="AY14" i="3"/>
  <c r="CE23" i="3"/>
  <c r="BC21" i="3"/>
  <c r="AY13" i="3"/>
  <c r="BQ25" i="3"/>
  <c r="BQ47" i="3"/>
  <c r="BJ27" i="3"/>
  <c r="CL22" i="3"/>
  <c r="AY7" i="3"/>
  <c r="CL40" i="3"/>
  <c r="AY100" i="3"/>
  <c r="BQ44" i="3"/>
  <c r="AY5" i="3"/>
  <c r="AY3" i="3"/>
  <c r="AY73" i="3"/>
  <c r="BC24" i="3"/>
  <c r="BQ21" i="3"/>
  <c r="AY79" i="3"/>
  <c r="CE25" i="3"/>
  <c r="AY52" i="3"/>
  <c r="AY93" i="3"/>
  <c r="AY65" i="3"/>
  <c r="BQ23" i="3"/>
  <c r="AY16" i="3"/>
  <c r="BX46" i="3"/>
  <c r="AY9" i="3"/>
  <c r="AY32" i="3"/>
  <c r="BJ44" i="3"/>
  <c r="BJ39" i="3"/>
  <c r="AY28" i="3"/>
  <c r="BC42" i="3"/>
  <c r="BJ21" i="3"/>
  <c r="CL25" i="3"/>
  <c r="AY39" i="3"/>
  <c r="BC38" i="3"/>
  <c r="CL36" i="3"/>
  <c r="AY15" i="3"/>
  <c r="BC25" i="3"/>
  <c r="AY17" i="3"/>
  <c r="AY23" i="3"/>
  <c r="I18" i="4"/>
  <c r="L13" i="4"/>
  <c r="L18" i="4"/>
  <c r="E12" i="4"/>
  <c r="E18" i="4"/>
  <c r="I12" i="4"/>
  <c r="I13" i="4"/>
  <c r="L12" i="4"/>
  <c r="E13" i="4"/>
  <c r="L15" i="4"/>
  <c r="L16" i="4"/>
  <c r="I15" i="4"/>
  <c r="I16" i="4"/>
  <c r="E15" i="4"/>
  <c r="E16" i="4"/>
  <c r="G49" i="4"/>
  <c r="C26" i="2" s="1"/>
  <c r="M49" i="4"/>
  <c r="E26" i="2" s="1"/>
  <c r="J49" i="4"/>
  <c r="D26" i="2" s="1"/>
  <c r="L14" i="4"/>
  <c r="I14" i="4"/>
  <c r="E14" i="4"/>
  <c r="L19" i="4"/>
  <c r="I19" i="4"/>
  <c r="E19" i="4"/>
  <c r="E11" i="4"/>
  <c r="L11" i="4"/>
  <c r="I9" i="4"/>
  <c r="E9" i="4"/>
  <c r="E10" i="4"/>
  <c r="L10" i="4"/>
  <c r="I10" i="4"/>
  <c r="L9" i="4"/>
  <c r="BZ103" i="3" l="1"/>
  <c r="BH65" i="3"/>
  <c r="BI102" i="3"/>
  <c r="BL102" i="3" s="1"/>
  <c r="CC98" i="3"/>
  <c r="CF98" i="3" s="1"/>
  <c r="BA98" i="3"/>
  <c r="BD98" i="3" s="1"/>
  <c r="BB34" i="3"/>
  <c r="BE34" i="3" s="1"/>
  <c r="CD28" i="3"/>
  <c r="CG28" i="3" s="1"/>
  <c r="BB29" i="3"/>
  <c r="BE29" i="3" s="1"/>
  <c r="BP34" i="3"/>
  <c r="BS34" i="3" s="1"/>
  <c r="BB94" i="3"/>
  <c r="BE94" i="3" s="1"/>
  <c r="BW8" i="3"/>
  <c r="BZ8" i="3" s="1"/>
  <c r="CK8" i="3"/>
  <c r="CN8" i="3" s="1"/>
  <c r="CD94" i="3"/>
  <c r="CG94" i="3" s="1"/>
  <c r="BA7" i="3"/>
  <c r="BD7" i="3" s="1"/>
  <c r="BH12" i="3"/>
  <c r="BK12" i="3" s="1"/>
  <c r="BV17" i="3"/>
  <c r="BY17" i="3" s="1"/>
  <c r="CD3" i="3"/>
  <c r="CG3" i="3" s="1"/>
  <c r="BP39" i="3"/>
  <c r="BS39" i="3" s="1"/>
  <c r="CK22" i="3"/>
  <c r="CN22" i="3" s="1"/>
  <c r="BW33" i="3"/>
  <c r="BZ33" i="3" s="1"/>
  <c r="CD12" i="3"/>
  <c r="CG12" i="3" s="1"/>
  <c r="BO20" i="3"/>
  <c r="BR20" i="3" s="1"/>
  <c r="BH44" i="3"/>
  <c r="BK44" i="3" s="1"/>
  <c r="CD39" i="3"/>
  <c r="BI23" i="3"/>
  <c r="BL23" i="3" s="1"/>
  <c r="BO9" i="3"/>
  <c r="BR9" i="3" s="1"/>
  <c r="CK7" i="3"/>
  <c r="CN7" i="3" s="1"/>
  <c r="CJ38" i="3"/>
  <c r="CM38" i="3" s="1"/>
  <c r="BB13" i="3"/>
  <c r="BE13" i="3" s="1"/>
  <c r="CC20" i="3"/>
  <c r="CF20" i="3" s="1"/>
  <c r="BV14" i="3"/>
  <c r="BY14" i="3" s="1"/>
  <c r="BA15" i="3"/>
  <c r="BD15" i="3" s="1"/>
  <c r="CC101" i="3"/>
  <c r="CF101" i="3" s="1"/>
  <c r="BB18" i="3"/>
  <c r="BE18" i="3" s="1"/>
  <c r="CD25" i="3"/>
  <c r="CG25" i="3" s="1"/>
  <c r="CJ14" i="3"/>
  <c r="CM14" i="3" s="1"/>
  <c r="BA9" i="3"/>
  <c r="BD9" i="3" s="1"/>
  <c r="BI28" i="3"/>
  <c r="BO15" i="3"/>
  <c r="BA101" i="3"/>
  <c r="BD101" i="3" s="1"/>
  <c r="BP18" i="3"/>
  <c r="BS18" i="3" s="1"/>
  <c r="BA26" i="3"/>
  <c r="BD26" i="3" s="1"/>
  <c r="CJ22" i="3"/>
  <c r="CM22" i="3" s="1"/>
  <c r="BB4" i="3"/>
  <c r="BE4" i="3" s="1"/>
  <c r="CC44" i="3"/>
  <c r="CF44" i="3" s="1"/>
  <c r="BB10" i="3"/>
  <c r="BE10" i="3" s="1"/>
  <c r="BW7" i="3"/>
  <c r="BZ7" i="3" s="1"/>
  <c r="BP23" i="3"/>
  <c r="BS23" i="3" s="1"/>
  <c r="BH3" i="3"/>
  <c r="BK3" i="3" s="1"/>
  <c r="BV30" i="3"/>
  <c r="BY30" i="3" s="1"/>
  <c r="BA91" i="3"/>
  <c r="BD91" i="3" s="1"/>
  <c r="BP90" i="3"/>
  <c r="BS90" i="3" s="1"/>
  <c r="CD23" i="3"/>
  <c r="CG23" i="3" s="1"/>
  <c r="BV3" i="3"/>
  <c r="BY3" i="3" s="1"/>
  <c r="CK44" i="3"/>
  <c r="CN44" i="3" s="1"/>
  <c r="BA89" i="3"/>
  <c r="BD89" i="3" s="1"/>
  <c r="CD4" i="3"/>
  <c r="CG4" i="3" s="1"/>
  <c r="BA19" i="3"/>
  <c r="BD19" i="3" s="1"/>
  <c r="BO40" i="3"/>
  <c r="BR40" i="3" s="1"/>
  <c r="BO21" i="3"/>
  <c r="BR21" i="3" s="1"/>
  <c r="CC26" i="3"/>
  <c r="CF26" i="3" s="1"/>
  <c r="BH4" i="3"/>
  <c r="BK4" i="3" s="1"/>
  <c r="BB8" i="3"/>
  <c r="BE8" i="3" s="1"/>
  <c r="BH13" i="3"/>
  <c r="BK13" i="3" s="1"/>
  <c r="BV18" i="3"/>
  <c r="BY18" i="3" s="1"/>
  <c r="CK23" i="3"/>
  <c r="CN23" i="3" s="1"/>
  <c r="BI29" i="3"/>
  <c r="BL29" i="3" s="1"/>
  <c r="BW34" i="3"/>
  <c r="BZ34" i="3" s="1"/>
  <c r="CK39" i="3"/>
  <c r="CN39" i="3" s="1"/>
  <c r="BH10" i="3"/>
  <c r="BK10" i="3" s="1"/>
  <c r="CJ16" i="3"/>
  <c r="CM16" i="3" s="1"/>
  <c r="CJ23" i="3"/>
  <c r="CM23" i="3" s="1"/>
  <c r="BV33" i="3"/>
  <c r="BY33" i="3" s="1"/>
  <c r="CK48" i="3"/>
  <c r="CN48" i="3" s="1"/>
  <c r="BV71" i="3"/>
  <c r="BY71" i="3" s="1"/>
  <c r="BH31" i="3"/>
  <c r="BK31" i="3" s="1"/>
  <c r="BP4" i="3"/>
  <c r="BS4" i="3" s="1"/>
  <c r="BP10" i="3"/>
  <c r="BS10" i="3" s="1"/>
  <c r="CC7" i="3"/>
  <c r="CF7" i="3" s="1"/>
  <c r="BW39" i="3"/>
  <c r="BZ39" i="3" s="1"/>
  <c r="BV70" i="3"/>
  <c r="BY70" i="3" s="1"/>
  <c r="BO103" i="3"/>
  <c r="BR103" i="3" s="1"/>
  <c r="CD29" i="3"/>
  <c r="CG29" i="3" s="1"/>
  <c r="BW9" i="3"/>
  <c r="BZ9" i="3" s="1"/>
  <c r="BB103" i="3"/>
  <c r="BE103" i="3" s="1"/>
  <c r="BA99" i="3"/>
  <c r="BD99" i="3" s="1"/>
  <c r="BP88" i="3"/>
  <c r="BS88" i="3" s="1"/>
  <c r="CD102" i="3"/>
  <c r="CG102" i="3" s="1"/>
  <c r="BB92" i="3"/>
  <c r="BE92" i="3" s="1"/>
  <c r="BB5" i="3"/>
  <c r="BE5" i="3" s="1"/>
  <c r="BW3" i="3"/>
  <c r="BZ3" i="3" s="1"/>
  <c r="CJ8" i="3"/>
  <c r="CM8" i="3" s="1"/>
  <c r="BA14" i="3"/>
  <c r="BD14" i="3" s="1"/>
  <c r="BO19" i="3"/>
  <c r="BR19" i="3" s="1"/>
  <c r="CD24" i="3"/>
  <c r="CG24" i="3" s="1"/>
  <c r="BB30" i="3"/>
  <c r="BE30" i="3" s="1"/>
  <c r="BP35" i="3"/>
  <c r="BS35" i="3" s="1"/>
  <c r="CC40" i="3"/>
  <c r="CF40" i="3" s="1"/>
  <c r="BA11" i="3"/>
  <c r="BD11" i="3" s="1"/>
  <c r="BP16" i="3"/>
  <c r="BS16" i="3" s="1"/>
  <c r="CC21" i="3"/>
  <c r="CF21" i="3" s="1"/>
  <c r="BA27" i="3"/>
  <c r="BV4" i="3"/>
  <c r="BY4" i="3" s="1"/>
  <c r="BB3" i="3"/>
  <c r="BE3" i="3" s="1"/>
  <c r="BP8" i="3"/>
  <c r="BS8" i="3" s="1"/>
  <c r="BV13" i="3"/>
  <c r="BY13" i="3" s="1"/>
  <c r="CJ18" i="3"/>
  <c r="CM18" i="3" s="1"/>
  <c r="BI24" i="3"/>
  <c r="BL24" i="3" s="1"/>
  <c r="BW29" i="3"/>
  <c r="BZ29" i="3" s="1"/>
  <c r="CK34" i="3"/>
  <c r="CN34" i="3" s="1"/>
  <c r="BH40" i="3"/>
  <c r="BK40" i="3" s="1"/>
  <c r="BV10" i="3"/>
  <c r="BY10" i="3" s="1"/>
  <c r="BI17" i="3"/>
  <c r="BL17" i="3" s="1"/>
  <c r="BH24" i="3"/>
  <c r="BK24" i="3" s="1"/>
  <c r="CJ33" i="3"/>
  <c r="CM33" i="3" s="1"/>
  <c r="CJ49" i="3"/>
  <c r="CM49" i="3" s="1"/>
  <c r="CJ71" i="3"/>
  <c r="CM71" i="3" s="1"/>
  <c r="BI39" i="3"/>
  <c r="BL39" i="3" s="1"/>
  <c r="BP97" i="3"/>
  <c r="BS97" i="3" s="1"/>
  <c r="CK28" i="3"/>
  <c r="CN28" i="3" s="1"/>
  <c r="CD92" i="3"/>
  <c r="CG92" i="3" s="1"/>
  <c r="BP24" i="3"/>
  <c r="BS24" i="3" s="1"/>
  <c r="BO91" i="3"/>
  <c r="BR91" i="3" s="1"/>
  <c r="BH9" i="3"/>
  <c r="BK9" i="3" s="1"/>
  <c r="BA25" i="3"/>
  <c r="BD25" i="3" s="1"/>
  <c r="CD35" i="3"/>
  <c r="CG35" i="3" s="1"/>
  <c r="BB41" i="3"/>
  <c r="BE41" i="3" s="1"/>
  <c r="CD16" i="3"/>
  <c r="CG16" i="3" s="1"/>
  <c r="BA22" i="3"/>
  <c r="BD22" i="3" s="1"/>
  <c r="BO27" i="3"/>
  <c r="CJ4" i="3"/>
  <c r="CM4" i="3" s="1"/>
  <c r="BO3" i="3"/>
  <c r="BR3" i="3" s="1"/>
  <c r="CD8" i="3"/>
  <c r="CG8" i="3" s="1"/>
  <c r="CJ13" i="3"/>
  <c r="BI19" i="3"/>
  <c r="BL19" i="3" s="1"/>
  <c r="BW24" i="3"/>
  <c r="BZ24" i="3" s="1"/>
  <c r="CK29" i="3"/>
  <c r="CN29" i="3" s="1"/>
  <c r="BI35" i="3"/>
  <c r="BL35" i="3" s="1"/>
  <c r="BV40" i="3"/>
  <c r="BY40" i="3" s="1"/>
  <c r="CJ10" i="3"/>
  <c r="CM10" i="3" s="1"/>
  <c r="BW17" i="3"/>
  <c r="BZ17" i="3" s="1"/>
  <c r="BV24" i="3"/>
  <c r="BY24" i="3" s="1"/>
  <c r="BH34" i="3"/>
  <c r="BK34" i="3" s="1"/>
  <c r="BI50" i="3"/>
  <c r="BL50" i="3" s="1"/>
  <c r="BH74" i="3"/>
  <c r="BK74" i="3" s="1"/>
  <c r="BV12" i="3"/>
  <c r="BY12" i="3" s="1"/>
  <c r="BV44" i="3"/>
  <c r="BY44" i="3" s="1"/>
  <c r="CD103" i="3"/>
  <c r="CG103" i="3" s="1"/>
  <c r="CC9" i="3"/>
  <c r="CF9" i="3" s="1"/>
  <c r="BA21" i="3"/>
  <c r="BD21" i="3" s="1"/>
  <c r="BH18" i="3"/>
  <c r="BK18" i="3" s="1"/>
  <c r="BH46" i="3"/>
  <c r="BK46" i="3" s="1"/>
  <c r="BV8" i="3"/>
  <c r="BY8" i="3" s="1"/>
  <c r="CD10" i="3"/>
  <c r="CG10" i="3" s="1"/>
  <c r="BP98" i="3"/>
  <c r="BS98" i="3" s="1"/>
  <c r="CC87" i="3"/>
  <c r="CF87" i="3" s="1"/>
  <c r="BB102" i="3"/>
  <c r="BE102" i="3" s="1"/>
  <c r="BP5" i="3"/>
  <c r="BS5" i="3" s="1"/>
  <c r="CK3" i="3"/>
  <c r="CN3" i="3" s="1"/>
  <c r="BO14" i="3"/>
  <c r="BR14" i="3" s="1"/>
  <c r="CC19" i="3"/>
  <c r="CF19" i="3" s="1"/>
  <c r="BP30" i="3"/>
  <c r="BS30" i="3" s="1"/>
  <c r="BO11" i="3"/>
  <c r="BR11" i="3" s="1"/>
  <c r="CD101" i="3"/>
  <c r="CG101" i="3" s="1"/>
  <c r="CC97" i="3"/>
  <c r="CF97" i="3" s="1"/>
  <c r="BA87" i="3"/>
  <c r="BD87" i="3" s="1"/>
  <c r="BO101" i="3"/>
  <c r="BR101" i="3" s="1"/>
  <c r="CD90" i="3"/>
  <c r="CG90" i="3" s="1"/>
  <c r="CD5" i="3"/>
  <c r="CG5" i="3" s="1"/>
  <c r="BI4" i="3"/>
  <c r="BL4" i="3" s="1"/>
  <c r="BV9" i="3"/>
  <c r="BY9" i="3" s="1"/>
  <c r="CC14" i="3"/>
  <c r="CF14" i="3" s="1"/>
  <c r="BB20" i="3"/>
  <c r="BE20" i="3" s="1"/>
  <c r="BO25" i="3"/>
  <c r="BR25" i="3" s="1"/>
  <c r="CD30" i="3"/>
  <c r="CG30" i="3" s="1"/>
  <c r="BA36" i="3"/>
  <c r="BD36" i="3" s="1"/>
  <c r="BP41" i="3"/>
  <c r="BS41" i="3" s="1"/>
  <c r="CC11" i="3"/>
  <c r="CF11" i="3" s="1"/>
  <c r="BA17" i="3"/>
  <c r="BD17" i="3" s="1"/>
  <c r="BO22" i="3"/>
  <c r="BR22" i="3" s="1"/>
  <c r="CC27" i="3"/>
  <c r="CF27" i="3" s="1"/>
  <c r="BH5" i="3"/>
  <c r="BK5" i="3" s="1"/>
  <c r="CC3" i="3"/>
  <c r="BB9" i="3"/>
  <c r="BE9" i="3" s="1"/>
  <c r="BI14" i="3"/>
  <c r="BW19" i="3"/>
  <c r="BZ19" i="3" s="1"/>
  <c r="CK24" i="3"/>
  <c r="CN24" i="3" s="1"/>
  <c r="BI30" i="3"/>
  <c r="BL30" i="3" s="1"/>
  <c r="BW35" i="3"/>
  <c r="BZ35" i="3" s="1"/>
  <c r="CJ40" i="3"/>
  <c r="CM40" i="3" s="1"/>
  <c r="BI11" i="3"/>
  <c r="BL11" i="3" s="1"/>
  <c r="CK17" i="3"/>
  <c r="CN17" i="3" s="1"/>
  <c r="CJ24" i="3"/>
  <c r="CM24" i="3" s="1"/>
  <c r="BV34" i="3"/>
  <c r="BY34" i="3" s="1"/>
  <c r="BW50" i="3"/>
  <c r="BZ50" i="3" s="1"/>
  <c r="BH76" i="3"/>
  <c r="BK76" i="3" s="1"/>
  <c r="CD18" i="3"/>
  <c r="CG18" i="3" s="1"/>
  <c r="CC99" i="3"/>
  <c r="CF99" i="3" s="1"/>
  <c r="BI3" i="3"/>
  <c r="BL3" i="3" s="1"/>
  <c r="BB35" i="3"/>
  <c r="BE35" i="3" s="1"/>
  <c r="BB101" i="3"/>
  <c r="BE101" i="3" s="1"/>
  <c r="CD100" i="3"/>
  <c r="CG100" i="3" s="1"/>
  <c r="BB6" i="3"/>
  <c r="BE6" i="3" s="1"/>
  <c r="CJ9" i="3"/>
  <c r="CM9" i="3" s="1"/>
  <c r="BP20" i="3"/>
  <c r="BS20" i="3" s="1"/>
  <c r="CC25" i="3"/>
  <c r="CF25" i="3" s="1"/>
  <c r="BB31" i="3"/>
  <c r="BE31" i="3" s="1"/>
  <c r="CD41" i="3"/>
  <c r="CG41" i="3" s="1"/>
  <c r="BA12" i="3"/>
  <c r="BD12" i="3" s="1"/>
  <c r="BO17" i="3"/>
  <c r="BR17" i="3" s="1"/>
  <c r="CC22" i="3"/>
  <c r="CF22" i="3" s="1"/>
  <c r="BA28" i="3"/>
  <c r="BD28" i="3" s="1"/>
  <c r="BV5" i="3"/>
  <c r="BY5" i="3" s="1"/>
  <c r="BA4" i="3"/>
  <c r="BD4" i="3" s="1"/>
  <c r="BP9" i="3"/>
  <c r="BS9" i="3" s="1"/>
  <c r="BW14" i="3"/>
  <c r="BZ14" i="3" s="1"/>
  <c r="CK19" i="3"/>
  <c r="CN19" i="3" s="1"/>
  <c r="BH25" i="3"/>
  <c r="BK25" i="3" s="1"/>
  <c r="BW30" i="3"/>
  <c r="BZ30" i="3" s="1"/>
  <c r="CK35" i="3"/>
  <c r="CN35" i="3" s="1"/>
  <c r="BI41" i="3"/>
  <c r="BL41" i="3" s="1"/>
  <c r="BW11" i="3"/>
  <c r="BZ11" i="3" s="1"/>
  <c r="BI18" i="3"/>
  <c r="BL18" i="3" s="1"/>
  <c r="BI25" i="3"/>
  <c r="BL25" i="3" s="1"/>
  <c r="BH35" i="3"/>
  <c r="BK35" i="3" s="1"/>
  <c r="BW52" i="3"/>
  <c r="BZ52" i="3" s="1"/>
  <c r="CD74" i="3"/>
  <c r="CG74" i="3" s="1"/>
  <c r="BO7" i="3"/>
  <c r="BR7" i="3" s="1"/>
  <c r="BW28" i="3"/>
  <c r="BZ28" i="3" s="1"/>
  <c r="CK45" i="3"/>
  <c r="CN45" i="3" s="1"/>
  <c r="CD34" i="3"/>
  <c r="CG34" i="3" s="1"/>
  <c r="CD13" i="3"/>
  <c r="BB16" i="3"/>
  <c r="BE16" i="3" s="1"/>
  <c r="BO102" i="3"/>
  <c r="BR102" i="3" s="1"/>
  <c r="BA97" i="3"/>
  <c r="BD97" i="3" s="1"/>
  <c r="BP86" i="3"/>
  <c r="BS86" i="3" s="1"/>
  <c r="BB90" i="3"/>
  <c r="BE90" i="3" s="1"/>
  <c r="BW4" i="3"/>
  <c r="BZ4" i="3" s="1"/>
  <c r="BB15" i="3"/>
  <c r="BE15" i="3" s="1"/>
  <c r="BO36" i="3"/>
  <c r="BR36" i="3" s="1"/>
  <c r="BO100" i="3"/>
  <c r="BR100" i="3" s="1"/>
  <c r="BP96" i="3"/>
  <c r="BS96" i="3" s="1"/>
  <c r="CC85" i="3"/>
  <c r="CF85" i="3" s="1"/>
  <c r="BB100" i="3"/>
  <c r="BE100" i="3" s="1"/>
  <c r="BO89" i="3"/>
  <c r="BR89" i="3" s="1"/>
  <c r="BP6" i="3"/>
  <c r="BS6" i="3" s="1"/>
  <c r="CK4" i="3"/>
  <c r="CN4" i="3" s="1"/>
  <c r="BA10" i="3"/>
  <c r="BD10" i="3" s="1"/>
  <c r="BP15" i="3"/>
  <c r="CD20" i="3"/>
  <c r="CG20" i="3" s="1"/>
  <c r="BB26" i="3"/>
  <c r="BE26" i="3" s="1"/>
  <c r="BP31" i="3"/>
  <c r="BS31" i="3" s="1"/>
  <c r="CC36" i="3"/>
  <c r="CF36" i="3" s="1"/>
  <c r="BA42" i="3"/>
  <c r="BD42" i="3" s="1"/>
  <c r="BO12" i="3"/>
  <c r="BR12" i="3" s="1"/>
  <c r="CC17" i="3"/>
  <c r="CF17" i="3" s="1"/>
  <c r="BA23" i="3"/>
  <c r="BD23" i="3" s="1"/>
  <c r="BO28" i="3"/>
  <c r="BR28" i="3" s="1"/>
  <c r="CJ5" i="3"/>
  <c r="CM5" i="3" s="1"/>
  <c r="BO4" i="3"/>
  <c r="BR4" i="3" s="1"/>
  <c r="CD9" i="3"/>
  <c r="CG9" i="3" s="1"/>
  <c r="CK14" i="3"/>
  <c r="CN14" i="3" s="1"/>
  <c r="BH20" i="3"/>
  <c r="BK20" i="3" s="1"/>
  <c r="BV25" i="3"/>
  <c r="BY25" i="3" s="1"/>
  <c r="CK30" i="3"/>
  <c r="CN30" i="3" s="1"/>
  <c r="BH36" i="3"/>
  <c r="BK36" i="3" s="1"/>
  <c r="BW41" i="3"/>
  <c r="BZ41" i="3" s="1"/>
  <c r="CK11" i="3"/>
  <c r="CN11" i="3" s="1"/>
  <c r="BW18" i="3"/>
  <c r="BZ18" i="3" s="1"/>
  <c r="BW25" i="3"/>
  <c r="BZ25" i="3" s="1"/>
  <c r="CJ35" i="3"/>
  <c r="CM35" i="3" s="1"/>
  <c r="BH54" i="3"/>
  <c r="BK54" i="3" s="1"/>
  <c r="CC45" i="3"/>
  <c r="CF45" i="3" s="1"/>
  <c r="BH23" i="3"/>
  <c r="BK23" i="3" s="1"/>
  <c r="BA40" i="3"/>
  <c r="BD40" i="3" s="1"/>
  <c r="BV23" i="3"/>
  <c r="BA18" i="3"/>
  <c r="BD18" i="3" s="1"/>
  <c r="BH27" i="3"/>
  <c r="BK27" i="3" s="1"/>
  <c r="BI9" i="3"/>
  <c r="BL9" i="3" s="1"/>
  <c r="BP26" i="3"/>
  <c r="BS26" i="3" s="1"/>
  <c r="BB99" i="3"/>
  <c r="BE99" i="3" s="1"/>
  <c r="BA95" i="3"/>
  <c r="BD95" i="3" s="1"/>
  <c r="CC102" i="3"/>
  <c r="CF102" i="3" s="1"/>
  <c r="CD98" i="3"/>
  <c r="CG98" i="3" s="1"/>
  <c r="CH98" i="3" s="1"/>
  <c r="BB88" i="3"/>
  <c r="BE88" i="3" s="1"/>
  <c r="BB7" i="3"/>
  <c r="BE7" i="3" s="1"/>
  <c r="BW5" i="3"/>
  <c r="BZ5" i="3" s="1"/>
  <c r="CC10" i="3"/>
  <c r="CF10" i="3" s="1"/>
  <c r="BA16" i="3"/>
  <c r="BD16" i="3" s="1"/>
  <c r="BP21" i="3"/>
  <c r="BS21" i="3" s="1"/>
  <c r="CD26" i="3"/>
  <c r="CG26" i="3" s="1"/>
  <c r="BB32" i="3"/>
  <c r="BE32" i="3" s="1"/>
  <c r="BP37" i="3"/>
  <c r="BS37" i="3" s="1"/>
  <c r="CC42" i="3"/>
  <c r="CF42" i="3" s="1"/>
  <c r="BA13" i="3"/>
  <c r="BD13" i="3" s="1"/>
  <c r="BO18" i="3"/>
  <c r="BR18" i="3" s="1"/>
  <c r="CC23" i="3"/>
  <c r="BA29" i="3"/>
  <c r="BD29" i="3" s="1"/>
  <c r="BV6" i="3"/>
  <c r="BY6" i="3" s="1"/>
  <c r="BA5" i="3"/>
  <c r="BD5" i="3" s="1"/>
  <c r="BI10" i="3"/>
  <c r="BL10" i="3" s="1"/>
  <c r="BV15" i="3"/>
  <c r="CJ20" i="3"/>
  <c r="CM20" i="3" s="1"/>
  <c r="BI26" i="3"/>
  <c r="BL26" i="3" s="1"/>
  <c r="BW31" i="3"/>
  <c r="BZ31" i="3" s="1"/>
  <c r="CJ36" i="3"/>
  <c r="CM36" i="3" s="1"/>
  <c r="BH42" i="3"/>
  <c r="BK42" i="3" s="1"/>
  <c r="BW12" i="3"/>
  <c r="BZ12" i="3" s="1"/>
  <c r="BH19" i="3"/>
  <c r="BK19" i="3" s="1"/>
  <c r="BV27" i="3"/>
  <c r="BY27" i="3" s="1"/>
  <c r="BW38" i="3"/>
  <c r="BZ38" i="3" s="1"/>
  <c r="BH56" i="3"/>
  <c r="BK56" i="3" s="1"/>
  <c r="BI98" i="3"/>
  <c r="BL98" i="3" s="1"/>
  <c r="BO93" i="3"/>
  <c r="BR93" i="3" s="1"/>
  <c r="CJ3" i="3"/>
  <c r="CM3" i="3" s="1"/>
  <c r="CJ44" i="3"/>
  <c r="CM44" i="3" s="1"/>
  <c r="BP103" i="3"/>
  <c r="BS103" i="3" s="1"/>
  <c r="BO10" i="3"/>
  <c r="BR10" i="3" s="1"/>
  <c r="BB37" i="3"/>
  <c r="BE37" i="3" s="1"/>
  <c r="BO23" i="3"/>
  <c r="BR23" i="3" s="1"/>
  <c r="CC4" i="3"/>
  <c r="CF4" i="3" s="1"/>
  <c r="CJ25" i="3"/>
  <c r="CM25" i="3" s="1"/>
  <c r="BV97" i="3"/>
  <c r="BY97" i="3" s="1"/>
  <c r="BO98" i="3"/>
  <c r="BR98" i="3" s="1"/>
  <c r="BP94" i="3"/>
  <c r="BS94" i="3" s="1"/>
  <c r="BA102" i="3"/>
  <c r="BD102" i="3" s="1"/>
  <c r="BB98" i="3"/>
  <c r="BE98" i="3" s="1"/>
  <c r="BO87" i="3"/>
  <c r="BR87" i="3" s="1"/>
  <c r="BT87" i="3" s="1"/>
  <c r="BP7" i="3"/>
  <c r="BS7" i="3" s="1"/>
  <c r="CK5" i="3"/>
  <c r="CN5" i="3" s="1"/>
  <c r="BB11" i="3"/>
  <c r="BE11" i="3" s="1"/>
  <c r="BO16" i="3"/>
  <c r="BR16" i="3" s="1"/>
  <c r="CD21" i="3"/>
  <c r="CG21" i="3" s="1"/>
  <c r="BB27" i="3"/>
  <c r="BE27" i="3" s="1"/>
  <c r="BP32" i="3"/>
  <c r="BS32" i="3" s="1"/>
  <c r="CD37" i="3"/>
  <c r="CG37" i="3" s="1"/>
  <c r="BB43" i="3"/>
  <c r="BE43" i="3" s="1"/>
  <c r="BO13" i="3"/>
  <c r="CC18" i="3"/>
  <c r="CF18" i="3" s="1"/>
  <c r="BA24" i="3"/>
  <c r="BO29" i="3"/>
  <c r="BR29" i="3" s="1"/>
  <c r="CJ6" i="3"/>
  <c r="CM6" i="3" s="1"/>
  <c r="BO5" i="3"/>
  <c r="BR5" i="3" s="1"/>
  <c r="BW10" i="3"/>
  <c r="BZ10" i="3" s="1"/>
  <c r="CJ15" i="3"/>
  <c r="BI21" i="3"/>
  <c r="BL21" i="3" s="1"/>
  <c r="BW26" i="3"/>
  <c r="BZ26" i="3" s="1"/>
  <c r="CK31" i="3"/>
  <c r="CN31" i="3" s="1"/>
  <c r="BI37" i="3"/>
  <c r="BL37" i="3" s="1"/>
  <c r="BV42" i="3"/>
  <c r="BY42" i="3" s="1"/>
  <c r="CK12" i="3"/>
  <c r="CN12" i="3" s="1"/>
  <c r="BV19" i="3"/>
  <c r="BY19" i="3" s="1"/>
  <c r="BV28" i="3"/>
  <c r="BY28" i="3" s="1"/>
  <c r="BV39" i="3"/>
  <c r="CJ57" i="3"/>
  <c r="CM57" i="3" s="1"/>
  <c r="CK98" i="3"/>
  <c r="CN98" i="3" s="1"/>
  <c r="CK33" i="3"/>
  <c r="CN33" i="3" s="1"/>
  <c r="BH8" i="3"/>
  <c r="BK8" i="3" s="1"/>
  <c r="CC15" i="3"/>
  <c r="CJ12" i="3"/>
  <c r="CM12" i="3" s="1"/>
  <c r="BI34" i="3"/>
  <c r="BL34" i="3" s="1"/>
  <c r="CJ32" i="3"/>
  <c r="CM32" i="3" s="1"/>
  <c r="CD99" i="3"/>
  <c r="CG99" i="3" s="1"/>
  <c r="BO99" i="3"/>
  <c r="BR99" i="3" s="1"/>
  <c r="CD6" i="3"/>
  <c r="CG6" i="3" s="1"/>
  <c r="CD15" i="3"/>
  <c r="CG15" i="3" s="1"/>
  <c r="CD31" i="3"/>
  <c r="CG31" i="3" s="1"/>
  <c r="CC12" i="3"/>
  <c r="CF12" i="3" s="1"/>
  <c r="BH6" i="3"/>
  <c r="BK6" i="3" s="1"/>
  <c r="BH15" i="3"/>
  <c r="BK15" i="3" s="1"/>
  <c r="BI31" i="3"/>
  <c r="BL31" i="3" s="1"/>
  <c r="BI12" i="3"/>
  <c r="BL12" i="3" s="1"/>
  <c r="BV55" i="3"/>
  <c r="BY55" i="3" s="1"/>
  <c r="CD97" i="3"/>
  <c r="CG97" i="3" s="1"/>
  <c r="CC93" i="3"/>
  <c r="CF93" i="3" s="1"/>
  <c r="BP101" i="3"/>
  <c r="BS101" i="3" s="1"/>
  <c r="BO97" i="3"/>
  <c r="BR97" i="3" s="1"/>
  <c r="CD86" i="3"/>
  <c r="CG86" i="3" s="1"/>
  <c r="CD7" i="3"/>
  <c r="CG7" i="3" s="1"/>
  <c r="BI6" i="3"/>
  <c r="BL6" i="3" s="1"/>
  <c r="BP11" i="3"/>
  <c r="BS11" i="3" s="1"/>
  <c r="CC16" i="3"/>
  <c r="CF16" i="3" s="1"/>
  <c r="BB22" i="3"/>
  <c r="BE22" i="3" s="1"/>
  <c r="BP27" i="3"/>
  <c r="BS27" i="3" s="1"/>
  <c r="CD32" i="3"/>
  <c r="CG32" i="3" s="1"/>
  <c r="BA38" i="3"/>
  <c r="BD38" i="3" s="1"/>
  <c r="BP43" i="3"/>
  <c r="BS43" i="3" s="1"/>
  <c r="CC13" i="3"/>
  <c r="BB19" i="3"/>
  <c r="BE19" i="3" s="1"/>
  <c r="BO24" i="3"/>
  <c r="BR24" i="3" s="1"/>
  <c r="CC29" i="3"/>
  <c r="CF29" i="3" s="1"/>
  <c r="BH7" i="3"/>
  <c r="BK7" i="3" s="1"/>
  <c r="CC5" i="3"/>
  <c r="CF5" i="3" s="1"/>
  <c r="CK10" i="3"/>
  <c r="CN10" i="3" s="1"/>
  <c r="BI16" i="3"/>
  <c r="BL16" i="3" s="1"/>
  <c r="BW21" i="3"/>
  <c r="BZ21" i="3" s="1"/>
  <c r="CK26" i="3"/>
  <c r="CN26" i="3" s="1"/>
  <c r="BI32" i="3"/>
  <c r="BL32" i="3" s="1"/>
  <c r="BW37" i="3"/>
  <c r="BZ37" i="3" s="1"/>
  <c r="CJ42" i="3"/>
  <c r="CM42" i="3" s="1"/>
  <c r="BI13" i="3"/>
  <c r="BL13" i="3" s="1"/>
  <c r="BI20" i="3"/>
  <c r="BL20" i="3" s="1"/>
  <c r="CJ28" i="3"/>
  <c r="CM28" i="3" s="1"/>
  <c r="BI40" i="3"/>
  <c r="BL40" i="3" s="1"/>
  <c r="CJ59" i="3"/>
  <c r="CM59" i="3" s="1"/>
  <c r="BV99" i="3"/>
  <c r="BY99" i="3" s="1"/>
  <c r="CJ17" i="3"/>
  <c r="CM17" i="3" s="1"/>
  <c r="BH67" i="3"/>
  <c r="BK67" i="3" s="1"/>
  <c r="BP13" i="3"/>
  <c r="BO26" i="3"/>
  <c r="BR26" i="3" s="1"/>
  <c r="BW23" i="3"/>
  <c r="BZ23" i="3" s="1"/>
  <c r="BV16" i="3"/>
  <c r="BY16" i="3" s="1"/>
  <c r="CC95" i="3"/>
  <c r="CF95" i="3" s="1"/>
  <c r="CD88" i="3"/>
  <c r="CG88" i="3" s="1"/>
  <c r="BI5" i="3"/>
  <c r="BL5" i="3" s="1"/>
  <c r="BM5" i="3" s="1"/>
  <c r="BB21" i="3"/>
  <c r="BE21" i="3" s="1"/>
  <c r="BO42" i="3"/>
  <c r="BR42" i="3" s="1"/>
  <c r="CC28" i="3"/>
  <c r="CF28" i="3" s="1"/>
  <c r="CK9" i="3"/>
  <c r="CN9" i="3" s="1"/>
  <c r="BV20" i="3"/>
  <c r="BY20" i="3" s="1"/>
  <c r="BV36" i="3"/>
  <c r="BY36" i="3" s="1"/>
  <c r="CK41" i="3"/>
  <c r="CN41" i="3" s="1"/>
  <c r="CK18" i="3"/>
  <c r="CN18" i="3" s="1"/>
  <c r="BW36" i="3"/>
  <c r="BZ36" i="3" s="1"/>
  <c r="CC103" i="3"/>
  <c r="CF103" i="3" s="1"/>
  <c r="BA93" i="3"/>
  <c r="BD93" i="3" s="1"/>
  <c r="CC100" i="3"/>
  <c r="CF100" i="3" s="1"/>
  <c r="CD96" i="3"/>
  <c r="CG96" i="3" s="1"/>
  <c r="BB86" i="3"/>
  <c r="BE86" i="3" s="1"/>
  <c r="BA8" i="3"/>
  <c r="BD8" i="3" s="1"/>
  <c r="BW6" i="3"/>
  <c r="BZ6" i="3" s="1"/>
  <c r="CD11" i="3"/>
  <c r="CG11" i="3" s="1"/>
  <c r="BB17" i="3"/>
  <c r="BE17" i="3" s="1"/>
  <c r="BP22" i="3"/>
  <c r="BS22" i="3" s="1"/>
  <c r="CD27" i="3"/>
  <c r="CG27" i="3" s="1"/>
  <c r="BB33" i="3"/>
  <c r="BE33" i="3" s="1"/>
  <c r="BO38" i="3"/>
  <c r="BR38" i="3" s="1"/>
  <c r="CD43" i="3"/>
  <c r="CG43" i="3" s="1"/>
  <c r="BB14" i="3"/>
  <c r="BE14" i="3" s="1"/>
  <c r="BP19" i="3"/>
  <c r="BS19" i="3" s="1"/>
  <c r="CC24" i="3"/>
  <c r="BA30" i="3"/>
  <c r="BD30" i="3" s="1"/>
  <c r="BV7" i="3"/>
  <c r="BY7" i="3" s="1"/>
  <c r="BA6" i="3"/>
  <c r="BD6" i="3" s="1"/>
  <c r="BH11" i="3"/>
  <c r="BW16" i="3"/>
  <c r="BZ16" i="3" s="1"/>
  <c r="CK21" i="3"/>
  <c r="CN21" i="3" s="1"/>
  <c r="BI27" i="3"/>
  <c r="BL27" i="3" s="1"/>
  <c r="BW32" i="3"/>
  <c r="BZ32" i="3" s="1"/>
  <c r="CK37" i="3"/>
  <c r="CN37" i="3" s="1"/>
  <c r="BI43" i="3"/>
  <c r="BL43" i="3" s="1"/>
  <c r="BW13" i="3"/>
  <c r="BZ13" i="3" s="1"/>
  <c r="CJ21" i="3"/>
  <c r="CM21" i="3" s="1"/>
  <c r="BH29" i="3"/>
  <c r="BK29" i="3" s="1"/>
  <c r="CK40" i="3"/>
  <c r="CN40" i="3" s="1"/>
  <c r="CJ60" i="3"/>
  <c r="CM60" i="3" s="1"/>
  <c r="BI100" i="3"/>
  <c r="BL100" i="3" s="1"/>
  <c r="BP100" i="3"/>
  <c r="BS100" i="3" s="1"/>
  <c r="BB24" i="3"/>
  <c r="BE24" i="3" s="1"/>
  <c r="BP92" i="3"/>
  <c r="BS92" i="3" s="1"/>
  <c r="BB96" i="3"/>
  <c r="BE96" i="3" s="1"/>
  <c r="BO8" i="3"/>
  <c r="BR8" i="3" s="1"/>
  <c r="BB12" i="3"/>
  <c r="BE12" i="3" s="1"/>
  <c r="CD22" i="3"/>
  <c r="CG22" i="3" s="1"/>
  <c r="BB28" i="3"/>
  <c r="BE28" i="3" s="1"/>
  <c r="CC38" i="3"/>
  <c r="CF38" i="3" s="1"/>
  <c r="BP14" i="3"/>
  <c r="BS14" i="3" s="1"/>
  <c r="BB25" i="3"/>
  <c r="BE25" i="3" s="1"/>
  <c r="BO30" i="3"/>
  <c r="BR30" i="3" s="1"/>
  <c r="BO6" i="3"/>
  <c r="BR6" i="3" s="1"/>
  <c r="BV11" i="3"/>
  <c r="BY11" i="3" s="1"/>
  <c r="CK16" i="3"/>
  <c r="CN16" i="3" s="1"/>
  <c r="BI22" i="3"/>
  <c r="BL22" i="3" s="1"/>
  <c r="BW27" i="3"/>
  <c r="BZ27" i="3" s="1"/>
  <c r="BH38" i="3"/>
  <c r="BK38" i="3" s="1"/>
  <c r="BW43" i="3"/>
  <c r="BZ43" i="3" s="1"/>
  <c r="CK13" i="3"/>
  <c r="CN13" i="3" s="1"/>
  <c r="BH22" i="3"/>
  <c r="BK22" i="3" s="1"/>
  <c r="BV29" i="3"/>
  <c r="BY29" i="3" s="1"/>
  <c r="BV43" i="3"/>
  <c r="BY43" i="3" s="1"/>
  <c r="BV61" i="3"/>
  <c r="BY61" i="3" s="1"/>
  <c r="CK100" i="3"/>
  <c r="CN100" i="3" s="1"/>
  <c r="CC89" i="3"/>
  <c r="CF89" i="3" s="1"/>
  <c r="BP29" i="3"/>
  <c r="BS29" i="3" s="1"/>
  <c r="BA103" i="3"/>
  <c r="BD103" i="3" s="1"/>
  <c r="BA100" i="3"/>
  <c r="BD100" i="3" s="1"/>
  <c r="BA3" i="3"/>
  <c r="BD3" i="3" s="1"/>
  <c r="CK6" i="3"/>
  <c r="CN6" i="3" s="1"/>
  <c r="BP17" i="3"/>
  <c r="BS17" i="3" s="1"/>
  <c r="BP33" i="3"/>
  <c r="BS33" i="3" s="1"/>
  <c r="BA44" i="3"/>
  <c r="BD44" i="3" s="1"/>
  <c r="CD19" i="3"/>
  <c r="CG19" i="3" s="1"/>
  <c r="CJ7" i="3"/>
  <c r="CM7" i="3" s="1"/>
  <c r="CK32" i="3"/>
  <c r="CN32" i="3" s="1"/>
  <c r="BP102" i="3"/>
  <c r="BS102" i="3" s="1"/>
  <c r="CC91" i="3"/>
  <c r="CF91" i="3" s="1"/>
  <c r="BP99" i="3"/>
  <c r="BS99" i="3" s="1"/>
  <c r="BO95" i="3"/>
  <c r="BR95" i="3" s="1"/>
  <c r="BP3" i="3"/>
  <c r="BS3" i="3" s="1"/>
  <c r="CC8" i="3"/>
  <c r="CF8" i="3" s="1"/>
  <c r="BI7" i="3"/>
  <c r="BL7" i="3" s="1"/>
  <c r="BP12" i="3"/>
  <c r="BS12" i="3" s="1"/>
  <c r="CD17" i="3"/>
  <c r="CG17" i="3" s="1"/>
  <c r="BB23" i="3"/>
  <c r="BE23" i="3" s="1"/>
  <c r="BP28" i="3"/>
  <c r="BS28" i="3" s="1"/>
  <c r="CD33" i="3"/>
  <c r="CG33" i="3" s="1"/>
  <c r="BB39" i="3"/>
  <c r="BE39" i="3" s="1"/>
  <c r="BO44" i="3"/>
  <c r="BR44" i="3" s="1"/>
  <c r="CD14" i="3"/>
  <c r="CG14" i="3" s="1"/>
  <c r="BA20" i="3"/>
  <c r="BD20" i="3" s="1"/>
  <c r="BP25" i="3"/>
  <c r="BS25" i="3" s="1"/>
  <c r="CJ30" i="3"/>
  <c r="CM30" i="3" s="1"/>
  <c r="BI8" i="3"/>
  <c r="BL8" i="3" s="1"/>
  <c r="CC6" i="3"/>
  <c r="CF6" i="3" s="1"/>
  <c r="CJ11" i="3"/>
  <c r="CM11" i="3" s="1"/>
  <c r="BH17" i="3"/>
  <c r="BK17" i="3" s="1"/>
  <c r="BW22" i="3"/>
  <c r="BZ22" i="3" s="1"/>
  <c r="CK27" i="3"/>
  <c r="CN27" i="3" s="1"/>
  <c r="BI33" i="3"/>
  <c r="BL33" i="3" s="1"/>
  <c r="BV38" i="3"/>
  <c r="BY38" i="3" s="1"/>
  <c r="CK43" i="3"/>
  <c r="CN43" i="3" s="1"/>
  <c r="BH14" i="3"/>
  <c r="BK14" i="3" s="1"/>
  <c r="BV22" i="3"/>
  <c r="BY22" i="3" s="1"/>
  <c r="BH30" i="3"/>
  <c r="BK30" i="3" s="1"/>
  <c r="BI44" i="3"/>
  <c r="BL44" i="3" s="1"/>
  <c r="CJ64" i="3"/>
  <c r="CM64" i="3" s="1"/>
  <c r="BV101" i="3"/>
  <c r="BY101" i="3" s="1"/>
  <c r="BL28" i="3"/>
  <c r="CJ76" i="3"/>
  <c r="CM76" i="3" s="1"/>
  <c r="CJ19" i="3"/>
  <c r="CM19" i="3" s="1"/>
  <c r="BH28" i="3"/>
  <c r="BK28" i="3" s="1"/>
  <c r="BI38" i="3"/>
  <c r="BL38" i="3" s="1"/>
  <c r="BV54" i="3"/>
  <c r="BY54" i="3" s="1"/>
  <c r="CJ77" i="3"/>
  <c r="CM77" i="3" s="1"/>
  <c r="CJ78" i="3"/>
  <c r="CM78" i="3" s="1"/>
  <c r="CG39" i="3"/>
  <c r="CJ29" i="3"/>
  <c r="CM29" i="3" s="1"/>
  <c r="BW40" i="3"/>
  <c r="BZ40" i="3" s="1"/>
  <c r="BV56" i="3"/>
  <c r="BY56" i="3" s="1"/>
  <c r="BH48" i="3"/>
  <c r="BK48" i="3" s="1"/>
  <c r="CJ48" i="3"/>
  <c r="CM48" i="3" s="1"/>
  <c r="BH33" i="3"/>
  <c r="BK33" i="3" s="1"/>
  <c r="BW44" i="3"/>
  <c r="BZ44" i="3" s="1"/>
  <c r="BH60" i="3"/>
  <c r="BK60" i="3" s="1"/>
  <c r="BI49" i="3"/>
  <c r="BL49" i="3" s="1"/>
  <c r="CJ50" i="3"/>
  <c r="CM50" i="3" s="1"/>
  <c r="CJ27" i="3"/>
  <c r="CM27" i="3" s="1"/>
  <c r="CJ34" i="3"/>
  <c r="CM34" i="3" s="1"/>
  <c r="CJ46" i="3"/>
  <c r="CM46" i="3" s="1"/>
  <c r="CJ61" i="3"/>
  <c r="CM61" i="3" s="1"/>
  <c r="CK51" i="3"/>
  <c r="CN51" i="3" s="1"/>
  <c r="CJ65" i="3"/>
  <c r="CM65" i="3" s="1"/>
  <c r="BA34" i="3"/>
  <c r="BD34" i="3" s="1"/>
  <c r="BH39" i="3"/>
  <c r="BK39" i="3" s="1"/>
  <c r="BH51" i="3"/>
  <c r="BK51" i="3" s="1"/>
  <c r="CJ66" i="3"/>
  <c r="CM66" i="3" s="1"/>
  <c r="CC34" i="3"/>
  <c r="CF34" i="3" s="1"/>
  <c r="BB36" i="3"/>
  <c r="BE36" i="3" s="1"/>
  <c r="CJ41" i="3"/>
  <c r="CM41" i="3" s="1"/>
  <c r="CJ54" i="3"/>
  <c r="CM54" i="3" s="1"/>
  <c r="BH71" i="3"/>
  <c r="BK71" i="3" s="1"/>
  <c r="BA37" i="3"/>
  <c r="BD37" i="3" s="1"/>
  <c r="CC41" i="3"/>
  <c r="CF41" i="3" s="1"/>
  <c r="BW45" i="3"/>
  <c r="BZ45" i="3" s="1"/>
  <c r="CJ56" i="3"/>
  <c r="CM56" i="3" s="1"/>
  <c r="BH72" i="3"/>
  <c r="BK72" i="3" s="1"/>
  <c r="BP42" i="3"/>
  <c r="BS42" i="3" s="1"/>
  <c r="CD42" i="3"/>
  <c r="CG42" i="3" s="1"/>
  <c r="CK38" i="3"/>
  <c r="CN38" i="3" s="1"/>
  <c r="BV49" i="3"/>
  <c r="BY49" i="3" s="1"/>
  <c r="BV60" i="3"/>
  <c r="BY60" i="3" s="1"/>
  <c r="BV76" i="3"/>
  <c r="BY76" i="3" s="1"/>
  <c r="BP44" i="3"/>
  <c r="BS44" i="3" s="1"/>
  <c r="BB45" i="3"/>
  <c r="BE45" i="3" s="1"/>
  <c r="BV41" i="3"/>
  <c r="BY41" i="3" s="1"/>
  <c r="BV51" i="3"/>
  <c r="BY51" i="3" s="1"/>
  <c r="CJ62" i="3"/>
  <c r="CM62" i="3" s="1"/>
  <c r="BV78" i="3"/>
  <c r="BY78" i="3" s="1"/>
  <c r="BP45" i="3"/>
  <c r="BS45" i="3" s="1"/>
  <c r="BO52" i="3"/>
  <c r="BI36" i="3"/>
  <c r="BL36" i="3" s="1"/>
  <c r="BI45" i="3"/>
  <c r="BL45" i="3" s="1"/>
  <c r="BH55" i="3"/>
  <c r="BK55" i="3" s="1"/>
  <c r="BH66" i="3"/>
  <c r="BK66" i="3" s="1"/>
  <c r="BV48" i="3"/>
  <c r="BY48" i="3" s="1"/>
  <c r="CC52" i="3"/>
  <c r="CF52" i="3" s="1"/>
  <c r="BB53" i="3"/>
  <c r="BE53" i="3" s="1"/>
  <c r="CJ39" i="3"/>
  <c r="CM39" i="3" s="1"/>
  <c r="BH49" i="3"/>
  <c r="BK49" i="3" s="1"/>
  <c r="BV57" i="3"/>
  <c r="BY57" i="3" s="1"/>
  <c r="CJ70" i="3"/>
  <c r="CM70" i="3" s="1"/>
  <c r="BH50" i="3"/>
  <c r="BK50" i="3" s="1"/>
  <c r="BP53" i="3"/>
  <c r="BS53" i="3" s="1"/>
  <c r="BI53" i="3"/>
  <c r="BL53" i="3" s="1"/>
  <c r="BB55" i="3"/>
  <c r="BE55" i="3" s="1"/>
  <c r="BI52" i="3"/>
  <c r="BL52" i="3" s="1"/>
  <c r="BH61" i="3"/>
  <c r="BK61" i="3" s="1"/>
  <c r="BH73" i="3"/>
  <c r="BK73" i="3" s="1"/>
  <c r="BO32" i="3"/>
  <c r="BR32" i="3" s="1"/>
  <c r="BP56" i="3"/>
  <c r="BS56" i="3" s="1"/>
  <c r="BA35" i="3"/>
  <c r="BD35" i="3" s="1"/>
  <c r="BB57" i="3"/>
  <c r="BE57" i="3" s="1"/>
  <c r="BI47" i="3"/>
  <c r="BL47" i="3" s="1"/>
  <c r="CJ55" i="3"/>
  <c r="CM55" i="3" s="1"/>
  <c r="BV65" i="3"/>
  <c r="BV77" i="3"/>
  <c r="BY77" i="3" s="1"/>
  <c r="BO35" i="3"/>
  <c r="BR35" i="3" s="1"/>
  <c r="BP57" i="3"/>
  <c r="BS57" i="3" s="1"/>
  <c r="BP60" i="3"/>
  <c r="BS60" i="3" s="1"/>
  <c r="BV35" i="3"/>
  <c r="BY35" i="3" s="1"/>
  <c r="CJ43" i="3"/>
  <c r="CM43" i="3" s="1"/>
  <c r="CK50" i="3"/>
  <c r="CN50" i="3" s="1"/>
  <c r="BV59" i="3"/>
  <c r="BY59" i="3" s="1"/>
  <c r="BV68" i="3"/>
  <c r="BY68" i="3" s="1"/>
  <c r="BI46" i="3"/>
  <c r="BL46" i="3" s="1"/>
  <c r="BB38" i="3"/>
  <c r="BE38" i="3" s="1"/>
  <c r="BB65" i="3"/>
  <c r="BE65" i="3" s="1"/>
  <c r="CD66" i="3"/>
  <c r="CG66" i="3" s="1"/>
  <c r="CM13" i="3"/>
  <c r="BO43" i="3"/>
  <c r="BR43" i="3" s="1"/>
  <c r="BP68" i="3"/>
  <c r="BS68" i="3" s="1"/>
  <c r="BL14" i="3"/>
  <c r="BH62" i="3"/>
  <c r="BK62" i="3" s="1"/>
  <c r="BV72" i="3"/>
  <c r="BY72" i="3" s="1"/>
  <c r="BV50" i="3"/>
  <c r="BY50" i="3" s="1"/>
  <c r="CC43" i="3"/>
  <c r="CF43" i="3" s="1"/>
  <c r="BB69" i="3"/>
  <c r="BE69" i="3" s="1"/>
  <c r="BP69" i="3"/>
  <c r="BS69" i="3" s="1"/>
  <c r="CD71" i="3"/>
  <c r="CG71" i="3" s="1"/>
  <c r="BV66" i="3"/>
  <c r="BY66" i="3" s="1"/>
  <c r="BH77" i="3"/>
  <c r="BK77" i="3" s="1"/>
  <c r="CC32" i="3"/>
  <c r="CF32" i="3" s="1"/>
  <c r="BP47" i="3"/>
  <c r="BS47" i="3" s="1"/>
  <c r="BP73" i="3"/>
  <c r="BS73" i="3" s="1"/>
  <c r="CJ67" i="3"/>
  <c r="CM67" i="3" s="1"/>
  <c r="BV73" i="3"/>
  <c r="BY73" i="3" s="1"/>
  <c r="BV45" i="3"/>
  <c r="BY45" i="3" s="1"/>
  <c r="BH52" i="3"/>
  <c r="BK52" i="3" s="1"/>
  <c r="BO37" i="3"/>
  <c r="BR37" i="3" s="1"/>
  <c r="BA46" i="3"/>
  <c r="BD46" i="3" s="1"/>
  <c r="CD57" i="3"/>
  <c r="CG57" i="3" s="1"/>
  <c r="BB75" i="3"/>
  <c r="BE75" i="3" s="1"/>
  <c r="CK102" i="3"/>
  <c r="CN102" i="3" s="1"/>
  <c r="BH41" i="3"/>
  <c r="BK41" i="3" s="1"/>
  <c r="BV46" i="3"/>
  <c r="BY46" i="3" s="1"/>
  <c r="CJ51" i="3"/>
  <c r="CM51" i="3" s="1"/>
  <c r="BH57" i="3"/>
  <c r="BK57" i="3" s="1"/>
  <c r="BV62" i="3"/>
  <c r="BY62" i="3" s="1"/>
  <c r="BH68" i="3"/>
  <c r="BK68" i="3" s="1"/>
  <c r="CJ73" i="3"/>
  <c r="CM73" i="3" s="1"/>
  <c r="CJ45" i="3"/>
  <c r="CM45" i="3" s="1"/>
  <c r="BV52" i="3"/>
  <c r="BY52" i="3" s="1"/>
  <c r="CC37" i="3"/>
  <c r="CF37" i="3" s="1"/>
  <c r="BO46" i="3"/>
  <c r="BR46" i="3" s="1"/>
  <c r="BB60" i="3"/>
  <c r="BE60" i="3" s="1"/>
  <c r="CD78" i="3"/>
  <c r="CG78" i="3" s="1"/>
  <c r="BV103" i="3"/>
  <c r="BY103" i="3" s="1"/>
  <c r="BH63" i="3"/>
  <c r="BK63" i="3" s="1"/>
  <c r="CJ68" i="3"/>
  <c r="CM68" i="3" s="1"/>
  <c r="BV74" i="3"/>
  <c r="BY74" i="3" s="1"/>
  <c r="BW46" i="3"/>
  <c r="BZ46" i="3" s="1"/>
  <c r="CC30" i="3"/>
  <c r="CF30" i="3" s="1"/>
  <c r="BP38" i="3"/>
  <c r="BS38" i="3" s="1"/>
  <c r="CD47" i="3"/>
  <c r="CG47" i="3" s="1"/>
  <c r="BB61" i="3"/>
  <c r="BE61" i="3" s="1"/>
  <c r="BB46" i="3"/>
  <c r="BE46" i="3" s="1"/>
  <c r="BI15" i="3"/>
  <c r="BL15" i="3" s="1"/>
  <c r="BW20" i="3"/>
  <c r="BZ20" i="3" s="1"/>
  <c r="CK25" i="3"/>
  <c r="CN25" i="3" s="1"/>
  <c r="BV31" i="3"/>
  <c r="BY31" i="3" s="1"/>
  <c r="CK36" i="3"/>
  <c r="CN36" i="3" s="1"/>
  <c r="BI42" i="3"/>
  <c r="BL42" i="3" s="1"/>
  <c r="BW47" i="3"/>
  <c r="BZ47" i="3" s="1"/>
  <c r="CK52" i="3"/>
  <c r="CN52" i="3" s="1"/>
  <c r="BH58" i="3"/>
  <c r="BK58" i="3" s="1"/>
  <c r="BV63" i="3"/>
  <c r="BY63" i="3" s="1"/>
  <c r="BH69" i="3"/>
  <c r="BK69" i="3" s="1"/>
  <c r="CJ74" i="3"/>
  <c r="CM74" i="3" s="1"/>
  <c r="CK46" i="3"/>
  <c r="CN46" i="3" s="1"/>
  <c r="BA31" i="3"/>
  <c r="BD31" i="3" s="1"/>
  <c r="CD38" i="3"/>
  <c r="CG38" i="3" s="1"/>
  <c r="BP49" i="3"/>
  <c r="BS49" i="3" s="1"/>
  <c r="CD61" i="3"/>
  <c r="CG61" i="3" s="1"/>
  <c r="BP46" i="3"/>
  <c r="BS46" i="3" s="1"/>
  <c r="BW15" i="3"/>
  <c r="BZ15" i="3" s="1"/>
  <c r="CK20" i="3"/>
  <c r="CN20" i="3" s="1"/>
  <c r="BH26" i="3"/>
  <c r="BK26" i="3" s="1"/>
  <c r="CJ31" i="3"/>
  <c r="CM31" i="3" s="1"/>
  <c r="BH37" i="3"/>
  <c r="BK37" i="3" s="1"/>
  <c r="BW42" i="3"/>
  <c r="BZ42" i="3" s="1"/>
  <c r="CK47" i="3"/>
  <c r="CN47" i="3" s="1"/>
  <c r="BH53" i="3"/>
  <c r="BK53" i="3" s="1"/>
  <c r="BV58" i="3"/>
  <c r="BY58" i="3" s="1"/>
  <c r="CJ63" i="3"/>
  <c r="CM63" i="3" s="1"/>
  <c r="BV69" i="3"/>
  <c r="BY69" i="3" s="1"/>
  <c r="BH75" i="3"/>
  <c r="BK75" i="3" s="1"/>
  <c r="BH47" i="3"/>
  <c r="BK47" i="3" s="1"/>
  <c r="BO31" i="3"/>
  <c r="BR31" i="3" s="1"/>
  <c r="BA39" i="3"/>
  <c r="BD39" i="3" s="1"/>
  <c r="CD49" i="3"/>
  <c r="CG49" i="3" s="1"/>
  <c r="BB62" i="3"/>
  <c r="BE62" i="3" s="1"/>
  <c r="BO47" i="3"/>
  <c r="BR47" i="3" s="1"/>
  <c r="CK15" i="3"/>
  <c r="CN15" i="3" s="1"/>
  <c r="BH21" i="3"/>
  <c r="BK21" i="3" s="1"/>
  <c r="BV26" i="3"/>
  <c r="BY26" i="3" s="1"/>
  <c r="BH32" i="3"/>
  <c r="BK32" i="3" s="1"/>
  <c r="BV37" i="3"/>
  <c r="BY37" i="3" s="1"/>
  <c r="CK42" i="3"/>
  <c r="CN42" i="3" s="1"/>
  <c r="BI48" i="3"/>
  <c r="BL48" i="3" s="1"/>
  <c r="BV53" i="3"/>
  <c r="BY53" i="3" s="1"/>
  <c r="CJ58" i="3"/>
  <c r="CM58" i="3" s="1"/>
  <c r="BH64" i="3"/>
  <c r="BK64" i="3" s="1"/>
  <c r="CJ69" i="3"/>
  <c r="CM69" i="3" s="1"/>
  <c r="BV75" i="3"/>
  <c r="BY75" i="3" s="1"/>
  <c r="BV47" i="3"/>
  <c r="BY47" i="3" s="1"/>
  <c r="CC31" i="3"/>
  <c r="CF31" i="3" s="1"/>
  <c r="CC39" i="3"/>
  <c r="CF39" i="3" s="1"/>
  <c r="BB51" i="3"/>
  <c r="BE51" i="3" s="1"/>
  <c r="BP63" i="3"/>
  <c r="BS63" i="3" s="1"/>
  <c r="BB50" i="3"/>
  <c r="BE50" i="3" s="1"/>
  <c r="BH16" i="3"/>
  <c r="BK16" i="3" s="1"/>
  <c r="BV21" i="3"/>
  <c r="BY21" i="3" s="1"/>
  <c r="CJ26" i="3"/>
  <c r="CM26" i="3" s="1"/>
  <c r="BV32" i="3"/>
  <c r="BY32" i="3" s="1"/>
  <c r="CJ37" i="3"/>
  <c r="CM37" i="3" s="1"/>
  <c r="BH43" i="3"/>
  <c r="BK43" i="3" s="1"/>
  <c r="BW48" i="3"/>
  <c r="BZ48" i="3" s="1"/>
  <c r="CJ53" i="3"/>
  <c r="CM53" i="3" s="1"/>
  <c r="BH59" i="3"/>
  <c r="BK59" i="3" s="1"/>
  <c r="BV64" i="3"/>
  <c r="BY64" i="3" s="1"/>
  <c r="BH70" i="3"/>
  <c r="BK70" i="3" s="1"/>
  <c r="CJ75" i="3"/>
  <c r="CM75" i="3" s="1"/>
  <c r="CJ47" i="3"/>
  <c r="CM47" i="3" s="1"/>
  <c r="BA32" i="3"/>
  <c r="BD32" i="3" s="1"/>
  <c r="BA41" i="3"/>
  <c r="BD41" i="3" s="1"/>
  <c r="CD51" i="3"/>
  <c r="CG51" i="3" s="1"/>
  <c r="BB64" i="3"/>
  <c r="BE64" i="3" s="1"/>
  <c r="BP50" i="3"/>
  <c r="BS50" i="3" s="1"/>
  <c r="BB67" i="3"/>
  <c r="BE67" i="3" s="1"/>
  <c r="CD50" i="3"/>
  <c r="CG50" i="3" s="1"/>
  <c r="BH45" i="3"/>
  <c r="BK45" i="3" s="1"/>
  <c r="BI51" i="3"/>
  <c r="BL51" i="3" s="1"/>
  <c r="CC35" i="3"/>
  <c r="CF35" i="3" s="1"/>
  <c r="BB44" i="3"/>
  <c r="BE44" i="3" s="1"/>
  <c r="BB54" i="3"/>
  <c r="BE54" i="3" s="1"/>
  <c r="BB68" i="3"/>
  <c r="BE68" i="3" s="1"/>
  <c r="BB52" i="3"/>
  <c r="BE52" i="3" s="1"/>
  <c r="CJ52" i="3"/>
  <c r="CM52" i="3" s="1"/>
  <c r="CC54" i="3"/>
  <c r="CF54" i="3" s="1"/>
  <c r="BP72" i="3"/>
  <c r="BS72" i="3" s="1"/>
  <c r="BA55" i="3"/>
  <c r="BD55" i="3" s="1"/>
  <c r="BB73" i="3"/>
  <c r="BE73" i="3" s="1"/>
  <c r="BA56" i="3"/>
  <c r="BD56" i="3" s="1"/>
  <c r="CC33" i="3"/>
  <c r="CF33" i="3" s="1"/>
  <c r="BO41" i="3"/>
  <c r="BR41" i="3" s="1"/>
  <c r="BA50" i="3"/>
  <c r="BD50" i="3" s="1"/>
  <c r="BP61" i="3"/>
  <c r="BS61" i="3" s="1"/>
  <c r="BP74" i="3"/>
  <c r="BS74" i="3" s="1"/>
  <c r="CC56" i="3"/>
  <c r="CF56" i="3" s="1"/>
  <c r="BP77" i="3"/>
  <c r="BS77" i="3" s="1"/>
  <c r="BA59" i="3"/>
  <c r="BD59" i="3" s="1"/>
  <c r="CD77" i="3"/>
  <c r="CG77" i="3" s="1"/>
  <c r="CC60" i="3"/>
  <c r="CF60" i="3" s="1"/>
  <c r="CC62" i="3"/>
  <c r="CF62" i="3" s="1"/>
  <c r="BA61" i="3"/>
  <c r="BD61" i="3" s="1"/>
  <c r="BA64" i="3"/>
  <c r="BD64" i="3" s="1"/>
  <c r="BO49" i="3"/>
  <c r="BR49" i="3" s="1"/>
  <c r="BO65" i="3"/>
  <c r="BR65" i="3" s="1"/>
  <c r="BV67" i="3"/>
  <c r="BY67" i="3" s="1"/>
  <c r="CJ72" i="3"/>
  <c r="CM72" i="3" s="1"/>
  <c r="BH78" i="3"/>
  <c r="BK78" i="3" s="1"/>
  <c r="BW49" i="3"/>
  <c r="BZ49" i="3" s="1"/>
  <c r="BO33" i="3"/>
  <c r="BR33" i="3" s="1"/>
  <c r="CD40" i="3"/>
  <c r="CG40" i="3" s="1"/>
  <c r="CC48" i="3"/>
  <c r="CF48" i="3" s="1"/>
  <c r="BB58" i="3"/>
  <c r="BE58" i="3" s="1"/>
  <c r="CD70" i="3"/>
  <c r="CG70" i="3" s="1"/>
  <c r="CC49" i="3"/>
  <c r="CF49" i="3" s="1"/>
  <c r="BO66" i="3"/>
  <c r="BR66" i="3" s="1"/>
  <c r="CC67" i="3"/>
  <c r="CF67" i="3" s="1"/>
  <c r="BA68" i="3"/>
  <c r="BD68" i="3" s="1"/>
  <c r="BO68" i="3"/>
  <c r="BR68" i="3" s="1"/>
  <c r="CD55" i="3"/>
  <c r="CG55" i="3" s="1"/>
  <c r="BP65" i="3"/>
  <c r="BS65" i="3" s="1"/>
  <c r="BT65" i="3" s="1"/>
  <c r="CD75" i="3"/>
  <c r="CG75" i="3" s="1"/>
  <c r="BW53" i="3"/>
  <c r="BZ53" i="3" s="1"/>
  <c r="BO71" i="3"/>
  <c r="BR71" i="3" s="1"/>
  <c r="CK49" i="3"/>
  <c r="CN49" i="3" s="1"/>
  <c r="BA33" i="3"/>
  <c r="BD33" i="3" s="1"/>
  <c r="BO39" i="3"/>
  <c r="BR39" i="3" s="1"/>
  <c r="BB47" i="3"/>
  <c r="BE47" i="3" s="1"/>
  <c r="BB56" i="3"/>
  <c r="BE56" i="3" s="1"/>
  <c r="BB66" i="3"/>
  <c r="BE66" i="3" s="1"/>
  <c r="BB77" i="3"/>
  <c r="BE77" i="3" s="1"/>
  <c r="CD52" i="3"/>
  <c r="CG52" i="3" s="1"/>
  <c r="CC71" i="3"/>
  <c r="CF71" i="3" s="1"/>
  <c r="CC73" i="3"/>
  <c r="CF73" i="3" s="1"/>
  <c r="CD36" i="3"/>
  <c r="CG36" i="3" s="1"/>
  <c r="BA43" i="3"/>
  <c r="BD43" i="3" s="1"/>
  <c r="BO50" i="3"/>
  <c r="BR50" i="3" s="1"/>
  <c r="CD59" i="3"/>
  <c r="CG59" i="3" s="1"/>
  <c r="CD68" i="3"/>
  <c r="CG68" i="3" s="1"/>
  <c r="BA45" i="3"/>
  <c r="BD45" i="3" s="1"/>
  <c r="BO55" i="3"/>
  <c r="BR55" i="3" s="1"/>
  <c r="BO74" i="3"/>
  <c r="BR74" i="3" s="1"/>
  <c r="BA57" i="3"/>
  <c r="BD57" i="3" s="1"/>
  <c r="BO75" i="3"/>
  <c r="BR75" i="3" s="1"/>
  <c r="BW51" i="3"/>
  <c r="BZ51" i="3" s="1"/>
  <c r="BO34" i="3"/>
  <c r="BR34" i="3" s="1"/>
  <c r="BP40" i="3"/>
  <c r="BS40" i="3" s="1"/>
  <c r="CC46" i="3"/>
  <c r="CF46" i="3" s="1"/>
  <c r="BP54" i="3"/>
  <c r="BS54" i="3" s="1"/>
  <c r="CD62" i="3"/>
  <c r="CG62" i="3" s="1"/>
  <c r="CD72" i="3"/>
  <c r="CG72" i="3" s="1"/>
  <c r="BA49" i="3"/>
  <c r="BD49" i="3" s="1"/>
  <c r="BO58" i="3"/>
  <c r="BR58" i="3" s="1"/>
  <c r="BO77" i="3"/>
  <c r="BR77" i="3" s="1"/>
  <c r="CC77" i="3"/>
  <c r="CF77" i="3" s="1"/>
  <c r="BO61" i="3"/>
  <c r="BR61" i="3" s="1"/>
  <c r="CC78" i="3"/>
  <c r="CF78" i="3" s="1"/>
  <c r="BP51" i="3"/>
  <c r="BS51" i="3" s="1"/>
  <c r="BB59" i="3"/>
  <c r="BE59" i="3" s="1"/>
  <c r="CD67" i="3"/>
  <c r="CG67" i="3" s="1"/>
  <c r="CD76" i="3"/>
  <c r="CG76" i="3" s="1"/>
  <c r="BO51" i="3"/>
  <c r="BR51" i="3" s="1"/>
  <c r="BA62" i="3"/>
  <c r="BD62" i="3" s="1"/>
  <c r="BP80" i="3"/>
  <c r="BS80" i="3" s="1"/>
  <c r="CC64" i="3"/>
  <c r="CF64" i="3" s="1"/>
  <c r="CD80" i="3"/>
  <c r="CG80" i="3" s="1"/>
  <c r="BP36" i="3"/>
  <c r="BS36" i="3" s="1"/>
  <c r="BB42" i="3"/>
  <c r="BE42" i="3" s="1"/>
  <c r="BA48" i="3"/>
  <c r="BD48" i="3" s="1"/>
  <c r="BP55" i="3"/>
  <c r="BS55" i="3" s="1"/>
  <c r="BP62" i="3"/>
  <c r="BS62" i="3" s="1"/>
  <c r="BP71" i="3"/>
  <c r="BS71" i="3" s="1"/>
  <c r="BO45" i="3"/>
  <c r="BR45" i="3" s="1"/>
  <c r="CC53" i="3"/>
  <c r="CF53" i="3" s="1"/>
  <c r="BA65" i="3"/>
  <c r="BD65" i="3" s="1"/>
  <c r="CD81" i="3"/>
  <c r="CG81" i="3" s="1"/>
  <c r="CC82" i="3"/>
  <c r="CF82" i="3" s="1"/>
  <c r="BB40" i="3"/>
  <c r="BE40" i="3" s="1"/>
  <c r="CD45" i="3"/>
  <c r="CG45" i="3" s="1"/>
  <c r="BA52" i="3"/>
  <c r="BD52" i="3" s="1"/>
  <c r="CD58" i="3"/>
  <c r="CG58" i="3" s="1"/>
  <c r="BP66" i="3"/>
  <c r="BS66" i="3" s="1"/>
  <c r="CD73" i="3"/>
  <c r="CG73" i="3" s="1"/>
  <c r="BB48" i="3"/>
  <c r="BE48" i="3" s="1"/>
  <c r="CC55" i="3"/>
  <c r="CF55" i="3" s="1"/>
  <c r="BA67" i="3"/>
  <c r="BD67" i="3" s="1"/>
  <c r="BB83" i="3"/>
  <c r="BE83" i="3" s="1"/>
  <c r="BB85" i="3"/>
  <c r="BE85" i="3" s="1"/>
  <c r="BO59" i="3"/>
  <c r="BR59" i="3" s="1"/>
  <c r="BO70" i="3"/>
  <c r="BR70" i="3" s="1"/>
  <c r="BP85" i="3"/>
  <c r="BS85" i="3" s="1"/>
  <c r="CD44" i="3"/>
  <c r="CG44" i="3" s="1"/>
  <c r="CC50" i="3"/>
  <c r="CF50" i="3" s="1"/>
  <c r="CD56" i="3"/>
  <c r="CG56" i="3" s="1"/>
  <c r="BB63" i="3"/>
  <c r="BE63" i="3" s="1"/>
  <c r="BB71" i="3"/>
  <c r="BE71" i="3" s="1"/>
  <c r="BB78" i="3"/>
  <c r="BE78" i="3" s="1"/>
  <c r="CC51" i="3"/>
  <c r="CF51" i="3" s="1"/>
  <c r="CC59" i="3"/>
  <c r="CF59" i="3" s="1"/>
  <c r="BA71" i="3"/>
  <c r="BD71" i="3" s="1"/>
  <c r="BA86" i="3"/>
  <c r="BD86" i="3" s="1"/>
  <c r="BO72" i="3"/>
  <c r="BR72" i="3" s="1"/>
  <c r="BA88" i="3"/>
  <c r="BD88" i="3" s="1"/>
  <c r="BB49" i="3"/>
  <c r="BE49" i="3" s="1"/>
  <c r="CD54" i="3"/>
  <c r="CG54" i="3" s="1"/>
  <c r="CD60" i="3"/>
  <c r="CG60" i="3" s="1"/>
  <c r="BP67" i="3"/>
  <c r="BS67" i="3" s="1"/>
  <c r="BB74" i="3"/>
  <c r="BE74" i="3" s="1"/>
  <c r="BA47" i="3"/>
  <c r="BD47" i="3" s="1"/>
  <c r="BA54" i="3"/>
  <c r="BD54" i="3" s="1"/>
  <c r="BO62" i="3"/>
  <c r="BR62" i="3" s="1"/>
  <c r="BA73" i="3"/>
  <c r="BD73" i="3" s="1"/>
  <c r="BO88" i="3"/>
  <c r="BR88" i="3" s="1"/>
  <c r="CC88" i="3"/>
  <c r="CF88" i="3" s="1"/>
  <c r="CC65" i="3"/>
  <c r="CF65" i="3" s="1"/>
  <c r="BO76" i="3"/>
  <c r="BR76" i="3" s="1"/>
  <c r="BB91" i="3"/>
  <c r="BE91" i="3" s="1"/>
  <c r="BO48" i="3"/>
  <c r="BR48" i="3" s="1"/>
  <c r="CD53" i="3"/>
  <c r="CG53" i="3" s="1"/>
  <c r="BP59" i="3"/>
  <c r="BS59" i="3" s="1"/>
  <c r="CD65" i="3"/>
  <c r="CG65" i="3" s="1"/>
  <c r="BB72" i="3"/>
  <c r="BE72" i="3" s="1"/>
  <c r="BP78" i="3"/>
  <c r="BS78" i="3" s="1"/>
  <c r="BA51" i="3"/>
  <c r="BD51" i="3" s="1"/>
  <c r="CC57" i="3"/>
  <c r="CF57" i="3" s="1"/>
  <c r="BA66" i="3"/>
  <c r="BD66" i="3" s="1"/>
  <c r="BA77" i="3"/>
  <c r="BD77" i="3" s="1"/>
  <c r="CD91" i="3"/>
  <c r="CG91" i="3" s="1"/>
  <c r="CD93" i="3"/>
  <c r="CG93" i="3" s="1"/>
  <c r="BA69" i="3"/>
  <c r="BD69" i="3" s="1"/>
  <c r="BB79" i="3"/>
  <c r="BE79" i="3" s="1"/>
  <c r="BA94" i="3"/>
  <c r="BD94" i="3" s="1"/>
  <c r="BP58" i="3"/>
  <c r="BS58" i="3" s="1"/>
  <c r="CD63" i="3"/>
  <c r="CG63" i="3" s="1"/>
  <c r="CD69" i="3"/>
  <c r="CG69" i="3" s="1"/>
  <c r="BP76" i="3"/>
  <c r="BS76" i="3" s="1"/>
  <c r="CD48" i="3"/>
  <c r="CG48" i="3" s="1"/>
  <c r="BO54" i="3"/>
  <c r="BR54" i="3" s="1"/>
  <c r="CC61" i="3"/>
  <c r="CF61" i="3" s="1"/>
  <c r="BO69" i="3"/>
  <c r="BR69" i="3" s="1"/>
  <c r="CD79" i="3"/>
  <c r="CG79" i="3" s="1"/>
  <c r="CC94" i="3"/>
  <c r="CF94" i="3" s="1"/>
  <c r="BA96" i="3"/>
  <c r="BD96" i="3" s="1"/>
  <c r="BO96" i="3"/>
  <c r="BR96" i="3" s="1"/>
  <c r="BA72" i="3"/>
  <c r="BD72" i="3" s="1"/>
  <c r="BA82" i="3"/>
  <c r="BD82" i="3" s="1"/>
  <c r="BO79" i="3"/>
  <c r="BR79" i="3" s="1"/>
  <c r="CC74" i="3"/>
  <c r="CF74" i="3" s="1"/>
  <c r="BO84" i="3"/>
  <c r="BR84" i="3" s="1"/>
  <c r="CC80" i="3"/>
  <c r="CF80" i="3" s="1"/>
  <c r="BP64" i="3"/>
  <c r="BS64" i="3" s="1"/>
  <c r="BP70" i="3"/>
  <c r="BS70" i="3" s="1"/>
  <c r="BB76" i="3"/>
  <c r="BE76" i="3" s="1"/>
  <c r="CC47" i="3"/>
  <c r="CF47" i="3" s="1"/>
  <c r="BO53" i="3"/>
  <c r="BR53" i="3" s="1"/>
  <c r="BA60" i="3"/>
  <c r="BD60" i="3" s="1"/>
  <c r="BO67" i="3"/>
  <c r="BR67" i="3" s="1"/>
  <c r="BA75" i="3"/>
  <c r="BD75" i="3" s="1"/>
  <c r="CC84" i="3"/>
  <c r="CF84" i="3" s="1"/>
  <c r="BA81" i="3"/>
  <c r="BD81" i="3" s="1"/>
  <c r="BA83" i="3"/>
  <c r="BD83" i="3" s="1"/>
  <c r="BP87" i="3"/>
  <c r="BS87" i="3" s="1"/>
  <c r="BO83" i="3"/>
  <c r="BR83" i="3" s="1"/>
  <c r="BO56" i="3"/>
  <c r="BR56" i="3" s="1"/>
  <c r="BA63" i="3"/>
  <c r="BD63" i="3" s="1"/>
  <c r="CC70" i="3"/>
  <c r="CF70" i="3" s="1"/>
  <c r="BO78" i="3"/>
  <c r="BR78" i="3" s="1"/>
  <c r="CD87" i="3"/>
  <c r="CG87" i="3" s="1"/>
  <c r="CC83" i="3"/>
  <c r="CF83" i="3" s="1"/>
  <c r="BA85" i="3"/>
  <c r="BD85" i="3" s="1"/>
  <c r="BO90" i="3"/>
  <c r="BR90" i="3" s="1"/>
  <c r="BI87" i="3"/>
  <c r="BL87" i="3" s="1"/>
  <c r="BO60" i="3"/>
  <c r="BR60" i="3" s="1"/>
  <c r="CC66" i="3"/>
  <c r="CF66" i="3" s="1"/>
  <c r="BO73" i="3"/>
  <c r="BR73" i="3" s="1"/>
  <c r="BB81" i="3"/>
  <c r="BE81" i="3" s="1"/>
  <c r="CC90" i="3"/>
  <c r="CF90" i="3" s="1"/>
  <c r="BV88" i="3"/>
  <c r="BY88" i="3" s="1"/>
  <c r="BP83" i="3"/>
  <c r="BS83" i="3" s="1"/>
  <c r="BA92" i="3"/>
  <c r="BD92" i="3" s="1"/>
  <c r="CK91" i="3"/>
  <c r="CN91" i="3" s="1"/>
  <c r="CD64" i="3"/>
  <c r="CG64" i="3" s="1"/>
  <c r="BB70" i="3"/>
  <c r="BE70" i="3" s="1"/>
  <c r="BP75" i="3"/>
  <c r="BS75" i="3" s="1"/>
  <c r="CD46" i="3"/>
  <c r="CG46" i="3" s="1"/>
  <c r="BP52" i="3"/>
  <c r="BS52" i="3" s="1"/>
  <c r="BO57" i="3"/>
  <c r="BR57" i="3" s="1"/>
  <c r="CC63" i="3"/>
  <c r="CF63" i="3" s="1"/>
  <c r="CC69" i="3"/>
  <c r="CF69" i="3" s="1"/>
  <c r="CC76" i="3"/>
  <c r="CF76" i="3" s="1"/>
  <c r="BA84" i="3"/>
  <c r="BD84" i="3" s="1"/>
  <c r="BO92" i="3"/>
  <c r="BR92" i="3" s="1"/>
  <c r="BI93" i="3"/>
  <c r="BL93" i="3" s="1"/>
  <c r="BI95" i="3"/>
  <c r="BL95" i="3" s="1"/>
  <c r="BP95" i="3"/>
  <c r="BS95" i="3" s="1"/>
  <c r="CK53" i="3"/>
  <c r="CN53" i="3" s="1"/>
  <c r="CC72" i="3"/>
  <c r="CF72" i="3" s="1"/>
  <c r="BP79" i="3"/>
  <c r="BS79" i="3" s="1"/>
  <c r="CC86" i="3"/>
  <c r="CF86" i="3" s="1"/>
  <c r="CD95" i="3"/>
  <c r="CG95" i="3" s="1"/>
  <c r="BI54" i="3"/>
  <c r="BL54" i="3" s="1"/>
  <c r="CK55" i="3"/>
  <c r="CN55" i="3" s="1"/>
  <c r="CC79" i="3"/>
  <c r="CF79" i="3" s="1"/>
  <c r="BI56" i="3"/>
  <c r="BL56" i="3" s="1"/>
  <c r="BP48" i="3"/>
  <c r="BS48" i="3" s="1"/>
  <c r="BA53" i="3"/>
  <c r="BD53" i="3" s="1"/>
  <c r="CC58" i="3"/>
  <c r="CF58" i="3" s="1"/>
  <c r="BO64" i="3"/>
  <c r="BR64" i="3" s="1"/>
  <c r="BA70" i="3"/>
  <c r="BD70" i="3" s="1"/>
  <c r="CC75" i="3"/>
  <c r="CF75" i="3" s="1"/>
  <c r="BO82" i="3"/>
  <c r="BR82" i="3" s="1"/>
  <c r="CD89" i="3"/>
  <c r="CG89" i="3" s="1"/>
  <c r="BO80" i="3"/>
  <c r="BR80" i="3" s="1"/>
  <c r="CK57" i="3"/>
  <c r="CN57" i="3" s="1"/>
  <c r="BW59" i="3"/>
  <c r="BZ59" i="3" s="1"/>
  <c r="CC81" i="3"/>
  <c r="CF81" i="3" s="1"/>
  <c r="CK59" i="3"/>
  <c r="CN59" i="3" s="1"/>
  <c r="BI62" i="3"/>
  <c r="BL62" i="3" s="1"/>
  <c r="BB84" i="3"/>
  <c r="BE84" i="3" s="1"/>
  <c r="CK62" i="3"/>
  <c r="CN62" i="3" s="1"/>
  <c r="BA58" i="3"/>
  <c r="BD58" i="3" s="1"/>
  <c r="BO63" i="3"/>
  <c r="BR63" i="3" s="1"/>
  <c r="CC68" i="3"/>
  <c r="CF68" i="3" s="1"/>
  <c r="BA74" i="3"/>
  <c r="BD74" i="3" s="1"/>
  <c r="BB80" i="3"/>
  <c r="BE80" i="3" s="1"/>
  <c r="BO86" i="3"/>
  <c r="BR86" i="3" s="1"/>
  <c r="BO94" i="3"/>
  <c r="BR94" i="3" s="1"/>
  <c r="BP84" i="3"/>
  <c r="BS84" i="3" s="1"/>
  <c r="BI64" i="3"/>
  <c r="BL64" i="3" s="1"/>
  <c r="CK65" i="3"/>
  <c r="CN65" i="3" s="1"/>
  <c r="BI89" i="3"/>
  <c r="BL89" i="3" s="1"/>
  <c r="BW67" i="3"/>
  <c r="BZ67" i="3" s="1"/>
  <c r="BB89" i="3"/>
  <c r="BE89" i="3" s="1"/>
  <c r="BF89" i="3" s="1"/>
  <c r="BB97" i="3"/>
  <c r="BE97" i="3" s="1"/>
  <c r="CK89" i="3"/>
  <c r="CN89" i="3" s="1"/>
  <c r="CK70" i="3"/>
  <c r="CN70" i="3" s="1"/>
  <c r="CK67" i="3"/>
  <c r="CN67" i="3" s="1"/>
  <c r="CK72" i="3"/>
  <c r="CN72" i="3" s="1"/>
  <c r="BI73" i="3"/>
  <c r="BL73" i="3" s="1"/>
  <c r="BI75" i="3"/>
  <c r="BL75" i="3" s="1"/>
  <c r="CC92" i="3"/>
  <c r="CF92" i="3" s="1"/>
  <c r="CD82" i="3"/>
  <c r="CG82" i="3" s="1"/>
  <c r="BI55" i="3"/>
  <c r="BL55" i="3" s="1"/>
  <c r="BH79" i="3"/>
  <c r="BK79" i="3" s="1"/>
  <c r="BW77" i="3"/>
  <c r="BZ77" i="3" s="1"/>
  <c r="CK78" i="3"/>
  <c r="CN78" i="3" s="1"/>
  <c r="BV81" i="3"/>
  <c r="BY81" i="3" s="1"/>
  <c r="BI61" i="3"/>
  <c r="BL61" i="3" s="1"/>
  <c r="CJ81" i="3"/>
  <c r="CM81" i="3" s="1"/>
  <c r="BA78" i="3"/>
  <c r="BD78" i="3" s="1"/>
  <c r="CD83" i="3"/>
  <c r="CG83" i="3" s="1"/>
  <c r="BA90" i="3"/>
  <c r="BD90" i="3" s="1"/>
  <c r="CC96" i="3"/>
  <c r="CF96" i="3" s="1"/>
  <c r="CK87" i="3"/>
  <c r="CN87" i="3" s="1"/>
  <c r="BW61" i="3"/>
  <c r="BZ61" i="3" s="1"/>
  <c r="BW84" i="3"/>
  <c r="BZ84" i="3" s="1"/>
  <c r="CK84" i="3"/>
  <c r="CN84" i="3" s="1"/>
  <c r="BW64" i="3"/>
  <c r="BZ64" i="3" s="1"/>
  <c r="BH85" i="3"/>
  <c r="BK85" i="3" s="1"/>
  <c r="BA76" i="3"/>
  <c r="BD76" i="3" s="1"/>
  <c r="BP81" i="3"/>
  <c r="BS81" i="3" s="1"/>
  <c r="BB87" i="3"/>
  <c r="BE87" i="3" s="1"/>
  <c r="BF87" i="3" s="1"/>
  <c r="BP93" i="3"/>
  <c r="BS93" i="3" s="1"/>
  <c r="BO81" i="3"/>
  <c r="BR81" i="3" s="1"/>
  <c r="BV94" i="3"/>
  <c r="BY94" i="3" s="1"/>
  <c r="BI65" i="3"/>
  <c r="BL65" i="3" s="1"/>
  <c r="CJ87" i="3"/>
  <c r="CM87" i="3" s="1"/>
  <c r="BI69" i="3"/>
  <c r="BL69" i="3" s="1"/>
  <c r="CK88" i="3"/>
  <c r="CN88" i="3" s="1"/>
  <c r="CK85" i="3"/>
  <c r="CN85" i="3" s="1"/>
  <c r="BI57" i="3"/>
  <c r="BL57" i="3" s="1"/>
  <c r="BW69" i="3"/>
  <c r="BZ69" i="3" s="1"/>
  <c r="BV89" i="3"/>
  <c r="BY89" i="3" s="1"/>
  <c r="CD85" i="3"/>
  <c r="CG85" i="3" s="1"/>
  <c r="BP91" i="3"/>
  <c r="BS91" i="3" s="1"/>
  <c r="BA79" i="3"/>
  <c r="BD79" i="3" s="1"/>
  <c r="BV86" i="3"/>
  <c r="BY86" i="3" s="1"/>
  <c r="BW57" i="3"/>
  <c r="BZ57" i="3" s="1"/>
  <c r="BW70" i="3"/>
  <c r="BZ70" i="3" s="1"/>
  <c r="BI90" i="3"/>
  <c r="BL90" i="3" s="1"/>
  <c r="CK90" i="3"/>
  <c r="CN90" i="3" s="1"/>
  <c r="BI74" i="3"/>
  <c r="BL74" i="3" s="1"/>
  <c r="BV91" i="3"/>
  <c r="BY91" i="3" s="1"/>
  <c r="BB82" i="3"/>
  <c r="BE82" i="3" s="1"/>
  <c r="BV92" i="3"/>
  <c r="BY92" i="3" s="1"/>
  <c r="CK61" i="3"/>
  <c r="CN61" i="3" s="1"/>
  <c r="CK74" i="3"/>
  <c r="CN74" i="3" s="1"/>
  <c r="BH93" i="3"/>
  <c r="BK93" i="3" s="1"/>
  <c r="CK75" i="3"/>
  <c r="CN75" i="3" s="1"/>
  <c r="BI92" i="3"/>
  <c r="BL92" i="3" s="1"/>
  <c r="BR27" i="3"/>
  <c r="CD84" i="3"/>
  <c r="CG84" i="3" s="1"/>
  <c r="CK54" i="3"/>
  <c r="CN54" i="3" s="1"/>
  <c r="CK64" i="3"/>
  <c r="CN64" i="3" s="1"/>
  <c r="BW78" i="3"/>
  <c r="BZ78" i="3" s="1"/>
  <c r="CJ93" i="3"/>
  <c r="CM93" i="3" s="1"/>
  <c r="CK58" i="3"/>
  <c r="CN58" i="3" s="1"/>
  <c r="BI68" i="3"/>
  <c r="BL68" i="3" s="1"/>
  <c r="BH80" i="3"/>
  <c r="BK80" i="3" s="1"/>
  <c r="BH95" i="3"/>
  <c r="BK95" i="3" s="1"/>
  <c r="BP89" i="3"/>
  <c r="BS89" i="3" s="1"/>
  <c r="BB95" i="3"/>
  <c r="BE95" i="3" s="1"/>
  <c r="BP82" i="3"/>
  <c r="BS82" i="3" s="1"/>
  <c r="BV90" i="3"/>
  <c r="BY90" i="3" s="1"/>
  <c r="BI59" i="3"/>
  <c r="BL59" i="3" s="1"/>
  <c r="CK68" i="3"/>
  <c r="CN68" i="3" s="1"/>
  <c r="CJ80" i="3"/>
  <c r="CM80" i="3" s="1"/>
  <c r="BV95" i="3"/>
  <c r="BY95" i="3" s="1"/>
  <c r="BI72" i="3"/>
  <c r="BL72" i="3" s="1"/>
  <c r="BW82" i="3"/>
  <c r="BZ82" i="3" s="1"/>
  <c r="CJ95" i="3"/>
  <c r="CM95" i="3" s="1"/>
  <c r="BB93" i="3"/>
  <c r="BE93" i="3" s="1"/>
  <c r="BA80" i="3"/>
  <c r="BD80" i="3" s="1"/>
  <c r="BO85" i="3"/>
  <c r="BR85" i="3" s="1"/>
  <c r="BW54" i="3"/>
  <c r="BZ54" i="3" s="1"/>
  <c r="BW62" i="3"/>
  <c r="BZ62" i="3" s="1"/>
  <c r="BW72" i="3"/>
  <c r="BZ72" i="3" s="1"/>
  <c r="CJ83" i="3"/>
  <c r="CM83" i="3" s="1"/>
  <c r="BI79" i="3"/>
  <c r="BL79" i="3" s="1"/>
  <c r="BW79" i="3"/>
  <c r="BZ79" i="3" s="1"/>
  <c r="CK86" i="3"/>
  <c r="CN86" i="3" s="1"/>
  <c r="BW81" i="3"/>
  <c r="BZ81" i="3" s="1"/>
  <c r="BI91" i="3"/>
  <c r="BL91" i="3" s="1"/>
  <c r="BW58" i="3"/>
  <c r="BZ58" i="3" s="1"/>
  <c r="BW66" i="3"/>
  <c r="BZ66" i="3" s="1"/>
  <c r="BW75" i="3"/>
  <c r="BZ75" i="3" s="1"/>
  <c r="BH87" i="3"/>
  <c r="BK87" i="3" s="1"/>
  <c r="CK81" i="3"/>
  <c r="CN81" i="3" s="1"/>
  <c r="BH96" i="3"/>
  <c r="BK96" i="3" s="1"/>
  <c r="BI60" i="3"/>
  <c r="BL60" i="3" s="1"/>
  <c r="BW68" i="3"/>
  <c r="BZ68" i="3" s="1"/>
  <c r="CK77" i="3"/>
  <c r="CN77" i="3" s="1"/>
  <c r="BI88" i="3"/>
  <c r="BL88" i="3" s="1"/>
  <c r="BV82" i="3"/>
  <c r="BY82" i="3" s="1"/>
  <c r="BI83" i="3"/>
  <c r="BL83" i="3" s="1"/>
  <c r="BW83" i="3"/>
  <c r="BZ83" i="3" s="1"/>
  <c r="BW56" i="3"/>
  <c r="BZ56" i="3" s="1"/>
  <c r="BW63" i="3"/>
  <c r="BZ63" i="3" s="1"/>
  <c r="CK71" i="3"/>
  <c r="CN71" i="3" s="1"/>
  <c r="BV80" i="3"/>
  <c r="BY80" i="3" s="1"/>
  <c r="BW90" i="3"/>
  <c r="BZ90" i="3" s="1"/>
  <c r="CK83" i="3"/>
  <c r="CN83" i="3" s="1"/>
  <c r="BH86" i="3"/>
  <c r="BK86" i="3" s="1"/>
  <c r="BW87" i="3"/>
  <c r="BZ87" i="3" s="1"/>
  <c r="CK66" i="3"/>
  <c r="CN66" i="3" s="1"/>
  <c r="BW74" i="3"/>
  <c r="BZ74" i="3" s="1"/>
  <c r="BH83" i="3"/>
  <c r="BK83" i="3" s="1"/>
  <c r="BW92" i="3"/>
  <c r="BZ92" i="3" s="1"/>
  <c r="BH88" i="3"/>
  <c r="BK88" i="3" s="1"/>
  <c r="BV85" i="3"/>
  <c r="BY85" i="3" s="1"/>
  <c r="BW94" i="3"/>
  <c r="BZ94" i="3" s="1"/>
  <c r="BW89" i="3"/>
  <c r="BZ89" i="3" s="1"/>
  <c r="CK56" i="3"/>
  <c r="CN56" i="3" s="1"/>
  <c r="BI63" i="3"/>
  <c r="BL63" i="3" s="1"/>
  <c r="BI70" i="3"/>
  <c r="BL70" i="3" s="1"/>
  <c r="BI78" i="3"/>
  <c r="BL78" i="3" s="1"/>
  <c r="BI86" i="3"/>
  <c r="BL86" i="3" s="1"/>
  <c r="CK94" i="3"/>
  <c r="CN94" i="3" s="1"/>
  <c r="BH90" i="3"/>
  <c r="BK90" i="3" s="1"/>
  <c r="BH92" i="3"/>
  <c r="BK92" i="3" s="1"/>
  <c r="BW96" i="3"/>
  <c r="BZ96" i="3" s="1"/>
  <c r="CJ92" i="3"/>
  <c r="CM92" i="3" s="1"/>
  <c r="BW60" i="3"/>
  <c r="BZ60" i="3" s="1"/>
  <c r="BI67" i="3"/>
  <c r="BL67" i="3" s="1"/>
  <c r="BW73" i="3"/>
  <c r="BZ73" i="3" s="1"/>
  <c r="BH81" i="3"/>
  <c r="BK81" i="3" s="1"/>
  <c r="BH89" i="3"/>
  <c r="BK89" i="3" s="1"/>
  <c r="BH97" i="3"/>
  <c r="BK97" i="3" s="1"/>
  <c r="BW93" i="3"/>
  <c r="BZ93" i="3" s="1"/>
  <c r="CK80" i="3"/>
  <c r="CN80" i="3" s="1"/>
  <c r="BI97" i="3"/>
  <c r="BL97" i="3" s="1"/>
  <c r="CK93" i="3"/>
  <c r="CN93" i="3" s="1"/>
  <c r="BI58" i="3"/>
  <c r="BL58" i="3" s="1"/>
  <c r="CK63" i="3"/>
  <c r="CN63" i="3" s="1"/>
  <c r="CK69" i="3"/>
  <c r="CN69" i="3" s="1"/>
  <c r="BI76" i="3"/>
  <c r="BL76" i="3" s="1"/>
  <c r="BI84" i="3"/>
  <c r="BL84" i="3" s="1"/>
  <c r="BH91" i="3"/>
  <c r="BK91" i="3" s="1"/>
  <c r="BI81" i="3"/>
  <c r="BL81" i="3" s="1"/>
  <c r="CK97" i="3"/>
  <c r="CN97" i="3" s="1"/>
  <c r="BI99" i="3"/>
  <c r="BL99" i="3" s="1"/>
  <c r="CK99" i="3"/>
  <c r="CN99" i="3" s="1"/>
  <c r="BV79" i="3"/>
  <c r="BY79" i="3" s="1"/>
  <c r="BW86" i="3"/>
  <c r="BZ86" i="3" s="1"/>
  <c r="BV93" i="3"/>
  <c r="CJ82" i="3"/>
  <c r="CM82" i="3" s="1"/>
  <c r="CK101" i="3"/>
  <c r="CN101" i="3" s="1"/>
  <c r="BH84" i="3"/>
  <c r="BK84" i="3" s="1"/>
  <c r="BV102" i="3"/>
  <c r="BY102" i="3" s="1"/>
  <c r="CJ84" i="3"/>
  <c r="CM84" i="3" s="1"/>
  <c r="BI103" i="3"/>
  <c r="BL103" i="3" s="1"/>
  <c r="BW76" i="3"/>
  <c r="BZ76" i="3" s="1"/>
  <c r="BV83" i="3"/>
  <c r="BY83" i="3" s="1"/>
  <c r="CJ89" i="3"/>
  <c r="CM89" i="3" s="1"/>
  <c r="BI96" i="3"/>
  <c r="BL96" i="3" s="1"/>
  <c r="BW85" i="3"/>
  <c r="BZ85" i="3" s="1"/>
  <c r="BH99" i="3"/>
  <c r="BK99" i="3" s="1"/>
  <c r="CJ99" i="3"/>
  <c r="CM99" i="3" s="1"/>
  <c r="BW100" i="3"/>
  <c r="BZ100" i="3" s="1"/>
  <c r="CK73" i="3"/>
  <c r="CN73" i="3" s="1"/>
  <c r="CJ79" i="3"/>
  <c r="CM79" i="3" s="1"/>
  <c r="CJ85" i="3"/>
  <c r="CM85" i="3" s="1"/>
  <c r="CJ91" i="3"/>
  <c r="CM91" i="3" s="1"/>
  <c r="BI80" i="3"/>
  <c r="BL80" i="3" s="1"/>
  <c r="CJ88" i="3"/>
  <c r="CM88" i="3" s="1"/>
  <c r="BH101" i="3"/>
  <c r="BK101" i="3" s="1"/>
  <c r="CJ90" i="3"/>
  <c r="CM90" i="3" s="1"/>
  <c r="CJ101" i="3"/>
  <c r="CM101" i="3" s="1"/>
  <c r="BW65" i="3"/>
  <c r="BZ65" i="3" s="1"/>
  <c r="BI71" i="3"/>
  <c r="BL71" i="3" s="1"/>
  <c r="BI77" i="3"/>
  <c r="BL77" i="3" s="1"/>
  <c r="CK82" i="3"/>
  <c r="CN82" i="3" s="1"/>
  <c r="BW88" i="3"/>
  <c r="BZ88" i="3" s="1"/>
  <c r="BI94" i="3"/>
  <c r="BL94" i="3" s="1"/>
  <c r="BH82" i="3"/>
  <c r="BK82" i="3" s="1"/>
  <c r="BW91" i="3"/>
  <c r="BZ91" i="3" s="1"/>
  <c r="BW102" i="3"/>
  <c r="BZ102" i="3" s="1"/>
  <c r="CJ96" i="3"/>
  <c r="CM96" i="3" s="1"/>
  <c r="BH103" i="3"/>
  <c r="BK103" i="3" s="1"/>
  <c r="CK95" i="3"/>
  <c r="CN95" i="3" s="1"/>
  <c r="CJ103" i="3"/>
  <c r="CM103" i="3" s="1"/>
  <c r="CK96" i="3"/>
  <c r="CN96" i="3" s="1"/>
  <c r="BV84" i="3"/>
  <c r="BY84" i="3" s="1"/>
  <c r="BV96" i="3"/>
  <c r="BY96" i="3" s="1"/>
  <c r="BW97" i="3"/>
  <c r="BZ97" i="3" s="1"/>
  <c r="BH98" i="3"/>
  <c r="BK98" i="3" s="1"/>
  <c r="BW80" i="3"/>
  <c r="BZ80" i="3" s="1"/>
  <c r="CJ86" i="3"/>
  <c r="CM86" i="3" s="1"/>
  <c r="BV98" i="3"/>
  <c r="BY98" i="3" s="1"/>
  <c r="CJ98" i="3"/>
  <c r="CM98" i="3" s="1"/>
  <c r="BV100" i="3"/>
  <c r="BY100" i="3" s="1"/>
  <c r="BW99" i="3"/>
  <c r="BZ99" i="3" s="1"/>
  <c r="BI101" i="3"/>
  <c r="BL101" i="3" s="1"/>
  <c r="BH100" i="3"/>
  <c r="BK100" i="3" s="1"/>
  <c r="BH94" i="3"/>
  <c r="BK94" i="3" s="1"/>
  <c r="CK103" i="3"/>
  <c r="CN103" i="3" s="1"/>
  <c r="CJ100" i="3"/>
  <c r="CM100" i="3" s="1"/>
  <c r="CJ94" i="3"/>
  <c r="CM94" i="3" s="1"/>
  <c r="CJ97" i="3"/>
  <c r="CM97" i="3" s="1"/>
  <c r="BW101" i="3"/>
  <c r="BZ101" i="3" s="1"/>
  <c r="BW55" i="3"/>
  <c r="BZ55" i="3" s="1"/>
  <c r="CK60" i="3"/>
  <c r="CN60" i="3" s="1"/>
  <c r="BI66" i="3"/>
  <c r="BL66" i="3" s="1"/>
  <c r="BW71" i="3"/>
  <c r="BZ71" i="3" s="1"/>
  <c r="CK76" i="3"/>
  <c r="CN76" i="3" s="1"/>
  <c r="BI82" i="3"/>
  <c r="BL82" i="3" s="1"/>
  <c r="BV87" i="3"/>
  <c r="BY87" i="3" s="1"/>
  <c r="CK92" i="3"/>
  <c r="CN92" i="3" s="1"/>
  <c r="CK79" i="3"/>
  <c r="CN79" i="3" s="1"/>
  <c r="BI85" i="3"/>
  <c r="BL85" i="3" s="1"/>
  <c r="BW95" i="3"/>
  <c r="BZ95" i="3" s="1"/>
  <c r="BW98" i="3"/>
  <c r="BZ98" i="3" s="1"/>
  <c r="BH102" i="3"/>
  <c r="BK102" i="3" s="1"/>
  <c r="CJ102" i="3"/>
  <c r="CM102" i="3" s="1"/>
  <c r="BS15" i="3"/>
  <c r="CM15" i="3"/>
  <c r="CF13" i="3"/>
  <c r="CF24" i="3"/>
  <c r="BR15" i="3"/>
  <c r="BS13" i="3"/>
  <c r="CG13" i="3"/>
  <c r="BD27" i="3"/>
  <c r="CF23" i="3"/>
  <c r="CH23" i="3" s="1"/>
  <c r="BK65" i="3"/>
  <c r="CH103" i="3"/>
  <c r="BF98" i="3"/>
  <c r="BF9" i="3"/>
  <c r="G55" i="4"/>
  <c r="G58" i="4"/>
  <c r="G52" i="4"/>
  <c r="G57" i="4"/>
  <c r="G53" i="4"/>
  <c r="G56" i="4"/>
  <c r="M54" i="4"/>
  <c r="M53" i="4"/>
  <c r="M55" i="4"/>
  <c r="M58" i="4"/>
  <c r="M56" i="4"/>
  <c r="M57" i="4"/>
  <c r="M52" i="4"/>
  <c r="CA8" i="3"/>
  <c r="BF103" i="3"/>
  <c r="BF99" i="3"/>
  <c r="BT97" i="3"/>
  <c r="CH5" i="3"/>
  <c r="CO19" i="3"/>
  <c r="CA33" i="3"/>
  <c r="CH59" i="3"/>
  <c r="CA103" i="3"/>
  <c r="CH99" i="3"/>
  <c r="CA3" i="3"/>
  <c r="CO6" i="3"/>
  <c r="BF101" i="3" l="1"/>
  <c r="BM46" i="3"/>
  <c r="BT18" i="3"/>
  <c r="BF21" i="3"/>
  <c r="BM44" i="3"/>
  <c r="BM21" i="3"/>
  <c r="BF46" i="3"/>
  <c r="CO41" i="3"/>
  <c r="CO76" i="3"/>
  <c r="CO47" i="3"/>
  <c r="CH51" i="3"/>
  <c r="CO54" i="3"/>
  <c r="CA45" i="3"/>
  <c r="CH54" i="3"/>
  <c r="CO18" i="3"/>
  <c r="BT40" i="3"/>
  <c r="CO77" i="3"/>
  <c r="BF77" i="3"/>
  <c r="BF56" i="3"/>
  <c r="BM10" i="3"/>
  <c r="BT20" i="3"/>
  <c r="CH42" i="3"/>
  <c r="CA78" i="3"/>
  <c r="CA26" i="3"/>
  <c r="CO43" i="3"/>
  <c r="CO73" i="3"/>
  <c r="CA75" i="3"/>
  <c r="CO39" i="3"/>
  <c r="CO46" i="3"/>
  <c r="CA5" i="3"/>
  <c r="CA64" i="3"/>
  <c r="BM88" i="3"/>
  <c r="BT83" i="3"/>
  <c r="BT24" i="3"/>
  <c r="BM25" i="3"/>
  <c r="BT102" i="3"/>
  <c r="BF26" i="3"/>
  <c r="BT26" i="3"/>
  <c r="BF19" i="3"/>
  <c r="BT9" i="3"/>
  <c r="BF29" i="3"/>
  <c r="CA68" i="3"/>
  <c r="CH87" i="3"/>
  <c r="CO8" i="3"/>
  <c r="BF5" i="3"/>
  <c r="BF6" i="3"/>
  <c r="G51" i="4"/>
  <c r="CO89" i="3"/>
  <c r="BF61" i="3"/>
  <c r="CO32" i="3"/>
  <c r="BM36" i="3"/>
  <c r="BM95" i="3"/>
  <c r="BT34" i="3"/>
  <c r="BM14" i="3"/>
  <c r="BF4" i="3"/>
  <c r="BM73" i="3"/>
  <c r="CO31" i="3"/>
  <c r="BT31" i="3"/>
  <c r="CH14" i="3"/>
  <c r="CO44" i="3"/>
  <c r="BF34" i="3"/>
  <c r="BT16" i="3"/>
  <c r="BM9" i="3"/>
  <c r="CO10" i="3"/>
  <c r="CO13" i="3"/>
  <c r="BT4" i="3"/>
  <c r="BF96" i="3"/>
  <c r="BM37" i="3"/>
  <c r="BF25" i="3"/>
  <c r="CH65" i="3"/>
  <c r="BM38" i="3"/>
  <c r="BT22" i="3"/>
  <c r="BF44" i="3"/>
  <c r="BF97" i="3"/>
  <c r="CA22" i="3"/>
  <c r="CA9" i="3"/>
  <c r="BT91" i="3"/>
  <c r="CH102" i="3"/>
  <c r="CA40" i="3"/>
  <c r="CH100" i="3"/>
  <c r="CA71" i="3"/>
  <c r="BF10" i="3"/>
  <c r="BF27" i="3"/>
  <c r="BF7" i="3"/>
  <c r="BT25" i="3"/>
  <c r="CA28" i="3"/>
  <c r="BT73" i="3"/>
  <c r="BM56" i="3"/>
  <c r="CA16" i="3"/>
  <c r="BT92" i="3"/>
  <c r="BF73" i="3"/>
  <c r="CO12" i="3"/>
  <c r="CA25" i="3"/>
  <c r="CO86" i="3"/>
  <c r="CO34" i="3"/>
  <c r="BT99" i="3"/>
  <c r="CA24" i="3"/>
  <c r="BF36" i="3"/>
  <c r="CH47" i="3"/>
  <c r="BM62" i="3"/>
  <c r="BT77" i="3"/>
  <c r="CH75" i="3"/>
  <c r="BF82" i="3"/>
  <c r="BF49" i="3"/>
  <c r="CA6" i="3"/>
  <c r="CO3" i="3"/>
  <c r="CA7" i="3"/>
  <c r="CH88" i="3"/>
  <c r="CH39" i="3"/>
  <c r="BM16" i="3"/>
  <c r="BT32" i="3"/>
  <c r="CH24" i="3"/>
  <c r="BT8" i="3"/>
  <c r="BM12" i="3"/>
  <c r="CO35" i="3"/>
  <c r="BT12" i="3"/>
  <c r="CH37" i="3"/>
  <c r="CO30" i="3"/>
  <c r="CH41" i="3"/>
  <c r="BM50" i="3"/>
  <c r="BF30" i="3"/>
  <c r="CA19" i="3"/>
  <c r="BF15" i="3"/>
  <c r="CO72" i="3"/>
  <c r="BM76" i="3"/>
  <c r="CA87" i="3"/>
  <c r="BF93" i="3"/>
  <c r="CH66" i="3"/>
  <c r="BF74" i="3"/>
  <c r="BF72" i="3"/>
  <c r="CH64" i="3"/>
  <c r="BF64" i="3"/>
  <c r="BT68" i="3"/>
  <c r="CH73" i="3"/>
  <c r="BT47" i="3"/>
  <c r="BF32" i="3"/>
  <c r="CA38" i="3"/>
  <c r="CA60" i="3"/>
  <c r="CO60" i="3"/>
  <c r="BM7" i="3"/>
  <c r="CO42" i="3"/>
  <c r="CA58" i="3"/>
  <c r="CA43" i="3"/>
  <c r="CH34" i="3"/>
  <c r="CH91" i="3"/>
  <c r="CO48" i="3"/>
  <c r="CH17" i="3"/>
  <c r="CA17" i="3"/>
  <c r="CH12" i="3"/>
  <c r="CA10" i="3"/>
  <c r="BT36" i="3"/>
  <c r="CH10" i="3"/>
  <c r="BF70" i="3"/>
  <c r="BT62" i="3"/>
  <c r="CH44" i="3"/>
  <c r="BM63" i="3"/>
  <c r="CH43" i="3"/>
  <c r="BT58" i="3"/>
  <c r="BM3" i="3"/>
  <c r="CO74" i="3"/>
  <c r="CA66" i="3"/>
  <c r="BT93" i="3"/>
  <c r="BF35" i="3"/>
  <c r="CH19" i="3"/>
  <c r="CA48" i="3"/>
  <c r="CH78" i="3"/>
  <c r="BM54" i="3"/>
  <c r="BF76" i="3"/>
  <c r="BF43" i="3"/>
  <c r="CA31" i="3"/>
  <c r="CO24" i="3"/>
  <c r="BT35" i="3"/>
  <c r="BT15" i="3"/>
  <c r="BT100" i="3"/>
  <c r="CA70" i="3"/>
  <c r="CA61" i="3"/>
  <c r="BM6" i="3"/>
  <c r="BT42" i="3"/>
  <c r="CH101" i="3"/>
  <c r="CA18" i="3"/>
  <c r="BF16" i="3"/>
  <c r="BM35" i="3"/>
  <c r="BT78" i="3"/>
  <c r="BF22" i="3"/>
  <c r="CH4" i="3"/>
  <c r="BF12" i="3"/>
  <c r="CH45" i="3"/>
  <c r="BT79" i="3"/>
  <c r="BT21" i="3"/>
  <c r="BF18" i="3"/>
  <c r="CO37" i="3"/>
  <c r="CH63" i="3"/>
  <c r="CH11" i="3"/>
  <c r="BY39" i="3"/>
  <c r="CA39" i="3" s="1"/>
  <c r="CO36" i="3"/>
  <c r="CA30" i="3"/>
  <c r="BT103" i="3"/>
  <c r="CO25" i="3"/>
  <c r="BT46" i="3"/>
  <c r="CA34" i="3"/>
  <c r="CH40" i="3"/>
  <c r="BR13" i="3"/>
  <c r="BT13" i="3" s="1"/>
  <c r="BT17" i="3"/>
  <c r="BM23" i="3"/>
  <c r="BT28" i="3"/>
  <c r="CH38" i="3"/>
  <c r="BT95" i="3"/>
  <c r="CH28" i="3"/>
  <c r="CH6" i="3"/>
  <c r="BF38" i="3"/>
  <c r="CA12" i="3"/>
  <c r="CA88" i="3"/>
  <c r="BT14" i="3"/>
  <c r="CO9" i="3"/>
  <c r="BM31" i="3"/>
  <c r="BM29" i="3"/>
  <c r="CO22" i="3"/>
  <c r="CO23" i="3"/>
  <c r="BM42" i="3"/>
  <c r="CA50" i="3"/>
  <c r="BM13" i="3"/>
  <c r="BF17" i="3"/>
  <c r="CH89" i="3"/>
  <c r="CO5" i="3"/>
  <c r="CA49" i="3"/>
  <c r="CH85" i="3"/>
  <c r="CO33" i="3"/>
  <c r="BF91" i="3"/>
  <c r="CA32" i="3"/>
  <c r="BT72" i="3"/>
  <c r="BM82" i="3"/>
  <c r="CO15" i="3"/>
  <c r="BF11" i="3"/>
  <c r="BT11" i="3"/>
  <c r="BM52" i="3"/>
  <c r="CO65" i="3"/>
  <c r="CA44" i="3"/>
  <c r="BT27" i="3"/>
  <c r="BF40" i="3"/>
  <c r="CH74" i="3"/>
  <c r="BM27" i="3"/>
  <c r="CA97" i="3"/>
  <c r="BM59" i="3"/>
  <c r="BM64" i="3"/>
  <c r="BM75" i="3"/>
  <c r="BM28" i="3"/>
  <c r="CO16" i="3"/>
  <c r="CO4" i="3"/>
  <c r="CO28" i="3"/>
  <c r="CH22" i="3"/>
  <c r="BM24" i="3"/>
  <c r="BT44" i="3"/>
  <c r="CO14" i="3"/>
  <c r="CO11" i="3"/>
  <c r="CH18" i="3"/>
  <c r="CO57" i="3"/>
  <c r="BM69" i="3"/>
  <c r="BF20" i="3"/>
  <c r="BT81" i="3"/>
  <c r="BF59" i="3"/>
  <c r="BT19" i="3"/>
  <c r="BM40" i="3"/>
  <c r="CH95" i="3"/>
  <c r="CO93" i="3"/>
  <c r="BF8" i="3"/>
  <c r="CA42" i="3"/>
  <c r="CH20" i="3"/>
  <c r="BF14" i="3"/>
  <c r="BF42" i="3"/>
  <c r="BM68" i="3"/>
  <c r="BM4" i="3"/>
  <c r="BM34" i="3"/>
  <c r="CH7" i="3"/>
  <c r="CO40" i="3"/>
  <c r="CO64" i="3"/>
  <c r="BM72" i="3"/>
  <c r="CA29" i="3"/>
  <c r="BM22" i="3"/>
  <c r="CH36" i="3"/>
  <c r="CO69" i="3"/>
  <c r="BT43" i="3"/>
  <c r="CH16" i="3"/>
  <c r="CO20" i="3"/>
  <c r="BM30" i="3"/>
  <c r="BK11" i="3"/>
  <c r="BK104" i="3" s="1"/>
  <c r="BT10" i="3"/>
  <c r="BY15" i="3"/>
  <c r="CA15" i="3" s="1"/>
  <c r="CA101" i="3"/>
  <c r="BF65" i="3"/>
  <c r="CO7" i="3"/>
  <c r="BF31" i="3"/>
  <c r="CH25" i="3"/>
  <c r="BT75" i="3"/>
  <c r="CH53" i="3"/>
  <c r="CA11" i="3"/>
  <c r="BF100" i="3"/>
  <c r="CH9" i="3"/>
  <c r="CO71" i="3"/>
  <c r="BD24" i="3"/>
  <c r="BD104" i="3" s="1"/>
  <c r="BT33" i="3"/>
  <c r="BT29" i="3"/>
  <c r="CH32" i="3"/>
  <c r="BT7" i="3"/>
  <c r="CO17" i="3"/>
  <c r="CO53" i="3"/>
  <c r="CA53" i="3"/>
  <c r="BT74" i="3"/>
  <c r="CO97" i="3"/>
  <c r="BF28" i="3"/>
  <c r="BM17" i="3"/>
  <c r="BT38" i="3"/>
  <c r="CO49" i="3"/>
  <c r="CF15" i="3"/>
  <c r="CH15" i="3" s="1"/>
  <c r="CA99" i="3"/>
  <c r="CA77" i="3"/>
  <c r="CF3" i="3"/>
  <c r="BM19" i="3"/>
  <c r="CA4" i="3"/>
  <c r="CO63" i="3"/>
  <c r="BT56" i="3"/>
  <c r="CO59" i="3"/>
  <c r="BY23" i="3"/>
  <c r="CA23" i="3" s="1"/>
  <c r="BM93" i="3"/>
  <c r="BF78" i="3"/>
  <c r="BT63" i="3"/>
  <c r="BM48" i="3"/>
  <c r="BT70" i="3"/>
  <c r="CH21" i="3"/>
  <c r="CA36" i="3"/>
  <c r="BT5" i="3"/>
  <c r="BM87" i="3"/>
  <c r="BF85" i="3"/>
  <c r="BT61" i="3"/>
  <c r="BT30" i="3"/>
  <c r="BT89" i="3"/>
  <c r="CO51" i="3"/>
  <c r="CA62" i="3"/>
  <c r="BT54" i="3"/>
  <c r="CH29" i="3"/>
  <c r="BG3" i="3"/>
  <c r="CO21" i="3"/>
  <c r="CA46" i="3"/>
  <c r="CH56" i="3"/>
  <c r="CH49" i="3"/>
  <c r="CA20" i="3"/>
  <c r="BT3" i="3"/>
  <c r="BM45" i="3"/>
  <c r="BM20" i="3"/>
  <c r="CH8" i="3"/>
  <c r="CH30" i="3"/>
  <c r="BF33" i="3"/>
  <c r="BT6" i="3"/>
  <c r="BT101" i="3"/>
  <c r="BF102" i="3"/>
  <c r="CA55" i="3"/>
  <c r="CA96" i="3"/>
  <c r="CO66" i="3"/>
  <c r="BF88" i="3"/>
  <c r="BT55" i="3"/>
  <c r="CH86" i="3"/>
  <c r="BM43" i="3"/>
  <c r="CH97" i="3"/>
  <c r="BM18" i="3"/>
  <c r="BM8" i="3"/>
  <c r="BT98" i="3"/>
  <c r="CH52" i="3"/>
  <c r="BM55" i="3"/>
  <c r="BF83" i="3"/>
  <c r="CA13" i="3"/>
  <c r="BM15" i="3"/>
  <c r="BM71" i="3"/>
  <c r="CH27" i="3"/>
  <c r="BM96" i="3"/>
  <c r="BF55" i="3"/>
  <c r="CO56" i="3"/>
  <c r="CH13" i="3"/>
  <c r="CA72" i="3"/>
  <c r="CH93" i="3"/>
  <c r="CH90" i="3"/>
  <c r="CH58" i="3"/>
  <c r="CO61" i="3"/>
  <c r="CO78" i="3"/>
  <c r="CA59" i="3"/>
  <c r="BT23" i="3"/>
  <c r="CA95" i="3"/>
  <c r="CH84" i="3"/>
  <c r="CH68" i="3"/>
  <c r="BM26" i="3"/>
  <c r="BF23" i="3"/>
  <c r="BF13" i="3"/>
  <c r="BT49" i="3"/>
  <c r="BM66" i="3"/>
  <c r="BF69" i="3"/>
  <c r="BM47" i="3"/>
  <c r="CA14" i="3"/>
  <c r="BT37" i="3"/>
  <c r="BF41" i="3"/>
  <c r="BF95" i="3"/>
  <c r="CA27" i="3"/>
  <c r="BM70" i="3"/>
  <c r="CH60" i="3"/>
  <c r="BF37" i="3"/>
  <c r="CO27" i="3"/>
  <c r="CA54" i="3"/>
  <c r="BF71" i="3"/>
  <c r="CH33" i="3"/>
  <c r="CA41" i="3"/>
  <c r="BM49" i="3"/>
  <c r="CO67" i="3"/>
  <c r="CA94" i="3"/>
  <c r="CH94" i="3"/>
  <c r="BF94" i="3"/>
  <c r="CA52" i="3"/>
  <c r="CH69" i="3"/>
  <c r="CA35" i="3"/>
  <c r="CA21" i="3"/>
  <c r="BM61" i="3"/>
  <c r="BF92" i="3"/>
  <c r="BF54" i="3"/>
  <c r="CH31" i="3"/>
  <c r="CO88" i="3"/>
  <c r="CA86" i="3"/>
  <c r="CH83" i="3"/>
  <c r="CA69" i="3"/>
  <c r="BM57" i="3"/>
  <c r="BM77" i="3"/>
  <c r="CA73" i="3"/>
  <c r="BM65" i="3"/>
  <c r="BT51" i="3"/>
  <c r="BM60" i="3"/>
  <c r="CO52" i="3"/>
  <c r="CO50" i="3"/>
  <c r="CA76" i="3"/>
  <c r="BM74" i="3"/>
  <c r="BT67" i="3"/>
  <c r="BT66" i="3"/>
  <c r="BF66" i="3"/>
  <c r="CO45" i="3"/>
  <c r="BM32" i="3"/>
  <c r="BM78" i="3"/>
  <c r="BM58" i="3"/>
  <c r="CO68" i="3"/>
  <c r="CA47" i="3"/>
  <c r="CO29" i="3"/>
  <c r="BF52" i="3"/>
  <c r="BM67" i="3"/>
  <c r="CO75" i="3"/>
  <c r="BT76" i="3"/>
  <c r="CH76" i="3"/>
  <c r="CH62" i="3"/>
  <c r="BF75" i="3"/>
  <c r="BT60" i="3"/>
  <c r="BF48" i="3"/>
  <c r="CO55" i="3"/>
  <c r="BT94" i="3"/>
  <c r="BM51" i="3"/>
  <c r="CO62" i="3"/>
  <c r="CA56" i="3"/>
  <c r="BF67" i="3"/>
  <c r="BM79" i="3"/>
  <c r="BY65" i="3"/>
  <c r="CA65" i="3" s="1"/>
  <c r="CH72" i="3"/>
  <c r="CA37" i="3"/>
  <c r="BM39" i="3"/>
  <c r="BF50" i="3"/>
  <c r="CA57" i="3"/>
  <c r="CO26" i="3"/>
  <c r="BT41" i="3"/>
  <c r="CH80" i="3"/>
  <c r="BM41" i="3"/>
  <c r="CO96" i="3"/>
  <c r="BT71" i="3"/>
  <c r="CH70" i="3"/>
  <c r="BF63" i="3"/>
  <c r="BF45" i="3"/>
  <c r="CO85" i="3"/>
  <c r="CH77" i="3"/>
  <c r="CO82" i="3"/>
  <c r="BM53" i="3"/>
  <c r="BT48" i="3"/>
  <c r="CO70" i="3"/>
  <c r="CA74" i="3"/>
  <c r="CA51" i="3"/>
  <c r="CH55" i="3"/>
  <c r="BF86" i="3"/>
  <c r="CA63" i="3"/>
  <c r="BR52" i="3"/>
  <c r="CH48" i="3"/>
  <c r="CO58" i="3"/>
  <c r="BT45" i="3"/>
  <c r="BM33" i="3"/>
  <c r="BT39" i="3"/>
  <c r="BF57" i="3"/>
  <c r="BT59" i="3"/>
  <c r="CH35" i="3"/>
  <c r="BM90" i="3"/>
  <c r="CO101" i="3"/>
  <c r="BM86" i="3"/>
  <c r="CO80" i="3"/>
  <c r="CO92" i="3"/>
  <c r="BT50" i="3"/>
  <c r="BF81" i="3"/>
  <c r="BT96" i="3"/>
  <c r="BM91" i="3"/>
  <c r="BT88" i="3"/>
  <c r="CA67" i="3"/>
  <c r="BF53" i="3"/>
  <c r="CH82" i="3"/>
  <c r="CH67" i="3"/>
  <c r="BF62" i="3"/>
  <c r="CH61" i="3"/>
  <c r="BF68" i="3"/>
  <c r="CO84" i="3"/>
  <c r="CO103" i="3"/>
  <c r="BT69" i="3"/>
  <c r="BT57" i="3"/>
  <c r="CH71" i="3"/>
  <c r="BF47" i="3"/>
  <c r="BF60" i="3"/>
  <c r="CH46" i="3"/>
  <c r="CH57" i="3"/>
  <c r="CH79" i="3"/>
  <c r="BM84" i="3"/>
  <c r="BT84" i="3"/>
  <c r="BF84" i="3"/>
  <c r="CH81" i="3"/>
  <c r="BT53" i="3"/>
  <c r="BF79" i="3"/>
  <c r="BT90" i="3"/>
  <c r="CH50" i="3"/>
  <c r="BM103" i="3"/>
  <c r="CO91" i="3"/>
  <c r="BF51" i="3"/>
  <c r="BT82" i="3"/>
  <c r="CO94" i="3"/>
  <c r="CA84" i="3"/>
  <c r="BT64" i="3"/>
  <c r="BM92" i="3"/>
  <c r="BF58" i="3"/>
  <c r="BF80" i="3"/>
  <c r="BF90" i="3"/>
  <c r="CO87" i="3"/>
  <c r="CO81" i="3"/>
  <c r="BM101" i="3"/>
  <c r="CO83" i="3"/>
  <c r="BT86" i="3"/>
  <c r="BT80" i="3"/>
  <c r="CA82" i="3"/>
  <c r="CH92" i="3"/>
  <c r="BM99" i="3"/>
  <c r="CA89" i="3"/>
  <c r="CA81" i="3"/>
  <c r="CA80" i="3"/>
  <c r="CA98" i="3"/>
  <c r="CA85" i="3"/>
  <c r="BM94" i="3"/>
  <c r="CA91" i="3"/>
  <c r="CH96" i="3"/>
  <c r="BT85" i="3"/>
  <c r="CO90" i="3"/>
  <c r="BM80" i="3"/>
  <c r="CO99" i="3"/>
  <c r="BM97" i="3"/>
  <c r="BM85" i="3"/>
  <c r="BM81" i="3"/>
  <c r="BM89" i="3"/>
  <c r="CA90" i="3"/>
  <c r="CA100" i="3"/>
  <c r="BM100" i="3"/>
  <c r="CA92" i="3"/>
  <c r="BM83" i="3"/>
  <c r="CO98" i="3"/>
  <c r="BY93" i="3"/>
  <c r="CA93" i="3" s="1"/>
  <c r="CA83" i="3"/>
  <c r="CO95" i="3"/>
  <c r="CA102" i="3"/>
  <c r="CO79" i="3"/>
  <c r="CA79" i="3"/>
  <c r="CO102" i="3"/>
  <c r="BM98" i="3"/>
  <c r="BM102" i="3"/>
  <c r="CO100" i="3"/>
  <c r="BZ104" i="3"/>
  <c r="BS104" i="3"/>
  <c r="CG104" i="3"/>
  <c r="CN104" i="3"/>
  <c r="BL104" i="3"/>
  <c r="BE104" i="3"/>
  <c r="J53" i="4"/>
  <c r="J54" i="4"/>
  <c r="J56" i="4"/>
  <c r="J52" i="4"/>
  <c r="J55" i="4"/>
  <c r="J57" i="4"/>
  <c r="J58" i="4"/>
  <c r="J51" i="4"/>
  <c r="BF39" i="3"/>
  <c r="G54" i="4"/>
  <c r="CO38" i="3"/>
  <c r="CM104" i="3"/>
  <c r="CH26" i="3"/>
  <c r="BF3" i="3"/>
  <c r="BT52" i="3" l="1"/>
  <c r="BT104" i="3" s="1"/>
  <c r="B30" i="6" s="1"/>
  <c r="M51" i="4"/>
  <c r="BR104" i="3"/>
  <c r="CF104" i="3"/>
  <c r="CH3" i="3"/>
  <c r="CH104" i="3" s="1"/>
  <c r="B32" i="6" s="1"/>
  <c r="BF24" i="3"/>
  <c r="BM11" i="3"/>
  <c r="BM104" i="3" s="1"/>
  <c r="B29" i="6" s="1"/>
  <c r="BY104" i="3"/>
  <c r="CA104" i="3"/>
  <c r="B31" i="6" s="1"/>
  <c r="CO104" i="3"/>
  <c r="B33" i="6" s="1"/>
  <c r="BF104" i="3"/>
  <c r="B28" i="6" s="1"/>
  <c r="M60" i="4" l="1"/>
  <c r="M61" i="4" s="1"/>
  <c r="M63" i="4" s="1"/>
  <c r="M64" i="4" s="1"/>
  <c r="G60" i="4"/>
  <c r="G61" i="4" s="1"/>
  <c r="J60" i="4"/>
  <c r="J72" i="4" s="1"/>
  <c r="M78" i="4" l="1"/>
  <c r="M81" i="4" s="1"/>
  <c r="M66" i="4"/>
  <c r="M70" i="4" s="1"/>
  <c r="E27" i="2"/>
  <c r="M72" i="4"/>
  <c r="M76" i="4" s="1"/>
  <c r="G66" i="4"/>
  <c r="G70" i="4" s="1"/>
  <c r="G78" i="4"/>
  <c r="G82" i="4" s="1"/>
  <c r="G72" i="4"/>
  <c r="G76" i="4" s="1"/>
  <c r="C27" i="2"/>
  <c r="G63" i="4"/>
  <c r="G64" i="4" s="1"/>
  <c r="J78" i="4"/>
  <c r="J61" i="4"/>
  <c r="J66" i="4"/>
  <c r="J70" i="4" s="1"/>
  <c r="D27" i="2"/>
  <c r="J76" i="4"/>
  <c r="M79" i="4" l="1"/>
  <c r="M80" i="4" s="1"/>
  <c r="G79" i="4"/>
  <c r="G80" i="4" s="1"/>
  <c r="M67" i="4"/>
  <c r="M68" i="4" s="1"/>
  <c r="G69" i="4"/>
  <c r="G73" i="4"/>
  <c r="G74" i="4" s="1"/>
  <c r="M69" i="4"/>
  <c r="M73" i="4"/>
  <c r="M74" i="4" s="1"/>
  <c r="M75" i="4"/>
  <c r="G81" i="4"/>
  <c r="G67" i="4"/>
  <c r="G68" i="4" s="1"/>
  <c r="M82" i="4"/>
  <c r="G75" i="4"/>
  <c r="J69" i="4"/>
  <c r="J81" i="4"/>
  <c r="J79" i="4"/>
  <c r="J80" i="4" s="1"/>
  <c r="J75" i="4"/>
  <c r="J67" i="4"/>
  <c r="J68" i="4" s="1"/>
  <c r="J82" i="4"/>
  <c r="J73" i="4"/>
  <c r="J74" i="4" s="1"/>
  <c r="J63" i="4"/>
  <c r="J64" i="4" s="1"/>
</calcChain>
</file>

<file path=xl/sharedStrings.xml><?xml version="1.0" encoding="utf-8"?>
<sst xmlns="http://schemas.openxmlformats.org/spreadsheetml/2006/main" count="32247" uniqueCount="28772">
  <si>
    <t>SEGUROS  ATLAS,  S.A.</t>
  </si>
  <si>
    <t>MUNDIAL1</t>
  </si>
  <si>
    <t>MUNDIAL2</t>
  </si>
  <si>
    <t>MUNDIAL3</t>
  </si>
  <si>
    <t>Rango</t>
  </si>
  <si>
    <t>Hombres</t>
  </si>
  <si>
    <t>Mujeres</t>
  </si>
  <si>
    <t xml:space="preserve">Suma Asegurada </t>
  </si>
  <si>
    <t>Deducible:</t>
  </si>
  <si>
    <t>Coaseguro:</t>
  </si>
  <si>
    <t>Zona (A/B/C):</t>
  </si>
  <si>
    <t>Gastos funerarios por rango de edad</t>
  </si>
  <si>
    <t>L01</t>
  </si>
  <si>
    <t>C</t>
  </si>
  <si>
    <t>Continuación familiar (SI/NO):</t>
  </si>
  <si>
    <t>A</t>
  </si>
  <si>
    <t>C01</t>
  </si>
  <si>
    <t>Edad</t>
  </si>
  <si>
    <t>B</t>
  </si>
  <si>
    <t>S00</t>
  </si>
  <si>
    <t>C00</t>
  </si>
  <si>
    <t>D00</t>
  </si>
  <si>
    <t>G00</t>
  </si>
  <si>
    <t>Participantes</t>
  </si>
  <si>
    <t>H00</t>
  </si>
  <si>
    <t>de edad</t>
  </si>
  <si>
    <t>L00</t>
  </si>
  <si>
    <t>Y00</t>
  </si>
  <si>
    <t>G05</t>
  </si>
  <si>
    <t>M00</t>
  </si>
  <si>
    <t>P00</t>
  </si>
  <si>
    <t>Q00</t>
  </si>
  <si>
    <t>M05</t>
  </si>
  <si>
    <t>T00</t>
  </si>
  <si>
    <t>P01</t>
  </si>
  <si>
    <t>Comisión</t>
  </si>
  <si>
    <t>Total</t>
  </si>
  <si>
    <t>Titulares</t>
  </si>
  <si>
    <t>Dependientes</t>
  </si>
  <si>
    <t>Participantes Maternidad</t>
  </si>
  <si>
    <t>FECHA DE</t>
  </si>
  <si>
    <t>NACIMIENTO</t>
  </si>
  <si>
    <t>EDAD</t>
  </si>
  <si>
    <t>PARENTESCO</t>
  </si>
  <si>
    <t>SEXO</t>
  </si>
  <si>
    <t>HOMBRES</t>
  </si>
  <si>
    <t>MUJERES</t>
  </si>
  <si>
    <t xml:space="preserve">Descuento Aplicable por Oficina   </t>
  </si>
  <si>
    <t>X</t>
  </si>
  <si>
    <t>RESUMEN TOTAL</t>
  </si>
  <si>
    <t>RESUMEN MATERNIDAD TITULARES</t>
  </si>
  <si>
    <t>RANGO</t>
  </si>
  <si>
    <t>TOTAL</t>
  </si>
  <si>
    <t>M</t>
  </si>
  <si>
    <t>&lt;&gt;T</t>
  </si>
  <si>
    <t>F</t>
  </si>
  <si>
    <t>T</t>
  </si>
  <si>
    <t>M14</t>
  </si>
  <si>
    <t>Enfermedades Catastroficas</t>
  </si>
  <si>
    <t>Coaseguro</t>
  </si>
  <si>
    <t>Mundial</t>
  </si>
  <si>
    <t>Participantes Cont. Familiar y gastos funerarios</t>
  </si>
  <si>
    <t>RESUMEN CONT. FAMILIAR GASTOS FUNERARIOS</t>
  </si>
  <si>
    <t>Plus</t>
  </si>
  <si>
    <t>H</t>
  </si>
  <si>
    <t>M20</t>
  </si>
  <si>
    <t>(DD/MM/AAAA)</t>
  </si>
  <si>
    <t>OBSERVACIONES</t>
  </si>
  <si>
    <t>PARENTESCO
( T / C / H )</t>
  </si>
  <si>
    <t>SEXO
( M / F )</t>
  </si>
  <si>
    <t>Prima</t>
  </si>
  <si>
    <t>Anual</t>
  </si>
  <si>
    <t>Semestral</t>
  </si>
  <si>
    <t>Mensual</t>
  </si>
  <si>
    <t>Recargo por Pago Fraccionado</t>
  </si>
  <si>
    <t>Trimestral</t>
  </si>
  <si>
    <t>Gastos de Expedición</t>
  </si>
  <si>
    <t>Costo x Tarjeta</t>
  </si>
  <si>
    <t>De</t>
  </si>
  <si>
    <t>Hasta</t>
  </si>
  <si>
    <t>RESUMEN TITULARES</t>
  </si>
  <si>
    <t>FACTOR TOTAL:</t>
  </si>
  <si>
    <t>Q02</t>
  </si>
  <si>
    <t>Y02</t>
  </si>
  <si>
    <t>Inicio de Vigencia</t>
  </si>
  <si>
    <t>Suma Asegurada</t>
  </si>
  <si>
    <t>Deducible</t>
  </si>
  <si>
    <t>Continuación Familiar</t>
  </si>
  <si>
    <t>Tope de Coaseguro</t>
  </si>
  <si>
    <t>Maternidad</t>
  </si>
  <si>
    <t>Capturar Listado de Asegurados</t>
  </si>
  <si>
    <t>Vigencia de tarifa:</t>
  </si>
  <si>
    <t>Vigencia póliza:</t>
  </si>
  <si>
    <t>1ER SUBTOTAL, PARA SUMAS ASEGURADAS MAYORES A 2,000 SMGMDF DONDE NO SE ACEPTAN ASEGURADOS MAYORES DE 59 AÑOS</t>
  </si>
  <si>
    <t>2D0 SUBTOTAL, PARA COTIZACIONES DONDE NO SE ACEPTAN ASEGURADOS MAYORES DE 64 AÑOS</t>
  </si>
  <si>
    <t>P06</t>
  </si>
  <si>
    <t>MUNDIAL1, C</t>
  </si>
  <si>
    <t>MUNDIAL1, B</t>
  </si>
  <si>
    <t>MUNDIAL1, A</t>
  </si>
  <si>
    <t>MUNDIAL2, C</t>
  </si>
  <si>
    <t>MUNDIAL2, B</t>
  </si>
  <si>
    <t>MUNDIAL2, A</t>
  </si>
  <si>
    <t>MUNDIAL3, C</t>
  </si>
  <si>
    <t>MUNDIAL3, B</t>
  </si>
  <si>
    <t>MUNDIAL3, A</t>
  </si>
  <si>
    <t>H02</t>
  </si>
  <si>
    <t>T02</t>
  </si>
  <si>
    <t>P07</t>
  </si>
  <si>
    <t>P09</t>
  </si>
  <si>
    <t>I ELITE</t>
  </si>
  <si>
    <t>I PLUS</t>
  </si>
  <si>
    <t>I OPTIMO</t>
  </si>
  <si>
    <t>TOPE</t>
  </si>
  <si>
    <t>Plan</t>
  </si>
  <si>
    <t>Errores</t>
  </si>
  <si>
    <t xml:space="preserve">Deducible </t>
  </si>
  <si>
    <t>Tope Coaseguro</t>
  </si>
  <si>
    <t>Prima Neta:</t>
  </si>
  <si>
    <t>Y10</t>
  </si>
  <si>
    <t>Honorarios Quirúrgicos</t>
  </si>
  <si>
    <t>F10</t>
  </si>
  <si>
    <t>P08</t>
  </si>
  <si>
    <t>FAM</t>
  </si>
  <si>
    <t>G11</t>
  </si>
  <si>
    <t>RESUMEN MATERNIDAD DEPENDTS MUJERES</t>
  </si>
  <si>
    <t>HIJAS</t>
  </si>
  <si>
    <t>CONYUGES</t>
  </si>
  <si>
    <t>Tarifa</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</si>
  <si>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</si>
  <si>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</si>
  <si>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</si>
  <si>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</si>
  <si>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</si>
  <si>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</si>
  <si>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</si>
  <si>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</si>
  <si>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</si>
  <si>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</si>
  <si>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</si>
  <si>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</si>
  <si>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</si>
  <si>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</si>
  <si>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</si>
  <si>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</si>
  <si>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</si>
  <si>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</si>
  <si>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</si>
  <si>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</si>
  <si>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</si>
  <si>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</si>
  <si>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</si>
  <si>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</si>
  <si>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</si>
  <si>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</si>
  <si>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</si>
  <si>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</si>
  <si>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</si>
  <si>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</si>
  <si>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</si>
  <si>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</si>
  <si>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</si>
  <si>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</si>
  <si>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</si>
  <si>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</si>
  <si>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</si>
  <si>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</si>
  <si>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</si>
  <si>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</si>
  <si>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</si>
  <si>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</si>
  <si>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</si>
  <si>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</si>
  <si>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</si>
  <si>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</si>
  <si>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</si>
  <si>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</si>
  <si>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</si>
  <si>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</si>
  <si>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</si>
  <si>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</si>
  <si>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</si>
  <si>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</si>
  <si>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</si>
  <si>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</si>
  <si>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</si>
  <si>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</si>
  <si>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</si>
  <si>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</si>
  <si>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</si>
  <si>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</si>
  <si>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</si>
  <si>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</si>
  <si>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</si>
  <si>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</si>
  <si>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</si>
  <si>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</si>
  <si>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</si>
  <si>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</si>
  <si>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</si>
  <si>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</si>
  <si>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</si>
  <si>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</si>
  <si>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</si>
  <si>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</si>
  <si>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</si>
  <si>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</si>
  <si>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</si>
  <si>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</si>
  <si>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</si>
  <si>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</si>
  <si>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</si>
  <si>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</si>
  <si>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</si>
  <si>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</si>
  <si>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</si>
  <si>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</si>
  <si>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</si>
  <si>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</si>
  <si>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</si>
  <si>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</si>
  <si>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</si>
  <si>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</si>
  <si>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</si>
  <si>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</si>
  <si>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</si>
  <si>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</si>
  <si>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</si>
  <si>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</si>
  <si>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</si>
  <si>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Gastos Funerarios Dependientes Económicos</t>
  </si>
  <si>
    <t>Elite</t>
  </si>
  <si>
    <t>Óptimo</t>
  </si>
  <si>
    <t xml:space="preserve">Mundial </t>
  </si>
  <si>
    <t>20,000</t>
  </si>
  <si>
    <t>25,000</t>
  </si>
  <si>
    <t>30,000</t>
  </si>
  <si>
    <t>35,000</t>
  </si>
  <si>
    <t>40,000</t>
  </si>
  <si>
    <t>45,000</t>
  </si>
  <si>
    <t>50,000</t>
  </si>
  <si>
    <t>55,000</t>
  </si>
  <si>
    <t>60,000</t>
  </si>
  <si>
    <t>65,000</t>
  </si>
  <si>
    <t>70,000</t>
  </si>
  <si>
    <t>75,000</t>
  </si>
  <si>
    <t>80,000</t>
  </si>
  <si>
    <t>85,000</t>
  </si>
  <si>
    <t>90,000</t>
  </si>
  <si>
    <t>95,000</t>
  </si>
  <si>
    <t>100,000</t>
  </si>
  <si>
    <t>Sexo</t>
  </si>
  <si>
    <t>Tarifa aplicable PLUS</t>
  </si>
  <si>
    <t>Primas netas anuales PLUS</t>
  </si>
  <si>
    <t>Tarifa aplicable OPTIMO</t>
  </si>
  <si>
    <t>Primas netas anuales OPTIMO</t>
  </si>
  <si>
    <t>Tarifa aplicable ELITE</t>
  </si>
  <si>
    <t>Primas netas anuales ELITE</t>
  </si>
  <si>
    <t>Tarifa aplicable MUNDIAL 500</t>
  </si>
  <si>
    <t>Primas netas anuales MUNDIAL 500</t>
  </si>
  <si>
    <t>Tarifa aplicable MUNDIAL 1000</t>
  </si>
  <si>
    <t>Primas netas anuales MUNDIAL 1000</t>
  </si>
  <si>
    <t>Tarifa aplicable MUNDIAL 2000</t>
  </si>
  <si>
    <t>Primas netas anuales MUNDIAL 2000</t>
  </si>
  <si>
    <t>Aseg mayor con SA &gt;2000</t>
  </si>
  <si>
    <t>TIPO DE PLAN</t>
  </si>
  <si>
    <t>Oficina  Regional</t>
  </si>
  <si>
    <t>Rango de edad</t>
  </si>
  <si>
    <t>Factor</t>
  </si>
  <si>
    <t>CUA</t>
  </si>
  <si>
    <t>Celaya</t>
  </si>
  <si>
    <t>Chihuahua</t>
  </si>
  <si>
    <t>Cuernavaca</t>
  </si>
  <si>
    <t>Guadalajara</t>
  </si>
  <si>
    <t>Hermosillo</t>
  </si>
  <si>
    <t>Irapuato</t>
  </si>
  <si>
    <t>Monterrey</t>
  </si>
  <si>
    <t>Morelia</t>
  </si>
  <si>
    <t>Puebla</t>
  </si>
  <si>
    <t>Reynosa</t>
  </si>
  <si>
    <t>Saltillo</t>
  </si>
  <si>
    <t>Villahermosa</t>
  </si>
  <si>
    <t>Tampico</t>
  </si>
  <si>
    <t>Tijuana</t>
  </si>
  <si>
    <t>Veracruz</t>
  </si>
  <si>
    <t>Pachuca</t>
  </si>
  <si>
    <t>Nogales</t>
  </si>
  <si>
    <t>La Paz</t>
  </si>
  <si>
    <t>Mexicali</t>
  </si>
  <si>
    <t>Oaxaca</t>
  </si>
  <si>
    <t>Metepec</t>
  </si>
  <si>
    <t>Acapulco</t>
  </si>
  <si>
    <t>Colima</t>
  </si>
  <si>
    <t>Fecha</t>
  </si>
  <si>
    <t>Primer recibo:</t>
  </si>
  <si>
    <t>Recibos subsecuentes:</t>
  </si>
  <si>
    <t>Gastos de expedición:</t>
  </si>
  <si>
    <t>Impuesto:</t>
  </si>
  <si>
    <t>Recargo Pag Frac:</t>
  </si>
  <si>
    <t>PRIMA TOTAL:</t>
  </si>
  <si>
    <t>Recibo subsecuente:</t>
  </si>
  <si>
    <t>Opciones de SA</t>
  </si>
  <si>
    <t>El deducible debe ser 500 DLLS</t>
  </si>
  <si>
    <t>El deducible debe ser 1,000 DLLS</t>
  </si>
  <si>
    <t>SA FUNERArios</t>
  </si>
  <si>
    <t>Total Prima Neta :</t>
  </si>
  <si>
    <t>Ciudad Obregón</t>
  </si>
  <si>
    <t>H01</t>
  </si>
  <si>
    <t>C16</t>
  </si>
  <si>
    <t>Y01</t>
  </si>
  <si>
    <t>L07</t>
  </si>
  <si>
    <t>T03</t>
  </si>
  <si>
    <t>L06</t>
  </si>
  <si>
    <t>M11</t>
  </si>
  <si>
    <t>LLAVE</t>
  </si>
  <si>
    <t>MATERNIDAD</t>
  </si>
  <si>
    <t>Playa Del Carmen</t>
  </si>
  <si>
    <t>Y11</t>
  </si>
  <si>
    <t>Suma asegurada</t>
  </si>
  <si>
    <t>Continuación familiar</t>
  </si>
  <si>
    <t>Suma Asegurada:</t>
  </si>
  <si>
    <t>Número de póliza renovación</t>
  </si>
  <si>
    <t xml:space="preserve">Primas netas </t>
  </si>
  <si>
    <t>Argumento 2</t>
  </si>
  <si>
    <t>Argumento 1</t>
  </si>
  <si>
    <t>Cancún</t>
  </si>
  <si>
    <t>Ciudad Cuauhtémoc</t>
  </si>
  <si>
    <t>Ciudad Juárez</t>
  </si>
  <si>
    <t>Culiacán</t>
  </si>
  <si>
    <t>León</t>
  </si>
  <si>
    <t>Mérida</t>
  </si>
  <si>
    <t>Querétaro</t>
  </si>
  <si>
    <t>San Luis Potosí</t>
  </si>
  <si>
    <t>Torreón</t>
  </si>
  <si>
    <t>Durango</t>
  </si>
  <si>
    <t>Puerto Vallarta</t>
  </si>
  <si>
    <t>M25</t>
  </si>
  <si>
    <t>G15</t>
  </si>
  <si>
    <t>Tuxtla Gutierrez</t>
  </si>
  <si>
    <t>Aguascalientes</t>
  </si>
  <si>
    <t>UMAM: UNIDAD DE MEDIDA Y ACTUALIZACIÓN MENSUAL</t>
  </si>
  <si>
    <t>Sin Limite</t>
  </si>
  <si>
    <t>Gastos Funerarios Titulares</t>
  </si>
  <si>
    <t>Gastos Funerarios Titular</t>
  </si>
  <si>
    <t xml:space="preserve">Para más información sobre UMAM visite la página: </t>
  </si>
  <si>
    <t>Para consultar la Red Médica y Hospitalaria visite la página:</t>
  </si>
  <si>
    <t>http://www.segurosatlas.com.mx/OficinasAtencion.html</t>
  </si>
  <si>
    <t xml:space="preserve">Ciudad Del Carmen </t>
  </si>
  <si>
    <t>Y17</t>
  </si>
  <si>
    <t>Y15</t>
  </si>
  <si>
    <t>Coatzacoalcos</t>
  </si>
  <si>
    <t>Factor A Y E</t>
  </si>
  <si>
    <t>Factor  E</t>
  </si>
  <si>
    <t>%</t>
  </si>
  <si>
    <t>Nacional y Mundial</t>
  </si>
  <si>
    <t>Carta</t>
  </si>
  <si>
    <t>Combo</t>
  </si>
  <si>
    <t xml:space="preserve">Número </t>
  </si>
  <si>
    <t>Clave</t>
  </si>
  <si>
    <t>Zona</t>
  </si>
  <si>
    <t>Descuento Nacional</t>
  </si>
  <si>
    <t>Descuento Mundial</t>
  </si>
  <si>
    <t xml:space="preserve">CUA al 75% ? </t>
  </si>
  <si>
    <t>Factor Coaseguro</t>
  </si>
  <si>
    <t>Tope coaseguro</t>
  </si>
  <si>
    <t>Factor Tope</t>
  </si>
  <si>
    <t>Llave</t>
  </si>
  <si>
    <t xml:space="preserve">Factor </t>
  </si>
  <si>
    <t>Coaseguro Combo</t>
  </si>
  <si>
    <t>Topes de Coaseguro  Combo</t>
  </si>
  <si>
    <t>Plan:</t>
  </si>
  <si>
    <t>Nueva/Renovación</t>
  </si>
  <si>
    <t>Plan Atlas Med Optimo</t>
  </si>
  <si>
    <t>Plan Atlas Med Plus</t>
  </si>
  <si>
    <t>Plan Atlas Med Plus Elite</t>
  </si>
  <si>
    <t>Renovación</t>
  </si>
  <si>
    <t>SA Gastos Funerarios Titular</t>
  </si>
  <si>
    <t>M.N</t>
  </si>
  <si>
    <t>Gastos Funerarios Dependientes</t>
  </si>
  <si>
    <t>SA Gastos Funerarios Dependientes</t>
  </si>
  <si>
    <t>Mundial:</t>
  </si>
  <si>
    <t>Tope de coaseguro</t>
  </si>
  <si>
    <t>Factor de Ajuste</t>
  </si>
  <si>
    <t>Factor de errores</t>
  </si>
  <si>
    <t>Ajuste por Cesión de Comisión</t>
  </si>
  <si>
    <t xml:space="preserve">Cesión de Comisión </t>
  </si>
  <si>
    <t>Aumento SA Maternidad</t>
  </si>
  <si>
    <t>SA Maternidad</t>
  </si>
  <si>
    <t>BUSCA DEDUCIBLES</t>
  </si>
  <si>
    <t>Factor Nacional</t>
  </si>
  <si>
    <t>Factor Mundial</t>
  </si>
  <si>
    <t>Se permite</t>
  </si>
  <si>
    <t>1.SI</t>
  </si>
  <si>
    <t xml:space="preserve">Comision </t>
  </si>
  <si>
    <t>Comisión real</t>
  </si>
  <si>
    <t xml:space="preserve">Cesión del: </t>
  </si>
  <si>
    <t>Comisiones</t>
  </si>
  <si>
    <t>0.No</t>
  </si>
  <si>
    <t xml:space="preserve">Vigencia de la cotizacion </t>
  </si>
  <si>
    <t>Vigencia de la póliza</t>
  </si>
  <si>
    <t xml:space="preserve">Vigencia de la cotización </t>
  </si>
  <si>
    <t>Esquema de comisión</t>
  </si>
  <si>
    <t>Factor de prima  15 %</t>
  </si>
  <si>
    <t>Factor de prima  12 %</t>
  </si>
  <si>
    <t>Por rango de edad del asegurado (Diferenciado)</t>
  </si>
  <si>
    <t>18% para todas las edades</t>
  </si>
  <si>
    <t>Esquema de comision incorrecto</t>
  </si>
  <si>
    <t>El deducible mínimo es 6 UMAM y máximo 25 UMAM</t>
  </si>
  <si>
    <t>El deducible mínimo es 5 UMAM y máximo 25 UMAM</t>
  </si>
  <si>
    <t>El deducible mínimo es 7 UMAM y máximo 25 UMAM</t>
  </si>
  <si>
    <t>Visibilidad</t>
  </si>
  <si>
    <t>optimo</t>
  </si>
  <si>
    <t>plus</t>
  </si>
  <si>
    <t>elite</t>
  </si>
  <si>
    <t>Nuevas</t>
  </si>
  <si>
    <t>Renovacion</t>
  </si>
  <si>
    <t>Deducibles</t>
  </si>
  <si>
    <t>b</t>
  </si>
  <si>
    <t>1 es nueva</t>
  </si>
  <si>
    <t>p</t>
  </si>
  <si>
    <t xml:space="preserve">Plan </t>
  </si>
  <si>
    <t>Nueva y mundial</t>
  </si>
  <si>
    <t>b3</t>
  </si>
  <si>
    <t>b4</t>
  </si>
  <si>
    <t>Suma de incidencias</t>
  </si>
  <si>
    <t>vo</t>
  </si>
  <si>
    <t>vp</t>
  </si>
  <si>
    <t>ve</t>
  </si>
  <si>
    <t>Mundial 500</t>
  </si>
  <si>
    <t>B=1 nueva</t>
  </si>
  <si>
    <t>B=2 renovacion</t>
  </si>
  <si>
    <t>Med Asistencia</t>
  </si>
  <si>
    <t>Asistencia Funeraria</t>
  </si>
  <si>
    <t>Dental</t>
  </si>
  <si>
    <t>Emergencia en el Extranjero</t>
  </si>
  <si>
    <t>Suma de coberturas con costo</t>
  </si>
  <si>
    <t>MUNDIAL Factor de prima  15 %</t>
  </si>
  <si>
    <t>MUNDIAL Factor de prima  12 %</t>
  </si>
  <si>
    <t>Error</t>
  </si>
  <si>
    <t>Mundial 1,000</t>
  </si>
  <si>
    <t>Plan Mundial</t>
  </si>
  <si>
    <t>https://www.inegi.org.mx/temas/uma/</t>
  </si>
  <si>
    <t>Los deducibles pueden ser:  2,000,  2,500,  3,000,  3,500,  4,000,  4,500 o 5,000 DLLS</t>
  </si>
  <si>
    <t>Zacatecas</t>
  </si>
  <si>
    <t>L12</t>
  </si>
  <si>
    <t>Mazatlán</t>
  </si>
  <si>
    <t>G22</t>
  </si>
  <si>
    <t xml:space="preserve"> </t>
  </si>
  <si>
    <t>n</t>
  </si>
  <si>
    <t>IVA</t>
  </si>
  <si>
    <t>¿Póliza Nueva o Renovación?</t>
  </si>
  <si>
    <t>Dirigida a:</t>
  </si>
  <si>
    <t>Lugar de Residencia del Asegurado</t>
  </si>
  <si>
    <t>Matamoros</t>
  </si>
  <si>
    <t>M17</t>
  </si>
  <si>
    <t>Recuperación activa Atlas</t>
  </si>
  <si>
    <t>SA</t>
  </si>
  <si>
    <t>MUNDIAL 500  "C"</t>
  </si>
  <si>
    <t>MUNDIAL 1,000   "C"</t>
  </si>
  <si>
    <t>MUNDIAL 2,000  "C"</t>
  </si>
  <si>
    <t>¿Deseas indicar la comisión en la carta?</t>
  </si>
  <si>
    <t>¿Deseas cálculo con IVA fronterizo?</t>
  </si>
  <si>
    <t xml:space="preserve">Recuperación Activa Atlas ( Disponible sólo Planes Nacionales) </t>
  </si>
  <si>
    <t>Comisión Carta</t>
  </si>
  <si>
    <t>100,000  M.N</t>
  </si>
  <si>
    <t>200,000  M.N</t>
  </si>
  <si>
    <t>300,000  M.N</t>
  </si>
  <si>
    <t>400,000  M.N</t>
  </si>
  <si>
    <t>500,000  M.N</t>
  </si>
  <si>
    <t>Recuperación Activa Atlas</t>
  </si>
  <si>
    <t>SA Recuperación Activa Atlas</t>
  </si>
  <si>
    <t>Recuperación Activa Hombres</t>
  </si>
  <si>
    <t>Recuperación Activa Mujeres</t>
  </si>
  <si>
    <t>Elige el esquema de comisión:</t>
  </si>
  <si>
    <t xml:space="preserve">Recuperacion Activa </t>
  </si>
  <si>
    <t>Nueva y edad</t>
  </si>
  <si>
    <t>Nueva Mundial</t>
  </si>
  <si>
    <t>Nueva Nacional</t>
  </si>
  <si>
    <t>Xalapa</t>
  </si>
  <si>
    <t>P12</t>
  </si>
  <si>
    <t>Plan en SIISA</t>
  </si>
  <si>
    <t>OK</t>
  </si>
  <si>
    <t xml:space="preserve">ok </t>
  </si>
  <si>
    <t>Coaseguro y Tope</t>
  </si>
  <si>
    <t>Ciudad Delicias</t>
  </si>
  <si>
    <t>C18</t>
  </si>
  <si>
    <t>Tepic</t>
  </si>
  <si>
    <t>G32</t>
  </si>
  <si>
    <t>Tlaxcala</t>
  </si>
  <si>
    <t>P14</t>
  </si>
  <si>
    <t>Fecha de cotización</t>
  </si>
  <si>
    <t>Foranea?</t>
  </si>
  <si>
    <t>Plan Dental</t>
  </si>
  <si>
    <t>Plan Visión</t>
  </si>
  <si>
    <t xml:space="preserve">Diagnóstico, prevención, restauración (amalgamas y resinas), endodoncias, remoción de terceros molares y procedimientos quirúrgicos menores. </t>
  </si>
  <si>
    <t>Para todos los integrantes de la póliza. Asesoría telefónica, embalsamado,  sala de velación, ataúd, traslado, gestión de trámites, asesoría para casos legales, servició de cremación, urna para cenizas. Repatriación, traslado aéreo y terrestre, embalaje, asesoría testamentaria y servicio de tanatología.</t>
  </si>
  <si>
    <t>COVID-19</t>
  </si>
  <si>
    <t>Datos de contacto del Asesor Profesional de Seguros</t>
  </si>
  <si>
    <t>Agente:</t>
  </si>
  <si>
    <t>Celular:</t>
  </si>
  <si>
    <t>E-mail</t>
  </si>
  <si>
    <t>Deducible por accidente</t>
  </si>
  <si>
    <t>Catastróficas en el Extranjero</t>
  </si>
  <si>
    <r>
      <rPr>
        <b/>
        <sz val="13"/>
        <color theme="3" tint="0.59999389629810485"/>
        <rFont val="Bookshelf Symbol 7"/>
        <charset val="2"/>
      </rPr>
      <t>þ</t>
    </r>
    <r>
      <rPr>
        <sz val="13"/>
        <color theme="3" tint="0.59999389629810485"/>
        <rFont val="Arial"/>
        <family val="2"/>
      </rPr>
      <t xml:space="preserve">  </t>
    </r>
    <r>
      <rPr>
        <sz val="13"/>
        <rFont val="Arial"/>
        <family val="2"/>
      </rPr>
      <t>Este estudio es ilustrativo y NO forma parte del contrato del seguro.</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</si>
  <si>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Límites de edad para contratar póliza de Gastos Médicos Individual nueva en Seguros Atlas:
                    Titular, Cónyuge e hijos hasta 59 años con Suma Asegurada máxima de 40,000 UMAM y 30,000 UMAM en Plan Óptimo. 
                    Titular, Cónyuge e hijos de 60 a 64 años con Suma Asegurada máxima de 6,000 UMAM.</t>
    </r>
  </si>
  <si>
    <t>CDMX</t>
  </si>
  <si>
    <t>Zona de Tarifa</t>
  </si>
  <si>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La emisión de la póliza estará sujeta al resultado del proceso de selección y podrá solicitar documentación adicional que considere necesario.</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</si>
  <si>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Toda alta de dependientes económicos queda sujeta al proceso de selección</t>
    </r>
    <r>
      <rPr>
        <sz val="13"/>
        <rFont val="Arial"/>
        <family val="2"/>
        <charset val="2"/>
      </rPr>
      <t>.</t>
    </r>
  </si>
  <si>
    <t>Hasta $ 1,100 M.N  para anteojos completos graduados o lentes graduados de contacto ( no estéticos) al año.</t>
  </si>
  <si>
    <t xml:space="preserve">Servicios de asistencia como ambulancia y traslado médico de emergencia para tratamientos inexistentes en la ciudad de residencia, segunda opinión médica mundial, información previa a un viaje, orientación médica telefónica, asistencia psicológica, orientación nutricional, repatriación, entre otras. </t>
  </si>
  <si>
    <r>
      <rPr>
        <b/>
        <sz val="13"/>
        <color theme="3" tint="0.59999389629810485"/>
        <rFont val="Bookshelf Symbol 7"/>
        <charset val="2"/>
      </rPr>
      <t>þ</t>
    </r>
    <r>
      <rPr>
        <b/>
        <sz val="13"/>
        <color theme="3" tint="0.59999389629810485"/>
        <rFont val="Arial"/>
        <family val="2"/>
      </rPr>
      <t xml:space="preserve"> </t>
    </r>
    <r>
      <rPr>
        <b/>
        <sz val="13"/>
        <rFont val="Arial"/>
        <family val="2"/>
      </rPr>
      <t xml:space="preserve"> Preexistencia excluida. No pagaremos siniestros ocurridos antes del inicio de vigencia de la póliza.</t>
    </r>
  </si>
  <si>
    <t>Cotizador vigente del 1 de Julio del 2024 al 30 de junio del 2025          V. 1</t>
  </si>
  <si>
    <t>Parámetros de cotización</t>
  </si>
  <si>
    <t>Coberturas adicionales con costo</t>
  </si>
  <si>
    <t>Endosos y asistencias sin costo</t>
  </si>
  <si>
    <t>Coberturas, padecimientos y procedimientos amparados sujetos a Condiciones Generales</t>
  </si>
  <si>
    <t>Cirugías con Robot Da Vinci</t>
  </si>
  <si>
    <t>SIDA</t>
  </si>
  <si>
    <t>Cifosis, lordosis y escoliosis</t>
  </si>
  <si>
    <t>Defectos de refracción</t>
  </si>
  <si>
    <t>Cirugía Bariátrica</t>
  </si>
  <si>
    <t>Cirugía de rodilla</t>
  </si>
  <si>
    <t>Nariz y senos paranasales</t>
  </si>
  <si>
    <t>Trasplante de órganos</t>
  </si>
  <si>
    <t>Legrado ginecológico</t>
  </si>
  <si>
    <t>Litiasis y Litotripsias</t>
  </si>
  <si>
    <t>Tratamiento con células mesenquimales</t>
  </si>
  <si>
    <t>Tratamiento por daño psiquiátrico</t>
  </si>
  <si>
    <t xml:space="preserve">Padecimientos congénitos
</t>
  </si>
  <si>
    <t>Notas importantes</t>
  </si>
  <si>
    <t>Primas Netas y Totales Anuales</t>
  </si>
  <si>
    <t>Base</t>
  </si>
  <si>
    <t>Base + 50%</t>
  </si>
  <si>
    <t>Base + 100%</t>
  </si>
  <si>
    <t>Catálogo de Honorarios Médicos</t>
  </si>
  <si>
    <t>C00-999122</t>
  </si>
  <si>
    <t>C00-999123</t>
  </si>
  <si>
    <t>C00-999126</t>
  </si>
  <si>
    <t>C01-995481</t>
  </si>
  <si>
    <t>C01-995492</t>
  </si>
  <si>
    <t>D00-1008102</t>
  </si>
  <si>
    <t>D00-1008113</t>
  </si>
  <si>
    <t>D00-1008120</t>
  </si>
  <si>
    <t>D00-1008122</t>
  </si>
  <si>
    <t>D00-1008123</t>
  </si>
  <si>
    <t>D00-1008126</t>
  </si>
  <si>
    <t>D00-1008127</t>
  </si>
  <si>
    <t>D00-1008128</t>
  </si>
  <si>
    <t>D00-1008131</t>
  </si>
  <si>
    <t>D00-1008137</t>
  </si>
  <si>
    <t>D00-1008139</t>
  </si>
  <si>
    <t>D00-1008140</t>
  </si>
  <si>
    <t>D00-1008143</t>
  </si>
  <si>
    <t>D00-1008144</t>
  </si>
  <si>
    <t>D00-1008145</t>
  </si>
  <si>
    <t>D00-1008146</t>
  </si>
  <si>
    <t>D00-1008147</t>
  </si>
  <si>
    <t>D00-1008150</t>
  </si>
  <si>
    <t>D00-1008152</t>
  </si>
  <si>
    <t>D00-1008153</t>
  </si>
  <si>
    <t>D00-1008154</t>
  </si>
  <si>
    <t>D00-1008161</t>
  </si>
  <si>
    <t>D00-1008162</t>
  </si>
  <si>
    <t>D00-1008167</t>
  </si>
  <si>
    <t>D00-1008168</t>
  </si>
  <si>
    <t>D00-1008178</t>
  </si>
  <si>
    <t>D00-1008181</t>
  </si>
  <si>
    <t>D00-1008189</t>
  </si>
  <si>
    <t>D00-1008191</t>
  </si>
  <si>
    <t>D00-1008193</t>
  </si>
  <si>
    <t>D00-1008194</t>
  </si>
  <si>
    <t>D00-1008199</t>
  </si>
  <si>
    <t>D00-1008205</t>
  </si>
  <si>
    <t>D00-1008215</t>
  </si>
  <si>
    <t>D00-1008221</t>
  </si>
  <si>
    <t>D00-1008222</t>
  </si>
  <si>
    <t>D00-1008224</t>
  </si>
  <si>
    <t>D00-1008226</t>
  </si>
  <si>
    <t>D00-1008233</t>
  </si>
  <si>
    <t>D00-1008234</t>
  </si>
  <si>
    <t>D00-1008236</t>
  </si>
  <si>
    <t>D00-1008238</t>
  </si>
  <si>
    <t>D00-1008244</t>
  </si>
  <si>
    <t>D00-1008245</t>
  </si>
  <si>
    <t>D00-1008246</t>
  </si>
  <si>
    <t>D00-1008269</t>
  </si>
  <si>
    <t>D00-1008313</t>
  </si>
  <si>
    <t>D00-1008337</t>
  </si>
  <si>
    <t>D00-1008562</t>
  </si>
  <si>
    <t>D00-1008571</t>
  </si>
  <si>
    <t>D00-1008572</t>
  </si>
  <si>
    <t>D00-1008591</t>
  </si>
  <si>
    <t>D00-1008615</t>
  </si>
  <si>
    <t>D00-1008619</t>
  </si>
  <si>
    <t>D00-1008667</t>
  </si>
  <si>
    <t>D00-1008674</t>
  </si>
  <si>
    <t>D00-1008678</t>
  </si>
  <si>
    <t>D00-1008686</t>
  </si>
  <si>
    <t>D00-1008819</t>
  </si>
  <si>
    <t>D70-1003593</t>
  </si>
  <si>
    <t>D70-1003598</t>
  </si>
  <si>
    <t>D70-1003614</t>
  </si>
  <si>
    <t>D70-1003648</t>
  </si>
  <si>
    <t>D70-1003680</t>
  </si>
  <si>
    <t>D70-1003686</t>
  </si>
  <si>
    <t>E00-996326</t>
  </si>
  <si>
    <t>E00-996329</t>
  </si>
  <si>
    <t>E00-996330</t>
  </si>
  <si>
    <t>E00-996334</t>
  </si>
  <si>
    <t>E00-996336</t>
  </si>
  <si>
    <t>E00-996344</t>
  </si>
  <si>
    <t>F02-996382</t>
  </si>
  <si>
    <t>F04-975612</t>
  </si>
  <si>
    <t>F04-975614</t>
  </si>
  <si>
    <t>F04-975617</t>
  </si>
  <si>
    <t>F04-975619</t>
  </si>
  <si>
    <t>F04-975667</t>
  </si>
  <si>
    <t>F10-996330</t>
  </si>
  <si>
    <t>F10-996357</t>
  </si>
  <si>
    <t>G00-996498</t>
  </si>
  <si>
    <t>G00-996500</t>
  </si>
  <si>
    <t>G00-996511</t>
  </si>
  <si>
    <t>G00-996521</t>
  </si>
  <si>
    <t>G00-996528</t>
  </si>
  <si>
    <t>G00-996533</t>
  </si>
  <si>
    <t>G00-996534</t>
  </si>
  <si>
    <t>G00-996541</t>
  </si>
  <si>
    <t>G00-996575</t>
  </si>
  <si>
    <t>G05-963635</t>
  </si>
  <si>
    <t>H00-1000859</t>
  </si>
  <si>
    <t>H01-993210</t>
  </si>
  <si>
    <t>H01-993254</t>
  </si>
  <si>
    <t>L00-1013040</t>
  </si>
  <si>
    <t>L00-1013059</t>
  </si>
  <si>
    <t>L00-1013122</t>
  </si>
  <si>
    <t>L00-1013123</t>
  </si>
  <si>
    <t>L00-1013125</t>
  </si>
  <si>
    <t>L00-1013127</t>
  </si>
  <si>
    <t>L00-1013240</t>
  </si>
  <si>
    <t>L00-1013273</t>
  </si>
  <si>
    <t>L00-1013288</t>
  </si>
  <si>
    <t>L00-1013289</t>
  </si>
  <si>
    <t>L00-1013295</t>
  </si>
  <si>
    <t>L00-1013343</t>
  </si>
  <si>
    <t>L00-1013351</t>
  </si>
  <si>
    <t>L00-1013364</t>
  </si>
  <si>
    <t>L00-1013378</t>
  </si>
  <si>
    <t>L00-1013381</t>
  </si>
  <si>
    <t>L00-1013443</t>
  </si>
  <si>
    <t>L00-1013448</t>
  </si>
  <si>
    <t>L00-1014109</t>
  </si>
  <si>
    <t>L00-1014110</t>
  </si>
  <si>
    <t>L01-999074</t>
  </si>
  <si>
    <t>L01-999081</t>
  </si>
  <si>
    <t>L01-999083</t>
  </si>
  <si>
    <t>L01-999088</t>
  </si>
  <si>
    <t>L06-993688</t>
  </si>
  <si>
    <t>L06-993689</t>
  </si>
  <si>
    <t>L06-993734</t>
  </si>
  <si>
    <t>L06-993740</t>
  </si>
  <si>
    <t>L06-993849</t>
  </si>
  <si>
    <t>L07-977991</t>
  </si>
  <si>
    <t>L07-977999</t>
  </si>
  <si>
    <t>L07-978000</t>
  </si>
  <si>
    <t>L07-978001</t>
  </si>
  <si>
    <t>L07-978002</t>
  </si>
  <si>
    <t>L07-978034</t>
  </si>
  <si>
    <t>M00-999761</t>
  </si>
  <si>
    <t>M00-999766</t>
  </si>
  <si>
    <t>M00-999767</t>
  </si>
  <si>
    <t>M00-999795</t>
  </si>
  <si>
    <t>M05-1000701</t>
  </si>
  <si>
    <t>M14-980456</t>
  </si>
  <si>
    <t>M14-980463</t>
  </si>
  <si>
    <t>M14-980471</t>
  </si>
  <si>
    <t>M14-980472</t>
  </si>
  <si>
    <t>M14-980514</t>
  </si>
  <si>
    <t>M17-582277</t>
  </si>
  <si>
    <t>M17-582278</t>
  </si>
  <si>
    <t>M17-582280</t>
  </si>
  <si>
    <t>MS1-999072</t>
  </si>
  <si>
    <t>MS1-999073</t>
  </si>
  <si>
    <t>MS1-999080</t>
  </si>
  <si>
    <t>MS1-999081</t>
  </si>
  <si>
    <t>MS1-999084</t>
  </si>
  <si>
    <t>MS1-999087</t>
  </si>
  <si>
    <t>MS1-999092</t>
  </si>
  <si>
    <t>MS1-999104</t>
  </si>
  <si>
    <t>P00-995735</t>
  </si>
  <si>
    <t>P00-995736</t>
  </si>
  <si>
    <t>P00-995749</t>
  </si>
  <si>
    <t>P00-995751</t>
  </si>
  <si>
    <t>P00-995752</t>
  </si>
  <si>
    <t>P00-995754</t>
  </si>
  <si>
    <t>P00-995759</t>
  </si>
  <si>
    <t>P00-995761</t>
  </si>
  <si>
    <t>P00-995765</t>
  </si>
  <si>
    <t>P00-995869</t>
  </si>
  <si>
    <t>P00-995871</t>
  </si>
  <si>
    <t>P12-755</t>
  </si>
  <si>
    <t>Q00-999134</t>
  </si>
  <si>
    <t>Q00-999144</t>
  </si>
  <si>
    <t>Q00-999152</t>
  </si>
  <si>
    <t>Q02-930014</t>
  </si>
  <si>
    <t>Q02-930051</t>
  </si>
  <si>
    <t>Q02-930059</t>
  </si>
  <si>
    <t>Q02-930157</t>
  </si>
  <si>
    <t>T00-999085</t>
  </si>
  <si>
    <t>Y01-811050</t>
  </si>
  <si>
    <t>Y11-983663</t>
  </si>
  <si>
    <t>C00-999112</t>
  </si>
  <si>
    <t>C00-999118</t>
  </si>
  <si>
    <t>C00-999150</t>
  </si>
  <si>
    <t>D00-1008134</t>
  </si>
  <si>
    <t>D00-1008155</t>
  </si>
  <si>
    <t>D00-1008235</t>
  </si>
  <si>
    <t>D00-1008242</t>
  </si>
  <si>
    <t>D70-1003557</t>
  </si>
  <si>
    <t>D70-1003641</t>
  </si>
  <si>
    <t>D70-1003644</t>
  </si>
  <si>
    <t>D70-1003646</t>
  </si>
  <si>
    <t>D70-1003654</t>
  </si>
  <si>
    <t>F02-996380</t>
  </si>
  <si>
    <t>F02-996385</t>
  </si>
  <si>
    <t>F02-996389</t>
  </si>
  <si>
    <t>G05-963617</t>
  </si>
  <si>
    <t>G11-993767</t>
  </si>
  <si>
    <t>H00-1000863</t>
  </si>
  <si>
    <t>H01-993213</t>
  </si>
  <si>
    <t>L00-1013062</t>
  </si>
  <si>
    <t>L00-1013064</t>
  </si>
  <si>
    <t>L00-1013159</t>
  </si>
  <si>
    <t>L00-1013193</t>
  </si>
  <si>
    <t>L00-1013223</t>
  </si>
  <si>
    <t>L00-1013251</t>
  </si>
  <si>
    <t>L00-1013263</t>
  </si>
  <si>
    <t>L00-1013276</t>
  </si>
  <si>
    <t>L00-1013316</t>
  </si>
  <si>
    <t>L00-1013317</t>
  </si>
  <si>
    <t>L00-1013362</t>
  </si>
  <si>
    <t>L00-1013363</t>
  </si>
  <si>
    <t>L00-1013396</t>
  </si>
  <si>
    <t>L00-1013464</t>
  </si>
  <si>
    <t>L00-1013505</t>
  </si>
  <si>
    <t>L00-1014099</t>
  </si>
  <si>
    <t>L00-1014142</t>
  </si>
  <si>
    <t>L00-1014143</t>
  </si>
  <si>
    <t>L00-1014145</t>
  </si>
  <si>
    <t>L00-1014164</t>
  </si>
  <si>
    <t>L00-1014165</t>
  </si>
  <si>
    <t>L00-1014166</t>
  </si>
  <si>
    <t>L00-1014170</t>
  </si>
  <si>
    <t>L00-1014171</t>
  </si>
  <si>
    <t>L00-1014172</t>
  </si>
  <si>
    <t>L00-1014180</t>
  </si>
  <si>
    <t>L00-1014209</t>
  </si>
  <si>
    <t>L00-1014265</t>
  </si>
  <si>
    <t>L06-993670</t>
  </si>
  <si>
    <t>L06-993702</t>
  </si>
  <si>
    <t>L06-993710</t>
  </si>
  <si>
    <t>L06-993712</t>
  </si>
  <si>
    <t>L06-993736</t>
  </si>
  <si>
    <t>L06-993867</t>
  </si>
  <si>
    <t>L06-994046</t>
  </si>
  <si>
    <t>L07-977967</t>
  </si>
  <si>
    <t>L07-977968</t>
  </si>
  <si>
    <t>L07-977969</t>
  </si>
  <si>
    <t>L07-977986</t>
  </si>
  <si>
    <t>L07-978007</t>
  </si>
  <si>
    <t>M11-918958</t>
  </si>
  <si>
    <t>M11-918959</t>
  </si>
  <si>
    <t>M11-918961</t>
  </si>
  <si>
    <t>M14-980458</t>
  </si>
  <si>
    <t>M20-1001979</t>
  </si>
  <si>
    <t>MC1-998488</t>
  </si>
  <si>
    <t>MS5-913795</t>
  </si>
  <si>
    <t>P00-995750</t>
  </si>
  <si>
    <t>P00-995771</t>
  </si>
  <si>
    <t>P06-996984</t>
  </si>
  <si>
    <t>P06-996992</t>
  </si>
  <si>
    <t>P07-994995</t>
  </si>
  <si>
    <t>Q00-999136</t>
  </si>
  <si>
    <t>Q02-930039</t>
  </si>
  <si>
    <t>Q02-930045</t>
  </si>
  <si>
    <t>Q02-930085</t>
  </si>
  <si>
    <t>Y00-1001566</t>
  </si>
  <si>
    <t>Y00-1001601</t>
  </si>
  <si>
    <t>Y00-1001606</t>
  </si>
  <si>
    <t>D00-1008115</t>
  </si>
  <si>
    <t>D00-1008135</t>
  </si>
  <si>
    <t>D00-1008174</t>
  </si>
  <si>
    <t>D00-1008237</t>
  </si>
  <si>
    <t>D70-1003602</t>
  </si>
  <si>
    <t>D70-1003619</t>
  </si>
  <si>
    <t>D70-1003811</t>
  </si>
  <si>
    <t>D70-1003948</t>
  </si>
  <si>
    <t>G00-996520</t>
  </si>
  <si>
    <t>G00-996574</t>
  </si>
  <si>
    <t>G11-993779</t>
  </si>
  <si>
    <t>H00-1000843</t>
  </si>
  <si>
    <t>H00-1000845</t>
  </si>
  <si>
    <t>H01-993204</t>
  </si>
  <si>
    <t>L00-1013079</t>
  </si>
  <si>
    <t>L00-1013084</t>
  </si>
  <si>
    <t>L00-1013121</t>
  </si>
  <si>
    <t>L00-1013152</t>
  </si>
  <si>
    <t>L00-1013153</t>
  </si>
  <si>
    <t>L00-1013194</t>
  </si>
  <si>
    <t>L00-1013241</t>
  </si>
  <si>
    <t>L00-1013259</t>
  </si>
  <si>
    <t>L00-1013283</t>
  </si>
  <si>
    <t>L00-1013312</t>
  </si>
  <si>
    <t>L00-1013353</t>
  </si>
  <si>
    <t>L00-1013395</t>
  </si>
  <si>
    <t>L00-1013441</t>
  </si>
  <si>
    <t>L00-1013446</t>
  </si>
  <si>
    <t>L00-1013450</t>
  </si>
  <si>
    <t>L00-1013538</t>
  </si>
  <si>
    <t>L00-1013539</t>
  </si>
  <si>
    <t>L00-1014224</t>
  </si>
  <si>
    <t>L06-993718</t>
  </si>
  <si>
    <t>M05-1000693</t>
  </si>
  <si>
    <t>M05-1000696</t>
  </si>
  <si>
    <t>M11-918953</t>
  </si>
  <si>
    <t>M11-918957</t>
  </si>
  <si>
    <t>M14-980455</t>
  </si>
  <si>
    <t>M14-980473</t>
  </si>
  <si>
    <t>M14-980477</t>
  </si>
  <si>
    <t>M20-1001976</t>
  </si>
  <si>
    <t>M20-1002006</t>
  </si>
  <si>
    <t>M20-1002029</t>
  </si>
  <si>
    <t>MS1-999076</t>
  </si>
  <si>
    <t>MS1-999093</t>
  </si>
  <si>
    <t>MS1-999106</t>
  </si>
  <si>
    <t>P00-995742</t>
  </si>
  <si>
    <t>Q00-999153</t>
  </si>
  <si>
    <t>Q00-999158</t>
  </si>
  <si>
    <t>Q00-999159</t>
  </si>
  <si>
    <t>Q02-930023</t>
  </si>
  <si>
    <t>Q02-930154</t>
  </si>
  <si>
    <t>T00-999060</t>
  </si>
  <si>
    <t>Y00-1001554</t>
  </si>
  <si>
    <t>Y00-1001595</t>
  </si>
  <si>
    <t>Y00-1001611</t>
  </si>
  <si>
    <t>Y01-811051</t>
  </si>
  <si>
    <t>C01-995476</t>
  </si>
  <si>
    <t>D00-1008195</t>
  </si>
  <si>
    <t>D00-1008206</t>
  </si>
  <si>
    <t>D00-1008392</t>
  </si>
  <si>
    <t>D70-1003575</t>
  </si>
  <si>
    <t>D70-1003612</t>
  </si>
  <si>
    <t>D70-1003624</t>
  </si>
  <si>
    <t>F02-996384</t>
  </si>
  <si>
    <t>F02-996387</t>
  </si>
  <si>
    <t>F02-996424</t>
  </si>
  <si>
    <t>G00-996531</t>
  </si>
  <si>
    <t>L00-1013065</t>
  </si>
  <si>
    <t>L00-1013078</t>
  </si>
  <si>
    <t>L00-1013080</t>
  </si>
  <si>
    <t>L00-1013086</t>
  </si>
  <si>
    <t>L00-1013117</t>
  </si>
  <si>
    <t>L00-1013119</t>
  </si>
  <si>
    <t>L00-1013124</t>
  </si>
  <si>
    <t>L00-1013126</t>
  </si>
  <si>
    <t>L00-1013191</t>
  </si>
  <si>
    <t>L00-1013192</t>
  </si>
  <si>
    <t>L00-1013286</t>
  </si>
  <si>
    <t>L00-1013322</t>
  </si>
  <si>
    <t>L00-1013339</t>
  </si>
  <si>
    <t>L06-993729</t>
  </si>
  <si>
    <t>L07-978013</t>
  </si>
  <si>
    <t>M05-1000684</t>
  </si>
  <si>
    <t>M11-918954</t>
  </si>
  <si>
    <t>M20-1001978</t>
  </si>
  <si>
    <t>M20-1002023</t>
  </si>
  <si>
    <t>M20-1002031</t>
  </si>
  <si>
    <t>M20-1002145</t>
  </si>
  <si>
    <t>M34-4</t>
  </si>
  <si>
    <t>MC1-998480</t>
  </si>
  <si>
    <t>MC1-998483</t>
  </si>
  <si>
    <t>MC1-998484</t>
  </si>
  <si>
    <t>P07-994992</t>
  </si>
  <si>
    <t>Q00-999127</t>
  </si>
  <si>
    <t>Q02-930010</t>
  </si>
  <si>
    <t>Q02-930028</t>
  </si>
  <si>
    <t>T03-999806</t>
  </si>
  <si>
    <t>Y00-1001551</t>
  </si>
  <si>
    <t>Y00-1001558</t>
  </si>
  <si>
    <t>Y00-1001599</t>
  </si>
  <si>
    <t>Y15-212150</t>
  </si>
  <si>
    <t>Y15-212151</t>
  </si>
  <si>
    <t>C00-999109</t>
  </si>
  <si>
    <t>C00-999117</t>
  </si>
  <si>
    <t>C01-995503</t>
  </si>
  <si>
    <t>C16-806640</t>
  </si>
  <si>
    <t>D00-1008188</t>
  </si>
  <si>
    <t>D00-1008369</t>
  </si>
  <si>
    <t>D70-1003551</t>
  </si>
  <si>
    <t>D70-1003560</t>
  </si>
  <si>
    <t>D70-1003561</t>
  </si>
  <si>
    <t>D70-1003579</t>
  </si>
  <si>
    <t>D70-1003585</t>
  </si>
  <si>
    <t>D70-1003608</t>
  </si>
  <si>
    <t>D70-1003609</t>
  </si>
  <si>
    <t>D70-1003633</t>
  </si>
  <si>
    <t>D70-1003809</t>
  </si>
  <si>
    <t>D70-1003831</t>
  </si>
  <si>
    <t>D70-1003832</t>
  </si>
  <si>
    <t>D70-1003833</t>
  </si>
  <si>
    <t>D70-1003852</t>
  </si>
  <si>
    <t>E00-996332</t>
  </si>
  <si>
    <t>F02-996390</t>
  </si>
  <si>
    <t>G05-963623</t>
  </si>
  <si>
    <t>G11-993760</t>
  </si>
  <si>
    <t>G15-248298</t>
  </si>
  <si>
    <t>H01-993214</t>
  </si>
  <si>
    <t>H01-993215</t>
  </si>
  <si>
    <t>H01-993278</t>
  </si>
  <si>
    <t>H01-993285</t>
  </si>
  <si>
    <t>L00-1013128</t>
  </si>
  <si>
    <t>L00-1013129</t>
  </si>
  <si>
    <t>L00-1013187</t>
  </si>
  <si>
    <t>L00-1013236</t>
  </si>
  <si>
    <t>L00-1013250</t>
  </si>
  <si>
    <t>L00-1013261</t>
  </si>
  <si>
    <t>L00-1013333</t>
  </si>
  <si>
    <t>L00-1013369</t>
  </si>
  <si>
    <t>L00-1013406</t>
  </si>
  <si>
    <t>L00-1013425</t>
  </si>
  <si>
    <t>L00-1014094</t>
  </si>
  <si>
    <t>L00-1014100</t>
  </si>
  <si>
    <t>L00-1014111</t>
  </si>
  <si>
    <t>L00-1014175</t>
  </si>
  <si>
    <t>L00-1014176</t>
  </si>
  <si>
    <t>L00-1014220</t>
  </si>
  <si>
    <t>L00-1014221</t>
  </si>
  <si>
    <t>L00-1014225</t>
  </si>
  <si>
    <t>L01-999073</t>
  </si>
  <si>
    <t>L06-993675</t>
  </si>
  <si>
    <t>L06-993704</t>
  </si>
  <si>
    <t>L06-993859</t>
  </si>
  <si>
    <t>L07-977972</t>
  </si>
  <si>
    <t>L07-977992</t>
  </si>
  <si>
    <t>M14-980478</t>
  </si>
  <si>
    <t>MH0-582230</t>
  </si>
  <si>
    <t>ML0-226212</t>
  </si>
  <si>
    <t>MSG-367076</t>
  </si>
  <si>
    <t>P00-995741</t>
  </si>
  <si>
    <t>P00-995746</t>
  </si>
  <si>
    <t>P00-995772</t>
  </si>
  <si>
    <t>P00-995779</t>
  </si>
  <si>
    <t>P00-995797</t>
  </si>
  <si>
    <t>P00-995799</t>
  </si>
  <si>
    <t>P01-998034</t>
  </si>
  <si>
    <t>P01-998037</t>
  </si>
  <si>
    <t>P06-997000</t>
  </si>
  <si>
    <t>Q02-930040</t>
  </si>
  <si>
    <t>Q02-930086</t>
  </si>
  <si>
    <t>T00-999082</t>
  </si>
  <si>
    <t>T03-999807</t>
  </si>
  <si>
    <t>Y00-1001561</t>
  </si>
  <si>
    <t>Y01-811041</t>
  </si>
  <si>
    <t>C01-995496</t>
  </si>
  <si>
    <t>C01-995497</t>
  </si>
  <si>
    <t>D00-1008248</t>
  </si>
  <si>
    <t>D00-1008538</t>
  </si>
  <si>
    <t>D70-1003563</t>
  </si>
  <si>
    <t>D70-1003800</t>
  </si>
  <si>
    <t>D70-1003802</t>
  </si>
  <si>
    <t>G00-996494</t>
  </si>
  <si>
    <t>G00-996573</t>
  </si>
  <si>
    <t>G05-963638</t>
  </si>
  <si>
    <t>G11-993766</t>
  </si>
  <si>
    <t>H00-1000833</t>
  </si>
  <si>
    <t>L00-1013081</t>
  </si>
  <si>
    <t>L00-1013156</t>
  </si>
  <si>
    <t>L00-1013157</t>
  </si>
  <si>
    <t>L00-1013158</t>
  </si>
  <si>
    <t>L00-1013162</t>
  </si>
  <si>
    <t>L00-1013177</t>
  </si>
  <si>
    <t>L00-1013284</t>
  </si>
  <si>
    <t>L00-1013290</t>
  </si>
  <si>
    <t>L00-1013323</t>
  </si>
  <si>
    <t>L00-1013324</t>
  </si>
  <si>
    <t>L00-1013325</t>
  </si>
  <si>
    <t>L00-1013327</t>
  </si>
  <si>
    <t>L00-1013439</t>
  </si>
  <si>
    <t>L00-1013511</t>
  </si>
  <si>
    <t>L00-1013546</t>
  </si>
  <si>
    <t>L00-1013559</t>
  </si>
  <si>
    <t>L00-1014103</t>
  </si>
  <si>
    <t>L00-1014255</t>
  </si>
  <si>
    <t>L00-1014297</t>
  </si>
  <si>
    <t>L01-999069</t>
  </si>
  <si>
    <t>L01-999072</t>
  </si>
  <si>
    <t>L01-999093</t>
  </si>
  <si>
    <t>L01-999096</t>
  </si>
  <si>
    <t>L06-993674</t>
  </si>
  <si>
    <t>L06-993683</t>
  </si>
  <si>
    <t>L06-993684</t>
  </si>
  <si>
    <t>L07-977974</t>
  </si>
  <si>
    <t>M00-999777</t>
  </si>
  <si>
    <t>M14-980466</t>
  </si>
  <si>
    <t>M20-1001991</t>
  </si>
  <si>
    <t>MC1-998498</t>
  </si>
  <si>
    <t>MS5-913796</t>
  </si>
  <si>
    <t>P01-998049</t>
  </si>
  <si>
    <t>Q02-930060</t>
  </si>
  <si>
    <t>Q02-930087</t>
  </si>
  <si>
    <t>T00-999061</t>
  </si>
  <si>
    <t>Y00-1001609</t>
  </si>
  <si>
    <t>Y00-1001612</t>
  </si>
  <si>
    <t>Y02-993377</t>
  </si>
  <si>
    <t>Y02-993394</t>
  </si>
  <si>
    <t>Y11-983669</t>
  </si>
  <si>
    <t>D00-1008107</t>
  </si>
  <si>
    <t>D00-1008170</t>
  </si>
  <si>
    <t>D00-1008171</t>
  </si>
  <si>
    <t>D00-1008180</t>
  </si>
  <si>
    <t>D00-1008207</t>
  </si>
  <si>
    <t>D00-1008609</t>
  </si>
  <si>
    <t>D00-1008620</t>
  </si>
  <si>
    <t>D00-1008786</t>
  </si>
  <si>
    <t>D00-1008798</t>
  </si>
  <si>
    <t>D00-1008817</t>
  </si>
  <si>
    <t>D00-1008901</t>
  </si>
  <si>
    <t>D70-1003571</t>
  </si>
  <si>
    <t>D70-1003635</t>
  </si>
  <si>
    <t>D70-1003820</t>
  </si>
  <si>
    <t>F04-975604</t>
  </si>
  <si>
    <t>F04-975618</t>
  </si>
  <si>
    <t>G00-996493</t>
  </si>
  <si>
    <t>G05-963636</t>
  </si>
  <si>
    <t>G11-993771</t>
  </si>
  <si>
    <t>H00-1000860</t>
  </si>
  <si>
    <t>H00-1000867</t>
  </si>
  <si>
    <t>H00-1000915</t>
  </si>
  <si>
    <t>H01-993219</t>
  </si>
  <si>
    <t>L00-1013106</t>
  </si>
  <si>
    <t>L00-1013142</t>
  </si>
  <si>
    <t>L00-1013179</t>
  </si>
  <si>
    <t>L00-1013189</t>
  </si>
  <si>
    <t>L00-1013277</t>
  </si>
  <si>
    <t>L00-1013326</t>
  </si>
  <si>
    <t>L00-1013417</t>
  </si>
  <si>
    <t>L00-1013452</t>
  </si>
  <si>
    <t>L00-1014160</t>
  </si>
  <si>
    <t>L00-1014259</t>
  </si>
  <si>
    <t>L06-993677</t>
  </si>
  <si>
    <t>L06-993692</t>
  </si>
  <si>
    <t>M00-999754</t>
  </si>
  <si>
    <t>M05-1000694</t>
  </si>
  <si>
    <t>M20-1002009</t>
  </si>
  <si>
    <t>M20-1002040</t>
  </si>
  <si>
    <t>M34-5</t>
  </si>
  <si>
    <t>P00-995872</t>
  </si>
  <si>
    <t>P00-995895</t>
  </si>
  <si>
    <t>P01-998040</t>
  </si>
  <si>
    <t>P06-996979</t>
  </si>
  <si>
    <t>Q02-930057</t>
  </si>
  <si>
    <t>Q02-930058</t>
  </si>
  <si>
    <t>T00-999062</t>
  </si>
  <si>
    <t>T00-999066</t>
  </si>
  <si>
    <t>T00-999077</t>
  </si>
  <si>
    <t>T03-999804</t>
  </si>
  <si>
    <t>Y00-1001573</t>
  </si>
  <si>
    <t>Y00-1001583</t>
  </si>
  <si>
    <t>Y00-1001584</t>
  </si>
  <si>
    <t>Y00-1001585</t>
  </si>
  <si>
    <t>Y00-1001600</t>
  </si>
  <si>
    <t>C01-995482</t>
  </si>
  <si>
    <t>C01-995498</t>
  </si>
  <si>
    <t>D00-1008266</t>
  </si>
  <si>
    <t>D70-1003558</t>
  </si>
  <si>
    <t>D70-1003583</t>
  </si>
  <si>
    <t>D70-1003627</t>
  </si>
  <si>
    <t>D70-1003640</t>
  </si>
  <si>
    <t>E00-996331</t>
  </si>
  <si>
    <t>G00-996514</t>
  </si>
  <si>
    <t>G00-996515</t>
  </si>
  <si>
    <t>G00-996517</t>
  </si>
  <si>
    <t>G05-963626</t>
  </si>
  <si>
    <t>G05-963639</t>
  </si>
  <si>
    <t>G11-993765</t>
  </si>
  <si>
    <t>H00-1000837</t>
  </si>
  <si>
    <t>L00-1013071</t>
  </si>
  <si>
    <t>L00-1013207</t>
  </si>
  <si>
    <t>L00-1013224</t>
  </si>
  <si>
    <t>L00-1013237</t>
  </si>
  <si>
    <t>L00-1013264</t>
  </si>
  <si>
    <t>L00-1013265</t>
  </si>
  <si>
    <t>L00-1013275</t>
  </si>
  <si>
    <t>L00-1013291</t>
  </si>
  <si>
    <t>L00-1013292</t>
  </si>
  <si>
    <t>L00-1013342</t>
  </si>
  <si>
    <t>L00-1013411</t>
  </si>
  <si>
    <t>L00-1013427</t>
  </si>
  <si>
    <t>L00-1013454</t>
  </si>
  <si>
    <t>L00-1013542</t>
  </si>
  <si>
    <t>L00-1013561</t>
  </si>
  <si>
    <t>L00-1014295</t>
  </si>
  <si>
    <t>L06-993706</t>
  </si>
  <si>
    <t>L06-993713</t>
  </si>
  <si>
    <t>L07-977976</t>
  </si>
  <si>
    <t>L07-978005</t>
  </si>
  <si>
    <t>L07-978008</t>
  </si>
  <si>
    <t>M00-999768</t>
  </si>
  <si>
    <t>M05-1000686</t>
  </si>
  <si>
    <t>M11-918955</t>
  </si>
  <si>
    <t>M11-918966</t>
  </si>
  <si>
    <t>M14-980450</t>
  </si>
  <si>
    <t>M14-980523</t>
  </si>
  <si>
    <t>M20-1002002</t>
  </si>
  <si>
    <t>M20-1002007</t>
  </si>
  <si>
    <t>M20-1002026</t>
  </si>
  <si>
    <t>MH0-582226</t>
  </si>
  <si>
    <t>P01-998035</t>
  </si>
  <si>
    <t>P06-996978</t>
  </si>
  <si>
    <t>P06-996986</t>
  </si>
  <si>
    <t>Q02-930021</t>
  </si>
  <si>
    <t>Q02-930052</t>
  </si>
  <si>
    <t>T00-999063</t>
  </si>
  <si>
    <t>T00-999097</t>
  </si>
  <si>
    <t>T00-999129</t>
  </si>
  <si>
    <t>Y00-1001553</t>
  </si>
  <si>
    <t>Y00-1001559</t>
  </si>
  <si>
    <t>Y00-1001589</t>
  </si>
  <si>
    <t>Y00-1001590</t>
  </si>
  <si>
    <t>Y10-916190</t>
  </si>
  <si>
    <t>C00-999114</t>
  </si>
  <si>
    <t>C16-806638</t>
  </si>
  <si>
    <t>D00-1008202</t>
  </si>
  <si>
    <t>D00-1008210</t>
  </si>
  <si>
    <t>D00-1008553</t>
  </si>
  <si>
    <t>D70-1003566</t>
  </si>
  <si>
    <t>D70-1003567</t>
  </si>
  <si>
    <t>D70-1003638</t>
  </si>
  <si>
    <t>D70-1003656</t>
  </si>
  <si>
    <t>D70-1003806</t>
  </si>
  <si>
    <t>G05-963615</t>
  </si>
  <si>
    <t>G11-993762</t>
  </si>
  <si>
    <t>G11-993788</t>
  </si>
  <si>
    <t>G11-993823</t>
  </si>
  <si>
    <t>H00-1000835</t>
  </si>
  <si>
    <t>H00-1000839</t>
  </si>
  <si>
    <t>H00-1000840</t>
  </si>
  <si>
    <t>H01-993249</t>
  </si>
  <si>
    <t>L00-1013111</t>
  </si>
  <si>
    <t>L00-1013186</t>
  </si>
  <si>
    <t>L00-1013233</t>
  </si>
  <si>
    <t>L00-1013345</t>
  </si>
  <si>
    <t>L00-1013358</t>
  </si>
  <si>
    <t>L00-1013359</t>
  </si>
  <si>
    <t>L00-1013372</t>
  </si>
  <si>
    <t>L00-1013387</t>
  </si>
  <si>
    <t>L00-1013388</t>
  </si>
  <si>
    <t>L00-1013440</t>
  </si>
  <si>
    <t>L00-1014296</t>
  </si>
  <si>
    <t>L00-1014692</t>
  </si>
  <si>
    <t>L01-999089</t>
  </si>
  <si>
    <t>L06-993678</t>
  </si>
  <si>
    <t>L06-993735</t>
  </si>
  <si>
    <t>M00-999779</t>
  </si>
  <si>
    <t>M00-999826</t>
  </si>
  <si>
    <t>M05-1000687</t>
  </si>
  <si>
    <t>M05-1000688</t>
  </si>
  <si>
    <t>M11-918960</t>
  </si>
  <si>
    <t>M14-980457</t>
  </si>
  <si>
    <t>M14-980465</t>
  </si>
  <si>
    <t>M20-1001987</t>
  </si>
  <si>
    <t>MC1-998481</t>
  </si>
  <si>
    <t>MC1-998528</t>
  </si>
  <si>
    <t>MS1-999089</t>
  </si>
  <si>
    <t>P00-995757</t>
  </si>
  <si>
    <t>P00-995791</t>
  </si>
  <si>
    <t>P00-995792</t>
  </si>
  <si>
    <t>P01-998045</t>
  </si>
  <si>
    <t>Q02-930020</t>
  </si>
  <si>
    <t>Q02-930022</t>
  </si>
  <si>
    <t>Y00-1001578</t>
  </si>
  <si>
    <t>Y00-1001593</t>
  </si>
  <si>
    <t>Y00-1001608</t>
  </si>
  <si>
    <t>Y00-1001686</t>
  </si>
  <si>
    <t>Y10-916191</t>
  </si>
  <si>
    <t>C00-999110</t>
  </si>
  <si>
    <t>C00-999121</t>
  </si>
  <si>
    <t>C00-999124</t>
  </si>
  <si>
    <t>C00-999125</t>
  </si>
  <si>
    <t>C00-999128</t>
  </si>
  <si>
    <t>C00-999149</t>
  </si>
  <si>
    <t>C01-995567</t>
  </si>
  <si>
    <t>D00-1008124</t>
  </si>
  <si>
    <t>D00-1008136</t>
  </si>
  <si>
    <t>D00-1008151</t>
  </si>
  <si>
    <t>D00-1008156</t>
  </si>
  <si>
    <t>D00-1008179</t>
  </si>
  <si>
    <t>D00-1008203</t>
  </si>
  <si>
    <t>D00-1008225</t>
  </si>
  <si>
    <t>D00-1008251</t>
  </si>
  <si>
    <t>D00-1008360</t>
  </si>
  <si>
    <t>D00-1008375</t>
  </si>
  <si>
    <t>D00-1008554</t>
  </si>
  <si>
    <t>D00-1008555</t>
  </si>
  <si>
    <t>D00-1008565</t>
  </si>
  <si>
    <t>D00-1008568</t>
  </si>
  <si>
    <t>D00-1008590</t>
  </si>
  <si>
    <t>D00-1008616</t>
  </si>
  <si>
    <t>D00-1008804</t>
  </si>
  <si>
    <t>D70-1003554</t>
  </si>
  <si>
    <t>D70-1003556</t>
  </si>
  <si>
    <t>D70-1003562</t>
  </si>
  <si>
    <t>D70-1003611</t>
  </si>
  <si>
    <t>D70-1003655</t>
  </si>
  <si>
    <t>D70-1003829</t>
  </si>
  <si>
    <t>F02-996395</t>
  </si>
  <si>
    <t>G11-993813</t>
  </si>
  <si>
    <t>H00-1000846</t>
  </si>
  <si>
    <t>H00-1000858</t>
  </si>
  <si>
    <t>L00-1013107</t>
  </si>
  <si>
    <t>L00-1013131</t>
  </si>
  <si>
    <t>L00-1013155</t>
  </si>
  <si>
    <t>L00-1013167</t>
  </si>
  <si>
    <t>L00-1013201</t>
  </si>
  <si>
    <t>L00-1013299</t>
  </si>
  <si>
    <t>L00-1013315</t>
  </si>
  <si>
    <t>L00-1013329</t>
  </si>
  <si>
    <t>L00-1013332</t>
  </si>
  <si>
    <t>L00-1013404</t>
  </si>
  <si>
    <t>L00-1013414</t>
  </si>
  <si>
    <t>L00-1013422</t>
  </si>
  <si>
    <t>L00-1014107</t>
  </si>
  <si>
    <t>L00-1014232</t>
  </si>
  <si>
    <t>L01-999066</t>
  </si>
  <si>
    <t>L01-999082</t>
  </si>
  <si>
    <t>L01-999095</t>
  </si>
  <si>
    <t>L06-993741</t>
  </si>
  <si>
    <t>L06-993836</t>
  </si>
  <si>
    <t>L06-993841</t>
  </si>
  <si>
    <t>L07-977970</t>
  </si>
  <si>
    <t>L07-977975</t>
  </si>
  <si>
    <t>L07-977989</t>
  </si>
  <si>
    <t>L07-978011</t>
  </si>
  <si>
    <t>M00-999778</t>
  </si>
  <si>
    <t>M00-999785</t>
  </si>
  <si>
    <t>M05-1000683</t>
  </si>
  <si>
    <t>M11-918952</t>
  </si>
  <si>
    <t>M14-980464</t>
  </si>
  <si>
    <t>M20-1002010</t>
  </si>
  <si>
    <t>M20-1002015</t>
  </si>
  <si>
    <t>M20-1002020</t>
  </si>
  <si>
    <t>M20-1002021</t>
  </si>
  <si>
    <t>M20-1002022</t>
  </si>
  <si>
    <t>M20-1002024</t>
  </si>
  <si>
    <t>M20-1002034</t>
  </si>
  <si>
    <t>M20-1002130</t>
  </si>
  <si>
    <t>MS1-999105</t>
  </si>
  <si>
    <t>P06-996985</t>
  </si>
  <si>
    <t>Q00-999132</t>
  </si>
  <si>
    <t>Q00-999133</t>
  </si>
  <si>
    <t>Q00-999142</t>
  </si>
  <si>
    <t>Q00-999157</t>
  </si>
  <si>
    <t>Q02-930036</t>
  </si>
  <si>
    <t>Q02-930078</t>
  </si>
  <si>
    <t>Q02-930079</t>
  </si>
  <si>
    <t>Q02-930218</t>
  </si>
  <si>
    <t>T02-998201</t>
  </si>
  <si>
    <t>Y01-811039</t>
  </si>
  <si>
    <t>Y01-811043</t>
  </si>
  <si>
    <t>Y01-811045</t>
  </si>
  <si>
    <t>Y01-811053</t>
  </si>
  <si>
    <t>Y11-983666</t>
  </si>
  <si>
    <t>D00-1008200</t>
  </si>
  <si>
    <t>D00-1008220</t>
  </si>
  <si>
    <t>D70-1003637</t>
  </si>
  <si>
    <t>D70-1003649</t>
  </si>
  <si>
    <t>D70-1003650</t>
  </si>
  <si>
    <t>F04-975600</t>
  </si>
  <si>
    <t>F04-975601</t>
  </si>
  <si>
    <t>F04-975689</t>
  </si>
  <si>
    <t>G00-996499</t>
  </si>
  <si>
    <t>G00-996506</t>
  </si>
  <si>
    <t>G00-996510</t>
  </si>
  <si>
    <t>G05-963611</t>
  </si>
  <si>
    <t>H00-1000852</t>
  </si>
  <si>
    <t>L00-1013252</t>
  </si>
  <si>
    <t>L00-1013287</t>
  </si>
  <si>
    <t>L00-1013328</t>
  </si>
  <si>
    <t>L00-1013429</t>
  </si>
  <si>
    <t>L00-1013481</t>
  </si>
  <si>
    <t>L00-1014106</t>
  </si>
  <si>
    <t>L06-993669</t>
  </si>
  <si>
    <t>L06-993681</t>
  </si>
  <si>
    <t>L06-993693</t>
  </si>
  <si>
    <t>L06-993703</t>
  </si>
  <si>
    <t>L06-993705</t>
  </si>
  <si>
    <t>L06-993714</t>
  </si>
  <si>
    <t>L06-993737</t>
  </si>
  <si>
    <t>L07-978087</t>
  </si>
  <si>
    <t>M00-999760</t>
  </si>
  <si>
    <t>M00-999780</t>
  </si>
  <si>
    <t>M00-999783</t>
  </si>
  <si>
    <t>M00-999790</t>
  </si>
  <si>
    <t>M05-1000691</t>
  </si>
  <si>
    <t>M05-1000703</t>
  </si>
  <si>
    <t>M20-1001986</t>
  </si>
  <si>
    <t>M20-1002012</t>
  </si>
  <si>
    <t>M20-1002016</t>
  </si>
  <si>
    <t>MC1-998485</t>
  </si>
  <si>
    <t>MC1-998495</t>
  </si>
  <si>
    <t>MC1-998499</t>
  </si>
  <si>
    <t>MC1-998526</t>
  </si>
  <si>
    <t>MS1-999074</t>
  </si>
  <si>
    <t>MS1-999075</t>
  </si>
  <si>
    <t>MS1-999086</t>
  </si>
  <si>
    <t>MS1-999088</t>
  </si>
  <si>
    <t>MSJ-232173</t>
  </si>
  <si>
    <t>MSJ-232177</t>
  </si>
  <si>
    <t>P00-995745</t>
  </si>
  <si>
    <t>P00-995760</t>
  </si>
  <si>
    <t>P00-995762</t>
  </si>
  <si>
    <t>P00-995890</t>
  </si>
  <si>
    <t>P07-994994</t>
  </si>
  <si>
    <t>Q00-999130</t>
  </si>
  <si>
    <t>Q00-999135</t>
  </si>
  <si>
    <t>Q02-930016</t>
  </si>
  <si>
    <t>Q02-930024</t>
  </si>
  <si>
    <t>Q02-930031</t>
  </si>
  <si>
    <t>Q02-930037</t>
  </si>
  <si>
    <t>Q02-930043</t>
  </si>
  <si>
    <t>Q02-930061</t>
  </si>
  <si>
    <t>Q02-930090</t>
  </si>
  <si>
    <t>Y00-1001580</t>
  </si>
  <si>
    <t>C01-995474</t>
  </si>
  <si>
    <t>C01-995488</t>
  </si>
  <si>
    <t>C01-995499</t>
  </si>
  <si>
    <t>D00-1008133</t>
  </si>
  <si>
    <t>D00-1008227</t>
  </si>
  <si>
    <t>D00-1008229</t>
  </si>
  <si>
    <t>D00-1008271</t>
  </si>
  <si>
    <t>D00-1008320</t>
  </si>
  <si>
    <t>D00-1008578</t>
  </si>
  <si>
    <t>D00-1009313</t>
  </si>
  <si>
    <t>D70-1003639</t>
  </si>
  <si>
    <t>D70-1003660</t>
  </si>
  <si>
    <t>D70-1003940</t>
  </si>
  <si>
    <t>F02-996397</t>
  </si>
  <si>
    <t>F02-996423</t>
  </si>
  <si>
    <t>F04-975599</t>
  </si>
  <si>
    <t>G00-996519</t>
  </si>
  <si>
    <t>G00-996529</t>
  </si>
  <si>
    <t>L00-1013073</t>
  </si>
  <si>
    <t>L00-1013094</t>
  </si>
  <si>
    <t>L00-1013101</t>
  </si>
  <si>
    <t>L00-1013110</t>
  </si>
  <si>
    <t>L00-1013253</t>
  </si>
  <si>
    <t>L00-1013330</t>
  </si>
  <si>
    <t>L00-1013374</t>
  </si>
  <si>
    <t>L00-1013389</t>
  </si>
  <si>
    <t>L00-1013390</t>
  </si>
  <si>
    <t>L00-1013451</t>
  </si>
  <si>
    <t>L00-1013460</t>
  </si>
  <si>
    <t>L00-1014104</t>
  </si>
  <si>
    <t>L00-1014105</t>
  </si>
  <si>
    <t>L06-993679</t>
  </si>
  <si>
    <t>L06-993680</t>
  </si>
  <si>
    <t>L06-993701</t>
  </si>
  <si>
    <t>L07-977977</t>
  </si>
  <si>
    <t>L07-977987</t>
  </si>
  <si>
    <t>M00-999773</t>
  </si>
  <si>
    <t>M05-1000697</t>
  </si>
  <si>
    <t>M05-1000699</t>
  </si>
  <si>
    <t>M14-980453</t>
  </si>
  <si>
    <t>P00-995755</t>
  </si>
  <si>
    <t>P00-995767</t>
  </si>
  <si>
    <t>P00-995769</t>
  </si>
  <si>
    <t>P00-995774</t>
  </si>
  <si>
    <t>P00-995776</t>
  </si>
  <si>
    <t>P00-995798</t>
  </si>
  <si>
    <t>P00-995800</t>
  </si>
  <si>
    <t>P07-995009</t>
  </si>
  <si>
    <t>Q00-999137</t>
  </si>
  <si>
    <t>Q02-930030</t>
  </si>
  <si>
    <t>Q02-930064</t>
  </si>
  <si>
    <t>Q02-930071</t>
  </si>
  <si>
    <t>T00-999080</t>
  </si>
  <si>
    <t>Y00-1001565</t>
  </si>
  <si>
    <t>Y01-811044</t>
  </si>
  <si>
    <t>Y01-811048</t>
  </si>
  <si>
    <t>D00-1008148</t>
  </si>
  <si>
    <t>D00-1008228</t>
  </si>
  <si>
    <t>D00-1008232</t>
  </si>
  <si>
    <t>D00-1008274</t>
  </si>
  <si>
    <t>D00-1008319</t>
  </si>
  <si>
    <t>D00-1008586</t>
  </si>
  <si>
    <t>D70-1003590</t>
  </si>
  <si>
    <t>D70-1003623</t>
  </si>
  <si>
    <t>D70-1003642</t>
  </si>
  <si>
    <t>E00-996325</t>
  </si>
  <si>
    <t>F04-975719</t>
  </si>
  <si>
    <t>G00-996512</t>
  </si>
  <si>
    <t>G05-963620</t>
  </si>
  <si>
    <t>G05-963622</t>
  </si>
  <si>
    <t>G05-963627</t>
  </si>
  <si>
    <t>G05-963640</t>
  </si>
  <si>
    <t>G11-993773</t>
  </si>
  <si>
    <t>H00-1000844</t>
  </si>
  <si>
    <t>H01-993217</t>
  </si>
  <si>
    <t>H01-993284</t>
  </si>
  <si>
    <t>L00-1013095</t>
  </si>
  <si>
    <t>L00-1013113</t>
  </si>
  <si>
    <t>L00-1013149</t>
  </si>
  <si>
    <t>L00-1013161</t>
  </si>
  <si>
    <t>L00-1013188</t>
  </si>
  <si>
    <t>L00-1013190</t>
  </si>
  <si>
    <t>L00-1013195</t>
  </si>
  <si>
    <t>L00-1013198</t>
  </si>
  <si>
    <t>L00-1013225</t>
  </si>
  <si>
    <t>L00-1013254</t>
  </si>
  <si>
    <t>L00-1013285</t>
  </si>
  <si>
    <t>L00-1013294</t>
  </si>
  <si>
    <t>L00-1013311</t>
  </si>
  <si>
    <t>L00-1013319</t>
  </si>
  <si>
    <t>L00-1013320</t>
  </si>
  <si>
    <t>L00-1013321</t>
  </si>
  <si>
    <t>L00-1013360</t>
  </si>
  <si>
    <t>L00-1013402</t>
  </si>
  <si>
    <t>L00-1013409</t>
  </si>
  <si>
    <t>L00-1013463</t>
  </si>
  <si>
    <t>L00-1013465</t>
  </si>
  <si>
    <t>L00-1013507</t>
  </si>
  <si>
    <t>L00-1013543</t>
  </si>
  <si>
    <t>L00-1014114</t>
  </si>
  <si>
    <t>L00-1014208</t>
  </si>
  <si>
    <t>L00-1014719</t>
  </si>
  <si>
    <t>L01-999067</t>
  </si>
  <si>
    <t>L01-999162</t>
  </si>
  <si>
    <t>L06-993732</t>
  </si>
  <si>
    <t>L06-993738</t>
  </si>
  <si>
    <t>L07-977982</t>
  </si>
  <si>
    <t>L07-977997</t>
  </si>
  <si>
    <t>L07-978006</t>
  </si>
  <si>
    <t>L07-978009</t>
  </si>
  <si>
    <t>M05-1000695</t>
  </si>
  <si>
    <t>M05-1000698</t>
  </si>
  <si>
    <t>M20-1002011</t>
  </si>
  <si>
    <t>M20-1002014</t>
  </si>
  <si>
    <t>MS1-999118</t>
  </si>
  <si>
    <t>MS5-913797</t>
  </si>
  <si>
    <t>MS5-913810</t>
  </si>
  <si>
    <t>MS5-913884</t>
  </si>
  <si>
    <t>P00-995764</t>
  </si>
  <si>
    <t>P00-995766</t>
  </si>
  <si>
    <t>P00-995775</t>
  </si>
  <si>
    <t>P00-995881</t>
  </si>
  <si>
    <t>P00-995884</t>
  </si>
  <si>
    <t>P01-998041</t>
  </si>
  <si>
    <t>P07-994991</t>
  </si>
  <si>
    <t>P07-995010</t>
  </si>
  <si>
    <t>T02-998187</t>
  </si>
  <si>
    <t>T02-998188</t>
  </si>
  <si>
    <t>T03-999805</t>
  </si>
  <si>
    <t>Y00-1001604</t>
  </si>
  <si>
    <t>Y00-1001687</t>
  </si>
  <si>
    <t>Y01-811034</t>
  </si>
  <si>
    <t>Y01-811035</t>
  </si>
  <si>
    <t>Y11-983664</t>
  </si>
  <si>
    <t>Y11-983665</t>
  </si>
  <si>
    <t>C01-995472</t>
  </si>
  <si>
    <t>C01-995555</t>
  </si>
  <si>
    <t>C01-995561</t>
  </si>
  <si>
    <t>C01-995612</t>
  </si>
  <si>
    <t>D00-1008119</t>
  </si>
  <si>
    <t>D00-1008172</t>
  </si>
  <si>
    <t>D00-1008201</t>
  </si>
  <si>
    <t>D00-1008230</t>
  </si>
  <si>
    <t>D00-1008252</t>
  </si>
  <si>
    <t>D00-1008576</t>
  </si>
  <si>
    <t>D70-1003600</t>
  </si>
  <si>
    <t>D70-1003618</t>
  </si>
  <si>
    <t>D70-1003651</t>
  </si>
  <si>
    <t>D70-1003652</t>
  </si>
  <si>
    <t>D70-1003834</t>
  </si>
  <si>
    <t>D70-1003851</t>
  </si>
  <si>
    <t>E00-996340</t>
  </si>
  <si>
    <t>G00-996527</t>
  </si>
  <si>
    <t>G05-963621</t>
  </si>
  <si>
    <t>G05-963713</t>
  </si>
  <si>
    <t>L00-1013090</t>
  </si>
  <si>
    <t>L00-1013146</t>
  </si>
  <si>
    <t>L00-1013200</t>
  </si>
  <si>
    <t>L00-1013202</t>
  </si>
  <si>
    <t>L00-1013213</t>
  </si>
  <si>
    <t>L00-1013238</t>
  </si>
  <si>
    <t>L00-1013260</t>
  </si>
  <si>
    <t>L00-1013352</t>
  </si>
  <si>
    <t>L00-1013354</t>
  </si>
  <si>
    <t>L00-1013373</t>
  </si>
  <si>
    <t>L00-1013416</t>
  </si>
  <si>
    <t>L00-1013421</t>
  </si>
  <si>
    <t>L00-1013442</t>
  </si>
  <si>
    <t>L00-1013444</t>
  </si>
  <si>
    <t>L00-1013527</t>
  </si>
  <si>
    <t>L00-1014122</t>
  </si>
  <si>
    <t>L00-1014173</t>
  </si>
  <si>
    <t>L00-1014199</t>
  </si>
  <si>
    <t>L00-1014219</t>
  </si>
  <si>
    <t>L00-1014282</t>
  </si>
  <si>
    <t>L00-1014283</t>
  </si>
  <si>
    <t>L00-1014284</t>
  </si>
  <si>
    <t>L00-1014288</t>
  </si>
  <si>
    <t>L00-1014293</t>
  </si>
  <si>
    <t>L00-1014675</t>
  </si>
  <si>
    <t>L06-993671</t>
  </si>
  <si>
    <t>L06-993672</t>
  </si>
  <si>
    <t>L06-993673</t>
  </si>
  <si>
    <t>L07-977978</t>
  </si>
  <si>
    <t>L07-977996</t>
  </si>
  <si>
    <t>M05-1000702</t>
  </si>
  <si>
    <t>M05-1000736</t>
  </si>
  <si>
    <t>M20-1001977</t>
  </si>
  <si>
    <t>M20-1002123</t>
  </si>
  <si>
    <t>MS1-999077</t>
  </si>
  <si>
    <t>MS1-999082</t>
  </si>
  <si>
    <t>MS1-999083</t>
  </si>
  <si>
    <t>MS5-913806</t>
  </si>
  <si>
    <t>P00-995796</t>
  </si>
  <si>
    <t>P00-995866</t>
  </si>
  <si>
    <t>Q00-999138</t>
  </si>
  <si>
    <t>Q00-999139</t>
  </si>
  <si>
    <t>Q02-930048</t>
  </si>
  <si>
    <t>Q02-930062</t>
  </si>
  <si>
    <t>Q02-930063</t>
  </si>
  <si>
    <t>Q02-930068</t>
  </si>
  <si>
    <t>T00-999083</t>
  </si>
  <si>
    <t>T02-998192</t>
  </si>
  <si>
    <t>T02-998193</t>
  </si>
  <si>
    <t>T02-998198</t>
  </si>
  <si>
    <t>T02-998223</t>
  </si>
  <si>
    <t>T02-998224</t>
  </si>
  <si>
    <t>Y00-1001576</t>
  </si>
  <si>
    <t>Y00-1001594</t>
  </si>
  <si>
    <t>Y10-916197</t>
  </si>
  <si>
    <t>C01-995490</t>
  </si>
  <si>
    <t>C01-995494</t>
  </si>
  <si>
    <t>C01-995501</t>
  </si>
  <si>
    <t>D00-1008105</t>
  </si>
  <si>
    <t>D00-1008114</t>
  </si>
  <si>
    <t>D00-1008166</t>
  </si>
  <si>
    <t>D00-1008169</t>
  </si>
  <si>
    <t>D00-1008173</t>
  </si>
  <si>
    <t>D00-1008176</t>
  </si>
  <si>
    <t>D00-1008208</t>
  </si>
  <si>
    <t>D00-1008211</t>
  </si>
  <si>
    <t>D00-1008223</t>
  </si>
  <si>
    <t>D00-1008249</t>
  </si>
  <si>
    <t>D00-1008253</t>
  </si>
  <si>
    <t>D00-1008260</t>
  </si>
  <si>
    <t>D00-1008272</t>
  </si>
  <si>
    <t>D00-1008273</t>
  </si>
  <si>
    <t>D00-1008372</t>
  </si>
  <si>
    <t>D00-1008529</t>
  </si>
  <si>
    <t>D00-1008584</t>
  </si>
  <si>
    <t>D00-1008676</t>
  </si>
  <si>
    <t>D00-1008788</t>
  </si>
  <si>
    <t>D00-1008807</t>
  </si>
  <si>
    <t>D00-1008818</t>
  </si>
  <si>
    <t>D70-1003584</t>
  </si>
  <si>
    <t>D70-1003588</t>
  </si>
  <si>
    <t>D70-1003617</t>
  </si>
  <si>
    <t>D70-1003634</t>
  </si>
  <si>
    <t>D70-1003645</t>
  </si>
  <si>
    <t>D70-1003647</t>
  </si>
  <si>
    <t>D70-1003658</t>
  </si>
  <si>
    <t>D70-1003667</t>
  </si>
  <si>
    <t>D70-1003823</t>
  </si>
  <si>
    <t>E00-996328</t>
  </si>
  <si>
    <t>F02-996388</t>
  </si>
  <si>
    <t>F04-975610</t>
  </si>
  <si>
    <t>F04-975613</t>
  </si>
  <si>
    <t>F04-975622</t>
  </si>
  <si>
    <t>F04-975636</t>
  </si>
  <si>
    <t>F04-975661</t>
  </si>
  <si>
    <t>F04-975663</t>
  </si>
  <si>
    <t>F04-975669</t>
  </si>
  <si>
    <t>F10-996332</t>
  </si>
  <si>
    <t>F10-996342</t>
  </si>
  <si>
    <t>F14-102143</t>
  </si>
  <si>
    <t>G00-996503</t>
  </si>
  <si>
    <t>G00-996577</t>
  </si>
  <si>
    <t>G00-996600</t>
  </si>
  <si>
    <t>G05-963625</t>
  </si>
  <si>
    <t>G05-963628</t>
  </si>
  <si>
    <t>G11-993763</t>
  </si>
  <si>
    <t>G11-993775</t>
  </si>
  <si>
    <t>H01-993208</t>
  </si>
  <si>
    <t>H01-993255</t>
  </si>
  <si>
    <t>L00-1013072</t>
  </si>
  <si>
    <t>L00-1013074</t>
  </si>
  <si>
    <t>L00-1013130</t>
  </si>
  <si>
    <t>L00-1013132</t>
  </si>
  <si>
    <t>L00-1013206</t>
  </si>
  <si>
    <t>L00-1013227</t>
  </si>
  <si>
    <t>L00-1013267</t>
  </si>
  <si>
    <t>L00-1013278</t>
  </si>
  <si>
    <t>L00-1013307</t>
  </si>
  <si>
    <t>L00-1013314</t>
  </si>
  <si>
    <t>L00-1013355</t>
  </si>
  <si>
    <t>L00-1013361</t>
  </si>
  <si>
    <t>L00-1013375</t>
  </si>
  <si>
    <t>L00-1013383</t>
  </si>
  <si>
    <t>L00-1013384</t>
  </si>
  <si>
    <t>L00-1013403</t>
  </si>
  <si>
    <t>L00-1013410</t>
  </si>
  <si>
    <t>L00-1013412</t>
  </si>
  <si>
    <t>L00-1013430</t>
  </si>
  <si>
    <t>L00-1013449</t>
  </si>
  <si>
    <t>L00-1013457</t>
  </si>
  <si>
    <t>L00-1013555</t>
  </si>
  <si>
    <t>L00-1013556</t>
  </si>
  <si>
    <t>L00-1013557</t>
  </si>
  <si>
    <t>L00-1014095</t>
  </si>
  <si>
    <t>L01-999076</t>
  </si>
  <si>
    <t>L01-999084</t>
  </si>
  <si>
    <t>L06-993724</t>
  </si>
  <si>
    <t>L06-993843</t>
  </si>
  <si>
    <t>L06-993844</t>
  </si>
  <si>
    <t>L07-977993</t>
  </si>
  <si>
    <t>L12-370229</t>
  </si>
  <si>
    <t>M11-918962</t>
  </si>
  <si>
    <t>M14-980452</t>
  </si>
  <si>
    <t>M20-1002019</t>
  </si>
  <si>
    <t>M20-1002025</t>
  </si>
  <si>
    <t>M20-1002028</t>
  </si>
  <si>
    <t>M20-1002035</t>
  </si>
  <si>
    <t>M20-1002122</t>
  </si>
  <si>
    <t>M20-1002147</t>
  </si>
  <si>
    <t>MC1-998497</t>
  </si>
  <si>
    <t>MS1-999090</t>
  </si>
  <si>
    <t>MS1-999091</t>
  </si>
  <si>
    <t>MS1-999117</t>
  </si>
  <si>
    <t>P00-995773</t>
  </si>
  <si>
    <t>P08-356183</t>
  </si>
  <si>
    <t>P12-752</t>
  </si>
  <si>
    <t>Q00-999148</t>
  </si>
  <si>
    <t>Q02-930027</t>
  </si>
  <si>
    <t>Q02-930042</t>
  </si>
  <si>
    <t>Q02-930056</t>
  </si>
  <si>
    <t>Q02-930069</t>
  </si>
  <si>
    <t>Q02-930072</t>
  </si>
  <si>
    <t>T00-999064</t>
  </si>
  <si>
    <t>T00-999065</t>
  </si>
  <si>
    <t>T02-998191</t>
  </si>
  <si>
    <t>Y00-1001569</t>
  </si>
  <si>
    <t>Y00-1001571</t>
  </si>
  <si>
    <t>Y00-1001579</t>
  </si>
  <si>
    <t>Y00-1001581</t>
  </si>
  <si>
    <t>Y00-1001582</t>
  </si>
  <si>
    <t>Y00-1001596</t>
  </si>
  <si>
    <t>Y00-1001695</t>
  </si>
  <si>
    <t>Y00-1001696</t>
  </si>
  <si>
    <t>Y00-1001700</t>
  </si>
  <si>
    <t>Y02-993380</t>
  </si>
  <si>
    <t>Y10-916189</t>
  </si>
  <si>
    <t>Y17-862286</t>
  </si>
  <si>
    <t>Y17-862287</t>
  </si>
  <si>
    <t>Y17-862288</t>
  </si>
  <si>
    <t>D00-1008121</t>
  </si>
  <si>
    <t>D00-1008270</t>
  </si>
  <si>
    <t>D00-1008839</t>
  </si>
  <si>
    <t>D70-1003564</t>
  </si>
  <si>
    <t>D70-1003572</t>
  </si>
  <si>
    <t>G00-996536</t>
  </si>
  <si>
    <t>G00-996598</t>
  </si>
  <si>
    <t>G05-963616</t>
  </si>
  <si>
    <t>H00-1000828</t>
  </si>
  <si>
    <t>H00-1000834</t>
  </si>
  <si>
    <t>H00-1000868</t>
  </si>
  <si>
    <t>H00-1000875</t>
  </si>
  <si>
    <t>H00-1000912</t>
  </si>
  <si>
    <t>L00-1013118</t>
  </si>
  <si>
    <t>L00-1013134</t>
  </si>
  <si>
    <t>L00-1013164</t>
  </si>
  <si>
    <t>L00-1013217</t>
  </si>
  <si>
    <t>L00-1013228</t>
  </si>
  <si>
    <t>L00-1013244</t>
  </si>
  <si>
    <t>L00-1013318</t>
  </si>
  <si>
    <t>L00-1013334</t>
  </si>
  <si>
    <t>L00-1013335</t>
  </si>
  <si>
    <t>L00-1013336</t>
  </si>
  <si>
    <t>L00-1013349</t>
  </si>
  <si>
    <t>L00-1013367</t>
  </si>
  <si>
    <t>L00-1013392</t>
  </si>
  <si>
    <t>L00-1014148</t>
  </si>
  <si>
    <t>L00-1014149</t>
  </si>
  <si>
    <t>L00-1014150</t>
  </si>
  <si>
    <t>L00-1014155</t>
  </si>
  <si>
    <t>L00-1014191</t>
  </si>
  <si>
    <t>L00-1014226</t>
  </si>
  <si>
    <t>L01-999065</t>
  </si>
  <si>
    <t>L06-993676</t>
  </si>
  <si>
    <t>L06-993715</t>
  </si>
  <si>
    <t>L07-978003</t>
  </si>
  <si>
    <t>M00-999781</t>
  </si>
  <si>
    <t>M11-918956</t>
  </si>
  <si>
    <t>M14-980451</t>
  </si>
  <si>
    <t>M14-980459</t>
  </si>
  <si>
    <t>M17-582281</t>
  </si>
  <si>
    <t>M17-582283</t>
  </si>
  <si>
    <t>M17-582293</t>
  </si>
  <si>
    <t>M20-1002030</t>
  </si>
  <si>
    <t>MC1-998487</t>
  </si>
  <si>
    <t>MC1-998489</t>
  </si>
  <si>
    <t>P06-996980</t>
  </si>
  <si>
    <t>Q02-930053</t>
  </si>
  <si>
    <t>Q02-930054</t>
  </si>
  <si>
    <t>Y00-1001574</t>
  </si>
  <si>
    <t>Y00-1001575</t>
  </si>
  <si>
    <t>Y00-1001577</t>
  </si>
  <si>
    <t>Y00-1001591</t>
  </si>
  <si>
    <t>Y00-1001592</t>
  </si>
  <si>
    <t>Y00-1001602</t>
  </si>
  <si>
    <t>Y01-811040</t>
  </si>
  <si>
    <t>Y15-212152</t>
  </si>
  <si>
    <t>Y15-212155</t>
  </si>
  <si>
    <t>Y15-212156</t>
  </si>
  <si>
    <t>Y15-212157</t>
  </si>
  <si>
    <t>C00-999184</t>
  </si>
  <si>
    <t>C01-995491</t>
  </si>
  <si>
    <t>D00-1008130</t>
  </si>
  <si>
    <t>D00-1008186</t>
  </si>
  <si>
    <t>D00-1008209</t>
  </si>
  <si>
    <t>D00-1008218</t>
  </si>
  <si>
    <t>D00-1008254</t>
  </si>
  <si>
    <t>D00-1008259</t>
  </si>
  <si>
    <t>D00-1008569</t>
  </si>
  <si>
    <t>D00-1008573</t>
  </si>
  <si>
    <t>D00-1008655</t>
  </si>
  <si>
    <t>D00-1008672</t>
  </si>
  <si>
    <t>F02-996393</t>
  </si>
  <si>
    <t>F04-975620</t>
  </si>
  <si>
    <t>G00-996492</t>
  </si>
  <si>
    <t>G00-996535</t>
  </si>
  <si>
    <t>H00-1000861</t>
  </si>
  <si>
    <t>H01-993212</t>
  </si>
  <si>
    <t>L00-1013114</t>
  </si>
  <si>
    <t>L00-1013135</t>
  </si>
  <si>
    <t>L00-1013137</t>
  </si>
  <si>
    <t>L00-1013138</t>
  </si>
  <si>
    <t>L00-1013197</t>
  </si>
  <si>
    <t>L00-1013247</t>
  </si>
  <si>
    <t>L00-1013255</t>
  </si>
  <si>
    <t>L00-1013266</t>
  </si>
  <si>
    <t>L00-1013337</t>
  </si>
  <si>
    <t>L00-1013371</t>
  </si>
  <si>
    <t>L00-1014126</t>
  </si>
  <si>
    <t>L00-1014138</t>
  </si>
  <si>
    <t>L01-999085</t>
  </si>
  <si>
    <t>L06-993691</t>
  </si>
  <si>
    <t>L07-977971</t>
  </si>
  <si>
    <t>L07-977988</t>
  </si>
  <si>
    <t>M00-999758</t>
  </si>
  <si>
    <t>M00-999770</t>
  </si>
  <si>
    <t>M05-1000690</t>
  </si>
  <si>
    <t>M11-918948</t>
  </si>
  <si>
    <t>M11-918963</t>
  </si>
  <si>
    <t>MSJ-232178</t>
  </si>
  <si>
    <t>P00-995756</t>
  </si>
  <si>
    <t>P00-995770</t>
  </si>
  <si>
    <t>P12-754</t>
  </si>
  <si>
    <t>Q02-930074</t>
  </si>
  <si>
    <t>Q02-930075</t>
  </si>
  <si>
    <t>Q02-930076</t>
  </si>
  <si>
    <t>T00-999056</t>
  </si>
  <si>
    <t>T00-999084</t>
  </si>
  <si>
    <t>Y00-1001560</t>
  </si>
  <si>
    <t>Y00-1001567</t>
  </si>
  <si>
    <t>Y00-1001607</t>
  </si>
  <si>
    <t>Y00-1001698</t>
  </si>
  <si>
    <t>C00-999119</t>
  </si>
  <si>
    <t>C01-995484</t>
  </si>
  <si>
    <t>C01-995485</t>
  </si>
  <si>
    <t>D00-1008197</t>
  </si>
  <si>
    <t>D00-1008198</t>
  </si>
  <si>
    <t>D00-1008241</t>
  </si>
  <si>
    <t>D00-1008256</t>
  </si>
  <si>
    <t>D70-1003555</t>
  </si>
  <si>
    <t>D70-1003603</t>
  </si>
  <si>
    <t>D70-1003643</t>
  </si>
  <si>
    <t>G00-996501</t>
  </si>
  <si>
    <t>G00-996524</t>
  </si>
  <si>
    <t>G00-996525</t>
  </si>
  <si>
    <t>G05-963618</t>
  </si>
  <si>
    <t>G11-993768</t>
  </si>
  <si>
    <t>H00-1000848</t>
  </si>
  <si>
    <t>H01-993216</t>
  </si>
  <si>
    <t>L00-1013136</t>
  </si>
  <si>
    <t>L00-1013226</t>
  </si>
  <si>
    <t>L00-1013243</t>
  </si>
  <si>
    <t>L00-1013296</t>
  </si>
  <si>
    <t>L00-1013297</t>
  </si>
  <si>
    <t>L00-1013298</t>
  </si>
  <si>
    <t>L00-1013331</t>
  </si>
  <si>
    <t>L00-1013377</t>
  </si>
  <si>
    <t>L00-1013407</t>
  </si>
  <si>
    <t>L00-1013424</t>
  </si>
  <si>
    <t>L00-1013445</t>
  </si>
  <si>
    <t>L00-1013462</t>
  </si>
  <si>
    <t>L00-1014161</t>
  </si>
  <si>
    <t>L01-999077</t>
  </si>
  <si>
    <t>L06-993727</t>
  </si>
  <si>
    <t>L06-993840</t>
  </si>
  <si>
    <t>L06-993842</t>
  </si>
  <si>
    <t>L07-977981</t>
  </si>
  <si>
    <t>L07-977994</t>
  </si>
  <si>
    <t>M00-999755</t>
  </si>
  <si>
    <t>M00-999782</t>
  </si>
  <si>
    <t>M00-999827</t>
  </si>
  <si>
    <t>M20-1002005</t>
  </si>
  <si>
    <t>M25-848833</t>
  </si>
  <si>
    <t>MC1-998482</t>
  </si>
  <si>
    <t>MC1-998496</t>
  </si>
  <si>
    <t>MC1-998555</t>
  </si>
  <si>
    <t>MC1-998557</t>
  </si>
  <si>
    <t>MS5-913794</t>
  </si>
  <si>
    <t>P00-995740</t>
  </si>
  <si>
    <t>P00-995784</t>
  </si>
  <si>
    <t>P00-995880</t>
  </si>
  <si>
    <t>P01-998062</t>
  </si>
  <si>
    <t>P07-994993</t>
  </si>
  <si>
    <t>Q00-999128</t>
  </si>
  <si>
    <t>Q00-999239</t>
  </si>
  <si>
    <t>Q02-930013</t>
  </si>
  <si>
    <t>Q02-930015</t>
  </si>
  <si>
    <t>T00-999079</t>
  </si>
  <si>
    <t>Y00-1001562</t>
  </si>
  <si>
    <t>Y01-811047</t>
  </si>
  <si>
    <t>Y11-983660</t>
  </si>
  <si>
    <t>Y15-212153</t>
  </si>
  <si>
    <t>D00-1008103</t>
  </si>
  <si>
    <t>D00-1008104</t>
  </si>
  <si>
    <t>D00-1008106</t>
  </si>
  <si>
    <t>D00-1008365</t>
  </si>
  <si>
    <t>D00-1008373</t>
  </si>
  <si>
    <t>D00-1008526</t>
  </si>
  <si>
    <t>D00-1008614</t>
  </si>
  <si>
    <t>D00-1008824</t>
  </si>
  <si>
    <t>D70-1003552</t>
  </si>
  <si>
    <t>D70-1003653</t>
  </si>
  <si>
    <t>G00-996507</t>
  </si>
  <si>
    <t>G00-996518</t>
  </si>
  <si>
    <t>G05-963612</t>
  </si>
  <si>
    <t>G05-963624</t>
  </si>
  <si>
    <t>G11-993759</t>
  </si>
  <si>
    <t>H00-1000847</t>
  </si>
  <si>
    <t>H01-993211</t>
  </si>
  <si>
    <t>L00-1013098</t>
  </si>
  <si>
    <t>L00-1013166</t>
  </si>
  <si>
    <t>L00-1013196</t>
  </si>
  <si>
    <t>L00-1013229</t>
  </si>
  <si>
    <t>L00-1013246</t>
  </si>
  <si>
    <t>L00-1013274</t>
  </si>
  <si>
    <t>L00-1013293</t>
  </si>
  <si>
    <t>L00-1013313</t>
  </si>
  <si>
    <t>L00-1013338</t>
  </si>
  <si>
    <t>L00-1013380</t>
  </si>
  <si>
    <t>L00-1013382</t>
  </si>
  <si>
    <t>L00-1013455</t>
  </si>
  <si>
    <t>L00-1013456</t>
  </si>
  <si>
    <t>L00-1014120</t>
  </si>
  <si>
    <t>L00-1014181</t>
  </si>
  <si>
    <t>L00-1014188</t>
  </si>
  <si>
    <t>L00-1014207</t>
  </si>
  <si>
    <t>L01-999079</t>
  </si>
  <si>
    <t>L01-999086</t>
  </si>
  <si>
    <t>L06-993690</t>
  </si>
  <si>
    <t>L06-993730</t>
  </si>
  <si>
    <t>L07-978010</t>
  </si>
  <si>
    <t>L12-370228</t>
  </si>
  <si>
    <t>M00-999764</t>
  </si>
  <si>
    <t>M00-999829</t>
  </si>
  <si>
    <t>M11-918949</t>
  </si>
  <si>
    <t>M17-582282</t>
  </si>
  <si>
    <t>M20-1002027</t>
  </si>
  <si>
    <t>Q00-999140</t>
  </si>
  <si>
    <t>Q00-999141</t>
  </si>
  <si>
    <t>Q00-999211</t>
  </si>
  <si>
    <t>Q02-930050</t>
  </si>
  <si>
    <t>Q02-930055</t>
  </si>
  <si>
    <t>T00-999081</t>
  </si>
  <si>
    <t>T03-999808</t>
  </si>
  <si>
    <t>Y00-1001555</t>
  </si>
  <si>
    <t>Y01-811030</t>
  </si>
  <si>
    <t>Y01-811031</t>
  </si>
  <si>
    <t>Y01-811032</t>
  </si>
  <si>
    <t>C01-995479</t>
  </si>
  <si>
    <t>C01-995500</t>
  </si>
  <si>
    <t>D00-1008111</t>
  </si>
  <si>
    <t>D00-1008158</t>
  </si>
  <si>
    <t>D00-1008190</t>
  </si>
  <si>
    <t>D00-1008262</t>
  </si>
  <si>
    <t>D00-1008564</t>
  </si>
  <si>
    <t>D00-1008610</t>
  </si>
  <si>
    <t>D00-1008900</t>
  </si>
  <si>
    <t>D70-1003597</t>
  </si>
  <si>
    <t>D70-1003606</t>
  </si>
  <si>
    <t>G00-996496</t>
  </si>
  <si>
    <t>G00-996504</t>
  </si>
  <si>
    <t>G00-996516</t>
  </si>
  <si>
    <t>G00-996523</t>
  </si>
  <si>
    <t>G00-996526</t>
  </si>
  <si>
    <t>G00-996532</t>
  </si>
  <si>
    <t>G00-996569</t>
  </si>
  <si>
    <t>G00-996570</t>
  </si>
  <si>
    <t>G00-996576</t>
  </si>
  <si>
    <t>G00-996599</t>
  </si>
  <si>
    <t>G05-963629</t>
  </si>
  <si>
    <t>G11-993770</t>
  </si>
  <si>
    <t>H00-1000862</t>
  </si>
  <si>
    <t>H00-1000864</t>
  </si>
  <si>
    <t>H00-1000914</t>
  </si>
  <si>
    <t>H01-993200</t>
  </si>
  <si>
    <t>H01-993205</t>
  </si>
  <si>
    <t>H01-993206</t>
  </si>
  <si>
    <t>H01-993250</t>
  </si>
  <si>
    <t>L00-1013060</t>
  </si>
  <si>
    <t>L00-1013077</t>
  </si>
  <si>
    <t>L00-1013093</t>
  </si>
  <si>
    <t>L00-1013100</t>
  </si>
  <si>
    <t>L00-1013120</t>
  </si>
  <si>
    <t>L00-1013154</t>
  </si>
  <si>
    <t>L00-1013176</t>
  </si>
  <si>
    <t>L00-1013183</t>
  </si>
  <si>
    <t>L00-1013185</t>
  </si>
  <si>
    <t>L00-1013203</t>
  </si>
  <si>
    <t>L00-1013204</t>
  </si>
  <si>
    <t>L00-1013205</t>
  </si>
  <si>
    <t>L00-1013211</t>
  </si>
  <si>
    <t>L00-1013222</t>
  </si>
  <si>
    <t>L00-1013245</t>
  </si>
  <si>
    <t>L00-1013248</t>
  </si>
  <si>
    <t>L00-1013262</t>
  </si>
  <si>
    <t>L00-1013279</t>
  </si>
  <si>
    <t>L00-1013300</t>
  </si>
  <si>
    <t>L00-1013301</t>
  </si>
  <si>
    <t>L00-1013306</t>
  </si>
  <si>
    <t>L00-1013340</t>
  </si>
  <si>
    <t>L00-1013458</t>
  </si>
  <si>
    <t>L00-1014177</t>
  </si>
  <si>
    <t>L00-1014179</t>
  </si>
  <si>
    <t>L00-1014256</t>
  </si>
  <si>
    <t>L01-999068</t>
  </si>
  <si>
    <t>L01-999090</t>
  </si>
  <si>
    <t>L01-999091</t>
  </si>
  <si>
    <t>L01-999094</t>
  </si>
  <si>
    <t>L01-999154</t>
  </si>
  <si>
    <t>L06-993745</t>
  </si>
  <si>
    <t>L06-993861</t>
  </si>
  <si>
    <t>L06-993941</t>
  </si>
  <si>
    <t>L07-977979</t>
  </si>
  <si>
    <t>L07-978085</t>
  </si>
  <si>
    <t>M00-999765</t>
  </si>
  <si>
    <t>M00-999769</t>
  </si>
  <si>
    <t>M11-918947</t>
  </si>
  <si>
    <t>M14-980518</t>
  </si>
  <si>
    <t>M14-980525</t>
  </si>
  <si>
    <t>M17-582279</t>
  </si>
  <si>
    <t>M20-1001982</t>
  </si>
  <si>
    <t>M20-1001983</t>
  </si>
  <si>
    <t>M20-1001989</t>
  </si>
  <si>
    <t>M20-1002004</t>
  </si>
  <si>
    <t>M20-1002135</t>
  </si>
  <si>
    <t>MS1-999108</t>
  </si>
  <si>
    <t>P01-998038</t>
  </si>
  <si>
    <t>P07-994997</t>
  </si>
  <si>
    <t>P07-995017</t>
  </si>
  <si>
    <t>Q02-930025</t>
  </si>
  <si>
    <t>Q02-930032</t>
  </si>
  <si>
    <t>T00-999090</t>
  </si>
  <si>
    <t>T02-998189</t>
  </si>
  <si>
    <t>Y00-1001549</t>
  </si>
  <si>
    <t>Y00-1001597</t>
  </si>
  <si>
    <t>Y00-1001605</t>
  </si>
  <si>
    <t>Y01-811036</t>
  </si>
  <si>
    <t>Y10-916198</t>
  </si>
  <si>
    <t>Y15-212154</t>
  </si>
  <si>
    <t>Y15-212158</t>
  </si>
  <si>
    <t>Y15-212159</t>
  </si>
  <si>
    <t>Y15-212160</t>
  </si>
  <si>
    <t>Y15-212161</t>
  </si>
  <si>
    <t>C00-999111</t>
  </si>
  <si>
    <t>C01-995489</t>
  </si>
  <si>
    <t>C01-995493</t>
  </si>
  <si>
    <t>D00-1008108</t>
  </si>
  <si>
    <t>D00-1008204</t>
  </si>
  <si>
    <t>D00-1008258</t>
  </si>
  <si>
    <t>D00-1008658</t>
  </si>
  <si>
    <t>D00-1008659</t>
  </si>
  <si>
    <t>D70-1003659</t>
  </si>
  <si>
    <t>D70-1003668</t>
  </si>
  <si>
    <t>D70-1003669</t>
  </si>
  <si>
    <t>G00-996495</t>
  </si>
  <si>
    <t>H00-1000829</t>
  </si>
  <si>
    <t>H00-1000960</t>
  </si>
  <si>
    <t>H01-993201</t>
  </si>
  <si>
    <t>L00-1013061</t>
  </si>
  <si>
    <t>L00-1013099</t>
  </si>
  <si>
    <t>L00-1013163</t>
  </si>
  <si>
    <t>L00-1013280</t>
  </si>
  <si>
    <t>L00-1013302</t>
  </si>
  <si>
    <t>L00-1013341</t>
  </si>
  <si>
    <t>L00-1013350</t>
  </si>
  <si>
    <t>L00-1013385</t>
  </si>
  <si>
    <t>L00-1013393</t>
  </si>
  <si>
    <t>L00-1014206</t>
  </si>
  <si>
    <t>L01-999155</t>
  </si>
  <si>
    <t>L06-993694</t>
  </si>
  <si>
    <t>L06-993700</t>
  </si>
  <si>
    <t>L06-993723</t>
  </si>
  <si>
    <t>L06-993725</t>
  </si>
  <si>
    <t>L06-993726</t>
  </si>
  <si>
    <t>L06-993728</t>
  </si>
  <si>
    <t>L06-993852</t>
  </si>
  <si>
    <t>L06-993853</t>
  </si>
  <si>
    <t>L06-994089</t>
  </si>
  <si>
    <t>L07-977995</t>
  </si>
  <si>
    <t>L07-977998</t>
  </si>
  <si>
    <t>L07-978004</t>
  </si>
  <si>
    <t>M05-1000700</t>
  </si>
  <si>
    <t>MS1-999079</t>
  </si>
  <si>
    <t>P01-998042</t>
  </si>
  <si>
    <t>P06-996977</t>
  </si>
  <si>
    <t>P06-996981</t>
  </si>
  <si>
    <t>Q00-999147</t>
  </si>
  <si>
    <t>Q02-930012</t>
  </si>
  <si>
    <t>Q02-930029</t>
  </si>
  <si>
    <t>T00-999086</t>
  </si>
  <si>
    <t>T00-999091</t>
  </si>
  <si>
    <t>T00-999126</t>
  </si>
  <si>
    <t>T02-998199</t>
  </si>
  <si>
    <t>Y00-1001552</t>
  </si>
  <si>
    <t>Y00-1001557</t>
  </si>
  <si>
    <t>Y00-1001598</t>
  </si>
  <si>
    <t>Y00-1001614</t>
  </si>
  <si>
    <t>Y00-1001697</t>
  </si>
  <si>
    <t>Y01-811076</t>
  </si>
  <si>
    <t>C01-995475</t>
  </si>
  <si>
    <t>C01-995480</t>
  </si>
  <si>
    <t>C01-995486</t>
  </si>
  <si>
    <t>C01-995553</t>
  </si>
  <si>
    <t>C01-995556</t>
  </si>
  <si>
    <t>C01-995560</t>
  </si>
  <si>
    <t>D00-1008118</t>
  </si>
  <si>
    <t>D00-1008141</t>
  </si>
  <si>
    <t>D00-1008216</t>
  </si>
  <si>
    <t>D00-1008265</t>
  </si>
  <si>
    <t>D70-1003626</t>
  </si>
  <si>
    <t>F02-996379</t>
  </si>
  <si>
    <t>F04-975602</t>
  </si>
  <si>
    <t>F04-975603</t>
  </si>
  <si>
    <t>F04-975615</t>
  </si>
  <si>
    <t>F04-975688</t>
  </si>
  <si>
    <t>F10-996331</t>
  </si>
  <si>
    <t>G00-996522</t>
  </si>
  <si>
    <t>G05-963630</t>
  </si>
  <si>
    <t>G05-963715</t>
  </si>
  <si>
    <t>H01-993209</t>
  </si>
  <si>
    <t>L00-1013063</t>
  </si>
  <si>
    <t>L00-1013067</t>
  </si>
  <si>
    <t>L00-1013068</t>
  </si>
  <si>
    <t>L00-1013082</t>
  </si>
  <si>
    <t>L00-1013092</t>
  </si>
  <si>
    <t>L00-1013104</t>
  </si>
  <si>
    <t>L00-1013168</t>
  </si>
  <si>
    <t>L00-1013174</t>
  </si>
  <si>
    <t>L00-1013208</t>
  </si>
  <si>
    <t>L00-1013209</t>
  </si>
  <si>
    <t>L00-1013210</t>
  </si>
  <si>
    <t>L00-1013234</t>
  </si>
  <si>
    <t>L00-1013269</t>
  </si>
  <si>
    <t>L00-1013366</t>
  </si>
  <si>
    <t>L00-1013368</t>
  </si>
  <si>
    <t>L00-1013397</t>
  </si>
  <si>
    <t>L00-1013400</t>
  </si>
  <si>
    <t>L00-1013482</t>
  </si>
  <si>
    <t>L00-1014701</t>
  </si>
  <si>
    <t>L06-993860</t>
  </si>
  <si>
    <t>L07-978014</t>
  </si>
  <si>
    <t>M00-999752</t>
  </si>
  <si>
    <t>M00-999788</t>
  </si>
  <si>
    <t>M00-999831</t>
  </si>
  <si>
    <t>M20-1002013</t>
  </si>
  <si>
    <t>M20-1002121</t>
  </si>
  <si>
    <t>M20-1002197</t>
  </si>
  <si>
    <t>MC1-998490</t>
  </si>
  <si>
    <t>P00-995738</t>
  </si>
  <si>
    <t>P00-995744</t>
  </si>
  <si>
    <t>P00-995780</t>
  </si>
  <si>
    <t>P00-995782</t>
  </si>
  <si>
    <t>P01-998046</t>
  </si>
  <si>
    <t>Q00-999129</t>
  </si>
  <si>
    <t>Q00-999131</t>
  </si>
  <si>
    <t>Q02-930018</t>
  </si>
  <si>
    <t>Q02-930019</t>
  </si>
  <si>
    <t>Q02-930089</t>
  </si>
  <si>
    <t>T00-999087</t>
  </si>
  <si>
    <t>T02-998195</t>
  </si>
  <si>
    <t>T02-998196</t>
  </si>
  <si>
    <t>T02-998200</t>
  </si>
  <si>
    <t>T02-998222</t>
  </si>
  <si>
    <t>T03-999803</t>
  </si>
  <si>
    <t>Y00-1001564</t>
  </si>
  <si>
    <t>Y00-1001613</t>
  </si>
  <si>
    <t>Y01-811033</t>
  </si>
  <si>
    <t>C01-995502</t>
  </si>
  <si>
    <t>D00-1008157</t>
  </si>
  <si>
    <t>D00-1008882</t>
  </si>
  <si>
    <t>D00-1008883</t>
  </si>
  <si>
    <t>D70-1003594</t>
  </si>
  <si>
    <t>D70-1003605</t>
  </si>
  <si>
    <t>D70-1003621</t>
  </si>
  <si>
    <t>D70-1003625</t>
  </si>
  <si>
    <t>D70-1003657</t>
  </si>
  <si>
    <t>F04-975664</t>
  </si>
  <si>
    <t>G00-996502</t>
  </si>
  <si>
    <t>G00-996542</t>
  </si>
  <si>
    <t>G00-996543</t>
  </si>
  <si>
    <t>G00-996578</t>
  </si>
  <si>
    <t>G00-996579</t>
  </si>
  <si>
    <t>G05-963613</t>
  </si>
  <si>
    <t>G05-963619</t>
  </si>
  <si>
    <t>G05-963714</t>
  </si>
  <si>
    <t>G11-993761</t>
  </si>
  <si>
    <t>H00-1000831</t>
  </si>
  <si>
    <t>H00-1000838</t>
  </si>
  <si>
    <t>H00-1000842</t>
  </si>
  <si>
    <t>H00-1000853</t>
  </si>
  <si>
    <t>H00-1000865</t>
  </si>
  <si>
    <t>L00-1013087</t>
  </si>
  <si>
    <t>L00-1013103</t>
  </si>
  <si>
    <t>L00-1013139</t>
  </si>
  <si>
    <t>L00-1013148</t>
  </si>
  <si>
    <t>L00-1013165</t>
  </si>
  <si>
    <t>L00-1013184</t>
  </si>
  <si>
    <t>L00-1013230</t>
  </si>
  <si>
    <t>L00-1013242</t>
  </si>
  <si>
    <t>L00-1013272</t>
  </si>
  <si>
    <t>L00-1013282</t>
  </si>
  <si>
    <t>L00-1013310</t>
  </si>
  <si>
    <t>L00-1013365</t>
  </si>
  <si>
    <t>L00-1013386</t>
  </si>
  <si>
    <t>L00-1013398</t>
  </si>
  <si>
    <t>L00-1013401</t>
  </si>
  <si>
    <t>L00-1013415</t>
  </si>
  <si>
    <t>L00-1013426</t>
  </si>
  <si>
    <t>L00-1013432</t>
  </si>
  <si>
    <t>L00-1014799</t>
  </si>
  <si>
    <t>L00-1014800</t>
  </si>
  <si>
    <t>L06-993722</t>
  </si>
  <si>
    <t>L06-993731</t>
  </si>
  <si>
    <t>L06-993743</t>
  </si>
  <si>
    <t>L06-993958</t>
  </si>
  <si>
    <t>L07-978020</t>
  </si>
  <si>
    <t>M11-918994</t>
  </si>
  <si>
    <t>MC1-998493</t>
  </si>
  <si>
    <t>MC1-998554</t>
  </si>
  <si>
    <t>P00-995743</t>
  </si>
  <si>
    <t>P00-995758</t>
  </si>
  <si>
    <t>P00-995777</t>
  </si>
  <si>
    <t>P00-995778</t>
  </si>
  <si>
    <t>P00-995901</t>
  </si>
  <si>
    <t>P01-998036</t>
  </si>
  <si>
    <t>T00-999057</t>
  </si>
  <si>
    <t>Y00-1001556</t>
  </si>
  <si>
    <t>Y00-1001623</t>
  </si>
  <si>
    <t>Y00-1001624</t>
  </si>
  <si>
    <t>Y01-811029</t>
  </si>
  <si>
    <t>Y01-811038</t>
  </si>
  <si>
    <t>C00-999115</t>
  </si>
  <si>
    <t>C00-999116</t>
  </si>
  <si>
    <t>D00-1008250</t>
  </si>
  <si>
    <t>D70-1003613</t>
  </si>
  <si>
    <t>D70-1003616</t>
  </si>
  <si>
    <t>D70-1003628</t>
  </si>
  <si>
    <t>D70-1003666</t>
  </si>
  <si>
    <t>D70-1003801</t>
  </si>
  <si>
    <t>D70-1003803</t>
  </si>
  <si>
    <t>D70-1003824</t>
  </si>
  <si>
    <t>D70-1003825</t>
  </si>
  <si>
    <t>D70-1003847</t>
  </si>
  <si>
    <t>D70-1003944</t>
  </si>
  <si>
    <t>F04-975672</t>
  </si>
  <si>
    <t>F04-975673</t>
  </si>
  <si>
    <t>F10-996329</t>
  </si>
  <si>
    <t>G00-996497</t>
  </si>
  <si>
    <t>G00-996505</t>
  </si>
  <si>
    <t>G00-996513</t>
  </si>
  <si>
    <t>G11-993774</t>
  </si>
  <si>
    <t>G11-993818</t>
  </si>
  <si>
    <t>H00-1000832</t>
  </si>
  <si>
    <t>H00-1000836</t>
  </si>
  <si>
    <t>H00-1000851</t>
  </si>
  <si>
    <t>L00-1013097</t>
  </si>
  <si>
    <t>L00-1013268</t>
  </si>
  <si>
    <t>L00-1013270</t>
  </si>
  <si>
    <t>L00-1013271</t>
  </si>
  <si>
    <t>L00-1013370</t>
  </si>
  <si>
    <t>L00-1013379</t>
  </si>
  <si>
    <t>L00-1013391</t>
  </si>
  <si>
    <t>L00-1013435</t>
  </si>
  <si>
    <t>L00-1013436</t>
  </si>
  <si>
    <t>L00-1013447</t>
  </si>
  <si>
    <t>L00-1013483</t>
  </si>
  <si>
    <t>L00-1014227</t>
  </si>
  <si>
    <t>L01-999070</t>
  </si>
  <si>
    <t>L01-999187</t>
  </si>
  <si>
    <t>L06-993696</t>
  </si>
  <si>
    <t>L06-993697</t>
  </si>
  <si>
    <t>L06-993698</t>
  </si>
  <si>
    <t>L06-993699</t>
  </si>
  <si>
    <t>L06-993716</t>
  </si>
  <si>
    <t>L06-993717</t>
  </si>
  <si>
    <t>L06-993719</t>
  </si>
  <si>
    <t>L06-993720</t>
  </si>
  <si>
    <t>L06-993721</t>
  </si>
  <si>
    <t>L06-993739</t>
  </si>
  <si>
    <t>L06-993831</t>
  </si>
  <si>
    <t>L06-993932</t>
  </si>
  <si>
    <t>L06-993937</t>
  </si>
  <si>
    <t>L06-993942</t>
  </si>
  <si>
    <t>L06-993947</t>
  </si>
  <si>
    <t>L06-993948</t>
  </si>
  <si>
    <t>M00-999828</t>
  </si>
  <si>
    <t>M05-1000682</t>
  </si>
  <si>
    <t>M05-1000685</t>
  </si>
  <si>
    <t>M05-1000689</t>
  </si>
  <si>
    <t>M05-1000692</t>
  </si>
  <si>
    <t>M14-980461</t>
  </si>
  <si>
    <t>M14-980474</t>
  </si>
  <si>
    <t>M20-1001988</t>
  </si>
  <si>
    <t>MC1-998527</t>
  </si>
  <si>
    <t>MS1-999085</t>
  </si>
  <si>
    <t>MS1-999102</t>
  </si>
  <si>
    <t>MS5-913793</t>
  </si>
  <si>
    <t>P00-995737</t>
  </si>
  <si>
    <t>P00-995753</t>
  </si>
  <si>
    <t>P07-994996</t>
  </si>
  <si>
    <t>P07-995018</t>
  </si>
  <si>
    <t>Q02-930026</t>
  </si>
  <si>
    <t>T02-998186</t>
  </si>
  <si>
    <t>T02-998190</t>
  </si>
  <si>
    <t>Y00-1001563</t>
  </si>
  <si>
    <t>Y00-1001586</t>
  </si>
  <si>
    <t>Y00-1001610</t>
  </si>
  <si>
    <t>Y00-1001615</t>
  </si>
  <si>
    <t>Y01-811046</t>
  </si>
  <si>
    <t>Y11-983661</t>
  </si>
  <si>
    <t>C01-995477</t>
  </si>
  <si>
    <t>C01-995483</t>
  </si>
  <si>
    <t>D00-1008160</t>
  </si>
  <si>
    <t>D00-1008175</t>
  </si>
  <si>
    <t>D00-1008214</t>
  </si>
  <si>
    <t>D00-1008618</t>
  </si>
  <si>
    <t>D70-1003577</t>
  </si>
  <si>
    <t>D70-1003589</t>
  </si>
  <si>
    <t>D70-1003622</t>
  </si>
  <si>
    <t>F02-996392</t>
  </si>
  <si>
    <t>F04-975608</t>
  </si>
  <si>
    <t>G22-156215</t>
  </si>
  <si>
    <t>H00-1000830</t>
  </si>
  <si>
    <t>H01-993202</t>
  </si>
  <si>
    <t>L00-1013102</t>
  </si>
  <si>
    <t>L00-1013108</t>
  </si>
  <si>
    <t>L00-1013112</t>
  </si>
  <si>
    <t>L00-1013140</t>
  </si>
  <si>
    <t>L00-1013239</t>
  </si>
  <si>
    <t>L00-1013256</t>
  </si>
  <si>
    <t>L00-1013303</t>
  </si>
  <si>
    <t>L00-1013356</t>
  </si>
  <si>
    <t>L00-1013484</t>
  </si>
  <si>
    <t>L00-1013485</t>
  </si>
  <si>
    <t>L00-1014183</t>
  </si>
  <si>
    <t>L00-1014222</t>
  </si>
  <si>
    <t>L00-1014254</t>
  </si>
  <si>
    <t>L01-999097</t>
  </si>
  <si>
    <t>L06-993708</t>
  </si>
  <si>
    <t>L06-993709</t>
  </si>
  <si>
    <t>L06-993733</t>
  </si>
  <si>
    <t>L06-994053</t>
  </si>
  <si>
    <t>L07-977973</t>
  </si>
  <si>
    <t>L07-977980</t>
  </si>
  <si>
    <t>L07-977985</t>
  </si>
  <si>
    <t>L07-978015</t>
  </si>
  <si>
    <t>M05-1000678</t>
  </si>
  <si>
    <t>M14-980462</t>
  </si>
  <si>
    <t>M14-980519</t>
  </si>
  <si>
    <t>M20-1001985</t>
  </si>
  <si>
    <t>M20-1002043</t>
  </si>
  <si>
    <t>MC1-998486</t>
  </si>
  <si>
    <t>P00-995739</t>
  </si>
  <si>
    <t>P00-995748</t>
  </si>
  <si>
    <t>P00-995763</t>
  </si>
  <si>
    <t>P00-995888</t>
  </si>
  <si>
    <t>P06-996976</t>
  </si>
  <si>
    <t>P06-996994</t>
  </si>
  <si>
    <t>Q02-930065</t>
  </si>
  <si>
    <t>Q02-930067</t>
  </si>
  <si>
    <t>T00-999058</t>
  </si>
  <si>
    <t>T00-999127</t>
  </si>
  <si>
    <t>Y00-1001572</t>
  </si>
  <si>
    <t>Y00-1001701</t>
  </si>
  <si>
    <t>Y01-811042</t>
  </si>
  <si>
    <t>Y11-983662</t>
  </si>
  <si>
    <t>Y11-983670</t>
  </si>
  <si>
    <t>C00-999120</t>
  </si>
  <si>
    <t>C00-999187</t>
  </si>
  <si>
    <t>D00-1008192</t>
  </si>
  <si>
    <t>D00-1008239</t>
  </si>
  <si>
    <t>D70-1003569</t>
  </si>
  <si>
    <t>D70-1003573</t>
  </si>
  <si>
    <t>D70-1003574</t>
  </si>
  <si>
    <t>D70-1003581</t>
  </si>
  <si>
    <t>D70-1003587</t>
  </si>
  <si>
    <t>D70-1003604</t>
  </si>
  <si>
    <t>D70-1003629</t>
  </si>
  <si>
    <t>D70-1003678</t>
  </si>
  <si>
    <t>F02-996455</t>
  </si>
  <si>
    <t>F02-996456</t>
  </si>
  <si>
    <t>G05-963642</t>
  </si>
  <si>
    <t>G11-993769</t>
  </si>
  <si>
    <t>G11-993819</t>
  </si>
  <si>
    <t>H00-1000841</t>
  </si>
  <si>
    <t>H00-1000850</t>
  </si>
  <si>
    <t>H01-993218</t>
  </si>
  <si>
    <t>H01-993222</t>
  </si>
  <si>
    <t>H01-993223</t>
  </si>
  <si>
    <t>H01-993224</t>
  </si>
  <si>
    <t>L00-1013070</t>
  </si>
  <si>
    <t>L00-1013083</t>
  </si>
  <si>
    <t>L00-1013088</t>
  </si>
  <si>
    <t>L00-1013089</t>
  </si>
  <si>
    <t>L00-1013141</t>
  </si>
  <si>
    <t>L00-1013178</t>
  </si>
  <si>
    <t>L00-1013199</t>
  </si>
  <si>
    <t>L00-1013221</t>
  </si>
  <si>
    <t>L00-1013305</t>
  </si>
  <si>
    <t>L00-1013308</t>
  </si>
  <si>
    <t>L00-1013344</t>
  </si>
  <si>
    <t>L00-1013346</t>
  </si>
  <si>
    <t>L00-1013418</t>
  </si>
  <si>
    <t>L00-1013419</t>
  </si>
  <si>
    <t>L00-1013494</t>
  </si>
  <si>
    <t>L00-1013495</t>
  </si>
  <si>
    <t>L00-1014140</t>
  </si>
  <si>
    <t>L00-1014210</t>
  </si>
  <si>
    <t>L00-1014223</t>
  </si>
  <si>
    <t>L00-1014274</t>
  </si>
  <si>
    <t>L00-1014286</t>
  </si>
  <si>
    <t>L01-999080</t>
  </si>
  <si>
    <t>L01-999101</t>
  </si>
  <si>
    <t>L01-999102</t>
  </si>
  <si>
    <t>L06-993687</t>
  </si>
  <si>
    <t>L07-977990</t>
  </si>
  <si>
    <t>L07-978016</t>
  </si>
  <si>
    <t>L07-978017</t>
  </si>
  <si>
    <t>L07-978018</t>
  </si>
  <si>
    <t>L07-978019</t>
  </si>
  <si>
    <t>M00-999772</t>
  </si>
  <si>
    <t>M05-1000680</t>
  </si>
  <si>
    <t>M05-1000735</t>
  </si>
  <si>
    <t>M14-980520</t>
  </si>
  <si>
    <t>M20-1001990</t>
  </si>
  <si>
    <t>MS1-999078</t>
  </si>
  <si>
    <t>P00-995781</t>
  </si>
  <si>
    <t>P01-998039</t>
  </si>
  <si>
    <t>Q02-930066</t>
  </si>
  <si>
    <t>T03-999809</t>
  </si>
  <si>
    <t>Y00-1001570</t>
  </si>
  <si>
    <t>Y02-993378</t>
  </si>
  <si>
    <t>Y17-862285</t>
  </si>
  <si>
    <t>C01-995473</t>
  </si>
  <si>
    <t>C01-995487</t>
  </si>
  <si>
    <t>D00-1008132</t>
  </si>
  <si>
    <t>D00-1008219</t>
  </si>
  <si>
    <t>D00-1008247</t>
  </si>
  <si>
    <t>D70-1003580</t>
  </si>
  <si>
    <t>D70-1003595</t>
  </si>
  <si>
    <t>D70-1003596</t>
  </si>
  <si>
    <t>D70-1003630</t>
  </si>
  <si>
    <t>D70-1003636</t>
  </si>
  <si>
    <t>F02-996391</t>
  </si>
  <si>
    <t>F04-975605</t>
  </si>
  <si>
    <t>F04-975606</t>
  </si>
  <si>
    <t>F04-975607</t>
  </si>
  <si>
    <t>G00-996509</t>
  </si>
  <si>
    <t>G05-963631</t>
  </si>
  <si>
    <t>G05-963633</t>
  </si>
  <si>
    <t>G05-963763</t>
  </si>
  <si>
    <t>G11-993758</t>
  </si>
  <si>
    <t>H00-1000857</t>
  </si>
  <si>
    <t>H01-993207</t>
  </si>
  <si>
    <t>L00-1013076</t>
  </si>
  <si>
    <t>L00-1013096</t>
  </si>
  <si>
    <t>L00-1013169</t>
  </si>
  <si>
    <t>L00-1013175</t>
  </si>
  <si>
    <t>L00-1013281</t>
  </si>
  <si>
    <t>L00-1013348</t>
  </si>
  <si>
    <t>L00-1013405</t>
  </si>
  <si>
    <t>L00-1013420</t>
  </si>
  <si>
    <t>L00-1013433</t>
  </si>
  <si>
    <t>L00-1013434</t>
  </si>
  <si>
    <t>L00-1013459</t>
  </si>
  <si>
    <t>L00-1014113</t>
  </si>
  <si>
    <t>L00-1014119</t>
  </si>
  <si>
    <t>L00-1014275</t>
  </si>
  <si>
    <t>L00-1014750</t>
  </si>
  <si>
    <t>L01-999078</t>
  </si>
  <si>
    <t>L01-999087</t>
  </si>
  <si>
    <t>L06-993695</t>
  </si>
  <si>
    <t>L06-993707</t>
  </si>
  <si>
    <t>L06-993744</t>
  </si>
  <si>
    <t>L06-993761</t>
  </si>
  <si>
    <t>L06-993838</t>
  </si>
  <si>
    <t>L07-977983</t>
  </si>
  <si>
    <t>L07-978129</t>
  </si>
  <si>
    <t>M00-999787</t>
  </si>
  <si>
    <t>M00-999793</t>
  </si>
  <si>
    <t>M00-999854</t>
  </si>
  <si>
    <t>M11-918964</t>
  </si>
  <si>
    <t>M14-980460</t>
  </si>
  <si>
    <t>M14-980521</t>
  </si>
  <si>
    <t>M20-1002017</t>
  </si>
  <si>
    <t>MC1-998491</t>
  </si>
  <si>
    <t>MC1-998492</t>
  </si>
  <si>
    <t>Q00-999156</t>
  </si>
  <si>
    <t>Q02-930034</t>
  </si>
  <si>
    <t>Q02-930049</t>
  </si>
  <si>
    <t>Q02-930165</t>
  </si>
  <si>
    <t>T00-999088</t>
  </si>
  <si>
    <t>T02-998185</t>
  </si>
  <si>
    <t>Y00-1001616</t>
  </si>
  <si>
    <t>Y00-1001617</t>
  </si>
  <si>
    <t>Y00-1001618</t>
  </si>
  <si>
    <t>Y00-1001622</t>
  </si>
  <si>
    <t>Y00-1001628</t>
  </si>
  <si>
    <t>Y00-1001702</t>
  </si>
  <si>
    <t>Y00-1001709</t>
  </si>
  <si>
    <t>Y01-811037</t>
  </si>
  <si>
    <t>C00-999146</t>
  </si>
  <si>
    <t>C01-995471</t>
  </si>
  <si>
    <t>D70-1003570</t>
  </si>
  <si>
    <t>D70-1003631</t>
  </si>
  <si>
    <t>D70-1003632</t>
  </si>
  <si>
    <t>F02-996381</t>
  </si>
  <si>
    <t>G05-963632</t>
  </si>
  <si>
    <t>G05-963641</t>
  </si>
  <si>
    <t>G11-993764</t>
  </si>
  <si>
    <t>G11-993772</t>
  </si>
  <si>
    <t>G11-993822</t>
  </si>
  <si>
    <t>G22-156219</t>
  </si>
  <si>
    <t>G22-156220</t>
  </si>
  <si>
    <t>H00-1000849</t>
  </si>
  <si>
    <t>H00-1000866</t>
  </si>
  <si>
    <t>L00-1013066</t>
  </si>
  <si>
    <t>L00-1013109</t>
  </si>
  <si>
    <t>L00-1013182</t>
  </si>
  <si>
    <t>L00-1013212</t>
  </si>
  <si>
    <t>L00-1013304</t>
  </si>
  <si>
    <t>L00-1013309</t>
  </si>
  <si>
    <t>L00-1013357</t>
  </si>
  <si>
    <t>L00-1013376</t>
  </si>
  <si>
    <t>L00-1013399</t>
  </si>
  <si>
    <t>L00-1013408</t>
  </si>
  <si>
    <t>L00-1013431</t>
  </si>
  <si>
    <t>L00-1013437</t>
  </si>
  <si>
    <t>L00-1013453</t>
  </si>
  <si>
    <t>L00-1013466</t>
  </si>
  <si>
    <t>L00-1014250</t>
  </si>
  <si>
    <t>L00-1014268</t>
  </si>
  <si>
    <t>L00-1014287</t>
  </si>
  <si>
    <t>L00-1014707</t>
  </si>
  <si>
    <t>L00-1014736</t>
  </si>
  <si>
    <t>M00-999753</t>
  </si>
  <si>
    <t>M00-999757</t>
  </si>
  <si>
    <t>M00-999759</t>
  </si>
  <si>
    <t>M00-999784</t>
  </si>
  <si>
    <t>M00-999786</t>
  </si>
  <si>
    <t>M00-999791</t>
  </si>
  <si>
    <t>M00-999857</t>
  </si>
  <si>
    <t>M00-999858</t>
  </si>
  <si>
    <t>M00-999860</t>
  </si>
  <si>
    <t>M14-980454</t>
  </si>
  <si>
    <t>M14-980611</t>
  </si>
  <si>
    <t>M20-1001980</t>
  </si>
  <si>
    <t>M20-1002003</t>
  </si>
  <si>
    <t>M20-1002032</t>
  </si>
  <si>
    <t>ML0-226211</t>
  </si>
  <si>
    <t>ML0-226217</t>
  </si>
  <si>
    <t>P00-995747</t>
  </si>
  <si>
    <t>P00-995788</t>
  </si>
  <si>
    <t>P00-995801</t>
  </si>
  <si>
    <t>Q02-930011</t>
  </si>
  <si>
    <t>Q02-930033</t>
  </si>
  <si>
    <t>Q02-930035</t>
  </si>
  <si>
    <t>Q02-930038</t>
  </si>
  <si>
    <t>T00-999076</t>
  </si>
  <si>
    <t>T00-999089</t>
  </si>
  <si>
    <t>Y00-1001587</t>
  </si>
  <si>
    <t>Y00-1001634</t>
  </si>
  <si>
    <t>Y11-983668</t>
  </si>
  <si>
    <t>C01-995478</t>
  </si>
  <si>
    <t>D00-1008159</t>
  </si>
  <si>
    <t>D00-1008183</t>
  </si>
  <si>
    <t>D00-1008184</t>
  </si>
  <si>
    <t>D00-1008263</t>
  </si>
  <si>
    <t>D00-1008268</t>
  </si>
  <si>
    <t>D00-1008361</t>
  </si>
  <si>
    <t>F02-996383</t>
  </si>
  <si>
    <t>F02-996386</t>
  </si>
  <si>
    <t>H00-1000869</t>
  </si>
  <si>
    <t>L00-1013075</t>
  </si>
  <si>
    <t>L00-1013116</t>
  </si>
  <si>
    <t>L00-1013147</t>
  </si>
  <si>
    <t>L00-1013151</t>
  </si>
  <si>
    <t>L00-1013160</t>
  </si>
  <si>
    <t>L00-1013180</t>
  </si>
  <si>
    <t>L00-1013214</t>
  </si>
  <si>
    <t>L00-1013215</t>
  </si>
  <si>
    <t>L00-1013216</t>
  </si>
  <si>
    <t>L00-1013218</t>
  </si>
  <si>
    <t>L00-1013219</t>
  </si>
  <si>
    <t>L00-1013220</t>
  </si>
  <si>
    <t>L00-1013232</t>
  </si>
  <si>
    <t>L00-1013257</t>
  </si>
  <si>
    <t>L00-1013258</t>
  </si>
  <si>
    <t>L00-1013413</t>
  </si>
  <si>
    <t>L00-1013428</t>
  </si>
  <si>
    <t>L00-1013438</t>
  </si>
  <si>
    <t>L00-1013461</t>
  </si>
  <si>
    <t>L00-1013520</t>
  </si>
  <si>
    <t>L00-1013544</t>
  </si>
  <si>
    <t>L00-1013545</t>
  </si>
  <si>
    <t>L00-1014187</t>
  </si>
  <si>
    <t>L01-999092</t>
  </si>
  <si>
    <t>L06-993682</t>
  </si>
  <si>
    <t>L06-993685</t>
  </si>
  <si>
    <t>L06-993686</t>
  </si>
  <si>
    <t>L06-993711</t>
  </si>
  <si>
    <t>L06-993742</t>
  </si>
  <si>
    <t>M11-918967</t>
  </si>
  <si>
    <t>M11-918991</t>
  </si>
  <si>
    <t>M11-918995</t>
  </si>
  <si>
    <t>M20-1002018</t>
  </si>
  <si>
    <t>M20-1002033</t>
  </si>
  <si>
    <t>M20-1002042</t>
  </si>
  <si>
    <t>M20-1002044</t>
  </si>
  <si>
    <t>M20-1002125</t>
  </si>
  <si>
    <t>M20-1002144</t>
  </si>
  <si>
    <t>MC1-998500</t>
  </si>
  <si>
    <t>P00-995734</t>
  </si>
  <si>
    <t>P00-995874</t>
  </si>
  <si>
    <t>P01-998043</t>
  </si>
  <si>
    <t>P06-996982</t>
  </si>
  <si>
    <t>P06-997011</t>
  </si>
  <si>
    <t>Q00-999145</t>
  </si>
  <si>
    <t>Q02-930017</t>
  </si>
  <si>
    <t>Q02-930046</t>
  </si>
  <si>
    <t>T00-999059</t>
  </si>
  <si>
    <t>T00-999067</t>
  </si>
  <si>
    <t>T00-999068</t>
  </si>
  <si>
    <t>T00-999069</t>
  </si>
  <si>
    <t>T00-999070</t>
  </si>
  <si>
    <t>T00-999071</t>
  </si>
  <si>
    <t>T00-999072</t>
  </si>
  <si>
    <t>T00-999073</t>
  </si>
  <si>
    <t>T00-999074</t>
  </si>
  <si>
    <t>T00-999075</t>
  </si>
  <si>
    <t>T00-999078</t>
  </si>
  <si>
    <t>T00-999096</t>
  </si>
  <si>
    <t>T02-998194</t>
  </si>
  <si>
    <t>Y02-993379</t>
  </si>
  <si>
    <t>C01-995495</t>
  </si>
  <si>
    <t>C01-995550</t>
  </si>
  <si>
    <t>D00-1008109</t>
  </si>
  <si>
    <t>D00-1008110</t>
  </si>
  <si>
    <t>D00-1008112</t>
  </si>
  <si>
    <t>D00-1008117</t>
  </si>
  <si>
    <t>D00-1008129</t>
  </si>
  <si>
    <t>D00-1008138</t>
  </si>
  <si>
    <t>D00-1008142</t>
  </si>
  <si>
    <t>D00-1008163</t>
  </si>
  <si>
    <t>D00-1008164</t>
  </si>
  <si>
    <t>D00-1008187</t>
  </si>
  <si>
    <t>D00-1008196</t>
  </si>
  <si>
    <t>D00-1008231</t>
  </si>
  <si>
    <t>D00-1008261</t>
  </si>
  <si>
    <t>D00-1008264</t>
  </si>
  <si>
    <t>D00-1008362</t>
  </si>
  <si>
    <t>D70-1003559</t>
  </si>
  <si>
    <t>D70-1003576</t>
  </si>
  <si>
    <t>D70-1003578</t>
  </si>
  <si>
    <t>D70-1003586</t>
  </si>
  <si>
    <t>D70-1003591</t>
  </si>
  <si>
    <t>D70-1003592</t>
  </si>
  <si>
    <t>D70-1003599</t>
  </si>
  <si>
    <t>D70-1003601</t>
  </si>
  <si>
    <t>D70-1003607</t>
  </si>
  <si>
    <t>D70-1003610</t>
  </si>
  <si>
    <t>D70-1003615</t>
  </si>
  <si>
    <t>D70-1003687</t>
  </si>
  <si>
    <t>D70-1003821</t>
  </si>
  <si>
    <t>F04-975616</t>
  </si>
  <si>
    <t>F04-975634</t>
  </si>
  <si>
    <t>G00-996508</t>
  </si>
  <si>
    <t>G05-963614</t>
  </si>
  <si>
    <t>G05-963634</t>
  </si>
  <si>
    <t>G05-963637</t>
  </si>
  <si>
    <t>G05-963809</t>
  </si>
  <si>
    <t>G11-993791</t>
  </si>
  <si>
    <t>H00-1000854</t>
  </si>
  <si>
    <t>H00-1000855</t>
  </si>
  <si>
    <t>L00-1013069</t>
  </si>
  <si>
    <t>L00-1013105</t>
  </si>
  <si>
    <t>L00-1013133</t>
  </si>
  <si>
    <t>L00-1013143</t>
  </si>
  <si>
    <t>L00-1013144</t>
  </si>
  <si>
    <t>L00-1013170</t>
  </si>
  <si>
    <t>L00-1013173</t>
  </si>
  <si>
    <t>L00-1013181</t>
  </si>
  <si>
    <t>L00-1013249</t>
  </si>
  <si>
    <t>L00-1013394</t>
  </si>
  <si>
    <t>L00-1013423</t>
  </si>
  <si>
    <t>L00-1014096</t>
  </si>
  <si>
    <t>L01-999071</t>
  </si>
  <si>
    <t>L06-993945</t>
  </si>
  <si>
    <t>L07-977984</t>
  </si>
  <si>
    <t>L07-978012</t>
  </si>
  <si>
    <t>L07-978130</t>
  </si>
  <si>
    <t>M05-1000679</t>
  </si>
  <si>
    <t>M05-1000681</t>
  </si>
  <si>
    <t>M11-918950</t>
  </si>
  <si>
    <t>M11-918951</t>
  </si>
  <si>
    <t>M20-1001984</t>
  </si>
  <si>
    <t>M25-848841</t>
  </si>
  <si>
    <t>MC1-998494</t>
  </si>
  <si>
    <t>MC7-12148</t>
  </si>
  <si>
    <t>P01-998044</t>
  </si>
  <si>
    <t>P06-996983</t>
  </si>
  <si>
    <t>Q00-999143</t>
  </si>
  <si>
    <t>Q00-999155</t>
  </si>
  <si>
    <t>Q02-930041</t>
  </si>
  <si>
    <t>Q02-930047</t>
  </si>
  <si>
    <t>Y00-1001550</t>
  </si>
  <si>
    <t>Y00-1001588</t>
  </si>
  <si>
    <t>Y00-1001603</t>
  </si>
  <si>
    <t>Y00-1001619</t>
  </si>
  <si>
    <t>C00-999113</t>
  </si>
  <si>
    <t>C00-999155</t>
  </si>
  <si>
    <t>C01-995568</t>
  </si>
  <si>
    <t>C01-995618</t>
  </si>
  <si>
    <t>C01-995810</t>
  </si>
  <si>
    <t>C16-806637</t>
  </si>
  <si>
    <t>C16-806639</t>
  </si>
  <si>
    <t>D00-1008116</t>
  </si>
  <si>
    <t>D00-1008125</t>
  </si>
  <si>
    <t>D00-1008149</t>
  </si>
  <si>
    <t>D00-1008165</t>
  </si>
  <si>
    <t>D00-1008177</t>
  </si>
  <si>
    <t>D00-1008182</t>
  </si>
  <si>
    <t>D00-1008185</t>
  </si>
  <si>
    <t>D00-1008212</t>
  </si>
  <si>
    <t>D00-1008213</t>
  </si>
  <si>
    <t>D00-1008217</t>
  </si>
  <si>
    <t>D00-1008240</t>
  </si>
  <si>
    <t>D00-1008243</t>
  </si>
  <si>
    <t>D00-1008255</t>
  </si>
  <si>
    <t>D00-1008257</t>
  </si>
  <si>
    <t>D00-1008267</t>
  </si>
  <si>
    <t>D00-1008536</t>
  </si>
  <si>
    <t>D00-1008604</t>
  </si>
  <si>
    <t>D00-1008628</t>
  </si>
  <si>
    <t>D00-1008654</t>
  </si>
  <si>
    <t>D00-1008668</t>
  </si>
  <si>
    <t>D00-1008795</t>
  </si>
  <si>
    <t>D00-1008800</t>
  </si>
  <si>
    <t>D00-1008801</t>
  </si>
  <si>
    <t>D00-1008846</t>
  </si>
  <si>
    <t>D00-1009732</t>
  </si>
  <si>
    <t>D70-1003553</t>
  </si>
  <si>
    <t>D70-1003565</t>
  </si>
  <si>
    <t>D70-1003568</t>
  </si>
  <si>
    <t>D70-1003582</t>
  </si>
  <si>
    <t>D70-1003620</t>
  </si>
  <si>
    <t>D70-1003942</t>
  </si>
  <si>
    <t>D70-1003954</t>
  </si>
  <si>
    <t>E00-996327</t>
  </si>
  <si>
    <t>E00-996333</t>
  </si>
  <si>
    <t>E00-996352</t>
  </si>
  <si>
    <t>E00-996354</t>
  </si>
  <si>
    <t>E00-996356</t>
  </si>
  <si>
    <t>E00-996385</t>
  </si>
  <si>
    <t>E00-996386</t>
  </si>
  <si>
    <t>F02-996378</t>
  </si>
  <si>
    <t>F04-975609</t>
  </si>
  <si>
    <t>F04-975611</t>
  </si>
  <si>
    <t>F04-975621</t>
  </si>
  <si>
    <t>F04-975723</t>
  </si>
  <si>
    <t>F04-975737</t>
  </si>
  <si>
    <t>G00-996530</t>
  </si>
  <si>
    <t>H00-1000856</t>
  </si>
  <si>
    <t>H00-1000963</t>
  </si>
  <si>
    <t>H00-1000965</t>
  </si>
  <si>
    <t>H01-993203</t>
  </si>
  <si>
    <t>L00-1013085</t>
  </si>
  <si>
    <t>L00-1013091</t>
  </si>
  <si>
    <t>L00-1013115</t>
  </si>
  <si>
    <t>L00-1013145</t>
  </si>
  <si>
    <t>L00-1013150</t>
  </si>
  <si>
    <t>L00-1013171</t>
  </si>
  <si>
    <t>L00-1013172</t>
  </si>
  <si>
    <t>L00-1013231</t>
  </si>
  <si>
    <t>L00-1013235</t>
  </si>
  <si>
    <t>L00-1013347</t>
  </si>
  <si>
    <t>L00-1013547</t>
  </si>
  <si>
    <t>L00-1014266</t>
  </si>
  <si>
    <t>L00-1015270</t>
  </si>
  <si>
    <t>L01-999075</t>
  </si>
  <si>
    <t>L01-999098</t>
  </si>
  <si>
    <t>L06-993837</t>
  </si>
  <si>
    <t>L07-978083</t>
  </si>
  <si>
    <t>M00-999756</t>
  </si>
  <si>
    <t>M00-999762</t>
  </si>
  <si>
    <t>M00-999763</t>
  </si>
  <si>
    <t>M00-999771</t>
  </si>
  <si>
    <t>M00-999774</t>
  </si>
  <si>
    <t>M00-999775</t>
  </si>
  <si>
    <t>M00-999776</t>
  </si>
  <si>
    <t>M00-999853</t>
  </si>
  <si>
    <t>M20-1001981</t>
  </si>
  <si>
    <t>M20-1002008</t>
  </si>
  <si>
    <t>M20-1002131</t>
  </si>
  <si>
    <t>M20-1002149</t>
  </si>
  <si>
    <t>M20-1002207</t>
  </si>
  <si>
    <t>MSJ-232174</t>
  </si>
  <si>
    <t>P00-995768</t>
  </si>
  <si>
    <t>P00-995864</t>
  </si>
  <si>
    <t>P00-995865</t>
  </si>
  <si>
    <t>P00-995867</t>
  </si>
  <si>
    <t>P00-995868</t>
  </si>
  <si>
    <t>P00-995876</t>
  </si>
  <si>
    <t>P00-995898</t>
  </si>
  <si>
    <t>Q02-930044</t>
  </si>
  <si>
    <t>Q02-930091</t>
  </si>
  <si>
    <t>Q02-930160</t>
  </si>
  <si>
    <t>Q02-930162</t>
  </si>
  <si>
    <t>T02-998197</t>
  </si>
  <si>
    <t>Y00-1001568</t>
  </si>
  <si>
    <t>Y00-1001632</t>
  </si>
  <si>
    <t>Y00-1001692</t>
  </si>
  <si>
    <t>Y00-1001805</t>
  </si>
  <si>
    <t>Y02-993397</t>
  </si>
  <si>
    <t>Y11-983667</t>
  </si>
  <si>
    <t>C00-999185</t>
  </si>
  <si>
    <t>C00-999218</t>
  </si>
  <si>
    <t>C01-995520</t>
  </si>
  <si>
    <t>C01-995523</t>
  </si>
  <si>
    <t>C01-995524</t>
  </si>
  <si>
    <t>C01-995532</t>
  </si>
  <si>
    <t>C01-995547</t>
  </si>
  <si>
    <t>C01-995548</t>
  </si>
  <si>
    <t>C01-995552</t>
  </si>
  <si>
    <t>D00-1008315</t>
  </si>
  <si>
    <t>D00-1008316</t>
  </si>
  <si>
    <t>D00-1008317</t>
  </si>
  <si>
    <t>D00-1008325</t>
  </si>
  <si>
    <t>D00-1008332</t>
  </si>
  <si>
    <t>D00-1008334</t>
  </si>
  <si>
    <t>D00-1008342</t>
  </si>
  <si>
    <t>D00-1008343</t>
  </si>
  <si>
    <t>D00-1008381</t>
  </si>
  <si>
    <t>D00-1008385</t>
  </si>
  <si>
    <t>D00-1008386</t>
  </si>
  <si>
    <t>D00-1008387</t>
  </si>
  <si>
    <t>D00-1008397</t>
  </si>
  <si>
    <t>D00-1008402</t>
  </si>
  <si>
    <t>D00-1008404</t>
  </si>
  <si>
    <t>D00-1008408</t>
  </si>
  <si>
    <t>D00-1008409</t>
  </si>
  <si>
    <t>D00-1008410</t>
  </si>
  <si>
    <t>D00-1008420</t>
  </si>
  <si>
    <t>D00-1008421</t>
  </si>
  <si>
    <t>D00-1008422</t>
  </si>
  <si>
    <t>D00-1008426</t>
  </si>
  <si>
    <t>D00-1008427</t>
  </si>
  <si>
    <t>D00-1008428</t>
  </si>
  <si>
    <t>D00-1008429</t>
  </si>
  <si>
    <t>D00-1008430</t>
  </si>
  <si>
    <t>D00-1008446</t>
  </si>
  <si>
    <t>D00-1008447</t>
  </si>
  <si>
    <t>D00-1008454</t>
  </si>
  <si>
    <t>D00-1008459</t>
  </si>
  <si>
    <t>D00-1008472</t>
  </si>
  <si>
    <t>D00-1008482</t>
  </si>
  <si>
    <t>D00-1008485</t>
  </si>
  <si>
    <t>D00-1008496</t>
  </si>
  <si>
    <t>D00-1008497</t>
  </si>
  <si>
    <t>D00-1008504</t>
  </si>
  <si>
    <t>D00-1008506</t>
  </si>
  <si>
    <t>D00-1008507</t>
  </si>
  <si>
    <t>D00-1008509</t>
  </si>
  <si>
    <t>D00-1008512</t>
  </si>
  <si>
    <t>D00-1008515</t>
  </si>
  <si>
    <t>D00-1008516</t>
  </si>
  <si>
    <t>D00-1008517</t>
  </si>
  <si>
    <t>D00-1008518</t>
  </si>
  <si>
    <t>D00-1008519</t>
  </si>
  <si>
    <t>D00-1008520</t>
  </si>
  <si>
    <t>D00-1008530</t>
  </si>
  <si>
    <t>D00-1008657</t>
  </si>
  <si>
    <t>D00-1008669</t>
  </si>
  <si>
    <t>D00-1008789</t>
  </si>
  <si>
    <t>D00-1008847</t>
  </si>
  <si>
    <t>D00-1008861</t>
  </si>
  <si>
    <t>D00-1008864</t>
  </si>
  <si>
    <t>D00-1008928</t>
  </si>
  <si>
    <t>D00-1009266</t>
  </si>
  <si>
    <t>D00-1009700</t>
  </si>
  <si>
    <t>D00-1009910</t>
  </si>
  <si>
    <t>D70-1003688</t>
  </si>
  <si>
    <t>D70-1003703</t>
  </si>
  <si>
    <t>D70-1003710</t>
  </si>
  <si>
    <t>D70-1003723</t>
  </si>
  <si>
    <t>D70-1003728</t>
  </si>
  <si>
    <t>D70-1003740</t>
  </si>
  <si>
    <t>D70-1003746</t>
  </si>
  <si>
    <t>D70-1003773</t>
  </si>
  <si>
    <t>D70-1003810</t>
  </si>
  <si>
    <t>F02-996399</t>
  </si>
  <si>
    <t>F02-996414</t>
  </si>
  <si>
    <t>F02-996416</t>
  </si>
  <si>
    <t>F02-996469</t>
  </si>
  <si>
    <t>F04-975628</t>
  </si>
  <si>
    <t>F04-975642</t>
  </si>
  <si>
    <t>F04-975643</t>
  </si>
  <si>
    <t>F04-975645</t>
  </si>
  <si>
    <t>F04-975646</t>
  </si>
  <si>
    <t>F04-975652</t>
  </si>
  <si>
    <t>F04-975656</t>
  </si>
  <si>
    <t>F04-975690</t>
  </si>
  <si>
    <t>F04-975713</t>
  </si>
  <si>
    <t>F04-975722</t>
  </si>
  <si>
    <t>F04-975734</t>
  </si>
  <si>
    <t>F04-975735</t>
  </si>
  <si>
    <t>F10-996334</t>
  </si>
  <si>
    <t>F10-996340</t>
  </si>
  <si>
    <t>F10-996341</t>
  </si>
  <si>
    <t>F10-996344</t>
  </si>
  <si>
    <t>F10-996346</t>
  </si>
  <si>
    <t>F10-996347</t>
  </si>
  <si>
    <t>F10-996348</t>
  </si>
  <si>
    <t>F10-996350</t>
  </si>
  <si>
    <t>F10-996356</t>
  </si>
  <si>
    <t>G05-963684</t>
  </si>
  <si>
    <t>H00-1000888</t>
  </si>
  <si>
    <t>H00-1000898</t>
  </si>
  <si>
    <t>H00-1000910</t>
  </si>
  <si>
    <t>L00-1012921</t>
  </si>
  <si>
    <t>L00-1012922</t>
  </si>
  <si>
    <t>L00-1012923</t>
  </si>
  <si>
    <t>L00-1013567</t>
  </si>
  <si>
    <t>L00-1013568</t>
  </si>
  <si>
    <t>L00-1013569</t>
  </si>
  <si>
    <t>L00-1013570</t>
  </si>
  <si>
    <t>L00-1013571</t>
  </si>
  <si>
    <t>L00-1013572</t>
  </si>
  <si>
    <t>L00-1013573</t>
  </si>
  <si>
    <t>L00-1013574</t>
  </si>
  <si>
    <t>L00-1013575</t>
  </si>
  <si>
    <t>L00-1013576</t>
  </si>
  <si>
    <t>L00-1013577</t>
  </si>
  <si>
    <t>L00-1013597</t>
  </si>
  <si>
    <t>L00-1013615</t>
  </si>
  <si>
    <t>L00-1013616</t>
  </si>
  <si>
    <t>L00-1013617</t>
  </si>
  <si>
    <t>L00-1013618</t>
  </si>
  <si>
    <t>L00-1013619</t>
  </si>
  <si>
    <t>L00-1013620</t>
  </si>
  <si>
    <t>L00-1013621</t>
  </si>
  <si>
    <t>L00-1013622</t>
  </si>
  <si>
    <t>L00-1013623</t>
  </si>
  <si>
    <t>L00-1013624</t>
  </si>
  <si>
    <t>L00-1013625</t>
  </si>
  <si>
    <t>L00-1013626</t>
  </si>
  <si>
    <t>L00-1013627</t>
  </si>
  <si>
    <t>L00-1013628</t>
  </si>
  <si>
    <t>L00-1013629</t>
  </si>
  <si>
    <t>L00-1013630</t>
  </si>
  <si>
    <t>L00-1013631</t>
  </si>
  <si>
    <t>L00-1013632</t>
  </si>
  <si>
    <t>L00-1013633</t>
  </si>
  <si>
    <t>L00-1013634</t>
  </si>
  <si>
    <t>L00-1013635</t>
  </si>
  <si>
    <t>L00-1013636</t>
  </si>
  <si>
    <t>L00-1013637</t>
  </si>
  <si>
    <t>L00-1013638</t>
  </si>
  <si>
    <t>L00-1013639</t>
  </si>
  <si>
    <t>L00-1013641</t>
  </si>
  <si>
    <t>L00-1013642</t>
  </si>
  <si>
    <t>L00-1013643</t>
  </si>
  <si>
    <t>L00-1013644</t>
  </si>
  <si>
    <t>L00-1013645</t>
  </si>
  <si>
    <t>L00-1013646</t>
  </si>
  <si>
    <t>L00-1013647</t>
  </si>
  <si>
    <t>L00-1013648</t>
  </si>
  <si>
    <t>L00-1013649</t>
  </si>
  <si>
    <t>L00-1013650</t>
  </si>
  <si>
    <t>L00-1013651</t>
  </si>
  <si>
    <t>L00-1013652</t>
  </si>
  <si>
    <t>L00-1013653</t>
  </si>
  <si>
    <t>L00-1013654</t>
  </si>
  <si>
    <t>L00-1013655</t>
  </si>
  <si>
    <t>L00-1013656</t>
  </si>
  <si>
    <t>L00-1013657</t>
  </si>
  <si>
    <t>L00-1013658</t>
  </si>
  <si>
    <t>L00-1013660</t>
  </si>
  <si>
    <t>L00-1013670</t>
  </si>
  <si>
    <t>L00-1013677</t>
  </si>
  <si>
    <t>L00-1013678</t>
  </si>
  <si>
    <t>L00-1013679</t>
  </si>
  <si>
    <t>L00-1013683</t>
  </si>
  <si>
    <t>L00-1013684</t>
  </si>
  <si>
    <t>L00-1013685</t>
  </si>
  <si>
    <t>L00-1013686</t>
  </si>
  <si>
    <t>L00-1013687</t>
  </si>
  <si>
    <t>L00-1013688</t>
  </si>
  <si>
    <t>L00-1013689</t>
  </si>
  <si>
    <t>L00-1013690</t>
  </si>
  <si>
    <t>L00-1013691</t>
  </si>
  <si>
    <t>L00-1013692</t>
  </si>
  <si>
    <t>L00-1013693</t>
  </si>
  <si>
    <t>L00-1013694</t>
  </si>
  <si>
    <t>L00-1013695</t>
  </si>
  <si>
    <t>L00-1013696</t>
  </si>
  <si>
    <t>L00-1013697</t>
  </si>
  <si>
    <t>L00-1013698</t>
  </si>
  <si>
    <t>L00-1013699</t>
  </si>
  <si>
    <t>L00-1013700</t>
  </si>
  <si>
    <t>L00-1013701</t>
  </si>
  <si>
    <t>L00-1013702</t>
  </si>
  <si>
    <t>L00-1013707</t>
  </si>
  <si>
    <t>L00-1013729</t>
  </si>
  <si>
    <t>L00-1013730</t>
  </si>
  <si>
    <t>L00-1013734</t>
  </si>
  <si>
    <t>L00-1013737</t>
  </si>
  <si>
    <t>L00-1013743</t>
  </si>
  <si>
    <t>L00-1013744</t>
  </si>
  <si>
    <t>L00-1013745</t>
  </si>
  <si>
    <t>L00-1013746</t>
  </si>
  <si>
    <t>L00-1013747</t>
  </si>
  <si>
    <t>L00-1013748</t>
  </si>
  <si>
    <t>L00-1013749</t>
  </si>
  <si>
    <t>L00-1013751</t>
  </si>
  <si>
    <t>L00-1013752</t>
  </si>
  <si>
    <t>L00-1013753</t>
  </si>
  <si>
    <t>L00-1013754</t>
  </si>
  <si>
    <t>L00-1013755</t>
  </si>
  <si>
    <t>L00-1013756</t>
  </si>
  <si>
    <t>L00-1013759</t>
  </si>
  <si>
    <t>L00-1013760</t>
  </si>
  <si>
    <t>L00-1013761</t>
  </si>
  <si>
    <t>L00-1013762</t>
  </si>
  <si>
    <t>L00-1013763</t>
  </si>
  <si>
    <t>L00-1013764</t>
  </si>
  <si>
    <t>L00-1013765</t>
  </si>
  <si>
    <t>L00-1013766</t>
  </si>
  <si>
    <t>L00-1013767</t>
  </si>
  <si>
    <t>L00-1013768</t>
  </si>
  <si>
    <t>L00-1013769</t>
  </si>
  <si>
    <t>L00-1013770</t>
  </si>
  <si>
    <t>L00-1013771</t>
  </si>
  <si>
    <t>L00-1013772</t>
  </si>
  <si>
    <t>L00-1013774</t>
  </si>
  <si>
    <t>L00-1013775</t>
  </si>
  <si>
    <t>L00-1013776</t>
  </si>
  <si>
    <t>L00-1013810</t>
  </si>
  <si>
    <t>L00-1013814</t>
  </si>
  <si>
    <t>L00-1013815</t>
  </si>
  <si>
    <t>L00-1013825</t>
  </si>
  <si>
    <t>L00-1013842</t>
  </si>
  <si>
    <t>L00-1013843</t>
  </si>
  <si>
    <t>L00-1013878</t>
  </si>
  <si>
    <t>L00-1013888</t>
  </si>
  <si>
    <t>L00-1013889</t>
  </si>
  <si>
    <t>L00-1013897</t>
  </si>
  <si>
    <t>L00-1013899</t>
  </si>
  <si>
    <t>L00-1013923</t>
  </si>
  <si>
    <t>L00-1013929</t>
  </si>
  <si>
    <t>L00-1013930</t>
  </si>
  <si>
    <t>L00-1013943</t>
  </si>
  <si>
    <t>L00-1013975</t>
  </si>
  <si>
    <t>L00-1013998</t>
  </si>
  <si>
    <t>L00-1014004</t>
  </si>
  <si>
    <t>L00-1014010</t>
  </si>
  <si>
    <t>L00-1014011</t>
  </si>
  <si>
    <t>L00-1014036</t>
  </si>
  <si>
    <t>L00-1014037</t>
  </si>
  <si>
    <t>L00-1014038</t>
  </si>
  <si>
    <t>L00-1014039</t>
  </si>
  <si>
    <t>L00-1014085</t>
  </si>
  <si>
    <t>L00-1014086</t>
  </si>
  <si>
    <t>L00-1014087</t>
  </si>
  <si>
    <t>L00-1014088</t>
  </si>
  <si>
    <t>L00-1014089</t>
  </si>
  <si>
    <t>L00-1014202</t>
  </si>
  <si>
    <t>L00-1014230</t>
  </si>
  <si>
    <t>L00-1014231</t>
  </si>
  <si>
    <t>L00-1014695</t>
  </si>
  <si>
    <t>L00-1014703</t>
  </si>
  <si>
    <t>L00-1014704</t>
  </si>
  <si>
    <t>L00-1014734</t>
  </si>
  <si>
    <t>L00-1014760</t>
  </si>
  <si>
    <t>L00-1014783</t>
  </si>
  <si>
    <t>L00-1017917</t>
  </si>
  <si>
    <t>L00-1017928</t>
  </si>
  <si>
    <t>L00-1017936</t>
  </si>
  <si>
    <t>L00-1017988</t>
  </si>
  <si>
    <t>L00-1017989</t>
  </si>
  <si>
    <t>L00-1017990</t>
  </si>
  <si>
    <t>L00-1017991</t>
  </si>
  <si>
    <t>L00-1018014</t>
  </si>
  <si>
    <t>L00-1018037</t>
  </si>
  <si>
    <t>L00-1018038</t>
  </si>
  <si>
    <t>L00-1018045</t>
  </si>
  <si>
    <t>L00-1018057</t>
  </si>
  <si>
    <t>L00-1018065</t>
  </si>
  <si>
    <t>L00-1018066</t>
  </si>
  <si>
    <t>L00-1018604</t>
  </si>
  <si>
    <t>L01-999120</t>
  </si>
  <si>
    <t>L01-999136</t>
  </si>
  <si>
    <t>L01-999192</t>
  </si>
  <si>
    <t>L06-993763</t>
  </si>
  <si>
    <t>L06-993778</t>
  </si>
  <si>
    <t>L06-993779</t>
  </si>
  <si>
    <t>L06-993780</t>
  </si>
  <si>
    <t>L06-993781</t>
  </si>
  <si>
    <t>L06-993794</t>
  </si>
  <si>
    <t>L06-993818</t>
  </si>
  <si>
    <t>L06-993864</t>
  </si>
  <si>
    <t>L06-993866</t>
  </si>
  <si>
    <t>L06-993871</t>
  </si>
  <si>
    <t>L07-978038</t>
  </si>
  <si>
    <t>L07-978043</t>
  </si>
  <si>
    <t>L07-978051</t>
  </si>
  <si>
    <t>L07-978056</t>
  </si>
  <si>
    <t>M00-999822</t>
  </si>
  <si>
    <t>M05-1000707</t>
  </si>
  <si>
    <t>M05-1000718</t>
  </si>
  <si>
    <t>M17-582287</t>
  </si>
  <si>
    <t>M20-1002065</t>
  </si>
  <si>
    <t>M20-1002080</t>
  </si>
  <si>
    <t>M20-1002091</t>
  </si>
  <si>
    <t>M20-1002109</t>
  </si>
  <si>
    <t>M20-1002137</t>
  </si>
  <si>
    <t>MC1-998507</t>
  </si>
  <si>
    <t>MC1-998509</t>
  </si>
  <si>
    <t>MC1-998518</t>
  </si>
  <si>
    <t>MC1-998519</t>
  </si>
  <si>
    <t>MCA-12</t>
  </si>
  <si>
    <t>MS5-913803</t>
  </si>
  <si>
    <t>P00-995810</t>
  </si>
  <si>
    <t>P00-995820</t>
  </si>
  <si>
    <t>P00-995822</t>
  </si>
  <si>
    <t>P00-995850</t>
  </si>
  <si>
    <t>P00-995852</t>
  </si>
  <si>
    <t>P00-995863</t>
  </si>
  <si>
    <t>P00-995955</t>
  </si>
  <si>
    <t>P06-996995</t>
  </si>
  <si>
    <t>P08-356182</t>
  </si>
  <si>
    <t>Q00-999173</t>
  </si>
  <si>
    <t>Q00-999174</t>
  </si>
  <si>
    <t>Q00-999175</t>
  </si>
  <si>
    <t>Q00-999177</t>
  </si>
  <si>
    <t>Q00-999178</t>
  </si>
  <si>
    <t>Q00-999179</t>
  </si>
  <si>
    <t>Q00-999180</t>
  </si>
  <si>
    <t>Q00-999184</t>
  </si>
  <si>
    <t>Q00-999188</t>
  </si>
  <si>
    <t>Q00-999194</t>
  </si>
  <si>
    <t>Q00-999195</t>
  </si>
  <si>
    <t>Q00-999199</t>
  </si>
  <si>
    <t>Q00-999205</t>
  </si>
  <si>
    <t>Q00-999206</t>
  </si>
  <si>
    <t>Q00-999209</t>
  </si>
  <si>
    <t>Q00-999245</t>
  </si>
  <si>
    <t>Q00-999298</t>
  </si>
  <si>
    <t>Q02-930096</t>
  </si>
  <si>
    <t>Q02-930111</t>
  </si>
  <si>
    <t>Q02-930112</t>
  </si>
  <si>
    <t>Q02-930113</t>
  </si>
  <si>
    <t>Q02-930114</t>
  </si>
  <si>
    <t>Q02-930121</t>
  </si>
  <si>
    <t>Q02-930127</t>
  </si>
  <si>
    <t>Q02-930139</t>
  </si>
  <si>
    <t>T02-998202</t>
  </si>
  <si>
    <t>T02-998205</t>
  </si>
  <si>
    <t>T02-998208</t>
  </si>
  <si>
    <t>T03-999812</t>
  </si>
  <si>
    <t>Y00-1001648</t>
  </si>
  <si>
    <t>Y00-1001650</t>
  </si>
  <si>
    <t>Y00-1001657</t>
  </si>
  <si>
    <t>Y00-1001667</t>
  </si>
  <si>
    <t>Y00-1001670</t>
  </si>
  <si>
    <t>Y00-1001673</t>
  </si>
  <si>
    <t>Y00-1001678</t>
  </si>
  <si>
    <t>Y01-811061</t>
  </si>
  <si>
    <t>Y17-862301</t>
  </si>
  <si>
    <t>D00-1008314</t>
  </si>
  <si>
    <t>D00-1008339</t>
  </si>
  <si>
    <t>D00-1008416</t>
  </si>
  <si>
    <t>D00-1008489</t>
  </si>
  <si>
    <t>D00-1008490</t>
  </si>
  <si>
    <t>D00-1008808</t>
  </si>
  <si>
    <t>D00-1008852</t>
  </si>
  <si>
    <t>D70-1003724</t>
  </si>
  <si>
    <t>F02-996419</t>
  </si>
  <si>
    <t>F02-996425</t>
  </si>
  <si>
    <t>G05-963671</t>
  </si>
  <si>
    <t>G11-993801</t>
  </si>
  <si>
    <t>G11-993824</t>
  </si>
  <si>
    <t>G15-248299</t>
  </si>
  <si>
    <t>H01-993247</t>
  </si>
  <si>
    <t>H01-993258</t>
  </si>
  <si>
    <t>L00-1013579</t>
  </si>
  <si>
    <t>L00-1013580</t>
  </si>
  <si>
    <t>L00-1013590</t>
  </si>
  <si>
    <t>L00-1013598</t>
  </si>
  <si>
    <t>L00-1013818</t>
  </si>
  <si>
    <t>L00-1013896</t>
  </si>
  <si>
    <t>L00-1013912</t>
  </si>
  <si>
    <t>L00-1013913</t>
  </si>
  <si>
    <t>L00-1013915</t>
  </si>
  <si>
    <t>L00-1013928</t>
  </si>
  <si>
    <t>L00-1013934</t>
  </si>
  <si>
    <t>L00-1013942</t>
  </si>
  <si>
    <t>L00-1014009</t>
  </si>
  <si>
    <t>L00-1014012</t>
  </si>
  <si>
    <t>L00-1014014</t>
  </si>
  <si>
    <t>L00-1014079</t>
  </si>
  <si>
    <t>L00-1014193</t>
  </si>
  <si>
    <t>L00-1014228</t>
  </si>
  <si>
    <t>L00-1014257</t>
  </si>
  <si>
    <t>L00-1014272</t>
  </si>
  <si>
    <t>L00-1014733</t>
  </si>
  <si>
    <t>L06-993782</t>
  </si>
  <si>
    <t>L06-993787</t>
  </si>
  <si>
    <t>L06-993789</t>
  </si>
  <si>
    <t>L06-993807</t>
  </si>
  <si>
    <t>L06-993820</t>
  </si>
  <si>
    <t>L06-993828</t>
  </si>
  <si>
    <t>L07-978049</t>
  </si>
  <si>
    <t>L07-978053</t>
  </si>
  <si>
    <t>M00-999807</t>
  </si>
  <si>
    <t>M05-1000721</t>
  </si>
  <si>
    <t>M14-980505</t>
  </si>
  <si>
    <t>M14-980669</t>
  </si>
  <si>
    <t>M20-1002143</t>
  </si>
  <si>
    <t>MC1-998512</t>
  </si>
  <si>
    <t>MC7-12149</t>
  </si>
  <si>
    <t>MS1-999119</t>
  </si>
  <si>
    <t>MSJ-232176</t>
  </si>
  <si>
    <t>P00-995853</t>
  </si>
  <si>
    <t>P01-998058</t>
  </si>
  <si>
    <t>Q02-930104</t>
  </si>
  <si>
    <t>T00-999110</t>
  </si>
  <si>
    <t>T02-998203</t>
  </si>
  <si>
    <t>T02-998204</t>
  </si>
  <si>
    <t>Y00-1001649</t>
  </si>
  <si>
    <t>Y00-1001710</t>
  </si>
  <si>
    <t>Y00-1001788</t>
  </si>
  <si>
    <t>Y00-1001789</t>
  </si>
  <si>
    <t>Y00-1001790</t>
  </si>
  <si>
    <t>Y00-1001791</t>
  </si>
  <si>
    <t>Y11-983690</t>
  </si>
  <si>
    <t>Y15-212162</t>
  </si>
  <si>
    <t>Y15-212163</t>
  </si>
  <si>
    <t>C00-999152</t>
  </si>
  <si>
    <t>C01-995536</t>
  </si>
  <si>
    <t>D00-1008417</t>
  </si>
  <si>
    <t>D00-1008448</t>
  </si>
  <si>
    <t>D00-1008479</t>
  </si>
  <si>
    <t>D00-1008486</t>
  </si>
  <si>
    <t>D00-1008525</t>
  </si>
  <si>
    <t>D00-1008822</t>
  </si>
  <si>
    <t>D70-1003697</t>
  </si>
  <si>
    <t>D70-1003769</t>
  </si>
  <si>
    <t>D70-1003783</t>
  </si>
  <si>
    <t>G05-963700</t>
  </si>
  <si>
    <t>G11-993793</t>
  </si>
  <si>
    <t>G11-993841</t>
  </si>
  <si>
    <t>H00-1000885</t>
  </si>
  <si>
    <t>H00-1000959</t>
  </si>
  <si>
    <t>L00-1013779</t>
  </si>
  <si>
    <t>L00-1013780</t>
  </si>
  <si>
    <t>L00-1013781</t>
  </si>
  <si>
    <t>L00-1013784</t>
  </si>
  <si>
    <t>L00-1013785</t>
  </si>
  <si>
    <t>L00-1013786</t>
  </si>
  <si>
    <t>L00-1013790</t>
  </si>
  <si>
    <t>L00-1013793</t>
  </si>
  <si>
    <t>L00-1013829</t>
  </si>
  <si>
    <t>L00-1013830</t>
  </si>
  <si>
    <t>L00-1013859</t>
  </si>
  <si>
    <t>L00-1013864</t>
  </si>
  <si>
    <t>L00-1013865</t>
  </si>
  <si>
    <t>L00-1013874</t>
  </si>
  <si>
    <t>L00-1013890</t>
  </si>
  <si>
    <t>L00-1013935</t>
  </si>
  <si>
    <t>L00-1013939</t>
  </si>
  <si>
    <t>L00-1013948</t>
  </si>
  <si>
    <t>L00-1013954</t>
  </si>
  <si>
    <t>L00-1013989</t>
  </si>
  <si>
    <t>L00-1014013</t>
  </si>
  <si>
    <t>L00-1014023</t>
  </si>
  <si>
    <t>L00-1014116</t>
  </si>
  <si>
    <t>L00-1014217</t>
  </si>
  <si>
    <t>L00-1014218</t>
  </si>
  <si>
    <t>L00-1014236</t>
  </si>
  <si>
    <t>L00-1014252</t>
  </si>
  <si>
    <t>L00-1014253</t>
  </si>
  <si>
    <t>L00-1014258</t>
  </si>
  <si>
    <t>L00-1014269</t>
  </si>
  <si>
    <t>L00-1014271</t>
  </si>
  <si>
    <t>L00-1014290</t>
  </si>
  <si>
    <t>L00-1014752</t>
  </si>
  <si>
    <t>L01-999135</t>
  </si>
  <si>
    <t>L01-999161</t>
  </si>
  <si>
    <t>L06-993774</t>
  </si>
  <si>
    <t>L06-993786</t>
  </si>
  <si>
    <t>L06-993872</t>
  </si>
  <si>
    <t>L07-978040</t>
  </si>
  <si>
    <t>L07-978069</t>
  </si>
  <si>
    <t>L07-978100</t>
  </si>
  <si>
    <t>M00-999810</t>
  </si>
  <si>
    <t>M00-999824</t>
  </si>
  <si>
    <t>M05-1000716</t>
  </si>
  <si>
    <t>M05-1000720</t>
  </si>
  <si>
    <t>M11-918970</t>
  </si>
  <si>
    <t>M11-919069</t>
  </si>
  <si>
    <t>M14-980484</t>
  </si>
  <si>
    <t>M14-980618</t>
  </si>
  <si>
    <t>M14-980629</t>
  </si>
  <si>
    <t>M14-980657</t>
  </si>
  <si>
    <t>M20-1002055</t>
  </si>
  <si>
    <t>M20-1002104</t>
  </si>
  <si>
    <t>M20-1002114</t>
  </si>
  <si>
    <t>P00-995832</t>
  </si>
  <si>
    <t>P00-995833</t>
  </si>
  <si>
    <t>P00-995834</t>
  </si>
  <si>
    <t>Q00-999181</t>
  </si>
  <si>
    <t>Q02-930115</t>
  </si>
  <si>
    <t>Q02-930140</t>
  </si>
  <si>
    <t>Y01-811078</t>
  </si>
  <si>
    <t>Y01-811092</t>
  </si>
  <si>
    <t>Y11-983683</t>
  </si>
  <si>
    <t>Y11-983687</t>
  </si>
  <si>
    <t>Y11-983696</t>
  </si>
  <si>
    <t>D00-1008413</t>
  </si>
  <si>
    <t>D70-1003753</t>
  </si>
  <si>
    <t>F02-996407</t>
  </si>
  <si>
    <t>F04-975655</t>
  </si>
  <si>
    <t>F04-975714</t>
  </si>
  <si>
    <t>G00-996544</t>
  </si>
  <si>
    <t>G05-963663</t>
  </si>
  <si>
    <t>G05-963697</t>
  </si>
  <si>
    <t>H00-1000889</t>
  </si>
  <si>
    <t>H00-1000909</t>
  </si>
  <si>
    <t>H00-1000964</t>
  </si>
  <si>
    <t>L00-1013663</t>
  </si>
  <si>
    <t>L00-1013719</t>
  </si>
  <si>
    <t>L00-1013782</t>
  </si>
  <si>
    <t>L00-1013783</t>
  </si>
  <si>
    <t>L00-1013855</t>
  </si>
  <si>
    <t>L00-1013933</t>
  </si>
  <si>
    <t>L00-1013986</t>
  </si>
  <si>
    <t>L00-1014031</t>
  </si>
  <si>
    <t>L01-999143</t>
  </si>
  <si>
    <t>L01-999156</t>
  </si>
  <si>
    <t>L01-999160</t>
  </si>
  <si>
    <t>L01-999186</t>
  </si>
  <si>
    <t>L01-999188</t>
  </si>
  <si>
    <t>L06-994061</t>
  </si>
  <si>
    <t>M00-999908</t>
  </si>
  <si>
    <t>M05-1000724</t>
  </si>
  <si>
    <t>M05-1000730</t>
  </si>
  <si>
    <t>M20-1002076</t>
  </si>
  <si>
    <t>M20-1002099</t>
  </si>
  <si>
    <t>M20-1002112</t>
  </si>
  <si>
    <t>M20-1002118</t>
  </si>
  <si>
    <t>MC1-998514</t>
  </si>
  <si>
    <t>MCC-16</t>
  </si>
  <si>
    <t>P00-995839</t>
  </si>
  <si>
    <t>P00-995858</t>
  </si>
  <si>
    <t>Q00-999183</t>
  </si>
  <si>
    <t>Q00-999203</t>
  </si>
  <si>
    <t>Q02-930109</t>
  </si>
  <si>
    <t>Q02-930124</t>
  </si>
  <si>
    <t>Q02-930222</t>
  </si>
  <si>
    <t>Q02-930223</t>
  </si>
  <si>
    <t>Q02-930224</t>
  </si>
  <si>
    <t>Q02-930226</t>
  </si>
  <si>
    <t>Q02-930321</t>
  </si>
  <si>
    <t>T02-998207</t>
  </si>
  <si>
    <t>Y00-1001637</t>
  </si>
  <si>
    <t>Y00-1001662</t>
  </si>
  <si>
    <t>Y00-1001663</t>
  </si>
  <si>
    <t>Y00-1001664</t>
  </si>
  <si>
    <t>Y00-1001671</t>
  </si>
  <si>
    <t>Y00-1001675</t>
  </si>
  <si>
    <t>Y00-1001691</t>
  </si>
  <si>
    <t>Y02-993384</t>
  </si>
  <si>
    <t>Y02-993390</t>
  </si>
  <si>
    <t>C01-995610</t>
  </si>
  <si>
    <t>D00-1008329</t>
  </si>
  <si>
    <t>D00-1008380</t>
  </si>
  <si>
    <t>D00-1008405</t>
  </si>
  <si>
    <t>D00-1008406</t>
  </si>
  <si>
    <t>D00-1008419</t>
  </si>
  <si>
    <t>D00-1009124</t>
  </si>
  <si>
    <t>D70-1003763</t>
  </si>
  <si>
    <t>D70-1003817</t>
  </si>
  <si>
    <t>D70-1003986</t>
  </si>
  <si>
    <t>E00-996339</t>
  </si>
  <si>
    <t>G00-996550</t>
  </si>
  <si>
    <t>G05-963686</t>
  </si>
  <si>
    <t>G05-963688</t>
  </si>
  <si>
    <t>G05-963691</t>
  </si>
  <si>
    <t>G05-963692</t>
  </si>
  <si>
    <t>H01-993234</t>
  </si>
  <si>
    <t>H01-993246</t>
  </si>
  <si>
    <t>L00-1013708</t>
  </si>
  <si>
    <t>L00-1013711</t>
  </si>
  <si>
    <t>L00-1013713</t>
  </si>
  <si>
    <t>L00-1013787</t>
  </si>
  <si>
    <t>L00-1013791</t>
  </si>
  <si>
    <t>L00-1013792</t>
  </si>
  <si>
    <t>L00-1013819</t>
  </si>
  <si>
    <t>L00-1013820</t>
  </si>
  <si>
    <t>L00-1013821</t>
  </si>
  <si>
    <t>L00-1013828</t>
  </si>
  <si>
    <t>L00-1013937</t>
  </si>
  <si>
    <t>L00-1013938</t>
  </si>
  <si>
    <t>L00-1013941</t>
  </si>
  <si>
    <t>L00-1013949</t>
  </si>
  <si>
    <t>L00-1013952</t>
  </si>
  <si>
    <t>L00-1013991</t>
  </si>
  <si>
    <t>L00-1014020</t>
  </si>
  <si>
    <t>L00-1014041</t>
  </si>
  <si>
    <t>L00-1014060</t>
  </si>
  <si>
    <t>L00-1014061</t>
  </si>
  <si>
    <t>L00-1014071</t>
  </si>
  <si>
    <t>L00-1014237</t>
  </si>
  <si>
    <t>L00-1014789</t>
  </si>
  <si>
    <t>L07-978039</t>
  </si>
  <si>
    <t>L07-978062</t>
  </si>
  <si>
    <t>L07-978067</t>
  </si>
  <si>
    <t>L07-978098</t>
  </si>
  <si>
    <t>M11-918976</t>
  </si>
  <si>
    <t>M14-980498</t>
  </si>
  <si>
    <t>M14-980502</t>
  </si>
  <si>
    <t>M14-980506</t>
  </si>
  <si>
    <t>M17-582286</t>
  </si>
  <si>
    <t>M17-582289</t>
  </si>
  <si>
    <t>M20-1002052</t>
  </si>
  <si>
    <t>M20-1002074</t>
  </si>
  <si>
    <t>M20-1002088</t>
  </si>
  <si>
    <t>M20-1002089</t>
  </si>
  <si>
    <t>M20-1002106</t>
  </si>
  <si>
    <t>M20-1002119</t>
  </si>
  <si>
    <t>MCA-8</t>
  </si>
  <si>
    <t>ML0-226216</t>
  </si>
  <si>
    <t>P00-995840</t>
  </si>
  <si>
    <t>P07-995001</t>
  </si>
  <si>
    <t>Q00-999168</t>
  </si>
  <si>
    <t>Q00-999200</t>
  </si>
  <si>
    <t>Q02-930138</t>
  </si>
  <si>
    <t>T03-999818</t>
  </si>
  <si>
    <t>T03-999824</t>
  </si>
  <si>
    <t>Y00-1001658</t>
  </si>
  <si>
    <t>Y00-1001665</t>
  </si>
  <si>
    <t>Y11-983691</t>
  </si>
  <si>
    <t>Y11-983699</t>
  </si>
  <si>
    <t>C00-999140</t>
  </si>
  <si>
    <t>C01-995514</t>
  </si>
  <si>
    <t>C01-995557</t>
  </si>
  <si>
    <t>C01-995558</t>
  </si>
  <si>
    <t>D00-1008300</t>
  </si>
  <si>
    <t>D00-1008326</t>
  </si>
  <si>
    <t>D00-1008431</t>
  </si>
  <si>
    <t>D00-1008451</t>
  </si>
  <si>
    <t>D00-1008500</t>
  </si>
  <si>
    <t>D70-1003715</t>
  </si>
  <si>
    <t>D70-1003776</t>
  </si>
  <si>
    <t>D70-1003850</t>
  </si>
  <si>
    <t>F02-996413</t>
  </si>
  <si>
    <t>F02-996449</t>
  </si>
  <si>
    <t>F04-975651</t>
  </si>
  <si>
    <t>G00-996554</t>
  </si>
  <si>
    <t>G00-996560</t>
  </si>
  <si>
    <t>G00-996605</t>
  </si>
  <si>
    <t>G00-996606</t>
  </si>
  <si>
    <t>G00-996607</t>
  </si>
  <si>
    <t>G05-963689</t>
  </si>
  <si>
    <t>G11-993794</t>
  </si>
  <si>
    <t>G11-993805</t>
  </si>
  <si>
    <t>G11-993806</t>
  </si>
  <si>
    <t>G11-993807</t>
  </si>
  <si>
    <t>H01-993240</t>
  </si>
  <si>
    <t>L00-1013588</t>
  </si>
  <si>
    <t>L00-1013595</t>
  </si>
  <si>
    <t>L00-1013710</t>
  </si>
  <si>
    <t>L00-1013788</t>
  </si>
  <si>
    <t>L00-1013851</t>
  </si>
  <si>
    <t>L00-1013852</t>
  </si>
  <si>
    <t>L00-1013885</t>
  </si>
  <si>
    <t>L00-1013903</t>
  </si>
  <si>
    <t>L00-1013932</t>
  </si>
  <si>
    <t>L00-1013944</t>
  </si>
  <si>
    <t>L00-1013958</t>
  </si>
  <si>
    <t>L00-1013973</t>
  </si>
  <si>
    <t>L00-1013979</t>
  </si>
  <si>
    <t>L00-1014019</t>
  </si>
  <si>
    <t>L00-1014021</t>
  </si>
  <si>
    <t>L00-1014115</t>
  </si>
  <si>
    <t>L00-1014117</t>
  </si>
  <si>
    <t>L00-1014289</t>
  </si>
  <si>
    <t>L06-993766</t>
  </si>
  <si>
    <t>L06-993796</t>
  </si>
  <si>
    <t>L06-993811</t>
  </si>
  <si>
    <t>L06-993955</t>
  </si>
  <si>
    <t>L07-978046</t>
  </si>
  <si>
    <t>L07-978127</t>
  </si>
  <si>
    <t>L12-370231</t>
  </si>
  <si>
    <t>M00-999806</t>
  </si>
  <si>
    <t>M11-918968</t>
  </si>
  <si>
    <t>M11-918977</t>
  </si>
  <si>
    <t>M11-919082</t>
  </si>
  <si>
    <t>M11-919083</t>
  </si>
  <si>
    <t>M14-980497</t>
  </si>
  <si>
    <t>M14-980504</t>
  </si>
  <si>
    <t>M14-980509</t>
  </si>
  <si>
    <t>M14-980621</t>
  </si>
  <si>
    <t>M20-1002060</t>
  </si>
  <si>
    <t>M20-1002085</t>
  </si>
  <si>
    <t>M20-1002113</t>
  </si>
  <si>
    <t>P00-995803</t>
  </si>
  <si>
    <t>P00-995827</t>
  </si>
  <si>
    <t>P00-995849</t>
  </si>
  <si>
    <t>Y01-811056</t>
  </si>
  <si>
    <t>Y01-811064</t>
  </si>
  <si>
    <t>Y02-993387</t>
  </si>
  <si>
    <t>Y11-983682</t>
  </si>
  <si>
    <t>Y11-983695</t>
  </si>
  <si>
    <t>C00-999139</t>
  </si>
  <si>
    <t>C00-999179</t>
  </si>
  <si>
    <t>C01-995549</t>
  </si>
  <si>
    <t>D00-1008350</t>
  </si>
  <si>
    <t>D00-1008414</t>
  </si>
  <si>
    <t>D00-1008449</t>
  </si>
  <si>
    <t>D00-1008514</t>
  </si>
  <si>
    <t>D00-1009265</t>
  </si>
  <si>
    <t>D70-1003705</t>
  </si>
  <si>
    <t>D70-1003716</t>
  </si>
  <si>
    <t>D70-1003755</t>
  </si>
  <si>
    <t>D70-1003771</t>
  </si>
  <si>
    <t>E00-996337</t>
  </si>
  <si>
    <t>E00-996343</t>
  </si>
  <si>
    <t>F02-996418</t>
  </si>
  <si>
    <t>G00-996545</t>
  </si>
  <si>
    <t>G00-996601</t>
  </si>
  <si>
    <t>G00-996603</t>
  </si>
  <si>
    <t>G05-963683</t>
  </si>
  <si>
    <t>G11-993795</t>
  </si>
  <si>
    <t>G11-993804</t>
  </si>
  <si>
    <t>G11-993840</t>
  </si>
  <si>
    <t>H00-1000881</t>
  </si>
  <si>
    <t>H00-1000883</t>
  </si>
  <si>
    <t>H00-1000893</t>
  </si>
  <si>
    <t>H00-1000907</t>
  </si>
  <si>
    <t>H00-1001021</t>
  </si>
  <si>
    <t>H01-993252</t>
  </si>
  <si>
    <t>L00-1013661</t>
  </si>
  <si>
    <t>L00-1013674</t>
  </si>
  <si>
    <t>L00-1013675</t>
  </si>
  <si>
    <t>L00-1013676</t>
  </si>
  <si>
    <t>L00-1013703</t>
  </si>
  <si>
    <t>L00-1013712</t>
  </si>
  <si>
    <t>L00-1013773</t>
  </si>
  <si>
    <t>L00-1013789</t>
  </si>
  <si>
    <t>L00-1013869</t>
  </si>
  <si>
    <t>L00-1013873</t>
  </si>
  <si>
    <t>L00-1013901</t>
  </si>
  <si>
    <t>L00-1013945</t>
  </si>
  <si>
    <t>L00-1013946</t>
  </si>
  <si>
    <t>L00-1013951</t>
  </si>
  <si>
    <t>L00-1014017</t>
  </si>
  <si>
    <t>L00-1014063</t>
  </si>
  <si>
    <t>L01-999123</t>
  </si>
  <si>
    <t>L06-993788</t>
  </si>
  <si>
    <t>L07-978048</t>
  </si>
  <si>
    <t>L07-978075</t>
  </si>
  <si>
    <t>L07-978099</t>
  </si>
  <si>
    <t>L07-978125</t>
  </si>
  <si>
    <t>L07-978126</t>
  </si>
  <si>
    <t>M05-1000725</t>
  </si>
  <si>
    <t>M11-918980</t>
  </si>
  <si>
    <t>M11-918986</t>
  </si>
  <si>
    <t>M14-980480</t>
  </si>
  <si>
    <t>M14-980485</t>
  </si>
  <si>
    <t>M14-980488</t>
  </si>
  <si>
    <t>M14-980499</t>
  </si>
  <si>
    <t>M17-582291</t>
  </si>
  <si>
    <t>M20-1002069</t>
  </si>
  <si>
    <t>M20-1002095</t>
  </si>
  <si>
    <t>M20-1002100</t>
  </si>
  <si>
    <t>M20-1002101</t>
  </si>
  <si>
    <t>M20-1002110</t>
  </si>
  <si>
    <t>M20-1002124</t>
  </si>
  <si>
    <t>M20-1002196</t>
  </si>
  <si>
    <t>M20-1002206</t>
  </si>
  <si>
    <t>P00-995831</t>
  </si>
  <si>
    <t>P08-356185</t>
  </si>
  <si>
    <t>Q02-930122</t>
  </si>
  <si>
    <t>Q02-930128</t>
  </si>
  <si>
    <t>Q02-930251</t>
  </si>
  <si>
    <t>T00-999108</t>
  </si>
  <si>
    <t>T02-998212</t>
  </si>
  <si>
    <t>Y00-1001639</t>
  </si>
  <si>
    <t>Y00-1001688</t>
  </si>
  <si>
    <t>Y10-916199</t>
  </si>
  <si>
    <t>C00-999151</t>
  </si>
  <si>
    <t>C01-995539</t>
  </si>
  <si>
    <t>C01-995546</t>
  </si>
  <si>
    <t>C01-995616</t>
  </si>
  <si>
    <t>D00-1008455</t>
  </si>
  <si>
    <t>D70-1003707</t>
  </si>
  <si>
    <t>D70-1003730</t>
  </si>
  <si>
    <t>D70-1003749</t>
  </si>
  <si>
    <t>D70-1003752</t>
  </si>
  <si>
    <t>D70-1003770</t>
  </si>
  <si>
    <t>D70-1003794</t>
  </si>
  <si>
    <t>F02-996421</t>
  </si>
  <si>
    <t>F02-996453</t>
  </si>
  <si>
    <t>G05-963685</t>
  </si>
  <si>
    <t>G05-963701</t>
  </si>
  <si>
    <t>G11-993844</t>
  </si>
  <si>
    <t>H00-1000911</t>
  </si>
  <si>
    <t>L00-1013581</t>
  </si>
  <si>
    <t>L00-1013600</t>
  </si>
  <si>
    <t>L00-1013867</t>
  </si>
  <si>
    <t>L00-1013887</t>
  </si>
  <si>
    <t>L00-1013900</t>
  </si>
  <si>
    <t>L00-1013902</t>
  </si>
  <si>
    <t>L00-1013922</t>
  </si>
  <si>
    <t>L00-1014006</t>
  </si>
  <si>
    <t>L00-1014016</t>
  </si>
  <si>
    <t>L00-1014018</t>
  </si>
  <si>
    <t>L00-1014040</t>
  </si>
  <si>
    <t>L00-1014072</t>
  </si>
  <si>
    <t>L00-1014693</t>
  </si>
  <si>
    <t>L00-1014717</t>
  </si>
  <si>
    <t>L00-1014747</t>
  </si>
  <si>
    <t>L00-1014773</t>
  </si>
  <si>
    <t>L00-1015193</t>
  </si>
  <si>
    <t>L01-999105</t>
  </si>
  <si>
    <t>L01-999109</t>
  </si>
  <si>
    <t>L01-999157</t>
  </si>
  <si>
    <t>L06-993815</t>
  </si>
  <si>
    <t>L07-978071</t>
  </si>
  <si>
    <t>L07-978128</t>
  </si>
  <si>
    <t>M00-999805</t>
  </si>
  <si>
    <t>M00-999811</t>
  </si>
  <si>
    <t>M00-999812</t>
  </si>
  <si>
    <t>M00-999856</t>
  </si>
  <si>
    <t>M00-999869</t>
  </si>
  <si>
    <t>M11-918981</t>
  </si>
  <si>
    <t>M11-918984</t>
  </si>
  <si>
    <t>M11-918985</t>
  </si>
  <si>
    <t>M11-919074</t>
  </si>
  <si>
    <t>M11-919079</t>
  </si>
  <si>
    <t>M14-980492</t>
  </si>
  <si>
    <t>M20-1002071</t>
  </si>
  <si>
    <t>M20-1002087</t>
  </si>
  <si>
    <t>M20-1002096</t>
  </si>
  <si>
    <t>M20-1002115</t>
  </si>
  <si>
    <t>P01-998057</t>
  </si>
  <si>
    <t>P01-998078</t>
  </si>
  <si>
    <t>Q00-999163</t>
  </si>
  <si>
    <t>Q00-999166</t>
  </si>
  <si>
    <t>Q00-999169</t>
  </si>
  <si>
    <t>Q00-999201</t>
  </si>
  <si>
    <t>Q00-999242</t>
  </si>
  <si>
    <t>Q00-999248</t>
  </si>
  <si>
    <t>Q02-930092</t>
  </si>
  <si>
    <t>Q02-930093</t>
  </si>
  <si>
    <t>Q02-930103</t>
  </si>
  <si>
    <t>Q02-930105</t>
  </si>
  <si>
    <t>Q02-930126</t>
  </si>
  <si>
    <t>Q02-930339</t>
  </si>
  <si>
    <t>T00-999102</t>
  </si>
  <si>
    <t>T00-999169</t>
  </si>
  <si>
    <t>Y00-1001679</t>
  </si>
  <si>
    <t>Y00-1001680</t>
  </si>
  <si>
    <t>Y00-1001703</t>
  </si>
  <si>
    <t>C00-999135</t>
  </si>
  <si>
    <t>C00-999144</t>
  </si>
  <si>
    <t>C00-999180</t>
  </si>
  <si>
    <t>C01-995531</t>
  </si>
  <si>
    <t>D00-1008487</t>
  </si>
  <si>
    <t>D70-1003941</t>
  </si>
  <si>
    <t>F02-996400</t>
  </si>
  <si>
    <t>F02-996426</t>
  </si>
  <si>
    <t>G00-996572</t>
  </si>
  <si>
    <t>G05-963675</t>
  </si>
  <si>
    <t>G05-963690</t>
  </si>
  <si>
    <t>G05-963712</t>
  </si>
  <si>
    <t>G05-963716</t>
  </si>
  <si>
    <t>G05-963718</t>
  </si>
  <si>
    <t>G05-963764</t>
  </si>
  <si>
    <t>G05-963769</t>
  </si>
  <si>
    <t>G22-156218</t>
  </si>
  <si>
    <t>H00-1000894</t>
  </si>
  <si>
    <t>L00-1013582</t>
  </si>
  <si>
    <t>L00-1013777</t>
  </si>
  <si>
    <t>L00-1013822</t>
  </si>
  <si>
    <t>L00-1013838</t>
  </si>
  <si>
    <t>L00-1013868</t>
  </si>
  <si>
    <t>L00-1013921</t>
  </si>
  <si>
    <t>L00-1014029</t>
  </si>
  <si>
    <t>L00-1014047</t>
  </si>
  <si>
    <t>L00-1014057</t>
  </si>
  <si>
    <t>L00-1014059</t>
  </si>
  <si>
    <t>L00-1014118</t>
  </si>
  <si>
    <t>L00-1014127</t>
  </si>
  <si>
    <t>L00-1014128</t>
  </si>
  <si>
    <t>L00-1014132</t>
  </si>
  <si>
    <t>L00-1014680</t>
  </si>
  <si>
    <t>L00-1014682</t>
  </si>
  <si>
    <t>L00-1014731</t>
  </si>
  <si>
    <t>L00-1015223</t>
  </si>
  <si>
    <t>L01-999112</t>
  </si>
  <si>
    <t>L01-999113</t>
  </si>
  <si>
    <t>L01-999114</t>
  </si>
  <si>
    <t>L01-999152</t>
  </si>
  <si>
    <t>L06-993791</t>
  </si>
  <si>
    <t>L06-993939</t>
  </si>
  <si>
    <t>L07-978044</t>
  </si>
  <si>
    <t>L07-978052</t>
  </si>
  <si>
    <t>L12-370233</t>
  </si>
  <si>
    <t>M00-999794</t>
  </si>
  <si>
    <t>M14-980482</t>
  </si>
  <si>
    <t>M14-980507</t>
  </si>
  <si>
    <t>M14-980604</t>
  </si>
  <si>
    <t>M20-1002048</t>
  </si>
  <si>
    <t>M20-1002062</t>
  </si>
  <si>
    <t>M20-1002111</t>
  </si>
  <si>
    <t>MS5-913802</t>
  </si>
  <si>
    <t>P00-995950</t>
  </si>
  <si>
    <t>P01-998055</t>
  </si>
  <si>
    <t>P07-995005</t>
  </si>
  <si>
    <t>Q00-999189</t>
  </si>
  <si>
    <t>Q02-930131</t>
  </si>
  <si>
    <t>T00-999098</t>
  </si>
  <si>
    <t>T00-999114</t>
  </si>
  <si>
    <t>T02-998220</t>
  </si>
  <si>
    <t>T02-998221</t>
  </si>
  <si>
    <t>C00-999145</t>
  </si>
  <si>
    <t>C01-995533</t>
  </si>
  <si>
    <t>D00-1008322</t>
  </si>
  <si>
    <t>D00-1008384</t>
  </si>
  <si>
    <t>D00-1008394</t>
  </si>
  <si>
    <t>D00-1008453</t>
  </si>
  <si>
    <t>D00-1008480</t>
  </si>
  <si>
    <t>D00-1008484</t>
  </si>
  <si>
    <t>D00-1008502</t>
  </si>
  <si>
    <t>D00-1008503</t>
  </si>
  <si>
    <t>D00-1009119</t>
  </si>
  <si>
    <t>D70-1003787</t>
  </si>
  <si>
    <t>D70-1003815</t>
  </si>
  <si>
    <t>D70-1003946</t>
  </si>
  <si>
    <t>F04-975715</t>
  </si>
  <si>
    <t>G00-996563</t>
  </si>
  <si>
    <t>G11-993820</t>
  </si>
  <si>
    <t>H00-1000895</t>
  </si>
  <si>
    <t>H00-1000906</t>
  </si>
  <si>
    <t>H01-993231</t>
  </si>
  <si>
    <t>H01-993241</t>
  </si>
  <si>
    <t>L00-1013586</t>
  </si>
  <si>
    <t>L00-1013666</t>
  </si>
  <si>
    <t>L00-1013681</t>
  </si>
  <si>
    <t>L00-1013733</t>
  </si>
  <si>
    <t>L00-1013758</t>
  </si>
  <si>
    <t>L00-1013794</t>
  </si>
  <si>
    <t>L00-1013795</t>
  </si>
  <si>
    <t>L00-1013796</t>
  </si>
  <si>
    <t>L00-1013803</t>
  </si>
  <si>
    <t>L00-1013805</t>
  </si>
  <si>
    <t>L00-1013808</t>
  </si>
  <si>
    <t>L00-1013809</t>
  </si>
  <si>
    <t>L00-1013831</t>
  </si>
  <si>
    <t>L00-1013866</t>
  </si>
  <si>
    <t>L00-1013957</t>
  </si>
  <si>
    <t>L00-1014007</t>
  </si>
  <si>
    <t>L00-1014015</t>
  </si>
  <si>
    <t>L00-1014025</t>
  </si>
  <si>
    <t>L00-1014077</t>
  </si>
  <si>
    <t>L00-1014134</t>
  </si>
  <si>
    <t>L00-1014197</t>
  </si>
  <si>
    <t>L00-1014677</t>
  </si>
  <si>
    <t>L00-1014694</t>
  </si>
  <si>
    <t>L00-1014786</t>
  </si>
  <si>
    <t>L01-999131</t>
  </si>
  <si>
    <t>L06-993798</t>
  </si>
  <si>
    <t>L06-993847</t>
  </si>
  <si>
    <t>L06-993848</t>
  </si>
  <si>
    <t>L12-370236</t>
  </si>
  <si>
    <t>M00-999796</t>
  </si>
  <si>
    <t>M05-1000731</t>
  </si>
  <si>
    <t>M11-919075</t>
  </si>
  <si>
    <t>M14-980479</t>
  </si>
  <si>
    <t>M14-980491</t>
  </si>
  <si>
    <t>M14-980609</t>
  </si>
  <si>
    <t>M14-980610</t>
  </si>
  <si>
    <t>M20-1002066</t>
  </si>
  <si>
    <t>M20-1002073</t>
  </si>
  <si>
    <t>M25-848839</t>
  </si>
  <si>
    <t>MC1-998506</t>
  </si>
  <si>
    <t>MC1-998513</t>
  </si>
  <si>
    <t>MC1-998552</t>
  </si>
  <si>
    <t>P00-995809</t>
  </si>
  <si>
    <t>P00-995835</t>
  </si>
  <si>
    <t>P00-995836</t>
  </si>
  <si>
    <t>P00-995848</t>
  </si>
  <si>
    <t>P00-995877</t>
  </si>
  <si>
    <t>P00-995945</t>
  </si>
  <si>
    <t>P00-995946</t>
  </si>
  <si>
    <t>Q00-999193</t>
  </si>
  <si>
    <t>Q02-930129</t>
  </si>
  <si>
    <t>T02-998209</t>
  </si>
  <si>
    <t>T02-998215</t>
  </si>
  <si>
    <t>Y00-1001666</t>
  </si>
  <si>
    <t>Y01-811060</t>
  </si>
  <si>
    <t>Y02-993385</t>
  </si>
  <si>
    <t>Y02-993392</t>
  </si>
  <si>
    <t>Y11-983689</t>
  </si>
  <si>
    <t>Y17-862298</t>
  </si>
  <si>
    <t>D00-1008330</t>
  </si>
  <si>
    <t>D70-1003719</t>
  </si>
  <si>
    <t>D70-1003760</t>
  </si>
  <si>
    <t>D70-1003765</t>
  </si>
  <si>
    <t>D70-1003766</t>
  </si>
  <si>
    <t>D70-1003774</t>
  </si>
  <si>
    <t>D70-1003775</t>
  </si>
  <si>
    <t>D70-1003777</t>
  </si>
  <si>
    <t>D70-1003782</t>
  </si>
  <si>
    <t>D70-1003812</t>
  </si>
  <si>
    <t>D70-1003836</t>
  </si>
  <si>
    <t>D70-1003953</t>
  </si>
  <si>
    <t>F04-975648</t>
  </si>
  <si>
    <t>F04-975720</t>
  </si>
  <si>
    <t>F04-975721</t>
  </si>
  <si>
    <t>H01-993289</t>
  </si>
  <si>
    <t>L00-1013589</t>
  </si>
  <si>
    <t>L00-1013720</t>
  </si>
  <si>
    <t>L00-1013845</t>
  </si>
  <si>
    <t>L00-1013876</t>
  </si>
  <si>
    <t>L00-1013905</t>
  </si>
  <si>
    <t>L00-1013971</t>
  </si>
  <si>
    <t>L00-1014051</t>
  </si>
  <si>
    <t>L00-1014058</t>
  </si>
  <si>
    <t>L00-1014073</t>
  </si>
  <si>
    <t>L00-1014136</t>
  </si>
  <si>
    <t>L00-1014137</t>
  </si>
  <si>
    <t>L00-1014260</t>
  </si>
  <si>
    <t>L00-1014681</t>
  </si>
  <si>
    <t>L00-1014696</t>
  </si>
  <si>
    <t>L00-1014801</t>
  </si>
  <si>
    <t>L01-999103</t>
  </si>
  <si>
    <t>L01-999107</t>
  </si>
  <si>
    <t>L01-999110</t>
  </si>
  <si>
    <t>L01-999115</t>
  </si>
  <si>
    <t>L01-999116</t>
  </si>
  <si>
    <t>L01-999118</t>
  </si>
  <si>
    <t>L01-999127</t>
  </si>
  <si>
    <t>L01-999128</t>
  </si>
  <si>
    <t>L01-999129</t>
  </si>
  <si>
    <t>L01-999133</t>
  </si>
  <si>
    <t>L01-999142</t>
  </si>
  <si>
    <t>L01-999144</t>
  </si>
  <si>
    <t>L01-999149</t>
  </si>
  <si>
    <t>L01-999150</t>
  </si>
  <si>
    <t>L01-999153</t>
  </si>
  <si>
    <t>L01-999190</t>
  </si>
  <si>
    <t>L01-999193</t>
  </si>
  <si>
    <t>L06-993790</t>
  </si>
  <si>
    <t>M00-999801</t>
  </si>
  <si>
    <t>M00-999816</t>
  </si>
  <si>
    <t>M05-1000723</t>
  </si>
  <si>
    <t>M14-980508</t>
  </si>
  <si>
    <t>M20-1002070</t>
  </si>
  <si>
    <t>MS5-913799</t>
  </si>
  <si>
    <t>MSJ-232179</t>
  </si>
  <si>
    <t>P07-995000</t>
  </si>
  <si>
    <t>Q00-999164</t>
  </si>
  <si>
    <t>Q00-999171</t>
  </si>
  <si>
    <t>Q00-999185</t>
  </si>
  <si>
    <t>Q02-930130</t>
  </si>
  <si>
    <t>Q02-930143</t>
  </si>
  <si>
    <t>Q02-930166</t>
  </si>
  <si>
    <t>Q02-930258</t>
  </si>
  <si>
    <t>S00-993911</t>
  </si>
  <si>
    <t>Y00-1001676</t>
  </si>
  <si>
    <t>Y10-916200</t>
  </si>
  <si>
    <t>D00-1008371</t>
  </si>
  <si>
    <t>D00-1008452</t>
  </si>
  <si>
    <t>D00-1008508</t>
  </si>
  <si>
    <t>D70-1003717</t>
  </si>
  <si>
    <t>D70-1003732</t>
  </si>
  <si>
    <t>D70-1003758</t>
  </si>
  <si>
    <t>D70-1003835</t>
  </si>
  <si>
    <t>F02-996402</t>
  </si>
  <si>
    <t>F02-996403</t>
  </si>
  <si>
    <t>F02-996404</t>
  </si>
  <si>
    <t>F02-996410</t>
  </si>
  <si>
    <t>F04-975641</t>
  </si>
  <si>
    <t>G05-963707</t>
  </si>
  <si>
    <t>G05-963717</t>
  </si>
  <si>
    <t>G11-993843</t>
  </si>
  <si>
    <t>H00-1000879</t>
  </si>
  <si>
    <t>H00-1000901</t>
  </si>
  <si>
    <t>H00-1000962</t>
  </si>
  <si>
    <t>H01-993245</t>
  </si>
  <si>
    <t>H01-993290</t>
  </si>
  <si>
    <t>L00-1013721</t>
  </si>
  <si>
    <t>L00-1013740</t>
  </si>
  <si>
    <t>L00-1013813</t>
  </si>
  <si>
    <t>L00-1013877</t>
  </si>
  <si>
    <t>L00-1013931</t>
  </si>
  <si>
    <t>L00-1013962</t>
  </si>
  <si>
    <t>L00-1013965</t>
  </si>
  <si>
    <t>L00-1014052</t>
  </si>
  <si>
    <t>L00-1014242</t>
  </si>
  <si>
    <t>L00-1014243</t>
  </si>
  <si>
    <t>L00-1014683</t>
  </si>
  <si>
    <t>L06-993765</t>
  </si>
  <si>
    <t>L06-993792</t>
  </si>
  <si>
    <t>L06-993846</t>
  </si>
  <si>
    <t>L06-993857</t>
  </si>
  <si>
    <t>L07-978080</t>
  </si>
  <si>
    <t>M05-1000710</t>
  </si>
  <si>
    <t>M05-1000726</t>
  </si>
  <si>
    <t>M05-1000758</t>
  </si>
  <si>
    <t>M11-918969</t>
  </si>
  <si>
    <t>M11-918982</t>
  </si>
  <si>
    <t>M14-980524</t>
  </si>
  <si>
    <t>M20-1002077</t>
  </si>
  <si>
    <t>M20-1002090</t>
  </si>
  <si>
    <t>M20-1002097</t>
  </si>
  <si>
    <t>M20-1002105</t>
  </si>
  <si>
    <t>M20-1002117</t>
  </si>
  <si>
    <t>M25-848835</t>
  </si>
  <si>
    <t>MC1-998520</t>
  </si>
  <si>
    <t>P00-995811</t>
  </si>
  <si>
    <t>P00-995828</t>
  </si>
  <si>
    <t>P00-995829</t>
  </si>
  <si>
    <t>P00-995851</t>
  </si>
  <si>
    <t>P00-995943</t>
  </si>
  <si>
    <t>P00-995947</t>
  </si>
  <si>
    <t>Q00-999161</t>
  </si>
  <si>
    <t>Q00-999191</t>
  </si>
  <si>
    <t>Q00-999238</t>
  </si>
  <si>
    <t>Q00-999249</t>
  </si>
  <si>
    <t>Q02-930118</t>
  </si>
  <si>
    <t>Q02-930133</t>
  </si>
  <si>
    <t>T02-998216</t>
  </si>
  <si>
    <t>Y00-1001645</t>
  </si>
  <si>
    <t>Y01-811069</t>
  </si>
  <si>
    <t>Y01-811093</t>
  </si>
  <si>
    <t>C01-995517</t>
  </si>
  <si>
    <t>C01-995525</t>
  </si>
  <si>
    <t>D00-1008412</t>
  </si>
  <si>
    <t>D00-1008499</t>
  </si>
  <si>
    <t>G05-963669</t>
  </si>
  <si>
    <t>G05-963699</t>
  </si>
  <si>
    <t>G05-963711</t>
  </si>
  <si>
    <t>G05-963766</t>
  </si>
  <si>
    <t>G11-993808</t>
  </si>
  <si>
    <t>H00-1000890</t>
  </si>
  <si>
    <t>H00-1000903</t>
  </si>
  <si>
    <t>H01-993253</t>
  </si>
  <si>
    <t>L00-1013585</t>
  </si>
  <si>
    <t>L00-1013601</t>
  </si>
  <si>
    <t>L00-1013673</t>
  </si>
  <si>
    <t>L00-1013797</t>
  </si>
  <si>
    <t>L00-1013826</t>
  </si>
  <si>
    <t>L00-1013856</t>
  </si>
  <si>
    <t>L00-1013895</t>
  </si>
  <si>
    <t>L00-1013925</t>
  </si>
  <si>
    <t>L00-1013926</t>
  </si>
  <si>
    <t>L00-1013936</t>
  </si>
  <si>
    <t>L00-1013980</t>
  </si>
  <si>
    <t>L00-1013982</t>
  </si>
  <si>
    <t>L00-1013984</t>
  </si>
  <si>
    <t>L00-1014024</t>
  </si>
  <si>
    <t>L00-1014064</t>
  </si>
  <si>
    <t>L00-1014133</t>
  </si>
  <si>
    <t>L00-1014239</t>
  </si>
  <si>
    <t>L00-1014262</t>
  </si>
  <si>
    <t>L00-1014292</t>
  </si>
  <si>
    <t>L00-1014746</t>
  </si>
  <si>
    <t>L00-1014791</t>
  </si>
  <si>
    <t>L00-1015214</t>
  </si>
  <si>
    <t>L06-993771</t>
  </si>
  <si>
    <t>L06-993799</t>
  </si>
  <si>
    <t>L06-993865</t>
  </si>
  <si>
    <t>L06-993873</t>
  </si>
  <si>
    <t>L07-978037</t>
  </si>
  <si>
    <t>L07-978060</t>
  </si>
  <si>
    <t>L07-978090</t>
  </si>
  <si>
    <t>M05-1000727</t>
  </si>
  <si>
    <t>M11-918978</t>
  </si>
  <si>
    <t>M20-1002061</t>
  </si>
  <si>
    <t>M20-1002067</t>
  </si>
  <si>
    <t>P00-995841</t>
  </si>
  <si>
    <t>P00-995846</t>
  </si>
  <si>
    <t>P00-995951</t>
  </si>
  <si>
    <t>P01-998056</t>
  </si>
  <si>
    <t>P06-996997</t>
  </si>
  <si>
    <t>Q00-999213</t>
  </si>
  <si>
    <t>Q02-930099</t>
  </si>
  <si>
    <t>Q02-930132</t>
  </si>
  <si>
    <t>Q02-930137</t>
  </si>
  <si>
    <t>T00-999167</t>
  </si>
  <si>
    <t>Y01-811068</t>
  </si>
  <si>
    <t>Y01-811077</t>
  </si>
  <si>
    <t>C01-995511</t>
  </si>
  <si>
    <t>C01-995512</t>
  </si>
  <si>
    <t>C01-995513</t>
  </si>
  <si>
    <t>D00-1008476</t>
  </si>
  <si>
    <t>D00-1008844</t>
  </si>
  <si>
    <t>D70-1003734</t>
  </si>
  <si>
    <t>D70-1003784</t>
  </si>
  <si>
    <t>D70-1003785</t>
  </si>
  <si>
    <t>D70-1003786</t>
  </si>
  <si>
    <t>D70-1003792</t>
  </si>
  <si>
    <t>F10-996337</t>
  </si>
  <si>
    <t>G00-996551</t>
  </si>
  <si>
    <t>G00-996552</t>
  </si>
  <si>
    <t>G00-996562</t>
  </si>
  <si>
    <t>G00-996691</t>
  </si>
  <si>
    <t>G00-996695</t>
  </si>
  <si>
    <t>G05-963677</t>
  </si>
  <si>
    <t>G05-963810</t>
  </si>
  <si>
    <t>L00-1013584</t>
  </si>
  <si>
    <t>L00-1013587</t>
  </si>
  <si>
    <t>L00-1013596</t>
  </si>
  <si>
    <t>L00-1013671</t>
  </si>
  <si>
    <t>L00-1013704</t>
  </si>
  <si>
    <t>L00-1013705</t>
  </si>
  <si>
    <t>L00-1013715</t>
  </si>
  <si>
    <t>L00-1013807</t>
  </si>
  <si>
    <t>L00-1013847</t>
  </si>
  <si>
    <t>L00-1013853</t>
  </si>
  <si>
    <t>L00-1013854</t>
  </si>
  <si>
    <t>L00-1013872</t>
  </si>
  <si>
    <t>L00-1013886</t>
  </si>
  <si>
    <t>L00-1013904</t>
  </si>
  <si>
    <t>L00-1013940</t>
  </si>
  <si>
    <t>L00-1013959</t>
  </si>
  <si>
    <t>L00-1013966</t>
  </si>
  <si>
    <t>L00-1014005</t>
  </si>
  <si>
    <t>L00-1014129</t>
  </si>
  <si>
    <t>L00-1014732</t>
  </si>
  <si>
    <t>L01-999121</t>
  </si>
  <si>
    <t>L01-999124</t>
  </si>
  <si>
    <t>L01-999137</t>
  </si>
  <si>
    <t>L06-993783</t>
  </si>
  <si>
    <t>L06-993938</t>
  </si>
  <si>
    <t>L07-978047</t>
  </si>
  <si>
    <t>L07-978061</t>
  </si>
  <si>
    <t>L07-978068</t>
  </si>
  <si>
    <t>L07-978073</t>
  </si>
  <si>
    <t>M14-980500</t>
  </si>
  <si>
    <t>M20-1002094</t>
  </si>
  <si>
    <t>M20-1002108</t>
  </si>
  <si>
    <t>M34-6</t>
  </si>
  <si>
    <t>MC1-998516</t>
  </si>
  <si>
    <t>MS1-999099</t>
  </si>
  <si>
    <t>P00-995861</t>
  </si>
  <si>
    <t>P01-998051</t>
  </si>
  <si>
    <t>P07-994998</t>
  </si>
  <si>
    <t>P07-995011</t>
  </si>
  <si>
    <t>Q02-930123</t>
  </si>
  <si>
    <t>Q02-930125</t>
  </si>
  <si>
    <t>Q02-930161</t>
  </si>
  <si>
    <t>Q02-930259</t>
  </si>
  <si>
    <t>S00-993912</t>
  </si>
  <si>
    <t>S00-993915</t>
  </si>
  <si>
    <t>T00-999166</t>
  </si>
  <si>
    <t>T02-998218</t>
  </si>
  <si>
    <t>T03-999822</t>
  </si>
  <si>
    <t>Y00-1001647</t>
  </si>
  <si>
    <t>Y02-993395</t>
  </si>
  <si>
    <t>Y02-993396</t>
  </si>
  <si>
    <t>C01-995515</t>
  </si>
  <si>
    <t>C01-995519</t>
  </si>
  <si>
    <t>C01-995537</t>
  </si>
  <si>
    <t>C01-995542</t>
  </si>
  <si>
    <t>C01-995559</t>
  </si>
  <si>
    <t>C01-995659</t>
  </si>
  <si>
    <t>D00-1008318</t>
  </si>
  <si>
    <t>D00-1008389</t>
  </si>
  <si>
    <t>D00-1008390</t>
  </si>
  <si>
    <t>D00-1008415</t>
  </si>
  <si>
    <t>D00-1008418</t>
  </si>
  <si>
    <t>D00-1008441</t>
  </si>
  <si>
    <t>D00-1008463</t>
  </si>
  <si>
    <t>D00-1008467</t>
  </si>
  <si>
    <t>D00-1008492</t>
  </si>
  <si>
    <t>D00-1008494</t>
  </si>
  <si>
    <t>D00-1008522</t>
  </si>
  <si>
    <t>D00-1008909</t>
  </si>
  <si>
    <t>D00-1009115</t>
  </si>
  <si>
    <t>D00-1009320</t>
  </si>
  <si>
    <t>D00-1009727</t>
  </si>
  <si>
    <t>D70-1003696</t>
  </si>
  <si>
    <t>D70-1003709</t>
  </si>
  <si>
    <t>D70-1003711</t>
  </si>
  <si>
    <t>D70-1003725</t>
  </si>
  <si>
    <t>D70-1003945</t>
  </si>
  <si>
    <t>F02-996412</t>
  </si>
  <si>
    <t>F02-996415</t>
  </si>
  <si>
    <t>F02-996420</t>
  </si>
  <si>
    <t>F04-975640</t>
  </si>
  <si>
    <t>F04-975647</t>
  </si>
  <si>
    <t>F04-975653</t>
  </si>
  <si>
    <t>F04-975654</t>
  </si>
  <si>
    <t>F04-975716</t>
  </si>
  <si>
    <t>F04-975717</t>
  </si>
  <si>
    <t>G00-996556</t>
  </si>
  <si>
    <t>G00-996559</t>
  </si>
  <si>
    <t>G05-963693</t>
  </si>
  <si>
    <t>G22-156217</t>
  </si>
  <si>
    <t>H00-1000880</t>
  </si>
  <si>
    <t>H00-1000882</t>
  </si>
  <si>
    <t>H01-993228</t>
  </si>
  <si>
    <t>H01-993229</t>
  </si>
  <si>
    <t>H01-993235</t>
  </si>
  <si>
    <t>H01-993236</t>
  </si>
  <si>
    <t>H01-993238</t>
  </si>
  <si>
    <t>H01-993239</t>
  </si>
  <si>
    <t>H01-993248</t>
  </si>
  <si>
    <t>H01-993251</t>
  </si>
  <si>
    <t>H01-993286</t>
  </si>
  <si>
    <t>H01-993287</t>
  </si>
  <si>
    <t>H01-993288</t>
  </si>
  <si>
    <t>H01-993307</t>
  </si>
  <si>
    <t>L00-1013564</t>
  </si>
  <si>
    <t>L00-1013741</t>
  </si>
  <si>
    <t>L00-1013778</t>
  </si>
  <si>
    <t>L00-1013848</t>
  </si>
  <si>
    <t>L00-1013870</t>
  </si>
  <si>
    <t>L00-1013879</t>
  </si>
  <si>
    <t>L00-1013906</t>
  </si>
  <si>
    <t>L00-1013924</t>
  </si>
  <si>
    <t>L00-1013983</t>
  </si>
  <si>
    <t>L00-1014076</t>
  </si>
  <si>
    <t>L00-1014078</t>
  </si>
  <si>
    <t>L00-1014130</t>
  </si>
  <si>
    <t>L00-1014687</t>
  </si>
  <si>
    <t>L00-1014697</t>
  </si>
  <si>
    <t>L00-1014743</t>
  </si>
  <si>
    <t>L00-1014788</t>
  </si>
  <si>
    <t>L00-1015194</t>
  </si>
  <si>
    <t>L00-1015195</t>
  </si>
  <si>
    <t>L01-999125</t>
  </si>
  <si>
    <t>L01-999148</t>
  </si>
  <si>
    <t>L06-993946</t>
  </si>
  <si>
    <t>L07-978041</t>
  </si>
  <si>
    <t>L07-978055</t>
  </si>
  <si>
    <t>L07-978057</t>
  </si>
  <si>
    <t>L07-978082</t>
  </si>
  <si>
    <t>M00-999798</t>
  </si>
  <si>
    <t>M00-999823</t>
  </si>
  <si>
    <t>M11-918975</t>
  </si>
  <si>
    <t>M11-918983</t>
  </si>
  <si>
    <t>M11-918987</t>
  </si>
  <si>
    <t>M11-919111</t>
  </si>
  <si>
    <t>M14-980515</t>
  </si>
  <si>
    <t>M14-980614</t>
  </si>
  <si>
    <t>M20-1002058</t>
  </si>
  <si>
    <t>M20-1002129</t>
  </si>
  <si>
    <t>MC1-998508</t>
  </si>
  <si>
    <t>MC1-998584</t>
  </si>
  <si>
    <t>MC7-12150</t>
  </si>
  <si>
    <t>MC7-12151</t>
  </si>
  <si>
    <t>MC7-12152</t>
  </si>
  <si>
    <t>MS1-999096</t>
  </si>
  <si>
    <t>MS1-999097</t>
  </si>
  <si>
    <t>P00-995885</t>
  </si>
  <si>
    <t>Q00-999202</t>
  </si>
  <si>
    <t>Q02-930116</t>
  </si>
  <si>
    <t>Q02-930151</t>
  </si>
  <si>
    <t>Q02-930159</t>
  </si>
  <si>
    <t>Q02-930253</t>
  </si>
  <si>
    <t>T00-999099</t>
  </si>
  <si>
    <t>T00-999109</t>
  </si>
  <si>
    <t>T02-998210</t>
  </si>
  <si>
    <t>T03-999810</t>
  </si>
  <si>
    <t>T03-999811</t>
  </si>
  <si>
    <t>T03-999816</t>
  </si>
  <si>
    <t>Y00-1001643</t>
  </si>
  <si>
    <t>Y00-1001651</t>
  </si>
  <si>
    <t>Y00-1001677</t>
  </si>
  <si>
    <t>Y00-1001681</t>
  </si>
  <si>
    <t>Y01-811071</t>
  </si>
  <si>
    <t>Y01-811074</t>
  </si>
  <si>
    <t>Y01-811075</t>
  </si>
  <si>
    <t>Y02-993391</t>
  </si>
  <si>
    <t>Y11-983685</t>
  </si>
  <si>
    <t>Y11-983686</t>
  </si>
  <si>
    <t>Y11-983698</t>
  </si>
  <si>
    <t>Y11-983718</t>
  </si>
  <si>
    <t>C01-995527</t>
  </si>
  <si>
    <t>D00-1008436</t>
  </si>
  <si>
    <t>D00-1008460</t>
  </si>
  <si>
    <t>D00-1008513</t>
  </si>
  <si>
    <t>D00-1008860</t>
  </si>
  <si>
    <t>F04-975665</t>
  </si>
  <si>
    <t>G00-996548</t>
  </si>
  <si>
    <t>G00-996564</t>
  </si>
  <si>
    <t>G00-996608</t>
  </si>
  <si>
    <t>G00-996609</t>
  </si>
  <si>
    <t>G11-993800</t>
  </si>
  <si>
    <t>G11-993814</t>
  </si>
  <si>
    <t>G15-248300</t>
  </si>
  <si>
    <t>H01-993230</t>
  </si>
  <si>
    <t>L00-1013668</t>
  </si>
  <si>
    <t>L00-1013798</t>
  </si>
  <si>
    <t>L00-1013832</t>
  </si>
  <si>
    <t>L00-1013841</t>
  </si>
  <si>
    <t>L00-1013857</t>
  </si>
  <si>
    <t>L00-1013898</t>
  </si>
  <si>
    <t>L00-1013955</t>
  </si>
  <si>
    <t>L00-1013987</t>
  </si>
  <si>
    <t>L00-1014030</t>
  </si>
  <si>
    <t>L00-1014131</t>
  </si>
  <si>
    <t>L00-1014699</t>
  </si>
  <si>
    <t>L00-1014700</t>
  </si>
  <si>
    <t>L00-1014780</t>
  </si>
  <si>
    <t>L01-999138</t>
  </si>
  <si>
    <t>L01-999151</t>
  </si>
  <si>
    <t>L06-993793</t>
  </si>
  <si>
    <t>L06-993806</t>
  </si>
  <si>
    <t>L06-993814</t>
  </si>
  <si>
    <t>L06-993824</t>
  </si>
  <si>
    <t>L06-993825</t>
  </si>
  <si>
    <t>L06-993862</t>
  </si>
  <si>
    <t>L07-978078</t>
  </si>
  <si>
    <t>M05-1000711</t>
  </si>
  <si>
    <t>M17-582292</t>
  </si>
  <si>
    <t>M20-1002050</t>
  </si>
  <si>
    <t>M20-1002053</t>
  </si>
  <si>
    <t>M20-1002057</t>
  </si>
  <si>
    <t>M20-1002082</t>
  </si>
  <si>
    <t>M20-1002098</t>
  </si>
  <si>
    <t>M20-1002120</t>
  </si>
  <si>
    <t>M20-1002127</t>
  </si>
  <si>
    <t>M20-1002128</t>
  </si>
  <si>
    <t>MC1-998556</t>
  </si>
  <si>
    <t>P00-995806</t>
  </si>
  <si>
    <t>P00-995807</t>
  </si>
  <si>
    <t>P00-995808</t>
  </si>
  <si>
    <t>P00-995815</t>
  </si>
  <si>
    <t>P00-995821</t>
  </si>
  <si>
    <t>P00-995826</t>
  </si>
  <si>
    <t>P00-995842</t>
  </si>
  <si>
    <t>P00-995845</t>
  </si>
  <si>
    <t>P00-995891</t>
  </si>
  <si>
    <t>P00-995944</t>
  </si>
  <si>
    <t>P00-995958</t>
  </si>
  <si>
    <t>P00-995994</t>
  </si>
  <si>
    <t>Q00-999196</t>
  </si>
  <si>
    <t>Q02-930097</t>
  </si>
  <si>
    <t>Q02-930098</t>
  </si>
  <si>
    <t>T00-999117</t>
  </si>
  <si>
    <t>Y00-1001644</t>
  </si>
  <si>
    <t>Y00-1001694</t>
  </si>
  <si>
    <t>Y11-983701</t>
  </si>
  <si>
    <t>C01-995543</t>
  </si>
  <si>
    <t>C01-995665</t>
  </si>
  <si>
    <t>D00-1008395</t>
  </si>
  <si>
    <t>D00-1008481</t>
  </si>
  <si>
    <t>D00-1008524</t>
  </si>
  <si>
    <t>D70-1003689</t>
  </si>
  <si>
    <t>D70-1003690</t>
  </si>
  <si>
    <t>D70-1003691</t>
  </si>
  <si>
    <t>D70-1003692</t>
  </si>
  <si>
    <t>D70-1003698</t>
  </si>
  <si>
    <t>D70-1003699</t>
  </si>
  <si>
    <t>D70-1003700</t>
  </si>
  <si>
    <t>D70-1003701</t>
  </si>
  <si>
    <t>D70-1003702</t>
  </si>
  <si>
    <t>D70-1003706</t>
  </si>
  <si>
    <t>D70-1003729</t>
  </si>
  <si>
    <t>D70-1003754</t>
  </si>
  <si>
    <t>D70-1003788</t>
  </si>
  <si>
    <t>D70-1003813</t>
  </si>
  <si>
    <t>D70-1003951</t>
  </si>
  <si>
    <t>D70-1003957</t>
  </si>
  <si>
    <t>D70-1003985</t>
  </si>
  <si>
    <t>F02-996417</t>
  </si>
  <si>
    <t>G00-996567</t>
  </si>
  <si>
    <t>G00-996568</t>
  </si>
  <si>
    <t>G05-963664</t>
  </si>
  <si>
    <t>G05-963672</t>
  </si>
  <si>
    <t>G05-963674</t>
  </si>
  <si>
    <t>G11-993863</t>
  </si>
  <si>
    <t>G11-993866</t>
  </si>
  <si>
    <t>L00-1013583</t>
  </si>
  <si>
    <t>L00-1013718</t>
  </si>
  <si>
    <t>L00-1013750</t>
  </si>
  <si>
    <t>L00-1013836</t>
  </si>
  <si>
    <t>L00-1013837</t>
  </si>
  <si>
    <t>L00-1014034</t>
  </si>
  <si>
    <t>L00-1014080</t>
  </si>
  <si>
    <t>L00-1014084</t>
  </si>
  <si>
    <t>L00-1014135</t>
  </si>
  <si>
    <t>L00-1014716</t>
  </si>
  <si>
    <t>L00-1014758</t>
  </si>
  <si>
    <t>L00-1014778</t>
  </si>
  <si>
    <t>L00-1014779</t>
  </si>
  <si>
    <t>L06-993821</t>
  </si>
  <si>
    <t>L06-993943</t>
  </si>
  <si>
    <t>L06-993944</t>
  </si>
  <si>
    <t>L06-993959</t>
  </si>
  <si>
    <t>L07-978042</t>
  </si>
  <si>
    <t>M00-999804</t>
  </si>
  <si>
    <t>M05-1000728</t>
  </si>
  <si>
    <t>M05-1000729</t>
  </si>
  <si>
    <t>M14-980513</t>
  </si>
  <si>
    <t>M14-980627</t>
  </si>
  <si>
    <t>M20-1002046</t>
  </si>
  <si>
    <t>M20-1002047</t>
  </si>
  <si>
    <t>M20-1002059</t>
  </si>
  <si>
    <t>M20-1002075</t>
  </si>
  <si>
    <t>M20-1002084</t>
  </si>
  <si>
    <t>M20-1002103</t>
  </si>
  <si>
    <t>M20-1002116</t>
  </si>
  <si>
    <t>MS1-999103</t>
  </si>
  <si>
    <t>P00-995855</t>
  </si>
  <si>
    <t>P01-998061</t>
  </si>
  <si>
    <t>Q02-930095</t>
  </si>
  <si>
    <t>Q02-930119</t>
  </si>
  <si>
    <t>Q02-930120</t>
  </si>
  <si>
    <t>Q02-930146</t>
  </si>
  <si>
    <t>Q02-930158</t>
  </si>
  <si>
    <t>T00-999201</t>
  </si>
  <si>
    <t>T02-998213</t>
  </si>
  <si>
    <t>Y00-1001672</t>
  </si>
  <si>
    <t>Y00-1001685</t>
  </si>
  <si>
    <t>Y01-811095</t>
  </si>
  <si>
    <t>Y02-993386</t>
  </si>
  <si>
    <t>Y11-983702</t>
  </si>
  <si>
    <t>Y11-983737</t>
  </si>
  <si>
    <t>Y17-862292</t>
  </si>
  <si>
    <t>Y17-862293</t>
  </si>
  <si>
    <t>C01-995510</t>
  </si>
  <si>
    <t>C01-995535</t>
  </si>
  <si>
    <t>C01-995538</t>
  </si>
  <si>
    <t>D00-1008437</t>
  </si>
  <si>
    <t>D00-1008440</t>
  </si>
  <si>
    <t>D00-1008478</t>
  </si>
  <si>
    <t>D00-1008851</t>
  </si>
  <si>
    <t>D70-1003744</t>
  </si>
  <si>
    <t>D70-1003745</t>
  </si>
  <si>
    <t>D70-1003750</t>
  </si>
  <si>
    <t>D70-1003781</t>
  </si>
  <si>
    <t>D70-1003791</t>
  </si>
  <si>
    <t>D70-1003819</t>
  </si>
  <si>
    <t>D70-1003974</t>
  </si>
  <si>
    <t>F02-996401</t>
  </si>
  <si>
    <t>F02-996405</t>
  </si>
  <si>
    <t>G05-963705</t>
  </si>
  <si>
    <t>G05-963708</t>
  </si>
  <si>
    <t>H00-1000876</t>
  </si>
  <si>
    <t>H00-1000877</t>
  </si>
  <si>
    <t>H00-1000908</t>
  </si>
  <si>
    <t>L00-1013665</t>
  </si>
  <si>
    <t>L00-1013801</t>
  </si>
  <si>
    <t>L00-1013849</t>
  </si>
  <si>
    <t>L00-1013882</t>
  </si>
  <si>
    <t>L00-1013907</t>
  </si>
  <si>
    <t>L00-1013914</t>
  </si>
  <si>
    <t>L00-1013960</t>
  </si>
  <si>
    <t>L00-1014035</t>
  </si>
  <si>
    <t>L00-1014046</t>
  </si>
  <si>
    <t>L00-1014055</t>
  </si>
  <si>
    <t>L00-1014147</t>
  </si>
  <si>
    <t>L00-1014196</t>
  </si>
  <si>
    <t>L00-1014706</t>
  </si>
  <si>
    <t>L00-1015238</t>
  </si>
  <si>
    <t>L06-993767</t>
  </si>
  <si>
    <t>L06-993776</t>
  </si>
  <si>
    <t>L06-993812</t>
  </si>
  <si>
    <t>L06-993940</t>
  </si>
  <si>
    <t>L06-993960</t>
  </si>
  <si>
    <t>L07-978064</t>
  </si>
  <si>
    <t>L07-978074</t>
  </si>
  <si>
    <t>M05-1000737</t>
  </si>
  <si>
    <t>M14-980483</t>
  </si>
  <si>
    <t>M20-1002083</t>
  </si>
  <si>
    <t>M20-1002202</t>
  </si>
  <si>
    <t>M25-848850</t>
  </si>
  <si>
    <t>P00-995837</t>
  </si>
  <si>
    <t>P00-995957</t>
  </si>
  <si>
    <t>P01-998052</t>
  </si>
  <si>
    <t>P06-996998</t>
  </si>
  <si>
    <t>Q02-930144</t>
  </si>
  <si>
    <t>Q02-930147</t>
  </si>
  <si>
    <t>Q02-930219</t>
  </si>
  <si>
    <t>Q02-930220</t>
  </si>
  <si>
    <t>Q02-930225</t>
  </si>
  <si>
    <t>T00-999116</t>
  </si>
  <si>
    <t>Y00-1001689</t>
  </si>
  <si>
    <t>Y00-1001781</t>
  </si>
  <si>
    <t>Y01-811094</t>
  </si>
  <si>
    <t>Y10-916193</t>
  </si>
  <si>
    <t>Y10-916194</t>
  </si>
  <si>
    <t>Y10-916195</t>
  </si>
  <si>
    <t>Y10-916196</t>
  </si>
  <si>
    <t>C00-999143</t>
  </si>
  <si>
    <t>C01-995521</t>
  </si>
  <si>
    <t>C01-995611</t>
  </si>
  <si>
    <t>D00-1008341</t>
  </si>
  <si>
    <t>D00-1008511</t>
  </si>
  <si>
    <t>D00-1008874</t>
  </si>
  <si>
    <t>D70-1003708</t>
  </si>
  <si>
    <t>G00-996555</t>
  </si>
  <si>
    <t>G05-963678</t>
  </si>
  <si>
    <t>G05-963706</t>
  </si>
  <si>
    <t>G11-993798</t>
  </si>
  <si>
    <t>H00-1000905</t>
  </si>
  <si>
    <t>L00-1013613</t>
  </si>
  <si>
    <t>L00-1013667</t>
  </si>
  <si>
    <t>L00-1013680</t>
  </si>
  <si>
    <t>L00-1013717</t>
  </si>
  <si>
    <t>L00-1013800</t>
  </si>
  <si>
    <t>L00-1013811</t>
  </si>
  <si>
    <t>L00-1013816</t>
  </si>
  <si>
    <t>L00-1013827</t>
  </si>
  <si>
    <t>L00-1013858</t>
  </si>
  <si>
    <t>L00-1013961</t>
  </si>
  <si>
    <t>L00-1014027</t>
  </si>
  <si>
    <t>L00-1014066</t>
  </si>
  <si>
    <t>L00-1014070</t>
  </si>
  <si>
    <t>L00-1014192</t>
  </si>
  <si>
    <t>L00-1014244</t>
  </si>
  <si>
    <t>L01-999130</t>
  </si>
  <si>
    <t>L01-999139</t>
  </si>
  <si>
    <t>L01-999158</t>
  </si>
  <si>
    <t>L01-999220</t>
  </si>
  <si>
    <t>L01-999227</t>
  </si>
  <si>
    <t>L06-993768</t>
  </si>
  <si>
    <t>L06-993797</t>
  </si>
  <si>
    <t>L06-993808</t>
  </si>
  <si>
    <t>L06-993819</t>
  </si>
  <si>
    <t>L06-993826</t>
  </si>
  <si>
    <t>L06-993830</t>
  </si>
  <si>
    <t>L07-978054</t>
  </si>
  <si>
    <t>L07-978070</t>
  </si>
  <si>
    <t>L07-978081</t>
  </si>
  <si>
    <t>L07-978093</t>
  </si>
  <si>
    <t>L07-978096</t>
  </si>
  <si>
    <t>M05-1000715</t>
  </si>
  <si>
    <t>M14-980495</t>
  </si>
  <si>
    <t>M20-1002081</t>
  </si>
  <si>
    <t>M20-1002138</t>
  </si>
  <si>
    <t>MS5-913800</t>
  </si>
  <si>
    <t>P00-995886</t>
  </si>
  <si>
    <t>P01-998059</t>
  </si>
  <si>
    <t>P07-995008</t>
  </si>
  <si>
    <t>Q00-999160</t>
  </si>
  <si>
    <t>Q00-999167</t>
  </si>
  <si>
    <t>Q00-999170</t>
  </si>
  <si>
    <t>Q00-999204</t>
  </si>
  <si>
    <t>Q00-999207</t>
  </si>
  <si>
    <t>Q00-999252</t>
  </si>
  <si>
    <t>Q00-999253</t>
  </si>
  <si>
    <t>Q00-999254</t>
  </si>
  <si>
    <t>Q02-930106</t>
  </si>
  <si>
    <t>Q02-930107</t>
  </si>
  <si>
    <t>T00-999113</t>
  </si>
  <si>
    <t>T00-999128</t>
  </si>
  <si>
    <t>Y00-1001660</t>
  </si>
  <si>
    <t>Y10-916192</t>
  </si>
  <si>
    <t>Y11-983684</t>
  </si>
  <si>
    <t>Y17-862302</t>
  </si>
  <si>
    <t>Y17-862303</t>
  </si>
  <si>
    <t>C01-995522</t>
  </si>
  <si>
    <t>C01-995530</t>
  </si>
  <si>
    <t>C01-995540</t>
  </si>
  <si>
    <t>C01-995541</t>
  </si>
  <si>
    <t>C01-995617</t>
  </si>
  <si>
    <t>C16-806641</t>
  </si>
  <si>
    <t>C16-806642</t>
  </si>
  <si>
    <t>D00-1008310</t>
  </si>
  <si>
    <t>D00-1008434</t>
  </si>
  <si>
    <t>D00-1008491</t>
  </si>
  <si>
    <t>D00-1008495</t>
  </si>
  <si>
    <t>D00-1008601</t>
  </si>
  <si>
    <t>D00-1008837</t>
  </si>
  <si>
    <t>D00-1009258</t>
  </si>
  <si>
    <t>D70-1003743</t>
  </si>
  <si>
    <t>D70-1003767</t>
  </si>
  <si>
    <t>D70-1003768</t>
  </si>
  <si>
    <t>G00-996546</t>
  </si>
  <si>
    <t>G00-996566</t>
  </si>
  <si>
    <t>G05-963679</t>
  </si>
  <si>
    <t>G05-963680</t>
  </si>
  <si>
    <t>G05-963681</t>
  </si>
  <si>
    <t>G05-963702</t>
  </si>
  <si>
    <t>G11-993796</t>
  </si>
  <si>
    <t>H01-993243</t>
  </si>
  <si>
    <t>H01-993244</t>
  </si>
  <si>
    <t>H01-993279</t>
  </si>
  <si>
    <t>L00-1013594</t>
  </si>
  <si>
    <t>L00-1013672</t>
  </si>
  <si>
    <t>L00-1013709</t>
  </si>
  <si>
    <t>L00-1013716</t>
  </si>
  <si>
    <t>L00-1013722</t>
  </si>
  <si>
    <t>L00-1013723</t>
  </si>
  <si>
    <t>L00-1013724</t>
  </si>
  <si>
    <t>L00-1013735</t>
  </si>
  <si>
    <t>L00-1013738</t>
  </si>
  <si>
    <t>L00-1013799</t>
  </si>
  <si>
    <t>L00-1013802</t>
  </si>
  <si>
    <t>L00-1013817</t>
  </si>
  <si>
    <t>L00-1013884</t>
  </si>
  <si>
    <t>L00-1013972</t>
  </si>
  <si>
    <t>L00-1013974</t>
  </si>
  <si>
    <t>L00-1013993</t>
  </si>
  <si>
    <t>L00-1013996</t>
  </si>
  <si>
    <t>L00-1013997</t>
  </si>
  <si>
    <t>L00-1014022</t>
  </si>
  <si>
    <t>L00-1014042</t>
  </si>
  <si>
    <t>L00-1014174</t>
  </si>
  <si>
    <t>L00-1014185</t>
  </si>
  <si>
    <t>L00-1015284</t>
  </si>
  <si>
    <t>L00-1015303</t>
  </si>
  <si>
    <t>L01-999145</t>
  </si>
  <si>
    <t>L06-993772</t>
  </si>
  <si>
    <t>L06-993777</t>
  </si>
  <si>
    <t>L06-993800</t>
  </si>
  <si>
    <t>L06-993829</t>
  </si>
  <si>
    <t>L06-994079</t>
  </si>
  <si>
    <t>L07-978045</t>
  </si>
  <si>
    <t>L07-978063</t>
  </si>
  <si>
    <t>M14-980487</t>
  </si>
  <si>
    <t>M14-980510</t>
  </si>
  <si>
    <t>M14-980622</t>
  </si>
  <si>
    <t>M20-1002049</t>
  </si>
  <si>
    <t>MC1-998510</t>
  </si>
  <si>
    <t>MC1-998515</t>
  </si>
  <si>
    <t>MC1-998560</t>
  </si>
  <si>
    <t>P00-995843</t>
  </si>
  <si>
    <t>P00-995856</t>
  </si>
  <si>
    <t>P00-995892</t>
  </si>
  <si>
    <t>P00-995893</t>
  </si>
  <si>
    <t>P00-995894</t>
  </si>
  <si>
    <t>P06-996996</t>
  </si>
  <si>
    <t>P07-995002</t>
  </si>
  <si>
    <t>Q02-930094</t>
  </si>
  <si>
    <t>Q02-930134</t>
  </si>
  <si>
    <t>Q02-930142</t>
  </si>
  <si>
    <t>Q02-930221</t>
  </si>
  <si>
    <t>Q02-930320</t>
  </si>
  <si>
    <t>S00-993910</t>
  </si>
  <si>
    <t>T00-999103</t>
  </si>
  <si>
    <t>T00-999125</t>
  </si>
  <si>
    <t>T03-999814</t>
  </si>
  <si>
    <t>T03-999815</t>
  </si>
  <si>
    <t>Y00-1001640</t>
  </si>
  <si>
    <t>Y00-1001661</t>
  </si>
  <si>
    <t>Y00-1001699</t>
  </si>
  <si>
    <t>Y01-811066</t>
  </si>
  <si>
    <t>Y01-811120</t>
  </si>
  <si>
    <t>Y01-811121</t>
  </si>
  <si>
    <t>Y02-993389</t>
  </si>
  <si>
    <t>Y11-983679</t>
  </si>
  <si>
    <t>Y11-983680</t>
  </si>
  <si>
    <t>Y11-983681</t>
  </si>
  <si>
    <t>Y11-983688</t>
  </si>
  <si>
    <t>Y11-983692</t>
  </si>
  <si>
    <t>Y11-983697</t>
  </si>
  <si>
    <t>Y11-983705</t>
  </si>
  <si>
    <t>C00-999136</t>
  </si>
  <si>
    <t>C01-995528</t>
  </si>
  <si>
    <t>D00-1008423</t>
  </si>
  <si>
    <t>D00-1008602</t>
  </si>
  <si>
    <t>D00-1008603</t>
  </si>
  <si>
    <t>D00-1009354</t>
  </si>
  <si>
    <t>D70-1003733</t>
  </si>
  <si>
    <t>D70-1003741</t>
  </si>
  <si>
    <t>D70-1003742</t>
  </si>
  <si>
    <t>D70-1003828</t>
  </si>
  <si>
    <t>F02-996406</t>
  </si>
  <si>
    <t>F02-996411</t>
  </si>
  <si>
    <t>F10-996349</t>
  </si>
  <si>
    <t>G05-963668</t>
  </si>
  <si>
    <t>L00-1013592</t>
  </si>
  <si>
    <t>L00-1013593</t>
  </si>
  <si>
    <t>L00-1013682</t>
  </si>
  <si>
    <t>L00-1013953</t>
  </si>
  <si>
    <t>L00-1013976</t>
  </si>
  <si>
    <t>L00-1014194</t>
  </si>
  <si>
    <t>L00-1014216</t>
  </si>
  <si>
    <t>L01-999111</t>
  </si>
  <si>
    <t>L01-999122</t>
  </si>
  <si>
    <t>L06-993764</t>
  </si>
  <si>
    <t>M14-980490</t>
  </si>
  <si>
    <t>M14-980512</t>
  </si>
  <si>
    <t>M20-1002072</t>
  </si>
  <si>
    <t>MC1-998558</t>
  </si>
  <si>
    <t>P00-995802</t>
  </si>
  <si>
    <t>P00-995804</t>
  </si>
  <si>
    <t>P00-995816</t>
  </si>
  <si>
    <t>P00-995823</t>
  </si>
  <si>
    <t>P00-995860</t>
  </si>
  <si>
    <t>P00-995878</t>
  </si>
  <si>
    <t>P00-995899</t>
  </si>
  <si>
    <t>P00-995959</t>
  </si>
  <si>
    <t>P01-998054</t>
  </si>
  <si>
    <t>Q00-999172</t>
  </si>
  <si>
    <t>Q00-999251</t>
  </si>
  <si>
    <t>Q02-930102</t>
  </si>
  <si>
    <t>T03-999817</t>
  </si>
  <si>
    <t>Y00-1001793</t>
  </si>
  <si>
    <t>Y01-811062</t>
  </si>
  <si>
    <t>Y01-811063</t>
  </si>
  <si>
    <t>Y02-993388</t>
  </si>
  <si>
    <t>C01-995534</t>
  </si>
  <si>
    <t>C01-995544</t>
  </si>
  <si>
    <t>D00-1008311</t>
  </si>
  <si>
    <t>D00-1008324</t>
  </si>
  <si>
    <t>D00-1008399</t>
  </si>
  <si>
    <t>D00-1008468</t>
  </si>
  <si>
    <t>D00-1008510</t>
  </si>
  <si>
    <t>D00-1008561</t>
  </si>
  <si>
    <t>D00-1009263</t>
  </si>
  <si>
    <t>D70-1003761</t>
  </si>
  <si>
    <t>D70-1003969</t>
  </si>
  <si>
    <t>G05-963698</t>
  </si>
  <si>
    <t>G05-963767</t>
  </si>
  <si>
    <t>G11-993809</t>
  </si>
  <si>
    <t>H00-1000878</t>
  </si>
  <si>
    <t>H00-1000886</t>
  </si>
  <si>
    <t>H00-1000900</t>
  </si>
  <si>
    <t>H00-1000913</t>
  </si>
  <si>
    <t>L00-1013578</t>
  </si>
  <si>
    <t>L00-1013706</t>
  </si>
  <si>
    <t>L00-1013739</t>
  </si>
  <si>
    <t>L00-1013835</t>
  </si>
  <si>
    <t>L00-1013875</t>
  </si>
  <si>
    <t>L00-1013908</t>
  </si>
  <si>
    <t>L00-1013909</t>
  </si>
  <si>
    <t>L00-1013950</t>
  </si>
  <si>
    <t>L00-1013988</t>
  </si>
  <si>
    <t>L00-1013992</t>
  </si>
  <si>
    <t>L00-1014033</t>
  </si>
  <si>
    <t>L00-1014043</t>
  </si>
  <si>
    <t>L00-1014044</t>
  </si>
  <si>
    <t>L00-1014045</t>
  </si>
  <si>
    <t>L00-1014050</t>
  </si>
  <si>
    <t>L00-1014184</t>
  </si>
  <si>
    <t>L00-1014678</t>
  </si>
  <si>
    <t>L00-1014679</t>
  </si>
  <si>
    <t>L00-1014721</t>
  </si>
  <si>
    <t>L00-1014739</t>
  </si>
  <si>
    <t>L01-999191</t>
  </si>
  <si>
    <t>L06-993805</t>
  </si>
  <si>
    <t>L06-993817</t>
  </si>
  <si>
    <t>L07-978050</t>
  </si>
  <si>
    <t>M11-918972</t>
  </si>
  <si>
    <t>M11-919070</t>
  </si>
  <si>
    <t>M14-980619</t>
  </si>
  <si>
    <t>M20-1002139</t>
  </si>
  <si>
    <t>P00-995812</t>
  </si>
  <si>
    <t>P00-995949</t>
  </si>
  <si>
    <t>Q00-999162</t>
  </si>
  <si>
    <t>Q00-999190</t>
  </si>
  <si>
    <t>Q00-999212</t>
  </si>
  <si>
    <t>Q00-999241</t>
  </si>
  <si>
    <t>Q00-999243</t>
  </si>
  <si>
    <t>Q00-999244</t>
  </si>
  <si>
    <t>Q02-930145</t>
  </si>
  <si>
    <t>Q02-930241</t>
  </si>
  <si>
    <t>T00-999100</t>
  </si>
  <si>
    <t>T00-999120</t>
  </si>
  <si>
    <t>T02-998214</t>
  </si>
  <si>
    <t>Y00-1001693</t>
  </si>
  <si>
    <t>Y00-1001794</t>
  </si>
  <si>
    <t>Y00-1001922</t>
  </si>
  <si>
    <t>C00-999134</t>
  </si>
  <si>
    <t>C00-999138</t>
  </si>
  <si>
    <t>C00-999142</t>
  </si>
  <si>
    <t>D00-1008398</t>
  </si>
  <si>
    <t>D00-1008400</t>
  </si>
  <si>
    <t>D00-1008407</t>
  </si>
  <si>
    <t>D00-1008443</t>
  </si>
  <si>
    <t>D00-1008457</t>
  </si>
  <si>
    <t>D00-1008458</t>
  </si>
  <si>
    <t>D00-1008474</t>
  </si>
  <si>
    <t>D70-1003757</t>
  </si>
  <si>
    <t>D70-1003759</t>
  </si>
  <si>
    <t>D70-1003772</t>
  </si>
  <si>
    <t>D70-1003778</t>
  </si>
  <si>
    <t>D70-1003790</t>
  </si>
  <si>
    <t>D70-1003971</t>
  </si>
  <si>
    <t>D70-1004093</t>
  </si>
  <si>
    <t>F04-975639</t>
  </si>
  <si>
    <t>G00-996553</t>
  </si>
  <si>
    <t>G05-963665</t>
  </si>
  <si>
    <t>G11-993802</t>
  </si>
  <si>
    <t>H00-1000892</t>
  </si>
  <si>
    <t>L00-1013725</t>
  </si>
  <si>
    <t>L00-1013823</t>
  </si>
  <si>
    <t>L00-1013824</t>
  </si>
  <si>
    <t>L00-1013839</t>
  </si>
  <si>
    <t>L00-1013844</t>
  </si>
  <si>
    <t>L00-1013880</t>
  </si>
  <si>
    <t>L00-1013964</t>
  </si>
  <si>
    <t>L00-1014056</t>
  </si>
  <si>
    <t>L00-1014245</t>
  </si>
  <si>
    <t>L00-1014727</t>
  </si>
  <si>
    <t>L01-999141</t>
  </si>
  <si>
    <t>L06-993773</t>
  </si>
  <si>
    <t>L06-993809</t>
  </si>
  <si>
    <t>L07-978065</t>
  </si>
  <si>
    <t>M05-1000719</t>
  </si>
  <si>
    <t>M05-1000761</t>
  </si>
  <si>
    <t>M14-980481</t>
  </si>
  <si>
    <t>M14-980486</t>
  </si>
  <si>
    <t>M14-980489</t>
  </si>
  <si>
    <t>M20-1002063</t>
  </si>
  <si>
    <t>M20-1002078</t>
  </si>
  <si>
    <t>M25-848834</t>
  </si>
  <si>
    <t>M25-848836</t>
  </si>
  <si>
    <t>P00-995825</t>
  </si>
  <si>
    <t>P01-998053</t>
  </si>
  <si>
    <t>P07-995003</t>
  </si>
  <si>
    <t>P07-995006</t>
  </si>
  <si>
    <t>Q00-999186</t>
  </si>
  <si>
    <t>Q00-999198</t>
  </si>
  <si>
    <t>Q00-999208</t>
  </si>
  <si>
    <t>Q00-999240</t>
  </si>
  <si>
    <t>Q00-999295</t>
  </si>
  <si>
    <t>Q02-930117</t>
  </si>
  <si>
    <t>Q02-930150</t>
  </si>
  <si>
    <t>Q02-930167</t>
  </si>
  <si>
    <t>T00-999115</t>
  </si>
  <si>
    <t>T02-998206</t>
  </si>
  <si>
    <t>T02-998219</t>
  </si>
  <si>
    <t>T02-998225</t>
  </si>
  <si>
    <t>T02-998226</t>
  </si>
  <si>
    <t>Y00-1001674</t>
  </si>
  <si>
    <t>Y00-1001795</t>
  </si>
  <si>
    <t>Y00-1001796</t>
  </si>
  <si>
    <t>Y00-1001801</t>
  </si>
  <si>
    <t>Y00-1001894</t>
  </si>
  <si>
    <t>Y01-811113</t>
  </si>
  <si>
    <t>Y01-811114</t>
  </si>
  <si>
    <t>Y02-993410</t>
  </si>
  <si>
    <t>C00-999130</t>
  </si>
  <si>
    <t>C00-999132</t>
  </si>
  <si>
    <t>C00-999133</t>
  </si>
  <si>
    <t>D00-1008425</t>
  </si>
  <si>
    <t>D00-1008488</t>
  </si>
  <si>
    <t>D00-1008600</t>
  </si>
  <si>
    <t>D00-1008905</t>
  </si>
  <si>
    <t>D00-1009428</t>
  </si>
  <si>
    <t>D70-1003718</t>
  </si>
  <si>
    <t>D70-1003952</t>
  </si>
  <si>
    <t>G05-963696</t>
  </si>
  <si>
    <t>H00-1000897</t>
  </si>
  <si>
    <t>H01-993256</t>
  </si>
  <si>
    <t>L00-1013757</t>
  </si>
  <si>
    <t>L00-1013860</t>
  </si>
  <si>
    <t>L00-1013894</t>
  </si>
  <si>
    <t>L00-1014026</t>
  </si>
  <si>
    <t>L00-1014053</t>
  </si>
  <si>
    <t>L00-1014054</t>
  </si>
  <si>
    <t>L00-1014067</t>
  </si>
  <si>
    <t>L00-1014081</t>
  </si>
  <si>
    <t>L00-1014082</t>
  </si>
  <si>
    <t>L00-1014083</t>
  </si>
  <si>
    <t>L00-1014195</t>
  </si>
  <si>
    <t>L00-1014246</t>
  </si>
  <si>
    <t>L00-1014263</t>
  </si>
  <si>
    <t>L00-1014720</t>
  </si>
  <si>
    <t>L00-1014735</t>
  </si>
  <si>
    <t>L00-1014745</t>
  </si>
  <si>
    <t>L01-999104</t>
  </si>
  <si>
    <t>L01-999132</t>
  </si>
  <si>
    <t>L06-993801</t>
  </si>
  <si>
    <t>L06-993810</t>
  </si>
  <si>
    <t>L06-993813</t>
  </si>
  <si>
    <t>L06-993816</t>
  </si>
  <si>
    <t>L06-993822</t>
  </si>
  <si>
    <t>L06-993823</t>
  </si>
  <si>
    <t>L06-993858</t>
  </si>
  <si>
    <t>L06-993863</t>
  </si>
  <si>
    <t>L06-993961</t>
  </si>
  <si>
    <t>L07-978066</t>
  </si>
  <si>
    <t>M00-999861</t>
  </si>
  <si>
    <t>M05-1000713</t>
  </si>
  <si>
    <t>M11-919081</t>
  </si>
  <si>
    <t>M14-980501</t>
  </si>
  <si>
    <t>M20-1002079</t>
  </si>
  <si>
    <t>MC1-998521</t>
  </si>
  <si>
    <t>P08-356181</t>
  </si>
  <si>
    <t>Q02-930136</t>
  </si>
  <si>
    <t>Q02-930168</t>
  </si>
  <si>
    <t>Y01-811059</t>
  </si>
  <si>
    <t>Y01-811065</t>
  </si>
  <si>
    <t>Y01-811070</t>
  </si>
  <si>
    <t>Y17-862300</t>
  </si>
  <si>
    <t>C01-995526</t>
  </si>
  <si>
    <t>C01-995562</t>
  </si>
  <si>
    <t>C01-995563</t>
  </si>
  <si>
    <t>C01-995564</t>
  </si>
  <si>
    <t>D00-1008333</t>
  </si>
  <si>
    <t>D00-1008338</t>
  </si>
  <si>
    <t>D00-1008435</t>
  </si>
  <si>
    <t>D00-1008881</t>
  </si>
  <si>
    <t>D70-1003736</t>
  </si>
  <si>
    <t>D70-1003793</t>
  </si>
  <si>
    <t>F02-996409</t>
  </si>
  <si>
    <t>F04-975644</t>
  </si>
  <si>
    <t>F10-996338</t>
  </si>
  <si>
    <t>F14-102140</t>
  </si>
  <si>
    <t>G00-996549</t>
  </si>
  <si>
    <t>G00-996557</t>
  </si>
  <si>
    <t>G00-996561</t>
  </si>
  <si>
    <t>G00-996697</t>
  </si>
  <si>
    <t>G05-963687</t>
  </si>
  <si>
    <t>G05-963703</t>
  </si>
  <si>
    <t>H00-1000904</t>
  </si>
  <si>
    <t>L00-1013565</t>
  </si>
  <si>
    <t>L00-1013566</t>
  </si>
  <si>
    <t>L00-1013727</t>
  </si>
  <si>
    <t>L00-1013728</t>
  </si>
  <si>
    <t>L00-1013742</t>
  </si>
  <si>
    <t>L00-1013850</t>
  </si>
  <si>
    <t>L00-1013861</t>
  </si>
  <si>
    <t>L00-1013881</t>
  </si>
  <si>
    <t>L00-1013911</t>
  </si>
  <si>
    <t>L00-1013967</t>
  </si>
  <si>
    <t>L00-1013968</t>
  </si>
  <si>
    <t>L00-1013969</t>
  </si>
  <si>
    <t>L00-1013970</t>
  </si>
  <si>
    <t>L00-1013978</t>
  </si>
  <si>
    <t>L00-1013981</t>
  </si>
  <si>
    <t>L00-1013999</t>
  </si>
  <si>
    <t>L00-1014740</t>
  </si>
  <si>
    <t>L00-1014741</t>
  </si>
  <si>
    <t>L00-1014742</t>
  </si>
  <si>
    <t>L00-1014781</t>
  </si>
  <si>
    <t>L01-999146</t>
  </si>
  <si>
    <t>L01-999147</t>
  </si>
  <si>
    <t>L06-993803</t>
  </si>
  <si>
    <t>L06-994044</t>
  </si>
  <si>
    <t>L07-978058</t>
  </si>
  <si>
    <t>L07-978059</t>
  </si>
  <si>
    <t>L07-978072</t>
  </si>
  <si>
    <t>L07-978076</t>
  </si>
  <si>
    <t>L07-978092</t>
  </si>
  <si>
    <t>M00-999797</t>
  </si>
  <si>
    <t>M00-999800</t>
  </si>
  <si>
    <t>M00-999813</t>
  </si>
  <si>
    <t>M14-980605</t>
  </si>
  <si>
    <t>M20-1002054</t>
  </si>
  <si>
    <t>M20-1002056</t>
  </si>
  <si>
    <t>M20-1002064</t>
  </si>
  <si>
    <t>P00-995844</t>
  </si>
  <si>
    <t>P00-995847</t>
  </si>
  <si>
    <t>P00-995887</t>
  </si>
  <si>
    <t>P00-995948</t>
  </si>
  <si>
    <t>P00-996005</t>
  </si>
  <si>
    <t>P12-753</t>
  </si>
  <si>
    <t>Q02-930148</t>
  </si>
  <si>
    <t>Q02-930227</t>
  </si>
  <si>
    <t>Q02-930257</t>
  </si>
  <si>
    <t>T00-999106</t>
  </si>
  <si>
    <t>T00-999112</t>
  </si>
  <si>
    <t>Y00-1001646</t>
  </si>
  <si>
    <t>Y00-1001892</t>
  </si>
  <si>
    <t>Y01-811057</t>
  </si>
  <si>
    <t>Y01-811058</t>
  </si>
  <si>
    <t>Y01-811067</t>
  </si>
  <si>
    <t>C00-999131</t>
  </si>
  <si>
    <t>C01-995545</t>
  </si>
  <si>
    <t>D00-1008299</t>
  </si>
  <si>
    <t>D00-1008364</t>
  </si>
  <si>
    <t>D00-1008456</t>
  </si>
  <si>
    <t>D00-1008501</t>
  </si>
  <si>
    <t>D00-1008523</t>
  </si>
  <si>
    <t>D00-1008605</t>
  </si>
  <si>
    <t>D00-1009408</t>
  </si>
  <si>
    <t>D70-1003751</t>
  </si>
  <si>
    <t>D70-1003780</t>
  </si>
  <si>
    <t>D70-1003814</t>
  </si>
  <si>
    <t>F02-996408</t>
  </si>
  <si>
    <t>H00-1000884</t>
  </si>
  <si>
    <t>H00-1000891</t>
  </si>
  <si>
    <t>H01-993242</t>
  </si>
  <si>
    <t>L00-1013591</t>
  </si>
  <si>
    <t>L00-1013804</t>
  </si>
  <si>
    <t>L00-1013806</t>
  </si>
  <si>
    <t>L00-1013833</t>
  </si>
  <si>
    <t>L00-1013862</t>
  </si>
  <si>
    <t>L00-1013863</t>
  </si>
  <si>
    <t>L00-1013871</t>
  </si>
  <si>
    <t>L00-1013883</t>
  </si>
  <si>
    <t>L00-1013977</t>
  </si>
  <si>
    <t>L00-1013990</t>
  </si>
  <si>
    <t>L00-1014000</t>
  </si>
  <si>
    <t>L00-1014062</t>
  </si>
  <si>
    <t>L00-1014068</t>
  </si>
  <si>
    <t>L00-1015198</t>
  </si>
  <si>
    <t>L01-999126</t>
  </si>
  <si>
    <t>L06-993802</t>
  </si>
  <si>
    <t>L07-978077</t>
  </si>
  <si>
    <t>L07-978095</t>
  </si>
  <si>
    <t>M00-999809</t>
  </si>
  <si>
    <t>M05-1000706</t>
  </si>
  <si>
    <t>M11-918993</t>
  </si>
  <si>
    <t>M11-919107</t>
  </si>
  <si>
    <t>M14-980522</t>
  </si>
  <si>
    <t>M20-1002051</t>
  </si>
  <si>
    <t>M20-1002093</t>
  </si>
  <si>
    <t>M20-1002107</t>
  </si>
  <si>
    <t>M25-848837</t>
  </si>
  <si>
    <t>MS1-999100</t>
  </si>
  <si>
    <t>MS1-999101</t>
  </si>
  <si>
    <t>MS1-999149</t>
  </si>
  <si>
    <t>MS1-999151</t>
  </si>
  <si>
    <t>P06-996990</t>
  </si>
  <si>
    <t>P06-996991</t>
  </si>
  <si>
    <t>P07-995004</t>
  </si>
  <si>
    <t>P07-995012</t>
  </si>
  <si>
    <t>Q00-999197</t>
  </si>
  <si>
    <t>T00-999111</t>
  </si>
  <si>
    <t>T02-998241</t>
  </si>
  <si>
    <t>T03-999813</t>
  </si>
  <si>
    <t>Y00-1001642</t>
  </si>
  <si>
    <t>C00-999141</t>
  </si>
  <si>
    <t>C01-995566</t>
  </si>
  <si>
    <t>D00-1008312</t>
  </si>
  <si>
    <t>D00-1008382</t>
  </si>
  <si>
    <t>D00-1008383</t>
  </si>
  <si>
    <t>D00-1008445</t>
  </si>
  <si>
    <t>D00-1008859</t>
  </si>
  <si>
    <t>D70-1003748</t>
  </si>
  <si>
    <t>D70-1003764</t>
  </si>
  <si>
    <t>D70-1003789</t>
  </si>
  <si>
    <t>D70-1003796</t>
  </si>
  <si>
    <t>G00-996565</t>
  </si>
  <si>
    <t>G00-996580</t>
  </si>
  <si>
    <t>G00-996581</t>
  </si>
  <si>
    <t>G05-963662</t>
  </si>
  <si>
    <t>G11-993799</t>
  </si>
  <si>
    <t>L00-1013599</t>
  </si>
  <si>
    <t>L00-1013610</t>
  </si>
  <si>
    <t>L00-1013640</t>
  </si>
  <si>
    <t>L00-1013726</t>
  </si>
  <si>
    <t>L00-1013731</t>
  </si>
  <si>
    <t>L00-1013892</t>
  </si>
  <si>
    <t>L00-1013917</t>
  </si>
  <si>
    <t>L00-1013919</t>
  </si>
  <si>
    <t>L00-1013985</t>
  </si>
  <si>
    <t>L00-1014028</t>
  </si>
  <si>
    <t>L00-1014247</t>
  </si>
  <si>
    <t>L00-1014248</t>
  </si>
  <si>
    <t>L00-1015319</t>
  </si>
  <si>
    <t>L00-1015320</t>
  </si>
  <si>
    <t>L00-1015324</t>
  </si>
  <si>
    <t>L06-993804</t>
  </si>
  <si>
    <t>L07-978094</t>
  </si>
  <si>
    <t>L07-978101</t>
  </si>
  <si>
    <t>L07-978131</t>
  </si>
  <si>
    <t>L12-370232</t>
  </si>
  <si>
    <t>M00-999803</t>
  </si>
  <si>
    <t>M00-999808</t>
  </si>
  <si>
    <t>M00-999913</t>
  </si>
  <si>
    <t>M05-1000708</t>
  </si>
  <si>
    <t>M14-980511</t>
  </si>
  <si>
    <t>M14-980626</t>
  </si>
  <si>
    <t>M20-1002092</t>
  </si>
  <si>
    <t>M20-1002102</t>
  </si>
  <si>
    <t>M20-1002148</t>
  </si>
  <si>
    <t>MC1-998517</t>
  </si>
  <si>
    <t>MCA-9</t>
  </si>
  <si>
    <t>MS1-999095</t>
  </si>
  <si>
    <t>P00-995859</t>
  </si>
  <si>
    <t>P00-995956</t>
  </si>
  <si>
    <t>P09-151668</t>
  </si>
  <si>
    <t>Q02-930149</t>
  </si>
  <si>
    <t>T00-999107</t>
  </si>
  <si>
    <t>T02-998217</t>
  </si>
  <si>
    <t>Y00-1001638</t>
  </si>
  <si>
    <t>Y00-1001659</t>
  </si>
  <si>
    <t>Y00-1001690</t>
  </si>
  <si>
    <t>Y11-983678</t>
  </si>
  <si>
    <t>C00-999137</t>
  </si>
  <si>
    <t>C01-995529</t>
  </si>
  <si>
    <t>C01-995661</t>
  </si>
  <si>
    <t>D00-1008374</t>
  </si>
  <si>
    <t>D00-1008396</t>
  </si>
  <si>
    <t>D00-1008444</t>
  </si>
  <si>
    <t>D00-1008469</t>
  </si>
  <si>
    <t>D00-1008475</t>
  </si>
  <si>
    <t>D00-1008505</t>
  </si>
  <si>
    <t>D00-1008913</t>
  </si>
  <si>
    <t>D00-1008944</t>
  </si>
  <si>
    <t>D00-1009259</t>
  </si>
  <si>
    <t>D70-1003721</t>
  </si>
  <si>
    <t>D70-1003735</t>
  </si>
  <si>
    <t>D70-1003738</t>
  </si>
  <si>
    <t>D70-1003962</t>
  </si>
  <si>
    <t>F10-996336</t>
  </si>
  <si>
    <t>G00-996558</t>
  </si>
  <si>
    <t>G00-996693</t>
  </si>
  <si>
    <t>G05-963670</t>
  </si>
  <si>
    <t>G05-963694</t>
  </si>
  <si>
    <t>G05-963768</t>
  </si>
  <si>
    <t>G05-963770</t>
  </si>
  <si>
    <t>H01-993237</t>
  </si>
  <si>
    <t>L00-1013664</t>
  </si>
  <si>
    <t>L00-1013812</t>
  </si>
  <si>
    <t>L00-1013910</t>
  </si>
  <si>
    <t>L00-1013918</t>
  </si>
  <si>
    <t>L00-1013927</t>
  </si>
  <si>
    <t>L00-1013947</t>
  </si>
  <si>
    <t>L00-1013956</t>
  </si>
  <si>
    <t>L00-1014048</t>
  </si>
  <si>
    <t>L00-1014049</t>
  </si>
  <si>
    <t>L00-1014069</t>
  </si>
  <si>
    <t>L00-1014270</t>
  </si>
  <si>
    <t>L00-1014728</t>
  </si>
  <si>
    <t>L00-1014737</t>
  </si>
  <si>
    <t>L00-1014748</t>
  </si>
  <si>
    <t>L00-1014749</t>
  </si>
  <si>
    <t>L00-1015281</t>
  </si>
  <si>
    <t>L01-999117</t>
  </si>
  <si>
    <t>L01-999119</t>
  </si>
  <si>
    <t>L01-999229</t>
  </si>
  <si>
    <t>L06-993775</t>
  </si>
  <si>
    <t>L06-993784</t>
  </si>
  <si>
    <t>L06-993869</t>
  </si>
  <si>
    <t>M00-999802</t>
  </si>
  <si>
    <t>M00-999817</t>
  </si>
  <si>
    <t>M00-999818</t>
  </si>
  <si>
    <t>M00-999819</t>
  </si>
  <si>
    <t>M00-999820</t>
  </si>
  <si>
    <t>M00-999821</t>
  </si>
  <si>
    <t>M00-999825</t>
  </si>
  <si>
    <t>M11-918971</t>
  </si>
  <si>
    <t>M11-918973</t>
  </si>
  <si>
    <t>M11-919105</t>
  </si>
  <si>
    <t>M17-582288</t>
  </si>
  <si>
    <t>MS5-913812</t>
  </si>
  <si>
    <t>P00-995805</t>
  </si>
  <si>
    <t>P00-995813</t>
  </si>
  <si>
    <t>P00-995854</t>
  </si>
  <si>
    <t>P00-995857</t>
  </si>
  <si>
    <t>P00-995900</t>
  </si>
  <si>
    <t>P07-994999</t>
  </si>
  <si>
    <t>Q00-999165</t>
  </si>
  <si>
    <t>Q00-999182</t>
  </si>
  <si>
    <t>Q00-999192</t>
  </si>
  <si>
    <t>Q00-999299</t>
  </si>
  <si>
    <t>Q02-930108</t>
  </si>
  <si>
    <t>Q02-930248</t>
  </si>
  <si>
    <t>Y00-1001655</t>
  </si>
  <si>
    <t>Y00-1001803</t>
  </si>
  <si>
    <t>D00-1008403</t>
  </si>
  <si>
    <t>D00-1008471</t>
  </si>
  <si>
    <t>D00-1008477</t>
  </si>
  <si>
    <t>D00-1008483</t>
  </si>
  <si>
    <t>D00-1008498</t>
  </si>
  <si>
    <t>D00-1009373</t>
  </si>
  <si>
    <t>D00-1009375</t>
  </si>
  <si>
    <t>D00-1009384</t>
  </si>
  <si>
    <t>D00-1009463</t>
  </si>
  <si>
    <t>D00-1009977</t>
  </si>
  <si>
    <t>D70-1003694</t>
  </si>
  <si>
    <t>D70-1003695</t>
  </si>
  <si>
    <t>D70-1003712</t>
  </si>
  <si>
    <t>D70-1003713</t>
  </si>
  <si>
    <t>D70-1003727</t>
  </si>
  <si>
    <t>D70-1003747</t>
  </si>
  <si>
    <t>D70-1003762</t>
  </si>
  <si>
    <t>D70-1003837</t>
  </si>
  <si>
    <t>D70-1004104</t>
  </si>
  <si>
    <t>D70-1004105</t>
  </si>
  <si>
    <t>G00-996547</t>
  </si>
  <si>
    <t>G05-963704</t>
  </si>
  <si>
    <t>G11-993803</t>
  </si>
  <si>
    <t>G11-993810</t>
  </si>
  <si>
    <t>G11-993842</t>
  </si>
  <si>
    <t>H00-1000887</t>
  </si>
  <si>
    <t>H00-1000896</t>
  </si>
  <si>
    <t>H00-1000899</t>
  </si>
  <si>
    <t>H01-993232</t>
  </si>
  <si>
    <t>H01-993233</t>
  </si>
  <si>
    <t>L00-1013840</t>
  </si>
  <si>
    <t>L00-1013891</t>
  </si>
  <si>
    <t>L00-1014074</t>
  </si>
  <si>
    <t>L00-1014251</t>
  </si>
  <si>
    <t>L00-1014771</t>
  </si>
  <si>
    <t>L00-1015217</t>
  </si>
  <si>
    <t>L01-999106</t>
  </si>
  <si>
    <t>L01-999108</t>
  </si>
  <si>
    <t>L01-999140</t>
  </si>
  <si>
    <t>L01-999223</t>
  </si>
  <si>
    <t>L06-993795</t>
  </si>
  <si>
    <t>L12-370230</t>
  </si>
  <si>
    <t>M00-999814</t>
  </si>
  <si>
    <t>M05-1000712</t>
  </si>
  <si>
    <t>M05-1000714</t>
  </si>
  <si>
    <t>M05-1000732</t>
  </si>
  <si>
    <t>M05-1000733</t>
  </si>
  <si>
    <t>M05-1000734</t>
  </si>
  <si>
    <t>M05-1000762</t>
  </si>
  <si>
    <t>M11-918974</t>
  </si>
  <si>
    <t>M11-918979</t>
  </si>
  <si>
    <t>M14-980493</t>
  </si>
  <si>
    <t>M14-980503</t>
  </si>
  <si>
    <t>M14-980526</t>
  </si>
  <si>
    <t>M14-980606</t>
  </si>
  <si>
    <t>M20-1002086</t>
  </si>
  <si>
    <t>MC1-998559</t>
  </si>
  <si>
    <t>MC1-998561</t>
  </si>
  <si>
    <t>ML0-226213</t>
  </si>
  <si>
    <t>MS5-913801</t>
  </si>
  <si>
    <t>P00-995817</t>
  </si>
  <si>
    <t>P00-995990</t>
  </si>
  <si>
    <t>P06-997024</t>
  </si>
  <si>
    <t>Q00-999256</t>
  </si>
  <si>
    <t>Q02-930101</t>
  </si>
  <si>
    <t>Q02-930110</t>
  </si>
  <si>
    <t>Q02-930152</t>
  </si>
  <si>
    <t>Q02-930322</t>
  </si>
  <si>
    <t>T00-999101</t>
  </si>
  <si>
    <t>T00-999104</t>
  </si>
  <si>
    <t>T00-999105</t>
  </si>
  <si>
    <t>T00-999121</t>
  </si>
  <si>
    <t>T02-998211</t>
  </si>
  <si>
    <t>Y00-1001652</t>
  </si>
  <si>
    <t>Y00-1001653</t>
  </si>
  <si>
    <t>Y00-1001654</t>
  </si>
  <si>
    <t>Y00-1001682</t>
  </si>
  <si>
    <t>Y00-1001704</t>
  </si>
  <si>
    <t>Y00-1001705</t>
  </si>
  <si>
    <t>Y00-1001707</t>
  </si>
  <si>
    <t>Y02-993393</t>
  </si>
  <si>
    <t>Y11-983706</t>
  </si>
  <si>
    <t>C01-995516</t>
  </si>
  <si>
    <t>C01-995518</t>
  </si>
  <si>
    <t>C01-995554</t>
  </si>
  <si>
    <t>D00-1008335</t>
  </si>
  <si>
    <t>D00-1008393</t>
  </si>
  <si>
    <t>D00-1008411</t>
  </si>
  <si>
    <t>D00-1008424</t>
  </si>
  <si>
    <t>D00-1008432</t>
  </si>
  <si>
    <t>D00-1008438</t>
  </si>
  <si>
    <t>D00-1008439</t>
  </si>
  <si>
    <t>D00-1008461</t>
  </si>
  <si>
    <t>D00-1008465</t>
  </si>
  <si>
    <t>D00-1008521</t>
  </si>
  <si>
    <t>D00-1008803</t>
  </si>
  <si>
    <t>D00-1008871</t>
  </si>
  <si>
    <t>D00-1009328</t>
  </si>
  <si>
    <t>D00-1009339</t>
  </si>
  <si>
    <t>D70-1003704</t>
  </si>
  <si>
    <t>D70-1003714</t>
  </si>
  <si>
    <t>D70-1003720</t>
  </si>
  <si>
    <t>D70-1003722</t>
  </si>
  <si>
    <t>D70-1003726</t>
  </si>
  <si>
    <t>D70-1003731</t>
  </si>
  <si>
    <t>D70-1003739</t>
  </si>
  <si>
    <t>D70-1003807</t>
  </si>
  <si>
    <t>D70-1003816</t>
  </si>
  <si>
    <t>D70-1003950</t>
  </si>
  <si>
    <t>D70-1003958</t>
  </si>
  <si>
    <t>D70-1003978</t>
  </si>
  <si>
    <t>E00-996353</t>
  </si>
  <si>
    <t>F02-996398</t>
  </si>
  <si>
    <t>F10-996339</t>
  </si>
  <si>
    <t>G00-996689</t>
  </si>
  <si>
    <t>G00-996701</t>
  </si>
  <si>
    <t>G05-963682</t>
  </si>
  <si>
    <t>G05-963772</t>
  </si>
  <si>
    <t>H00-1000916</t>
  </si>
  <si>
    <t>L00-1013604</t>
  </si>
  <si>
    <t>L00-1013605</t>
  </si>
  <si>
    <t>L00-1013606</t>
  </si>
  <si>
    <t>L00-1013607</t>
  </si>
  <si>
    <t>L00-1013608</t>
  </si>
  <si>
    <t>L00-1013609</t>
  </si>
  <si>
    <t>L00-1013611</t>
  </si>
  <si>
    <t>L00-1013612</t>
  </si>
  <si>
    <t>L00-1013662</t>
  </si>
  <si>
    <t>L00-1013714</t>
  </si>
  <si>
    <t>L00-1013732</t>
  </si>
  <si>
    <t>L00-1013736</t>
  </si>
  <si>
    <t>L00-1013846</t>
  </si>
  <si>
    <t>L00-1013893</t>
  </si>
  <si>
    <t>L00-1013916</t>
  </si>
  <si>
    <t>L00-1013920</t>
  </si>
  <si>
    <t>L00-1013994</t>
  </si>
  <si>
    <t>L00-1013995</t>
  </si>
  <si>
    <t>L00-1014008</t>
  </si>
  <si>
    <t>L00-1014032</t>
  </si>
  <si>
    <t>L00-1014772</t>
  </si>
  <si>
    <t>L00-1014777</t>
  </si>
  <si>
    <t>L00-1014798</t>
  </si>
  <si>
    <t>L06-993785</t>
  </si>
  <si>
    <t>L06-994043</t>
  </si>
  <si>
    <t>L06-994045</t>
  </si>
  <si>
    <t>L07-978079</t>
  </si>
  <si>
    <t>L07-978132</t>
  </si>
  <si>
    <t>L07-978133</t>
  </si>
  <si>
    <t>M00-999799</t>
  </si>
  <si>
    <t>M00-999815</t>
  </si>
  <si>
    <t>M14-980494</t>
  </si>
  <si>
    <t>M20-1002068</t>
  </si>
  <si>
    <t>MS1-999109</t>
  </si>
  <si>
    <t>MS1-999116</t>
  </si>
  <si>
    <t>P00-995818</t>
  </si>
  <si>
    <t>P00-995819</t>
  </si>
  <si>
    <t>P00-995830</t>
  </si>
  <si>
    <t>P00-995862</t>
  </si>
  <si>
    <t>P00-995882</t>
  </si>
  <si>
    <t>P00-995889</t>
  </si>
  <si>
    <t>P00-995942</t>
  </si>
  <si>
    <t>P01-998076</t>
  </si>
  <si>
    <t>Q00-999176</t>
  </si>
  <si>
    <t>Q02-930100</t>
  </si>
  <si>
    <t>Q02-930141</t>
  </si>
  <si>
    <t>T00-999118</t>
  </si>
  <si>
    <t>Y00-1001706</t>
  </si>
  <si>
    <t>Y00-1001708</t>
  </si>
  <si>
    <t>D00-1008340</t>
  </si>
  <si>
    <t>D00-1008344</t>
  </si>
  <si>
    <t>D00-1008345</t>
  </si>
  <si>
    <t>D00-1008401</t>
  </si>
  <si>
    <t>D00-1008433</t>
  </si>
  <si>
    <t>D00-1008442</t>
  </si>
  <si>
    <t>D00-1008450</t>
  </si>
  <si>
    <t>D00-1008462</t>
  </si>
  <si>
    <t>D00-1008464</t>
  </si>
  <si>
    <t>D00-1008466</t>
  </si>
  <si>
    <t>D00-1008470</t>
  </si>
  <si>
    <t>D00-1008473</t>
  </si>
  <si>
    <t>D00-1008493</t>
  </si>
  <si>
    <t>D00-1008662</t>
  </si>
  <si>
    <t>D00-1008872</t>
  </si>
  <si>
    <t>D00-1008894</t>
  </si>
  <si>
    <t>D00-1009332</t>
  </si>
  <si>
    <t>D00-1009671</t>
  </si>
  <si>
    <t>D70-1003693</t>
  </si>
  <si>
    <t>D70-1003737</t>
  </si>
  <si>
    <t>D70-1003756</t>
  </si>
  <si>
    <t>D70-1003779</t>
  </si>
  <si>
    <t>D70-1003795</t>
  </si>
  <si>
    <t>D70-1003970</t>
  </si>
  <si>
    <t>D70-1003977</t>
  </si>
  <si>
    <t>E00-996368</t>
  </si>
  <si>
    <t>F04-975649</t>
  </si>
  <si>
    <t>F04-975650</t>
  </si>
  <si>
    <t>F04-975657</t>
  </si>
  <si>
    <t>F04-975658</t>
  </si>
  <si>
    <t>F04-975718</t>
  </si>
  <si>
    <t>F04-975726</t>
  </si>
  <si>
    <t>F04-975729</t>
  </si>
  <si>
    <t>F04-975730</t>
  </si>
  <si>
    <t>F04-975759</t>
  </si>
  <si>
    <t>F04-975772</t>
  </si>
  <si>
    <t>F10-996335</t>
  </si>
  <si>
    <t>G05-963666</t>
  </si>
  <si>
    <t>G05-963667</t>
  </si>
  <si>
    <t>G05-963673</t>
  </si>
  <si>
    <t>G05-963676</t>
  </si>
  <si>
    <t>G05-963695</t>
  </si>
  <si>
    <t>G11-993797</t>
  </si>
  <si>
    <t>G11-993811</t>
  </si>
  <si>
    <t>H00-1000902</t>
  </si>
  <si>
    <t>H01-993257</t>
  </si>
  <si>
    <t>L00-1013602</t>
  </si>
  <si>
    <t>L00-1013603</t>
  </si>
  <si>
    <t>L00-1013614</t>
  </si>
  <si>
    <t>L00-1013659</t>
  </si>
  <si>
    <t>L00-1013669</t>
  </si>
  <si>
    <t>L00-1013834</t>
  </si>
  <si>
    <t>L00-1013963</t>
  </si>
  <si>
    <t>L00-1014001</t>
  </si>
  <si>
    <t>L00-1014002</t>
  </si>
  <si>
    <t>L00-1014003</t>
  </si>
  <si>
    <t>L00-1014065</t>
  </si>
  <si>
    <t>L00-1014075</t>
  </si>
  <si>
    <t>L00-1014698</t>
  </si>
  <si>
    <t>L01-999134</t>
  </si>
  <si>
    <t>L01-999221</t>
  </si>
  <si>
    <t>L06-993769</t>
  </si>
  <si>
    <t>L06-993770</t>
  </si>
  <si>
    <t>L06-993827</t>
  </si>
  <si>
    <t>L06-993868</t>
  </si>
  <si>
    <t>L06-993870</t>
  </si>
  <si>
    <t>L06-993936</t>
  </si>
  <si>
    <t>L06-993962</t>
  </si>
  <si>
    <t>M00-999864</t>
  </si>
  <si>
    <t>M00-999865</t>
  </si>
  <si>
    <t>M05-1000709</t>
  </si>
  <si>
    <t>M05-1000717</t>
  </si>
  <si>
    <t>M05-1000722</t>
  </si>
  <si>
    <t>M05-1000759</t>
  </si>
  <si>
    <t>M14-980496</t>
  </si>
  <si>
    <t>M20-1002284</t>
  </si>
  <si>
    <t>MC1-998511</t>
  </si>
  <si>
    <t>MCA-10</t>
  </si>
  <si>
    <t>MH0-582229</t>
  </si>
  <si>
    <t>MS1-999098</t>
  </si>
  <si>
    <t>MS5-913821</t>
  </si>
  <si>
    <t>MSJ-232182</t>
  </si>
  <si>
    <t>P00-995814</t>
  </si>
  <si>
    <t>P00-995824</t>
  </si>
  <si>
    <t>P00-995838</t>
  </si>
  <si>
    <t>P07-995007</t>
  </si>
  <si>
    <t>Q00-999187</t>
  </si>
  <si>
    <t>Q00-999297</t>
  </si>
  <si>
    <t>Q02-930135</t>
  </si>
  <si>
    <t>T00-999198</t>
  </si>
  <si>
    <t>Y00-1001636</t>
  </si>
  <si>
    <t>Y00-1001641</t>
  </si>
  <si>
    <t>Y00-1001656</t>
  </si>
  <si>
    <t>Y00-1001668</t>
  </si>
  <si>
    <t>Y00-1001669</t>
  </si>
  <si>
    <t>Y01-811072</t>
  </si>
  <si>
    <t>Y11-983693</t>
  </si>
  <si>
    <t>Y11-983694</t>
  </si>
  <si>
    <t>C00-999160</t>
  </si>
  <si>
    <t>C00-999171</t>
  </si>
  <si>
    <t>C00-999191</t>
  </si>
  <si>
    <t>C00-999237</t>
  </si>
  <si>
    <t>C01-995584</t>
  </si>
  <si>
    <t>C01-995585</t>
  </si>
  <si>
    <t>C01-995586</t>
  </si>
  <si>
    <t>C01-995597</t>
  </si>
  <si>
    <t>C01-995660</t>
  </si>
  <si>
    <t>C01-995663</t>
  </si>
  <si>
    <t>D00-1008636</t>
  </si>
  <si>
    <t>D00-1008637</t>
  </si>
  <si>
    <t>D00-1008638</t>
  </si>
  <si>
    <t>D00-1008639</t>
  </si>
  <si>
    <t>D00-1008640</t>
  </si>
  <si>
    <t>D00-1008641</t>
  </si>
  <si>
    <t>D00-1008643</t>
  </si>
  <si>
    <t>D00-1008644</t>
  </si>
  <si>
    <t>D00-1008692</t>
  </si>
  <si>
    <t>D00-1008702</t>
  </si>
  <si>
    <t>D00-1008705</t>
  </si>
  <si>
    <t>D00-1008728</t>
  </si>
  <si>
    <t>D00-1008733</t>
  </si>
  <si>
    <t>D00-1008738</t>
  </si>
  <si>
    <t>D00-1008740</t>
  </si>
  <si>
    <t>D00-1008746</t>
  </si>
  <si>
    <t>D00-1008747</t>
  </si>
  <si>
    <t>D00-1008761</t>
  </si>
  <si>
    <t>D00-1008765</t>
  </si>
  <si>
    <t>D00-1008767</t>
  </si>
  <si>
    <t>D00-1008775</t>
  </si>
  <si>
    <t>D00-1008781</t>
  </si>
  <si>
    <t>D00-1008782</t>
  </si>
  <si>
    <t>D00-1008826</t>
  </si>
  <si>
    <t>D00-1008827</t>
  </si>
  <si>
    <t>D00-1008843</t>
  </si>
  <si>
    <t>D00-1008853</t>
  </si>
  <si>
    <t>D00-1008854</t>
  </si>
  <si>
    <t>D00-1008855</t>
  </si>
  <si>
    <t>D00-1008856</t>
  </si>
  <si>
    <t>D00-1008877</t>
  </si>
  <si>
    <t>D00-1008879</t>
  </si>
  <si>
    <t>D00-1008923</t>
  </si>
  <si>
    <t>D00-1009117</t>
  </si>
  <si>
    <t>D00-1009121</t>
  </si>
  <si>
    <t>D00-1009140</t>
  </si>
  <si>
    <t>D00-1009269</t>
  </si>
  <si>
    <t>D00-1009315</t>
  </si>
  <si>
    <t>D00-1009330</t>
  </si>
  <si>
    <t>D00-1009331</t>
  </si>
  <si>
    <t>D00-1009364</t>
  </si>
  <si>
    <t>D00-1009365</t>
  </si>
  <si>
    <t>D00-1009391</t>
  </si>
  <si>
    <t>D00-1009392</t>
  </si>
  <si>
    <t>D00-1009454</t>
  </si>
  <si>
    <t>D00-1009455</t>
  </si>
  <si>
    <t>D00-1009456</t>
  </si>
  <si>
    <t>D00-1009503</t>
  </si>
  <si>
    <t>D70-1003853</t>
  </si>
  <si>
    <t>D70-1003874</t>
  </si>
  <si>
    <t>D70-1003889</t>
  </si>
  <si>
    <t>D70-1003894</t>
  </si>
  <si>
    <t>D70-1003895</t>
  </si>
  <si>
    <t>D70-1003937</t>
  </si>
  <si>
    <t>D70-1004243</t>
  </si>
  <si>
    <t>F02-996432</t>
  </si>
  <si>
    <t>F02-996437</t>
  </si>
  <si>
    <t>F02-996443</t>
  </si>
  <si>
    <t>F04-975674</t>
  </si>
  <si>
    <t>F04-975675</t>
  </si>
  <si>
    <t>F04-975676</t>
  </si>
  <si>
    <t>F04-975696</t>
  </si>
  <si>
    <t>F04-975700</t>
  </si>
  <si>
    <t>F04-975704</t>
  </si>
  <si>
    <t>F04-975763</t>
  </si>
  <si>
    <t>F04-975812</t>
  </si>
  <si>
    <t>F14-102141</t>
  </si>
  <si>
    <t>G05-963720</t>
  </si>
  <si>
    <t>G05-963721</t>
  </si>
  <si>
    <t>G05-963751</t>
  </si>
  <si>
    <t>G05-963752</t>
  </si>
  <si>
    <t>G05-963755</t>
  </si>
  <si>
    <t>G11-993834</t>
  </si>
  <si>
    <t>G11-993837</t>
  </si>
  <si>
    <t>G22-156221</t>
  </si>
  <si>
    <t>H00-1000945</t>
  </si>
  <si>
    <t>H00-1000946</t>
  </si>
  <si>
    <t>H00-1001020</t>
  </si>
  <si>
    <t>H01-993265</t>
  </si>
  <si>
    <t>H01-993268</t>
  </si>
  <si>
    <t>H02-345193</t>
  </si>
  <si>
    <t>L00-1014298</t>
  </si>
  <si>
    <t>L00-1014300</t>
  </si>
  <si>
    <t>L00-1014301</t>
  </si>
  <si>
    <t>L00-1014302</t>
  </si>
  <si>
    <t>L00-1014347</t>
  </si>
  <si>
    <t>L00-1014354</t>
  </si>
  <si>
    <t>L00-1014355</t>
  </si>
  <si>
    <t>L00-1014356</t>
  </si>
  <si>
    <t>L00-1014359</t>
  </si>
  <si>
    <t>L00-1014386</t>
  </si>
  <si>
    <t>L00-1014389</t>
  </si>
  <si>
    <t>L00-1014390</t>
  </si>
  <si>
    <t>L00-1014401</t>
  </si>
  <si>
    <t>L00-1014411</t>
  </si>
  <si>
    <t>L00-1014414</t>
  </si>
  <si>
    <t>L00-1014415</t>
  </si>
  <si>
    <t>L00-1014416</t>
  </si>
  <si>
    <t>L00-1014421</t>
  </si>
  <si>
    <t>L00-1014429</t>
  </si>
  <si>
    <t>L00-1014432</t>
  </si>
  <si>
    <t>L00-1014434</t>
  </si>
  <si>
    <t>L00-1014435</t>
  </si>
  <si>
    <t>L00-1014444</t>
  </si>
  <si>
    <t>L00-1014446</t>
  </si>
  <si>
    <t>L00-1014459</t>
  </si>
  <si>
    <t>L00-1014462</t>
  </si>
  <si>
    <t>L00-1014469</t>
  </si>
  <si>
    <t>L00-1014509</t>
  </si>
  <si>
    <t>L00-1014520</t>
  </si>
  <si>
    <t>L00-1014533</t>
  </si>
  <si>
    <t>L00-1014534</t>
  </si>
  <si>
    <t>L00-1014555</t>
  </si>
  <si>
    <t>L00-1014556</t>
  </si>
  <si>
    <t>L00-1014563</t>
  </si>
  <si>
    <t>L00-1014573</t>
  </si>
  <si>
    <t>L00-1014585</t>
  </si>
  <si>
    <t>L00-1014586</t>
  </si>
  <si>
    <t>L00-1014616</t>
  </si>
  <si>
    <t>L00-1014641</t>
  </si>
  <si>
    <t>L00-1014656</t>
  </si>
  <si>
    <t>L00-1014662</t>
  </si>
  <si>
    <t>L00-1014665</t>
  </si>
  <si>
    <t>L00-1014718</t>
  </si>
  <si>
    <t>L00-1014729</t>
  </si>
  <si>
    <t>L00-1014730</t>
  </si>
  <si>
    <t>L00-1014793</t>
  </si>
  <si>
    <t>L00-1015226</t>
  </si>
  <si>
    <t>L00-1015227</t>
  </si>
  <si>
    <t>L00-1015306</t>
  </si>
  <si>
    <t>L01-999171</t>
  </si>
  <si>
    <t>L06-993886</t>
  </si>
  <si>
    <t>L06-993903</t>
  </si>
  <si>
    <t>L06-993918</t>
  </si>
  <si>
    <t>L06-993919</t>
  </si>
  <si>
    <t>L06-994048</t>
  </si>
  <si>
    <t>L06-994055</t>
  </si>
  <si>
    <t>L06-994063</t>
  </si>
  <si>
    <t>L07-978120</t>
  </si>
  <si>
    <t>M00-999834</t>
  </si>
  <si>
    <t>M00-999838</t>
  </si>
  <si>
    <t>M00-999843</t>
  </si>
  <si>
    <t>M00-999845</t>
  </si>
  <si>
    <t>M00-999846</t>
  </si>
  <si>
    <t>M00-999847</t>
  </si>
  <si>
    <t>M00-999851</t>
  </si>
  <si>
    <t>M00-999866</t>
  </si>
  <si>
    <t>M14-980552</t>
  </si>
  <si>
    <t>M14-980554</t>
  </si>
  <si>
    <t>M14-980563</t>
  </si>
  <si>
    <t>M14-980580</t>
  </si>
  <si>
    <t>M14-980585</t>
  </si>
  <si>
    <t>M14-980594</t>
  </si>
  <si>
    <t>M14-980616</t>
  </si>
  <si>
    <t>M14-980620</t>
  </si>
  <si>
    <t>M14-980628</t>
  </si>
  <si>
    <t>M20-1002158</t>
  </si>
  <si>
    <t>M20-1002160</t>
  </si>
  <si>
    <t>M20-1002165</t>
  </si>
  <si>
    <t>M20-1002167</t>
  </si>
  <si>
    <t>M20-1002184</t>
  </si>
  <si>
    <t>M20-1002203</t>
  </si>
  <si>
    <t>M20-1002272</t>
  </si>
  <si>
    <t>M20-1002273</t>
  </si>
  <si>
    <t>MC1-998530</t>
  </si>
  <si>
    <t>MC1-998532</t>
  </si>
  <si>
    <t>MC1-998533</t>
  </si>
  <si>
    <t>MC1-998534</t>
  </si>
  <si>
    <t>MC1-998535</t>
  </si>
  <si>
    <t>MC1-998543</t>
  </si>
  <si>
    <t>MC1-998549</t>
  </si>
  <si>
    <t>MC1-998550</t>
  </si>
  <si>
    <t>MCA-11</t>
  </si>
  <si>
    <t>MCA-13</t>
  </si>
  <si>
    <t>MH0-582232</t>
  </si>
  <si>
    <t>P00-995905</t>
  </si>
  <si>
    <t>P00-995911</t>
  </si>
  <si>
    <t>P00-995917</t>
  </si>
  <si>
    <t>P00-995923</t>
  </si>
  <si>
    <t>P00-995924</t>
  </si>
  <si>
    <t>P00-995933</t>
  </si>
  <si>
    <t>P00-995937</t>
  </si>
  <si>
    <t>P00-995939</t>
  </si>
  <si>
    <t>P00-995960</t>
  </si>
  <si>
    <t>P00-996002</t>
  </si>
  <si>
    <t>P01-998069</t>
  </si>
  <si>
    <t>Q00-999218</t>
  </si>
  <si>
    <t>Q00-999229</t>
  </si>
  <si>
    <t>Q00-999237</t>
  </si>
  <si>
    <t>Q02-930178</t>
  </si>
  <si>
    <t>Q02-930193</t>
  </si>
  <si>
    <t>Q02-930194</t>
  </si>
  <si>
    <t>Q02-930195</t>
  </si>
  <si>
    <t>Q02-930254</t>
  </si>
  <si>
    <t>S00-993918</t>
  </si>
  <si>
    <t>T00-999133</t>
  </si>
  <si>
    <t>T00-999139</t>
  </si>
  <si>
    <t>T00-999141</t>
  </si>
  <si>
    <t>T00-999142</t>
  </si>
  <si>
    <t>T00-999143</t>
  </si>
  <si>
    <t>T00-999160</t>
  </si>
  <si>
    <t>T00-999162</t>
  </si>
  <si>
    <t>T00-999203</t>
  </si>
  <si>
    <t>T00-999204</t>
  </si>
  <si>
    <t>T02-998238</t>
  </si>
  <si>
    <t>Y00-1001711</t>
  </si>
  <si>
    <t>Y00-1001712</t>
  </si>
  <si>
    <t>Y00-1001715</t>
  </si>
  <si>
    <t>Y00-1001729</t>
  </si>
  <si>
    <t>Y00-1001737</t>
  </si>
  <si>
    <t>Y00-1001756</t>
  </si>
  <si>
    <t>Y00-1001769</t>
  </si>
  <si>
    <t>Y00-1001897</t>
  </si>
  <si>
    <t>Y01-811082</t>
  </si>
  <si>
    <t>Y17-862296</t>
  </si>
  <si>
    <t>C01-995592</t>
  </si>
  <si>
    <t>C01-995601</t>
  </si>
  <si>
    <t>C01-995664</t>
  </si>
  <si>
    <t>D00-1008647</t>
  </si>
  <si>
    <t>D00-1008663</t>
  </si>
  <si>
    <t>D00-1008712</t>
  </si>
  <si>
    <t>D00-1008725</t>
  </si>
  <si>
    <t>D00-1008729</t>
  </si>
  <si>
    <t>D00-1008834</t>
  </si>
  <si>
    <t>D00-1008884</t>
  </si>
  <si>
    <t>D00-1009424</t>
  </si>
  <si>
    <t>D00-1009443</t>
  </si>
  <si>
    <t>D00-1009482</t>
  </si>
  <si>
    <t>F02-996438</t>
  </si>
  <si>
    <t>F02-996446</t>
  </si>
  <si>
    <t>G05-963734</t>
  </si>
  <si>
    <t>G05-963735</t>
  </si>
  <si>
    <t>G05-963753</t>
  </si>
  <si>
    <t>H00-1000918</t>
  </si>
  <si>
    <t>H00-1000936</t>
  </si>
  <si>
    <t>H00-1000940</t>
  </si>
  <si>
    <t>H01-993269</t>
  </si>
  <si>
    <t>H01-993309</t>
  </si>
  <si>
    <t>L00-1014317</t>
  </si>
  <si>
    <t>L00-1014336</t>
  </si>
  <si>
    <t>L00-1014342</t>
  </si>
  <si>
    <t>L00-1014357</t>
  </si>
  <si>
    <t>L00-1014367</t>
  </si>
  <si>
    <t>L00-1014368</t>
  </si>
  <si>
    <t>L00-1014388</t>
  </si>
  <si>
    <t>L00-1014396</t>
  </si>
  <si>
    <t>L00-1014410</t>
  </si>
  <si>
    <t>L00-1014460</t>
  </si>
  <si>
    <t>L00-1014461</t>
  </si>
  <si>
    <t>L00-1014463</t>
  </si>
  <si>
    <t>L00-1014467</t>
  </si>
  <si>
    <t>L00-1014519</t>
  </si>
  <si>
    <t>L00-1014603</t>
  </si>
  <si>
    <t>L00-1014622</t>
  </si>
  <si>
    <t>L00-1014644</t>
  </si>
  <si>
    <t>L06-994047</t>
  </si>
  <si>
    <t>L07-978109</t>
  </si>
  <si>
    <t>M00-999830</t>
  </si>
  <si>
    <t>M00-999848</t>
  </si>
  <si>
    <t>M14-980588</t>
  </si>
  <si>
    <t>M20-1002163</t>
  </si>
  <si>
    <t>M20-1002170</t>
  </si>
  <si>
    <t>M20-1002182</t>
  </si>
  <si>
    <t>M20-1002198</t>
  </si>
  <si>
    <t>MS5-913841</t>
  </si>
  <si>
    <t>P00-995941</t>
  </si>
  <si>
    <t>Q00-999215</t>
  </si>
  <si>
    <t>Q00-999216</t>
  </si>
  <si>
    <t>Q02-930190</t>
  </si>
  <si>
    <t>S00-993914</t>
  </si>
  <si>
    <t>T03-999820</t>
  </si>
  <si>
    <t>Y00-1001719</t>
  </si>
  <si>
    <t>Y00-1001744</t>
  </si>
  <si>
    <t>Y00-1001748</t>
  </si>
  <si>
    <t>Y00-1001764</t>
  </si>
  <si>
    <t>Y00-1001787</t>
  </si>
  <si>
    <t>Y11-983708</t>
  </si>
  <si>
    <t>C00-999177</t>
  </si>
  <si>
    <t>C01-995598</t>
  </si>
  <si>
    <t>D00-1008630</t>
  </si>
  <si>
    <t>D00-1008648</t>
  </si>
  <si>
    <t>D00-1008649</t>
  </si>
  <si>
    <t>D00-1008650</t>
  </si>
  <si>
    <t>D00-1008730</t>
  </si>
  <si>
    <t>D00-1008763</t>
  </si>
  <si>
    <t>D70-1003857</t>
  </si>
  <si>
    <t>D70-1003976</t>
  </si>
  <si>
    <t>F04-975698</t>
  </si>
  <si>
    <t>G00-996590</t>
  </si>
  <si>
    <t>G00-996595</t>
  </si>
  <si>
    <t>G00-996688</t>
  </si>
  <si>
    <t>G00-996696</t>
  </si>
  <si>
    <t>G00-996733</t>
  </si>
  <si>
    <t>H01-993270</t>
  </si>
  <si>
    <t>H01-993271</t>
  </si>
  <si>
    <t>L00-1014333</t>
  </si>
  <si>
    <t>L00-1014360</t>
  </si>
  <si>
    <t>L00-1014385</t>
  </si>
  <si>
    <t>L00-1014387</t>
  </si>
  <si>
    <t>L00-1014392</t>
  </si>
  <si>
    <t>L00-1014413</t>
  </si>
  <si>
    <t>L00-1014420</t>
  </si>
  <si>
    <t>L00-1014448</t>
  </si>
  <si>
    <t>L00-1014490</t>
  </si>
  <si>
    <t>L00-1014580</t>
  </si>
  <si>
    <t>L00-1014604</t>
  </si>
  <si>
    <t>L00-1014631</t>
  </si>
  <si>
    <t>L00-1014722</t>
  </si>
  <si>
    <t>L06-993877</t>
  </si>
  <si>
    <t>L07-978117</t>
  </si>
  <si>
    <t>L07-978165</t>
  </si>
  <si>
    <t>M20-1002166</t>
  </si>
  <si>
    <t>MC1-998537</t>
  </si>
  <si>
    <t>MS1-999107</t>
  </si>
  <si>
    <t>Q00-999233</t>
  </si>
  <si>
    <t>Q02-930196</t>
  </si>
  <si>
    <t>Q02-930210</t>
  </si>
  <si>
    <t>T00-999152</t>
  </si>
  <si>
    <t>T00-999157</t>
  </si>
  <si>
    <t>Y00-1001731</t>
  </si>
  <si>
    <t>Y00-1001746</t>
  </si>
  <si>
    <t>Y00-1001751</t>
  </si>
  <si>
    <t>Y00-1001761</t>
  </si>
  <si>
    <t>Y00-1001782</t>
  </si>
  <si>
    <t>Y00-1001806</t>
  </si>
  <si>
    <t>Y00-1001807</t>
  </si>
  <si>
    <t>Y00-1001906</t>
  </si>
  <si>
    <t>Y01-811088</t>
  </si>
  <si>
    <t>Y11-983713</t>
  </si>
  <si>
    <t>D00-1008645</t>
  </si>
  <si>
    <t>D00-1008675</t>
  </si>
  <si>
    <t>D00-1008723</t>
  </si>
  <si>
    <t>D00-1008755</t>
  </si>
  <si>
    <t>D00-1008756</t>
  </si>
  <si>
    <t>D00-1008773</t>
  </si>
  <si>
    <t>D00-1017222</t>
  </si>
  <si>
    <t>D70-1003856</t>
  </si>
  <si>
    <t>D70-1003868</t>
  </si>
  <si>
    <t>D70-1003922</t>
  </si>
  <si>
    <t>D70-1003927</t>
  </si>
  <si>
    <t>D70-1003932</t>
  </si>
  <si>
    <t>D70-1003935</t>
  </si>
  <si>
    <t>D70-1003956</t>
  </si>
  <si>
    <t>F02-996427</t>
  </si>
  <si>
    <t>F02-996440</t>
  </si>
  <si>
    <t>F02-996448</t>
  </si>
  <si>
    <t>F02-996471</t>
  </si>
  <si>
    <t>F04-975691</t>
  </si>
  <si>
    <t>H00-1000955</t>
  </si>
  <si>
    <t>H01-993273</t>
  </si>
  <si>
    <t>L00-1014311</t>
  </si>
  <si>
    <t>L00-1014313</t>
  </si>
  <si>
    <t>L00-1014431</t>
  </si>
  <si>
    <t>L00-1014441</t>
  </si>
  <si>
    <t>L00-1014456</t>
  </si>
  <si>
    <t>L00-1014457</t>
  </si>
  <si>
    <t>L00-1014505</t>
  </si>
  <si>
    <t>L00-1014507</t>
  </si>
  <si>
    <t>L00-1014514</t>
  </si>
  <si>
    <t>L00-1014515</t>
  </si>
  <si>
    <t>L00-1014521</t>
  </si>
  <si>
    <t>L00-1014522</t>
  </si>
  <si>
    <t>L00-1014562</t>
  </si>
  <si>
    <t>L00-1014577</t>
  </si>
  <si>
    <t>L00-1014601</t>
  </si>
  <si>
    <t>L00-1014654</t>
  </si>
  <si>
    <t>L00-1014657</t>
  </si>
  <si>
    <t>L00-1014723</t>
  </si>
  <si>
    <t>L00-1014724</t>
  </si>
  <si>
    <t>L00-1014725</t>
  </si>
  <si>
    <t>L00-1014726</t>
  </si>
  <si>
    <t>L00-1014792</t>
  </si>
  <si>
    <t>L00-1015268</t>
  </si>
  <si>
    <t>L00-1015269</t>
  </si>
  <si>
    <t>L00-1015301</t>
  </si>
  <si>
    <t>L00-1015318</t>
  </si>
  <si>
    <t>L01-999169</t>
  </si>
  <si>
    <t>L01-999177</t>
  </si>
  <si>
    <t>L06-993883</t>
  </si>
  <si>
    <t>M00-999832</t>
  </si>
  <si>
    <t>M00-999849</t>
  </si>
  <si>
    <t>M00-999868</t>
  </si>
  <si>
    <t>M05-1000752</t>
  </si>
  <si>
    <t>M05-1000753</t>
  </si>
  <si>
    <t>MC1-998546</t>
  </si>
  <si>
    <t>MS1-999111</t>
  </si>
  <si>
    <t>P00-995912</t>
  </si>
  <si>
    <t>P00-995913</t>
  </si>
  <si>
    <t>P00-995996</t>
  </si>
  <si>
    <t>Q02-930175</t>
  </si>
  <si>
    <t>Q02-930252</t>
  </si>
  <si>
    <t>Q02-930255</t>
  </si>
  <si>
    <t>Q02-930256</t>
  </si>
  <si>
    <t>Q02-930324</t>
  </si>
  <si>
    <t>Q02-930325</t>
  </si>
  <si>
    <t>Y00-1001730</t>
  </si>
  <si>
    <t>Y11-983739</t>
  </si>
  <si>
    <t>C00-999164</t>
  </si>
  <si>
    <t>C01-995600</t>
  </si>
  <si>
    <t>C01-995608</t>
  </si>
  <si>
    <t>C01-995666</t>
  </si>
  <si>
    <t>C01-995674</t>
  </si>
  <si>
    <t>D00-1008749</t>
  </si>
  <si>
    <t>D70-1003887</t>
  </si>
  <si>
    <t>D70-1003907</t>
  </si>
  <si>
    <t>D70-1003924</t>
  </si>
  <si>
    <t>F02-996433</t>
  </si>
  <si>
    <t>F02-996434</t>
  </si>
  <si>
    <t>F02-996452</t>
  </si>
  <si>
    <t>F02-996496</t>
  </si>
  <si>
    <t>G00-996704</t>
  </si>
  <si>
    <t>G05-963726</t>
  </si>
  <si>
    <t>G11-993838</t>
  </si>
  <si>
    <t>H00-1000947</t>
  </si>
  <si>
    <t>L00-1014363</t>
  </si>
  <si>
    <t>L00-1014449</t>
  </si>
  <si>
    <t>L00-1014484</t>
  </si>
  <si>
    <t>L00-1014488</t>
  </si>
  <si>
    <t>L00-1014566</t>
  </si>
  <si>
    <t>L00-1014626</t>
  </si>
  <si>
    <t>L00-1014705</t>
  </si>
  <si>
    <t>L00-1014715</t>
  </si>
  <si>
    <t>L00-1015302</t>
  </si>
  <si>
    <t>L00-1015825</t>
  </si>
  <si>
    <t>L01-999194</t>
  </si>
  <si>
    <t>L06-993921</t>
  </si>
  <si>
    <t>L06-993933</t>
  </si>
  <si>
    <t>L06-993963</t>
  </si>
  <si>
    <t>L06-993964</t>
  </si>
  <si>
    <t>L07-978105</t>
  </si>
  <si>
    <t>M20-1002168</t>
  </si>
  <si>
    <t>M20-1002174</t>
  </si>
  <si>
    <t>M20-1002180</t>
  </si>
  <si>
    <t>M20-1002266</t>
  </si>
  <si>
    <t>MS1-999120</t>
  </si>
  <si>
    <t>P00-995936</t>
  </si>
  <si>
    <t>Q02-930169</t>
  </si>
  <si>
    <t>Q02-930211</t>
  </si>
  <si>
    <t>T00-999202</t>
  </si>
  <si>
    <t>Y02-993402</t>
  </si>
  <si>
    <t>C00-999167</t>
  </si>
  <si>
    <t>C00-999181</t>
  </si>
  <si>
    <t>C01-995578</t>
  </si>
  <si>
    <t>C01-995579</t>
  </si>
  <si>
    <t>C01-995588</t>
  </si>
  <si>
    <t>C01-995602</t>
  </si>
  <si>
    <t>C01-995606</t>
  </si>
  <si>
    <t>C01-995620</t>
  </si>
  <si>
    <t>C16-806643</t>
  </si>
  <si>
    <t>D00-1008621</t>
  </si>
  <si>
    <t>D00-1008685</t>
  </si>
  <si>
    <t>D00-1008812</t>
  </si>
  <si>
    <t>D00-1009260</t>
  </si>
  <si>
    <t>D00-1009337</t>
  </si>
  <si>
    <t>D00-1009490</t>
  </si>
  <si>
    <t>D70-1003859</t>
  </si>
  <si>
    <t>D70-1003871</t>
  </si>
  <si>
    <t>D70-1003877</t>
  </si>
  <si>
    <t>D70-1003886</t>
  </si>
  <si>
    <t>D70-1003892</t>
  </si>
  <si>
    <t>D70-1003923</t>
  </si>
  <si>
    <t>D70-1003955</t>
  </si>
  <si>
    <t>D70-1003967</t>
  </si>
  <si>
    <t>D70-1004121</t>
  </si>
  <si>
    <t>F02-996472</t>
  </si>
  <si>
    <t>F04-975685</t>
  </si>
  <si>
    <t>F04-975686</t>
  </si>
  <si>
    <t>G00-996583</t>
  </si>
  <si>
    <t>G00-996592</t>
  </si>
  <si>
    <t>G05-963723</t>
  </si>
  <si>
    <t>G05-963731</t>
  </si>
  <si>
    <t>H00-1000917</t>
  </si>
  <si>
    <t>H00-1000951</t>
  </si>
  <si>
    <t>L00-1014303</t>
  </si>
  <si>
    <t>L00-1014308</t>
  </si>
  <si>
    <t>L00-1014362</t>
  </si>
  <si>
    <t>L00-1014364</t>
  </si>
  <si>
    <t>L00-1014366</t>
  </si>
  <si>
    <t>L00-1014405</t>
  </si>
  <si>
    <t>L00-1014412</t>
  </si>
  <si>
    <t>L00-1014442</t>
  </si>
  <si>
    <t>L00-1014529</t>
  </si>
  <si>
    <t>L00-1014576</t>
  </si>
  <si>
    <t>L00-1014578</t>
  </si>
  <si>
    <t>L00-1014590</t>
  </si>
  <si>
    <t>L00-1014619</t>
  </si>
  <si>
    <t>L00-1014624</t>
  </si>
  <si>
    <t>L00-1014627</t>
  </si>
  <si>
    <t>L00-1014628</t>
  </si>
  <si>
    <t>L00-1014633</t>
  </si>
  <si>
    <t>L00-1014642</t>
  </si>
  <si>
    <t>L06-993899</t>
  </si>
  <si>
    <t>L06-993906</t>
  </si>
  <si>
    <t>L06-993915</t>
  </si>
  <si>
    <t>L06-994066</t>
  </si>
  <si>
    <t>L07-978166</t>
  </si>
  <si>
    <t>L07-978169</t>
  </si>
  <si>
    <t>M05-1000740</t>
  </si>
  <si>
    <t>M05-1000742</t>
  </si>
  <si>
    <t>M14-980590</t>
  </si>
  <si>
    <t>M14-980592</t>
  </si>
  <si>
    <t>M14-980595</t>
  </si>
  <si>
    <t>M14-980598</t>
  </si>
  <si>
    <t>M14-980656</t>
  </si>
  <si>
    <t>M14-980663</t>
  </si>
  <si>
    <t>M14-980664</t>
  </si>
  <si>
    <t>M20-1002175</t>
  </si>
  <si>
    <t>M20-1002190</t>
  </si>
  <si>
    <t>MC1-998585</t>
  </si>
  <si>
    <t>P00-995903</t>
  </si>
  <si>
    <t>P01-998074</t>
  </si>
  <si>
    <t>Q00-999220</t>
  </si>
  <si>
    <t>Q02-930209</t>
  </si>
  <si>
    <t>Q02-930213</t>
  </si>
  <si>
    <t>T00-999130</t>
  </si>
  <si>
    <t>T00-999134</t>
  </si>
  <si>
    <t>T00-999136</t>
  </si>
  <si>
    <t>T00-999137</t>
  </si>
  <si>
    <t>T00-999138</t>
  </si>
  <si>
    <t>T00-999153</t>
  </si>
  <si>
    <t>Y00-1001727</t>
  </si>
  <si>
    <t>Y00-1001733</t>
  </si>
  <si>
    <t>Y01-811090</t>
  </si>
  <si>
    <t>Y02-993398</t>
  </si>
  <si>
    <t>Y11-983707</t>
  </si>
  <si>
    <t>Y11-983711</t>
  </si>
  <si>
    <t>Y11-983719</t>
  </si>
  <si>
    <t>Y11-983738</t>
  </si>
  <si>
    <t>Y11-983740</t>
  </si>
  <si>
    <t>C01-995576</t>
  </si>
  <si>
    <t>C01-995593</t>
  </si>
  <si>
    <t>C01-995613</t>
  </si>
  <si>
    <t>D00-1008627</t>
  </si>
  <si>
    <t>D00-1008716</t>
  </si>
  <si>
    <t>D00-1008760</t>
  </si>
  <si>
    <t>D00-1009427</t>
  </si>
  <si>
    <t>D00-1009444</t>
  </si>
  <si>
    <t>D70-1003878</t>
  </si>
  <si>
    <t>D70-1003931</t>
  </si>
  <si>
    <t>F02-996442</t>
  </si>
  <si>
    <t>F02-996477</t>
  </si>
  <si>
    <t>F04-975761</t>
  </si>
  <si>
    <t>F10-996345</t>
  </si>
  <si>
    <t>G05-963719</t>
  </si>
  <si>
    <t>G11-993836</t>
  </si>
  <si>
    <t>G11-993862</t>
  </si>
  <si>
    <t>H00-1000929</t>
  </si>
  <si>
    <t>H00-1000933</t>
  </si>
  <si>
    <t>H01-993274</t>
  </si>
  <si>
    <t>L00-1014299</t>
  </si>
  <si>
    <t>L00-1014314</t>
  </si>
  <si>
    <t>L00-1014353</t>
  </si>
  <si>
    <t>L00-1014393</t>
  </si>
  <si>
    <t>L00-1014395</t>
  </si>
  <si>
    <t>L00-1014398</t>
  </si>
  <si>
    <t>L00-1014419</t>
  </si>
  <si>
    <t>L00-1014458</t>
  </si>
  <si>
    <t>L00-1014476</t>
  </si>
  <si>
    <t>L00-1014483</t>
  </si>
  <si>
    <t>L00-1014485</t>
  </si>
  <si>
    <t>L00-1014542</t>
  </si>
  <si>
    <t>L00-1014582</t>
  </si>
  <si>
    <t>L00-1014623</t>
  </si>
  <si>
    <t>L00-1014632</t>
  </si>
  <si>
    <t>L00-1014650</t>
  </si>
  <si>
    <t>L06-993876</t>
  </si>
  <si>
    <t>L06-993910</t>
  </si>
  <si>
    <t>L06-994052</t>
  </si>
  <si>
    <t>L07-978168</t>
  </si>
  <si>
    <t>L07-978174</t>
  </si>
  <si>
    <t>M05-1000738</t>
  </si>
  <si>
    <t>M05-1000789</t>
  </si>
  <si>
    <t>M11-918999</t>
  </si>
  <si>
    <t>M11-919000</t>
  </si>
  <si>
    <t>M11-919001</t>
  </si>
  <si>
    <t>M11-919002</t>
  </si>
  <si>
    <t>M11-919003</t>
  </si>
  <si>
    <t>M11-919004</t>
  </si>
  <si>
    <t>M11-919005</t>
  </si>
  <si>
    <t>M11-919006</t>
  </si>
  <si>
    <t>M11-919007</t>
  </si>
  <si>
    <t>M11-919008</t>
  </si>
  <si>
    <t>M11-919009</t>
  </si>
  <si>
    <t>M11-919010</t>
  </si>
  <si>
    <t>M11-919011</t>
  </si>
  <si>
    <t>M11-919012</t>
  </si>
  <si>
    <t>M11-919013</t>
  </si>
  <si>
    <t>M11-919014</t>
  </si>
  <si>
    <t>M11-919015</t>
  </si>
  <si>
    <t>M11-919016</t>
  </si>
  <si>
    <t>M11-919017</t>
  </si>
  <si>
    <t>M11-919018</t>
  </si>
  <si>
    <t>M11-919019</t>
  </si>
  <si>
    <t>M11-919020</t>
  </si>
  <si>
    <t>M11-919021</t>
  </si>
  <si>
    <t>M11-919022</t>
  </si>
  <si>
    <t>M11-919023</t>
  </si>
  <si>
    <t>M11-919025</t>
  </si>
  <si>
    <t>M11-919026</t>
  </si>
  <si>
    <t>M11-919028</t>
  </si>
  <si>
    <t>M11-919032</t>
  </si>
  <si>
    <t>M11-919034</t>
  </si>
  <si>
    <t>M11-919035</t>
  </si>
  <si>
    <t>M11-919036</t>
  </si>
  <si>
    <t>M11-919037</t>
  </si>
  <si>
    <t>M11-919039</t>
  </si>
  <si>
    <t>M11-919040</t>
  </si>
  <si>
    <t>M11-919041</t>
  </si>
  <si>
    <t>M11-919042</t>
  </si>
  <si>
    <t>M11-919043</t>
  </si>
  <si>
    <t>M11-919044</t>
  </si>
  <si>
    <t>M11-919045</t>
  </si>
  <si>
    <t>M11-919046</t>
  </si>
  <si>
    <t>M11-919047</t>
  </si>
  <si>
    <t>M11-919048</t>
  </si>
  <si>
    <t>M11-919049</t>
  </si>
  <si>
    <t>M11-919050</t>
  </si>
  <si>
    <t>M11-919051</t>
  </si>
  <si>
    <t>M11-919052</t>
  </si>
  <si>
    <t>M11-919054</t>
  </si>
  <si>
    <t>M11-919055</t>
  </si>
  <si>
    <t>M11-919056</t>
  </si>
  <si>
    <t>M11-919057</t>
  </si>
  <si>
    <t>M11-919058</t>
  </si>
  <si>
    <t>M11-919059</t>
  </si>
  <si>
    <t>M11-919060</t>
  </si>
  <si>
    <t>M11-919061</t>
  </si>
  <si>
    <t>M11-919062</t>
  </si>
  <si>
    <t>M11-919063</t>
  </si>
  <si>
    <t>M11-919064</t>
  </si>
  <si>
    <t>M11-919065</t>
  </si>
  <si>
    <t>M11-919066</t>
  </si>
  <si>
    <t>M11-919068</t>
  </si>
  <si>
    <t>M11-919071</t>
  </si>
  <si>
    <t>M11-919072</t>
  </si>
  <si>
    <t>M11-919073</t>
  </si>
  <si>
    <t>M11-919076</t>
  </si>
  <si>
    <t>M11-919077</t>
  </si>
  <si>
    <t>M11-919078</t>
  </si>
  <si>
    <t>M11-919080</t>
  </si>
  <si>
    <t>M11-919084</t>
  </si>
  <si>
    <t>M11-919085</t>
  </si>
  <si>
    <t>M11-919086</t>
  </si>
  <si>
    <t>M11-919087</t>
  </si>
  <si>
    <t>M11-919108</t>
  </si>
  <si>
    <t>M11-919109</t>
  </si>
  <si>
    <t>M11-919112</t>
  </si>
  <si>
    <t>M11-919114</t>
  </si>
  <si>
    <t>M11-919116</t>
  </si>
  <si>
    <t>M11-919117</t>
  </si>
  <si>
    <t>M11-919118</t>
  </si>
  <si>
    <t>M20-1002181</t>
  </si>
  <si>
    <t>M20-1002263</t>
  </si>
  <si>
    <t>P00-995915</t>
  </si>
  <si>
    <t>P00-995921</t>
  </si>
  <si>
    <t>P06-997005</t>
  </si>
  <si>
    <t>P07-995014</t>
  </si>
  <si>
    <t>P07-995019</t>
  </si>
  <si>
    <t>Q00-999235</t>
  </si>
  <si>
    <t>Q02-930199</t>
  </si>
  <si>
    <t>Q02-930202</t>
  </si>
  <si>
    <t>T00-999150</t>
  </si>
  <si>
    <t>T02-998228</t>
  </si>
  <si>
    <t>T02-998232</t>
  </si>
  <si>
    <t>T02-998233</t>
  </si>
  <si>
    <t>T02-998264</t>
  </si>
  <si>
    <t>Y00-1001760</t>
  </si>
  <si>
    <t>Y00-1001784</t>
  </si>
  <si>
    <t>Y01-811087</t>
  </si>
  <si>
    <t>C00-999182</t>
  </si>
  <si>
    <t>C00-999217</t>
  </si>
  <si>
    <t>C00-999219</t>
  </si>
  <si>
    <t>C00-999232</t>
  </si>
  <si>
    <t>D00-1008664</t>
  </si>
  <si>
    <t>D00-1008714</t>
  </si>
  <si>
    <t>D00-1008764</t>
  </si>
  <si>
    <t>D00-1008778</t>
  </si>
  <si>
    <t>D00-1008828</t>
  </si>
  <si>
    <t>D00-1009372</t>
  </si>
  <si>
    <t>D70-1003854</t>
  </si>
  <si>
    <t>D70-1003858</t>
  </si>
  <si>
    <t>D70-1003914</t>
  </si>
  <si>
    <t>F04-975694</t>
  </si>
  <si>
    <t>F04-975695</t>
  </si>
  <si>
    <t>G00-996582</t>
  </si>
  <si>
    <t>G00-996584</t>
  </si>
  <si>
    <t>G00-996690</t>
  </si>
  <si>
    <t>G05-963722</t>
  </si>
  <si>
    <t>G05-963748</t>
  </si>
  <si>
    <t>G05-963750</t>
  </si>
  <si>
    <t>G05-963759</t>
  </si>
  <si>
    <t>H01-993277</t>
  </si>
  <si>
    <t>L00-1014312</t>
  </si>
  <si>
    <t>L00-1014394</t>
  </si>
  <si>
    <t>L00-1014470</t>
  </si>
  <si>
    <t>L00-1014486</t>
  </si>
  <si>
    <t>L00-1014510</t>
  </si>
  <si>
    <t>L00-1014540</t>
  </si>
  <si>
    <t>L00-1014583</t>
  </si>
  <si>
    <t>L00-1014593</t>
  </si>
  <si>
    <t>L00-1014617</t>
  </si>
  <si>
    <t>L00-1014629</t>
  </si>
  <si>
    <t>L00-1014709</t>
  </si>
  <si>
    <t>L00-1015197</t>
  </si>
  <si>
    <t>L00-1015237</t>
  </si>
  <si>
    <t>L00-1015251</t>
  </si>
  <si>
    <t>L00-1015266</t>
  </si>
  <si>
    <t>L00-1015267</t>
  </si>
  <si>
    <t>L00-1015273</t>
  </si>
  <si>
    <t>L00-1015336</t>
  </si>
  <si>
    <t>L01-999172</t>
  </si>
  <si>
    <t>L01-999173</t>
  </si>
  <si>
    <t>L06-993890</t>
  </si>
  <si>
    <t>L06-993905</t>
  </si>
  <si>
    <t>L06-994060</t>
  </si>
  <si>
    <t>L07-978112</t>
  </si>
  <si>
    <t>L07-978121</t>
  </si>
  <si>
    <t>M00-999855</t>
  </si>
  <si>
    <t>M05-1000760</t>
  </si>
  <si>
    <t>M05-1000790</t>
  </si>
  <si>
    <t>M11-918998</t>
  </si>
  <si>
    <t>M11-919027</t>
  </si>
  <si>
    <t>M14-980661</t>
  </si>
  <si>
    <t>M20-1002188</t>
  </si>
  <si>
    <t>M20-1002204</t>
  </si>
  <si>
    <t>M20-1002205</t>
  </si>
  <si>
    <t>P01-998064</t>
  </si>
  <si>
    <t>P06-997007</t>
  </si>
  <si>
    <t>P07-995013</t>
  </si>
  <si>
    <t>P07-995015</t>
  </si>
  <si>
    <t>P07-995030</t>
  </si>
  <si>
    <t>Q00-999225</t>
  </si>
  <si>
    <t>Q02-930203</t>
  </si>
  <si>
    <t>Q02-930204</t>
  </si>
  <si>
    <t>Y11-983714</t>
  </si>
  <si>
    <t>C01-995577</t>
  </si>
  <si>
    <t>C01-995603</t>
  </si>
  <si>
    <t>C01-995604</t>
  </si>
  <si>
    <t>D00-1008665</t>
  </si>
  <si>
    <t>D70-1003906</t>
  </si>
  <si>
    <t>D70-1003926</t>
  </si>
  <si>
    <t>F04-975687</t>
  </si>
  <si>
    <t>G05-963736</t>
  </si>
  <si>
    <t>G11-993835</t>
  </si>
  <si>
    <t>H00-1000921</t>
  </si>
  <si>
    <t>H00-1000922</t>
  </si>
  <si>
    <t>H01-993260</t>
  </si>
  <si>
    <t>L00-1014304</t>
  </si>
  <si>
    <t>L00-1014340</t>
  </si>
  <si>
    <t>L00-1014423</t>
  </si>
  <si>
    <t>L00-1014424</t>
  </si>
  <si>
    <t>L00-1014471</t>
  </si>
  <si>
    <t>L00-1014489</t>
  </si>
  <si>
    <t>L00-1014508</t>
  </si>
  <si>
    <t>L00-1014524</t>
  </si>
  <si>
    <t>L00-1014526</t>
  </si>
  <si>
    <t>L00-1014527</t>
  </si>
  <si>
    <t>L00-1014537</t>
  </si>
  <si>
    <t>L00-1014587</t>
  </si>
  <si>
    <t>L00-1014588</t>
  </si>
  <si>
    <t>L00-1014589</t>
  </si>
  <si>
    <t>L00-1014606</t>
  </si>
  <si>
    <t>L00-1014621</t>
  </si>
  <si>
    <t>L00-1014713</t>
  </si>
  <si>
    <t>L01-999167</t>
  </si>
  <si>
    <t>L06-993895</t>
  </si>
  <si>
    <t>L06-993916</t>
  </si>
  <si>
    <t>L06-993922</t>
  </si>
  <si>
    <t>L06-993923</t>
  </si>
  <si>
    <t>L07-978113</t>
  </si>
  <si>
    <t>M14-980573</t>
  </si>
  <si>
    <t>M20-1002159</t>
  </si>
  <si>
    <t>M25-848840</t>
  </si>
  <si>
    <t>MC1-998547</t>
  </si>
  <si>
    <t>MH0-582231</t>
  </si>
  <si>
    <t>MS1-999114</t>
  </si>
  <si>
    <t>P00-995916</t>
  </si>
  <si>
    <t>Q00-999246</t>
  </si>
  <si>
    <t>Q02-930192</t>
  </si>
  <si>
    <t>Q02-930215</t>
  </si>
  <si>
    <t>T02-998231</t>
  </si>
  <si>
    <t>Y00-1001713</t>
  </si>
  <si>
    <t>Y00-1001716</t>
  </si>
  <si>
    <t>Y00-1001740</t>
  </si>
  <si>
    <t>Y00-1001741</t>
  </si>
  <si>
    <t>Y00-1001745</t>
  </si>
  <si>
    <t>Y00-1001762</t>
  </si>
  <si>
    <t>Y00-1001765</t>
  </si>
  <si>
    <t>Y00-1001768</t>
  </si>
  <si>
    <t>Y00-1001776</t>
  </si>
  <si>
    <t>Y00-1001903</t>
  </si>
  <si>
    <t>Y00-1001904</t>
  </si>
  <si>
    <t>Y00-1001993</t>
  </si>
  <si>
    <t>Y01-811086</t>
  </si>
  <si>
    <t>D00-1008666</t>
  </si>
  <si>
    <t>D00-1008693</t>
  </si>
  <si>
    <t>D00-1008857</t>
  </si>
  <si>
    <t>D00-1009346</t>
  </si>
  <si>
    <t>D70-1003844</t>
  </si>
  <si>
    <t>D70-1003902</t>
  </si>
  <si>
    <t>D70-1003993</t>
  </si>
  <si>
    <t>E01-636183</t>
  </si>
  <si>
    <t>E01-636186</t>
  </si>
  <si>
    <t>H00-1000919</t>
  </si>
  <si>
    <t>H00-1000953</t>
  </si>
  <si>
    <t>L00-1014365</t>
  </si>
  <si>
    <t>L00-1014409</t>
  </si>
  <si>
    <t>L00-1014443</t>
  </si>
  <si>
    <t>L00-1014464</t>
  </si>
  <si>
    <t>L00-1014472</t>
  </si>
  <si>
    <t>L00-1014502</t>
  </si>
  <si>
    <t>L00-1014530</t>
  </si>
  <si>
    <t>L00-1014557</t>
  </si>
  <si>
    <t>L00-1014569</t>
  </si>
  <si>
    <t>L00-1014710</t>
  </si>
  <si>
    <t>L00-1014794</t>
  </si>
  <si>
    <t>L00-1015309</t>
  </si>
  <si>
    <t>L00-1015316</t>
  </si>
  <si>
    <t>L01-999176</t>
  </si>
  <si>
    <t>L06-993920</t>
  </si>
  <si>
    <t>L06-993930</t>
  </si>
  <si>
    <t>L07-978108</t>
  </si>
  <si>
    <t>L07-978110</t>
  </si>
  <si>
    <t>M14-980568</t>
  </si>
  <si>
    <t>M14-980582</t>
  </si>
  <si>
    <t>M14-980586</t>
  </si>
  <si>
    <t>M20-1002162</t>
  </si>
  <si>
    <t>MC1-998538</t>
  </si>
  <si>
    <t>MC1-998539</t>
  </si>
  <si>
    <t>MC1-998544</t>
  </si>
  <si>
    <t>MC1-998553</t>
  </si>
  <si>
    <t>MS1-999146</t>
  </si>
  <si>
    <t>MSG-367077</t>
  </si>
  <si>
    <t>P00-995914</t>
  </si>
  <si>
    <t>P00-995930</t>
  </si>
  <si>
    <t>P00-995991</t>
  </si>
  <si>
    <t>P01-998071</t>
  </si>
  <si>
    <t>P06-997008</t>
  </si>
  <si>
    <t>Q02-930171</t>
  </si>
  <si>
    <t>Q02-930181</t>
  </si>
  <si>
    <t>Q02-930191</t>
  </si>
  <si>
    <t>T00-999154</t>
  </si>
  <si>
    <t>Y00-1001734</t>
  </si>
  <si>
    <t>Y02-993399</t>
  </si>
  <si>
    <t>Y11-983720</t>
  </si>
  <si>
    <t>D00-1008700</t>
  </si>
  <si>
    <t>D00-1008717</t>
  </si>
  <si>
    <t>D00-1008718</t>
  </si>
  <si>
    <t>D00-1008766</t>
  </si>
  <si>
    <t>D70-1003879</t>
  </si>
  <si>
    <t>D70-1003880</t>
  </si>
  <si>
    <t>D70-1003891</t>
  </si>
  <si>
    <t>D70-1003911</t>
  </si>
  <si>
    <t>D70-1003964</t>
  </si>
  <si>
    <t>F04-975708</t>
  </si>
  <si>
    <t>F04-975712</t>
  </si>
  <si>
    <t>H00-1000931</t>
  </si>
  <si>
    <t>L00-1014350</t>
  </si>
  <si>
    <t>L00-1014399</t>
  </si>
  <si>
    <t>L00-1014473</t>
  </si>
  <si>
    <t>L00-1014475</t>
  </si>
  <si>
    <t>L00-1014487</t>
  </si>
  <si>
    <t>L00-1014492</t>
  </si>
  <si>
    <t>L00-1014516</t>
  </si>
  <si>
    <t>L00-1014539</t>
  </si>
  <si>
    <t>L00-1014567</t>
  </si>
  <si>
    <t>L00-1014575</t>
  </si>
  <si>
    <t>L00-1014595</t>
  </si>
  <si>
    <t>L00-1014597</t>
  </si>
  <si>
    <t>L00-1014608</t>
  </si>
  <si>
    <t>L00-1014625</t>
  </si>
  <si>
    <t>L00-1014711</t>
  </si>
  <si>
    <t>L00-1014790</t>
  </si>
  <si>
    <t>L00-1014795</t>
  </si>
  <si>
    <t>L00-1015201</t>
  </si>
  <si>
    <t>L00-1015212</t>
  </si>
  <si>
    <t>L00-1015218</t>
  </si>
  <si>
    <t>L00-1015256</t>
  </si>
  <si>
    <t>L06-993896</t>
  </si>
  <si>
    <t>L06-993897</t>
  </si>
  <si>
    <t>L06-994059</t>
  </si>
  <si>
    <t>L07-978102</t>
  </si>
  <si>
    <t>M11-919024</t>
  </si>
  <si>
    <t>M14-980662</t>
  </si>
  <si>
    <t>M20-1002185</t>
  </si>
  <si>
    <t>M20-1002276</t>
  </si>
  <si>
    <t>MC1-998531</t>
  </si>
  <si>
    <t>MC1-998551</t>
  </si>
  <si>
    <t>MS1-999113</t>
  </si>
  <si>
    <t>MS1-999115</t>
  </si>
  <si>
    <t>P01-998066</t>
  </si>
  <si>
    <t>Q00-999217</t>
  </si>
  <si>
    <t>Q00-999228</t>
  </si>
  <si>
    <t>Q00-999255</t>
  </si>
  <si>
    <t>Q02-930186</t>
  </si>
  <si>
    <t>Q02-930214</t>
  </si>
  <si>
    <t>Q02-930228</t>
  </si>
  <si>
    <t>Q02-930344</t>
  </si>
  <si>
    <t>T00-999199</t>
  </si>
  <si>
    <t>T00-999200</t>
  </si>
  <si>
    <t>Y00-1001785</t>
  </si>
  <si>
    <t>C00-999170</t>
  </si>
  <si>
    <t>C00-999235</t>
  </si>
  <si>
    <t>C01-995571</t>
  </si>
  <si>
    <t>D00-1008694</t>
  </si>
  <si>
    <t>D00-1008696</t>
  </si>
  <si>
    <t>D00-1008708</t>
  </si>
  <si>
    <t>D00-1008736</t>
  </si>
  <si>
    <t>D00-1008752</t>
  </si>
  <si>
    <t>D00-1008768</t>
  </si>
  <si>
    <t>D00-1008785</t>
  </si>
  <si>
    <t>D00-1009445</t>
  </si>
  <si>
    <t>D70-1003855</t>
  </si>
  <si>
    <t>D70-1003929</t>
  </si>
  <si>
    <t>D70-1003949</t>
  </si>
  <si>
    <t>F04-975710</t>
  </si>
  <si>
    <t>F04-975765</t>
  </si>
  <si>
    <t>G00-996594</t>
  </si>
  <si>
    <t>G05-963738</t>
  </si>
  <si>
    <t>G05-963740</t>
  </si>
  <si>
    <t>G05-963758</t>
  </si>
  <si>
    <t>H00-1000934</t>
  </si>
  <si>
    <t>H00-1000941</t>
  </si>
  <si>
    <t>H00-1000943</t>
  </si>
  <si>
    <t>H00-1001024</t>
  </si>
  <si>
    <t>H01-993272</t>
  </si>
  <si>
    <t>L00-1014320</t>
  </si>
  <si>
    <t>L00-1014321</t>
  </si>
  <si>
    <t>L00-1014378</t>
  </si>
  <si>
    <t>L00-1014400</t>
  </si>
  <si>
    <t>L00-1014474</t>
  </si>
  <si>
    <t>L00-1014494</t>
  </si>
  <si>
    <t>L00-1014511</t>
  </si>
  <si>
    <t>L00-1014523</t>
  </si>
  <si>
    <t>L00-1014757</t>
  </si>
  <si>
    <t>L00-1014761</t>
  </si>
  <si>
    <t>L00-1015202</t>
  </si>
  <si>
    <t>L00-1015213</t>
  </si>
  <si>
    <t>L00-1015225</t>
  </si>
  <si>
    <t>L01-999179</t>
  </si>
  <si>
    <t>L01-999180</t>
  </si>
  <si>
    <t>L01-999182</t>
  </si>
  <si>
    <t>L01-999235</t>
  </si>
  <si>
    <t>L06-993880</t>
  </si>
  <si>
    <t>L06-993892</t>
  </si>
  <si>
    <t>L06-993904</t>
  </si>
  <si>
    <t>L07-978179</t>
  </si>
  <si>
    <t>M00-999833</t>
  </si>
  <si>
    <t>M05-1000784</t>
  </si>
  <si>
    <t>M05-1000791</t>
  </si>
  <si>
    <t>M11-918997</t>
  </si>
  <si>
    <t>M11-919106</t>
  </si>
  <si>
    <t>M14-980576</t>
  </si>
  <si>
    <t>M20-1002164</t>
  </si>
  <si>
    <t>M20-1002189</t>
  </si>
  <si>
    <t>MH0-582233</t>
  </si>
  <si>
    <t>P00-995928</t>
  </si>
  <si>
    <t>Q00-999222</t>
  </si>
  <si>
    <t>Q02-930177</t>
  </si>
  <si>
    <t>T02-998236</t>
  </si>
  <si>
    <t>Y00-1001763</t>
  </si>
  <si>
    <t>Y00-1001907</t>
  </si>
  <si>
    <t>C00-999189</t>
  </si>
  <si>
    <t>C01-995614</t>
  </si>
  <si>
    <t>C01-995673</t>
  </si>
  <si>
    <t>C01-995676</t>
  </si>
  <si>
    <t>D00-1008631</t>
  </si>
  <si>
    <t>D00-1008720</t>
  </si>
  <si>
    <t>D00-1008816</t>
  </si>
  <si>
    <t>D70-1003915</t>
  </si>
  <si>
    <t>D70-1003916</t>
  </si>
  <si>
    <t>D70-1003917</t>
  </si>
  <si>
    <t>F04-975692</t>
  </si>
  <si>
    <t>G00-996602</t>
  </si>
  <si>
    <t>G00-996604</t>
  </si>
  <si>
    <t>G05-963732</t>
  </si>
  <si>
    <t>H00-1000958</t>
  </si>
  <si>
    <t>H00-1000961</t>
  </si>
  <si>
    <t>H00-1000966</t>
  </si>
  <si>
    <t>H00-1000967</t>
  </si>
  <si>
    <t>H01-993259</t>
  </si>
  <si>
    <t>H01-993308</t>
  </si>
  <si>
    <t>L00-1014316</t>
  </si>
  <si>
    <t>L00-1014322</t>
  </si>
  <si>
    <t>L00-1014451</t>
  </si>
  <si>
    <t>L00-1014482</t>
  </si>
  <si>
    <t>L00-1014491</t>
  </si>
  <si>
    <t>L00-1014541</t>
  </si>
  <si>
    <t>L00-1014543</t>
  </si>
  <si>
    <t>L00-1014584</t>
  </si>
  <si>
    <t>L00-1014634</t>
  </si>
  <si>
    <t>L00-1014636</t>
  </si>
  <si>
    <t>L00-1014753</t>
  </si>
  <si>
    <t>L00-1014754</t>
  </si>
  <si>
    <t>L00-1014755</t>
  </si>
  <si>
    <t>L00-1015199</t>
  </si>
  <si>
    <t>L00-1015207</t>
  </si>
  <si>
    <t>L00-1015224</t>
  </si>
  <si>
    <t>L00-1015239</t>
  </si>
  <si>
    <t>L00-1015340</t>
  </si>
  <si>
    <t>L00-1015341</t>
  </si>
  <si>
    <t>L01-999168</t>
  </si>
  <si>
    <t>L01-999225</t>
  </si>
  <si>
    <t>L06-993908</t>
  </si>
  <si>
    <t>L06-993917</t>
  </si>
  <si>
    <t>M00-999862</t>
  </si>
  <si>
    <t>M05-1000747</t>
  </si>
  <si>
    <t>M05-1000755</t>
  </si>
  <si>
    <t>M05-1000757</t>
  </si>
  <si>
    <t>M11-919067</t>
  </si>
  <si>
    <t>M14-980565</t>
  </si>
  <si>
    <t>M14-980599</t>
  </si>
  <si>
    <t>M14-980607</t>
  </si>
  <si>
    <t>M14-980625</t>
  </si>
  <si>
    <t>M14-980666</t>
  </si>
  <si>
    <t>M20-1002187</t>
  </si>
  <si>
    <t>MS5-913824</t>
  </si>
  <si>
    <t>P00-996000</t>
  </si>
  <si>
    <t>Q00-999221</t>
  </si>
  <si>
    <t>Q00-999232</t>
  </si>
  <si>
    <t>Q02-930205</t>
  </si>
  <si>
    <t>T00-999161</t>
  </si>
  <si>
    <t>T02-998237</t>
  </si>
  <si>
    <t>T02-998242</t>
  </si>
  <si>
    <t>T02-998243</t>
  </si>
  <si>
    <t>Y00-1001771</t>
  </si>
  <si>
    <t>Y01-811089</t>
  </si>
  <si>
    <t>Y11-983709</t>
  </si>
  <si>
    <t>Y17-862297</t>
  </si>
  <si>
    <t>Y17-862299</t>
  </si>
  <si>
    <t>C00-999174</t>
  </si>
  <si>
    <t>C00-999178</t>
  </si>
  <si>
    <t>C01-995594</t>
  </si>
  <si>
    <t>D00-1008629</t>
  </si>
  <si>
    <t>D00-1008876</t>
  </si>
  <si>
    <t>D00-1009345</t>
  </si>
  <si>
    <t>D70-1003848</t>
  </si>
  <si>
    <t>G00-996587</t>
  </si>
  <si>
    <t>G00-996588</t>
  </si>
  <si>
    <t>G00-996591</t>
  </si>
  <si>
    <t>G05-963749</t>
  </si>
  <si>
    <t>H00-1000937</t>
  </si>
  <si>
    <t>H00-1000948</t>
  </si>
  <si>
    <t>H00-1000950</t>
  </si>
  <si>
    <t>L00-1014306</t>
  </si>
  <si>
    <t>L00-1014309</t>
  </si>
  <si>
    <t>L00-1014323</t>
  </si>
  <si>
    <t>L00-1014334</t>
  </si>
  <si>
    <t>L00-1014337</t>
  </si>
  <si>
    <t>L00-1014352</t>
  </si>
  <si>
    <t>L00-1014379</t>
  </si>
  <si>
    <t>L00-1014397</t>
  </si>
  <si>
    <t>L00-1014417</t>
  </si>
  <si>
    <t>L00-1014493</t>
  </si>
  <si>
    <t>L00-1014531</t>
  </si>
  <si>
    <t>L00-1014532</t>
  </si>
  <si>
    <t>L00-1014544</t>
  </si>
  <si>
    <t>L00-1014591</t>
  </si>
  <si>
    <t>L00-1014592</t>
  </si>
  <si>
    <t>L00-1014639</t>
  </si>
  <si>
    <t>L00-1014651</t>
  </si>
  <si>
    <t>L00-1014652</t>
  </si>
  <si>
    <t>L00-1014712</t>
  </si>
  <si>
    <t>L00-1014714</t>
  </si>
  <si>
    <t>L00-1015228</t>
  </si>
  <si>
    <t>L00-1015260</t>
  </si>
  <si>
    <t>L00-1015304</t>
  </si>
  <si>
    <t>L06-993925</t>
  </si>
  <si>
    <t>L06-994095</t>
  </si>
  <si>
    <t>L07-978106</t>
  </si>
  <si>
    <t>L07-978107</t>
  </si>
  <si>
    <t>L07-978122</t>
  </si>
  <si>
    <t>L07-978123</t>
  </si>
  <si>
    <t>L07-978124</t>
  </si>
  <si>
    <t>M00-999839</t>
  </si>
  <si>
    <t>M00-999859</t>
  </si>
  <si>
    <t>M05-1000748</t>
  </si>
  <si>
    <t>M14-980597</t>
  </si>
  <si>
    <t>M20-1002152</t>
  </si>
  <si>
    <t>MC1-998542</t>
  </si>
  <si>
    <t>MS1-999112</t>
  </si>
  <si>
    <t>MS5-913807</t>
  </si>
  <si>
    <t>Q00-999234</t>
  </si>
  <si>
    <t>Q02-930187</t>
  </si>
  <si>
    <t>Q02-930200</t>
  </si>
  <si>
    <t>Q02-930319</t>
  </si>
  <si>
    <t>T00-999144</t>
  </si>
  <si>
    <t>T00-999145</t>
  </si>
  <si>
    <t>T00-999146</t>
  </si>
  <si>
    <t>T00-999147</t>
  </si>
  <si>
    <t>T00-999149</t>
  </si>
  <si>
    <t>Y00-1001721</t>
  </si>
  <si>
    <t>Y00-1001747</t>
  </si>
  <si>
    <t>Y00-1001758</t>
  </si>
  <si>
    <t>Y00-1001783</t>
  </si>
  <si>
    <t>Y01-811081</t>
  </si>
  <si>
    <t>C00-999183</t>
  </si>
  <si>
    <t>C00-999221</t>
  </si>
  <si>
    <t>C01-995599</t>
  </si>
  <si>
    <t>D00-1008622</t>
  </si>
  <si>
    <t>D00-1008701</t>
  </si>
  <si>
    <t>D00-1008713</t>
  </si>
  <si>
    <t>D00-1008719</t>
  </si>
  <si>
    <t>D00-1008734</t>
  </si>
  <si>
    <t>D00-1008739</t>
  </si>
  <si>
    <t>D00-1008830</t>
  </si>
  <si>
    <t>D00-1009419</t>
  </si>
  <si>
    <t>D00-1009431</t>
  </si>
  <si>
    <t>D00-1009432</t>
  </si>
  <si>
    <t>D00-1009649</t>
  </si>
  <si>
    <t>D70-1003841</t>
  </si>
  <si>
    <t>D70-1003842</t>
  </si>
  <si>
    <t>D70-1003864</t>
  </si>
  <si>
    <t>D70-1003883</t>
  </si>
  <si>
    <t>D70-1003903</t>
  </si>
  <si>
    <t>D70-1003959</t>
  </si>
  <si>
    <t>D70-1003963</t>
  </si>
  <si>
    <t>D70-1003965</t>
  </si>
  <si>
    <t>D70-1003968</t>
  </si>
  <si>
    <t>D70-1003972</t>
  </si>
  <si>
    <t>D70-1004089</t>
  </si>
  <si>
    <t>F02-996439</t>
  </si>
  <si>
    <t>F02-996444</t>
  </si>
  <si>
    <t>F02-996457</t>
  </si>
  <si>
    <t>G05-963765</t>
  </si>
  <si>
    <t>G11-993828</t>
  </si>
  <si>
    <t>G11-993865</t>
  </si>
  <si>
    <t>H00-1000938</t>
  </si>
  <si>
    <t>H00-1000949</t>
  </si>
  <si>
    <t>H00-1000952</t>
  </si>
  <si>
    <t>H01-993281</t>
  </si>
  <si>
    <t>L00-1014324</t>
  </si>
  <si>
    <t>L00-1014345</t>
  </si>
  <si>
    <t>L00-1014418</t>
  </si>
  <si>
    <t>L00-1014481</t>
  </si>
  <si>
    <t>L00-1014536</t>
  </si>
  <si>
    <t>L00-1014568</t>
  </si>
  <si>
    <t>L00-1014607</t>
  </si>
  <si>
    <t>L00-1014663</t>
  </si>
  <si>
    <t>L00-1015200</t>
  </si>
  <si>
    <t>L00-1015247</t>
  </si>
  <si>
    <t>L00-1015334</t>
  </si>
  <si>
    <t>L01-999183</t>
  </si>
  <si>
    <t>L06-993887</t>
  </si>
  <si>
    <t>L06-993950</t>
  </si>
  <si>
    <t>L06-993952</t>
  </si>
  <si>
    <t>L06-994054</t>
  </si>
  <si>
    <t>M00-999841</t>
  </si>
  <si>
    <t>M14-980587</t>
  </si>
  <si>
    <t>M20-1002173</t>
  </si>
  <si>
    <t>M20-1002177</t>
  </si>
  <si>
    <t>M20-1002265</t>
  </si>
  <si>
    <t>M20-1002268</t>
  </si>
  <si>
    <t>MC1-998540</t>
  </si>
  <si>
    <t>MC1-998545</t>
  </si>
  <si>
    <t>MS5-913808</t>
  </si>
  <si>
    <t>MS5-913822</t>
  </si>
  <si>
    <t>MS5-913825</t>
  </si>
  <si>
    <t>MSG-367078</t>
  </si>
  <si>
    <t>MSJ-232181</t>
  </si>
  <si>
    <t>P00-995907</t>
  </si>
  <si>
    <t>P00-995919</t>
  </si>
  <si>
    <t>P00-995922</t>
  </si>
  <si>
    <t>P00-995926</t>
  </si>
  <si>
    <t>P00-995929</t>
  </si>
  <si>
    <t>P00-995940</t>
  </si>
  <si>
    <t>P00-995953</t>
  </si>
  <si>
    <t>P00-995989</t>
  </si>
  <si>
    <t>P00-995997</t>
  </si>
  <si>
    <t>P00-996006</t>
  </si>
  <si>
    <t>P00-996008</t>
  </si>
  <si>
    <t>Q02-930176</t>
  </si>
  <si>
    <t>Q02-930185</t>
  </si>
  <si>
    <t>Q02-930212</t>
  </si>
  <si>
    <t>T03-999819</t>
  </si>
  <si>
    <t>T03-999823</t>
  </si>
  <si>
    <t>Y00-1001749</t>
  </si>
  <si>
    <t>Y00-1001750</t>
  </si>
  <si>
    <t>Y00-1001770</t>
  </si>
  <si>
    <t>Y00-1001900</t>
  </si>
  <si>
    <t>Y00-1001901</t>
  </si>
  <si>
    <t>C00-999186</t>
  </si>
  <si>
    <t>C01-995569</t>
  </si>
  <si>
    <t>D00-1008703</t>
  </si>
  <si>
    <t>D70-1003863</t>
  </si>
  <si>
    <t>D70-1003919</t>
  </si>
  <si>
    <t>D70-1004097</t>
  </si>
  <si>
    <t>D70-1004136</t>
  </si>
  <si>
    <t>D70-1004261</t>
  </si>
  <si>
    <t>F02-996473</t>
  </si>
  <si>
    <t>F04-975684</t>
  </si>
  <si>
    <t>F04-975697</t>
  </si>
  <si>
    <t>H00-1000925</t>
  </si>
  <si>
    <t>H01-993280</t>
  </si>
  <si>
    <t>H01-993282</t>
  </si>
  <si>
    <t>H01-993283</t>
  </si>
  <si>
    <t>L00-1014338</t>
  </si>
  <si>
    <t>L00-1014550</t>
  </si>
  <si>
    <t>L00-1014667</t>
  </si>
  <si>
    <t>L06-993907</t>
  </si>
  <si>
    <t>L06-994057</t>
  </si>
  <si>
    <t>L06-994065</t>
  </si>
  <si>
    <t>T00-999135</t>
  </si>
  <si>
    <t>Y00-1001792</t>
  </si>
  <si>
    <t>Y02-993400</t>
  </si>
  <si>
    <t>C01-995669</t>
  </si>
  <si>
    <t>D00-1008689</t>
  </si>
  <si>
    <t>D00-1008695</t>
  </si>
  <si>
    <t>D00-1008762</t>
  </si>
  <si>
    <t>D00-1008831</t>
  </si>
  <si>
    <t>D00-1009464</t>
  </si>
  <si>
    <t>D00-1009719</t>
  </si>
  <si>
    <t>D00-1009749</t>
  </si>
  <si>
    <t>D70-1004245</t>
  </si>
  <si>
    <t>F02-996454</t>
  </si>
  <si>
    <t>F04-975711</t>
  </si>
  <si>
    <t>G00-996593</t>
  </si>
  <si>
    <t>G00-996702</t>
  </si>
  <si>
    <t>G05-963727</t>
  </si>
  <si>
    <t>H00-1000924</t>
  </si>
  <si>
    <t>H01-993264</t>
  </si>
  <si>
    <t>L00-1014370</t>
  </si>
  <si>
    <t>L00-1014383</t>
  </si>
  <si>
    <t>L00-1014391</t>
  </si>
  <si>
    <t>L00-1014402</t>
  </si>
  <si>
    <t>L00-1014453</t>
  </si>
  <si>
    <t>L00-1014465</t>
  </si>
  <si>
    <t>L00-1014594</t>
  </si>
  <si>
    <t>L00-1014605</t>
  </si>
  <si>
    <t>L00-1014635</t>
  </si>
  <si>
    <t>L00-1014637</t>
  </si>
  <si>
    <t>L00-1015231</t>
  </si>
  <si>
    <t>L06-993898</t>
  </si>
  <si>
    <t>L06-993924</t>
  </si>
  <si>
    <t>L06-993956</t>
  </si>
  <si>
    <t>L06-993957</t>
  </si>
  <si>
    <t>M20-1002155</t>
  </si>
  <si>
    <t>M20-1002201</t>
  </si>
  <si>
    <t>MC1-998541</t>
  </si>
  <si>
    <t>P00-995931</t>
  </si>
  <si>
    <t>P00-996001</t>
  </si>
  <si>
    <t>P01-998077</t>
  </si>
  <si>
    <t>T02-998229</t>
  </si>
  <si>
    <t>Y00-1001732</t>
  </si>
  <si>
    <t>Y00-1001767</t>
  </si>
  <si>
    <t>Y00-1001772</t>
  </si>
  <si>
    <t>Y01-811083</t>
  </si>
  <si>
    <t>Y01-811117</t>
  </si>
  <si>
    <t>C00-999225</t>
  </si>
  <si>
    <t>C01-995581</t>
  </si>
  <si>
    <t>C01-995582</t>
  </si>
  <si>
    <t>C01-995587</t>
  </si>
  <si>
    <t>D00-1009353</t>
  </si>
  <si>
    <t>D70-1003890</t>
  </si>
  <si>
    <t>D70-1003899</t>
  </si>
  <si>
    <t>D70-1003910</t>
  </si>
  <si>
    <t>F02-996429</t>
  </si>
  <si>
    <t>F02-996445</t>
  </si>
  <si>
    <t>F04-975702</t>
  </si>
  <si>
    <t>F04-975707</t>
  </si>
  <si>
    <t>G05-963744</t>
  </si>
  <si>
    <t>G05-963745</t>
  </si>
  <si>
    <t>L00-1014305</t>
  </si>
  <si>
    <t>L00-1014346</t>
  </si>
  <si>
    <t>L00-1014348</t>
  </si>
  <si>
    <t>L00-1014369</t>
  </si>
  <si>
    <t>L00-1014371</t>
  </si>
  <si>
    <t>L00-1014375</t>
  </si>
  <si>
    <t>L00-1014376</t>
  </si>
  <si>
    <t>L00-1014377</t>
  </si>
  <si>
    <t>L00-1014452</t>
  </si>
  <si>
    <t>L00-1014466</t>
  </si>
  <si>
    <t>L00-1014504</t>
  </si>
  <si>
    <t>L00-1014512</t>
  </si>
  <si>
    <t>L00-1014517</t>
  </si>
  <si>
    <t>L00-1014545</t>
  </si>
  <si>
    <t>L00-1014558</t>
  </si>
  <si>
    <t>L00-1014596</t>
  </si>
  <si>
    <t>L00-1014611</t>
  </si>
  <si>
    <t>L00-1014661</t>
  </si>
  <si>
    <t>L00-1015205</t>
  </si>
  <si>
    <t>L00-1015233</t>
  </si>
  <si>
    <t>L00-1015234</t>
  </si>
  <si>
    <t>L00-1015235</t>
  </si>
  <si>
    <t>L00-1015258</t>
  </si>
  <si>
    <t>L00-1015724</t>
  </si>
  <si>
    <t>L00-1015725</t>
  </si>
  <si>
    <t>L06-993891</t>
  </si>
  <si>
    <t>L07-978171</t>
  </si>
  <si>
    <t>L07-978172</t>
  </si>
  <si>
    <t>M05-1000787</t>
  </si>
  <si>
    <t>M11-919033</t>
  </si>
  <si>
    <t>M14-980527</t>
  </si>
  <si>
    <t>M14-980528</t>
  </si>
  <si>
    <t>M14-980529</t>
  </si>
  <si>
    <t>M14-980530</t>
  </si>
  <si>
    <t>M14-980531</t>
  </si>
  <si>
    <t>M14-980532</t>
  </si>
  <si>
    <t>M14-980533</t>
  </si>
  <si>
    <t>M14-980534</t>
  </si>
  <si>
    <t>M14-980535</t>
  </si>
  <si>
    <t>M14-980536</t>
  </si>
  <si>
    <t>M14-980537</t>
  </si>
  <si>
    <t>M14-980538</t>
  </si>
  <si>
    <t>M14-980539</t>
  </si>
  <si>
    <t>M14-980540</t>
  </si>
  <si>
    <t>M14-980541</t>
  </si>
  <si>
    <t>M14-980542</t>
  </si>
  <si>
    <t>M14-980543</t>
  </si>
  <si>
    <t>M14-980544</t>
  </si>
  <si>
    <t>M14-980545</t>
  </si>
  <si>
    <t>M14-980546</t>
  </si>
  <si>
    <t>M14-980547</t>
  </si>
  <si>
    <t>M14-980548</t>
  </si>
  <si>
    <t>M14-980549</t>
  </si>
  <si>
    <t>M14-980550</t>
  </si>
  <si>
    <t>M14-980553</t>
  </si>
  <si>
    <t>M14-980555</t>
  </si>
  <si>
    <t>M14-980556</t>
  </si>
  <si>
    <t>M14-980558</t>
  </si>
  <si>
    <t>M14-980559</t>
  </si>
  <si>
    <t>M14-980560</t>
  </si>
  <si>
    <t>M14-980561</t>
  </si>
  <si>
    <t>M14-980562</t>
  </si>
  <si>
    <t>M14-980564</t>
  </si>
  <si>
    <t>M14-980566</t>
  </si>
  <si>
    <t>M14-980567</t>
  </si>
  <si>
    <t>M14-980570</t>
  </si>
  <si>
    <t>M14-980571</t>
  </si>
  <si>
    <t>M14-980572</t>
  </si>
  <si>
    <t>M14-980574</t>
  </si>
  <si>
    <t>M14-980581</t>
  </si>
  <si>
    <t>M14-980583</t>
  </si>
  <si>
    <t>M14-980584</t>
  </si>
  <si>
    <t>M14-980589</t>
  </si>
  <si>
    <t>M14-980591</t>
  </si>
  <si>
    <t>M14-980601</t>
  </si>
  <si>
    <t>M14-980603</t>
  </si>
  <si>
    <t>M14-980608</t>
  </si>
  <si>
    <t>M14-980612</t>
  </si>
  <si>
    <t>M14-980613</t>
  </si>
  <si>
    <t>M14-980615</t>
  </si>
  <si>
    <t>M14-980617</t>
  </si>
  <si>
    <t>M14-980623</t>
  </si>
  <si>
    <t>M14-980630</t>
  </si>
  <si>
    <t>M14-980659</t>
  </si>
  <si>
    <t>M14-980665</t>
  </si>
  <si>
    <t>M14-980667</t>
  </si>
  <si>
    <t>M20-1002178</t>
  </si>
  <si>
    <t>MC1-998548</t>
  </si>
  <si>
    <t>MCC-18</t>
  </si>
  <si>
    <t>MSJ-232180</t>
  </si>
  <si>
    <t>P00-995920</t>
  </si>
  <si>
    <t>P00-995935</t>
  </si>
  <si>
    <t>P00-995938</t>
  </si>
  <si>
    <t>P00-995952</t>
  </si>
  <si>
    <t>P00-995998</t>
  </si>
  <si>
    <t>P06-997012</t>
  </si>
  <si>
    <t>P08-356184</t>
  </si>
  <si>
    <t>Q02-930197</t>
  </si>
  <si>
    <t>Y01-811084</t>
  </si>
  <si>
    <t>Y02-993403</t>
  </si>
  <si>
    <t>C01-995580</t>
  </si>
  <si>
    <t>C01-995583</t>
  </si>
  <si>
    <t>D00-1008710</t>
  </si>
  <si>
    <t>D00-1008711</t>
  </si>
  <si>
    <t>D00-1008715</t>
  </si>
  <si>
    <t>D00-1008721</t>
  </si>
  <si>
    <t>D00-1008727</t>
  </si>
  <si>
    <t>D00-1008832</t>
  </si>
  <si>
    <t>D70-1003865</t>
  </si>
  <si>
    <t>D70-1003881</t>
  </si>
  <si>
    <t>D70-1003884</t>
  </si>
  <si>
    <t>D70-1003900</t>
  </si>
  <si>
    <t>D70-1003901</t>
  </si>
  <si>
    <t>D70-1003936</t>
  </si>
  <si>
    <t>D70-1004090</t>
  </si>
  <si>
    <t>F02-996428</t>
  </si>
  <si>
    <t>F04-975677</t>
  </si>
  <si>
    <t>F04-975727</t>
  </si>
  <si>
    <t>F04-975775</t>
  </si>
  <si>
    <t>G00-996589</t>
  </si>
  <si>
    <t>G05-963724</t>
  </si>
  <si>
    <t>G05-963729</t>
  </si>
  <si>
    <t>G05-963733</t>
  </si>
  <si>
    <t>G05-963737</t>
  </si>
  <si>
    <t>G05-963762</t>
  </si>
  <si>
    <t>G05-963812</t>
  </si>
  <si>
    <t>H01-993266</t>
  </si>
  <si>
    <t>L00-1014310</t>
  </si>
  <si>
    <t>L00-1014315</t>
  </si>
  <si>
    <t>L00-1014327</t>
  </si>
  <si>
    <t>L00-1014328</t>
  </si>
  <si>
    <t>L00-1014330</t>
  </si>
  <si>
    <t>L00-1014331</t>
  </si>
  <si>
    <t>L00-1014349</t>
  </si>
  <si>
    <t>L00-1014358</t>
  </si>
  <si>
    <t>L00-1014374</t>
  </si>
  <si>
    <t>L00-1014436</t>
  </si>
  <si>
    <t>L00-1014495</t>
  </si>
  <si>
    <t>L00-1014570</t>
  </si>
  <si>
    <t>L00-1014574</t>
  </si>
  <si>
    <t>L00-1014620</t>
  </si>
  <si>
    <t>L00-1014638</t>
  </si>
  <si>
    <t>L00-1014660</t>
  </si>
  <si>
    <t>L00-1014768</t>
  </si>
  <si>
    <t>L00-1015246</t>
  </si>
  <si>
    <t>L00-1015248</t>
  </si>
  <si>
    <t>L00-1015255</t>
  </si>
  <si>
    <t>L00-1015263</t>
  </si>
  <si>
    <t>L00-1015718</t>
  </si>
  <si>
    <t>L01-999226</t>
  </si>
  <si>
    <t>L06-993889</t>
  </si>
  <si>
    <t>L07-978103</t>
  </si>
  <si>
    <t>L07-978116</t>
  </si>
  <si>
    <t>M00-999910</t>
  </si>
  <si>
    <t>M05-1000741</t>
  </si>
  <si>
    <t>M05-1000751</t>
  </si>
  <si>
    <t>M05-1000785</t>
  </si>
  <si>
    <t>M20-1002156</t>
  </si>
  <si>
    <t>M20-1002199</t>
  </si>
  <si>
    <t>P00-995993</t>
  </si>
  <si>
    <t>P00-995999</t>
  </si>
  <si>
    <t>P01-998109</t>
  </si>
  <si>
    <t>Q00-999296</t>
  </si>
  <si>
    <t>Q00-999300</t>
  </si>
  <si>
    <t>Y00-1001718</t>
  </si>
  <si>
    <t>C00-999166</t>
  </si>
  <si>
    <t>C00-999176</t>
  </si>
  <si>
    <t>C00-999188</t>
  </si>
  <si>
    <t>C00-999190</t>
  </si>
  <si>
    <t>C01-995595</t>
  </si>
  <si>
    <t>C01-995605</t>
  </si>
  <si>
    <t>D00-1008623</t>
  </si>
  <si>
    <t>D70-1003846</t>
  </si>
  <si>
    <t>F04-975699</t>
  </si>
  <si>
    <t>F04-975701</t>
  </si>
  <si>
    <t>G05-963747</t>
  </si>
  <si>
    <t>H00-1000954</t>
  </si>
  <si>
    <t>L00-1014329</t>
  </si>
  <si>
    <t>L00-1014372</t>
  </si>
  <si>
    <t>L00-1014380</t>
  </si>
  <si>
    <t>L00-1014428</t>
  </si>
  <si>
    <t>L00-1014445</t>
  </si>
  <si>
    <t>L00-1014450</t>
  </si>
  <si>
    <t>L00-1014496</t>
  </si>
  <si>
    <t>L00-1014497</t>
  </si>
  <si>
    <t>L00-1014546</t>
  </si>
  <si>
    <t>L00-1014565</t>
  </si>
  <si>
    <t>L00-1014599</t>
  </si>
  <si>
    <t>L00-1014609</t>
  </si>
  <si>
    <t>L00-1014610</t>
  </si>
  <si>
    <t>L00-1014618</t>
  </si>
  <si>
    <t>L00-1015211</t>
  </si>
  <si>
    <t>L00-1015259</t>
  </si>
  <si>
    <t>L00-1015310</t>
  </si>
  <si>
    <t>L06-993949</t>
  </si>
  <si>
    <t>L06-994058</t>
  </si>
  <si>
    <t>M00-999852</t>
  </si>
  <si>
    <t>M11-919110</t>
  </si>
  <si>
    <t>M20-1002153</t>
  </si>
  <si>
    <t>M20-1002286</t>
  </si>
  <si>
    <t>P00-995995</t>
  </si>
  <si>
    <t>P01-998072</t>
  </si>
  <si>
    <t>P01-998110</t>
  </si>
  <si>
    <t>P01-998112</t>
  </si>
  <si>
    <t>P06-997004</t>
  </si>
  <si>
    <t>P09-151669</t>
  </si>
  <si>
    <t>T00-999132</t>
  </si>
  <si>
    <t>T00-999168</t>
  </si>
  <si>
    <t>Y00-1001743</t>
  </si>
  <si>
    <t>Y00-1001786</t>
  </si>
  <si>
    <t>Y00-1001797</t>
  </si>
  <si>
    <t>Y00-1001798</t>
  </si>
  <si>
    <t>Y01-811079</t>
  </si>
  <si>
    <t>Y01-811085</t>
  </si>
  <si>
    <t>Y01-811115</t>
  </si>
  <si>
    <t>Y01-811118</t>
  </si>
  <si>
    <t>C00-999159</t>
  </si>
  <si>
    <t>C00-999165</t>
  </si>
  <si>
    <t>C01-995607</t>
  </si>
  <si>
    <t>D00-1008757</t>
  </si>
  <si>
    <t>D00-1008779</t>
  </si>
  <si>
    <t>D00-1008836</t>
  </si>
  <si>
    <t>D00-1009721</t>
  </si>
  <si>
    <t>D70-1003882</t>
  </si>
  <si>
    <t>D70-1003888</t>
  </si>
  <si>
    <t>D70-1003933</t>
  </si>
  <si>
    <t>D70-1004099</t>
  </si>
  <si>
    <t>D70-1004110</t>
  </si>
  <si>
    <t>D70-1004115</t>
  </si>
  <si>
    <t>F02-996447</t>
  </si>
  <si>
    <t>F02-996458</t>
  </si>
  <si>
    <t>F02-996478</t>
  </si>
  <si>
    <t>F04-975678</t>
  </si>
  <si>
    <t>G05-963754</t>
  </si>
  <si>
    <t>G05-963761</t>
  </si>
  <si>
    <t>G05-963774</t>
  </si>
  <si>
    <t>G05-963775</t>
  </si>
  <si>
    <t>G11-993833</t>
  </si>
  <si>
    <t>H00-1000956</t>
  </si>
  <si>
    <t>H00-1000957</t>
  </si>
  <si>
    <t>L00-1014318</t>
  </si>
  <si>
    <t>L00-1014339</t>
  </si>
  <si>
    <t>L00-1014404</t>
  </si>
  <si>
    <t>L00-1014426</t>
  </si>
  <si>
    <t>L00-1014477</t>
  </si>
  <si>
    <t>L00-1014478</t>
  </si>
  <si>
    <t>L00-1014498</t>
  </si>
  <si>
    <t>L00-1014551</t>
  </si>
  <si>
    <t>L00-1014553</t>
  </si>
  <si>
    <t>L00-1014598</t>
  </si>
  <si>
    <t>L00-1014602</t>
  </si>
  <si>
    <t>L00-1014645</t>
  </si>
  <si>
    <t>L00-1014664</t>
  </si>
  <si>
    <t>L00-1014666</t>
  </si>
  <si>
    <t>L00-1014764</t>
  </si>
  <si>
    <t>L00-1014767</t>
  </si>
  <si>
    <t>L00-1014769</t>
  </si>
  <si>
    <t>L00-1015264</t>
  </si>
  <si>
    <t>L00-1015265</t>
  </si>
  <si>
    <t>L00-1015332</t>
  </si>
  <si>
    <t>L00-1015335</t>
  </si>
  <si>
    <t>L00-1015356</t>
  </si>
  <si>
    <t>L01-999175</t>
  </si>
  <si>
    <t>L06-993879</t>
  </si>
  <si>
    <t>L06-993885</t>
  </si>
  <si>
    <t>L06-993888</t>
  </si>
  <si>
    <t>L06-993927</t>
  </si>
  <si>
    <t>L06-993951</t>
  </si>
  <si>
    <t>L06-993953</t>
  </si>
  <si>
    <t>L06-994071</t>
  </si>
  <si>
    <t>M00-999840</t>
  </si>
  <si>
    <t>M11-919029</t>
  </si>
  <si>
    <t>P01-998075</t>
  </si>
  <si>
    <t>P06-997009</t>
  </si>
  <si>
    <t>P06-997010</t>
  </si>
  <si>
    <t>Q00-999219</t>
  </si>
  <si>
    <t>Q00-999227</t>
  </si>
  <si>
    <t>Q00-999230</t>
  </si>
  <si>
    <t>T00-999155</t>
  </si>
  <si>
    <t>T00-999158</t>
  </si>
  <si>
    <t>T00-999159</t>
  </si>
  <si>
    <t>T02-998239</t>
  </si>
  <si>
    <t>Y00-1001714</t>
  </si>
  <si>
    <t>Y00-1001720</t>
  </si>
  <si>
    <t>Y00-1001755</t>
  </si>
  <si>
    <t>Y00-1001799</t>
  </si>
  <si>
    <t>Y00-1001804</t>
  </si>
  <si>
    <t>Y01-811125</t>
  </si>
  <si>
    <t>C00-999172</t>
  </si>
  <si>
    <t>C01-995574</t>
  </si>
  <si>
    <t>D00-1008624</t>
  </si>
  <si>
    <t>D00-1008625</t>
  </si>
  <si>
    <t>D00-1008626</t>
  </si>
  <si>
    <t>D00-1008770</t>
  </si>
  <si>
    <t>D70-1003904</t>
  </si>
  <si>
    <t>D70-1003905</t>
  </si>
  <si>
    <t>D70-1003921</t>
  </si>
  <si>
    <t>G00-996586</t>
  </si>
  <si>
    <t>G05-963771</t>
  </si>
  <si>
    <t>G11-993825</t>
  </si>
  <si>
    <t>G11-993831</t>
  </si>
  <si>
    <t>H01-993263</t>
  </si>
  <si>
    <t>H01-993275</t>
  </si>
  <si>
    <t>L00-1014384</t>
  </si>
  <si>
    <t>L00-1014406</t>
  </si>
  <si>
    <t>L00-1014549</t>
  </si>
  <si>
    <t>L00-1014559</t>
  </si>
  <si>
    <t>L00-1014581</t>
  </si>
  <si>
    <t>L00-1014630</t>
  </si>
  <si>
    <t>L00-1014643</t>
  </si>
  <si>
    <t>L00-1014647</t>
  </si>
  <si>
    <t>L00-1014648</t>
  </si>
  <si>
    <t>L00-1014766</t>
  </si>
  <si>
    <t>L00-1014797</t>
  </si>
  <si>
    <t>L00-1015298</t>
  </si>
  <si>
    <t>L00-1015300</t>
  </si>
  <si>
    <t>L00-1015307</t>
  </si>
  <si>
    <t>L01-999237</t>
  </si>
  <si>
    <t>L06-993881</t>
  </si>
  <si>
    <t>L06-993913</t>
  </si>
  <si>
    <t>L06-993928</t>
  </si>
  <si>
    <t>L07-978173</t>
  </si>
  <si>
    <t>L12-370235</t>
  </si>
  <si>
    <t>M00-999836</t>
  </si>
  <si>
    <t>M00-999844</t>
  </si>
  <si>
    <t>M00-999863</t>
  </si>
  <si>
    <t>M05-1000743</t>
  </si>
  <si>
    <t>M05-1000746</t>
  </si>
  <si>
    <t>M05-1000754</t>
  </si>
  <si>
    <t>M11-918996</t>
  </si>
  <si>
    <t>M11-919031</t>
  </si>
  <si>
    <t>M14-980551</t>
  </si>
  <si>
    <t>M14-980557</t>
  </si>
  <si>
    <t>M17-582295</t>
  </si>
  <si>
    <t>M20-1002171</t>
  </si>
  <si>
    <t>Q02-930170</t>
  </si>
  <si>
    <t>Q02-930174</t>
  </si>
  <si>
    <t>Q02-930240</t>
  </si>
  <si>
    <t>Q02-930343</t>
  </si>
  <si>
    <t>T02-998240</t>
  </si>
  <si>
    <t>T02-998244</t>
  </si>
  <si>
    <t>Y00-1001722</t>
  </si>
  <si>
    <t>Y00-1001723</t>
  </si>
  <si>
    <t>Y00-1001724</t>
  </si>
  <si>
    <t>Y00-1001757</t>
  </si>
  <si>
    <t>Y00-1001759</t>
  </si>
  <si>
    <t>Y17-862294</t>
  </si>
  <si>
    <t>C00-999156</t>
  </si>
  <si>
    <t>C00-999157</t>
  </si>
  <si>
    <t>C00-999162</t>
  </si>
  <si>
    <t>C00-999163</t>
  </si>
  <si>
    <t>C00-999173</t>
  </si>
  <si>
    <t>C00-999230</t>
  </si>
  <si>
    <t>C00-999231</t>
  </si>
  <si>
    <t>C01-995572</t>
  </si>
  <si>
    <t>C01-995573</t>
  </si>
  <si>
    <t>D00-1008632</t>
  </si>
  <si>
    <t>D00-1008772</t>
  </si>
  <si>
    <t>D00-1008780</t>
  </si>
  <si>
    <t>D00-1008829</t>
  </si>
  <si>
    <t>D00-1008873</t>
  </si>
  <si>
    <t>D70-1003961</t>
  </si>
  <si>
    <t>D70-1004137</t>
  </si>
  <si>
    <t>F04-975679</t>
  </si>
  <si>
    <t>F04-975680</t>
  </si>
  <si>
    <t>F04-975681</t>
  </si>
  <si>
    <t>F04-975731</t>
  </si>
  <si>
    <t>F04-975732</t>
  </si>
  <si>
    <t>F04-975733</t>
  </si>
  <si>
    <t>G05-963728</t>
  </si>
  <si>
    <t>G11-993832</t>
  </si>
  <si>
    <t>H00-1000935</t>
  </si>
  <si>
    <t>H00-1000944</t>
  </si>
  <si>
    <t>L00-1014326</t>
  </si>
  <si>
    <t>L00-1014361</t>
  </si>
  <si>
    <t>L00-1014403</t>
  </si>
  <si>
    <t>L00-1014437</t>
  </si>
  <si>
    <t>L00-1014447</t>
  </si>
  <si>
    <t>L00-1014455</t>
  </si>
  <si>
    <t>L00-1014518</t>
  </si>
  <si>
    <t>L00-1014649</t>
  </si>
  <si>
    <t>L00-1014671</t>
  </si>
  <si>
    <t>L00-1014674</t>
  </si>
  <si>
    <t>L00-1014759</t>
  </si>
  <si>
    <t>L00-1014765</t>
  </si>
  <si>
    <t>L00-1015229</t>
  </si>
  <si>
    <t>L00-1015254</t>
  </si>
  <si>
    <t>L01-999165</t>
  </si>
  <si>
    <t>L06-993874</t>
  </si>
  <si>
    <t>L06-993882</t>
  </si>
  <si>
    <t>M05-1000744</t>
  </si>
  <si>
    <t>M05-1000745</t>
  </si>
  <si>
    <t>M14-980569</t>
  </si>
  <si>
    <t>M14-980600</t>
  </si>
  <si>
    <t>M14-980624</t>
  </si>
  <si>
    <t>M17-582294</t>
  </si>
  <si>
    <t>M20-1002169</t>
  </si>
  <si>
    <t>MC7-12153</t>
  </si>
  <si>
    <t>P01-998067</t>
  </si>
  <si>
    <t>P01-998135</t>
  </si>
  <si>
    <t>Q00-999231</t>
  </si>
  <si>
    <t>Q02-930198</t>
  </si>
  <si>
    <t>Q02-930206</t>
  </si>
  <si>
    <t>Q02-930216</t>
  </si>
  <si>
    <t>Q02-930327</t>
  </si>
  <si>
    <t>Q02-930329</t>
  </si>
  <si>
    <t>T00-999140</t>
  </si>
  <si>
    <t>T00-999156</t>
  </si>
  <si>
    <t>T02-998235</t>
  </si>
  <si>
    <t>T03-999821</t>
  </si>
  <si>
    <t>Y00-1001728</t>
  </si>
  <si>
    <t>Y00-1001800</t>
  </si>
  <si>
    <t>Y00-1001802</t>
  </si>
  <si>
    <t>C01-995590</t>
  </si>
  <si>
    <t>C01-995591</t>
  </si>
  <si>
    <t>C01-995667</t>
  </si>
  <si>
    <t>D00-1008698</t>
  </si>
  <si>
    <t>D00-1008737</t>
  </si>
  <si>
    <t>D00-1009457</t>
  </si>
  <si>
    <t>D70-1003918</t>
  </si>
  <si>
    <t>D70-1003925</t>
  </si>
  <si>
    <t>D70-1003966</t>
  </si>
  <si>
    <t>H00-1000923</t>
  </si>
  <si>
    <t>H00-1000932</t>
  </si>
  <si>
    <t>H00-1000939</t>
  </si>
  <si>
    <t>H01-993267</t>
  </si>
  <si>
    <t>H01-993312</t>
  </si>
  <si>
    <t>L00-1014335</t>
  </si>
  <si>
    <t>L00-1014373</t>
  </si>
  <si>
    <t>L00-1014408</t>
  </si>
  <si>
    <t>L00-1014513</t>
  </si>
  <si>
    <t>L00-1014571</t>
  </si>
  <si>
    <t>L00-1014670</t>
  </si>
  <si>
    <t>L00-1014776</t>
  </si>
  <si>
    <t>L00-1015339</t>
  </si>
  <si>
    <t>L00-1015691</t>
  </si>
  <si>
    <t>L01-999189</t>
  </si>
  <si>
    <t>L06-993909</t>
  </si>
  <si>
    <t>L06-993931</t>
  </si>
  <si>
    <t>L06-994073</t>
  </si>
  <si>
    <t>L06-994096</t>
  </si>
  <si>
    <t>L07-978115</t>
  </si>
  <si>
    <t>M00-999842</t>
  </si>
  <si>
    <t>M11-919030</t>
  </si>
  <si>
    <t>M14-980602</t>
  </si>
  <si>
    <t>M20-1002192</t>
  </si>
  <si>
    <t>P01-998063</t>
  </si>
  <si>
    <t>P01-998079</t>
  </si>
  <si>
    <t>Q02-930172</t>
  </si>
  <si>
    <t>S00-993913</t>
  </si>
  <si>
    <t>T02-998234</t>
  </si>
  <si>
    <t>Y00-1001717</t>
  </si>
  <si>
    <t>Y00-1001752</t>
  </si>
  <si>
    <t>Y01-811096</t>
  </si>
  <si>
    <t>Y11-983741</t>
  </si>
  <si>
    <t>C01-995570</t>
  </si>
  <si>
    <t>C01-995677</t>
  </si>
  <si>
    <t>D00-1008726</t>
  </si>
  <si>
    <t>D00-1008751</t>
  </si>
  <si>
    <t>D00-1008825</t>
  </si>
  <si>
    <t>D00-1008833</t>
  </si>
  <si>
    <t>D00-1008875</t>
  </si>
  <si>
    <t>D00-1008878</t>
  </si>
  <si>
    <t>D00-1009485</t>
  </si>
  <si>
    <t>D70-1003839</t>
  </si>
  <si>
    <t>D70-1003862</t>
  </si>
  <si>
    <t>D70-1003872</t>
  </si>
  <si>
    <t>D70-1003873</t>
  </si>
  <si>
    <t>D70-1003875</t>
  </si>
  <si>
    <t>D70-1003893</t>
  </si>
  <si>
    <t>D70-1003897</t>
  </si>
  <si>
    <t>D70-1003909</t>
  </si>
  <si>
    <t>D70-1003973</t>
  </si>
  <si>
    <t>D70-1003987</t>
  </si>
  <si>
    <t>D70-1004094</t>
  </si>
  <si>
    <t>D70-1004095</t>
  </si>
  <si>
    <t>D70-1004247</t>
  </si>
  <si>
    <t>D70-1004248</t>
  </si>
  <si>
    <t>F04-975762</t>
  </si>
  <si>
    <t>H00-1000920</t>
  </si>
  <si>
    <t>H00-1000926</t>
  </si>
  <si>
    <t>H00-1000927</t>
  </si>
  <si>
    <t>H01-993262</t>
  </si>
  <si>
    <t>H01-993310</t>
  </si>
  <si>
    <t>H01-993311</t>
  </si>
  <si>
    <t>L00-1014325</t>
  </si>
  <si>
    <t>L00-1014343</t>
  </si>
  <si>
    <t>L00-1014454</t>
  </si>
  <si>
    <t>L00-1014535</t>
  </si>
  <si>
    <t>L00-1014547</t>
  </si>
  <si>
    <t>L00-1014579</t>
  </si>
  <si>
    <t>L00-1014646</t>
  </si>
  <si>
    <t>L00-1014653</t>
  </si>
  <si>
    <t>L00-1014658</t>
  </si>
  <si>
    <t>L00-1014669</t>
  </si>
  <si>
    <t>L00-1014762</t>
  </si>
  <si>
    <t>L00-1014763</t>
  </si>
  <si>
    <t>L00-1015274</t>
  </si>
  <si>
    <t>L00-1015349</t>
  </si>
  <si>
    <t>L00-1015353</t>
  </si>
  <si>
    <t>L00-1015703</t>
  </si>
  <si>
    <t>L00-1015720</t>
  </si>
  <si>
    <t>L01-999184</t>
  </si>
  <si>
    <t>L01-999195</t>
  </si>
  <si>
    <t>L06-994067</t>
  </si>
  <si>
    <t>M14-980596</t>
  </si>
  <si>
    <t>M20-1002150</t>
  </si>
  <si>
    <t>M20-1002191</t>
  </si>
  <si>
    <t>M20-1002194</t>
  </si>
  <si>
    <t>M20-1002195</t>
  </si>
  <si>
    <t>MC1-998529</t>
  </si>
  <si>
    <t>P00-995932</t>
  </si>
  <si>
    <t>P00-995934</t>
  </si>
  <si>
    <t>P00-996050</t>
  </si>
  <si>
    <t>P01-998068</t>
  </si>
  <si>
    <t>Q00-999307</t>
  </si>
  <si>
    <t>Q02-930182</t>
  </si>
  <si>
    <t>Q02-930229</t>
  </si>
  <si>
    <t>Q02-930328</t>
  </si>
  <si>
    <t>T00-999131</t>
  </si>
  <si>
    <t>T00-999207</t>
  </si>
  <si>
    <t>Y00-1001909</t>
  </si>
  <si>
    <t>Y00-1001921</t>
  </si>
  <si>
    <t>Y01-811116</t>
  </si>
  <si>
    <t>Y11-983744</t>
  </si>
  <si>
    <t>Y11-983745</t>
  </si>
  <si>
    <t>Y17-862313</t>
  </si>
  <si>
    <t>C01-995575</t>
  </si>
  <si>
    <t>D00-1008732</t>
  </si>
  <si>
    <t>D00-1009387</t>
  </si>
  <si>
    <t>D00-1009488</t>
  </si>
  <si>
    <t>D70-1003876</t>
  </si>
  <si>
    <t>D70-1003939</t>
  </si>
  <si>
    <t>D70-1004111</t>
  </si>
  <si>
    <t>F02-996431</t>
  </si>
  <si>
    <t>F02-996435</t>
  </si>
  <si>
    <t>F02-996436</t>
  </si>
  <si>
    <t>F04-975709</t>
  </si>
  <si>
    <t>F04-975771</t>
  </si>
  <si>
    <t>F14-102142</t>
  </si>
  <si>
    <t>G05-963741</t>
  </si>
  <si>
    <t>G05-963742</t>
  </si>
  <si>
    <t>G05-963743</t>
  </si>
  <si>
    <t>G05-963746</t>
  </si>
  <si>
    <t>G05-963773</t>
  </si>
  <si>
    <t>L00-1014332</t>
  </si>
  <si>
    <t>L00-1014552</t>
  </si>
  <si>
    <t>L00-1014554</t>
  </si>
  <si>
    <t>L00-1014560</t>
  </si>
  <si>
    <t>L00-1014796</t>
  </si>
  <si>
    <t>L00-1014806</t>
  </si>
  <si>
    <t>L01-999181</t>
  </si>
  <si>
    <t>L01-999185</t>
  </si>
  <si>
    <t>L01-999228</t>
  </si>
  <si>
    <t>L01-999241</t>
  </si>
  <si>
    <t>L01-999242</t>
  </si>
  <si>
    <t>L06-993878</t>
  </si>
  <si>
    <t>L06-993884</t>
  </si>
  <si>
    <t>L06-993893</t>
  </si>
  <si>
    <t>L06-993902</t>
  </si>
  <si>
    <t>L06-993929</t>
  </si>
  <si>
    <t>L06-993934</t>
  </si>
  <si>
    <t>L06-993935</t>
  </si>
  <si>
    <t>L06-994064</t>
  </si>
  <si>
    <t>L06-994197</t>
  </si>
  <si>
    <t>M05-1000749</t>
  </si>
  <si>
    <t>M11-919038</t>
  </si>
  <si>
    <t>M11-919053</t>
  </si>
  <si>
    <t>M11-919113</t>
  </si>
  <si>
    <t>M20-1002200</t>
  </si>
  <si>
    <t>M20-1002361</t>
  </si>
  <si>
    <t>M20-1002367</t>
  </si>
  <si>
    <t>M25-848842</t>
  </si>
  <si>
    <t>MS1-999147</t>
  </si>
  <si>
    <t>P00-995909</t>
  </si>
  <si>
    <t>P00-995910</t>
  </si>
  <si>
    <t>P06-997006</t>
  </si>
  <si>
    <t>Q02-930188</t>
  </si>
  <si>
    <t>Q02-930207</t>
  </si>
  <si>
    <t>Q02-930217</t>
  </si>
  <si>
    <t>Q02-930230</t>
  </si>
  <si>
    <t>Q02-930231</t>
  </si>
  <si>
    <t>Q02-930232</t>
  </si>
  <si>
    <t>Q02-930233</t>
  </si>
  <si>
    <t>Q02-930234</t>
  </si>
  <si>
    <t>Q02-930235</t>
  </si>
  <si>
    <t>Q02-930236</t>
  </si>
  <si>
    <t>Q02-930237</t>
  </si>
  <si>
    <t>Q02-930238</t>
  </si>
  <si>
    <t>Q02-930239</t>
  </si>
  <si>
    <t>Q02-930242</t>
  </si>
  <si>
    <t>Q02-930243</t>
  </si>
  <si>
    <t>Q02-930244</t>
  </si>
  <si>
    <t>Q02-930245</t>
  </si>
  <si>
    <t>Q02-930246</t>
  </si>
  <si>
    <t>Q02-930247</t>
  </si>
  <si>
    <t>T00-999148</t>
  </si>
  <si>
    <t>Y00-1001775</t>
  </si>
  <si>
    <t>Y00-1001777</t>
  </si>
  <si>
    <t>Y01-811091</t>
  </si>
  <si>
    <t>Y11-983715</t>
  </si>
  <si>
    <t>C00-999168</t>
  </si>
  <si>
    <t>C00-999169</t>
  </si>
  <si>
    <t>D00-1008633</t>
  </si>
  <si>
    <t>D00-1008754</t>
  </si>
  <si>
    <t>D00-1009722</t>
  </si>
  <si>
    <t>D70-1003838</t>
  </si>
  <si>
    <t>D70-1003840</t>
  </si>
  <si>
    <t>D70-1003843</t>
  </si>
  <si>
    <t>D70-1003908</t>
  </si>
  <si>
    <t>D70-1003934</t>
  </si>
  <si>
    <t>D70-1003992</t>
  </si>
  <si>
    <t>D70-1004096</t>
  </si>
  <si>
    <t>F02-996441</t>
  </si>
  <si>
    <t>F04-975682</t>
  </si>
  <si>
    <t>G05-963730</t>
  </si>
  <si>
    <t>G05-963739</t>
  </si>
  <si>
    <t>G11-993867</t>
  </si>
  <si>
    <t>G11-993868</t>
  </si>
  <si>
    <t>G11-993871</t>
  </si>
  <si>
    <t>L00-1014538</t>
  </si>
  <si>
    <t>L00-1014613</t>
  </si>
  <si>
    <t>L00-1015317</t>
  </si>
  <si>
    <t>L01-999174</t>
  </si>
  <si>
    <t>L06-993875</t>
  </si>
  <si>
    <t>L06-993914</t>
  </si>
  <si>
    <t>L07-978104</t>
  </si>
  <si>
    <t>L07-978167</t>
  </si>
  <si>
    <t>L07-978178</t>
  </si>
  <si>
    <t>M00-999917</t>
  </si>
  <si>
    <t>M00-999941</t>
  </si>
  <si>
    <t>M05-1000783</t>
  </si>
  <si>
    <t>M20-1002157</t>
  </si>
  <si>
    <t>M20-1002161</t>
  </si>
  <si>
    <t>MS5-913823</t>
  </si>
  <si>
    <t>MS5-913844</t>
  </si>
  <si>
    <t>P00-995918</t>
  </si>
  <si>
    <t>P00-995925</t>
  </si>
  <si>
    <t>P00-995954</t>
  </si>
  <si>
    <t>P00-996007</t>
  </si>
  <si>
    <t>Q00-999223</t>
  </si>
  <si>
    <t>Q00-999311</t>
  </si>
  <si>
    <t>Q02-930179</t>
  </si>
  <si>
    <t>Q02-930180</t>
  </si>
  <si>
    <t>Q02-930208</t>
  </si>
  <si>
    <t>Q02-930335</t>
  </si>
  <si>
    <t>Q02-930337</t>
  </si>
  <si>
    <t>Q02-930341</t>
  </si>
  <si>
    <t>Q02-930342</t>
  </si>
  <si>
    <t>T00-999151</t>
  </si>
  <si>
    <t>Y00-1001735</t>
  </si>
  <si>
    <t>Y00-1001736</t>
  </si>
  <si>
    <t>Y00-1001739</t>
  </si>
  <si>
    <t>Y00-1001742</t>
  </si>
  <si>
    <t>Y00-1001779</t>
  </si>
  <si>
    <t>Y00-1001926</t>
  </si>
  <si>
    <t>Y11-983710</t>
  </si>
  <si>
    <t>Y17-862295</t>
  </si>
  <si>
    <t>C00-999175</t>
  </si>
  <si>
    <t>C01-995662</t>
  </si>
  <si>
    <t>D00-1008684</t>
  </si>
  <si>
    <t>D00-1008697</t>
  </si>
  <si>
    <t>D00-1008776</t>
  </si>
  <si>
    <t>D00-1009465</t>
  </si>
  <si>
    <t>D70-1003860</t>
  </si>
  <si>
    <t>D70-1003869</t>
  </si>
  <si>
    <t>D70-1003885</t>
  </si>
  <si>
    <t>D70-1003960</t>
  </si>
  <si>
    <t>D70-1004108</t>
  </si>
  <si>
    <t>E00-996342</t>
  </si>
  <si>
    <t>G00-996597</t>
  </si>
  <si>
    <t>G11-993839</t>
  </si>
  <si>
    <t>H00-1000928</t>
  </si>
  <si>
    <t>H00-1000930</t>
  </si>
  <si>
    <t>H00-1000942</t>
  </si>
  <si>
    <t>L00-1014341</t>
  </si>
  <si>
    <t>L00-1014427</t>
  </si>
  <si>
    <t>L00-1014440</t>
  </si>
  <si>
    <t>L00-1014499</t>
  </si>
  <si>
    <t>L00-1014500</t>
  </si>
  <si>
    <t>L00-1014525</t>
  </si>
  <si>
    <t>L00-1014528</t>
  </si>
  <si>
    <t>L00-1014548</t>
  </si>
  <si>
    <t>L00-1014612</t>
  </si>
  <si>
    <t>L00-1014655</t>
  </si>
  <si>
    <t>L00-1014659</t>
  </si>
  <si>
    <t>L00-1014668</t>
  </si>
  <si>
    <t>L00-1014672</t>
  </si>
  <si>
    <t>L00-1014673</t>
  </si>
  <si>
    <t>L00-1015206</t>
  </si>
  <si>
    <t>L00-1015253</t>
  </si>
  <si>
    <t>L00-1015271</t>
  </si>
  <si>
    <t>L00-1015305</t>
  </si>
  <si>
    <t>L00-1015311</t>
  </si>
  <si>
    <t>L06-993894</t>
  </si>
  <si>
    <t>L06-993954</t>
  </si>
  <si>
    <t>L06-994050</t>
  </si>
  <si>
    <t>L06-994069</t>
  </si>
  <si>
    <t>L07-978111</t>
  </si>
  <si>
    <t>L07-978118</t>
  </si>
  <si>
    <t>L07-978119</t>
  </si>
  <si>
    <t>L07-978175</t>
  </si>
  <si>
    <t>L12-370234</t>
  </si>
  <si>
    <t>L12-370238</t>
  </si>
  <si>
    <t>M00-999850</t>
  </si>
  <si>
    <t>M05-1000750</t>
  </si>
  <si>
    <t>M14-980593</t>
  </si>
  <si>
    <t>M20-1002154</t>
  </si>
  <si>
    <t>M20-1002193</t>
  </si>
  <si>
    <t>M20-1002267</t>
  </si>
  <si>
    <t>MC1-998536</t>
  </si>
  <si>
    <t>MC1-998589</t>
  </si>
  <si>
    <t>P00-995904</t>
  </si>
  <si>
    <t>P00-995906</t>
  </si>
  <si>
    <t>P00-995908</t>
  </si>
  <si>
    <t>P01-998070</t>
  </si>
  <si>
    <t>Q02-930173</t>
  </si>
  <si>
    <t>Q02-930189</t>
  </si>
  <si>
    <t>Q02-930201</t>
  </si>
  <si>
    <t>Q02-930249</t>
  </si>
  <si>
    <t>Q02-930250</t>
  </si>
  <si>
    <t>T00-999165</t>
  </si>
  <si>
    <t>Y00-1001725</t>
  </si>
  <si>
    <t>Y00-1001738</t>
  </si>
  <si>
    <t>Y00-1001773</t>
  </si>
  <si>
    <t>Y00-1001774</t>
  </si>
  <si>
    <t>Y01-811112</t>
  </si>
  <si>
    <t>Y01-811119</t>
  </si>
  <si>
    <t>Y01-811122</t>
  </si>
  <si>
    <t>Y02-993401</t>
  </si>
  <si>
    <t>Y02-993412</t>
  </si>
  <si>
    <t>Y11-983712</t>
  </si>
  <si>
    <t>C00-999158</t>
  </si>
  <si>
    <t>C01-995589</t>
  </si>
  <si>
    <t>C01-995596</t>
  </si>
  <si>
    <t>C01-995609</t>
  </si>
  <si>
    <t>C01-995671</t>
  </si>
  <si>
    <t>C01-995672</t>
  </si>
  <si>
    <t>C01-995675</t>
  </si>
  <si>
    <t>C01-995678</t>
  </si>
  <si>
    <t>D00-1008661</t>
  </si>
  <si>
    <t>D00-1008690</t>
  </si>
  <si>
    <t>D00-1008691</t>
  </si>
  <si>
    <t>D00-1008699</t>
  </si>
  <si>
    <t>D00-1008704</t>
  </si>
  <si>
    <t>D00-1008706</t>
  </si>
  <si>
    <t>D00-1008707</t>
  </si>
  <si>
    <t>D00-1008742</t>
  </si>
  <si>
    <t>D00-1008750</t>
  </si>
  <si>
    <t>D00-1008769</t>
  </si>
  <si>
    <t>D00-1008777</t>
  </si>
  <si>
    <t>D00-1008835</t>
  </si>
  <si>
    <t>D00-1009370</t>
  </si>
  <si>
    <t>D00-1009371</t>
  </si>
  <si>
    <t>D00-1009639</t>
  </si>
  <si>
    <t>D00-1009694</t>
  </si>
  <si>
    <t>D00-1009963</t>
  </si>
  <si>
    <t>D00-1010251</t>
  </si>
  <si>
    <t>D70-1003861</t>
  </si>
  <si>
    <t>D70-1003928</t>
  </si>
  <si>
    <t>G00-996596</t>
  </si>
  <si>
    <t>G05-963725</t>
  </si>
  <si>
    <t>G05-963756</t>
  </si>
  <si>
    <t>G05-963757</t>
  </si>
  <si>
    <t>G05-963760</t>
  </si>
  <si>
    <t>G05-963813</t>
  </si>
  <si>
    <t>L00-1014344</t>
  </si>
  <si>
    <t>L00-1014425</t>
  </si>
  <si>
    <t>L00-1014433</t>
  </si>
  <si>
    <t>L00-1014438</t>
  </si>
  <si>
    <t>L00-1014439</t>
  </si>
  <si>
    <t>L00-1014479</t>
  </si>
  <si>
    <t>L00-1014480</t>
  </si>
  <si>
    <t>L00-1014501</t>
  </si>
  <si>
    <t>L00-1014503</t>
  </si>
  <si>
    <t>L00-1014564</t>
  </si>
  <si>
    <t>L00-1014600</t>
  </si>
  <si>
    <t>L00-1014614</t>
  </si>
  <si>
    <t>L00-1014615</t>
  </si>
  <si>
    <t>L00-1014756</t>
  </si>
  <si>
    <t>L00-1014784</t>
  </si>
  <si>
    <t>L00-1015315</t>
  </si>
  <si>
    <t>L00-1015347</t>
  </si>
  <si>
    <t>L00-1015751</t>
  </si>
  <si>
    <t>L00-1015752</t>
  </si>
  <si>
    <t>L01-999166</t>
  </si>
  <si>
    <t>L01-999170</t>
  </si>
  <si>
    <t>L07-978114</t>
  </si>
  <si>
    <t>M00-999912</t>
  </si>
  <si>
    <t>M05-1000756</t>
  </si>
  <si>
    <t>M05-1000786</t>
  </si>
  <si>
    <t>M14-980577</t>
  </si>
  <si>
    <t>M14-980578</t>
  </si>
  <si>
    <t>M14-980579</t>
  </si>
  <si>
    <t>M20-1002151</t>
  </si>
  <si>
    <t>M20-1002172</t>
  </si>
  <si>
    <t>M20-1002179</t>
  </si>
  <si>
    <t>M20-1002264</t>
  </si>
  <si>
    <t>M20-1002356</t>
  </si>
  <si>
    <t>M20-1002358</t>
  </si>
  <si>
    <t>M20-1002359</t>
  </si>
  <si>
    <t>P01-998111</t>
  </si>
  <si>
    <t>Q00-999226</t>
  </si>
  <si>
    <t>Q00-999236</t>
  </si>
  <si>
    <t>Q02-930183</t>
  </si>
  <si>
    <t>Q02-930260</t>
  </si>
  <si>
    <t>T02-998227</t>
  </si>
  <si>
    <t>Y00-1001766</t>
  </si>
  <si>
    <t>Y11-983716</t>
  </si>
  <si>
    <t>Y11-983717</t>
  </si>
  <si>
    <t>C00-999161</t>
  </si>
  <si>
    <t>C00-999233</t>
  </si>
  <si>
    <t>C00-999236</t>
  </si>
  <si>
    <t>D00-1008709</t>
  </si>
  <si>
    <t>D00-1008722</t>
  </si>
  <si>
    <t>D00-1008724</t>
  </si>
  <si>
    <t>D00-1008731</t>
  </si>
  <si>
    <t>D00-1008735</t>
  </si>
  <si>
    <t>D00-1008741</t>
  </si>
  <si>
    <t>D00-1008743</t>
  </si>
  <si>
    <t>D00-1008744</t>
  </si>
  <si>
    <t>D00-1008745</t>
  </si>
  <si>
    <t>D00-1008748</t>
  </si>
  <si>
    <t>D00-1008753</t>
  </si>
  <si>
    <t>D00-1008758</t>
  </si>
  <si>
    <t>D00-1008759</t>
  </si>
  <si>
    <t>D00-1008771</t>
  </si>
  <si>
    <t>D00-1008774</t>
  </si>
  <si>
    <t>D00-1008783</t>
  </si>
  <si>
    <t>D00-1008790</t>
  </si>
  <si>
    <t>D00-1009652</t>
  </si>
  <si>
    <t>D70-1003845</t>
  </si>
  <si>
    <t>D70-1003866</t>
  </si>
  <si>
    <t>D70-1003867</t>
  </si>
  <si>
    <t>D70-1003870</t>
  </si>
  <si>
    <t>D70-1003896</t>
  </si>
  <si>
    <t>D70-1003898</t>
  </si>
  <si>
    <t>D70-1003912</t>
  </si>
  <si>
    <t>D70-1003913</t>
  </si>
  <si>
    <t>D70-1003920</t>
  </si>
  <si>
    <t>D70-1003930</t>
  </si>
  <si>
    <t>D70-1003938</t>
  </si>
  <si>
    <t>D70-1003988</t>
  </si>
  <si>
    <t>D70-1004098</t>
  </si>
  <si>
    <t>D70-1004100</t>
  </si>
  <si>
    <t>F02-996430</t>
  </si>
  <si>
    <t>F02-996459</t>
  </si>
  <si>
    <t>F04-975683</t>
  </si>
  <si>
    <t>F04-975693</t>
  </si>
  <si>
    <t>F04-975703</t>
  </si>
  <si>
    <t>F04-975705</t>
  </si>
  <si>
    <t>F04-975706</t>
  </si>
  <si>
    <t>F04-975832</t>
  </si>
  <si>
    <t>F04-975859</t>
  </si>
  <si>
    <t>G00-996585</t>
  </si>
  <si>
    <t>G00-996731</t>
  </si>
  <si>
    <t>G11-993826</t>
  </si>
  <si>
    <t>G11-993827</t>
  </si>
  <si>
    <t>G11-993829</t>
  </si>
  <si>
    <t>G11-993830</t>
  </si>
  <si>
    <t>G11-993845</t>
  </si>
  <si>
    <t>G11-993861</t>
  </si>
  <si>
    <t>G11-993872</t>
  </si>
  <si>
    <t>G11-993873</t>
  </si>
  <si>
    <t>G11-993875</t>
  </si>
  <si>
    <t>G11-993891</t>
  </si>
  <si>
    <t>H01-993261</t>
  </si>
  <si>
    <t>H01-993276</t>
  </si>
  <si>
    <t>L00-1014307</t>
  </si>
  <si>
    <t>L00-1014319</t>
  </si>
  <si>
    <t>L00-1014351</t>
  </si>
  <si>
    <t>L00-1014381</t>
  </si>
  <si>
    <t>L00-1014382</t>
  </si>
  <si>
    <t>L00-1014407</t>
  </si>
  <si>
    <t>L00-1014422</t>
  </si>
  <si>
    <t>L00-1014430</t>
  </si>
  <si>
    <t>L00-1014468</t>
  </si>
  <si>
    <t>L00-1014506</t>
  </si>
  <si>
    <t>L00-1014561</t>
  </si>
  <si>
    <t>L00-1014572</t>
  </si>
  <si>
    <t>L00-1014640</t>
  </si>
  <si>
    <t>L00-1016198</t>
  </si>
  <si>
    <t>L01-999163</t>
  </si>
  <si>
    <t>L01-999164</t>
  </si>
  <si>
    <t>L01-999178</t>
  </si>
  <si>
    <t>L01-999234</t>
  </si>
  <si>
    <t>L06-993900</t>
  </si>
  <si>
    <t>L06-993901</t>
  </si>
  <si>
    <t>L06-993911</t>
  </si>
  <si>
    <t>L06-993912</t>
  </si>
  <si>
    <t>L06-993926</t>
  </si>
  <si>
    <t>M00-999835</t>
  </si>
  <si>
    <t>M00-999837</t>
  </si>
  <si>
    <t>M05-1000739</t>
  </si>
  <si>
    <t>M14-980575</t>
  </si>
  <si>
    <t>M14-980660</t>
  </si>
  <si>
    <t>M20-1002176</t>
  </si>
  <si>
    <t>M20-1002183</t>
  </si>
  <si>
    <t>M20-1002186</t>
  </si>
  <si>
    <t>M20-1002269</t>
  </si>
  <si>
    <t>MS1-999110</t>
  </si>
  <si>
    <t>MS1-999161</t>
  </si>
  <si>
    <t>MS5-913809</t>
  </si>
  <si>
    <t>P00-995927</t>
  </si>
  <si>
    <t>P00-995992</t>
  </si>
  <si>
    <t>P01-998065</t>
  </si>
  <si>
    <t>P01-998073</t>
  </si>
  <si>
    <t>P01-998108</t>
  </si>
  <si>
    <t>P06-997003</t>
  </si>
  <si>
    <t>P07-995016</t>
  </si>
  <si>
    <t>Q00-999224</t>
  </si>
  <si>
    <t>Q02-930184</t>
  </si>
  <si>
    <t>Q02-930330</t>
  </si>
  <si>
    <t>Q02-930331</t>
  </si>
  <si>
    <t>T02-998230</t>
  </si>
  <si>
    <t>Y00-1001726</t>
  </si>
  <si>
    <t>Y00-1001753</t>
  </si>
  <si>
    <t>Y00-1001754</t>
  </si>
  <si>
    <t>Y00-1001778</t>
  </si>
  <si>
    <t>Y00-1001780</t>
  </si>
  <si>
    <t>Y00-1001893</t>
  </si>
  <si>
    <t>Y00-1001895</t>
  </si>
  <si>
    <t>Y00-1001896</t>
  </si>
  <si>
    <t>Y00-1001902</t>
  </si>
  <si>
    <t>Y01-811080</t>
  </si>
  <si>
    <t>C00-999193</t>
  </si>
  <si>
    <t>C00-999206</t>
  </si>
  <si>
    <t>C01-995621</t>
  </si>
  <si>
    <t>C01-995635</t>
  </si>
  <si>
    <t>C01-995645</t>
  </si>
  <si>
    <t>C01-995651</t>
  </si>
  <si>
    <t>D00-1008891</t>
  </si>
  <si>
    <t>D00-1008892</t>
  </si>
  <si>
    <t>D00-1008902</t>
  </si>
  <si>
    <t>D00-1008922</t>
  </si>
  <si>
    <t>D00-1008929</t>
  </si>
  <si>
    <t>D00-1008930</t>
  </si>
  <si>
    <t>D00-1008931</t>
  </si>
  <si>
    <t>D00-1008932</t>
  </si>
  <si>
    <t>D00-1008933</t>
  </si>
  <si>
    <t>D00-1008934</t>
  </si>
  <si>
    <t>D00-1008935</t>
  </si>
  <si>
    <t>D00-1008936</t>
  </si>
  <si>
    <t>D00-1008937</t>
  </si>
  <si>
    <t>D00-1008938</t>
  </si>
  <si>
    <t>D00-1008939</t>
  </si>
  <si>
    <t>D00-1008940</t>
  </si>
  <si>
    <t>D00-1008977</t>
  </si>
  <si>
    <t>D00-1009122</t>
  </si>
  <si>
    <t>D00-1009123</t>
  </si>
  <si>
    <t>D00-1009126</t>
  </si>
  <si>
    <t>D00-1009127</t>
  </si>
  <si>
    <t>D00-1009133</t>
  </si>
  <si>
    <t>D00-1009134</t>
  </si>
  <si>
    <t>D00-1009136</t>
  </si>
  <si>
    <t>D00-1009139</t>
  </si>
  <si>
    <t>D00-1009146</t>
  </si>
  <si>
    <t>D00-1009149</t>
  </si>
  <si>
    <t>D00-1009151</t>
  </si>
  <si>
    <t>D00-1009157</t>
  </si>
  <si>
    <t>D00-1009159</t>
  </si>
  <si>
    <t>D00-1009164</t>
  </si>
  <si>
    <t>D00-1009165</t>
  </si>
  <si>
    <t>D00-1009167</t>
  </si>
  <si>
    <t>D00-1009168</t>
  </si>
  <si>
    <t>D00-1009169</t>
  </si>
  <si>
    <t>D00-1009170</t>
  </si>
  <si>
    <t>D00-1009173</t>
  </si>
  <si>
    <t>D00-1009175</t>
  </si>
  <si>
    <t>D00-1009176</t>
  </si>
  <si>
    <t>D00-1009177</t>
  </si>
  <si>
    <t>D00-1009180</t>
  </si>
  <si>
    <t>D00-1009181</t>
  </si>
  <si>
    <t>D00-1009182</t>
  </si>
  <si>
    <t>D00-1009185</t>
  </si>
  <si>
    <t>D00-1009188</t>
  </si>
  <si>
    <t>D00-1009189</t>
  </si>
  <si>
    <t>D00-1009195</t>
  </si>
  <si>
    <t>D00-1009196</t>
  </si>
  <si>
    <t>D00-1009199</t>
  </si>
  <si>
    <t>D00-1009200</t>
  </si>
  <si>
    <t>D00-1009203</t>
  </si>
  <si>
    <t>D00-1009204</t>
  </si>
  <si>
    <t>D00-1009206</t>
  </si>
  <si>
    <t>D00-1009208</t>
  </si>
  <si>
    <t>D00-1009209</t>
  </si>
  <si>
    <t>D00-1009210</t>
  </si>
  <si>
    <t>D00-1009213</t>
  </si>
  <si>
    <t>D00-1009215</t>
  </si>
  <si>
    <t>D00-1009220</t>
  </si>
  <si>
    <t>D00-1009221</t>
  </si>
  <si>
    <t>D00-1009222</t>
  </si>
  <si>
    <t>D00-1009224</t>
  </si>
  <si>
    <t>D00-1009225</t>
  </si>
  <si>
    <t>D00-1009226</t>
  </si>
  <si>
    <t>D00-1009227</t>
  </si>
  <si>
    <t>D00-1009230</t>
  </si>
  <si>
    <t>D00-1009233</t>
  </si>
  <si>
    <t>D00-1009234</t>
  </si>
  <si>
    <t>D00-1009237</t>
  </si>
  <si>
    <t>D00-1009238</t>
  </si>
  <si>
    <t>D00-1009245</t>
  </si>
  <si>
    <t>D00-1009249</t>
  </si>
  <si>
    <t>D00-1009252</t>
  </si>
  <si>
    <t>D00-1009255</t>
  </si>
  <si>
    <t>D00-1009272</t>
  </si>
  <si>
    <t>D00-1009277</t>
  </si>
  <si>
    <t>D00-1009279</t>
  </si>
  <si>
    <t>D00-1009283</t>
  </si>
  <si>
    <t>D00-1009284</t>
  </si>
  <si>
    <t>D00-1009285</t>
  </si>
  <si>
    <t>D00-1009286</t>
  </si>
  <si>
    <t>D00-1009287</t>
  </si>
  <si>
    <t>D00-1009288</t>
  </si>
  <si>
    <t>D00-1009289</t>
  </si>
  <si>
    <t>D00-1009290</t>
  </si>
  <si>
    <t>D00-1009291</t>
  </si>
  <si>
    <t>D00-1009292</t>
  </si>
  <si>
    <t>D00-1009294</t>
  </si>
  <si>
    <t>D00-1009295</t>
  </si>
  <si>
    <t>D00-1009296</t>
  </si>
  <si>
    <t>D00-1009297</t>
  </si>
  <si>
    <t>D00-1009298</t>
  </si>
  <si>
    <t>D00-1009300</t>
  </si>
  <si>
    <t>D00-1009301</t>
  </si>
  <si>
    <t>D00-1009302</t>
  </si>
  <si>
    <t>D00-1009303</t>
  </si>
  <si>
    <t>D00-1009304</t>
  </si>
  <si>
    <t>D00-1009305</t>
  </si>
  <si>
    <t>D00-1009306</t>
  </si>
  <si>
    <t>D00-1009307</t>
  </si>
  <si>
    <t>D00-1009308</t>
  </si>
  <si>
    <t>D00-1009309</t>
  </si>
  <si>
    <t>D00-1009311</t>
  </si>
  <si>
    <t>D00-1009312</t>
  </si>
  <si>
    <t>D00-1009317</t>
  </si>
  <si>
    <t>D00-1009333</t>
  </si>
  <si>
    <t>D00-1009334</t>
  </si>
  <si>
    <t>D00-1009350</t>
  </si>
  <si>
    <t>D00-1009410</t>
  </si>
  <si>
    <t>D00-1009481</t>
  </si>
  <si>
    <t>D00-1009647</t>
  </si>
  <si>
    <t>D00-1009654</t>
  </si>
  <si>
    <t>D00-1009662</t>
  </si>
  <si>
    <t>D00-1009667</t>
  </si>
  <si>
    <t>D00-1009679</t>
  </si>
  <si>
    <t>D00-1009685</t>
  </si>
  <si>
    <t>D00-1009686</t>
  </si>
  <si>
    <t>D00-1009687</t>
  </si>
  <si>
    <t>D00-1009692</t>
  </si>
  <si>
    <t>D00-1009693</t>
  </si>
  <si>
    <t>D00-1009701</t>
  </si>
  <si>
    <t>D00-1009718</t>
  </si>
  <si>
    <t>D00-1009742</t>
  </si>
  <si>
    <t>D00-1010007</t>
  </si>
  <si>
    <t>D00-1010243</t>
  </si>
  <si>
    <t>D00-1010287</t>
  </si>
  <si>
    <t>D70-1003979</t>
  </si>
  <si>
    <t>D70-1003980</t>
  </si>
  <si>
    <t>D70-1003981</t>
  </si>
  <si>
    <t>D70-1003982</t>
  </si>
  <si>
    <t>D70-1003989</t>
  </si>
  <si>
    <t>D70-1003990</t>
  </si>
  <si>
    <t>D70-1003994</t>
  </si>
  <si>
    <t>D70-1003995</t>
  </si>
  <si>
    <t>D70-1003997</t>
  </si>
  <si>
    <t>D70-1004003</t>
  </si>
  <si>
    <t>D70-1004015</t>
  </si>
  <si>
    <t>D70-1004031</t>
  </si>
  <si>
    <t>D70-1004046</t>
  </si>
  <si>
    <t>D70-1004064</t>
  </si>
  <si>
    <t>D70-1004065</t>
  </si>
  <si>
    <t>D70-1004074</t>
  </si>
  <si>
    <t>D70-1004077</t>
  </si>
  <si>
    <t>D70-1004103</t>
  </si>
  <si>
    <t>D70-1004109</t>
  </si>
  <si>
    <t>D70-1004138</t>
  </si>
  <si>
    <t>D70-1004260</t>
  </si>
  <si>
    <t>D70-1004411</t>
  </si>
  <si>
    <t>D70-1004417</t>
  </si>
  <si>
    <t>E01-636184</t>
  </si>
  <si>
    <t>F02-996465</t>
  </si>
  <si>
    <t>F04-975745</t>
  </si>
  <si>
    <t>F04-975760</t>
  </si>
  <si>
    <t>F04-975764</t>
  </si>
  <si>
    <t>F04-975770</t>
  </si>
  <si>
    <t>G00-996615</t>
  </si>
  <si>
    <t>G00-996616</t>
  </si>
  <si>
    <t>G00-996617</t>
  </si>
  <si>
    <t>G00-996618</t>
  </si>
  <si>
    <t>G00-996621</t>
  </si>
  <si>
    <t>G00-996622</t>
  </si>
  <si>
    <t>G00-996623</t>
  </si>
  <si>
    <t>G00-996692</t>
  </si>
  <si>
    <t>G00-996700</t>
  </si>
  <si>
    <t>G00-996730</t>
  </si>
  <si>
    <t>G00-996740</t>
  </si>
  <si>
    <t>G05-963790</t>
  </si>
  <si>
    <t>G05-963791</t>
  </si>
  <si>
    <t>G05-963796</t>
  </si>
  <si>
    <t>G05-963798</t>
  </si>
  <si>
    <t>G11-993859</t>
  </si>
  <si>
    <t>H00-1000989</t>
  </si>
  <si>
    <t>H00-1000993</t>
  </si>
  <si>
    <t>H00-1000996</t>
  </si>
  <si>
    <t>H00-1001000</t>
  </si>
  <si>
    <t>H00-1001026</t>
  </si>
  <si>
    <t>H00-1001069</t>
  </si>
  <si>
    <t>H01-993295</t>
  </si>
  <si>
    <t>L00-1014808</t>
  </si>
  <si>
    <t>L00-1014811</t>
  </si>
  <si>
    <t>L00-1014816</t>
  </si>
  <si>
    <t>L00-1014824</t>
  </si>
  <si>
    <t>L00-1014851</t>
  </si>
  <si>
    <t>L00-1014854</t>
  </si>
  <si>
    <t>L00-1014878</t>
  </si>
  <si>
    <t>L00-1014906</t>
  </si>
  <si>
    <t>L00-1014938</t>
  </si>
  <si>
    <t>L00-1014949</t>
  </si>
  <si>
    <t>L00-1014966</t>
  </si>
  <si>
    <t>L00-1015002</t>
  </si>
  <si>
    <t>L00-1015006</t>
  </si>
  <si>
    <t>L00-1015007</t>
  </si>
  <si>
    <t>L00-1015030</t>
  </si>
  <si>
    <t>L00-1015042</t>
  </si>
  <si>
    <t>L00-1015045</t>
  </si>
  <si>
    <t>L00-1015057</t>
  </si>
  <si>
    <t>L00-1015112</t>
  </si>
  <si>
    <t>L00-1015119</t>
  </si>
  <si>
    <t>L00-1015138</t>
  </si>
  <si>
    <t>L00-1015216</t>
  </si>
  <si>
    <t>L00-1015314</t>
  </si>
  <si>
    <t>L00-1015323</t>
  </si>
  <si>
    <t>L00-1015328</t>
  </si>
  <si>
    <t>L00-1015350</t>
  </si>
  <si>
    <t>L00-1015728</t>
  </si>
  <si>
    <t>L00-1015729</t>
  </si>
  <si>
    <t>L00-1015730</t>
  </si>
  <si>
    <t>L00-1015766</t>
  </si>
  <si>
    <t>L00-1015767</t>
  </si>
  <si>
    <t>L01-999208</t>
  </si>
  <si>
    <t>L01-999216</t>
  </si>
  <si>
    <t>L01-999222</t>
  </si>
  <si>
    <t>L06-993965</t>
  </si>
  <si>
    <t>L06-993973</t>
  </si>
  <si>
    <t>L06-993978</t>
  </si>
  <si>
    <t>L06-994003</t>
  </si>
  <si>
    <t>L06-994004</t>
  </si>
  <si>
    <t>L06-994010</t>
  </si>
  <si>
    <t>L06-994018</t>
  </si>
  <si>
    <t>L06-994029</t>
  </si>
  <si>
    <t>L06-994051</t>
  </si>
  <si>
    <t>L06-994068</t>
  </si>
  <si>
    <t>L06-994097</t>
  </si>
  <si>
    <t>L07-978155</t>
  </si>
  <si>
    <t>L07-978163</t>
  </si>
  <si>
    <t>M00-999873</t>
  </si>
  <si>
    <t>M00-999881</t>
  </si>
  <si>
    <t>M00-999884</t>
  </si>
  <si>
    <t>M00-999898</t>
  </si>
  <si>
    <t>M00-999905</t>
  </si>
  <si>
    <t>M00-999914</t>
  </si>
  <si>
    <t>M00-999998</t>
  </si>
  <si>
    <t>M05-1000774</t>
  </si>
  <si>
    <t>M05-1000778</t>
  </si>
  <si>
    <t>M11-919101</t>
  </si>
  <si>
    <t>M11-919144</t>
  </si>
  <si>
    <t>M14-980646</t>
  </si>
  <si>
    <t>M20-1002285</t>
  </si>
  <si>
    <t>M25-848847</t>
  </si>
  <si>
    <t>MC1-998562</t>
  </si>
  <si>
    <t>MC1-998563</t>
  </si>
  <si>
    <t>MC1-998564</t>
  </si>
  <si>
    <t>MC1-998566</t>
  </si>
  <si>
    <t>MC1-998567</t>
  </si>
  <si>
    <t>MC1-998568</t>
  </si>
  <si>
    <t>MC1-998569</t>
  </si>
  <si>
    <t>MC1-998574</t>
  </si>
  <si>
    <t>MC1-998582</t>
  </si>
  <si>
    <t>MC1-998586</t>
  </si>
  <si>
    <t>MC1-998611</t>
  </si>
  <si>
    <t>MCC-19</t>
  </si>
  <si>
    <t>MS1-999127</t>
  </si>
  <si>
    <t>MS1-999136</t>
  </si>
  <si>
    <t>MS5-913819</t>
  </si>
  <si>
    <t>MS5-913820</t>
  </si>
  <si>
    <t>MSG-367079</t>
  </si>
  <si>
    <t>P00-995966</t>
  </si>
  <si>
    <t>P00-995974</t>
  </si>
  <si>
    <t>P00-995985</t>
  </si>
  <si>
    <t>P00-996048</t>
  </si>
  <si>
    <t>P00-996049</t>
  </si>
  <si>
    <t>P07-995020</t>
  </si>
  <si>
    <t>P07-995022</t>
  </si>
  <si>
    <t>P07-995031</t>
  </si>
  <si>
    <t>P07-995096</t>
  </si>
  <si>
    <t>Q00-999247</t>
  </si>
  <si>
    <t>Q00-999257</t>
  </si>
  <si>
    <t>Q00-999263</t>
  </si>
  <si>
    <t>Q00-999265</t>
  </si>
  <si>
    <t>Q00-999266</t>
  </si>
  <si>
    <t>Q00-999268</t>
  </si>
  <si>
    <t>Q00-999271</t>
  </si>
  <si>
    <t>Q00-999272</t>
  </si>
  <si>
    <t>Q00-999276</t>
  </si>
  <si>
    <t>Q00-999277</t>
  </si>
  <si>
    <t>Q00-999280</t>
  </si>
  <si>
    <t>Q00-999287</t>
  </si>
  <si>
    <t>Q00-999288</t>
  </si>
  <si>
    <t>Q00-999291</t>
  </si>
  <si>
    <t>Q00-999304</t>
  </si>
  <si>
    <t>Q02-930269</t>
  </si>
  <si>
    <t>Q02-930280</t>
  </si>
  <si>
    <t>Q02-930281</t>
  </si>
  <si>
    <t>Q02-930282</t>
  </si>
  <si>
    <t>Q02-930316</t>
  </si>
  <si>
    <t>Q02-930332</t>
  </si>
  <si>
    <t>T00-999179</t>
  </si>
  <si>
    <t>T00-999196</t>
  </si>
  <si>
    <t>T02-998252</t>
  </si>
  <si>
    <t>Y00-1001810</t>
  </si>
  <si>
    <t>Y00-1001811</t>
  </si>
  <si>
    <t>Y00-1001814</t>
  </si>
  <si>
    <t>Y00-1001827</t>
  </si>
  <si>
    <t>Y00-1001833</t>
  </si>
  <si>
    <t>Y00-1001834</t>
  </si>
  <si>
    <t>Y00-1001835</t>
  </si>
  <si>
    <t>Y00-1001836</t>
  </si>
  <si>
    <t>Y00-1001849</t>
  </si>
  <si>
    <t>Y00-1001850</t>
  </si>
  <si>
    <t>Y00-1001876</t>
  </si>
  <si>
    <t>Y01-811101</t>
  </si>
  <si>
    <t>Y01-811106</t>
  </si>
  <si>
    <t>Y02-993406</t>
  </si>
  <si>
    <t>Y17-862305</t>
  </si>
  <si>
    <t>C00-999200</t>
  </si>
  <si>
    <t>C00-999234</t>
  </si>
  <si>
    <t>C01-995639</t>
  </si>
  <si>
    <t>C01-995644</t>
  </si>
  <si>
    <t>D00-1009240</t>
  </si>
  <si>
    <t>D70-1004066</t>
  </si>
  <si>
    <t>D70-1004079</t>
  </si>
  <si>
    <t>E00-996351</t>
  </si>
  <si>
    <t>E00-996357</t>
  </si>
  <si>
    <t>G00-996673</t>
  </si>
  <si>
    <t>G00-996674</t>
  </si>
  <si>
    <t>G05-963804</t>
  </si>
  <si>
    <t>G05-963811</t>
  </si>
  <si>
    <t>G11-993847</t>
  </si>
  <si>
    <t>H00-1000998</t>
  </si>
  <si>
    <t>H00-1001009</t>
  </si>
  <si>
    <t>L00-1014814</t>
  </si>
  <si>
    <t>L00-1014849</t>
  </si>
  <si>
    <t>L00-1014852</t>
  </si>
  <si>
    <t>L00-1014892</t>
  </si>
  <si>
    <t>L00-1014926</t>
  </si>
  <si>
    <t>L00-1015079</t>
  </si>
  <si>
    <t>L00-1015113</t>
  </si>
  <si>
    <t>L00-1015130</t>
  </si>
  <si>
    <t>L00-1015169</t>
  </si>
  <si>
    <t>L00-1015780</t>
  </si>
  <si>
    <t>L06-993995</t>
  </si>
  <si>
    <t>L06-994023</t>
  </si>
  <si>
    <t>L06-994072</t>
  </si>
  <si>
    <t>L06-994081</t>
  </si>
  <si>
    <t>L06-994082</t>
  </si>
  <si>
    <t>L06-994151</t>
  </si>
  <si>
    <t>L07-978141</t>
  </si>
  <si>
    <t>L07-978147</t>
  </si>
  <si>
    <t>L07-978183</t>
  </si>
  <si>
    <t>L07-978219</t>
  </si>
  <si>
    <t>L07-978220</t>
  </si>
  <si>
    <t>M00-999901</t>
  </si>
  <si>
    <t>M05-1000779</t>
  </si>
  <si>
    <t>M14-980641</t>
  </si>
  <si>
    <t>M20-1002230</t>
  </si>
  <si>
    <t>M20-1002256</t>
  </si>
  <si>
    <t>M20-1002261</t>
  </si>
  <si>
    <t>ML0-226218</t>
  </si>
  <si>
    <t>MS1-999132</t>
  </si>
  <si>
    <t>MS1-999144</t>
  </si>
  <si>
    <t>MS1-999153</t>
  </si>
  <si>
    <t>P01-998084</t>
  </si>
  <si>
    <t>P06-997025</t>
  </si>
  <si>
    <t>P07-995026</t>
  </si>
  <si>
    <t>P07-995027</t>
  </si>
  <si>
    <t>Q00-999264</t>
  </si>
  <si>
    <t>Q02-930274</t>
  </si>
  <si>
    <t>Q02-930298</t>
  </si>
  <si>
    <t>Q02-930299</t>
  </si>
  <si>
    <t>T02-998253</t>
  </si>
  <si>
    <t>T02-998266</t>
  </si>
  <si>
    <t>T02-998267</t>
  </si>
  <si>
    <t>T02-998284</t>
  </si>
  <si>
    <t>C00-999265</t>
  </si>
  <si>
    <t>C00-999266</t>
  </si>
  <si>
    <t>C01-995619</t>
  </si>
  <si>
    <t>C01-995630</t>
  </si>
  <si>
    <t>C01-995633</t>
  </si>
  <si>
    <t>C01-995634</t>
  </si>
  <si>
    <t>D00-1008966</t>
  </si>
  <si>
    <t>D00-1008968</t>
  </si>
  <si>
    <t>D00-1009267</t>
  </si>
  <si>
    <t>D00-1009268</t>
  </si>
  <si>
    <t>D00-1009293</t>
  </si>
  <si>
    <t>D00-1009385</t>
  </si>
  <si>
    <t>D70-1003975</t>
  </si>
  <si>
    <t>E00-996358</t>
  </si>
  <si>
    <t>F04-975724</t>
  </si>
  <si>
    <t>F04-975813</t>
  </si>
  <si>
    <t>G11-993870</t>
  </si>
  <si>
    <t>H00-1001006</t>
  </si>
  <si>
    <t>H00-1001016</t>
  </si>
  <si>
    <t>L00-1014840</t>
  </si>
  <si>
    <t>L00-1014927</t>
  </si>
  <si>
    <t>L00-1014970</t>
  </si>
  <si>
    <t>L00-1015012</t>
  </si>
  <si>
    <t>L00-1015017</t>
  </si>
  <si>
    <t>L00-1015208</t>
  </si>
  <si>
    <t>L00-1015325</t>
  </si>
  <si>
    <t>L00-1015326</t>
  </si>
  <si>
    <t>L00-1015781</t>
  </si>
  <si>
    <t>L01-999206</t>
  </si>
  <si>
    <t>L01-999212</t>
  </si>
  <si>
    <t>L06-993987</t>
  </si>
  <si>
    <t>L06-994013</t>
  </si>
  <si>
    <t>L06-994080</t>
  </si>
  <si>
    <t>M20-1002208</t>
  </si>
  <si>
    <t>M20-1002227</t>
  </si>
  <si>
    <t>MS1-999130</t>
  </si>
  <si>
    <t>MS1-999133</t>
  </si>
  <si>
    <t>MS1-999134</t>
  </si>
  <si>
    <t>MS1-999175</t>
  </si>
  <si>
    <t>P01-998102</t>
  </si>
  <si>
    <t>Q00-999303</t>
  </si>
  <si>
    <t>T00-999188</t>
  </si>
  <si>
    <t>T02-998247</t>
  </si>
  <si>
    <t>T03-999827</t>
  </si>
  <si>
    <t>Y00-1001832</t>
  </si>
  <si>
    <t>Y00-1001843</t>
  </si>
  <si>
    <t>Y00-1001844</t>
  </si>
  <si>
    <t>Y00-1001851</t>
  </si>
  <si>
    <t>Y00-1001877</t>
  </si>
  <si>
    <t>Y00-1001878</t>
  </si>
  <si>
    <t>Y02-993404</t>
  </si>
  <si>
    <t>Y11-983724</t>
  </si>
  <si>
    <t>C00-999204</t>
  </si>
  <si>
    <t>D00-1009153</t>
  </si>
  <si>
    <t>D00-1009156</t>
  </si>
  <si>
    <t>D00-1009171</t>
  </si>
  <si>
    <t>D00-1009229</t>
  </si>
  <si>
    <t>D70-1004043</t>
  </si>
  <si>
    <t>D70-1004257</t>
  </si>
  <si>
    <t>F04-975728</t>
  </si>
  <si>
    <t>F04-975789</t>
  </si>
  <si>
    <t>G05-963784</t>
  </si>
  <si>
    <t>H00-1000968</t>
  </si>
  <si>
    <t>H00-1000981</t>
  </si>
  <si>
    <t>H00-1001011</t>
  </si>
  <si>
    <t>H00-1001022</t>
  </si>
  <si>
    <t>H00-1001023</t>
  </si>
  <si>
    <t>H01-993304</t>
  </si>
  <si>
    <t>H02-345194</t>
  </si>
  <si>
    <t>L00-1014813</t>
  </si>
  <si>
    <t>L00-1014821</t>
  </si>
  <si>
    <t>L00-1014842</t>
  </si>
  <si>
    <t>L00-1014843</t>
  </si>
  <si>
    <t>L00-1014850</t>
  </si>
  <si>
    <t>L00-1014869</t>
  </si>
  <si>
    <t>L00-1014964</t>
  </si>
  <si>
    <t>L00-1014965</t>
  </si>
  <si>
    <t>L00-1014967</t>
  </si>
  <si>
    <t>L00-1014968</t>
  </si>
  <si>
    <t>L00-1014992</t>
  </si>
  <si>
    <t>L00-1015008</t>
  </si>
  <si>
    <t>L00-1015016</t>
  </si>
  <si>
    <t>L00-1015053</t>
  </si>
  <si>
    <t>L00-1015071</t>
  </si>
  <si>
    <t>L00-1015120</t>
  </si>
  <si>
    <t>L00-1015121</t>
  </si>
  <si>
    <t>L00-1015172</t>
  </si>
  <si>
    <t>L00-1015280</t>
  </si>
  <si>
    <t>L00-1015285</t>
  </si>
  <si>
    <t>L00-1015333</t>
  </si>
  <si>
    <t>L00-1015693</t>
  </si>
  <si>
    <t>L00-1015697</t>
  </si>
  <si>
    <t>L00-1015823</t>
  </si>
  <si>
    <t>L00-1015824</t>
  </si>
  <si>
    <t>L00-1015826</t>
  </si>
  <si>
    <t>L06-993974</t>
  </si>
  <si>
    <t>L06-993990</t>
  </si>
  <si>
    <t>L06-994014</t>
  </si>
  <si>
    <t>L06-994030</t>
  </si>
  <si>
    <t>L06-994034</t>
  </si>
  <si>
    <t>L06-994038</t>
  </si>
  <si>
    <t>L06-994083</t>
  </si>
  <si>
    <t>L07-978139</t>
  </si>
  <si>
    <t>L07-978153</t>
  </si>
  <si>
    <t>L07-978154</t>
  </si>
  <si>
    <t>L07-978161</t>
  </si>
  <si>
    <t>L07-978230</t>
  </si>
  <si>
    <t>M00-999894</t>
  </si>
  <si>
    <t>M00-999899</t>
  </si>
  <si>
    <t>M00-999909</t>
  </si>
  <si>
    <t>M05-1000765</t>
  </si>
  <si>
    <t>M05-1000777</t>
  </si>
  <si>
    <t>M20-1002229</t>
  </si>
  <si>
    <t>M25-848843</t>
  </si>
  <si>
    <t>MS1-999135</t>
  </si>
  <si>
    <t>MS1-999163</t>
  </si>
  <si>
    <t>MS5-913817</t>
  </si>
  <si>
    <t>Q02-930296</t>
  </si>
  <si>
    <t>Q02-930318</t>
  </si>
  <si>
    <t>Y00-1001813</t>
  </si>
  <si>
    <t>Y00-1001882</t>
  </si>
  <si>
    <t>Y02-993405</t>
  </si>
  <si>
    <t>C01-995627</t>
  </si>
  <si>
    <t>D00-1009235</t>
  </si>
  <si>
    <t>D00-1009919</t>
  </si>
  <si>
    <t>D70-1004010</t>
  </si>
  <si>
    <t>D70-1004011</t>
  </si>
  <si>
    <t>D70-1004241</t>
  </si>
  <si>
    <t>F02-996466</t>
  </si>
  <si>
    <t>G11-993852</t>
  </si>
  <si>
    <t>H00-1000987</t>
  </si>
  <si>
    <t>H01-993302</t>
  </si>
  <si>
    <t>L00-1014818</t>
  </si>
  <si>
    <t>L00-1014822</t>
  </si>
  <si>
    <t>L00-1014823</t>
  </si>
  <si>
    <t>L00-1014891</t>
  </si>
  <si>
    <t>L00-1015060</t>
  </si>
  <si>
    <t>L00-1015125</t>
  </si>
  <si>
    <t>L00-1015148</t>
  </si>
  <si>
    <t>L00-1015159</t>
  </si>
  <si>
    <t>L00-1015167</t>
  </si>
  <si>
    <t>L00-1015345</t>
  </si>
  <si>
    <t>L00-1015705</t>
  </si>
  <si>
    <t>L01-999204</t>
  </si>
  <si>
    <t>L06-994001</t>
  </si>
  <si>
    <t>L06-994024</t>
  </si>
  <si>
    <t>L06-994028</t>
  </si>
  <si>
    <t>L07-978150</t>
  </si>
  <si>
    <t>M00-999878</t>
  </si>
  <si>
    <t>M05-1000763</t>
  </si>
  <si>
    <t>M20-1002218</t>
  </si>
  <si>
    <t>M20-1002221</t>
  </si>
  <si>
    <t>M20-1002236</t>
  </si>
  <si>
    <t>M25-848845</t>
  </si>
  <si>
    <t>M25-848846</t>
  </si>
  <si>
    <t>M25-848848</t>
  </si>
  <si>
    <t>M25-848854</t>
  </si>
  <si>
    <t>M25-848855</t>
  </si>
  <si>
    <t>MS1-999121</t>
  </si>
  <si>
    <t>MS1-999122</t>
  </si>
  <si>
    <t>P00-995963</t>
  </si>
  <si>
    <t>P08-356187</t>
  </si>
  <si>
    <t>Q00-999258</t>
  </si>
  <si>
    <t>Q00-999269</t>
  </si>
  <si>
    <t>Q00-999301</t>
  </si>
  <si>
    <t>Q00-999302</t>
  </si>
  <si>
    <t>Q02-930266</t>
  </si>
  <si>
    <t>Q02-930309</t>
  </si>
  <si>
    <t>Q02-930310</t>
  </si>
  <si>
    <t>T02-998255</t>
  </si>
  <si>
    <t>Y00-1001809</t>
  </si>
  <si>
    <t>Y00-1001864</t>
  </si>
  <si>
    <t>C00-999216</t>
  </si>
  <si>
    <t>D00-1009154</t>
  </si>
  <si>
    <t>D00-1009205</t>
  </si>
  <si>
    <t>D00-1009759</t>
  </si>
  <si>
    <t>D00-1009930</t>
  </si>
  <si>
    <t>D70-1004016</t>
  </si>
  <si>
    <t>D70-1004055</t>
  </si>
  <si>
    <t>D70-1004056</t>
  </si>
  <si>
    <t>D70-1004057</t>
  </si>
  <si>
    <t>D70-1004058</t>
  </si>
  <si>
    <t>D70-1004071</t>
  </si>
  <si>
    <t>D70-1004073</t>
  </si>
  <si>
    <t>D70-1004114</t>
  </si>
  <si>
    <t>D70-1004122</t>
  </si>
  <si>
    <t>E00-996346</t>
  </si>
  <si>
    <t>F04-975725</t>
  </si>
  <si>
    <t>F04-975790</t>
  </si>
  <si>
    <t>F10-996355</t>
  </si>
  <si>
    <t>G05-963789</t>
  </si>
  <si>
    <t>G05-963799</t>
  </si>
  <si>
    <t>G05-963816</t>
  </si>
  <si>
    <t>G11-993857</t>
  </si>
  <si>
    <t>H00-1000978</t>
  </si>
  <si>
    <t>H00-1000999</t>
  </si>
  <si>
    <t>H00-1001067</t>
  </si>
  <si>
    <t>L00-1014832</t>
  </si>
  <si>
    <t>L00-1014846</t>
  </si>
  <si>
    <t>L00-1014885</t>
  </si>
  <si>
    <t>L00-1014969</t>
  </si>
  <si>
    <t>L00-1015003</t>
  </si>
  <si>
    <t>L00-1015052</t>
  </si>
  <si>
    <t>L00-1015054</t>
  </si>
  <si>
    <t>L00-1015072</t>
  </si>
  <si>
    <t>L00-1015078</t>
  </si>
  <si>
    <t>L00-1015126</t>
  </si>
  <si>
    <t>L00-1015149</t>
  </si>
  <si>
    <t>L00-1015236</t>
  </si>
  <si>
    <t>L00-1015344</t>
  </si>
  <si>
    <t>L01-999213</t>
  </si>
  <si>
    <t>L01-999215</t>
  </si>
  <si>
    <t>L06-993979</t>
  </si>
  <si>
    <t>L06-994022</t>
  </si>
  <si>
    <t>L06-994098</t>
  </si>
  <si>
    <t>L06-994190</t>
  </si>
  <si>
    <t>L06-994194</t>
  </si>
  <si>
    <t>L07-978148</t>
  </si>
  <si>
    <t>L07-978226</t>
  </si>
  <si>
    <t>M00-999897</t>
  </si>
  <si>
    <t>M05-1000768</t>
  </si>
  <si>
    <t>M11-919092</t>
  </si>
  <si>
    <t>M11-919095</t>
  </si>
  <si>
    <t>M17-582307</t>
  </si>
  <si>
    <t>M20-1002222</t>
  </si>
  <si>
    <t>MC1-998573</t>
  </si>
  <si>
    <t>MC1-998579</t>
  </si>
  <si>
    <t>MH0-582234</t>
  </si>
  <si>
    <t>MS1-999142</t>
  </si>
  <si>
    <t>P06-997031</t>
  </si>
  <si>
    <t>Q00-999309</t>
  </si>
  <si>
    <t>Q00-999312</t>
  </si>
  <si>
    <t>Q02-930317</t>
  </si>
  <si>
    <t>T00-999174</t>
  </si>
  <si>
    <t>T00-999209</t>
  </si>
  <si>
    <t>Y00-1001860</t>
  </si>
  <si>
    <t>Y00-1001865</t>
  </si>
  <si>
    <t>Y11-983764</t>
  </si>
  <si>
    <t>Y15-212164</t>
  </si>
  <si>
    <t>D00-1008885</t>
  </si>
  <si>
    <t>D00-1008886</t>
  </si>
  <si>
    <t>D00-1008903</t>
  </si>
  <si>
    <t>D00-1009247</t>
  </si>
  <si>
    <t>D00-1009318</t>
  </si>
  <si>
    <t>D00-1009665</t>
  </si>
  <si>
    <t>D00-1009755</t>
  </si>
  <si>
    <t>D70-1003991</t>
  </si>
  <si>
    <t>E00-996355</t>
  </si>
  <si>
    <t>F04-975766</t>
  </si>
  <si>
    <t>F04-975776</t>
  </si>
  <si>
    <t>G11-993856</t>
  </si>
  <si>
    <t>G11-993864</t>
  </si>
  <si>
    <t>G11-993890</t>
  </si>
  <si>
    <t>H00-1001004</t>
  </si>
  <si>
    <t>H01-993292</t>
  </si>
  <si>
    <t>H01-993293</t>
  </si>
  <si>
    <t>L00-1014848</t>
  </si>
  <si>
    <t>L00-1014858</t>
  </si>
  <si>
    <t>L00-1014880</t>
  </si>
  <si>
    <t>L00-1014896</t>
  </si>
  <si>
    <t>L00-1015009</t>
  </si>
  <si>
    <t>L00-1015108</t>
  </si>
  <si>
    <t>L00-1015124</t>
  </si>
  <si>
    <t>L00-1015145</t>
  </si>
  <si>
    <t>L00-1015337</t>
  </si>
  <si>
    <t>L00-1015338</t>
  </si>
  <si>
    <t>L01-999214</t>
  </si>
  <si>
    <t>L01-999233</t>
  </si>
  <si>
    <t>L01-999280</t>
  </si>
  <si>
    <t>L06-994027</t>
  </si>
  <si>
    <t>L06-994032</t>
  </si>
  <si>
    <t>L07-978158</t>
  </si>
  <si>
    <t>M00-999889</t>
  </si>
  <si>
    <t>M11-919089</t>
  </si>
  <si>
    <t>M14-980642</t>
  </si>
  <si>
    <t>M20-1002223</t>
  </si>
  <si>
    <t>M20-1002238</t>
  </si>
  <si>
    <t>M20-1002260</t>
  </si>
  <si>
    <t>M20-1002262</t>
  </si>
  <si>
    <t>M20-1002416</t>
  </si>
  <si>
    <t>Q00-999259</t>
  </si>
  <si>
    <t>Q00-999286</t>
  </si>
  <si>
    <t>T00-999163</t>
  </si>
  <si>
    <t>T00-999164</t>
  </si>
  <si>
    <t>T00-999173</t>
  </si>
  <si>
    <t>T00-999181</t>
  </si>
  <si>
    <t>T00-999182</t>
  </si>
  <si>
    <t>T00-999241</t>
  </si>
  <si>
    <t>T02-998251</t>
  </si>
  <si>
    <t>Y00-1001908</t>
  </si>
  <si>
    <t>Y01-811100</t>
  </si>
  <si>
    <t>Y01-811105</t>
  </si>
  <si>
    <t>Y11-983726</t>
  </si>
  <si>
    <t>Y17-862306</t>
  </si>
  <si>
    <t>Y17-862307</t>
  </si>
  <si>
    <t>Y17-862308</t>
  </si>
  <si>
    <t>C00-999196</t>
  </si>
  <si>
    <t>C00-999321</t>
  </si>
  <si>
    <t>C01-995636</t>
  </si>
  <si>
    <t>C01-995766</t>
  </si>
  <si>
    <t>D00-1009150</t>
  </si>
  <si>
    <t>D00-1009223</t>
  </si>
  <si>
    <t>D00-1009239</t>
  </si>
  <si>
    <t>D70-1004002</t>
  </si>
  <si>
    <t>D70-1004019</t>
  </si>
  <si>
    <t>D70-1004092</t>
  </si>
  <si>
    <t>F04-975748</t>
  </si>
  <si>
    <t>F04-975755</t>
  </si>
  <si>
    <t>F10-996354</t>
  </si>
  <si>
    <t>F10-996363</t>
  </si>
  <si>
    <t>F10-996364</t>
  </si>
  <si>
    <t>G05-963786</t>
  </si>
  <si>
    <t>G11-993854</t>
  </si>
  <si>
    <t>H00-1000974</t>
  </si>
  <si>
    <t>L00-1014830</t>
  </si>
  <si>
    <t>L00-1014856</t>
  </si>
  <si>
    <t>L00-1014888</t>
  </si>
  <si>
    <t>L00-1014890</t>
  </si>
  <si>
    <t>L00-1014925</t>
  </si>
  <si>
    <t>L00-1014943</t>
  </si>
  <si>
    <t>L00-1014973</t>
  </si>
  <si>
    <t>L00-1014979</t>
  </si>
  <si>
    <t>L00-1015000</t>
  </si>
  <si>
    <t>L00-1015038</t>
  </si>
  <si>
    <t>L00-1015074</t>
  </si>
  <si>
    <t>L00-1015109</t>
  </si>
  <si>
    <t>L00-1015114</t>
  </si>
  <si>
    <t>L00-1015118</t>
  </si>
  <si>
    <t>L00-1015122</t>
  </si>
  <si>
    <t>L00-1015123</t>
  </si>
  <si>
    <t>L00-1015127</t>
  </si>
  <si>
    <t>L00-1015128</t>
  </si>
  <si>
    <t>L00-1015129</t>
  </si>
  <si>
    <t>L00-1015134</t>
  </si>
  <si>
    <t>L00-1015135</t>
  </si>
  <si>
    <t>L00-1015141</t>
  </si>
  <si>
    <t>L00-1015142</t>
  </si>
  <si>
    <t>L00-1015160</t>
  </si>
  <si>
    <t>L00-1015299</t>
  </si>
  <si>
    <t>L00-1015343</t>
  </si>
  <si>
    <t>L00-1015348</t>
  </si>
  <si>
    <t>L01-999224</t>
  </si>
  <si>
    <t>L01-999236</t>
  </si>
  <si>
    <t>L06-993975</t>
  </si>
  <si>
    <t>L06-993991</t>
  </si>
  <si>
    <t>L06-993997</t>
  </si>
  <si>
    <t>L06-994002</t>
  </si>
  <si>
    <t>L06-994016</t>
  </si>
  <si>
    <t>L06-994078</t>
  </si>
  <si>
    <t>L06-994085</t>
  </si>
  <si>
    <t>L07-978170</t>
  </si>
  <si>
    <t>M05-1000776</t>
  </si>
  <si>
    <t>M05-1000788</t>
  </si>
  <si>
    <t>M11-919097</t>
  </si>
  <si>
    <t>M20-1002255</t>
  </si>
  <si>
    <t>MC1-998570</t>
  </si>
  <si>
    <t>MC1-998576</t>
  </si>
  <si>
    <t>P00-995988</t>
  </si>
  <si>
    <t>P01-998099</t>
  </si>
  <si>
    <t>P07-995023</t>
  </si>
  <si>
    <t>Q02-930263</t>
  </si>
  <si>
    <t>Q02-930283</t>
  </si>
  <si>
    <t>Q02-930301</t>
  </si>
  <si>
    <t>T02-998258</t>
  </si>
  <si>
    <t>T02-998265</t>
  </si>
  <si>
    <t>Y00-1001852</t>
  </si>
  <si>
    <t>Y01-811197</t>
  </si>
  <si>
    <t>Y17-862304</t>
  </si>
  <si>
    <t>C00-999195</t>
  </si>
  <si>
    <t>C00-999205</t>
  </si>
  <si>
    <t>C00-999267</t>
  </si>
  <si>
    <t>C01-995631</t>
  </si>
  <si>
    <t>D00-1009191</t>
  </si>
  <si>
    <t>D00-1009193</t>
  </si>
  <si>
    <t>D00-1009202</t>
  </si>
  <si>
    <t>D00-1009236</t>
  </si>
  <si>
    <t>D00-1009510</t>
  </si>
  <si>
    <t>D00-1009668</t>
  </si>
  <si>
    <t>D70-1003998</t>
  </si>
  <si>
    <t>D70-1004042</t>
  </si>
  <si>
    <t>D70-1004131</t>
  </si>
  <si>
    <t>G05-963800</t>
  </si>
  <si>
    <t>G05-963808</t>
  </si>
  <si>
    <t>G11-993849</t>
  </si>
  <si>
    <t>G11-993874</t>
  </si>
  <si>
    <t>H00-1001010</t>
  </si>
  <si>
    <t>L00-1014937</t>
  </si>
  <si>
    <t>L00-1014953</t>
  </si>
  <si>
    <t>L00-1014971</t>
  </si>
  <si>
    <t>L00-1015037</t>
  </si>
  <si>
    <t>L00-1015111</t>
  </si>
  <si>
    <t>L00-1015115</t>
  </si>
  <si>
    <t>L00-1015351</t>
  </si>
  <si>
    <t>L00-1015695</t>
  </si>
  <si>
    <t>L00-1015733</t>
  </si>
  <si>
    <t>L01-999243</t>
  </si>
  <si>
    <t>L01-999244</t>
  </si>
  <si>
    <t>L06-993982</t>
  </si>
  <si>
    <t>L07-978142</t>
  </si>
  <si>
    <t>L07-978160</t>
  </si>
  <si>
    <t>M00-999874</t>
  </si>
  <si>
    <t>M14-980637</t>
  </si>
  <si>
    <t>M20-1002231</t>
  </si>
  <si>
    <t>M20-1002350</t>
  </si>
  <si>
    <t>M20-1002354</t>
  </si>
  <si>
    <t>MC1-998578</t>
  </si>
  <si>
    <t>MC1-998614</t>
  </si>
  <si>
    <t>P07-995029</t>
  </si>
  <si>
    <t>P08-356186</t>
  </si>
  <si>
    <t>Q02-930300</t>
  </si>
  <si>
    <t>Q02-930315</t>
  </si>
  <si>
    <t>T00-999187</t>
  </si>
  <si>
    <t>T02-998254</t>
  </si>
  <si>
    <t>T02-998301</t>
  </si>
  <si>
    <t>Y00-1001866</t>
  </si>
  <si>
    <t>Y11-983729</t>
  </si>
  <si>
    <t>Y11-983761</t>
  </si>
  <si>
    <t>C00-999199</t>
  </si>
  <si>
    <t>C00-999222</t>
  </si>
  <si>
    <t>C01-995622</t>
  </si>
  <si>
    <t>C01-995626</t>
  </si>
  <si>
    <t>D00-1009155</t>
  </si>
  <si>
    <t>D00-1009161</t>
  </si>
  <si>
    <t>D00-1009282</t>
  </si>
  <si>
    <t>D00-1009338</t>
  </si>
  <si>
    <t>D00-1009678</t>
  </si>
  <si>
    <t>D00-1009715</t>
  </si>
  <si>
    <t>D00-1009900</t>
  </si>
  <si>
    <t>D70-1004008</t>
  </si>
  <si>
    <t>D70-1004032</t>
  </si>
  <si>
    <t>D70-1004040</t>
  </si>
  <si>
    <t>D70-1004067</t>
  </si>
  <si>
    <t>D70-1004069</t>
  </si>
  <si>
    <t>D70-1004080</t>
  </si>
  <si>
    <t>D70-1004112</t>
  </si>
  <si>
    <t>F02-996481</t>
  </si>
  <si>
    <t>G11-993851</t>
  </si>
  <si>
    <t>G11-993853</t>
  </si>
  <si>
    <t>H00-1000973</t>
  </si>
  <si>
    <t>H00-1000975</t>
  </si>
  <si>
    <t>H00-1000976</t>
  </si>
  <si>
    <t>H00-1000991</t>
  </si>
  <si>
    <t>H00-1000992</t>
  </si>
  <si>
    <t>H00-1001017</t>
  </si>
  <si>
    <t>L00-1014954</t>
  </si>
  <si>
    <t>L00-1014955</t>
  </si>
  <si>
    <t>L00-1015011</t>
  </si>
  <si>
    <t>L00-1015015</t>
  </si>
  <si>
    <t>L00-1015058</t>
  </si>
  <si>
    <t>L00-1015059</t>
  </si>
  <si>
    <t>L00-1015065</t>
  </si>
  <si>
    <t>L00-1015140</t>
  </si>
  <si>
    <t>L00-1015143</t>
  </si>
  <si>
    <t>L00-1015150</t>
  </si>
  <si>
    <t>L00-1015321</t>
  </si>
  <si>
    <t>L00-1015346</t>
  </si>
  <si>
    <t>L00-1015366</t>
  </si>
  <si>
    <t>L00-1015778</t>
  </si>
  <si>
    <t>L00-1016201</t>
  </si>
  <si>
    <t>L06-994026</t>
  </si>
  <si>
    <t>L06-994056</t>
  </si>
  <si>
    <t>L06-994088</t>
  </si>
  <si>
    <t>M00-999875</t>
  </si>
  <si>
    <t>M00-999888</t>
  </si>
  <si>
    <t>M00-999895</t>
  </si>
  <si>
    <t>M00-999945</t>
  </si>
  <si>
    <t>M11-919088</t>
  </si>
  <si>
    <t>M20-1002225</t>
  </si>
  <si>
    <t>M20-1002242</t>
  </si>
  <si>
    <t>M20-1002259</t>
  </si>
  <si>
    <t>M20-1002287</t>
  </si>
  <si>
    <t>MCC-17</t>
  </si>
  <si>
    <t>MSJ-232184</t>
  </si>
  <si>
    <t>MSJ-232185</t>
  </si>
  <si>
    <t>P01-998092</t>
  </si>
  <si>
    <t>P06-997022</t>
  </si>
  <si>
    <t>Q02-930267</t>
  </si>
  <si>
    <t>Q02-930284</t>
  </si>
  <si>
    <t>T00-999183</t>
  </si>
  <si>
    <t>Y00-1001830</t>
  </si>
  <si>
    <t>Y00-1001838</t>
  </si>
  <si>
    <t>Y00-1001856</t>
  </si>
  <si>
    <t>Y00-1001857</t>
  </si>
  <si>
    <t>Y00-1001859</t>
  </si>
  <si>
    <t>Y00-1001883</t>
  </si>
  <si>
    <t>Y00-1001899</t>
  </si>
  <si>
    <t>Y00-1001914</t>
  </si>
  <si>
    <t>Y00-1001916</t>
  </si>
  <si>
    <t>Y00-1001928</t>
  </si>
  <si>
    <t>Y00-1001929</t>
  </si>
  <si>
    <t>Y00-1001931</t>
  </si>
  <si>
    <t>Y00-1001932</t>
  </si>
  <si>
    <t>Y00-1001933</t>
  </si>
  <si>
    <t>Y00-1001989</t>
  </si>
  <si>
    <t>Y10-916201</t>
  </si>
  <si>
    <t>Y11-983736</t>
  </si>
  <si>
    <t>Y11-983743</t>
  </si>
  <si>
    <t>Y11-983763</t>
  </si>
  <si>
    <t>C00-999192</t>
  </si>
  <si>
    <t>C01-995637</t>
  </si>
  <si>
    <t>D00-1009130</t>
  </si>
  <si>
    <t>D00-1009148</t>
  </si>
  <si>
    <t>D00-1009228</t>
  </si>
  <si>
    <t>D00-1009246</t>
  </si>
  <si>
    <t>D00-1009648</t>
  </si>
  <si>
    <t>D70-1004013</t>
  </si>
  <si>
    <t>D70-1004023</t>
  </si>
  <si>
    <t>D70-1004024</t>
  </si>
  <si>
    <t>D70-1004036</t>
  </si>
  <si>
    <t>D70-1004102</t>
  </si>
  <si>
    <t>D70-1004113</t>
  </si>
  <si>
    <t>F02-996467</t>
  </si>
  <si>
    <t>F02-996498</t>
  </si>
  <si>
    <t>G11-993848</t>
  </si>
  <si>
    <t>G11-993860</t>
  </si>
  <si>
    <t>H00-1000984</t>
  </si>
  <si>
    <t>H00-1001070</t>
  </si>
  <si>
    <t>L00-1014825</t>
  </si>
  <si>
    <t>L00-1014828</t>
  </si>
  <si>
    <t>L00-1014839</t>
  </si>
  <si>
    <t>L00-1014857</t>
  </si>
  <si>
    <t>L00-1014859</t>
  </si>
  <si>
    <t>L00-1014929</t>
  </si>
  <si>
    <t>L00-1014947</t>
  </si>
  <si>
    <t>L00-1014952</t>
  </si>
  <si>
    <t>L00-1014995</t>
  </si>
  <si>
    <t>L00-1014999</t>
  </si>
  <si>
    <t>L00-1015027</t>
  </si>
  <si>
    <t>L00-1015064</t>
  </si>
  <si>
    <t>L00-1015136</t>
  </si>
  <si>
    <t>L00-1015147</t>
  </si>
  <si>
    <t>L00-1015209</t>
  </si>
  <si>
    <t>L00-1015240</t>
  </si>
  <si>
    <t>L00-1015699</t>
  </si>
  <si>
    <t>L00-1015700</t>
  </si>
  <si>
    <t>L00-1015701</t>
  </si>
  <si>
    <t>L00-1015813</t>
  </si>
  <si>
    <t>L00-1016215</t>
  </si>
  <si>
    <t>L01-999207</t>
  </si>
  <si>
    <t>L01-999230</t>
  </si>
  <si>
    <t>L06-993992</t>
  </si>
  <si>
    <t>L07-978138</t>
  </si>
  <si>
    <t>L07-978182</t>
  </si>
  <si>
    <t>M00-999877</t>
  </si>
  <si>
    <t>M00-999915</t>
  </si>
  <si>
    <t>M05-1000766</t>
  </si>
  <si>
    <t>M05-1000780</t>
  </si>
  <si>
    <t>M14-980668</t>
  </si>
  <si>
    <t>MC1-998615</t>
  </si>
  <si>
    <t>MS1-999137</t>
  </si>
  <si>
    <t>MS1-999145</t>
  </si>
  <si>
    <t>MS1-999164</t>
  </si>
  <si>
    <t>MS1-999165</t>
  </si>
  <si>
    <t>MS1-999176</t>
  </si>
  <si>
    <t>P00-996042</t>
  </si>
  <si>
    <t>P01-998081</t>
  </si>
  <si>
    <t>P06-997013</t>
  </si>
  <si>
    <t>Q00-999281</t>
  </si>
  <si>
    <t>Q00-999310</t>
  </si>
  <si>
    <t>Q02-930268</t>
  </si>
  <si>
    <t>Q02-930277</t>
  </si>
  <si>
    <t>Q02-930288</t>
  </si>
  <si>
    <t>Q02-930291</t>
  </si>
  <si>
    <t>Q02-930336</t>
  </si>
  <si>
    <t>T00-999192</t>
  </si>
  <si>
    <t>T00-999197</t>
  </si>
  <si>
    <t>Y00-1001808</t>
  </si>
  <si>
    <t>Y00-1001874</t>
  </si>
  <si>
    <t>Y00-1001898</t>
  </si>
  <si>
    <t>Y00-1001923</t>
  </si>
  <si>
    <t>Y00-1001988</t>
  </si>
  <si>
    <t>Y00-1002000</t>
  </si>
  <si>
    <t>Y01-811098</t>
  </si>
  <si>
    <t>Y01-811099</t>
  </si>
  <si>
    <t>Y01-811200</t>
  </si>
  <si>
    <t>C00-999210</t>
  </si>
  <si>
    <t>C00-999268</t>
  </si>
  <si>
    <t>C01-995623</t>
  </si>
  <si>
    <t>C01-995643</t>
  </si>
  <si>
    <t>D00-1008889</t>
  </si>
  <si>
    <t>D00-1008906</t>
  </si>
  <si>
    <t>D00-1009131</t>
  </si>
  <si>
    <t>D00-1009152</t>
  </si>
  <si>
    <t>D00-1009160</t>
  </si>
  <si>
    <t>D70-1004017</t>
  </si>
  <si>
    <t>F02-996462</t>
  </si>
  <si>
    <t>G00-996619</t>
  </si>
  <si>
    <t>G00-996703</t>
  </si>
  <si>
    <t>G11-993850</t>
  </si>
  <si>
    <t>H00-1000979</t>
  </si>
  <si>
    <t>H00-1000990</t>
  </si>
  <si>
    <t>H00-1001013</t>
  </si>
  <si>
    <t>H01-993297</t>
  </si>
  <si>
    <t>H01-993322</t>
  </si>
  <si>
    <t>L00-1014817</t>
  </si>
  <si>
    <t>L00-1014879</t>
  </si>
  <si>
    <t>L00-1014919</t>
  </si>
  <si>
    <t>L00-1014921</t>
  </si>
  <si>
    <t>L00-1014972</t>
  </si>
  <si>
    <t>L00-1015010</t>
  </si>
  <si>
    <t>L00-1015131</t>
  </si>
  <si>
    <t>L00-1015144</t>
  </si>
  <si>
    <t>L00-1015158</t>
  </si>
  <si>
    <t>L00-1015221</t>
  </si>
  <si>
    <t>L00-1015232</t>
  </si>
  <si>
    <t>L00-1015283</t>
  </si>
  <si>
    <t>L00-1015290</t>
  </si>
  <si>
    <t>L00-1015696</t>
  </si>
  <si>
    <t>L00-1015771</t>
  </si>
  <si>
    <t>L01-999283</t>
  </si>
  <si>
    <t>L06-993983</t>
  </si>
  <si>
    <t>L06-994012</t>
  </si>
  <si>
    <t>L07-978152</t>
  </si>
  <si>
    <t>L07-978221</t>
  </si>
  <si>
    <t>L07-978222</t>
  </si>
  <si>
    <t>M05-1000782</t>
  </si>
  <si>
    <t>M14-980643</t>
  </si>
  <si>
    <t>M14-980648</t>
  </si>
  <si>
    <t>M20-1002237</t>
  </si>
  <si>
    <t>M20-1002243</t>
  </si>
  <si>
    <t>MSJ-232183</t>
  </si>
  <si>
    <t>P00-995964</t>
  </si>
  <si>
    <t>P00-995983</t>
  </si>
  <si>
    <t>P00-995986</t>
  </si>
  <si>
    <t>P00-995987</t>
  </si>
  <si>
    <t>P00-996043</t>
  </si>
  <si>
    <t>Q02-930292</t>
  </si>
  <si>
    <t>Q02-930293</t>
  </si>
  <si>
    <t>Q02-930307</t>
  </si>
  <si>
    <t>Q02-930308</t>
  </si>
  <si>
    <t>Q02-930462</t>
  </si>
  <si>
    <t>T03-999831</t>
  </si>
  <si>
    <t>Y00-1001812</t>
  </si>
  <si>
    <t>Y00-1001815</t>
  </si>
  <si>
    <t>Y00-1001817</t>
  </si>
  <si>
    <t>Y00-1001825</t>
  </si>
  <si>
    <t>Y00-1001831</t>
  </si>
  <si>
    <t>Y00-1001839</t>
  </si>
  <si>
    <t>Y00-1001853</t>
  </si>
  <si>
    <t>Y00-1001873</t>
  </si>
  <si>
    <t>Y00-1001884</t>
  </si>
  <si>
    <t>Y00-1001887</t>
  </si>
  <si>
    <t>Y00-1001890</t>
  </si>
  <si>
    <t>Y00-1001991</t>
  </si>
  <si>
    <t>Y00-1001992</t>
  </si>
  <si>
    <t>Y00-1002069</t>
  </si>
  <si>
    <t>Y00-1002075</t>
  </si>
  <si>
    <t>Y00-1002077</t>
  </si>
  <si>
    <t>Y00-1002078</t>
  </si>
  <si>
    <t>Y00-1002090</t>
  </si>
  <si>
    <t>Y00-1002098</t>
  </si>
  <si>
    <t>Y15-212165</t>
  </si>
  <si>
    <t>Y17-862309</t>
  </si>
  <si>
    <t>C01-995624</t>
  </si>
  <si>
    <t>C01-995646</t>
  </si>
  <si>
    <t>C01-995647</t>
  </si>
  <si>
    <t>C01-995655</t>
  </si>
  <si>
    <t>C01-995656</t>
  </si>
  <si>
    <t>D70-1004033</t>
  </si>
  <si>
    <t>D70-1004419</t>
  </si>
  <si>
    <t>G05-963777</t>
  </si>
  <si>
    <t>G11-993846</t>
  </si>
  <si>
    <t>G11-993855</t>
  </si>
  <si>
    <t>H00-1000977</t>
  </si>
  <si>
    <t>H00-1000980</t>
  </si>
  <si>
    <t>H00-1000982</t>
  </si>
  <si>
    <t>H00-1001012</t>
  </si>
  <si>
    <t>H00-1001068</t>
  </si>
  <si>
    <t>L00-1014936</t>
  </si>
  <si>
    <t>L00-1014944</t>
  </si>
  <si>
    <t>L00-1014945</t>
  </si>
  <si>
    <t>L00-1014975</t>
  </si>
  <si>
    <t>L00-1015019</t>
  </si>
  <si>
    <t>L00-1015069</t>
  </si>
  <si>
    <t>L00-1015075</t>
  </si>
  <si>
    <t>L00-1015116</t>
  </si>
  <si>
    <t>L00-1015117</t>
  </si>
  <si>
    <t>L00-1015166</t>
  </si>
  <si>
    <t>L00-1015176</t>
  </si>
  <si>
    <t>L00-1015179</t>
  </si>
  <si>
    <t>L00-1015188</t>
  </si>
  <si>
    <t>L00-1015707</t>
  </si>
  <si>
    <t>L00-1015715</t>
  </si>
  <si>
    <t>L00-1015716</t>
  </si>
  <si>
    <t>L00-1015717</t>
  </si>
  <si>
    <t>L01-999196</t>
  </si>
  <si>
    <t>L01-999199</t>
  </si>
  <si>
    <t>L01-999201</t>
  </si>
  <si>
    <t>L01-999285</t>
  </si>
  <si>
    <t>L01-999286</t>
  </si>
  <si>
    <t>L06-993969</t>
  </si>
  <si>
    <t>L06-993984</t>
  </si>
  <si>
    <t>L06-994090</t>
  </si>
  <si>
    <t>L06-994091</t>
  </si>
  <si>
    <t>L06-994092</t>
  </si>
  <si>
    <t>L06-994094</t>
  </si>
  <si>
    <t>L06-994103</t>
  </si>
  <si>
    <t>M00-999896</t>
  </si>
  <si>
    <t>M00-999916</t>
  </si>
  <si>
    <t>M11-919093</t>
  </si>
  <si>
    <t>M14-980633</t>
  </si>
  <si>
    <t>M20-1002271</t>
  </si>
  <si>
    <t>MC1-998571</t>
  </si>
  <si>
    <t>MH0-582237</t>
  </si>
  <si>
    <t>MS5-913818</t>
  </si>
  <si>
    <t>P00-996003</t>
  </si>
  <si>
    <t>P00-996010</t>
  </si>
  <si>
    <t>P00-996044</t>
  </si>
  <si>
    <t>P00-996091</t>
  </si>
  <si>
    <t>P01-998136</t>
  </si>
  <si>
    <t>P06-997020</t>
  </si>
  <si>
    <t>Q02-930285</t>
  </si>
  <si>
    <t>Y00-1001915</t>
  </si>
  <si>
    <t>Y02-993407</t>
  </si>
  <si>
    <t>Y02-993411</t>
  </si>
  <si>
    <t>Y02-993419</t>
  </si>
  <si>
    <t>Y11-983722</t>
  </si>
  <si>
    <t>Y11-983730</t>
  </si>
  <si>
    <t>C00-999228</t>
  </si>
  <si>
    <t>C01-995653</t>
  </si>
  <si>
    <t>D00-1008907</t>
  </si>
  <si>
    <t>D00-1009214</t>
  </si>
  <si>
    <t>D00-1009257</t>
  </si>
  <si>
    <t>D00-1009360</t>
  </si>
  <si>
    <t>D00-1009923</t>
  </si>
  <si>
    <t>D70-1004076</t>
  </si>
  <si>
    <t>D70-1004082</t>
  </si>
  <si>
    <t>D70-1004101</t>
  </si>
  <si>
    <t>F04-975736</t>
  </si>
  <si>
    <t>G05-963801</t>
  </si>
  <si>
    <t>G11-993858</t>
  </si>
  <si>
    <t>H00-1000985</t>
  </si>
  <si>
    <t>H00-1001005</t>
  </si>
  <si>
    <t>H01-993300</t>
  </si>
  <si>
    <t>L00-1014875</t>
  </si>
  <si>
    <t>L00-1014922</t>
  </si>
  <si>
    <t>L00-1014974</t>
  </si>
  <si>
    <t>L00-1015051</t>
  </si>
  <si>
    <t>L00-1015076</t>
  </si>
  <si>
    <t>L00-1015077</t>
  </si>
  <si>
    <t>L00-1015151</t>
  </si>
  <si>
    <t>L00-1015162</t>
  </si>
  <si>
    <t>L00-1015250</t>
  </si>
  <si>
    <t>L00-1015286</t>
  </si>
  <si>
    <t>L00-1015288</t>
  </si>
  <si>
    <t>L00-1015289</t>
  </si>
  <si>
    <t>L00-1015293</t>
  </si>
  <si>
    <t>L00-1015355</t>
  </si>
  <si>
    <t>L00-1015811</t>
  </si>
  <si>
    <t>L00-1015815</t>
  </si>
  <si>
    <t>L00-1015821</t>
  </si>
  <si>
    <t>L01-999209</t>
  </si>
  <si>
    <t>L06-993968</t>
  </si>
  <si>
    <t>L06-993994</t>
  </si>
  <si>
    <t>L06-994042</t>
  </si>
  <si>
    <t>L06-994074</t>
  </si>
  <si>
    <t>M05-1000769</t>
  </si>
  <si>
    <t>M11-919102</t>
  </si>
  <si>
    <t>M20-1002211</t>
  </si>
  <si>
    <t>M20-1002228</t>
  </si>
  <si>
    <t>M20-1002270</t>
  </si>
  <si>
    <t>M20-1002351</t>
  </si>
  <si>
    <t>MH0-582235</t>
  </si>
  <si>
    <t>MS1-999123</t>
  </si>
  <si>
    <t>MS1-999138</t>
  </si>
  <si>
    <t>MS1-999150</t>
  </si>
  <si>
    <t>MS1-999167</t>
  </si>
  <si>
    <t>MS1-999173</t>
  </si>
  <si>
    <t>P00-995967</t>
  </si>
  <si>
    <t>Q00-999274</t>
  </si>
  <si>
    <t>Q00-999305</t>
  </si>
  <si>
    <t>Q02-930306</t>
  </si>
  <si>
    <t>T02-998259</t>
  </si>
  <si>
    <t>T02-998260</t>
  </si>
  <si>
    <t>Y00-1001854</t>
  </si>
  <si>
    <t>Y00-1001881</t>
  </si>
  <si>
    <t>Y00-1001994</t>
  </si>
  <si>
    <t>Y11-983723</t>
  </si>
  <si>
    <t>Y11-983725</t>
  </si>
  <si>
    <t>Y17-862311</t>
  </si>
  <si>
    <t>C00-999202</t>
  </si>
  <si>
    <t>C00-999359</t>
  </si>
  <si>
    <t>C01-995668</t>
  </si>
  <si>
    <t>C01-995723</t>
  </si>
  <si>
    <t>D00-1009163</t>
  </si>
  <si>
    <t>D00-1009166</t>
  </si>
  <si>
    <t>D00-1009174</t>
  </si>
  <si>
    <t>D00-1009190</t>
  </si>
  <si>
    <t>D00-1009194</t>
  </si>
  <si>
    <t>D00-1009219</t>
  </si>
  <si>
    <t>D00-1009232</t>
  </si>
  <si>
    <t>D00-1009253</t>
  </si>
  <si>
    <t>D00-1009273</t>
  </si>
  <si>
    <t>D00-1009274</t>
  </si>
  <si>
    <t>D00-1009299</t>
  </si>
  <si>
    <t>D00-1009351</t>
  </si>
  <si>
    <t>D00-1009352</t>
  </si>
  <si>
    <t>D00-1009361</t>
  </si>
  <si>
    <t>D00-1009393</t>
  </si>
  <si>
    <t>D00-1009448</t>
  </si>
  <si>
    <t>D00-1009697</t>
  </si>
  <si>
    <t>D70-1004014</t>
  </si>
  <si>
    <t>D70-1004025</t>
  </si>
  <si>
    <t>D70-1004034</t>
  </si>
  <si>
    <t>D70-1004060</t>
  </si>
  <si>
    <t>D70-1004085</t>
  </si>
  <si>
    <t>D70-1004086</t>
  </si>
  <si>
    <t>D70-1004091</t>
  </si>
  <si>
    <t>D70-1004123</t>
  </si>
  <si>
    <t>D70-1004129</t>
  </si>
  <si>
    <t>D70-1004252</t>
  </si>
  <si>
    <t>E01-636185</t>
  </si>
  <si>
    <t>F02-996461</t>
  </si>
  <si>
    <t>F02-996499</t>
  </si>
  <si>
    <t>F02-996500</t>
  </si>
  <si>
    <t>F02-996502</t>
  </si>
  <si>
    <t>F02-996503</t>
  </si>
  <si>
    <t>F04-975739</t>
  </si>
  <si>
    <t>F04-975740</t>
  </si>
  <si>
    <t>F04-975741</t>
  </si>
  <si>
    <t>F04-975743</t>
  </si>
  <si>
    <t>F04-975751</t>
  </si>
  <si>
    <t>F04-975752</t>
  </si>
  <si>
    <t>F04-975753</t>
  </si>
  <si>
    <t>F04-975784</t>
  </si>
  <si>
    <t>G05-963785</t>
  </si>
  <si>
    <t>H01-993303</t>
  </si>
  <si>
    <t>L00-1014868</t>
  </si>
  <si>
    <t>L00-1015070</t>
  </si>
  <si>
    <t>L00-1015110</t>
  </si>
  <si>
    <t>L00-1015133</t>
  </si>
  <si>
    <t>L00-1015291</t>
  </si>
  <si>
    <t>L00-1015327</t>
  </si>
  <si>
    <t>L00-1015753</t>
  </si>
  <si>
    <t>L00-1016220</t>
  </si>
  <si>
    <t>L01-999218</t>
  </si>
  <si>
    <t>L01-999231</t>
  </si>
  <si>
    <t>L06-993996</t>
  </si>
  <si>
    <t>L06-994025</t>
  </si>
  <si>
    <t>L06-994031</t>
  </si>
  <si>
    <t>L06-994041</t>
  </si>
  <si>
    <t>L06-994070</t>
  </si>
  <si>
    <t>L06-994302</t>
  </si>
  <si>
    <t>L07-978149</t>
  </si>
  <si>
    <t>L07-978156</t>
  </si>
  <si>
    <t>L07-978225</t>
  </si>
  <si>
    <t>L07-978227</t>
  </si>
  <si>
    <t>L07-978258</t>
  </si>
  <si>
    <t>M00-999942</t>
  </si>
  <si>
    <t>M14-980632</t>
  </si>
  <si>
    <t>M20-1002244</t>
  </si>
  <si>
    <t>M20-1002245</t>
  </si>
  <si>
    <t>M20-1002254</t>
  </si>
  <si>
    <t>MC1-998580</t>
  </si>
  <si>
    <t>MS1-999124</t>
  </si>
  <si>
    <t>MS1-999129</t>
  </si>
  <si>
    <t>MS1-999148</t>
  </si>
  <si>
    <t>P00-995976</t>
  </si>
  <si>
    <t>P00-995977</t>
  </si>
  <si>
    <t>P00-995978</t>
  </si>
  <si>
    <t>P00-995981</t>
  </si>
  <si>
    <t>P00-996086</t>
  </si>
  <si>
    <t>P01-998094</t>
  </si>
  <si>
    <t>Q00-999282</t>
  </si>
  <si>
    <t>Q02-930289</t>
  </si>
  <si>
    <t>Q02-930290</t>
  </si>
  <si>
    <t>Q02-930323</t>
  </si>
  <si>
    <t>T00-999176</t>
  </si>
  <si>
    <t>T00-999177</t>
  </si>
  <si>
    <t>T00-999178</t>
  </si>
  <si>
    <t>T00-999189</t>
  </si>
  <si>
    <t>T00-999194</t>
  </si>
  <si>
    <t>T02-998257</t>
  </si>
  <si>
    <t>T03-999825</t>
  </si>
  <si>
    <t>Y00-1001841</t>
  </si>
  <si>
    <t>Y00-1001862</t>
  </si>
  <si>
    <t>Y00-1001868</t>
  </si>
  <si>
    <t>Y11-983721</t>
  </si>
  <si>
    <t>Y11-983728</t>
  </si>
  <si>
    <t>Y15-212166</t>
  </si>
  <si>
    <t>C00-999201</t>
  </si>
  <si>
    <t>C00-999211</t>
  </si>
  <si>
    <t>C00-999212</t>
  </si>
  <si>
    <t>C00-999213</t>
  </si>
  <si>
    <t>C00-999214</t>
  </si>
  <si>
    <t>C00-999224</t>
  </si>
  <si>
    <t>C01-995652</t>
  </si>
  <si>
    <t>C01-995658</t>
  </si>
  <si>
    <t>C16-806644</t>
  </si>
  <si>
    <t>D00-1009207</t>
  </si>
  <si>
    <t>D00-1009716</t>
  </si>
  <si>
    <t>D70-1004022</t>
  </si>
  <si>
    <t>D70-1004047</t>
  </si>
  <si>
    <t>D70-1004070</t>
  </si>
  <si>
    <t>D70-1004124</t>
  </si>
  <si>
    <t>D70-1004249</t>
  </si>
  <si>
    <t>F02-996468</t>
  </si>
  <si>
    <t>F04-975758</t>
  </si>
  <si>
    <t>F04-975779</t>
  </si>
  <si>
    <t>F04-975827</t>
  </si>
  <si>
    <t>F10-996351</t>
  </si>
  <si>
    <t>G00-996686</t>
  </si>
  <si>
    <t>G05-963807</t>
  </si>
  <si>
    <t>H00-1000986</t>
  </si>
  <si>
    <t>H01-993298</t>
  </si>
  <si>
    <t>H01-993325</t>
  </si>
  <si>
    <t>L00-1014807</t>
  </si>
  <si>
    <t>L00-1014809</t>
  </si>
  <si>
    <t>L00-1014893</t>
  </si>
  <si>
    <t>L00-1014899</t>
  </si>
  <si>
    <t>L00-1014908</t>
  </si>
  <si>
    <t>L00-1014939</t>
  </si>
  <si>
    <t>L00-1014956</t>
  </si>
  <si>
    <t>L00-1014993</t>
  </si>
  <si>
    <t>L00-1015021</t>
  </si>
  <si>
    <t>L00-1015043</t>
  </si>
  <si>
    <t>L00-1015061</t>
  </si>
  <si>
    <t>L00-1015062</t>
  </si>
  <si>
    <t>L00-1015292</t>
  </si>
  <si>
    <t>L00-1015352</t>
  </si>
  <si>
    <t>L00-1015736</t>
  </si>
  <si>
    <t>L00-1015769</t>
  </si>
  <si>
    <t>L01-999202</t>
  </si>
  <si>
    <t>L06-993967</t>
  </si>
  <si>
    <t>L06-993993</t>
  </si>
  <si>
    <t>L06-994005</t>
  </si>
  <si>
    <t>L06-994099</t>
  </si>
  <si>
    <t>L06-994192</t>
  </si>
  <si>
    <t>L06-994313</t>
  </si>
  <si>
    <t>L07-978176</t>
  </si>
  <si>
    <t>M00-999886</t>
  </si>
  <si>
    <t>M14-980640</t>
  </si>
  <si>
    <t>M14-980647</t>
  </si>
  <si>
    <t>M20-1002210</t>
  </si>
  <si>
    <t>M20-1002219</t>
  </si>
  <si>
    <t>M20-1002274</t>
  </si>
  <si>
    <t>MC1-998565</t>
  </si>
  <si>
    <t>P00-995970</t>
  </si>
  <si>
    <t>P06-997014</t>
  </si>
  <si>
    <t>P07-995021</t>
  </si>
  <si>
    <t>Q00-999278</t>
  </si>
  <si>
    <t>Q00-999279</t>
  </si>
  <si>
    <t>Q02-930265</t>
  </si>
  <si>
    <t>Q02-930286</t>
  </si>
  <si>
    <t>T00-999184</t>
  </si>
  <si>
    <t>T02-998302</t>
  </si>
  <si>
    <t>Y00-1001821</t>
  </si>
  <si>
    <t>Y00-1001828</t>
  </si>
  <si>
    <t>Y00-1001829</t>
  </si>
  <si>
    <t>Y00-1001840</t>
  </si>
  <si>
    <t>Y00-1001917</t>
  </si>
  <si>
    <t>Y01-811108</t>
  </si>
  <si>
    <t>Y01-811109</t>
  </si>
  <si>
    <t>Y01-811110</t>
  </si>
  <si>
    <t>Y01-811153</t>
  </si>
  <si>
    <t>Y01-811154</t>
  </si>
  <si>
    <t>Y01-811157</t>
  </si>
  <si>
    <t>Y01-811158</t>
  </si>
  <si>
    <t>Y01-811159</t>
  </si>
  <si>
    <t>Y01-811160</t>
  </si>
  <si>
    <t>C00-999203</t>
  </si>
  <si>
    <t>D00-1009201</t>
  </si>
  <si>
    <t>D00-1009362</t>
  </si>
  <si>
    <t>D70-1003983</t>
  </si>
  <si>
    <t>F04-975738</t>
  </si>
  <si>
    <t>F04-975777</t>
  </si>
  <si>
    <t>F04-975778</t>
  </si>
  <si>
    <t>G00-996620</t>
  </si>
  <si>
    <t>G00-996625</t>
  </si>
  <si>
    <t>G00-996626</t>
  </si>
  <si>
    <t>G00-996627</t>
  </si>
  <si>
    <t>G00-996628</t>
  </si>
  <si>
    <t>G00-996629</t>
  </si>
  <si>
    <t>G00-996630</t>
  </si>
  <si>
    <t>G00-996631</t>
  </si>
  <si>
    <t>G00-996632</t>
  </si>
  <si>
    <t>G00-996633</t>
  </si>
  <si>
    <t>G00-996634</t>
  </si>
  <si>
    <t>G00-996635</t>
  </si>
  <si>
    <t>G00-996636</t>
  </si>
  <si>
    <t>G00-996637</t>
  </si>
  <si>
    <t>G00-996638</t>
  </si>
  <si>
    <t>G00-996639</t>
  </si>
  <si>
    <t>G00-996640</t>
  </si>
  <si>
    <t>G00-996641</t>
  </si>
  <si>
    <t>G00-996642</t>
  </si>
  <si>
    <t>G00-996643</t>
  </si>
  <si>
    <t>G00-996644</t>
  </si>
  <si>
    <t>G00-996645</t>
  </si>
  <si>
    <t>G00-996646</t>
  </si>
  <si>
    <t>G00-996647</t>
  </si>
  <si>
    <t>G00-996648</t>
  </si>
  <si>
    <t>G00-996649</t>
  </si>
  <si>
    <t>G00-996650</t>
  </si>
  <si>
    <t>G00-996651</t>
  </si>
  <si>
    <t>G00-996652</t>
  </si>
  <si>
    <t>G00-996653</t>
  </si>
  <si>
    <t>G00-996654</t>
  </si>
  <si>
    <t>G00-996655</t>
  </si>
  <si>
    <t>G00-996656</t>
  </si>
  <si>
    <t>G00-996657</t>
  </si>
  <si>
    <t>G00-996658</t>
  </si>
  <si>
    <t>G00-996659</t>
  </si>
  <si>
    <t>G00-996660</t>
  </si>
  <si>
    <t>G00-996661</t>
  </si>
  <si>
    <t>G00-996662</t>
  </si>
  <si>
    <t>G00-996663</t>
  </si>
  <si>
    <t>G00-996664</t>
  </si>
  <si>
    <t>G00-996665</t>
  </si>
  <si>
    <t>G00-996666</t>
  </si>
  <si>
    <t>G00-996667</t>
  </si>
  <si>
    <t>G00-996668</t>
  </si>
  <si>
    <t>G00-996669</t>
  </si>
  <si>
    <t>G00-996670</t>
  </si>
  <si>
    <t>G00-996675</t>
  </si>
  <si>
    <t>G00-996677</t>
  </si>
  <si>
    <t>G00-996678</t>
  </si>
  <si>
    <t>G00-996684</t>
  </si>
  <si>
    <t>G00-996685</t>
  </si>
  <si>
    <t>G00-996698</t>
  </si>
  <si>
    <t>G00-996699</t>
  </si>
  <si>
    <t>G00-996732</t>
  </si>
  <si>
    <t>G00-996781</t>
  </si>
  <si>
    <t>G00-996782</t>
  </si>
  <si>
    <t>G00-996784</t>
  </si>
  <si>
    <t>G05-963853</t>
  </si>
  <si>
    <t>G05-963864</t>
  </si>
  <si>
    <t>G05-963888</t>
  </si>
  <si>
    <t>H00-1001018</t>
  </si>
  <si>
    <t>L00-1014866</t>
  </si>
  <si>
    <t>L00-1014911</t>
  </si>
  <si>
    <t>L00-1014928</t>
  </si>
  <si>
    <t>L00-1014996</t>
  </si>
  <si>
    <t>L00-1015013</t>
  </si>
  <si>
    <t>L00-1015022</t>
  </si>
  <si>
    <t>L00-1015039</t>
  </si>
  <si>
    <t>L00-1015046</t>
  </si>
  <si>
    <t>L00-1015132</t>
  </si>
  <si>
    <t>L00-1015146</t>
  </si>
  <si>
    <t>L00-1015173</t>
  </si>
  <si>
    <t>L00-1015279</t>
  </si>
  <si>
    <t>L00-1015732</t>
  </si>
  <si>
    <t>L00-1015794</t>
  </si>
  <si>
    <t>L01-999279</t>
  </si>
  <si>
    <t>L06-993986</t>
  </si>
  <si>
    <t>L06-994011</t>
  </si>
  <si>
    <t>L06-994033</t>
  </si>
  <si>
    <t>L07-978140</t>
  </si>
  <si>
    <t>M00-999903</t>
  </si>
  <si>
    <t>M00-999911</t>
  </si>
  <si>
    <t>M05-1000767</t>
  </si>
  <si>
    <t>M20-1002215</t>
  </si>
  <si>
    <t>M20-1002233</t>
  </si>
  <si>
    <t>M20-1002235</t>
  </si>
  <si>
    <t>M20-1002275</t>
  </si>
  <si>
    <t>M34-8</t>
  </si>
  <si>
    <t>MS1-999131</t>
  </si>
  <si>
    <t>MS1-999140</t>
  </si>
  <si>
    <t>MS1-999143</t>
  </si>
  <si>
    <t>MS1-999160</t>
  </si>
  <si>
    <t>MS1-999174</t>
  </si>
  <si>
    <t>Q00-999284</t>
  </si>
  <si>
    <t>Q02-930264</t>
  </si>
  <si>
    <t>Q02-930271</t>
  </si>
  <si>
    <t>T03-999835</t>
  </si>
  <si>
    <t>C01-995625</t>
  </si>
  <si>
    <t>C01-995628</t>
  </si>
  <si>
    <t>C01-995760</t>
  </si>
  <si>
    <t>C16-806649</t>
  </si>
  <si>
    <t>D00-1009125</t>
  </si>
  <si>
    <t>D00-1009198</t>
  </si>
  <si>
    <t>D00-1009250</t>
  </si>
  <si>
    <t>D00-1009669</t>
  </si>
  <si>
    <t>D70-1003984</t>
  </si>
  <si>
    <t>D70-1004000</t>
  </si>
  <si>
    <t>D70-1004001</t>
  </si>
  <si>
    <t>D70-1004004</t>
  </si>
  <si>
    <t>D70-1004027</t>
  </si>
  <si>
    <t>D70-1004028</t>
  </si>
  <si>
    <t>D70-1004059</t>
  </si>
  <si>
    <t>D70-1004075</t>
  </si>
  <si>
    <t>D70-1004081</t>
  </si>
  <si>
    <t>D70-1004133</t>
  </si>
  <si>
    <t>D70-1004250</t>
  </si>
  <si>
    <t>D70-1004258</t>
  </si>
  <si>
    <t>D70-1004425</t>
  </si>
  <si>
    <t>D70-1004440</t>
  </si>
  <si>
    <t>E00-996365</t>
  </si>
  <si>
    <t>F04-975742</t>
  </si>
  <si>
    <t>G05-963802</t>
  </si>
  <si>
    <t>L00-1014815</t>
  </si>
  <si>
    <t>L00-1014831</t>
  </si>
  <si>
    <t>L00-1014867</t>
  </si>
  <si>
    <t>L00-1014894</t>
  </si>
  <si>
    <t>L00-1014918</t>
  </si>
  <si>
    <t>L00-1014930</t>
  </si>
  <si>
    <t>L00-1014946</t>
  </si>
  <si>
    <t>L00-1014981</t>
  </si>
  <si>
    <t>L00-1014982</t>
  </si>
  <si>
    <t>L00-1014984</t>
  </si>
  <si>
    <t>L00-1014994</t>
  </si>
  <si>
    <t>L00-1015023</t>
  </si>
  <si>
    <t>L00-1015029</t>
  </si>
  <si>
    <t>L00-1015047</t>
  </si>
  <si>
    <t>L00-1015048</t>
  </si>
  <si>
    <t>L00-1015073</t>
  </si>
  <si>
    <t>L00-1015084</t>
  </si>
  <si>
    <t>L00-1015156</t>
  </si>
  <si>
    <t>L00-1015185</t>
  </si>
  <si>
    <t>L00-1015186</t>
  </si>
  <si>
    <t>L00-1015187</t>
  </si>
  <si>
    <t>L00-1015294</t>
  </si>
  <si>
    <t>L00-1015692</t>
  </si>
  <si>
    <t>L00-1015737</t>
  </si>
  <si>
    <t>L00-1015770</t>
  </si>
  <si>
    <t>L00-1015808</t>
  </si>
  <si>
    <t>L00-1015809</t>
  </si>
  <si>
    <t>L01-999197</t>
  </si>
  <si>
    <t>L01-999217</t>
  </si>
  <si>
    <t>L06-993977</t>
  </si>
  <si>
    <t>L06-994093</t>
  </si>
  <si>
    <t>L07-978143</t>
  </si>
  <si>
    <t>L07-978223</t>
  </si>
  <si>
    <t>M00-999907</t>
  </si>
  <si>
    <t>M11-919096</t>
  </si>
  <si>
    <t>M14-980653</t>
  </si>
  <si>
    <t>M14-980655</t>
  </si>
  <si>
    <t>M17-582296</t>
  </si>
  <si>
    <t>M20-1002209</t>
  </si>
  <si>
    <t>M20-1002214</t>
  </si>
  <si>
    <t>M20-1002224</t>
  </si>
  <si>
    <t>MC1-998587</t>
  </si>
  <si>
    <t>P00-995969</t>
  </si>
  <si>
    <t>P00-995973</t>
  </si>
  <si>
    <t>P00-996046</t>
  </si>
  <si>
    <t>P07-995024</t>
  </si>
  <si>
    <t>Q00-999339</t>
  </si>
  <si>
    <t>Q02-930303</t>
  </si>
  <si>
    <t>Y00-1001820</t>
  </si>
  <si>
    <t>Y00-1001867</t>
  </si>
  <si>
    <t>Y00-1001924</t>
  </si>
  <si>
    <t>Y11-983731</t>
  </si>
  <si>
    <t>Y11-983732</t>
  </si>
  <si>
    <t>C00-999194</t>
  </si>
  <si>
    <t>C00-999208</t>
  </si>
  <si>
    <t>C00-999209</t>
  </si>
  <si>
    <t>C00-999223</t>
  </si>
  <si>
    <t>D00-1009158</t>
  </si>
  <si>
    <t>D00-1009423</t>
  </si>
  <si>
    <t>D00-1009672</t>
  </si>
  <si>
    <t>D70-1004084</t>
  </si>
  <si>
    <t>F04-975773</t>
  </si>
  <si>
    <t>F10-996353</t>
  </si>
  <si>
    <t>G05-963782</t>
  </si>
  <si>
    <t>H00-1000969</t>
  </si>
  <si>
    <t>H00-1000970</t>
  </si>
  <si>
    <t>H00-1000994</t>
  </si>
  <si>
    <t>H00-1001025</t>
  </si>
  <si>
    <t>H01-993301</t>
  </si>
  <si>
    <t>L00-1014829</t>
  </si>
  <si>
    <t>L00-1014836</t>
  </si>
  <si>
    <t>L00-1014838</t>
  </si>
  <si>
    <t>L00-1014841</t>
  </si>
  <si>
    <t>L00-1014900</t>
  </si>
  <si>
    <t>L00-1014923</t>
  </si>
  <si>
    <t>L00-1014932</t>
  </si>
  <si>
    <t>L00-1014957</t>
  </si>
  <si>
    <t>L00-1014958</t>
  </si>
  <si>
    <t>L00-1014961</t>
  </si>
  <si>
    <t>L00-1014962</t>
  </si>
  <si>
    <t>L00-1014988</t>
  </si>
  <si>
    <t>L00-1014989</t>
  </si>
  <si>
    <t>L00-1014990</t>
  </si>
  <si>
    <t>L00-1014991</t>
  </si>
  <si>
    <t>L00-1015001</t>
  </si>
  <si>
    <t>L00-1015014</t>
  </si>
  <si>
    <t>L00-1015032</t>
  </si>
  <si>
    <t>L00-1015035</t>
  </si>
  <si>
    <t>L00-1015036</t>
  </si>
  <si>
    <t>L00-1015055</t>
  </si>
  <si>
    <t>L00-1015066</t>
  </si>
  <si>
    <t>L00-1015067</t>
  </si>
  <si>
    <t>L00-1015068</t>
  </si>
  <si>
    <t>L00-1015083</t>
  </si>
  <si>
    <t>L00-1015088</t>
  </si>
  <si>
    <t>L00-1015139</t>
  </si>
  <si>
    <t>L00-1015152</t>
  </si>
  <si>
    <t>L00-1015157</t>
  </si>
  <si>
    <t>L00-1015163</t>
  </si>
  <si>
    <t>L00-1015168</t>
  </si>
  <si>
    <t>L00-1015171</t>
  </si>
  <si>
    <t>L00-1015222</t>
  </si>
  <si>
    <t>L00-1015249</t>
  </si>
  <si>
    <t>L00-1015296</t>
  </si>
  <si>
    <t>L00-1015364</t>
  </si>
  <si>
    <t>L00-1015365</t>
  </si>
  <si>
    <t>L00-1015721</t>
  </si>
  <si>
    <t>L00-1015739</t>
  </si>
  <si>
    <t>L00-1015746</t>
  </si>
  <si>
    <t>L00-1015758</t>
  </si>
  <si>
    <t>L00-1015783</t>
  </si>
  <si>
    <t>L00-1015818</t>
  </si>
  <si>
    <t>L00-1016206</t>
  </si>
  <si>
    <t>L00-1016254</t>
  </si>
  <si>
    <t>L01-999232</t>
  </si>
  <si>
    <t>L01-999238</t>
  </si>
  <si>
    <t>L01-999328</t>
  </si>
  <si>
    <t>L06-994049</t>
  </si>
  <si>
    <t>L06-994193</t>
  </si>
  <si>
    <t>L06-994293</t>
  </si>
  <si>
    <t>L07-978136</t>
  </si>
  <si>
    <t>L07-978177</t>
  </si>
  <si>
    <t>M00-999872</t>
  </si>
  <si>
    <t>M14-980651</t>
  </si>
  <si>
    <t>M20-1002257</t>
  </si>
  <si>
    <t>MS1-999126</t>
  </si>
  <si>
    <t>MS1-999141</t>
  </si>
  <si>
    <t>MS1-999177</t>
  </si>
  <si>
    <t>P06-997015</t>
  </si>
  <si>
    <t>P06-997021</t>
  </si>
  <si>
    <t>P06-997023</t>
  </si>
  <si>
    <t>Q00-999289</t>
  </si>
  <si>
    <t>Q00-999388</t>
  </si>
  <si>
    <t>Q02-930302</t>
  </si>
  <si>
    <t>Q02-930305</t>
  </si>
  <si>
    <t>Q02-930326</t>
  </si>
  <si>
    <t>T00-999171</t>
  </si>
  <si>
    <t>T00-999190</t>
  </si>
  <si>
    <t>T00-999208</t>
  </si>
  <si>
    <t>Y00-1001863</t>
  </si>
  <si>
    <t>Y00-1001995</t>
  </si>
  <si>
    <t>Y02-993409</t>
  </si>
  <si>
    <t>Y11-983765</t>
  </si>
  <si>
    <t>Y11-983766</t>
  </si>
  <si>
    <t>Y11-983778</t>
  </si>
  <si>
    <t>Y11-983779</t>
  </si>
  <si>
    <t>Y11-983780</t>
  </si>
  <si>
    <t>D00-1009211</t>
  </si>
  <si>
    <t>D00-1009280</t>
  </si>
  <si>
    <t>D00-1009714</t>
  </si>
  <si>
    <t>D00-1009951</t>
  </si>
  <si>
    <t>D70-1004048</t>
  </si>
  <si>
    <t>D70-1004049</t>
  </si>
  <si>
    <t>D70-1004050</t>
  </si>
  <si>
    <t>D70-1004051</t>
  </si>
  <si>
    <t>D70-1004054</t>
  </si>
  <si>
    <t>D70-1004414</t>
  </si>
  <si>
    <t>D70-1004418</t>
  </si>
  <si>
    <t>E00-996350</t>
  </si>
  <si>
    <t>F02-996464</t>
  </si>
  <si>
    <t>G05-963794</t>
  </si>
  <si>
    <t>H01-993294</t>
  </si>
  <si>
    <t>L00-1014845</t>
  </si>
  <si>
    <t>L00-1014855</t>
  </si>
  <si>
    <t>L00-1014895</t>
  </si>
  <si>
    <t>L00-1014897</t>
  </si>
  <si>
    <t>L00-1014913</t>
  </si>
  <si>
    <t>L00-1014914</t>
  </si>
  <si>
    <t>L00-1015025</t>
  </si>
  <si>
    <t>L00-1015031</t>
  </si>
  <si>
    <t>L00-1015044</t>
  </si>
  <si>
    <t>L00-1015085</t>
  </si>
  <si>
    <t>L00-1015087</t>
  </si>
  <si>
    <t>L00-1015097</t>
  </si>
  <si>
    <t>L00-1015104</t>
  </si>
  <si>
    <t>L00-1015180</t>
  </si>
  <si>
    <t>L00-1015287</t>
  </si>
  <si>
    <t>L00-1015358</t>
  </si>
  <si>
    <t>L00-1015359</t>
  </si>
  <si>
    <t>L00-1015735</t>
  </si>
  <si>
    <t>L00-1015738</t>
  </si>
  <si>
    <t>L00-1015740</t>
  </si>
  <si>
    <t>L00-1016208</t>
  </si>
  <si>
    <t>L06-994006</t>
  </si>
  <si>
    <t>L06-994015</t>
  </si>
  <si>
    <t>L06-994017</t>
  </si>
  <si>
    <t>L06-994062</t>
  </si>
  <si>
    <t>L06-994077</t>
  </si>
  <si>
    <t>L07-978224</t>
  </si>
  <si>
    <t>M00-999885</t>
  </si>
  <si>
    <t>M05-1000764</t>
  </si>
  <si>
    <t>M14-980638</t>
  </si>
  <si>
    <t>M14-980652</t>
  </si>
  <si>
    <t>M14-980654</t>
  </si>
  <si>
    <t>M14-980727</t>
  </si>
  <si>
    <t>M20-1002213</t>
  </si>
  <si>
    <t>M20-1002248</t>
  </si>
  <si>
    <t>M20-1002249</t>
  </si>
  <si>
    <t>M20-1002250</t>
  </si>
  <si>
    <t>M20-1002252</t>
  </si>
  <si>
    <t>MC1-998575</t>
  </si>
  <si>
    <t>MC1-998612</t>
  </si>
  <si>
    <t>MC1-998613</t>
  </si>
  <si>
    <t>ML0-226220</t>
  </si>
  <si>
    <t>MS1-999139</t>
  </si>
  <si>
    <t>MS5-913813</t>
  </si>
  <si>
    <t>P00-995971</t>
  </si>
  <si>
    <t>P00-995984</t>
  </si>
  <si>
    <t>P00-996047</t>
  </si>
  <si>
    <t>P01-998080</t>
  </si>
  <si>
    <t>P01-998085</t>
  </si>
  <si>
    <t>P01-998104</t>
  </si>
  <si>
    <t>Q00-999338</t>
  </si>
  <si>
    <t>Q02-930333</t>
  </si>
  <si>
    <t>S00-993916</t>
  </si>
  <si>
    <t>T00-999206</t>
  </si>
  <si>
    <t>T00-999210</t>
  </si>
  <si>
    <t>T02-998280</t>
  </si>
  <si>
    <t>Y00-1001837</t>
  </si>
  <si>
    <t>Y00-1001861</t>
  </si>
  <si>
    <t>Y00-1001879</t>
  </si>
  <si>
    <t>Y00-1001885</t>
  </si>
  <si>
    <t>Y00-1001913</t>
  </si>
  <si>
    <t>Y00-1001927</t>
  </si>
  <si>
    <t>Y01-811152</t>
  </si>
  <si>
    <t>Y01-811195</t>
  </si>
  <si>
    <t>Y11-983733</t>
  </si>
  <si>
    <t>Y11-983762</t>
  </si>
  <si>
    <t>Y17-862312</t>
  </si>
  <si>
    <t>C00-999198</t>
  </si>
  <si>
    <t>D00-1009241</t>
  </si>
  <si>
    <t>D00-1009242</t>
  </si>
  <si>
    <t>D70-1004078</t>
  </si>
  <si>
    <t>F04-975757</t>
  </si>
  <si>
    <t>F10-996352</t>
  </si>
  <si>
    <t>G00-996679</t>
  </si>
  <si>
    <t>G00-996687</t>
  </si>
  <si>
    <t>G05-963781</t>
  </si>
  <si>
    <t>G05-963817</t>
  </si>
  <si>
    <t>H01-993296</t>
  </si>
  <si>
    <t>H01-993299</t>
  </si>
  <si>
    <t>L00-1014865</t>
  </si>
  <si>
    <t>L00-1014903</t>
  </si>
  <si>
    <t>L00-1014940</t>
  </si>
  <si>
    <t>L00-1014948</t>
  </si>
  <si>
    <t>L00-1014951</t>
  </si>
  <si>
    <t>L00-1014976</t>
  </si>
  <si>
    <t>L00-1014977</t>
  </si>
  <si>
    <t>L00-1014986</t>
  </si>
  <si>
    <t>L00-1015080</t>
  </si>
  <si>
    <t>L00-1015081</t>
  </si>
  <si>
    <t>L00-1015082</t>
  </si>
  <si>
    <t>L00-1015089</t>
  </si>
  <si>
    <t>L00-1015092</t>
  </si>
  <si>
    <t>L00-1015105</t>
  </si>
  <si>
    <t>L00-1015182</t>
  </si>
  <si>
    <t>L00-1015183</t>
  </si>
  <si>
    <t>L00-1015215</t>
  </si>
  <si>
    <t>L01-999200</t>
  </si>
  <si>
    <t>L06-994086</t>
  </si>
  <si>
    <t>L07-978145</t>
  </si>
  <si>
    <t>L07-978180</t>
  </si>
  <si>
    <t>M00-999870</t>
  </si>
  <si>
    <t>M00-999871</t>
  </si>
  <si>
    <t>M00-999904</t>
  </si>
  <si>
    <t>M05-1000773</t>
  </si>
  <si>
    <t>M11-919091</t>
  </si>
  <si>
    <t>M11-919103</t>
  </si>
  <si>
    <t>M11-919104</t>
  </si>
  <si>
    <t>M14-980645</t>
  </si>
  <si>
    <t>MC1-998577</t>
  </si>
  <si>
    <t>MS1-999152</t>
  </si>
  <si>
    <t>P00-995962</t>
  </si>
  <si>
    <t>P00-995979</t>
  </si>
  <si>
    <t>P00-996004</t>
  </si>
  <si>
    <t>Q00-999283</t>
  </si>
  <si>
    <t>Q00-999293</t>
  </si>
  <si>
    <t>Q00-999340</t>
  </si>
  <si>
    <t>Q02-930276</t>
  </si>
  <si>
    <t>Q02-930279</t>
  </si>
  <si>
    <t>T00-999180</t>
  </si>
  <si>
    <t>T02-998245</t>
  </si>
  <si>
    <t>Y00-1001826</t>
  </si>
  <si>
    <t>Y00-1001910</t>
  </si>
  <si>
    <t>Y00-1001911</t>
  </si>
  <si>
    <t>Y00-1001912</t>
  </si>
  <si>
    <t>C00-999220</t>
  </si>
  <si>
    <t>C00-999229</t>
  </si>
  <si>
    <t>C00-999269</t>
  </si>
  <si>
    <t>C01-995638</t>
  </si>
  <si>
    <t>C01-995642</t>
  </si>
  <si>
    <t>D00-1008893</t>
  </si>
  <si>
    <t>D00-1008895</t>
  </si>
  <si>
    <t>D00-1008896</t>
  </si>
  <si>
    <t>D00-1009132</t>
  </si>
  <si>
    <t>D00-1009172</t>
  </si>
  <si>
    <t>D00-1009363</t>
  </si>
  <si>
    <t>D00-1009661</t>
  </si>
  <si>
    <t>D00-1010356</t>
  </si>
  <si>
    <t>D70-1004139</t>
  </si>
  <si>
    <t>D70-1004140</t>
  </si>
  <si>
    <t>G05-963779</t>
  </si>
  <si>
    <t>G05-963803</t>
  </si>
  <si>
    <t>H00-1001001</t>
  </si>
  <si>
    <t>H00-1001066</t>
  </si>
  <si>
    <t>L00-1014904</t>
  </si>
  <si>
    <t>L00-1014942</t>
  </si>
  <si>
    <t>L00-1014963</t>
  </si>
  <si>
    <t>L00-1015049</t>
  </si>
  <si>
    <t>L00-1015086</t>
  </si>
  <si>
    <t>L00-1015155</t>
  </si>
  <si>
    <t>L00-1015178</t>
  </si>
  <si>
    <t>L00-1015295</t>
  </si>
  <si>
    <t>L00-1015719</t>
  </si>
  <si>
    <t>L00-1015768</t>
  </si>
  <si>
    <t>L06-993976</t>
  </si>
  <si>
    <t>L06-994020</t>
  </si>
  <si>
    <t>L06-994021</t>
  </si>
  <si>
    <t>L06-994040</t>
  </si>
  <si>
    <t>L06-994331</t>
  </si>
  <si>
    <t>M20-1002277</t>
  </si>
  <si>
    <t>M20-1002360</t>
  </si>
  <si>
    <t>MC1-998588</t>
  </si>
  <si>
    <t>MC7-12154</t>
  </si>
  <si>
    <t>MC7-12155</t>
  </si>
  <si>
    <t>MC7-12156</t>
  </si>
  <si>
    <t>P00-995982</t>
  </si>
  <si>
    <t>P01-998086</t>
  </si>
  <si>
    <t>P01-998087</t>
  </si>
  <si>
    <t>P01-998090</t>
  </si>
  <si>
    <t>P01-998091</t>
  </si>
  <si>
    <t>P01-998106</t>
  </si>
  <si>
    <t>P01-998107</t>
  </si>
  <si>
    <t>P01-998137</t>
  </si>
  <si>
    <t>Q00-999292</t>
  </si>
  <si>
    <t>Q00-999341</t>
  </si>
  <si>
    <t>Q02-930261</t>
  </si>
  <si>
    <t>Q02-930334</t>
  </si>
  <si>
    <t>T00-999172</t>
  </si>
  <si>
    <t>T00-999205</t>
  </si>
  <si>
    <t>T03-999826</t>
  </si>
  <si>
    <t>Y00-1001819</t>
  </si>
  <si>
    <t>Y00-1001823</t>
  </si>
  <si>
    <t>Y00-1001847</t>
  </si>
  <si>
    <t>Y00-1001848</t>
  </si>
  <si>
    <t>C00-999197</t>
  </si>
  <si>
    <t>C00-999271</t>
  </si>
  <si>
    <t>C01-995640</t>
  </si>
  <si>
    <t>D00-1009666</t>
  </si>
  <si>
    <t>D00-1009929</t>
  </si>
  <si>
    <t>F04-975754</t>
  </si>
  <si>
    <t>G05-963797</t>
  </si>
  <si>
    <t>H00-1001002</t>
  </si>
  <si>
    <t>H00-1001019</t>
  </si>
  <si>
    <t>H00-1001075</t>
  </si>
  <si>
    <t>H01-993305</t>
  </si>
  <si>
    <t>H01-993306</t>
  </si>
  <si>
    <t>H01-993342</t>
  </si>
  <si>
    <t>L00-1014819</t>
  </si>
  <si>
    <t>L00-1014884</t>
  </si>
  <si>
    <t>L00-1014905</t>
  </si>
  <si>
    <t>L00-1014917</t>
  </si>
  <si>
    <t>L00-1014933</t>
  </si>
  <si>
    <t>L00-1014934</t>
  </si>
  <si>
    <t>L00-1015004</t>
  </si>
  <si>
    <t>L00-1015028</t>
  </si>
  <si>
    <t>L00-1015174</t>
  </si>
  <si>
    <t>L00-1015189</t>
  </si>
  <si>
    <t>L00-1015190</t>
  </si>
  <si>
    <t>L00-1015191</t>
  </si>
  <si>
    <t>L00-1015282</t>
  </si>
  <si>
    <t>L00-1015357</t>
  </si>
  <si>
    <t>L00-1015714</t>
  </si>
  <si>
    <t>L00-1015747</t>
  </si>
  <si>
    <t>L00-1015750</t>
  </si>
  <si>
    <t>L00-1016211</t>
  </si>
  <si>
    <t>L00-1016221</t>
  </si>
  <si>
    <t>L01-999284</t>
  </si>
  <si>
    <t>L06-993966</t>
  </si>
  <si>
    <t>L06-993972</t>
  </si>
  <si>
    <t>L06-993980</t>
  </si>
  <si>
    <t>L06-994035</t>
  </si>
  <si>
    <t>L07-978146</t>
  </si>
  <si>
    <t>L07-978181</t>
  </si>
  <si>
    <t>M05-1000772</t>
  </si>
  <si>
    <t>M14-980644</t>
  </si>
  <si>
    <t>M17-582303</t>
  </si>
  <si>
    <t>M20-1002258</t>
  </si>
  <si>
    <t>M34-7</t>
  </si>
  <si>
    <t>M34-9</t>
  </si>
  <si>
    <t>MC1-998572</t>
  </si>
  <si>
    <t>MC1-998581</t>
  </si>
  <si>
    <t>MS1-999128</t>
  </si>
  <si>
    <t>P01-998096</t>
  </si>
  <si>
    <t>P01-998097</t>
  </si>
  <si>
    <t>P01-998105</t>
  </si>
  <si>
    <t>P06-997018</t>
  </si>
  <si>
    <t>P06-997043</t>
  </si>
  <si>
    <t>Q00-999261</t>
  </si>
  <si>
    <t>Q02-930273</t>
  </si>
  <si>
    <t>Q02-930304</t>
  </si>
  <si>
    <t>Q02-930396</t>
  </si>
  <si>
    <t>T03-999830</t>
  </si>
  <si>
    <t>Y00-1001842</t>
  </si>
  <si>
    <t>Y00-1001845</t>
  </si>
  <si>
    <t>Y00-1001855</t>
  </si>
  <si>
    <t>Y02-993408</t>
  </si>
  <si>
    <t>C00-999226</t>
  </si>
  <si>
    <t>C00-999270</t>
  </si>
  <si>
    <t>C01-995632</t>
  </si>
  <si>
    <t>C01-995670</t>
  </si>
  <si>
    <t>D00-1008897</t>
  </si>
  <si>
    <t>D00-1009144</t>
  </si>
  <si>
    <t>D00-1009178</t>
  </si>
  <si>
    <t>D70-1003999</t>
  </si>
  <si>
    <t>D70-1004007</t>
  </si>
  <si>
    <t>D70-1004009</t>
  </si>
  <si>
    <t>D70-1004044</t>
  </si>
  <si>
    <t>D70-1004087</t>
  </si>
  <si>
    <t>D70-1004426</t>
  </si>
  <si>
    <t>H00-1001014</t>
  </si>
  <si>
    <t>H00-1001015</t>
  </si>
  <si>
    <t>H01-993291</t>
  </si>
  <si>
    <t>H01-993367</t>
  </si>
  <si>
    <t>L00-1014860</t>
  </si>
  <si>
    <t>L00-1014861</t>
  </si>
  <si>
    <t>L00-1014862</t>
  </si>
  <si>
    <t>L00-1014864</t>
  </si>
  <si>
    <t>L00-1014873</t>
  </si>
  <si>
    <t>L00-1014877</t>
  </si>
  <si>
    <t>L00-1014887</t>
  </si>
  <si>
    <t>L00-1014889</t>
  </si>
  <si>
    <t>L00-1014898</t>
  </si>
  <si>
    <t>L00-1014902</t>
  </si>
  <si>
    <t>L00-1014909</t>
  </si>
  <si>
    <t>L00-1014931</t>
  </si>
  <si>
    <t>L00-1014950</t>
  </si>
  <si>
    <t>L00-1014978</t>
  </si>
  <si>
    <t>L00-1015020</t>
  </si>
  <si>
    <t>L00-1015107</t>
  </si>
  <si>
    <t>L00-1015164</t>
  </si>
  <si>
    <t>L00-1015192</t>
  </si>
  <si>
    <t>L00-1015322</t>
  </si>
  <si>
    <t>L00-1015361</t>
  </si>
  <si>
    <t>L00-1015362</t>
  </si>
  <si>
    <t>L00-1015708</t>
  </si>
  <si>
    <t>L00-1015731</t>
  </si>
  <si>
    <t>L00-1016219</t>
  </si>
  <si>
    <t>L00-1016234</t>
  </si>
  <si>
    <t>L01-999198</t>
  </si>
  <si>
    <t>L06-994304</t>
  </si>
  <si>
    <t>M00-999943</t>
  </si>
  <si>
    <t>M11-919090</t>
  </si>
  <si>
    <t>M14-980631</t>
  </si>
  <si>
    <t>M20-1002216</t>
  </si>
  <si>
    <t>M20-1002232</t>
  </si>
  <si>
    <t>M20-1002234</t>
  </si>
  <si>
    <t>P00-995968</t>
  </si>
  <si>
    <t>P01-998083</t>
  </si>
  <si>
    <t>P01-998098</t>
  </si>
  <si>
    <t>P01-998100</t>
  </si>
  <si>
    <t>Q00-999270</t>
  </si>
  <si>
    <t>Q02-930313</t>
  </si>
  <si>
    <t>Y00-1001875</t>
  </si>
  <si>
    <t>Y01-811097</t>
  </si>
  <si>
    <t>Y01-811111</t>
  </si>
  <si>
    <t>Y11-983742</t>
  </si>
  <si>
    <t>C00-999227</t>
  </si>
  <si>
    <t>C00-999272</t>
  </si>
  <si>
    <t>C01-995641</t>
  </si>
  <si>
    <t>C01-995648</t>
  </si>
  <si>
    <t>C01-995654</t>
  </si>
  <si>
    <t>C01-995758</t>
  </si>
  <si>
    <t>D00-1008898</t>
  </si>
  <si>
    <t>D00-1009145</t>
  </si>
  <si>
    <t>D00-1009179</t>
  </si>
  <si>
    <t>D00-1009278</t>
  </si>
  <si>
    <t>D70-1004006</t>
  </si>
  <si>
    <t>D70-1004041</t>
  </si>
  <si>
    <t>D70-1004134</t>
  </si>
  <si>
    <t>D70-1004135</t>
  </si>
  <si>
    <t>D70-1004262</t>
  </si>
  <si>
    <t>F04-975749</t>
  </si>
  <si>
    <t>F04-975750</t>
  </si>
  <si>
    <t>G00-996682</t>
  </si>
  <si>
    <t>G00-996683</t>
  </si>
  <si>
    <t>G05-963783</t>
  </si>
  <si>
    <t>G05-963862</t>
  </si>
  <si>
    <t>H00-1001007</t>
  </si>
  <si>
    <t>L00-1014834</t>
  </si>
  <si>
    <t>L00-1014863</t>
  </si>
  <si>
    <t>L00-1014870</t>
  </si>
  <si>
    <t>L00-1014871</t>
  </si>
  <si>
    <t>L00-1014872</t>
  </si>
  <si>
    <t>L00-1014874</t>
  </si>
  <si>
    <t>L00-1014915</t>
  </si>
  <si>
    <t>L00-1015093</t>
  </si>
  <si>
    <t>L00-1015094</t>
  </si>
  <si>
    <t>L00-1015096</t>
  </si>
  <si>
    <t>L00-1015102</t>
  </si>
  <si>
    <t>L00-1015165</t>
  </si>
  <si>
    <t>L00-1015726</t>
  </si>
  <si>
    <t>L00-1015742</t>
  </si>
  <si>
    <t>L00-1015743</t>
  </si>
  <si>
    <t>L00-1015748</t>
  </si>
  <si>
    <t>L00-1015791</t>
  </si>
  <si>
    <t>L00-1016210</t>
  </si>
  <si>
    <t>L01-999210</t>
  </si>
  <si>
    <t>L06-993998</t>
  </si>
  <si>
    <t>L06-994036</t>
  </si>
  <si>
    <t>L06-994037</t>
  </si>
  <si>
    <t>L07-978162</t>
  </si>
  <si>
    <t>L07-978228</t>
  </si>
  <si>
    <t>M05-1000775</t>
  </si>
  <si>
    <t>M14-980639</t>
  </si>
  <si>
    <t>M20-1002247</t>
  </si>
  <si>
    <t>M20-1002280</t>
  </si>
  <si>
    <t>M25-848849</t>
  </si>
  <si>
    <t>P00-995972</t>
  </si>
  <si>
    <t>P00-995980</t>
  </si>
  <si>
    <t>P00-996009</t>
  </si>
  <si>
    <t>P00-996090</t>
  </si>
  <si>
    <t>P01-998093</t>
  </si>
  <si>
    <t>P01-998103</t>
  </si>
  <si>
    <t>P06-997017</t>
  </si>
  <si>
    <t>Q00-999342</t>
  </si>
  <si>
    <t>Q00-999343</t>
  </si>
  <si>
    <t>Q02-930270</t>
  </si>
  <si>
    <t>Q02-930272</t>
  </si>
  <si>
    <t>Q02-930275</t>
  </si>
  <si>
    <t>Q02-930278</t>
  </si>
  <si>
    <t>Q02-930294</t>
  </si>
  <si>
    <t>Q02-930297</t>
  </si>
  <si>
    <t>Q02-930314</t>
  </si>
  <si>
    <t>Q02-930338</t>
  </si>
  <si>
    <t>Q02-930483</t>
  </si>
  <si>
    <t>T00-999195</t>
  </si>
  <si>
    <t>T00-999245</t>
  </si>
  <si>
    <t>T02-998282</t>
  </si>
  <si>
    <t>Y00-1001822</t>
  </si>
  <si>
    <t>Y00-1001918</t>
  </si>
  <si>
    <t>Y00-1001930</t>
  </si>
  <si>
    <t>Y00-1001990</t>
  </si>
  <si>
    <t>Y01-811155</t>
  </si>
  <si>
    <t>C00-999215</t>
  </si>
  <si>
    <t>D00-1009162</t>
  </si>
  <si>
    <t>D00-1009184</t>
  </si>
  <si>
    <t>D00-1009655</t>
  </si>
  <si>
    <t>D70-1004005</t>
  </si>
  <si>
    <t>D70-1004021</t>
  </si>
  <si>
    <t>D70-1004061</t>
  </si>
  <si>
    <t>D70-1004063</t>
  </si>
  <si>
    <t>D70-1004088</t>
  </si>
  <si>
    <t>D70-1004107</t>
  </si>
  <si>
    <t>D70-1004263</t>
  </si>
  <si>
    <t>E00-996348</t>
  </si>
  <si>
    <t>F02-996505</t>
  </si>
  <si>
    <t>F04-975744</t>
  </si>
  <si>
    <t>F04-975756</t>
  </si>
  <si>
    <t>G05-963814</t>
  </si>
  <si>
    <t>G11-993892</t>
  </si>
  <si>
    <t>H00-1000983</t>
  </si>
  <si>
    <t>L00-1014833</t>
  </si>
  <si>
    <t>L00-1014901</t>
  </si>
  <si>
    <t>L00-1014907</t>
  </si>
  <si>
    <t>L00-1014910</t>
  </si>
  <si>
    <t>L00-1015024</t>
  </si>
  <si>
    <t>L00-1015026</t>
  </si>
  <si>
    <t>L00-1015063</t>
  </si>
  <si>
    <t>L00-1015099</t>
  </si>
  <si>
    <t>L00-1015100</t>
  </si>
  <si>
    <t>L00-1015101</t>
  </si>
  <si>
    <t>L00-1015103</t>
  </si>
  <si>
    <t>L00-1015106</t>
  </si>
  <si>
    <t>L00-1015175</t>
  </si>
  <si>
    <t>L00-1015275</t>
  </si>
  <si>
    <t>L00-1015363</t>
  </si>
  <si>
    <t>L01-999219</t>
  </si>
  <si>
    <t>L06-993970</t>
  </si>
  <si>
    <t>L06-993989</t>
  </si>
  <si>
    <t>L06-994039</t>
  </si>
  <si>
    <t>L06-994084</t>
  </si>
  <si>
    <t>L06-994188</t>
  </si>
  <si>
    <t>L06-994294</t>
  </si>
  <si>
    <t>L07-978151</t>
  </si>
  <si>
    <t>M00-999880</t>
  </si>
  <si>
    <t>M00-999890</t>
  </si>
  <si>
    <t>M00-999891</t>
  </si>
  <si>
    <t>M00-999892</t>
  </si>
  <si>
    <t>M00-999893</t>
  </si>
  <si>
    <t>M05-1000770</t>
  </si>
  <si>
    <t>M20-1002220</t>
  </si>
  <si>
    <t>M20-1002278</t>
  </si>
  <si>
    <t>MS5-913814</t>
  </si>
  <si>
    <t>MS5-913815</t>
  </si>
  <si>
    <t>P00-996041</t>
  </si>
  <si>
    <t>T00-999186</t>
  </si>
  <si>
    <t>T02-998248</t>
  </si>
  <si>
    <t>T02-998249</t>
  </si>
  <si>
    <t>Y00-1001888</t>
  </si>
  <si>
    <t>Y00-1001919</t>
  </si>
  <si>
    <t>Y00-1001920</t>
  </si>
  <si>
    <t>C00-999207</t>
  </si>
  <si>
    <t>D00-1009254</t>
  </si>
  <si>
    <t>D00-1010279</t>
  </si>
  <si>
    <t>D70-1004020</t>
  </si>
  <si>
    <t>D70-1004072</t>
  </si>
  <si>
    <t>F02-996470</t>
  </si>
  <si>
    <t>G00-996672</t>
  </si>
  <si>
    <t>G05-963805</t>
  </si>
  <si>
    <t>H00-1000988</t>
  </si>
  <si>
    <t>H00-1000997</t>
  </si>
  <si>
    <t>H00-1001003</t>
  </si>
  <si>
    <t>L00-1014812</t>
  </si>
  <si>
    <t>L00-1014881</t>
  </si>
  <si>
    <t>L00-1014924</t>
  </si>
  <si>
    <t>L00-1014980</t>
  </si>
  <si>
    <t>L00-1014983</t>
  </si>
  <si>
    <t>L00-1014987</t>
  </si>
  <si>
    <t>L00-1014997</t>
  </si>
  <si>
    <t>L00-1015005</t>
  </si>
  <si>
    <t>L00-1015034</t>
  </si>
  <si>
    <t>L00-1015040</t>
  </si>
  <si>
    <t>L00-1015050</t>
  </si>
  <si>
    <t>L00-1015090</t>
  </si>
  <si>
    <t>L00-1015091</t>
  </si>
  <si>
    <t>L00-1015095</t>
  </si>
  <si>
    <t>L00-1015098</t>
  </si>
  <si>
    <t>L00-1015153</t>
  </si>
  <si>
    <t>L00-1015154</t>
  </si>
  <si>
    <t>L00-1015161</t>
  </si>
  <si>
    <t>L00-1015177</t>
  </si>
  <si>
    <t>L00-1015262</t>
  </si>
  <si>
    <t>L00-1015329</t>
  </si>
  <si>
    <t>L00-1015722</t>
  </si>
  <si>
    <t>L00-1015799</t>
  </si>
  <si>
    <t>L00-1016202</t>
  </si>
  <si>
    <t>L00-1016212</t>
  </si>
  <si>
    <t>L01-999211</t>
  </si>
  <si>
    <t>L01-999240</t>
  </si>
  <si>
    <t>L06-993981</t>
  </si>
  <si>
    <t>L06-993985</t>
  </si>
  <si>
    <t>L06-994008</t>
  </si>
  <si>
    <t>L06-994019</t>
  </si>
  <si>
    <t>L06-994187</t>
  </si>
  <si>
    <t>L06-994189</t>
  </si>
  <si>
    <t>L06-994301</t>
  </si>
  <si>
    <t>L07-978134</t>
  </si>
  <si>
    <t>L07-978135</t>
  </si>
  <si>
    <t>L07-978144</t>
  </si>
  <si>
    <t>L07-978159</t>
  </si>
  <si>
    <t>L07-978259</t>
  </si>
  <si>
    <t>M00-999900</t>
  </si>
  <si>
    <t>M05-1000771</t>
  </si>
  <si>
    <t>M05-1000781</t>
  </si>
  <si>
    <t>M14-980634</t>
  </si>
  <si>
    <t>M14-980650</t>
  </si>
  <si>
    <t>M20-1002212</t>
  </si>
  <si>
    <t>M20-1002217</t>
  </si>
  <si>
    <t>M20-1002418</t>
  </si>
  <si>
    <t>P00-995975</t>
  </si>
  <si>
    <t>P00-996045</t>
  </si>
  <si>
    <t>P00-996089</t>
  </si>
  <si>
    <t>P01-998088</t>
  </si>
  <si>
    <t>P01-998089</t>
  </si>
  <si>
    <t>P07-995025</t>
  </si>
  <si>
    <t>Q00-999306</t>
  </si>
  <si>
    <t>Q02-930295</t>
  </si>
  <si>
    <t>T00-999185</t>
  </si>
  <si>
    <t>T00-999193</t>
  </si>
  <si>
    <t>Y00-1001869</t>
  </si>
  <si>
    <t>Y00-1001886</t>
  </si>
  <si>
    <t>Y00-1001889</t>
  </si>
  <si>
    <t>Y00-1001891</t>
  </si>
  <si>
    <t>Y00-1001905</t>
  </si>
  <si>
    <t>Y00-1001997</t>
  </si>
  <si>
    <t>Y00-1002070</t>
  </si>
  <si>
    <t>Y00-1002097</t>
  </si>
  <si>
    <t>C01-995649</t>
  </si>
  <si>
    <t>C01-995650</t>
  </si>
  <si>
    <t>C01-995657</t>
  </si>
  <si>
    <t>C01-995722</t>
  </si>
  <si>
    <t>D00-1009256</t>
  </si>
  <si>
    <t>D70-1004012</t>
  </si>
  <si>
    <t>D70-1004029</t>
  </si>
  <si>
    <t>D70-1004030</t>
  </si>
  <si>
    <t>D70-1004045</t>
  </si>
  <si>
    <t>D70-1004083</t>
  </si>
  <si>
    <t>D70-1004116</t>
  </si>
  <si>
    <t>F02-996495</t>
  </si>
  <si>
    <t>G00-996671</t>
  </si>
  <si>
    <t>G00-996680</t>
  </si>
  <si>
    <t>G05-963787</t>
  </si>
  <si>
    <t>G05-963792</t>
  </si>
  <si>
    <t>H00-1001008</t>
  </si>
  <si>
    <t>L00-1014883</t>
  </si>
  <si>
    <t>L00-1014886</t>
  </si>
  <si>
    <t>L00-1014916</t>
  </si>
  <si>
    <t>L00-1015033</t>
  </si>
  <si>
    <t>L00-1015041</t>
  </si>
  <si>
    <t>L00-1015170</t>
  </si>
  <si>
    <t>L00-1015774</t>
  </si>
  <si>
    <t>L00-1015807</t>
  </si>
  <si>
    <t>L01-999203</t>
  </si>
  <si>
    <t>L01-999338</t>
  </si>
  <si>
    <t>L01-999339</t>
  </si>
  <si>
    <t>L06-994075</t>
  </si>
  <si>
    <t>M00-999883</t>
  </si>
  <si>
    <t>M14-980636</t>
  </si>
  <si>
    <t>M14-980649</t>
  </si>
  <si>
    <t>M20-1002279</t>
  </si>
  <si>
    <t>M20-1002281</t>
  </si>
  <si>
    <t>M20-1002353</t>
  </si>
  <si>
    <t>MS1-999125</t>
  </si>
  <si>
    <t>P01-998101</t>
  </si>
  <si>
    <t>P01-998162</t>
  </si>
  <si>
    <t>Q00-999294</t>
  </si>
  <si>
    <t>Q02-930312</t>
  </si>
  <si>
    <t>T02-998261</t>
  </si>
  <si>
    <t>Y00-1001816</t>
  </si>
  <si>
    <t>Y00-1001818</t>
  </si>
  <si>
    <t>Y00-1002072</t>
  </si>
  <si>
    <t>Y01-811104</t>
  </si>
  <si>
    <t>Y01-811204</t>
  </si>
  <si>
    <t>Y01-811206</t>
  </si>
  <si>
    <t>Y11-983727</t>
  </si>
  <si>
    <t>D00-1009212</t>
  </si>
  <si>
    <t>D00-1009434</t>
  </si>
  <si>
    <t>D00-1009712</t>
  </si>
  <si>
    <t>D70-1004018</t>
  </si>
  <si>
    <t>G00-996681</t>
  </si>
  <si>
    <t>G05-963778</t>
  </si>
  <si>
    <t>G05-963780</t>
  </si>
  <si>
    <t>G05-963793</t>
  </si>
  <si>
    <t>G05-963795</t>
  </si>
  <si>
    <t>H00-1000972</t>
  </si>
  <si>
    <t>H00-1001076</t>
  </si>
  <si>
    <t>L00-1014820</t>
  </si>
  <si>
    <t>L00-1014912</t>
  </si>
  <si>
    <t>L00-1014959</t>
  </si>
  <si>
    <t>L00-1015018</t>
  </si>
  <si>
    <t>L00-1015056</t>
  </si>
  <si>
    <t>L00-1015181</t>
  </si>
  <si>
    <t>L00-1015360</t>
  </si>
  <si>
    <t>L06-993999</t>
  </si>
  <si>
    <t>L06-994000</t>
  </si>
  <si>
    <t>L06-994007</t>
  </si>
  <si>
    <t>L06-994315</t>
  </si>
  <si>
    <t>M00-999882</t>
  </si>
  <si>
    <t>M00-999906</t>
  </si>
  <si>
    <t>M11-919094</t>
  </si>
  <si>
    <t>M11-919098</t>
  </si>
  <si>
    <t>M11-919099</t>
  </si>
  <si>
    <t>M11-919115</t>
  </si>
  <si>
    <t>M20-1002239</t>
  </si>
  <si>
    <t>M20-1002282</t>
  </si>
  <si>
    <t>MS5-913816</t>
  </si>
  <si>
    <t>P00-995965</t>
  </si>
  <si>
    <t>P01-998095</t>
  </si>
  <si>
    <t>Q00-999273</t>
  </si>
  <si>
    <t>Q00-999285</t>
  </si>
  <si>
    <t>Q02-930262</t>
  </si>
  <si>
    <t>Q02-930287</t>
  </si>
  <si>
    <t>Q02-930311</t>
  </si>
  <si>
    <t>Q02-930345</t>
  </si>
  <si>
    <t>Q02-930480</t>
  </si>
  <si>
    <t>S00-993917</t>
  </si>
  <si>
    <t>T00-999191</t>
  </si>
  <si>
    <t>T03-999829</t>
  </si>
  <si>
    <t>Y00-1001858</t>
  </si>
  <si>
    <t>Y00-1001870</t>
  </si>
  <si>
    <t>Y00-1001871</t>
  </si>
  <si>
    <t>Y00-1001872</t>
  </si>
  <si>
    <t>Y11-983734</t>
  </si>
  <si>
    <t>Y11-983735</t>
  </si>
  <si>
    <t>C16-806645</t>
  </si>
  <si>
    <t>C16-806646</t>
  </si>
  <si>
    <t>C16-806647</t>
  </si>
  <si>
    <t>C16-806648</t>
  </si>
  <si>
    <t>D00-1009142</t>
  </si>
  <si>
    <t>D00-1009186</t>
  </si>
  <si>
    <t>D00-1009187</t>
  </si>
  <si>
    <t>D00-1009218</t>
  </si>
  <si>
    <t>D00-1009251</t>
  </si>
  <si>
    <t>D00-1009276</t>
  </si>
  <si>
    <t>D00-1009720</t>
  </si>
  <si>
    <t>D70-1004026</t>
  </si>
  <si>
    <t>D70-1004035</t>
  </si>
  <si>
    <t>D70-1004037</t>
  </si>
  <si>
    <t>D70-1004038</t>
  </si>
  <si>
    <t>D70-1004039</t>
  </si>
  <si>
    <t>D70-1004052</t>
  </si>
  <si>
    <t>D70-1004053</t>
  </si>
  <si>
    <t>D70-1004068</t>
  </si>
  <si>
    <t>D70-1004244</t>
  </si>
  <si>
    <t>E00-996345</t>
  </si>
  <si>
    <t>F02-996463</t>
  </si>
  <si>
    <t>G00-996676</t>
  </si>
  <si>
    <t>G05-963776</t>
  </si>
  <si>
    <t>G05-963815</t>
  </si>
  <si>
    <t>G05-963863</t>
  </si>
  <si>
    <t>L00-1014810</t>
  </si>
  <si>
    <t>L00-1014835</t>
  </si>
  <si>
    <t>L00-1014837</t>
  </si>
  <si>
    <t>L00-1014844</t>
  </si>
  <si>
    <t>L00-1014941</t>
  </si>
  <si>
    <t>L00-1014960</t>
  </si>
  <si>
    <t>L00-1014998</t>
  </si>
  <si>
    <t>L00-1015252</t>
  </si>
  <si>
    <t>L00-1015342</t>
  </si>
  <si>
    <t>L00-1015749</t>
  </si>
  <si>
    <t>L00-1015772</t>
  </si>
  <si>
    <t>L00-1015773</t>
  </si>
  <si>
    <t>L00-1015775</t>
  </si>
  <si>
    <t>L00-1015810</t>
  </si>
  <si>
    <t>L01-999205</t>
  </si>
  <si>
    <t>L01-999239</t>
  </si>
  <si>
    <t>L01-999287</t>
  </si>
  <si>
    <t>L06-993971</t>
  </si>
  <si>
    <t>L06-994076</t>
  </si>
  <si>
    <t>L07-978157</t>
  </si>
  <si>
    <t>L07-978164</t>
  </si>
  <si>
    <t>M00-999876</t>
  </si>
  <si>
    <t>M00-999879</t>
  </si>
  <si>
    <t>M00-999902</t>
  </si>
  <si>
    <t>M00-1000000</t>
  </si>
  <si>
    <t>M11-919100</t>
  </si>
  <si>
    <t>M20-1002253</t>
  </si>
  <si>
    <t>M20-1002352</t>
  </si>
  <si>
    <t>M25-848844</t>
  </si>
  <si>
    <t>MH0-582236</t>
  </si>
  <si>
    <t>P01-998082</t>
  </si>
  <si>
    <t>P06-997016</t>
  </si>
  <si>
    <t>P06-997019</t>
  </si>
  <si>
    <t>Q00-999260</t>
  </si>
  <si>
    <t>Q00-999275</t>
  </si>
  <si>
    <t>Q00-999290</t>
  </si>
  <si>
    <t>Q00-999393</t>
  </si>
  <si>
    <t>Q02-930390</t>
  </si>
  <si>
    <t>T00-999170</t>
  </si>
  <si>
    <t>T02-998256</t>
  </si>
  <si>
    <t>T03-999828</t>
  </si>
  <si>
    <t>Y00-1001824</t>
  </si>
  <si>
    <t>Y00-1001846</t>
  </si>
  <si>
    <t>C01-995629</t>
  </si>
  <si>
    <t>D00-1008890</t>
  </si>
  <si>
    <t>D00-1009143</t>
  </si>
  <si>
    <t>D00-1009147</t>
  </si>
  <si>
    <t>D00-1009183</t>
  </si>
  <si>
    <t>D00-1009192</t>
  </si>
  <si>
    <t>D00-1009197</t>
  </si>
  <si>
    <t>D00-1009216</t>
  </si>
  <si>
    <t>D00-1009217</t>
  </si>
  <si>
    <t>D00-1009231</t>
  </si>
  <si>
    <t>D00-1009243</t>
  </si>
  <si>
    <t>D00-1009244</t>
  </si>
  <si>
    <t>D00-1009248</t>
  </si>
  <si>
    <t>D00-1009275</t>
  </si>
  <si>
    <t>D00-1009281</t>
  </si>
  <si>
    <t>D00-1009310</t>
  </si>
  <si>
    <t>D00-1009336</t>
  </si>
  <si>
    <t>D00-1009634</t>
  </si>
  <si>
    <t>D00-1009650</t>
  </si>
  <si>
    <t>D00-1009699</t>
  </si>
  <si>
    <t>D00-1009953</t>
  </si>
  <si>
    <t>D00-1010009</t>
  </si>
  <si>
    <t>D00-1010047</t>
  </si>
  <si>
    <t>D00-1010057</t>
  </si>
  <si>
    <t>D00-1010282</t>
  </si>
  <si>
    <t>D70-1003996</t>
  </si>
  <si>
    <t>D70-1004062</t>
  </si>
  <si>
    <t>E00-996347</t>
  </si>
  <si>
    <t>E00-996349</t>
  </si>
  <si>
    <t>F02-996460</t>
  </si>
  <si>
    <t>F04-975746</t>
  </si>
  <si>
    <t>F04-975747</t>
  </si>
  <si>
    <t>F04-975774</t>
  </si>
  <si>
    <t>G00-996624</t>
  </si>
  <si>
    <t>G00-996694</t>
  </si>
  <si>
    <t>G05-963788</t>
  </si>
  <si>
    <t>G05-963806</t>
  </si>
  <si>
    <t>G11-993869</t>
  </si>
  <si>
    <t>H00-1000971</t>
  </si>
  <si>
    <t>H00-1000995</t>
  </si>
  <si>
    <t>H01-993321</t>
  </si>
  <si>
    <t>L00-1014826</t>
  </si>
  <si>
    <t>L00-1014827</t>
  </si>
  <si>
    <t>L00-1014847</t>
  </si>
  <si>
    <t>L00-1014853</t>
  </si>
  <si>
    <t>L00-1014876</t>
  </si>
  <si>
    <t>L00-1014882</t>
  </si>
  <si>
    <t>L00-1014920</t>
  </si>
  <si>
    <t>L00-1014935</t>
  </si>
  <si>
    <t>L00-1014985</t>
  </si>
  <si>
    <t>L00-1015137</t>
  </si>
  <si>
    <t>L00-1015184</t>
  </si>
  <si>
    <t>L00-1015220</t>
  </si>
  <si>
    <t>L00-1015776</t>
  </si>
  <si>
    <t>L00-1015784</t>
  </si>
  <si>
    <t>L00-1016258</t>
  </si>
  <si>
    <t>L01-999281</t>
  </si>
  <si>
    <t>L06-993988</t>
  </si>
  <si>
    <t>L06-994009</t>
  </si>
  <si>
    <t>L06-994087</t>
  </si>
  <si>
    <t>L06-994196</t>
  </si>
  <si>
    <t>L07-978137</t>
  </si>
  <si>
    <t>M00-999887</t>
  </si>
  <si>
    <t>M14-980635</t>
  </si>
  <si>
    <t>M20-1002226</t>
  </si>
  <si>
    <t>M20-1002240</t>
  </si>
  <si>
    <t>M20-1002241</t>
  </si>
  <si>
    <t>M20-1002246</t>
  </si>
  <si>
    <t>M20-1002251</t>
  </si>
  <si>
    <t>M20-1002283</t>
  </si>
  <si>
    <t>M20-1002357</t>
  </si>
  <si>
    <t>MC1-998583</t>
  </si>
  <si>
    <t>MC1-998662</t>
  </si>
  <si>
    <t>MC1-998666</t>
  </si>
  <si>
    <t>P00-995961</t>
  </si>
  <si>
    <t>P07-995028</t>
  </si>
  <si>
    <t>Q00-999262</t>
  </si>
  <si>
    <t>Q00-999267</t>
  </si>
  <si>
    <t>Q02-930340</t>
  </si>
  <si>
    <t>Q02-930395</t>
  </si>
  <si>
    <t>T00-999175</t>
  </si>
  <si>
    <t>T00-999283</t>
  </si>
  <si>
    <t>T02-998246</t>
  </si>
  <si>
    <t>T02-998250</t>
  </si>
  <si>
    <t>T02-998262</t>
  </si>
  <si>
    <t>T02-998263</t>
  </si>
  <si>
    <t>Y00-1001880</t>
  </si>
  <si>
    <t>Y00-1001925</t>
  </si>
  <si>
    <t>Y01-811102</t>
  </si>
  <si>
    <t>Y01-811103</t>
  </si>
  <si>
    <t>Y01-811107</t>
  </si>
  <si>
    <t>Y11-983746</t>
  </si>
  <si>
    <t>Y17-862310</t>
  </si>
  <si>
    <t>C01-995707</t>
  </si>
  <si>
    <t>D00-1009402</t>
  </si>
  <si>
    <t>D00-1009425</t>
  </si>
  <si>
    <t>D00-1009430</t>
  </si>
  <si>
    <t>D00-1009499</t>
  </si>
  <si>
    <t>D00-1009530</t>
  </si>
  <si>
    <t>D00-1009546</t>
  </si>
  <si>
    <t>D00-1009553</t>
  </si>
  <si>
    <t>D00-1009593</t>
  </si>
  <si>
    <t>D00-1009601</t>
  </si>
  <si>
    <t>D00-1009605</t>
  </si>
  <si>
    <t>D00-1009607</t>
  </si>
  <si>
    <t>D00-1009614</t>
  </si>
  <si>
    <t>D00-1009620</t>
  </si>
  <si>
    <t>D00-1009621</t>
  </si>
  <si>
    <t>D00-1009937</t>
  </si>
  <si>
    <t>D00-1009938</t>
  </si>
  <si>
    <t>D70-1004203</t>
  </si>
  <si>
    <t>D70-1004215</t>
  </si>
  <si>
    <t>D70-1004219</t>
  </si>
  <si>
    <t>D70-1004221</t>
  </si>
  <si>
    <t>D70-1004420</t>
  </si>
  <si>
    <t>E00-996364</t>
  </si>
  <si>
    <t>F02-996474</t>
  </si>
  <si>
    <t>F02-996493</t>
  </si>
  <si>
    <t>F04-975767</t>
  </si>
  <si>
    <t>F04-975802</t>
  </si>
  <si>
    <t>F04-975803</t>
  </si>
  <si>
    <t>G05-963850</t>
  </si>
  <si>
    <t>G05-963856</t>
  </si>
  <si>
    <t>G05-963857</t>
  </si>
  <si>
    <t>G05-963858</t>
  </si>
  <si>
    <t>G05-963859</t>
  </si>
  <si>
    <t>H00-1001060</t>
  </si>
  <si>
    <t>L00-1015487</t>
  </si>
  <si>
    <t>L00-1015500</t>
  </si>
  <si>
    <t>L00-1015632</t>
  </si>
  <si>
    <t>L00-1015644</t>
  </si>
  <si>
    <t>L00-1015800</t>
  </si>
  <si>
    <t>L00-1015822</t>
  </si>
  <si>
    <t>L00-1016305</t>
  </si>
  <si>
    <t>L00-1016321</t>
  </si>
  <si>
    <t>L01-999257</t>
  </si>
  <si>
    <t>L01-999266</t>
  </si>
  <si>
    <t>L01-999267</t>
  </si>
  <si>
    <t>L01-999273</t>
  </si>
  <si>
    <t>L06-994138</t>
  </si>
  <si>
    <t>L06-994191</t>
  </si>
  <si>
    <t>L06-994310</t>
  </si>
  <si>
    <t>L07-978187</t>
  </si>
  <si>
    <t>M11-919127</t>
  </si>
  <si>
    <t>M11-919128</t>
  </si>
  <si>
    <t>M14-980670</t>
  </si>
  <si>
    <t>M14-980671</t>
  </si>
  <si>
    <t>M14-980672</t>
  </si>
  <si>
    <t>M14-980673</t>
  </si>
  <si>
    <t>M14-980676</t>
  </si>
  <si>
    <t>M14-980689</t>
  </si>
  <si>
    <t>M14-980691</t>
  </si>
  <si>
    <t>M14-980692</t>
  </si>
  <si>
    <t>M17-582297</t>
  </si>
  <si>
    <t>M20-1002295</t>
  </si>
  <si>
    <t>M20-1002328</t>
  </si>
  <si>
    <t>M20-1002341</t>
  </si>
  <si>
    <t>MCC-20</t>
  </si>
  <si>
    <t>MCC-23</t>
  </si>
  <si>
    <t>MS1-999154</t>
  </si>
  <si>
    <t>MS1-999162</t>
  </si>
  <si>
    <t>MS5-913839</t>
  </si>
  <si>
    <t>MS5-913852</t>
  </si>
  <si>
    <t>P00-996015</t>
  </si>
  <si>
    <t>P00-996017</t>
  </si>
  <si>
    <t>P00-996019</t>
  </si>
  <si>
    <t>P00-996028</t>
  </si>
  <si>
    <t>P00-996030</t>
  </si>
  <si>
    <t>P01-998124</t>
  </si>
  <si>
    <t>P06-997029</t>
  </si>
  <si>
    <t>P06-997030</t>
  </si>
  <si>
    <t>Q00-999324</t>
  </si>
  <si>
    <t>Q00-999334</t>
  </si>
  <si>
    <t>Q02-930351</t>
  </si>
  <si>
    <t>T00-999215</t>
  </si>
  <si>
    <t>T00-999244</t>
  </si>
  <si>
    <t>T00-999282</t>
  </si>
  <si>
    <t>T02-998276</t>
  </si>
  <si>
    <t>T02-998277</t>
  </si>
  <si>
    <t>T02-998278</t>
  </si>
  <si>
    <t>T03-999834</t>
  </si>
  <si>
    <t>T03-999840</t>
  </si>
  <si>
    <t>Y00-1001934</t>
  </si>
  <si>
    <t>Y00-1001954</t>
  </si>
  <si>
    <t>Y00-1001958</t>
  </si>
  <si>
    <t>Y00-1001962</t>
  </si>
  <si>
    <t>Y00-1001966</t>
  </si>
  <si>
    <t>Y00-1001967</t>
  </si>
  <si>
    <t>Y00-1001968</t>
  </si>
  <si>
    <t>Y00-1001979</t>
  </si>
  <si>
    <t>Y00-1001981</t>
  </si>
  <si>
    <t>Y01-811127</t>
  </si>
  <si>
    <t>Y01-811139</t>
  </si>
  <si>
    <t>Y01-811140</t>
  </si>
  <si>
    <t>Y02-993430</t>
  </si>
  <si>
    <t>Y11-983776</t>
  </si>
  <si>
    <t>Y11-983777</t>
  </si>
  <si>
    <t>Y17-862315</t>
  </si>
  <si>
    <t>C01-995687</t>
  </si>
  <si>
    <t>C01-995714</t>
  </si>
  <si>
    <t>C01-995716</t>
  </si>
  <si>
    <t>D00-1010257</t>
  </si>
  <si>
    <t>D70-1004142</t>
  </si>
  <si>
    <t>D70-1004567</t>
  </si>
  <si>
    <t>D70-1004571</t>
  </si>
  <si>
    <t>D70-1004577</t>
  </si>
  <si>
    <t>F02-996490</t>
  </si>
  <si>
    <t>F04-975800</t>
  </si>
  <si>
    <t>G00-996721</t>
  </si>
  <si>
    <t>H00-1001043</t>
  </si>
  <si>
    <t>H01-993326</t>
  </si>
  <si>
    <t>L00-1015443</t>
  </si>
  <si>
    <t>L00-1015448</t>
  </si>
  <si>
    <t>L00-1015571</t>
  </si>
  <si>
    <t>L00-1015572</t>
  </si>
  <si>
    <t>L06-994181</t>
  </si>
  <si>
    <t>P01-998130</t>
  </si>
  <si>
    <t>Y01-811145</t>
  </si>
  <si>
    <t>Y01-811208</t>
  </si>
  <si>
    <t>C00-999239</t>
  </si>
  <si>
    <t>C00-999247</t>
  </si>
  <si>
    <t>C00-999250</t>
  </si>
  <si>
    <t>C01-995686</t>
  </si>
  <si>
    <t>C01-995697</t>
  </si>
  <si>
    <t>C01-995720</t>
  </si>
  <si>
    <t>C16-806650</t>
  </si>
  <si>
    <t>C18-5</t>
  </si>
  <si>
    <t>D00-1009435</t>
  </si>
  <si>
    <t>D00-1009483</t>
  </si>
  <si>
    <t>D00-1009500</t>
  </si>
  <si>
    <t>D00-1009522</t>
  </si>
  <si>
    <t>D00-1009598</t>
  </si>
  <si>
    <t>D00-1009615</t>
  </si>
  <si>
    <t>D00-1010013</t>
  </si>
  <si>
    <t>D70-1004170</t>
  </si>
  <si>
    <t>D70-1004271</t>
  </si>
  <si>
    <t>D70-1004437</t>
  </si>
  <si>
    <t>D70-1004566</t>
  </si>
  <si>
    <t>G05-963829</t>
  </si>
  <si>
    <t>H00-1001031</t>
  </si>
  <si>
    <t>H00-1001042</t>
  </si>
  <si>
    <t>H00-1001050</t>
  </si>
  <si>
    <t>H01-993320</t>
  </si>
  <si>
    <t>L00-1015374</t>
  </si>
  <si>
    <t>L00-1015424</t>
  </si>
  <si>
    <t>L00-1015444</t>
  </si>
  <si>
    <t>L00-1015498</t>
  </si>
  <si>
    <t>L00-1015499</t>
  </si>
  <si>
    <t>L00-1015502</t>
  </si>
  <si>
    <t>L00-1015574</t>
  </si>
  <si>
    <t>L00-1015580</t>
  </si>
  <si>
    <t>L00-1015582</t>
  </si>
  <si>
    <t>L00-1015583</t>
  </si>
  <si>
    <t>L00-1015584</t>
  </si>
  <si>
    <t>L00-1015620</t>
  </si>
  <si>
    <t>L00-1015788</t>
  </si>
  <si>
    <t>L00-1016199</t>
  </si>
  <si>
    <t>L00-1016287</t>
  </si>
  <si>
    <t>L00-1016288</t>
  </si>
  <si>
    <t>L00-1016301</t>
  </si>
  <si>
    <t>L01-999256</t>
  </si>
  <si>
    <t>L01-999327</t>
  </si>
  <si>
    <t>L06-994157</t>
  </si>
  <si>
    <t>L06-994336</t>
  </si>
  <si>
    <t>L07-978186</t>
  </si>
  <si>
    <t>L07-978196</t>
  </si>
  <si>
    <t>L07-978209</t>
  </si>
  <si>
    <t>M00-999918</t>
  </si>
  <si>
    <t>M00-999929</t>
  </si>
  <si>
    <t>M11-919131</t>
  </si>
  <si>
    <t>M20-1002290</t>
  </si>
  <si>
    <t>M20-1002307</t>
  </si>
  <si>
    <t>MS5-913837</t>
  </si>
  <si>
    <t>P07-995033</t>
  </si>
  <si>
    <t>Q00-999321</t>
  </si>
  <si>
    <t>Q00-999325</t>
  </si>
  <si>
    <t>Q00-999335</t>
  </si>
  <si>
    <t>Q00-999389</t>
  </si>
  <si>
    <t>Q02-930359</t>
  </si>
  <si>
    <t>Q02-930360</t>
  </si>
  <si>
    <t>Q02-930375</t>
  </si>
  <si>
    <t>Y00-1001935</t>
  </si>
  <si>
    <t>Y00-1001960</t>
  </si>
  <si>
    <t>Y00-1001961</t>
  </si>
  <si>
    <t>Y01-811123</t>
  </si>
  <si>
    <t>Y01-811138</t>
  </si>
  <si>
    <t>Y11-983755</t>
  </si>
  <si>
    <t>Y11-983767</t>
  </si>
  <si>
    <t>C00-999254</t>
  </si>
  <si>
    <t>C01-995718</t>
  </si>
  <si>
    <t>D00-1009403</t>
  </si>
  <si>
    <t>D00-1009452</t>
  </si>
  <si>
    <t>D00-1009468</t>
  </si>
  <si>
    <t>D00-1009610</t>
  </si>
  <si>
    <t>D00-1009611</t>
  </si>
  <si>
    <t>D00-1010053</t>
  </si>
  <si>
    <t>D00-1010247</t>
  </si>
  <si>
    <t>D70-1004128</t>
  </si>
  <si>
    <t>D70-1004162</t>
  </si>
  <si>
    <t>D70-1004267</t>
  </si>
  <si>
    <t>D70-1004427</t>
  </si>
  <si>
    <t>D70-1004428</t>
  </si>
  <si>
    <t>D70-1004429</t>
  </si>
  <si>
    <t>D70-1004439</t>
  </si>
  <si>
    <t>F04-975791</t>
  </si>
  <si>
    <t>F04-975864</t>
  </si>
  <si>
    <t>G00-996719</t>
  </si>
  <si>
    <t>G05-963824</t>
  </si>
  <si>
    <t>G05-963893</t>
  </si>
  <si>
    <t>H00-1001045</t>
  </si>
  <si>
    <t>H00-1001046</t>
  </si>
  <si>
    <t>H00-1001071</t>
  </si>
  <si>
    <t>H01-993363</t>
  </si>
  <si>
    <t>H01-993364</t>
  </si>
  <si>
    <t>L00-1015371</t>
  </si>
  <si>
    <t>L00-1015376</t>
  </si>
  <si>
    <t>L00-1015380</t>
  </si>
  <si>
    <t>L00-1015426</t>
  </si>
  <si>
    <t>L00-1015434</t>
  </si>
  <si>
    <t>L00-1015474</t>
  </si>
  <si>
    <t>L00-1015512</t>
  </si>
  <si>
    <t>L00-1015573</t>
  </si>
  <si>
    <t>L00-1015577</t>
  </si>
  <si>
    <t>L00-1015796</t>
  </si>
  <si>
    <t>L00-1015797</t>
  </si>
  <si>
    <t>L00-1015798</t>
  </si>
  <si>
    <t>L00-1016214</t>
  </si>
  <si>
    <t>L00-1016233</t>
  </si>
  <si>
    <t>L00-1016235</t>
  </si>
  <si>
    <t>L00-1016252</t>
  </si>
  <si>
    <t>L00-1016300</t>
  </si>
  <si>
    <t>L01-999263</t>
  </si>
  <si>
    <t>L01-999264</t>
  </si>
  <si>
    <t>L01-999282</t>
  </si>
  <si>
    <t>L06-994104</t>
  </si>
  <si>
    <t>L06-994182</t>
  </si>
  <si>
    <t>M00-999924</t>
  </si>
  <si>
    <t>M05-1000807</t>
  </si>
  <si>
    <t>M05-1000808</t>
  </si>
  <si>
    <t>M05-1000809</t>
  </si>
  <si>
    <t>M05-1000813</t>
  </si>
  <si>
    <t>M14-980674</t>
  </si>
  <si>
    <t>M14-980685</t>
  </si>
  <si>
    <t>M20-1002309</t>
  </si>
  <si>
    <t>M20-1002331</t>
  </si>
  <si>
    <t>M20-1002343</t>
  </si>
  <si>
    <t>P00-996026</t>
  </si>
  <si>
    <t>P00-996032</t>
  </si>
  <si>
    <t>P01-998118</t>
  </si>
  <si>
    <t>Q02-930361</t>
  </si>
  <si>
    <t>Q02-930369</t>
  </si>
  <si>
    <t>T00-999220</t>
  </si>
  <si>
    <t>T00-999279</t>
  </si>
  <si>
    <t>Y00-1001969</t>
  </si>
  <si>
    <t>Y00-1001978</t>
  </si>
  <si>
    <t>Y00-1001999</t>
  </si>
  <si>
    <t>Y11-983748</t>
  </si>
  <si>
    <t>C00-999323</t>
  </si>
  <si>
    <t>C01-995679</t>
  </si>
  <si>
    <t>D00-1009538</t>
  </si>
  <si>
    <t>D00-1009539</t>
  </si>
  <si>
    <t>D00-1009606</t>
  </si>
  <si>
    <t>D00-1009609</t>
  </si>
  <si>
    <t>D00-1009932</t>
  </si>
  <si>
    <t>D70-1004148</t>
  </si>
  <si>
    <t>D70-1004156</t>
  </si>
  <si>
    <t>D70-1004183</t>
  </si>
  <si>
    <t>D70-1004191</t>
  </si>
  <si>
    <t>D70-1004209</t>
  </si>
  <si>
    <t>D70-1004272</t>
  </si>
  <si>
    <t>F02-996482</t>
  </si>
  <si>
    <t>F04-975786</t>
  </si>
  <si>
    <t>G00-996707</t>
  </si>
  <si>
    <t>G00-996714</t>
  </si>
  <si>
    <t>G05-963830</t>
  </si>
  <si>
    <t>H00-1001039</t>
  </si>
  <si>
    <t>H00-1001049</t>
  </si>
  <si>
    <t>H01-993318</t>
  </si>
  <si>
    <t>L00-1015407</t>
  </si>
  <si>
    <t>L00-1015431</t>
  </si>
  <si>
    <t>L00-1015439</t>
  </si>
  <si>
    <t>L00-1015575</t>
  </si>
  <si>
    <t>L00-1015625</t>
  </si>
  <si>
    <t>L00-1015627</t>
  </si>
  <si>
    <t>L00-1015635</t>
  </si>
  <si>
    <t>L00-1015664</t>
  </si>
  <si>
    <t>L00-1016253</t>
  </si>
  <si>
    <t>L06-994131</t>
  </si>
  <si>
    <t>L06-994163</t>
  </si>
  <si>
    <t>L06-994195</t>
  </si>
  <si>
    <t>L07-978185</t>
  </si>
  <si>
    <t>L07-978197</t>
  </si>
  <si>
    <t>L07-978199</t>
  </si>
  <si>
    <t>L07-978210</t>
  </si>
  <si>
    <t>M20-1002300</t>
  </si>
  <si>
    <t>M20-1002301</t>
  </si>
  <si>
    <t>M20-1002310</t>
  </si>
  <si>
    <t>M20-1002327</t>
  </si>
  <si>
    <t>MS1-999157</t>
  </si>
  <si>
    <t>Q00-999322</t>
  </si>
  <si>
    <t>Q00-999336</t>
  </si>
  <si>
    <t>Q02-930357</t>
  </si>
  <si>
    <t>Q02-930358</t>
  </si>
  <si>
    <t>Y00-1001938</t>
  </si>
  <si>
    <t>Y00-1001942</t>
  </si>
  <si>
    <t>Y00-1001953</t>
  </si>
  <si>
    <t>Y02-993429</t>
  </si>
  <si>
    <t>Y11-983752</t>
  </si>
  <si>
    <t>C00-999238</t>
  </si>
  <si>
    <t>C00-999253</t>
  </si>
  <si>
    <t>C00-999255</t>
  </si>
  <si>
    <t>C00-999259</t>
  </si>
  <si>
    <t>C00-999312</t>
  </si>
  <si>
    <t>C00-999322</t>
  </si>
  <si>
    <t>C01-995692</t>
  </si>
  <si>
    <t>D00-1009504</t>
  </si>
  <si>
    <t>D00-1009552</t>
  </si>
  <si>
    <t>D00-1009978</t>
  </si>
  <si>
    <t>D00-1009979</t>
  </si>
  <si>
    <t>D00-1009980</t>
  </si>
  <si>
    <t>D70-1004130</t>
  </si>
  <si>
    <t>D70-1004207</t>
  </si>
  <si>
    <t>D70-1004210</t>
  </si>
  <si>
    <t>D70-1004216</t>
  </si>
  <si>
    <t>F02-996483</t>
  </si>
  <si>
    <t>G05-963838</t>
  </si>
  <si>
    <t>L00-1015368</t>
  </si>
  <si>
    <t>L00-1015433</t>
  </si>
  <si>
    <t>L00-1015475</t>
  </si>
  <si>
    <t>L00-1015569</t>
  </si>
  <si>
    <t>L00-1015591</t>
  </si>
  <si>
    <t>L00-1015593</t>
  </si>
  <si>
    <t>L00-1015600</t>
  </si>
  <si>
    <t>L00-1015727</t>
  </si>
  <si>
    <t>L06-994133</t>
  </si>
  <si>
    <t>L06-994150</t>
  </si>
  <si>
    <t>L06-994295</t>
  </si>
  <si>
    <t>L06-994303</t>
  </si>
  <si>
    <t>L07-978208</t>
  </si>
  <si>
    <t>M05-1000803</t>
  </si>
  <si>
    <t>M05-1000804</t>
  </si>
  <si>
    <t>M14-980678</t>
  </si>
  <si>
    <t>M20-1002299</t>
  </si>
  <si>
    <t>M20-1002305</t>
  </si>
  <si>
    <t>M20-1002306</t>
  </si>
  <si>
    <t>M20-1002344</t>
  </si>
  <si>
    <t>P00-996020</t>
  </si>
  <si>
    <t>P00-996039</t>
  </si>
  <si>
    <t>P01-998119</t>
  </si>
  <si>
    <t>T00-999211</t>
  </si>
  <si>
    <t>Y00-1001980</t>
  </si>
  <si>
    <t>Y00-1001998</t>
  </si>
  <si>
    <t>Y00-1002001</t>
  </si>
  <si>
    <t>Y00-1002071</t>
  </si>
  <si>
    <t>Y00-1002073</t>
  </si>
  <si>
    <t>Y01-811144</t>
  </si>
  <si>
    <t>Y01-811146</t>
  </si>
  <si>
    <t>Y01-811156</t>
  </si>
  <si>
    <t>Y02-993431</t>
  </si>
  <si>
    <t>Y11-983757</t>
  </si>
  <si>
    <t>Y11-983758</t>
  </si>
  <si>
    <t>Y11-983759</t>
  </si>
  <si>
    <t>C01-995689</t>
  </si>
  <si>
    <t>C01-995698</t>
  </si>
  <si>
    <t>D00-1009404</t>
  </si>
  <si>
    <t>D00-1009437</t>
  </si>
  <si>
    <t>D00-1009458</t>
  </si>
  <si>
    <t>D00-1009534</t>
  </si>
  <si>
    <t>D00-1009563</t>
  </si>
  <si>
    <t>D00-1009674</t>
  </si>
  <si>
    <t>D70-1004117</t>
  </si>
  <si>
    <t>D70-1004143</t>
  </si>
  <si>
    <t>D70-1004146</t>
  </si>
  <si>
    <t>D70-1004154</t>
  </si>
  <si>
    <t>D70-1004214</t>
  </si>
  <si>
    <t>D70-1004224</t>
  </si>
  <si>
    <t>D70-1004235</t>
  </si>
  <si>
    <t>D70-1004236</t>
  </si>
  <si>
    <t>D70-1004237</t>
  </si>
  <si>
    <t>G05-963839</t>
  </si>
  <si>
    <t>G05-963840</t>
  </si>
  <si>
    <t>G11-993879</t>
  </si>
  <si>
    <t>H00-1001029</t>
  </si>
  <si>
    <t>H00-1001052</t>
  </si>
  <si>
    <t>H00-1001116</t>
  </si>
  <si>
    <t>H01-993316</t>
  </si>
  <si>
    <t>L00-1015392</t>
  </si>
  <si>
    <t>L00-1015393</t>
  </si>
  <si>
    <t>L00-1015460</t>
  </si>
  <si>
    <t>L00-1015581</t>
  </si>
  <si>
    <t>L00-1015611</t>
  </si>
  <si>
    <t>L00-1015637</t>
  </si>
  <si>
    <t>L00-1016203</t>
  </si>
  <si>
    <t>L00-1016313</t>
  </si>
  <si>
    <t>L01-999288</t>
  </si>
  <si>
    <t>L01-999289</t>
  </si>
  <si>
    <t>L06-994110</t>
  </si>
  <si>
    <t>L06-994132</t>
  </si>
  <si>
    <t>M00-999938</t>
  </si>
  <si>
    <t>M11-919120</t>
  </si>
  <si>
    <t>M11-919124</t>
  </si>
  <si>
    <t>M11-919136</t>
  </si>
  <si>
    <t>M14-980695</t>
  </si>
  <si>
    <t>M20-1002293</t>
  </si>
  <si>
    <t>M20-1002329</t>
  </si>
  <si>
    <t>M20-1002332</t>
  </si>
  <si>
    <t>M25-848851</t>
  </si>
  <si>
    <t>M25-848859</t>
  </si>
  <si>
    <t>MC1-998607</t>
  </si>
  <si>
    <t>MC1-998610</t>
  </si>
  <si>
    <t>P00-996013</t>
  </si>
  <si>
    <t>P01-998132</t>
  </si>
  <si>
    <t>P07-995036</t>
  </si>
  <si>
    <t>Q02-930461</t>
  </si>
  <si>
    <t>T00-999214</t>
  </si>
  <si>
    <t>T00-999216</t>
  </si>
  <si>
    <t>T00-999217</t>
  </si>
  <si>
    <t>T00-999227</t>
  </si>
  <si>
    <t>T00-999229</t>
  </si>
  <si>
    <t>T00-999284</t>
  </si>
  <si>
    <t>T00-999285</t>
  </si>
  <si>
    <t>Y02-993414</t>
  </si>
  <si>
    <t>C00-999310</t>
  </si>
  <si>
    <t>C00-999311</t>
  </si>
  <si>
    <t>C01-995759</t>
  </si>
  <si>
    <t>D00-1009405</t>
  </si>
  <si>
    <t>D00-1009616</t>
  </si>
  <si>
    <t>D00-1010008</t>
  </si>
  <si>
    <t>D70-1004234</t>
  </si>
  <si>
    <t>E00-996359</t>
  </si>
  <si>
    <t>G00-996705</t>
  </si>
  <si>
    <t>G00-996739</t>
  </si>
  <si>
    <t>G05-963832</t>
  </si>
  <si>
    <t>G11-993878</t>
  </si>
  <si>
    <t>H00-1001056</t>
  </si>
  <si>
    <t>H00-1001072</t>
  </si>
  <si>
    <t>H00-1001073</t>
  </si>
  <si>
    <t>H00-1001074</t>
  </si>
  <si>
    <t>L00-1015369</t>
  </si>
  <si>
    <t>L00-1015383</t>
  </si>
  <si>
    <t>L00-1015402</t>
  </si>
  <si>
    <t>L00-1015409</t>
  </si>
  <si>
    <t>L00-1015415</t>
  </si>
  <si>
    <t>L00-1015515</t>
  </si>
  <si>
    <t>L00-1015552</t>
  </si>
  <si>
    <t>L00-1015587</t>
  </si>
  <si>
    <t>L00-1015592</t>
  </si>
  <si>
    <t>L00-1015628</t>
  </si>
  <si>
    <t>L00-1015633</t>
  </si>
  <si>
    <t>L00-1015638</t>
  </si>
  <si>
    <t>L00-1015646</t>
  </si>
  <si>
    <t>L00-1015672</t>
  </si>
  <si>
    <t>L00-1015673</t>
  </si>
  <si>
    <t>L00-1015674</t>
  </si>
  <si>
    <t>L00-1015744</t>
  </si>
  <si>
    <t>L00-1016200</t>
  </si>
  <si>
    <t>L00-1016238</t>
  </si>
  <si>
    <t>L00-1016322</t>
  </si>
  <si>
    <t>L01-999268</t>
  </si>
  <si>
    <t>L06-994143</t>
  </si>
  <si>
    <t>L06-994144</t>
  </si>
  <si>
    <t>L06-994170</t>
  </si>
  <si>
    <t>L06-994173</t>
  </si>
  <si>
    <t>M00-999927</t>
  </si>
  <si>
    <t>M00-999930</t>
  </si>
  <si>
    <t>M00-999936</t>
  </si>
  <si>
    <t>M00-999995</t>
  </si>
  <si>
    <t>M00-1000022</t>
  </si>
  <si>
    <t>M11-919122</t>
  </si>
  <si>
    <t>M17-582298</t>
  </si>
  <si>
    <t>M17-582299</t>
  </si>
  <si>
    <t>M20-1002330</t>
  </si>
  <si>
    <t>M20-1002346</t>
  </si>
  <si>
    <t>M25-848852</t>
  </si>
  <si>
    <t>MS1-999155</t>
  </si>
  <si>
    <t>MS1-999156</t>
  </si>
  <si>
    <t>MS5-913834</t>
  </si>
  <si>
    <t>MS5-913835</t>
  </si>
  <si>
    <t>P01-998129</t>
  </si>
  <si>
    <t>Q02-930365</t>
  </si>
  <si>
    <t>T00-999213</t>
  </si>
  <si>
    <t>T00-999221</t>
  </si>
  <si>
    <t>T00-999223</t>
  </si>
  <si>
    <t>T00-999234</t>
  </si>
  <si>
    <t>T00-999242</t>
  </si>
  <si>
    <t>Y00-1001956</t>
  </si>
  <si>
    <t>Y01-811205</t>
  </si>
  <si>
    <t>C00-999242</t>
  </si>
  <si>
    <t>C01-995680</t>
  </si>
  <si>
    <t>C01-995681</t>
  </si>
  <si>
    <t>C01-995706</t>
  </si>
  <si>
    <t>C01-995708</t>
  </si>
  <si>
    <t>C01-995762</t>
  </si>
  <si>
    <t>C01-995809</t>
  </si>
  <si>
    <t>D00-1009438</t>
  </si>
  <si>
    <t>D00-1009459</t>
  </si>
  <si>
    <t>D00-1009460</t>
  </si>
  <si>
    <t>D00-1009497</t>
  </si>
  <si>
    <t>D00-1009559</t>
  </si>
  <si>
    <t>D00-1009577</t>
  </si>
  <si>
    <t>D00-1009579</t>
  </si>
  <si>
    <t>D00-1009580</t>
  </si>
  <si>
    <t>D00-1009585</t>
  </si>
  <si>
    <t>D00-1009673</t>
  </si>
  <si>
    <t>D00-1009941</t>
  </si>
  <si>
    <t>D00-1009970</t>
  </si>
  <si>
    <t>D00-1010005</t>
  </si>
  <si>
    <t>D00-1010020</t>
  </si>
  <si>
    <t>D70-1004220</t>
  </si>
  <si>
    <t>F02-996475</t>
  </si>
  <si>
    <t>F02-996476</t>
  </si>
  <si>
    <t>F04-975783</t>
  </si>
  <si>
    <t>F10-996358</t>
  </si>
  <si>
    <t>F10-996359</t>
  </si>
  <si>
    <t>F10-996362</t>
  </si>
  <si>
    <t>F10-996371</t>
  </si>
  <si>
    <t>F10-996375</t>
  </si>
  <si>
    <t>G00-996708</t>
  </si>
  <si>
    <t>G00-996709</t>
  </si>
  <si>
    <t>G00-996710</t>
  </si>
  <si>
    <t>G00-996734</t>
  </si>
  <si>
    <t>G00-996735</t>
  </si>
  <si>
    <t>G00-996736</t>
  </si>
  <si>
    <t>G05-963818</t>
  </si>
  <si>
    <t>H00-1001057</t>
  </si>
  <si>
    <t>H00-1001059</t>
  </si>
  <si>
    <t>H00-1001063</t>
  </si>
  <si>
    <t>H01-993343</t>
  </si>
  <si>
    <t>L00-1015391</t>
  </si>
  <si>
    <t>L00-1015404</t>
  </si>
  <si>
    <t>L00-1015445</t>
  </si>
  <si>
    <t>L00-1015462</t>
  </si>
  <si>
    <t>L00-1015481</t>
  </si>
  <si>
    <t>L00-1015485</t>
  </si>
  <si>
    <t>L00-1015501</t>
  </si>
  <si>
    <t>L00-1015525</t>
  </si>
  <si>
    <t>L00-1015526</t>
  </si>
  <si>
    <t>L00-1015530</t>
  </si>
  <si>
    <t>L00-1015559</t>
  </si>
  <si>
    <t>L00-1015585</t>
  </si>
  <si>
    <t>L00-1015598</t>
  </si>
  <si>
    <t>L00-1015626</t>
  </si>
  <si>
    <t>L00-1015634</t>
  </si>
  <si>
    <t>L00-1015653</t>
  </si>
  <si>
    <t>L00-1015698</t>
  </si>
  <si>
    <t>L00-1016223</t>
  </si>
  <si>
    <t>L06-994100</t>
  </si>
  <si>
    <t>L06-994137</t>
  </si>
  <si>
    <t>L06-994172</t>
  </si>
  <si>
    <t>L06-994183</t>
  </si>
  <si>
    <t>L07-978217</t>
  </si>
  <si>
    <t>M05-1000799</t>
  </si>
  <si>
    <t>M14-980684</t>
  </si>
  <si>
    <t>M17-582301</t>
  </si>
  <si>
    <t>M17-582309</t>
  </si>
  <si>
    <t>M17-582310</t>
  </si>
  <si>
    <t>MC1-998594</t>
  </si>
  <si>
    <t>MC1-998603</t>
  </si>
  <si>
    <t>MCC-21</t>
  </si>
  <si>
    <t>MCC-25</t>
  </si>
  <si>
    <t>P01-998134</t>
  </si>
  <si>
    <t>P06-997027</t>
  </si>
  <si>
    <t>P06-997032</t>
  </si>
  <si>
    <t>P07-995037</t>
  </si>
  <si>
    <t>P07-995040</t>
  </si>
  <si>
    <t>Q00-999329</t>
  </si>
  <si>
    <t>Q00-999390</t>
  </si>
  <si>
    <t>Q00-999392</t>
  </si>
  <si>
    <t>Q02-930353</t>
  </si>
  <si>
    <t>Q02-930372</t>
  </si>
  <si>
    <t>Q02-930373</t>
  </si>
  <si>
    <t>Q02-930376</t>
  </si>
  <si>
    <t>Q02-930465</t>
  </si>
  <si>
    <t>Y00-1001944</t>
  </si>
  <si>
    <t>Y01-811133</t>
  </si>
  <si>
    <t>Y11-983754</t>
  </si>
  <si>
    <t>Y11-983781</t>
  </si>
  <si>
    <t>D00-1009461</t>
  </si>
  <si>
    <t>D00-1009493</t>
  </si>
  <si>
    <t>D00-1009528</t>
  </si>
  <si>
    <t>D00-1009547</t>
  </si>
  <si>
    <t>D00-1009625</t>
  </si>
  <si>
    <t>D00-1010302</t>
  </si>
  <si>
    <t>D70-1004118</t>
  </si>
  <si>
    <t>D70-1004119</t>
  </si>
  <si>
    <t>D70-1004144</t>
  </si>
  <si>
    <t>D70-1004163</t>
  </si>
  <si>
    <t>D70-1004195</t>
  </si>
  <si>
    <t>D70-1004233</t>
  </si>
  <si>
    <t>D70-1004270</t>
  </si>
  <si>
    <t>D70-1004572</t>
  </si>
  <si>
    <t>F04-975797</t>
  </si>
  <si>
    <t>F04-975798</t>
  </si>
  <si>
    <t>F04-975807</t>
  </si>
  <si>
    <t>F04-975811</t>
  </si>
  <si>
    <t>F04-975814</t>
  </si>
  <si>
    <t>F04-975860</t>
  </si>
  <si>
    <t>F04-975894</t>
  </si>
  <si>
    <t>F10-996360</t>
  </si>
  <si>
    <t>F10-996370</t>
  </si>
  <si>
    <t>G00-996716</t>
  </si>
  <si>
    <t>G05-963833</t>
  </si>
  <si>
    <t>G05-963834</t>
  </si>
  <si>
    <t>G05-963836</t>
  </si>
  <si>
    <t>G05-963843</t>
  </si>
  <si>
    <t>G05-963854</t>
  </si>
  <si>
    <t>G05-963855</t>
  </si>
  <si>
    <t>G05-963891</t>
  </si>
  <si>
    <t>H01-993313</t>
  </si>
  <si>
    <t>L00-1015384</t>
  </si>
  <si>
    <t>L00-1015394</t>
  </si>
  <si>
    <t>L00-1015450</t>
  </si>
  <si>
    <t>L00-1015476</t>
  </si>
  <si>
    <t>L00-1015503</t>
  </si>
  <si>
    <t>L00-1015505</t>
  </si>
  <si>
    <t>L00-1015510</t>
  </si>
  <si>
    <t>L00-1015576</t>
  </si>
  <si>
    <t>L00-1015597</t>
  </si>
  <si>
    <t>L00-1015641</t>
  </si>
  <si>
    <t>L00-1016218</t>
  </si>
  <si>
    <t>L00-1016242</t>
  </si>
  <si>
    <t>L01-999250</t>
  </si>
  <si>
    <t>L01-999272</t>
  </si>
  <si>
    <t>L01-999330</t>
  </si>
  <si>
    <t>L06-994124</t>
  </si>
  <si>
    <t>L06-994164</t>
  </si>
  <si>
    <t>L07-978198</t>
  </si>
  <si>
    <t>L07-978261</t>
  </si>
  <si>
    <t>L12-370237</t>
  </si>
  <si>
    <t>M11-919135</t>
  </si>
  <si>
    <t>M17-582302</t>
  </si>
  <si>
    <t>M20-1002291</t>
  </si>
  <si>
    <t>M20-1002322</t>
  </si>
  <si>
    <t>P00-996036</t>
  </si>
  <si>
    <t>P00-996092</t>
  </si>
  <si>
    <t>P01-998165</t>
  </si>
  <si>
    <t>P01-998188</t>
  </si>
  <si>
    <t>P07-995035</t>
  </si>
  <si>
    <t>P07-995038</t>
  </si>
  <si>
    <t>P07-995048</t>
  </si>
  <si>
    <t>Q00-999308</t>
  </si>
  <si>
    <t>Q00-999391</t>
  </si>
  <si>
    <t>Q00-999400</t>
  </si>
  <si>
    <t>Q02-930362</t>
  </si>
  <si>
    <t>Q02-930371</t>
  </si>
  <si>
    <t>Q02-930389</t>
  </si>
  <si>
    <t>Q02-930466</t>
  </si>
  <si>
    <t>T00-999236</t>
  </si>
  <si>
    <t>T02-998268</t>
  </si>
  <si>
    <t>Y00-1001939</t>
  </si>
  <si>
    <t>Y01-811130</t>
  </si>
  <si>
    <t>Y01-811136</t>
  </si>
  <si>
    <t>Y01-811143</t>
  </si>
  <si>
    <t>Y01-811148</t>
  </si>
  <si>
    <t>C00-999252</t>
  </si>
  <si>
    <t>C00-999355</t>
  </si>
  <si>
    <t>D00-1009480</t>
  </si>
  <si>
    <t>D00-1009496</t>
  </si>
  <si>
    <t>D00-1009526</t>
  </si>
  <si>
    <t>D00-1009549</t>
  </si>
  <si>
    <t>D00-1009564</t>
  </si>
  <si>
    <t>D00-1009599</t>
  </si>
  <si>
    <t>D00-1009608</t>
  </si>
  <si>
    <t>D00-1009698</t>
  </si>
  <si>
    <t>D00-1010046</t>
  </si>
  <si>
    <t>D70-1004206</t>
  </si>
  <si>
    <t>D70-1004226</t>
  </si>
  <si>
    <t>D70-1004441</t>
  </si>
  <si>
    <t>E00-996360</t>
  </si>
  <si>
    <t>E00-996361</t>
  </si>
  <si>
    <t>F04-975792</t>
  </si>
  <si>
    <t>F04-975809</t>
  </si>
  <si>
    <t>F04-975815</t>
  </si>
  <si>
    <t>G05-963825</t>
  </si>
  <si>
    <t>H00-1001058</t>
  </si>
  <si>
    <t>L00-1015390</t>
  </si>
  <si>
    <t>L00-1015396</t>
  </si>
  <si>
    <t>L00-1015490</t>
  </si>
  <si>
    <t>L00-1015513</t>
  </si>
  <si>
    <t>L00-1015595</t>
  </si>
  <si>
    <t>L00-1015601</t>
  </si>
  <si>
    <t>L00-1015642</t>
  </si>
  <si>
    <t>L00-1015659</t>
  </si>
  <si>
    <t>L00-1015675</t>
  </si>
  <si>
    <t>L00-1015679</t>
  </si>
  <si>
    <t>L00-1015755</t>
  </si>
  <si>
    <t>L00-1015804</t>
  </si>
  <si>
    <t>L00-1015820</t>
  </si>
  <si>
    <t>L06-994112</t>
  </si>
  <si>
    <t>L06-994115</t>
  </si>
  <si>
    <t>L06-994139</t>
  </si>
  <si>
    <t>L06-994140</t>
  </si>
  <si>
    <t>L06-994145</t>
  </si>
  <si>
    <t>L06-994148</t>
  </si>
  <si>
    <t>L06-994154</t>
  </si>
  <si>
    <t>L06-994160</t>
  </si>
  <si>
    <t>L06-994161</t>
  </si>
  <si>
    <t>L06-994415</t>
  </si>
  <si>
    <t>L07-978206</t>
  </si>
  <si>
    <t>L07-978207</t>
  </si>
  <si>
    <t>L07-978260</t>
  </si>
  <si>
    <t>M14-980680</t>
  </si>
  <si>
    <t>M14-980686</t>
  </si>
  <si>
    <t>M20-1002312</t>
  </si>
  <si>
    <t>MC1-998593</t>
  </si>
  <si>
    <t>MS5-913826</t>
  </si>
  <si>
    <t>MS5-913827</t>
  </si>
  <si>
    <t>MS5-913828</t>
  </si>
  <si>
    <t>MS5-913829</t>
  </si>
  <si>
    <t>P00-996012</t>
  </si>
  <si>
    <t>P00-996034</t>
  </si>
  <si>
    <t>P00-996038</t>
  </si>
  <si>
    <t>P00-996096</t>
  </si>
  <si>
    <t>P01-998115</t>
  </si>
  <si>
    <t>P01-998187</t>
  </si>
  <si>
    <t>P12-756</t>
  </si>
  <si>
    <t>Q00-999314</t>
  </si>
  <si>
    <t>Q00-999316</t>
  </si>
  <si>
    <t>Q00-999326</t>
  </si>
  <si>
    <t>Q02-930352</t>
  </si>
  <si>
    <t>Q02-930386</t>
  </si>
  <si>
    <t>S00-993920</t>
  </si>
  <si>
    <t>T03-999832</t>
  </si>
  <si>
    <t>Y00-1001984</t>
  </si>
  <si>
    <t>Y00-1002089</t>
  </si>
  <si>
    <t>Y00-1002095</t>
  </si>
  <si>
    <t>Y01-811141</t>
  </si>
  <si>
    <t>Y11-983753</t>
  </si>
  <si>
    <t>Y11-983809</t>
  </si>
  <si>
    <t>C00-999248</t>
  </si>
  <si>
    <t>C01-995688</t>
  </si>
  <si>
    <t>D00-1009586</t>
  </si>
  <si>
    <t>D00-1010055</t>
  </si>
  <si>
    <t>D70-1004227</t>
  </si>
  <si>
    <t>F04-975785</t>
  </si>
  <si>
    <t>F04-975787</t>
  </si>
  <si>
    <t>F04-975788</t>
  </si>
  <si>
    <t>F04-975806</t>
  </si>
  <si>
    <t>G05-963822</t>
  </si>
  <si>
    <t>H00-1001027</t>
  </si>
  <si>
    <t>H01-993315</t>
  </si>
  <si>
    <t>L00-1015442</t>
  </si>
  <si>
    <t>L00-1015446</t>
  </si>
  <si>
    <t>L00-1015447</t>
  </si>
  <si>
    <t>L00-1015455</t>
  </si>
  <si>
    <t>L00-1015482</t>
  </si>
  <si>
    <t>L00-1015483</t>
  </si>
  <si>
    <t>L00-1015548</t>
  </si>
  <si>
    <t>L00-1015567</t>
  </si>
  <si>
    <t>L00-1015599</t>
  </si>
  <si>
    <t>L00-1015652</t>
  </si>
  <si>
    <t>L00-1015678</t>
  </si>
  <si>
    <t>L00-1015686</t>
  </si>
  <si>
    <t>L00-1016213</t>
  </si>
  <si>
    <t>L00-1016247</t>
  </si>
  <si>
    <t>L01-999247</t>
  </si>
  <si>
    <t>L01-999254</t>
  </si>
  <si>
    <t>L01-999269</t>
  </si>
  <si>
    <t>L01-999270</t>
  </si>
  <si>
    <t>L06-994126</t>
  </si>
  <si>
    <t>L06-994174</t>
  </si>
  <si>
    <t>L06-994334</t>
  </si>
  <si>
    <t>M00-999934</t>
  </si>
  <si>
    <t>M05-1000797</t>
  </si>
  <si>
    <t>M05-1000805</t>
  </si>
  <si>
    <t>M05-1000844</t>
  </si>
  <si>
    <t>M05-1000847</t>
  </si>
  <si>
    <t>M05-1000848</t>
  </si>
  <si>
    <t>M20-1002317</t>
  </si>
  <si>
    <t>M20-1002333</t>
  </si>
  <si>
    <t>M20-1002355</t>
  </si>
  <si>
    <t>MC1-998599</t>
  </si>
  <si>
    <t>MC1-998635</t>
  </si>
  <si>
    <t>MS5-913830</t>
  </si>
  <si>
    <t>MS5-913838</t>
  </si>
  <si>
    <t>MS5-913851</t>
  </si>
  <si>
    <t>P00-996021</t>
  </si>
  <si>
    <t>P00-996103</t>
  </si>
  <si>
    <t>P01-998114</t>
  </si>
  <si>
    <t>P01-998120</t>
  </si>
  <si>
    <t>Q02-930370</t>
  </si>
  <si>
    <t>Q02-930467</t>
  </si>
  <si>
    <t>Q02-930475</t>
  </si>
  <si>
    <t>Q02-930485</t>
  </si>
  <si>
    <t>T02-998272</t>
  </si>
  <si>
    <t>C00-999319</t>
  </si>
  <si>
    <t>C01-995700</t>
  </si>
  <si>
    <t>C01-995814</t>
  </si>
  <si>
    <t>D00-1009537</t>
  </si>
  <si>
    <t>D00-1009562</t>
  </si>
  <si>
    <t>D00-1009583</t>
  </si>
  <si>
    <t>D00-1009688</t>
  </si>
  <si>
    <t>D70-1004213</t>
  </si>
  <si>
    <t>D70-1004415</t>
  </si>
  <si>
    <t>G05-963841</t>
  </si>
  <si>
    <t>G05-963887</t>
  </si>
  <si>
    <t>L00-1015381</t>
  </si>
  <si>
    <t>L00-1015382</t>
  </si>
  <si>
    <t>L00-1015432</t>
  </si>
  <si>
    <t>L00-1015456</t>
  </si>
  <si>
    <t>L00-1015473</t>
  </si>
  <si>
    <t>L00-1015520</t>
  </si>
  <si>
    <t>L00-1015521</t>
  </si>
  <si>
    <t>L00-1015535</t>
  </si>
  <si>
    <t>L00-1015558</t>
  </si>
  <si>
    <t>L00-1015639</t>
  </si>
  <si>
    <t>L00-1015640</t>
  </si>
  <si>
    <t>L00-1015643</t>
  </si>
  <si>
    <t>L00-1015669</t>
  </si>
  <si>
    <t>L00-1015711</t>
  </si>
  <si>
    <t>L00-1015789</t>
  </si>
  <si>
    <t>L00-1016236</t>
  </si>
  <si>
    <t>L00-1016280</t>
  </si>
  <si>
    <t>L01-999246</t>
  </si>
  <si>
    <t>L06-994128</t>
  </si>
  <si>
    <t>L06-994186</t>
  </si>
  <si>
    <t>L06-994307</t>
  </si>
  <si>
    <t>L06-994340</t>
  </si>
  <si>
    <t>L12-370240</t>
  </si>
  <si>
    <t>L12-370242</t>
  </si>
  <si>
    <t>M00-999925</t>
  </si>
  <si>
    <t>M05-1000794</t>
  </si>
  <si>
    <t>M20-1002297</t>
  </si>
  <si>
    <t>MC1-998634</t>
  </si>
  <si>
    <t>MC1-998636</t>
  </si>
  <si>
    <t>P00-996011</t>
  </si>
  <si>
    <t>P00-996014</t>
  </si>
  <si>
    <t>P00-996018</t>
  </si>
  <si>
    <t>P00-996024</t>
  </si>
  <si>
    <t>P00-996097</t>
  </si>
  <si>
    <t>P06-997042</t>
  </si>
  <si>
    <t>Q02-930347</t>
  </si>
  <si>
    <t>Q02-930348</t>
  </si>
  <si>
    <t>T00-999243</t>
  </si>
  <si>
    <t>T00-999280</t>
  </si>
  <si>
    <t>T02-998269</t>
  </si>
  <si>
    <t>T02-998270</t>
  </si>
  <si>
    <t>T02-998281</t>
  </si>
  <si>
    <t>Y00-1001943</t>
  </si>
  <si>
    <t>Y00-1001949</t>
  </si>
  <si>
    <t>Y00-1001950</t>
  </si>
  <si>
    <t>Y00-1001951</t>
  </si>
  <si>
    <t>Y00-1001977</t>
  </si>
  <si>
    <t>Y01-811137</t>
  </si>
  <si>
    <t>C00-999358</t>
  </si>
  <si>
    <t>C01-995690</t>
  </si>
  <si>
    <t>C01-995691</t>
  </si>
  <si>
    <t>D00-1009569</t>
  </si>
  <si>
    <t>D00-1009597</t>
  </si>
  <si>
    <t>D70-1004164</t>
  </si>
  <si>
    <t>D70-1004169</t>
  </si>
  <si>
    <t>D70-1004217</t>
  </si>
  <si>
    <t>D70-1004218</t>
  </si>
  <si>
    <t>D70-1004238</t>
  </si>
  <si>
    <t>D70-1004251</t>
  </si>
  <si>
    <t>F02-996523</t>
  </si>
  <si>
    <t>F04-975863</t>
  </si>
  <si>
    <t>G05-963823</t>
  </si>
  <si>
    <t>G15-248301</t>
  </si>
  <si>
    <t>H00-1001044</t>
  </si>
  <si>
    <t>L00-1015397</t>
  </si>
  <si>
    <t>L00-1015398</t>
  </si>
  <si>
    <t>L00-1015410</t>
  </si>
  <si>
    <t>L00-1015423</t>
  </si>
  <si>
    <t>L00-1015459</t>
  </si>
  <si>
    <t>L00-1015472</t>
  </si>
  <si>
    <t>L00-1015533</t>
  </si>
  <si>
    <t>L00-1015536</t>
  </si>
  <si>
    <t>L00-1015537</t>
  </si>
  <si>
    <t>L00-1015578</t>
  </si>
  <si>
    <t>L00-1015579</t>
  </si>
  <si>
    <t>L00-1015589</t>
  </si>
  <si>
    <t>L00-1015603</t>
  </si>
  <si>
    <t>L00-1015619</t>
  </si>
  <si>
    <t>L00-1015648</t>
  </si>
  <si>
    <t>L00-1015712</t>
  </si>
  <si>
    <t>L00-1015741</t>
  </si>
  <si>
    <t>L00-1015760</t>
  </si>
  <si>
    <t>L00-1015762</t>
  </si>
  <si>
    <t>L00-1016209</t>
  </si>
  <si>
    <t>L00-1016303</t>
  </si>
  <si>
    <t>L06-994146</t>
  </si>
  <si>
    <t>L06-994149</t>
  </si>
  <si>
    <t>L06-994165</t>
  </si>
  <si>
    <t>L07-978184</t>
  </si>
  <si>
    <t>L07-978193</t>
  </si>
  <si>
    <t>M00-999919</t>
  </si>
  <si>
    <t>M00-999920</t>
  </si>
  <si>
    <t>M00-999923</t>
  </si>
  <si>
    <t>M00-999928</t>
  </si>
  <si>
    <t>M00-999932</t>
  </si>
  <si>
    <t>M00-999935</t>
  </si>
  <si>
    <t>M11-919129</t>
  </si>
  <si>
    <t>M20-1002289</t>
  </si>
  <si>
    <t>M20-1002298</t>
  </si>
  <si>
    <t>M20-1002311</t>
  </si>
  <si>
    <t>M20-1002335</t>
  </si>
  <si>
    <t>M20-1002339</t>
  </si>
  <si>
    <t>M20-1002342</t>
  </si>
  <si>
    <t>M20-1002425</t>
  </si>
  <si>
    <t>M20-1002491</t>
  </si>
  <si>
    <t>MS5-913832</t>
  </si>
  <si>
    <t>Q02-930468</t>
  </si>
  <si>
    <t>T00-999281</t>
  </si>
  <si>
    <t>T02-998271</t>
  </si>
  <si>
    <t>Y00-1001970</t>
  </si>
  <si>
    <t>Y00-1002003</t>
  </si>
  <si>
    <t>Y00-1002081</t>
  </si>
  <si>
    <t>Y00-1002082</t>
  </si>
  <si>
    <t>Y00-1002194</t>
  </si>
  <si>
    <t>Y00-1002195</t>
  </si>
  <si>
    <t>Y00-1002196</t>
  </si>
  <si>
    <t>Y00-1002201</t>
  </si>
  <si>
    <t>Y01-811128</t>
  </si>
  <si>
    <t>C00-999257</t>
  </si>
  <si>
    <t>C00-999260</t>
  </si>
  <si>
    <t>C00-999261</t>
  </si>
  <si>
    <t>C00-999273</t>
  </si>
  <si>
    <t>C00-999314</t>
  </si>
  <si>
    <t>C01-995709</t>
  </si>
  <si>
    <t>C01-995724</t>
  </si>
  <si>
    <t>C01-995756</t>
  </si>
  <si>
    <t>C01-995811</t>
  </si>
  <si>
    <t>D00-1009399</t>
  </si>
  <si>
    <t>D00-1009406</t>
  </si>
  <si>
    <t>D00-1009407</t>
  </si>
  <si>
    <t>D00-1009414</t>
  </si>
  <si>
    <t>D00-1009519</t>
  </si>
  <si>
    <t>D00-1009520</t>
  </si>
  <si>
    <t>D00-1009523</t>
  </si>
  <si>
    <t>D00-1009527</t>
  </si>
  <si>
    <t>D00-1009532</t>
  </si>
  <si>
    <t>D00-1009533</t>
  </si>
  <si>
    <t>D00-1009548</t>
  </si>
  <si>
    <t>D00-1009574</t>
  </si>
  <si>
    <t>D00-1009587</t>
  </si>
  <si>
    <t>D00-1009927</t>
  </si>
  <si>
    <t>D00-1009928</t>
  </si>
  <si>
    <t>D70-1004132</t>
  </si>
  <si>
    <t>D70-1004155</t>
  </si>
  <si>
    <t>D70-1004157</t>
  </si>
  <si>
    <t>D70-1004159</t>
  </si>
  <si>
    <t>D70-1004166</t>
  </si>
  <si>
    <t>D70-1004167</t>
  </si>
  <si>
    <t>D70-1004177</t>
  </si>
  <si>
    <t>D70-1004196</t>
  </si>
  <si>
    <t>D70-1004208</t>
  </si>
  <si>
    <t>D70-1004265</t>
  </si>
  <si>
    <t>D70-1004266</t>
  </si>
  <si>
    <t>D70-1004421</t>
  </si>
  <si>
    <t>F02-996504</t>
  </si>
  <si>
    <t>F04-975780</t>
  </si>
  <si>
    <t>F04-975793</t>
  </si>
  <si>
    <t>F04-975794</t>
  </si>
  <si>
    <t>F04-975795</t>
  </si>
  <si>
    <t>G00-996729</t>
  </si>
  <si>
    <t>G05-963846</t>
  </si>
  <si>
    <t>G11-993909</t>
  </si>
  <si>
    <t>L00-1015411</t>
  </si>
  <si>
    <t>L00-1015416</t>
  </si>
  <si>
    <t>L00-1015425</t>
  </si>
  <si>
    <t>L00-1015449</t>
  </si>
  <si>
    <t>L00-1015461</t>
  </si>
  <si>
    <t>L00-1015486</t>
  </si>
  <si>
    <t>L00-1015491</t>
  </si>
  <si>
    <t>L00-1015528</t>
  </si>
  <si>
    <t>L00-1015529</t>
  </si>
  <si>
    <t>L00-1015532</t>
  </si>
  <si>
    <t>L00-1015534</t>
  </si>
  <si>
    <t>L00-1015636</t>
  </si>
  <si>
    <t>L00-1015657</t>
  </si>
  <si>
    <t>L00-1015723</t>
  </si>
  <si>
    <t>L00-1015759</t>
  </si>
  <si>
    <t>L00-1015765</t>
  </si>
  <si>
    <t>L00-1015806</t>
  </si>
  <si>
    <t>L00-1016224</t>
  </si>
  <si>
    <t>L00-1016228</t>
  </si>
  <si>
    <t>L01-999252</t>
  </si>
  <si>
    <t>L01-999275</t>
  </si>
  <si>
    <t>L06-994152</t>
  </si>
  <si>
    <t>L06-994198</t>
  </si>
  <si>
    <t>L07-978194</t>
  </si>
  <si>
    <t>M00-999937</t>
  </si>
  <si>
    <t>M00-1000023</t>
  </si>
  <si>
    <t>M11-919126</t>
  </si>
  <si>
    <t>M11-919134</t>
  </si>
  <si>
    <t>M20-1002288</t>
  </si>
  <si>
    <t>M20-1002296</t>
  </si>
  <si>
    <t>M20-1002318</t>
  </si>
  <si>
    <t>M20-1002334</t>
  </si>
  <si>
    <t>M20-1002336</t>
  </si>
  <si>
    <t>P01-998113</t>
  </si>
  <si>
    <t>P01-998117</t>
  </si>
  <si>
    <t>P01-998125</t>
  </si>
  <si>
    <t>P01-998127</t>
  </si>
  <si>
    <t>P01-998138</t>
  </si>
  <si>
    <t>P01-998139</t>
  </si>
  <si>
    <t>P01-998161</t>
  </si>
  <si>
    <t>P01-998163</t>
  </si>
  <si>
    <t>Q00-999318</t>
  </si>
  <si>
    <t>Q02-930380</t>
  </si>
  <si>
    <t>Q02-930397</t>
  </si>
  <si>
    <t>T00-999228</t>
  </si>
  <si>
    <t>T00-999230</t>
  </si>
  <si>
    <t>T00-999240</t>
  </si>
  <si>
    <t>T02-998283</t>
  </si>
  <si>
    <t>T02-998303</t>
  </si>
  <si>
    <t>T02-998304</t>
  </si>
  <si>
    <t>T02-998305</t>
  </si>
  <si>
    <t>T02-998306</t>
  </si>
  <si>
    <t>Y00-1001983</t>
  </si>
  <si>
    <t>Y00-1002005</t>
  </si>
  <si>
    <t>Y01-811196</t>
  </si>
  <si>
    <t>Y02-993416</t>
  </si>
  <si>
    <t>Y11-983750</t>
  </si>
  <si>
    <t>Y11-983751</t>
  </si>
  <si>
    <t>Y11-983756</t>
  </si>
  <si>
    <t>C00-999256</t>
  </si>
  <si>
    <t>D00-1009439</t>
  </si>
  <si>
    <t>D00-1009466</t>
  </si>
  <si>
    <t>D00-1009550</t>
  </si>
  <si>
    <t>D00-1009567</t>
  </si>
  <si>
    <t>D00-1009926</t>
  </si>
  <si>
    <t>D00-1010019</t>
  </si>
  <si>
    <t>D00-1010045</t>
  </si>
  <si>
    <t>D00-1010261</t>
  </si>
  <si>
    <t>D70-1004120</t>
  </si>
  <si>
    <t>D70-1004125</t>
  </si>
  <si>
    <t>D70-1004193</t>
  </si>
  <si>
    <t>D70-1004194</t>
  </si>
  <si>
    <t>D70-1004205</t>
  </si>
  <si>
    <t>D70-1004416</t>
  </si>
  <si>
    <t>D70-1004422</t>
  </si>
  <si>
    <t>D70-1004432</t>
  </si>
  <si>
    <t>F02-996487</t>
  </si>
  <si>
    <t>F02-996501</t>
  </si>
  <si>
    <t>F04-975781</t>
  </si>
  <si>
    <t>F04-975799</t>
  </si>
  <si>
    <t>G05-963827</t>
  </si>
  <si>
    <t>G11-993886</t>
  </si>
  <si>
    <t>L00-1015435</t>
  </si>
  <si>
    <t>L00-1015451</t>
  </si>
  <si>
    <t>L00-1015470</t>
  </si>
  <si>
    <t>L00-1015594</t>
  </si>
  <si>
    <t>L00-1015615</t>
  </si>
  <si>
    <t>L00-1016237</t>
  </si>
  <si>
    <t>L00-1016314</t>
  </si>
  <si>
    <t>L06-994134</t>
  </si>
  <si>
    <t>L06-994309</t>
  </si>
  <si>
    <t>L06-994327</t>
  </si>
  <si>
    <t>L07-978262</t>
  </si>
  <si>
    <t>L07-978263</t>
  </si>
  <si>
    <t>L07-978265</t>
  </si>
  <si>
    <t>M00-999933</t>
  </si>
  <si>
    <t>M05-1000810</t>
  </si>
  <si>
    <t>M20-1002292</t>
  </si>
  <si>
    <t>M20-1002316</t>
  </si>
  <si>
    <t>M20-1002319</t>
  </si>
  <si>
    <t>M20-1002426</t>
  </si>
  <si>
    <t>M20-1002492</t>
  </si>
  <si>
    <t>MC1-998596</t>
  </si>
  <si>
    <t>MC1-998632</t>
  </si>
  <si>
    <t>MC1-998633</t>
  </si>
  <si>
    <t>MC7-12158</t>
  </si>
  <si>
    <t>MS5-913840</t>
  </si>
  <si>
    <t>MS5-913843</t>
  </si>
  <si>
    <t>Q02-930377</t>
  </si>
  <si>
    <t>Q02-930470</t>
  </si>
  <si>
    <t>Y00-1001982</t>
  </si>
  <si>
    <t>Y00-1001996</t>
  </si>
  <si>
    <t>Y00-1002083</t>
  </si>
  <si>
    <t>Y00-1002291</t>
  </si>
  <si>
    <t>Y17-862314</t>
  </si>
  <si>
    <t>C00-999249</t>
  </si>
  <si>
    <t>C00-999316</t>
  </si>
  <si>
    <t>C01-995702</t>
  </si>
  <si>
    <t>D00-1009397</t>
  </si>
  <si>
    <t>D00-1009400</t>
  </si>
  <si>
    <t>D00-1009401</t>
  </si>
  <si>
    <t>D70-1004161</t>
  </si>
  <si>
    <t>D70-1004197</t>
  </si>
  <si>
    <t>D70-1004198</t>
  </si>
  <si>
    <t>D70-1004225</t>
  </si>
  <si>
    <t>F02-996484</t>
  </si>
  <si>
    <t>F02-996491</t>
  </si>
  <si>
    <t>F04-975782</t>
  </si>
  <si>
    <t>G00-996715</t>
  </si>
  <si>
    <t>G00-996737</t>
  </si>
  <si>
    <t>G05-963826</t>
  </si>
  <si>
    <t>G05-963889</t>
  </si>
  <si>
    <t>G11-993882</t>
  </si>
  <si>
    <t>G11-993883</t>
  </si>
  <si>
    <t>G11-993912</t>
  </si>
  <si>
    <t>G11-993914</t>
  </si>
  <si>
    <t>L00-1015370</t>
  </si>
  <si>
    <t>L00-1015387</t>
  </si>
  <si>
    <t>L00-1015504</t>
  </si>
  <si>
    <t>L00-1015518</t>
  </si>
  <si>
    <t>L00-1015539</t>
  </si>
  <si>
    <t>L00-1015565</t>
  </si>
  <si>
    <t>L00-1015631</t>
  </si>
  <si>
    <t>L00-1015647</t>
  </si>
  <si>
    <t>L00-1015662</t>
  </si>
  <si>
    <t>L00-1016229</t>
  </si>
  <si>
    <t>L00-1016251</t>
  </si>
  <si>
    <t>L00-1016290</t>
  </si>
  <si>
    <t>L00-1016320</t>
  </si>
  <si>
    <t>L00-1016733</t>
  </si>
  <si>
    <t>L01-999265</t>
  </si>
  <si>
    <t>L06-994117</t>
  </si>
  <si>
    <t>L06-994129</t>
  </si>
  <si>
    <t>L06-994297</t>
  </si>
  <si>
    <t>M11-919119</t>
  </si>
  <si>
    <t>M20-1002294</t>
  </si>
  <si>
    <t>M20-1002364</t>
  </si>
  <si>
    <t>P00-996035</t>
  </si>
  <si>
    <t>P01-998128</t>
  </si>
  <si>
    <t>T00-999231</t>
  </si>
  <si>
    <t>T00-999233</t>
  </si>
  <si>
    <t>Y00-1001937</t>
  </si>
  <si>
    <t>Y00-1001947</t>
  </si>
  <si>
    <t>Y00-1001963</t>
  </si>
  <si>
    <t>Y00-1002093</t>
  </si>
  <si>
    <t>Y01-811135</t>
  </si>
  <si>
    <t>Y01-811149</t>
  </si>
  <si>
    <t>Y02-993413</t>
  </si>
  <si>
    <t>Y02-993417</t>
  </si>
  <si>
    <t>Y02-993418</t>
  </si>
  <si>
    <t>Y02-993432</t>
  </si>
  <si>
    <t>C00-999258</t>
  </si>
  <si>
    <t>C01-995684</t>
  </si>
  <si>
    <t>C01-995705</t>
  </si>
  <si>
    <t>C01-995710</t>
  </si>
  <si>
    <t>C01-995761</t>
  </si>
  <si>
    <t>D00-1009398</t>
  </si>
  <si>
    <t>D00-1009462</t>
  </si>
  <si>
    <t>D00-1009568</t>
  </si>
  <si>
    <t>D00-1009581</t>
  </si>
  <si>
    <t>D00-1009588</t>
  </si>
  <si>
    <t>D00-1009591</t>
  </si>
  <si>
    <t>D00-1009675</t>
  </si>
  <si>
    <t>D00-1009950</t>
  </si>
  <si>
    <t>D00-1010242</t>
  </si>
  <si>
    <t>D70-1004149</t>
  </si>
  <si>
    <t>F04-975768</t>
  </si>
  <si>
    <t>G05-963837</t>
  </si>
  <si>
    <t>G05-963844</t>
  </si>
  <si>
    <t>G05-963852</t>
  </si>
  <si>
    <t>G11-993888</t>
  </si>
  <si>
    <t>H00-1001028</t>
  </si>
  <si>
    <t>H00-1001036</t>
  </si>
  <si>
    <t>H00-1001047</t>
  </si>
  <si>
    <t>H00-1001053</t>
  </si>
  <si>
    <t>H00-1001055</t>
  </si>
  <si>
    <t>H00-1001061</t>
  </si>
  <si>
    <t>L00-1015373</t>
  </si>
  <si>
    <t>L00-1015428</t>
  </si>
  <si>
    <t>L00-1015488</t>
  </si>
  <si>
    <t>L00-1015492</t>
  </si>
  <si>
    <t>L00-1015495</t>
  </si>
  <si>
    <t>L00-1015554</t>
  </si>
  <si>
    <t>L00-1015590</t>
  </si>
  <si>
    <t>L00-1015608</t>
  </si>
  <si>
    <t>L00-1015649</t>
  </si>
  <si>
    <t>L00-1015655</t>
  </si>
  <si>
    <t>L00-1015670</t>
  </si>
  <si>
    <t>L00-1015680</t>
  </si>
  <si>
    <t>L01-999277</t>
  </si>
  <si>
    <t>L06-994101</t>
  </si>
  <si>
    <t>L06-994116</t>
  </si>
  <si>
    <t>L06-994141</t>
  </si>
  <si>
    <t>L06-994158</t>
  </si>
  <si>
    <t>L06-994168</t>
  </si>
  <si>
    <t>L07-978189</t>
  </si>
  <si>
    <t>L07-978195</t>
  </si>
  <si>
    <t>M05-1000806</t>
  </si>
  <si>
    <t>M11-919137</t>
  </si>
  <si>
    <t>M11-919145</t>
  </si>
  <si>
    <t>M11-919147</t>
  </si>
  <si>
    <t>M20-1002323</t>
  </si>
  <si>
    <t>M20-1002340</t>
  </si>
  <si>
    <t>M20-1002363</t>
  </si>
  <si>
    <t>MC1-998591</t>
  </si>
  <si>
    <t>MC1-998592</t>
  </si>
  <si>
    <t>MC1-998595</t>
  </si>
  <si>
    <t>MC1-998604</t>
  </si>
  <si>
    <t>MC1-998605</t>
  </si>
  <si>
    <t>MCC-24</t>
  </si>
  <si>
    <t>MS1-999159</t>
  </si>
  <si>
    <t>P00-996040</t>
  </si>
  <si>
    <t>P07-995039</t>
  </si>
  <si>
    <t>Q00-999439</t>
  </si>
  <si>
    <t>Q02-930349</t>
  </si>
  <si>
    <t>Q02-930382</t>
  </si>
  <si>
    <t>Q02-930383</t>
  </si>
  <si>
    <t>Q02-930384</t>
  </si>
  <si>
    <t>Q02-930385</t>
  </si>
  <si>
    <t>C01-995694</t>
  </si>
  <si>
    <t>C01-995699</t>
  </si>
  <si>
    <t>C01-995703</t>
  </si>
  <si>
    <t>D00-1009494</t>
  </si>
  <si>
    <t>D00-1009495</t>
  </si>
  <si>
    <t>D00-1009536</t>
  </si>
  <si>
    <t>D00-1009561</t>
  </si>
  <si>
    <t>D00-1009573</t>
  </si>
  <si>
    <t>D00-1009595</t>
  </si>
  <si>
    <t>D00-1009617</t>
  </si>
  <si>
    <t>D00-1009619</t>
  </si>
  <si>
    <t>D00-1009901</t>
  </si>
  <si>
    <t>D70-1004126</t>
  </si>
  <si>
    <t>D70-1004127</t>
  </si>
  <si>
    <t>D70-1004145</t>
  </si>
  <si>
    <t>D70-1004176</t>
  </si>
  <si>
    <t>D70-1004200</t>
  </si>
  <si>
    <t>D70-1004222</t>
  </si>
  <si>
    <t>D70-1004259</t>
  </si>
  <si>
    <t>F04-975808</t>
  </si>
  <si>
    <t>F10-996365</t>
  </si>
  <si>
    <t>G11-993884</t>
  </si>
  <si>
    <t>G11-993887</t>
  </si>
  <si>
    <t>G11-993889</t>
  </si>
  <si>
    <t>H00-1001048</t>
  </si>
  <si>
    <t>H01-993323</t>
  </si>
  <si>
    <t>H01-993324</t>
  </si>
  <si>
    <t>L00-1015372</t>
  </si>
  <si>
    <t>L00-1015389</t>
  </si>
  <si>
    <t>L00-1015395</t>
  </si>
  <si>
    <t>L00-1015403</t>
  </si>
  <si>
    <t>L00-1015471</t>
  </si>
  <si>
    <t>L00-1015484</t>
  </si>
  <si>
    <t>L00-1015493</t>
  </si>
  <si>
    <t>L00-1015496</t>
  </si>
  <si>
    <t>L00-1015511</t>
  </si>
  <si>
    <t>L00-1015527</t>
  </si>
  <si>
    <t>L00-1015596</t>
  </si>
  <si>
    <t>L00-1015602</t>
  </si>
  <si>
    <t>L00-1015607</t>
  </si>
  <si>
    <t>L00-1015609</t>
  </si>
  <si>
    <t>L00-1015612</t>
  </si>
  <si>
    <t>L00-1015617</t>
  </si>
  <si>
    <t>L00-1015621</t>
  </si>
  <si>
    <t>L00-1015660</t>
  </si>
  <si>
    <t>L00-1015763</t>
  </si>
  <si>
    <t>L00-1015786</t>
  </si>
  <si>
    <t>L00-1015787</t>
  </si>
  <si>
    <t>L00-1015816</t>
  </si>
  <si>
    <t>L00-1016225</t>
  </si>
  <si>
    <t>L00-1016761</t>
  </si>
  <si>
    <t>L06-994113</t>
  </si>
  <si>
    <t>L06-994167</t>
  </si>
  <si>
    <t>L06-994180</t>
  </si>
  <si>
    <t>L07-978190</t>
  </si>
  <si>
    <t>L07-978191</t>
  </si>
  <si>
    <t>L07-978192</t>
  </si>
  <si>
    <t>L07-978229</t>
  </si>
  <si>
    <t>M14-980677</t>
  </si>
  <si>
    <t>M17-582300</t>
  </si>
  <si>
    <t>M20-1002315</t>
  </si>
  <si>
    <t>M20-1002366</t>
  </si>
  <si>
    <t>P00-996031</t>
  </si>
  <si>
    <t>Q02-930393</t>
  </si>
  <si>
    <t>Y00-1001945</t>
  </si>
  <si>
    <t>Y00-1001971</t>
  </si>
  <si>
    <t>Y00-1002094</t>
  </si>
  <si>
    <t>C00-999317</t>
  </si>
  <si>
    <t>C01-995693</t>
  </si>
  <si>
    <t>D00-1009540</t>
  </si>
  <si>
    <t>D00-1009556</t>
  </si>
  <si>
    <t>D00-1009558</t>
  </si>
  <si>
    <t>D00-1009600</t>
  </si>
  <si>
    <t>D00-1009946</t>
  </si>
  <si>
    <t>D70-1004232</t>
  </si>
  <si>
    <t>F04-975769</t>
  </si>
  <si>
    <t>F04-975796</t>
  </si>
  <si>
    <t>F04-975801</t>
  </si>
  <si>
    <t>G05-963828</t>
  </si>
  <si>
    <t>G05-963860</t>
  </si>
  <si>
    <t>G05-963861</t>
  </si>
  <si>
    <t>H00-1001064</t>
  </si>
  <si>
    <t>L00-1015399</t>
  </si>
  <si>
    <t>L00-1015413</t>
  </si>
  <si>
    <t>L00-1015453</t>
  </si>
  <si>
    <t>L00-1015454</t>
  </si>
  <si>
    <t>L00-1015489</t>
  </si>
  <si>
    <t>L00-1015563</t>
  </si>
  <si>
    <t>L00-1015629</t>
  </si>
  <si>
    <t>L00-1015761</t>
  </si>
  <si>
    <t>L00-1015795</t>
  </si>
  <si>
    <t>L00-1015912</t>
  </si>
  <si>
    <t>L00-1015953</t>
  </si>
  <si>
    <t>L01-999249</t>
  </si>
  <si>
    <t>L01-999329</t>
  </si>
  <si>
    <t>L06-994136</t>
  </si>
  <si>
    <t>M05-1000793</t>
  </si>
  <si>
    <t>M11-919141</t>
  </si>
  <si>
    <t>M11-919146</t>
  </si>
  <si>
    <t>M20-1002337</t>
  </si>
  <si>
    <t>MS5-913836</t>
  </si>
  <si>
    <t>Q00-999323</t>
  </si>
  <si>
    <t>Q00-999332</t>
  </si>
  <si>
    <t>Q02-930374</t>
  </si>
  <si>
    <t>Q02-930392</t>
  </si>
  <si>
    <t>Y00-1001952</t>
  </si>
  <si>
    <t>Y00-1001957</t>
  </si>
  <si>
    <t>Y00-1001965</t>
  </si>
  <si>
    <t>Y00-1002084</t>
  </si>
  <si>
    <t>Y00-1002290</t>
  </si>
  <si>
    <t>Y01-811134</t>
  </si>
  <si>
    <t>Y01-811161</t>
  </si>
  <si>
    <t>Y01-811203</t>
  </si>
  <si>
    <t>C01-995682</t>
  </si>
  <si>
    <t>C01-995683</t>
  </si>
  <si>
    <t>D00-1009529</t>
  </si>
  <si>
    <t>D00-1009531</t>
  </si>
  <si>
    <t>D00-1009545</t>
  </si>
  <si>
    <t>D00-1009622</t>
  </si>
  <si>
    <t>D70-1004180</t>
  </si>
  <si>
    <t>D70-1004181</t>
  </si>
  <si>
    <t>D70-1004230</t>
  </si>
  <si>
    <t>D70-1004242</t>
  </si>
  <si>
    <t>D70-1004255</t>
  </si>
  <si>
    <t>D70-1004269</t>
  </si>
  <si>
    <t>E00-996362</t>
  </si>
  <si>
    <t>G05-963845</t>
  </si>
  <si>
    <t>G11-993935</t>
  </si>
  <si>
    <t>H00-1001038</t>
  </si>
  <si>
    <t>L00-1015386</t>
  </si>
  <si>
    <t>L00-1015406</t>
  </si>
  <si>
    <t>L00-1015436</t>
  </si>
  <si>
    <t>L00-1015469</t>
  </si>
  <si>
    <t>L00-1015519</t>
  </si>
  <si>
    <t>L00-1015560</t>
  </si>
  <si>
    <t>L00-1015564</t>
  </si>
  <si>
    <t>L00-1015682</t>
  </si>
  <si>
    <t>L00-1015688</t>
  </si>
  <si>
    <t>L00-1016240</t>
  </si>
  <si>
    <t>L00-1016336</t>
  </si>
  <si>
    <t>L01-999253</t>
  </si>
  <si>
    <t>L06-994114</t>
  </si>
  <si>
    <t>L06-994169</t>
  </si>
  <si>
    <t>L06-994176</t>
  </si>
  <si>
    <t>L07-978188</t>
  </si>
  <si>
    <t>L07-978267</t>
  </si>
  <si>
    <t>L12-370241</t>
  </si>
  <si>
    <t>M05-1000792</t>
  </si>
  <si>
    <t>M11-919130</t>
  </si>
  <si>
    <t>M11-919138</t>
  </si>
  <si>
    <t>M11-919139</t>
  </si>
  <si>
    <t>M14-980687</t>
  </si>
  <si>
    <t>M14-980728</t>
  </si>
  <si>
    <t>M20-1002338</t>
  </si>
  <si>
    <t>MC1-998600</t>
  </si>
  <si>
    <t>MC1-998601</t>
  </si>
  <si>
    <t>MC1-998602</t>
  </si>
  <si>
    <t>MC1-998606</t>
  </si>
  <si>
    <t>P00-996016</t>
  </si>
  <si>
    <t>P01-998123</t>
  </si>
  <si>
    <t>Q02-930366</t>
  </si>
  <si>
    <t>Q02-930368</t>
  </si>
  <si>
    <t>Q02-930387</t>
  </si>
  <si>
    <t>S00-993922</t>
  </si>
  <si>
    <t>T00-999224</t>
  </si>
  <si>
    <t>Y00-1001959</t>
  </si>
  <si>
    <t>Y00-1001976</t>
  </si>
  <si>
    <t>Y00-1002085</t>
  </si>
  <si>
    <t>C00-999309</t>
  </si>
  <si>
    <t>C00-999354</t>
  </si>
  <si>
    <t>D00-1009415</t>
  </si>
  <si>
    <t>D00-1009560</t>
  </si>
  <si>
    <t>D00-1009624</t>
  </si>
  <si>
    <t>D00-1009952</t>
  </si>
  <si>
    <t>D70-1004141</t>
  </si>
  <si>
    <t>D70-1004201</t>
  </si>
  <si>
    <t>D70-1004253</t>
  </si>
  <si>
    <t>E01-636187</t>
  </si>
  <si>
    <t>G00-996720</t>
  </si>
  <si>
    <t>G00-996722</t>
  </si>
  <si>
    <t>G00-996723</t>
  </si>
  <si>
    <t>G00-996724</t>
  </si>
  <si>
    <t>G00-996725</t>
  </si>
  <si>
    <t>G00-996727</t>
  </si>
  <si>
    <t>G00-996728</t>
  </si>
  <si>
    <t>G00-996792</t>
  </si>
  <si>
    <t>G00-996796</t>
  </si>
  <si>
    <t>G00-996797</t>
  </si>
  <si>
    <t>G00-996804</t>
  </si>
  <si>
    <t>G00-996806</t>
  </si>
  <si>
    <t>G00-996830</t>
  </si>
  <si>
    <t>G00-996834</t>
  </si>
  <si>
    <t>G00-996835</t>
  </si>
  <si>
    <t>G11-993910</t>
  </si>
  <si>
    <t>H00-1001032</t>
  </si>
  <si>
    <t>H00-1001033</t>
  </si>
  <si>
    <t>H00-1001041</t>
  </si>
  <si>
    <t>H00-1001113</t>
  </si>
  <si>
    <t>H00-1001114</t>
  </si>
  <si>
    <t>H00-1001170</t>
  </si>
  <si>
    <t>L00-1015418</t>
  </si>
  <si>
    <t>L00-1015452</t>
  </si>
  <si>
    <t>L00-1015458</t>
  </si>
  <si>
    <t>L00-1015522</t>
  </si>
  <si>
    <t>L00-1015538</t>
  </si>
  <si>
    <t>L00-1015557</t>
  </si>
  <si>
    <t>L00-1015650</t>
  </si>
  <si>
    <t>L00-1015656</t>
  </si>
  <si>
    <t>L00-1015687</t>
  </si>
  <si>
    <t>L00-1016248</t>
  </si>
  <si>
    <t>L00-1016249</t>
  </si>
  <si>
    <t>L00-1016289</t>
  </si>
  <si>
    <t>L00-1016729</t>
  </si>
  <si>
    <t>L01-999245</t>
  </si>
  <si>
    <t>L01-999262</t>
  </si>
  <si>
    <t>L06-994105</t>
  </si>
  <si>
    <t>L06-994106</t>
  </si>
  <si>
    <t>L06-994118</t>
  </si>
  <si>
    <t>L06-994127</t>
  </si>
  <si>
    <t>L06-994135</t>
  </si>
  <si>
    <t>L06-994171</t>
  </si>
  <si>
    <t>L06-994325</t>
  </si>
  <si>
    <t>L07-978200</t>
  </si>
  <si>
    <t>M05-1000795</t>
  </si>
  <si>
    <t>M05-1000796</t>
  </si>
  <si>
    <t>M14-980690</t>
  </si>
  <si>
    <t>M20-1002489</t>
  </si>
  <si>
    <t>MCC-22</t>
  </si>
  <si>
    <t>MS1-999158</t>
  </si>
  <si>
    <t>P00-996037</t>
  </si>
  <si>
    <t>P01-998164</t>
  </si>
  <si>
    <t>P07-995032</t>
  </si>
  <si>
    <t>Q02-930346</t>
  </si>
  <si>
    <t>Q02-930363</t>
  </si>
  <si>
    <t>Q02-930394</t>
  </si>
  <si>
    <t>T00-999218</t>
  </si>
  <si>
    <t>T02-998275</t>
  </si>
  <si>
    <t>Y00-1001936</t>
  </si>
  <si>
    <t>Y00-1001985</t>
  </si>
  <si>
    <t>Y01-811147</t>
  </si>
  <si>
    <t>C01-995701</t>
  </si>
  <si>
    <t>D00-1009521</t>
  </si>
  <si>
    <t>D00-1009524</t>
  </si>
  <si>
    <t>D00-1009525</t>
  </si>
  <si>
    <t>D00-1009541</t>
  </si>
  <si>
    <t>D00-1009565</t>
  </si>
  <si>
    <t>D00-1009696</t>
  </si>
  <si>
    <t>D00-1010297</t>
  </si>
  <si>
    <t>D00-1010298</t>
  </si>
  <si>
    <t>D70-1004150</t>
  </si>
  <si>
    <t>D70-1004158</t>
  </si>
  <si>
    <t>D70-1004223</t>
  </si>
  <si>
    <t>G00-996713</t>
  </si>
  <si>
    <t>G11-993913</t>
  </si>
  <si>
    <t>G11-993915</t>
  </si>
  <si>
    <t>H00-1001062</t>
  </si>
  <si>
    <t>L00-1015385</t>
  </si>
  <si>
    <t>L00-1015405</t>
  </si>
  <si>
    <t>L00-1015463</t>
  </si>
  <si>
    <t>L00-1015508</t>
  </si>
  <si>
    <t>L00-1015550</t>
  </si>
  <si>
    <t>L00-1015555</t>
  </si>
  <si>
    <t>L00-1015604</t>
  </si>
  <si>
    <t>L00-1015605</t>
  </si>
  <si>
    <t>L00-1015606</t>
  </si>
  <si>
    <t>L00-1015756</t>
  </si>
  <si>
    <t>L00-1016243</t>
  </si>
  <si>
    <t>L00-1016244</t>
  </si>
  <si>
    <t>L00-1016245</t>
  </si>
  <si>
    <t>L00-1016334</t>
  </si>
  <si>
    <t>L00-1016730</t>
  </si>
  <si>
    <t>L00-1016767</t>
  </si>
  <si>
    <t>L06-994125</t>
  </si>
  <si>
    <t>L06-994156</t>
  </si>
  <si>
    <t>L06-994328</t>
  </si>
  <si>
    <t>L07-978202</t>
  </si>
  <si>
    <t>M11-919140</t>
  </si>
  <si>
    <t>M11-919143</t>
  </si>
  <si>
    <t>M20-1002313</t>
  </si>
  <si>
    <t>M20-1002347</t>
  </si>
  <si>
    <t>M20-1002348</t>
  </si>
  <si>
    <t>MC1-998616</t>
  </si>
  <si>
    <t>P00-996023</t>
  </si>
  <si>
    <t>P00-996029</t>
  </si>
  <si>
    <t>P01-998116</t>
  </si>
  <si>
    <t>P08-356188</t>
  </si>
  <si>
    <t>Q00-999331</t>
  </si>
  <si>
    <t>Q02-930391</t>
  </si>
  <si>
    <t>T00-999287</t>
  </si>
  <si>
    <t>Y00-1001948</t>
  </si>
  <si>
    <t>Y00-1001964</t>
  </si>
  <si>
    <t>Y01-811124</t>
  </si>
  <si>
    <t>Y01-811142</t>
  </si>
  <si>
    <t>Y11-983747</t>
  </si>
  <si>
    <t>Y11-983760</t>
  </si>
  <si>
    <t>C00-999241</t>
  </si>
  <si>
    <t>C00-999251</t>
  </si>
  <si>
    <t>C00-999320</t>
  </si>
  <si>
    <t>C01-995704</t>
  </si>
  <si>
    <t>D00-1009484</t>
  </si>
  <si>
    <t>D00-1009492</t>
  </si>
  <si>
    <t>D00-1009535</t>
  </si>
  <si>
    <t>D00-1009542</t>
  </si>
  <si>
    <t>D00-1009543</t>
  </si>
  <si>
    <t>D00-1009572</t>
  </si>
  <si>
    <t>D00-1009603</t>
  </si>
  <si>
    <t>D00-1009971</t>
  </si>
  <si>
    <t>D00-1010006</t>
  </si>
  <si>
    <t>DF4-1</t>
  </si>
  <si>
    <t>F02-996497</t>
  </si>
  <si>
    <t>G00-996711</t>
  </si>
  <si>
    <t>G00-996712</t>
  </si>
  <si>
    <t>G00-996718</t>
  </si>
  <si>
    <t>G00-996785</t>
  </si>
  <si>
    <t>G00-996786</t>
  </si>
  <si>
    <t>G05-963842</t>
  </si>
  <si>
    <t>H00-1001034</t>
  </si>
  <si>
    <t>L00-1015378</t>
  </si>
  <si>
    <t>L00-1015422</t>
  </si>
  <si>
    <t>L00-1015477</t>
  </si>
  <si>
    <t>L00-1015506</t>
  </si>
  <si>
    <t>L00-1015531</t>
  </si>
  <si>
    <t>L00-1015546</t>
  </si>
  <si>
    <t>L00-1015551</t>
  </si>
  <si>
    <t>L00-1015553</t>
  </si>
  <si>
    <t>L00-1015562</t>
  </si>
  <si>
    <t>L00-1015568</t>
  </si>
  <si>
    <t>L00-1015586</t>
  </si>
  <si>
    <t>L00-1015624</t>
  </si>
  <si>
    <t>L00-1015658</t>
  </si>
  <si>
    <t>L00-1015666</t>
  </si>
  <si>
    <t>L00-1015757</t>
  </si>
  <si>
    <t>L00-1015817</t>
  </si>
  <si>
    <t>L00-1016222</t>
  </si>
  <si>
    <t>L01-999274</t>
  </si>
  <si>
    <t>L01-999276</t>
  </si>
  <si>
    <t>L06-994130</t>
  </si>
  <si>
    <t>L06-994153</t>
  </si>
  <si>
    <t>L06-994162</t>
  </si>
  <si>
    <t>L07-978212</t>
  </si>
  <si>
    <t>M00-999922</t>
  </si>
  <si>
    <t>M00-999996</t>
  </si>
  <si>
    <t>M11-919123</t>
  </si>
  <si>
    <t>M14-980679</t>
  </si>
  <si>
    <t>M14-980682</t>
  </si>
  <si>
    <t>M14-980693</t>
  </si>
  <si>
    <t>M14-980754</t>
  </si>
  <si>
    <t>M20-1002304</t>
  </si>
  <si>
    <t>M20-1002324</t>
  </si>
  <si>
    <t>M20-1002349</t>
  </si>
  <si>
    <t>M25-848853</t>
  </si>
  <si>
    <t>M25-848860</t>
  </si>
  <si>
    <t>MC1-998608</t>
  </si>
  <si>
    <t>P01-998122</t>
  </si>
  <si>
    <t>Q00-999315</t>
  </si>
  <si>
    <t>Q00-999317</t>
  </si>
  <si>
    <t>Q00-999327</t>
  </si>
  <si>
    <t>T00-999212</t>
  </si>
  <si>
    <t>T00-999238</t>
  </si>
  <si>
    <t>T00-999239</t>
  </si>
  <si>
    <t>T00-999315</t>
  </si>
  <si>
    <t>Y00-1001940</t>
  </si>
  <si>
    <t>Y00-1001986</t>
  </si>
  <si>
    <t>Y00-1002004</t>
  </si>
  <si>
    <t>Y01-811131</t>
  </si>
  <si>
    <t>C00-999243</t>
  </si>
  <si>
    <t>C01-995685</t>
  </si>
  <si>
    <t>D00-1009509</t>
  </si>
  <si>
    <t>D00-1009594</t>
  </si>
  <si>
    <t>D00-1009604</t>
  </si>
  <si>
    <t>D00-1009626</t>
  </si>
  <si>
    <t>D70-1004160</t>
  </si>
  <si>
    <t>D70-1004168</t>
  </si>
  <si>
    <t>D70-1004172</t>
  </si>
  <si>
    <t>D70-1004173</t>
  </si>
  <si>
    <t>D70-1004184</t>
  </si>
  <si>
    <t>D70-1004187</t>
  </si>
  <si>
    <t>D70-1004192</t>
  </si>
  <si>
    <t>D70-1004211</t>
  </si>
  <si>
    <t>D70-1004412</t>
  </si>
  <si>
    <t>F02-996492</t>
  </si>
  <si>
    <t>F04-975805</t>
  </si>
  <si>
    <t>G00-996706</t>
  </si>
  <si>
    <t>G05-963820</t>
  </si>
  <si>
    <t>G05-963821</t>
  </si>
  <si>
    <t>G05-963831</t>
  </si>
  <si>
    <t>G05-963835</t>
  </si>
  <si>
    <t>G05-963848</t>
  </si>
  <si>
    <t>G05-963849</t>
  </si>
  <si>
    <t>H00-1001040</t>
  </si>
  <si>
    <t>H01-993317</t>
  </si>
  <si>
    <t>H01-993319</t>
  </si>
  <si>
    <t>L00-1015412</t>
  </si>
  <si>
    <t>L00-1015464</t>
  </si>
  <si>
    <t>L00-1015478</t>
  </si>
  <si>
    <t>L00-1015610</t>
  </si>
  <si>
    <t>L00-1015614</t>
  </si>
  <si>
    <t>L00-1015616</t>
  </si>
  <si>
    <t>L00-1015651</t>
  </si>
  <si>
    <t>L00-1015654</t>
  </si>
  <si>
    <t>L00-1015663</t>
  </si>
  <si>
    <t>L00-1015665</t>
  </si>
  <si>
    <t>L00-1015676</t>
  </si>
  <si>
    <t>L00-1015677</t>
  </si>
  <si>
    <t>L00-1015764</t>
  </si>
  <si>
    <t>L00-1016775</t>
  </si>
  <si>
    <t>L01-999255</t>
  </si>
  <si>
    <t>L01-999259</t>
  </si>
  <si>
    <t>L01-999278</t>
  </si>
  <si>
    <t>L01-999347</t>
  </si>
  <si>
    <t>L01-999379</t>
  </si>
  <si>
    <t>L06-994108</t>
  </si>
  <si>
    <t>L06-994111</t>
  </si>
  <si>
    <t>L06-994178</t>
  </si>
  <si>
    <t>L06-994179</t>
  </si>
  <si>
    <t>L06-994184</t>
  </si>
  <si>
    <t>L06-994185</t>
  </si>
  <si>
    <t>L06-994296</t>
  </si>
  <si>
    <t>L06-994335</t>
  </si>
  <si>
    <t>L06-994419</t>
  </si>
  <si>
    <t>L06-994420</t>
  </si>
  <si>
    <t>M00-999921</t>
  </si>
  <si>
    <t>M05-1000811</t>
  </si>
  <si>
    <t>M05-1000812</t>
  </si>
  <si>
    <t>M14-980688</t>
  </si>
  <si>
    <t>M14-980694</t>
  </si>
  <si>
    <t>M20-1002302</t>
  </si>
  <si>
    <t>M20-1002303</t>
  </si>
  <si>
    <t>M20-1002345</t>
  </si>
  <si>
    <t>M20-1002422</t>
  </si>
  <si>
    <t>MC1-998661</t>
  </si>
  <si>
    <t>P00-996025</t>
  </si>
  <si>
    <t>P06-997028</t>
  </si>
  <si>
    <t>P08-356189</t>
  </si>
  <si>
    <t>Q00-999319</t>
  </si>
  <si>
    <t>Q02-930355</t>
  </si>
  <si>
    <t>Q02-930356</t>
  </si>
  <si>
    <t>Q02-930379</t>
  </si>
  <si>
    <t>Q02-930388</t>
  </si>
  <si>
    <t>T00-999226</t>
  </si>
  <si>
    <t>T02-998273</t>
  </si>
  <si>
    <t>T03-999833</t>
  </si>
  <si>
    <t>Y00-1001946</t>
  </si>
  <si>
    <t>Y00-1001972</t>
  </si>
  <si>
    <t>Y00-1001973</t>
  </si>
  <si>
    <t>Y00-1001974</t>
  </si>
  <si>
    <t>Y00-1002002</t>
  </si>
  <si>
    <t>Y02-993415</t>
  </si>
  <si>
    <t>Y11-983749</t>
  </si>
  <si>
    <t>C00-999244</t>
  </si>
  <si>
    <t>C00-999245</t>
  </si>
  <si>
    <t>C01-995695</t>
  </si>
  <si>
    <t>C01-995713</t>
  </si>
  <si>
    <t>C01-995721</t>
  </si>
  <si>
    <t>D00-1009551</t>
  </si>
  <si>
    <t>D00-1009576</t>
  </si>
  <si>
    <t>D70-1004151</t>
  </si>
  <si>
    <t>D70-1004171</t>
  </si>
  <si>
    <t>D70-1004433</t>
  </si>
  <si>
    <t>F02-996488</t>
  </si>
  <si>
    <t>G00-996717</t>
  </si>
  <si>
    <t>G00-996738</t>
  </si>
  <si>
    <t>G11-993880</t>
  </si>
  <si>
    <t>G22-156223</t>
  </si>
  <si>
    <t>H01-993314</t>
  </si>
  <si>
    <t>L00-1015377</t>
  </si>
  <si>
    <t>L00-1015388</t>
  </si>
  <si>
    <t>L00-1015400</t>
  </si>
  <si>
    <t>L00-1015414</t>
  </si>
  <si>
    <t>L00-1015429</t>
  </si>
  <si>
    <t>L00-1015480</t>
  </si>
  <si>
    <t>L00-1015497</t>
  </si>
  <si>
    <t>L00-1015523</t>
  </si>
  <si>
    <t>L00-1015613</t>
  </si>
  <si>
    <t>L00-1015618</t>
  </si>
  <si>
    <t>L00-1015622</t>
  </si>
  <si>
    <t>L00-1015827</t>
  </si>
  <si>
    <t>L00-1016757</t>
  </si>
  <si>
    <t>L06-994155</t>
  </si>
  <si>
    <t>L06-994175</t>
  </si>
  <si>
    <t>L07-978203</t>
  </si>
  <si>
    <t>L07-978204</t>
  </si>
  <si>
    <t>L07-978205</t>
  </si>
  <si>
    <t>L07-978214</t>
  </si>
  <si>
    <t>L07-978270</t>
  </si>
  <si>
    <t>M05-1000800</t>
  </si>
  <si>
    <t>M05-1000885</t>
  </si>
  <si>
    <t>M11-919132</t>
  </si>
  <si>
    <t>M20-1002326</t>
  </si>
  <si>
    <t>MS5-913842</t>
  </si>
  <si>
    <t>P06-997026</t>
  </si>
  <si>
    <t>P06-997044</t>
  </si>
  <si>
    <t>Q02-930378</t>
  </si>
  <si>
    <t>T00-999235</t>
  </si>
  <si>
    <t>Y01-811132</t>
  </si>
  <si>
    <t>Y01-811201</t>
  </si>
  <si>
    <t>C00-999240</t>
  </si>
  <si>
    <t>C00-999246</t>
  </si>
  <si>
    <t>C00-999274</t>
  </si>
  <si>
    <t>C01-995715</t>
  </si>
  <si>
    <t>C01-995719</t>
  </si>
  <si>
    <t>D00-1009516</t>
  </si>
  <si>
    <t>D00-1009544</t>
  </si>
  <si>
    <t>D00-1009570</t>
  </si>
  <si>
    <t>D00-1009571</t>
  </si>
  <si>
    <t>D00-1009596</t>
  </si>
  <si>
    <t>D00-1009602</t>
  </si>
  <si>
    <t>D00-1010348</t>
  </si>
  <si>
    <t>D00-1010704</t>
  </si>
  <si>
    <t>D70-1004231</t>
  </si>
  <si>
    <t>F02-996486</t>
  </si>
  <si>
    <t>G11-993876</t>
  </si>
  <si>
    <t>G11-993877</t>
  </si>
  <si>
    <t>G11-993893</t>
  </si>
  <si>
    <t>H00-1001035</t>
  </si>
  <si>
    <t>H00-1001037</t>
  </si>
  <si>
    <t>H00-1001054</t>
  </si>
  <si>
    <t>L00-1015438</t>
  </si>
  <si>
    <t>L00-1015479</t>
  </si>
  <si>
    <t>L00-1015540</t>
  </si>
  <si>
    <t>L00-1015561</t>
  </si>
  <si>
    <t>L00-1015623</t>
  </si>
  <si>
    <t>L00-1015645</t>
  </si>
  <si>
    <t>L00-1015685</t>
  </si>
  <si>
    <t>L00-1015690</t>
  </si>
  <si>
    <t>L00-1015792</t>
  </si>
  <si>
    <t>L00-1015793</t>
  </si>
  <si>
    <t>L00-1016204</t>
  </si>
  <si>
    <t>L00-1016207</t>
  </si>
  <si>
    <t>L00-1016710</t>
  </si>
  <si>
    <t>L00-1016753</t>
  </si>
  <si>
    <t>L00-1016773</t>
  </si>
  <si>
    <t>L01-999260</t>
  </si>
  <si>
    <t>L06-994121</t>
  </si>
  <si>
    <t>L06-994122</t>
  </si>
  <si>
    <t>L06-994123</t>
  </si>
  <si>
    <t>L06-994147</t>
  </si>
  <si>
    <t>L06-994177</t>
  </si>
  <si>
    <t>L06-994292</t>
  </si>
  <si>
    <t>L06-994306</t>
  </si>
  <si>
    <t>L06-994326</t>
  </si>
  <si>
    <t>L07-978211</t>
  </si>
  <si>
    <t>M00-999926</t>
  </si>
  <si>
    <t>M00-999931</t>
  </si>
  <si>
    <t>M05-1000798</t>
  </si>
  <si>
    <t>M05-1000802</t>
  </si>
  <si>
    <t>M11-919125</t>
  </si>
  <si>
    <t>M20-1002320</t>
  </si>
  <si>
    <t>M20-1002362</t>
  </si>
  <si>
    <t>MC1-998609</t>
  </si>
  <si>
    <t>MC1-998664</t>
  </si>
  <si>
    <t>MS1-999178</t>
  </si>
  <si>
    <t>P01-998126</t>
  </si>
  <si>
    <t>Q00-999320</t>
  </si>
  <si>
    <t>Q00-999328</t>
  </si>
  <si>
    <t>Q00-999397</t>
  </si>
  <si>
    <t>Q02-930364</t>
  </si>
  <si>
    <t>S00-993919</t>
  </si>
  <si>
    <t>T00-999222</t>
  </si>
  <si>
    <t>Y00-1001941</t>
  </si>
  <si>
    <t>Y01-811202</t>
  </si>
  <si>
    <t>C00-999262</t>
  </si>
  <si>
    <t>C00-999263</t>
  </si>
  <si>
    <t>C00-999264</t>
  </si>
  <si>
    <t>D00-1009584</t>
  </si>
  <si>
    <t>D00-1009631</t>
  </si>
  <si>
    <t>D00-1010303</t>
  </si>
  <si>
    <t>D70-1004185</t>
  </si>
  <si>
    <t>D70-1004204</t>
  </si>
  <si>
    <t>DF4-2</t>
  </si>
  <si>
    <t>E00-996363</t>
  </si>
  <si>
    <t>F02-996479</t>
  </si>
  <si>
    <t>F02-996480</t>
  </si>
  <si>
    <t>F02-996485</t>
  </si>
  <si>
    <t>F02-996494</t>
  </si>
  <si>
    <t>F02-996524</t>
  </si>
  <si>
    <t>G05-963851</t>
  </si>
  <si>
    <t>L00-1015417</t>
  </si>
  <si>
    <t>L00-1015430</t>
  </si>
  <si>
    <t>L00-1015457</t>
  </si>
  <si>
    <t>L00-1015466</t>
  </si>
  <si>
    <t>L00-1015468</t>
  </si>
  <si>
    <t>L00-1015494</t>
  </si>
  <si>
    <t>L00-1015509</t>
  </si>
  <si>
    <t>L00-1015514</t>
  </si>
  <si>
    <t>L00-1015516</t>
  </si>
  <si>
    <t>L00-1015547</t>
  </si>
  <si>
    <t>L00-1015566</t>
  </si>
  <si>
    <t>L00-1015570</t>
  </si>
  <si>
    <t>L00-1015630</t>
  </si>
  <si>
    <t>L00-1015684</t>
  </si>
  <si>
    <t>L00-1016296</t>
  </si>
  <si>
    <t>L00-1016302</t>
  </si>
  <si>
    <t>L00-1016304</t>
  </si>
  <si>
    <t>L00-1016326</t>
  </si>
  <si>
    <t>L00-1016335</t>
  </si>
  <si>
    <t>L00-1016718</t>
  </si>
  <si>
    <t>L00-1016719</t>
  </si>
  <si>
    <t>L00-1016732</t>
  </si>
  <si>
    <t>L01-999340</t>
  </si>
  <si>
    <t>L01-999344</t>
  </si>
  <si>
    <t>L07-978215</t>
  </si>
  <si>
    <t>L07-978216</t>
  </si>
  <si>
    <t>L07-978218</t>
  </si>
  <si>
    <t>M05-1000801</t>
  </si>
  <si>
    <t>M14-980675</t>
  </si>
  <si>
    <t>M14-980681</t>
  </si>
  <si>
    <t>M14-980683</t>
  </si>
  <si>
    <t>M20-1002308</t>
  </si>
  <si>
    <t>M20-1002321</t>
  </si>
  <si>
    <t>M20-1002325</t>
  </si>
  <si>
    <t>M34-10</t>
  </si>
  <si>
    <t>P00-996022</t>
  </si>
  <si>
    <t>P01-998133</t>
  </si>
  <si>
    <t>P06-997033</t>
  </si>
  <si>
    <t>Q02-930350</t>
  </si>
  <si>
    <t>T00-999225</t>
  </si>
  <si>
    <t>Y00-1001955</t>
  </si>
  <si>
    <t>Y00-1002088</t>
  </si>
  <si>
    <t>Y00-1002200</t>
  </si>
  <si>
    <t>Y00-1002209</t>
  </si>
  <si>
    <t>Y00-1002298</t>
  </si>
  <si>
    <t>Y01-811150</t>
  </si>
  <si>
    <t>Y11-983784</t>
  </si>
  <si>
    <t>C01-995696</t>
  </si>
  <si>
    <t>D00-1009518</t>
  </si>
  <si>
    <t>D00-1009557</t>
  </si>
  <si>
    <t>D00-1009575</t>
  </si>
  <si>
    <t>D00-1009948</t>
  </si>
  <si>
    <t>D70-1004152</t>
  </si>
  <si>
    <t>D70-1004228</t>
  </si>
  <si>
    <t>F02-996489</t>
  </si>
  <si>
    <t>F04-975804</t>
  </si>
  <si>
    <t>G05-963819</t>
  </si>
  <si>
    <t>G11-993881</t>
  </si>
  <si>
    <t>L00-1015401</t>
  </si>
  <si>
    <t>L00-1015408</t>
  </si>
  <si>
    <t>L00-1015440</t>
  </si>
  <si>
    <t>L00-1015441</t>
  </si>
  <si>
    <t>L00-1015507</t>
  </si>
  <si>
    <t>L00-1015524</t>
  </si>
  <si>
    <t>L00-1015549</t>
  </si>
  <si>
    <t>L00-1015661</t>
  </si>
  <si>
    <t>L00-1015782</t>
  </si>
  <si>
    <t>L00-1015802</t>
  </si>
  <si>
    <t>L00-1015803</t>
  </si>
  <si>
    <t>L00-1016308</t>
  </si>
  <si>
    <t>L01-999248</t>
  </si>
  <si>
    <t>L01-999261</t>
  </si>
  <si>
    <t>L06-994109</t>
  </si>
  <si>
    <t>L06-994159</t>
  </si>
  <si>
    <t>L06-994166</t>
  </si>
  <si>
    <t>L07-978266</t>
  </si>
  <si>
    <t>M00-999939</t>
  </si>
  <si>
    <t>M00-999940</t>
  </si>
  <si>
    <t>M20-1002314</t>
  </si>
  <si>
    <t>P00-996033</t>
  </si>
  <si>
    <t>P01-998131</t>
  </si>
  <si>
    <t>P01-998195</t>
  </si>
  <si>
    <t>P01-998212</t>
  </si>
  <si>
    <t>P01-998213</t>
  </si>
  <si>
    <t>P07-995034</t>
  </si>
  <si>
    <t>Q00-999401</t>
  </si>
  <si>
    <t>T00-999237</t>
  </si>
  <si>
    <t>T02-998274</t>
  </si>
  <si>
    <t>T02-998279</t>
  </si>
  <si>
    <t>Y00-1002192</t>
  </si>
  <si>
    <t>Y01-811129</t>
  </si>
  <si>
    <t>C01-995711</t>
  </si>
  <si>
    <t>C01-995712</t>
  </si>
  <si>
    <t>C01-995717</t>
  </si>
  <si>
    <t>C01-995763</t>
  </si>
  <si>
    <t>C01-995812</t>
  </si>
  <si>
    <t>D00-1009554</t>
  </si>
  <si>
    <t>D00-1009555</t>
  </si>
  <si>
    <t>D00-1009566</t>
  </si>
  <si>
    <t>D00-1009578</t>
  </si>
  <si>
    <t>D00-1009582</t>
  </si>
  <si>
    <t>D00-1009589</t>
  </si>
  <si>
    <t>D00-1009590</t>
  </si>
  <si>
    <t>D00-1009592</t>
  </si>
  <si>
    <t>D00-1009612</t>
  </si>
  <si>
    <t>D00-1009613</t>
  </si>
  <si>
    <t>D00-1009618</t>
  </si>
  <si>
    <t>D00-1009623</t>
  </si>
  <si>
    <t>D00-1009627</t>
  </si>
  <si>
    <t>D00-1009628</t>
  </si>
  <si>
    <t>D00-1009629</t>
  </si>
  <si>
    <t>D00-1009630</t>
  </si>
  <si>
    <t>D00-1009740</t>
  </si>
  <si>
    <t>D00-1009741</t>
  </si>
  <si>
    <t>D00-1010304</t>
  </si>
  <si>
    <t>D00-1010427</t>
  </si>
  <si>
    <t>D70-1004147</t>
  </si>
  <si>
    <t>D70-1004153</t>
  </si>
  <si>
    <t>D70-1004165</t>
  </si>
  <si>
    <t>D70-1004174</t>
  </si>
  <si>
    <t>D70-1004175</t>
  </si>
  <si>
    <t>D70-1004178</t>
  </si>
  <si>
    <t>D70-1004179</t>
  </si>
  <si>
    <t>D70-1004182</t>
  </si>
  <si>
    <t>D70-1004186</t>
  </si>
  <si>
    <t>D70-1004188</t>
  </si>
  <si>
    <t>D70-1004189</t>
  </si>
  <si>
    <t>D70-1004190</t>
  </si>
  <si>
    <t>D70-1004199</t>
  </si>
  <si>
    <t>D70-1004202</t>
  </si>
  <si>
    <t>D70-1004212</t>
  </si>
  <si>
    <t>D70-1004229</t>
  </si>
  <si>
    <t>D70-1004239</t>
  </si>
  <si>
    <t>D70-1004240</t>
  </si>
  <si>
    <t>D70-1004413</t>
  </si>
  <si>
    <t>F04-975810</t>
  </si>
  <si>
    <t>F04-975908</t>
  </si>
  <si>
    <t>F10-996361</t>
  </si>
  <si>
    <t>F10-996372</t>
  </si>
  <si>
    <t>F10-996377</t>
  </si>
  <si>
    <t>G00-996726</t>
  </si>
  <si>
    <t>G05-963847</t>
  </si>
  <si>
    <t>G11-993885</t>
  </si>
  <si>
    <t>G22-156222</t>
  </si>
  <si>
    <t>H00-1001030</t>
  </si>
  <si>
    <t>H00-1001051</t>
  </si>
  <si>
    <t>H00-1001065</t>
  </si>
  <si>
    <t>H00-1001115</t>
  </si>
  <si>
    <t>H02-345195</t>
  </si>
  <si>
    <t>L00-1015375</t>
  </si>
  <si>
    <t>L00-1015379</t>
  </si>
  <si>
    <t>L00-1015419</t>
  </si>
  <si>
    <t>L00-1015420</t>
  </si>
  <si>
    <t>L00-1015421</t>
  </si>
  <si>
    <t>L00-1015427</t>
  </si>
  <si>
    <t>L00-1015437</t>
  </si>
  <si>
    <t>L00-1015465</t>
  </si>
  <si>
    <t>L00-1015467</t>
  </si>
  <si>
    <t>L00-1015517</t>
  </si>
  <si>
    <t>L00-1015541</t>
  </si>
  <si>
    <t>L00-1015542</t>
  </si>
  <si>
    <t>L00-1015543</t>
  </si>
  <si>
    <t>L00-1015544</t>
  </si>
  <si>
    <t>L00-1015545</t>
  </si>
  <si>
    <t>L00-1015556</t>
  </si>
  <si>
    <t>L00-1015588</t>
  </si>
  <si>
    <t>L00-1015667</t>
  </si>
  <si>
    <t>L00-1015668</t>
  </si>
  <si>
    <t>L00-1015671</t>
  </si>
  <si>
    <t>L00-1015681</t>
  </si>
  <si>
    <t>L00-1015683</t>
  </si>
  <si>
    <t>L00-1015689</t>
  </si>
  <si>
    <t>L00-1016246</t>
  </si>
  <si>
    <t>L00-1016309</t>
  </si>
  <si>
    <t>L00-1016316</t>
  </si>
  <si>
    <t>L00-1016330</t>
  </si>
  <si>
    <t>L00-1016707</t>
  </si>
  <si>
    <t>L00-1016713</t>
  </si>
  <si>
    <t>L00-1016764</t>
  </si>
  <si>
    <t>L01-999251</t>
  </si>
  <si>
    <t>L01-999258</t>
  </si>
  <si>
    <t>L01-999271</t>
  </si>
  <si>
    <t>L06-994102</t>
  </si>
  <si>
    <t>L06-994107</t>
  </si>
  <si>
    <t>L06-994119</t>
  </si>
  <si>
    <t>L06-994120</t>
  </si>
  <si>
    <t>L06-994142</t>
  </si>
  <si>
    <t>L07-978201</t>
  </si>
  <si>
    <t>L07-978213</t>
  </si>
  <si>
    <t>L07-978317</t>
  </si>
  <si>
    <t>M11-919121</t>
  </si>
  <si>
    <t>M11-919133</t>
  </si>
  <si>
    <t>M11-919142</t>
  </si>
  <si>
    <t>M14-980696</t>
  </si>
  <si>
    <t>M17-582322</t>
  </si>
  <si>
    <t>M20-1002365</t>
  </si>
  <si>
    <t>MC1-998590</t>
  </si>
  <si>
    <t>MC1-998597</t>
  </si>
  <si>
    <t>MC1-998598</t>
  </si>
  <si>
    <t>MS5-913831</t>
  </si>
  <si>
    <t>MS5-913833</t>
  </si>
  <si>
    <t>P00-996027</t>
  </si>
  <si>
    <t>P01-998121</t>
  </si>
  <si>
    <t>P01-998140</t>
  </si>
  <si>
    <t>Q00-999313</t>
  </si>
  <si>
    <t>Q00-999330</t>
  </si>
  <si>
    <t>Q00-999333</t>
  </si>
  <si>
    <t>Q00-999337</t>
  </si>
  <si>
    <t>Q00-999394</t>
  </si>
  <si>
    <t>Q02-930354</t>
  </si>
  <si>
    <t>Q02-930367</t>
  </si>
  <si>
    <t>Q02-930381</t>
  </si>
  <si>
    <t>T00-999219</t>
  </si>
  <si>
    <t>T00-999232</t>
  </si>
  <si>
    <t>Y00-1001975</t>
  </si>
  <si>
    <t>Y00-1001987</t>
  </si>
  <si>
    <t>Y00-1002074</t>
  </si>
  <si>
    <t>Y01-811126</t>
  </si>
  <si>
    <t>Y01-811151</t>
  </si>
  <si>
    <t>Y11-983783</t>
  </si>
  <si>
    <t>C00-999295</t>
  </si>
  <si>
    <t>C00-999350</t>
  </si>
  <si>
    <t>C00-999351</t>
  </si>
  <si>
    <t>C01-995728</t>
  </si>
  <si>
    <t>C01-995729</t>
  </si>
  <si>
    <t>C01-995757</t>
  </si>
  <si>
    <t>C01-995813</t>
  </si>
  <si>
    <t>D00-1009723</t>
  </si>
  <si>
    <t>D00-1009743</t>
  </si>
  <si>
    <t>D00-1009756</t>
  </si>
  <si>
    <t>D00-1009771</t>
  </si>
  <si>
    <t>D00-1009773</t>
  </si>
  <si>
    <t>D00-1009774</t>
  </si>
  <si>
    <t>D00-1009785</t>
  </si>
  <si>
    <t>D00-1009791</t>
  </si>
  <si>
    <t>D00-1009841</t>
  </si>
  <si>
    <t>D00-1009849</t>
  </si>
  <si>
    <t>D00-1009852</t>
  </si>
  <si>
    <t>D00-1009871</t>
  </si>
  <si>
    <t>D00-1009876</t>
  </si>
  <si>
    <t>D00-1009878</t>
  </si>
  <si>
    <t>D00-1009889</t>
  </si>
  <si>
    <t>D00-1009904</t>
  </si>
  <si>
    <t>D00-1009915</t>
  </si>
  <si>
    <t>D00-1009967</t>
  </si>
  <si>
    <t>D00-1010003</t>
  </si>
  <si>
    <t>D00-1010276</t>
  </si>
  <si>
    <t>D00-1010299</t>
  </si>
  <si>
    <t>D00-1010300</t>
  </si>
  <si>
    <t>D70-1004268</t>
  </si>
  <si>
    <t>D70-1004282</t>
  </si>
  <si>
    <t>D70-1004308</t>
  </si>
  <si>
    <t>D70-1004322</t>
  </si>
  <si>
    <t>D70-1004329</t>
  </si>
  <si>
    <t>D70-1004336</t>
  </si>
  <si>
    <t>D70-1004350</t>
  </si>
  <si>
    <t>D70-1004374</t>
  </si>
  <si>
    <t>D70-1004402</t>
  </si>
  <si>
    <t>D70-1004409</t>
  </si>
  <si>
    <t>D70-1004578</t>
  </si>
  <si>
    <t>D70-1004580</t>
  </si>
  <si>
    <t>D70-1004585</t>
  </si>
  <si>
    <t>F02-996511</t>
  </si>
  <si>
    <t>F04-975821</t>
  </si>
  <si>
    <t>F04-975830</t>
  </si>
  <si>
    <t>F14-102146</t>
  </si>
  <si>
    <t>G00-996779</t>
  </si>
  <si>
    <t>G00-996780</t>
  </si>
  <si>
    <t>G00-996807</t>
  </si>
  <si>
    <t>G00-996869</t>
  </si>
  <si>
    <t>G05-963867</t>
  </si>
  <si>
    <t>G11-993905</t>
  </si>
  <si>
    <t>H00-1001095</t>
  </si>
  <si>
    <t>H00-1001098</t>
  </si>
  <si>
    <t>H00-1001119</t>
  </si>
  <si>
    <t>H01-993328</t>
  </si>
  <si>
    <t>H01-993332</t>
  </si>
  <si>
    <t>H01-993333</t>
  </si>
  <si>
    <t>H01-993368</t>
  </si>
  <si>
    <t>H01-993370</t>
  </si>
  <si>
    <t>L00-1015830</t>
  </si>
  <si>
    <t>L00-1016033</t>
  </si>
  <si>
    <t>L00-1016051</t>
  </si>
  <si>
    <t>L00-1016057</t>
  </si>
  <si>
    <t>L00-1016058</t>
  </si>
  <si>
    <t>L00-1016064</t>
  </si>
  <si>
    <t>L00-1016065</t>
  </si>
  <si>
    <t>L00-1016070</t>
  </si>
  <si>
    <t>L00-1016125</t>
  </si>
  <si>
    <t>L00-1016135</t>
  </si>
  <si>
    <t>L00-1016257</t>
  </si>
  <si>
    <t>L00-1016327</t>
  </si>
  <si>
    <t>L00-1016716</t>
  </si>
  <si>
    <t>L00-1016754</t>
  </si>
  <si>
    <t>L01-999297</t>
  </si>
  <si>
    <t>L01-999298</t>
  </si>
  <si>
    <t>L01-999311</t>
  </si>
  <si>
    <t>L01-999312</t>
  </si>
  <si>
    <t>L01-999346</t>
  </si>
  <si>
    <t>L01-999350</t>
  </si>
  <si>
    <t>L06-994199</t>
  </si>
  <si>
    <t>L06-994210</t>
  </si>
  <si>
    <t>L06-994242</t>
  </si>
  <si>
    <t>L06-994308</t>
  </si>
  <si>
    <t>L06-994329</t>
  </si>
  <si>
    <t>L06-994418</t>
  </si>
  <si>
    <t>L07-978242</t>
  </si>
  <si>
    <t>L07-978246</t>
  </si>
  <si>
    <t>M05-1000814</t>
  </si>
  <si>
    <t>M11-919206</t>
  </si>
  <si>
    <t>M14-980701</t>
  </si>
  <si>
    <t>M14-980708</t>
  </si>
  <si>
    <t>M14-980716</t>
  </si>
  <si>
    <t>M20-1002368</t>
  </si>
  <si>
    <t>M20-1002383</t>
  </si>
  <si>
    <t>M20-1002386</t>
  </si>
  <si>
    <t>M20-1002394</t>
  </si>
  <si>
    <t>MC7-12157</t>
  </si>
  <si>
    <t>MS1-999168</t>
  </si>
  <si>
    <t>MS5-913850</t>
  </si>
  <si>
    <t>P00-996057</t>
  </si>
  <si>
    <t>P00-996067</t>
  </si>
  <si>
    <t>P00-996070</t>
  </si>
  <si>
    <t>P00-996080</t>
  </si>
  <si>
    <t>P00-996087</t>
  </si>
  <si>
    <t>P00-996100</t>
  </si>
  <si>
    <t>P00-996171</t>
  </si>
  <si>
    <t>P06-997034</t>
  </si>
  <si>
    <t>P06-997040</t>
  </si>
  <si>
    <t>P06-997045</t>
  </si>
  <si>
    <t>Q00-999366</t>
  </si>
  <si>
    <t>Q00-999376</t>
  </si>
  <si>
    <t>Q00-999440</t>
  </si>
  <si>
    <t>Q00-999441</t>
  </si>
  <si>
    <t>Q02-930412</t>
  </si>
  <si>
    <t>Q02-930419</t>
  </si>
  <si>
    <t>Q02-930434</t>
  </si>
  <si>
    <t>Q02-930436</t>
  </si>
  <si>
    <t>Q02-930437</t>
  </si>
  <si>
    <t>Q02-930451</t>
  </si>
  <si>
    <t>Q02-930550</t>
  </si>
  <si>
    <t>Q02-930551</t>
  </si>
  <si>
    <t>T02-998289</t>
  </si>
  <si>
    <t>T02-998307</t>
  </si>
  <si>
    <t>Y00-1002007</t>
  </si>
  <si>
    <t>Y00-1002041</t>
  </si>
  <si>
    <t>Y00-1002042</t>
  </si>
  <si>
    <t>Y00-1002051</t>
  </si>
  <si>
    <t>Y01-811187</t>
  </si>
  <si>
    <t>Y01-811199</t>
  </si>
  <si>
    <t>Y01-811210</t>
  </si>
  <si>
    <t>Y01-811293</t>
  </si>
  <si>
    <t>Y02-993426</t>
  </si>
  <si>
    <t>Y02-993433</t>
  </si>
  <si>
    <t>Y02-993434</t>
  </si>
  <si>
    <t>Y11-983772</t>
  </si>
  <si>
    <t>Y11-983782</t>
  </si>
  <si>
    <t>Y11-983806</t>
  </si>
  <si>
    <t>C01-995730</t>
  </si>
  <si>
    <t>C01-995731</t>
  </si>
  <si>
    <t>C01-995748</t>
  </si>
  <si>
    <t>D00-1009760</t>
  </si>
  <si>
    <t>D00-1009776</t>
  </si>
  <si>
    <t>D00-1009777</t>
  </si>
  <si>
    <t>D00-1009778</t>
  </si>
  <si>
    <t>D00-1009779</t>
  </si>
  <si>
    <t>D00-1009780</t>
  </si>
  <si>
    <t>D00-1009821</t>
  </si>
  <si>
    <t>D00-1009850</t>
  </si>
  <si>
    <t>D00-1009872</t>
  </si>
  <si>
    <t>D00-1009905</t>
  </si>
  <si>
    <t>D00-1010058</t>
  </si>
  <si>
    <t>D70-1004281</t>
  </si>
  <si>
    <t>D70-1004299</t>
  </si>
  <si>
    <t>D70-1004347</t>
  </si>
  <si>
    <t>D70-1004359</t>
  </si>
  <si>
    <t>D70-1004370</t>
  </si>
  <si>
    <t>D70-1004401</t>
  </si>
  <si>
    <t>D70-1004424</t>
  </si>
  <si>
    <t>F04-975825</t>
  </si>
  <si>
    <t>L00-1015854</t>
  </si>
  <si>
    <t>L00-1015933</t>
  </si>
  <si>
    <t>L00-1015955</t>
  </si>
  <si>
    <t>L00-1016079</t>
  </si>
  <si>
    <t>L00-1016144</t>
  </si>
  <si>
    <t>L00-1016146</t>
  </si>
  <si>
    <t>L00-1016328</t>
  </si>
  <si>
    <t>L00-1016774</t>
  </si>
  <si>
    <t>L01-999290</t>
  </si>
  <si>
    <t>L01-999318</t>
  </si>
  <si>
    <t>L01-999324</t>
  </si>
  <si>
    <t>L06-994226</t>
  </si>
  <si>
    <t>L06-994314</t>
  </si>
  <si>
    <t>M00-999944</t>
  </si>
  <si>
    <t>M20-1002374</t>
  </si>
  <si>
    <t>M20-1002384</t>
  </si>
  <si>
    <t>M20-1002498</t>
  </si>
  <si>
    <t>MC1-998618</t>
  </si>
  <si>
    <t>MC1-998630</t>
  </si>
  <si>
    <t>MC1-998663</t>
  </si>
  <si>
    <t>MSJ-232189</t>
  </si>
  <si>
    <t>P01-998144</t>
  </si>
  <si>
    <t>Q00-999368</t>
  </si>
  <si>
    <t>Q02-930425</t>
  </si>
  <si>
    <t>Q02-930426</t>
  </si>
  <si>
    <t>Q02-930427</t>
  </si>
  <si>
    <t>Q02-930428</t>
  </si>
  <si>
    <t>Q02-930430</t>
  </si>
  <si>
    <t>Q02-930447</t>
  </si>
  <si>
    <t>Q02-930452</t>
  </si>
  <si>
    <t>Q02-930482</t>
  </si>
  <si>
    <t>Q02-930540</t>
  </si>
  <si>
    <t>Q02-930541</t>
  </si>
  <si>
    <t>Q02-930542</t>
  </si>
  <si>
    <t>Q02-930543</t>
  </si>
  <si>
    <t>Q02-930545</t>
  </si>
  <si>
    <t>T00-999270</t>
  </si>
  <si>
    <t>T02-998295</t>
  </si>
  <si>
    <t>Y00-1002043</t>
  </si>
  <si>
    <t>Y00-1002045</t>
  </si>
  <si>
    <t>Y01-811189</t>
  </si>
  <si>
    <t>Y02-993435</t>
  </si>
  <si>
    <t>Y17-862317</t>
  </si>
  <si>
    <t>C00-999276</t>
  </si>
  <si>
    <t>C00-999277</t>
  </si>
  <si>
    <t>D00-1009724</t>
  </si>
  <si>
    <t>D00-1009880</t>
  </si>
  <si>
    <t>D70-1004326</t>
  </si>
  <si>
    <t>D70-1004400</t>
  </si>
  <si>
    <t>G00-996788</t>
  </si>
  <si>
    <t>G05-963866</t>
  </si>
  <si>
    <t>L00-1015831</t>
  </si>
  <si>
    <t>L00-1015920</t>
  </si>
  <si>
    <t>L00-1015943</t>
  </si>
  <si>
    <t>L00-1015945</t>
  </si>
  <si>
    <t>L00-1016060</t>
  </si>
  <si>
    <t>L00-1016069</t>
  </si>
  <si>
    <t>L00-1016111</t>
  </si>
  <si>
    <t>L00-1016156</t>
  </si>
  <si>
    <t>L00-1016721</t>
  </si>
  <si>
    <t>L06-994204</t>
  </si>
  <si>
    <t>L06-994215</t>
  </si>
  <si>
    <t>L06-994231</t>
  </si>
  <si>
    <t>L06-994243</t>
  </si>
  <si>
    <t>L06-994260</t>
  </si>
  <si>
    <t>L06-994263</t>
  </si>
  <si>
    <t>L06-994264</t>
  </si>
  <si>
    <t>M00-999962</t>
  </si>
  <si>
    <t>M00-999966</t>
  </si>
  <si>
    <t>M00-999973</t>
  </si>
  <si>
    <t>M00-999974</t>
  </si>
  <si>
    <t>P01-998151</t>
  </si>
  <si>
    <t>Q00-999364</t>
  </si>
  <si>
    <t>Q00-999365</t>
  </si>
  <si>
    <t>Q02-930402</t>
  </si>
  <si>
    <t>Q02-930414</t>
  </si>
  <si>
    <t>Q02-930433</t>
  </si>
  <si>
    <t>Q02-930435</t>
  </si>
  <si>
    <t>Q02-930450</t>
  </si>
  <si>
    <t>S00-993921</t>
  </si>
  <si>
    <t>Y00-1002080</t>
  </si>
  <si>
    <t>C00-999306</t>
  </si>
  <si>
    <t>C00-999352</t>
  </si>
  <si>
    <t>C00-999353</t>
  </si>
  <si>
    <t>C00-999357</t>
  </si>
  <si>
    <t>D00-1009788</t>
  </si>
  <si>
    <t>D00-1009792</t>
  </si>
  <si>
    <t>D70-1004285</t>
  </si>
  <si>
    <t>D70-1004364</t>
  </si>
  <si>
    <t>D70-1004377</t>
  </si>
  <si>
    <t>D70-1004378</t>
  </si>
  <si>
    <t>D70-1004582</t>
  </si>
  <si>
    <t>D70-1004600</t>
  </si>
  <si>
    <t>G00-996828</t>
  </si>
  <si>
    <t>G00-996905</t>
  </si>
  <si>
    <t>G05-963865</t>
  </si>
  <si>
    <t>G05-963872</t>
  </si>
  <si>
    <t>G05-963875</t>
  </si>
  <si>
    <t>G05-963880</t>
  </si>
  <si>
    <t>G05-963930</t>
  </si>
  <si>
    <t>G11-993895</t>
  </si>
  <si>
    <t>L00-1015847</t>
  </si>
  <si>
    <t>L00-1015849</t>
  </si>
  <si>
    <t>L00-1015899</t>
  </si>
  <si>
    <t>L00-1015905</t>
  </si>
  <si>
    <t>L00-1015954</t>
  </si>
  <si>
    <t>L00-1015969</t>
  </si>
  <si>
    <t>L00-1016030</t>
  </si>
  <si>
    <t>L00-1016031</t>
  </si>
  <si>
    <t>L00-1016099</t>
  </si>
  <si>
    <t>L00-1016812</t>
  </si>
  <si>
    <t>L01-999308</t>
  </si>
  <si>
    <t>L01-999309</t>
  </si>
  <si>
    <t>L06-994225</t>
  </si>
  <si>
    <t>L06-994232</t>
  </si>
  <si>
    <t>L06-994330</t>
  </si>
  <si>
    <t>L06-994339</t>
  </si>
  <si>
    <t>L06-994341</t>
  </si>
  <si>
    <t>L07-978234</t>
  </si>
  <si>
    <t>M00-1000001</t>
  </si>
  <si>
    <t>M05-1000816</t>
  </si>
  <si>
    <t>M14-980713</t>
  </si>
  <si>
    <t>M17-582315</t>
  </si>
  <si>
    <t>M17-582316</t>
  </si>
  <si>
    <t>M20-1002388</t>
  </si>
  <si>
    <t>MC1-998625</t>
  </si>
  <si>
    <t>MS5-913845</t>
  </si>
  <si>
    <t>P01-998145</t>
  </si>
  <si>
    <t>P01-998147</t>
  </si>
  <si>
    <t>P01-998152</t>
  </si>
  <si>
    <t>Q00-999370</t>
  </si>
  <si>
    <t>Q00-999371</t>
  </si>
  <si>
    <t>Q02-930423</t>
  </si>
  <si>
    <t>Q02-930424</t>
  </si>
  <si>
    <t>T00-999246</t>
  </si>
  <si>
    <t>T00-999250</t>
  </si>
  <si>
    <t>T00-999253</t>
  </si>
  <si>
    <t>T00-999275</t>
  </si>
  <si>
    <t>Y00-1002100</t>
  </si>
  <si>
    <t>Y01-811229</t>
  </si>
  <si>
    <t>D00-1009784</t>
  </si>
  <si>
    <t>D00-1010314</t>
  </si>
  <si>
    <t>D70-1004328</t>
  </si>
  <si>
    <t>D70-1004355</t>
  </si>
  <si>
    <t>D70-1004583</t>
  </si>
  <si>
    <t>F04-975826</t>
  </si>
  <si>
    <t>F04-975905</t>
  </si>
  <si>
    <t>G00-996757</t>
  </si>
  <si>
    <t>H00-1001088</t>
  </si>
  <si>
    <t>H00-1001097</t>
  </si>
  <si>
    <t>H00-1001172</t>
  </si>
  <si>
    <t>L00-1015845</t>
  </si>
  <si>
    <t>L00-1015863</t>
  </si>
  <si>
    <t>L00-1015871</t>
  </si>
  <si>
    <t>L00-1015961</t>
  </si>
  <si>
    <t>L00-1015985</t>
  </si>
  <si>
    <t>L00-1015991</t>
  </si>
  <si>
    <t>L00-1015993</t>
  </si>
  <si>
    <t>L00-1016098</t>
  </si>
  <si>
    <t>L00-1016130</t>
  </si>
  <si>
    <t>L00-1016169</t>
  </si>
  <si>
    <t>L00-1016325</t>
  </si>
  <si>
    <t>L00-1016736</t>
  </si>
  <si>
    <t>L00-1016819</t>
  </si>
  <si>
    <t>L06-994207</t>
  </si>
  <si>
    <t>L06-994257</t>
  </si>
  <si>
    <t>L06-994338</t>
  </si>
  <si>
    <t>M05-1000829</t>
  </si>
  <si>
    <t>M14-980718</t>
  </si>
  <si>
    <t>M14-980722</t>
  </si>
  <si>
    <t>M20-1002376</t>
  </si>
  <si>
    <t>M20-1002390</t>
  </si>
  <si>
    <t>M20-1002410</t>
  </si>
  <si>
    <t>MCC-27</t>
  </si>
  <si>
    <t>MS5-913848</t>
  </si>
  <si>
    <t>P00-996069</t>
  </si>
  <si>
    <t>P00-996101</t>
  </si>
  <si>
    <t>P00-996102</t>
  </si>
  <si>
    <t>P01-998141</t>
  </si>
  <si>
    <t>P01-998143</t>
  </si>
  <si>
    <t>P01-998148</t>
  </si>
  <si>
    <t>P01-998150</t>
  </si>
  <si>
    <t>P01-998196</t>
  </si>
  <si>
    <t>P06-997053</t>
  </si>
  <si>
    <t>Q00-999382</t>
  </si>
  <si>
    <t>T00-999266</t>
  </si>
  <si>
    <t>T03-999839</t>
  </si>
  <si>
    <t>Y00-1002009</t>
  </si>
  <si>
    <t>Y00-1002033</t>
  </si>
  <si>
    <t>Y00-1002044</t>
  </si>
  <si>
    <t>Y01-811211</t>
  </si>
  <si>
    <t>Y02-993425</t>
  </si>
  <si>
    <t>Y11-983771</t>
  </si>
  <si>
    <t>C01-995725</t>
  </si>
  <si>
    <t>C01-995726</t>
  </si>
  <si>
    <t>C01-995749</t>
  </si>
  <si>
    <t>C01-995751</t>
  </si>
  <si>
    <t>D00-1009737</t>
  </si>
  <si>
    <t>D00-1009738</t>
  </si>
  <si>
    <t>D00-1009795</t>
  </si>
  <si>
    <t>D00-1009808</t>
  </si>
  <si>
    <t>D00-1009813</t>
  </si>
  <si>
    <t>D00-1009860</t>
  </si>
  <si>
    <t>D00-1010312</t>
  </si>
  <si>
    <t>D70-1004304</t>
  </si>
  <si>
    <t>D70-1004305</t>
  </si>
  <si>
    <t>D70-1004354</t>
  </si>
  <si>
    <t>G00-996772</t>
  </si>
  <si>
    <t>G00-996832</t>
  </si>
  <si>
    <t>G00-996833</t>
  </si>
  <si>
    <t>H00-1001077</t>
  </si>
  <si>
    <t>L00-1015873</t>
  </si>
  <si>
    <t>L00-1015874</t>
  </si>
  <si>
    <t>L00-1015906</t>
  </si>
  <si>
    <t>L00-1015938</t>
  </si>
  <si>
    <t>L00-1015941</t>
  </si>
  <si>
    <t>L00-1015957</t>
  </si>
  <si>
    <t>L00-1015958</t>
  </si>
  <si>
    <t>L00-1015989</t>
  </si>
  <si>
    <t>L00-1015990</t>
  </si>
  <si>
    <t>L00-1016007</t>
  </si>
  <si>
    <t>L00-1016016</t>
  </si>
  <si>
    <t>L00-1016071</t>
  </si>
  <si>
    <t>L00-1016072</t>
  </si>
  <si>
    <t>L00-1016123</t>
  </si>
  <si>
    <t>L00-1016132</t>
  </si>
  <si>
    <t>L00-1016134</t>
  </si>
  <si>
    <t>L00-1016141</t>
  </si>
  <si>
    <t>L00-1016151</t>
  </si>
  <si>
    <t>L00-1016216</t>
  </si>
  <si>
    <t>L00-1016250</t>
  </si>
  <si>
    <t>L00-1016323</t>
  </si>
  <si>
    <t>L00-1016333</t>
  </si>
  <si>
    <t>L00-1016338</t>
  </si>
  <si>
    <t>L00-1016339</t>
  </si>
  <si>
    <t>L00-1016738</t>
  </si>
  <si>
    <t>L00-1016782</t>
  </si>
  <si>
    <t>L01-999325</t>
  </si>
  <si>
    <t>L06-994259</t>
  </si>
  <si>
    <t>L06-994271</t>
  </si>
  <si>
    <t>L06-994311</t>
  </si>
  <si>
    <t>L07-978238</t>
  </si>
  <si>
    <t>L07-978249</t>
  </si>
  <si>
    <t>L07-978268</t>
  </si>
  <si>
    <t>M00-999949</t>
  </si>
  <si>
    <t>M00-999975</t>
  </si>
  <si>
    <t>M05-1000834</t>
  </si>
  <si>
    <t>M11-919164</t>
  </si>
  <si>
    <t>M14-980720</t>
  </si>
  <si>
    <t>MC1-998621</t>
  </si>
  <si>
    <t>MC1-998670</t>
  </si>
  <si>
    <t>P00-996056</t>
  </si>
  <si>
    <t>P00-996079</t>
  </si>
  <si>
    <t>Q02-930415</t>
  </si>
  <si>
    <t>Q02-930448</t>
  </si>
  <si>
    <t>Q02-930456</t>
  </si>
  <si>
    <t>Q02-930488</t>
  </si>
  <si>
    <t>T00-999247</t>
  </si>
  <si>
    <t>T00-999248</t>
  </si>
  <si>
    <t>T00-999249</t>
  </si>
  <si>
    <t>T00-999254</t>
  </si>
  <si>
    <t>T00-999268</t>
  </si>
  <si>
    <t>T00-999286</t>
  </si>
  <si>
    <t>Y02-993444</t>
  </si>
  <si>
    <t>D00-1009837</t>
  </si>
  <si>
    <t>D70-1004298</t>
  </si>
  <si>
    <t>D70-1004381</t>
  </si>
  <si>
    <t>D70-1004382</t>
  </si>
  <si>
    <t>D70-1004383</t>
  </si>
  <si>
    <t>D70-1004408</t>
  </si>
  <si>
    <t>D70-1004594</t>
  </si>
  <si>
    <t>F02-996512</t>
  </si>
  <si>
    <t>G00-996742</t>
  </si>
  <si>
    <t>G05-963882</t>
  </si>
  <si>
    <t>G05-963884</t>
  </si>
  <si>
    <t>G11-993904</t>
  </si>
  <si>
    <t>G11-993906</t>
  </si>
  <si>
    <t>H00-1001078</t>
  </si>
  <si>
    <t>H00-1001079</t>
  </si>
  <si>
    <t>H00-1001103</t>
  </si>
  <si>
    <t>H00-1001104</t>
  </si>
  <si>
    <t>H01-993329</t>
  </si>
  <si>
    <t>L00-1015864</t>
  </si>
  <si>
    <t>L00-1015962</t>
  </si>
  <si>
    <t>L00-1016018</t>
  </si>
  <si>
    <t>L00-1016019</t>
  </si>
  <si>
    <t>L00-1016020</t>
  </si>
  <si>
    <t>L00-1016035</t>
  </si>
  <si>
    <t>L00-1016036</t>
  </si>
  <si>
    <t>L00-1016052</t>
  </si>
  <si>
    <t>L00-1016096</t>
  </si>
  <si>
    <t>L00-1016129</t>
  </si>
  <si>
    <t>L00-1016140</t>
  </si>
  <si>
    <t>L00-1016164</t>
  </si>
  <si>
    <t>L00-1016720</t>
  </si>
  <si>
    <t>L00-1016743</t>
  </si>
  <si>
    <t>L01-999341</t>
  </si>
  <si>
    <t>L06-994212</t>
  </si>
  <si>
    <t>L06-994220</t>
  </si>
  <si>
    <t>L06-994244</t>
  </si>
  <si>
    <t>L06-994262</t>
  </si>
  <si>
    <t>L06-994280</t>
  </si>
  <si>
    <t>L06-994343</t>
  </si>
  <si>
    <t>L07-978247</t>
  </si>
  <si>
    <t>L07-978248</t>
  </si>
  <si>
    <t>M00-999977</t>
  </si>
  <si>
    <t>M00-999983</t>
  </si>
  <si>
    <t>M11-919149</t>
  </si>
  <si>
    <t>M11-919150</t>
  </si>
  <si>
    <t>M11-919171</t>
  </si>
  <si>
    <t>M11-919244</t>
  </si>
  <si>
    <t>M17-582306</t>
  </si>
  <si>
    <t>M20-1002369</t>
  </si>
  <si>
    <t>M20-1002560</t>
  </si>
  <si>
    <t>MC1-998669</t>
  </si>
  <si>
    <t>P00-996051</t>
  </si>
  <si>
    <t>P00-996064</t>
  </si>
  <si>
    <t>P00-996105</t>
  </si>
  <si>
    <t>P06-997037</t>
  </si>
  <si>
    <t>P06-997038</t>
  </si>
  <si>
    <t>Q00-999372</t>
  </si>
  <si>
    <t>Q02-930403</t>
  </si>
  <si>
    <t>Q02-930410</t>
  </si>
  <si>
    <t>Q02-930418</t>
  </si>
  <si>
    <t>Q02-930460</t>
  </si>
  <si>
    <t>Q02-930479</t>
  </si>
  <si>
    <t>T00-999313</t>
  </si>
  <si>
    <t>Y00-1002039</t>
  </si>
  <si>
    <t>Y00-1002189</t>
  </si>
  <si>
    <t>Y00-1002190</t>
  </si>
  <si>
    <t>Y01-811162</t>
  </si>
  <si>
    <t>Y02-993420</t>
  </si>
  <si>
    <t>Y17-862321</t>
  </si>
  <si>
    <t>C00-999280</t>
  </si>
  <si>
    <t>C00-999289</t>
  </si>
  <si>
    <t>C00-999297</t>
  </si>
  <si>
    <t>C01-995764</t>
  </si>
  <si>
    <t>C16-806651</t>
  </si>
  <si>
    <t>D00-1009846</t>
  </si>
  <si>
    <t>D00-1009853</t>
  </si>
  <si>
    <t>D00-1009854</t>
  </si>
  <si>
    <t>D00-1009867</t>
  </si>
  <si>
    <t>D00-1009875</t>
  </si>
  <si>
    <t>D00-1009911</t>
  </si>
  <si>
    <t>D00-1009913</t>
  </si>
  <si>
    <t>D00-1009931</t>
  </si>
  <si>
    <t>D00-1010255</t>
  </si>
  <si>
    <t>D70-1004353</t>
  </si>
  <si>
    <t>D70-1004388</t>
  </si>
  <si>
    <t>F04-975822</t>
  </si>
  <si>
    <t>F04-975902</t>
  </si>
  <si>
    <t>G00-996759</t>
  </si>
  <si>
    <t>G00-996763</t>
  </si>
  <si>
    <t>G00-996771</t>
  </si>
  <si>
    <t>G05-963885</t>
  </si>
  <si>
    <t>G15-248302</t>
  </si>
  <si>
    <t>G15-248303</t>
  </si>
  <si>
    <t>H00-1001091</t>
  </si>
  <si>
    <t>H01-993337</t>
  </si>
  <si>
    <t>L00-1015834</t>
  </si>
  <si>
    <t>L00-1015865</t>
  </si>
  <si>
    <t>L00-1015890</t>
  </si>
  <si>
    <t>L00-1015942</t>
  </si>
  <si>
    <t>L00-1015978</t>
  </si>
  <si>
    <t>L00-1015992</t>
  </si>
  <si>
    <t>L00-1016075</t>
  </si>
  <si>
    <t>L00-1016083</t>
  </si>
  <si>
    <t>L00-1016084</t>
  </si>
  <si>
    <t>L00-1016110</t>
  </si>
  <si>
    <t>L00-1016112</t>
  </si>
  <si>
    <t>L00-1016149</t>
  </si>
  <si>
    <t>L00-1016153</t>
  </si>
  <si>
    <t>L00-1016175</t>
  </si>
  <si>
    <t>L00-1016176</t>
  </si>
  <si>
    <t>L00-1016177</t>
  </si>
  <si>
    <t>L00-1016315</t>
  </si>
  <si>
    <t>L00-1016717</t>
  </si>
  <si>
    <t>L01-999300</t>
  </si>
  <si>
    <t>L01-999321</t>
  </si>
  <si>
    <t>L01-999345</t>
  </si>
  <si>
    <t>L01-999349</t>
  </si>
  <si>
    <t>L06-994211</t>
  </si>
  <si>
    <t>L06-994316</t>
  </si>
  <si>
    <t>M00-999946</t>
  </si>
  <si>
    <t>M00-999960</t>
  </si>
  <si>
    <t>M00-999985</t>
  </si>
  <si>
    <t>M20-1002371</t>
  </si>
  <si>
    <t>P01-998153</t>
  </si>
  <si>
    <t>P07-995045</t>
  </si>
  <si>
    <t>P07-995046</t>
  </si>
  <si>
    <t>Q00-999384</t>
  </si>
  <si>
    <t>Q02-930453</t>
  </si>
  <si>
    <t>T00-999251</t>
  </si>
  <si>
    <t>T03-999838</t>
  </si>
  <si>
    <t>Y00-1002060</t>
  </si>
  <si>
    <t>Y02-993427</t>
  </si>
  <si>
    <t>Y10-916203</t>
  </si>
  <si>
    <t>Y11-983773</t>
  </si>
  <si>
    <t>Y11-983774</t>
  </si>
  <si>
    <t>Y11-983785</t>
  </si>
  <si>
    <t>C00-999315</t>
  </si>
  <si>
    <t>C01-995743</t>
  </si>
  <si>
    <t>C01-995744</t>
  </si>
  <si>
    <t>C01-995856</t>
  </si>
  <si>
    <t>D00-1009798</t>
  </si>
  <si>
    <t>D00-1009802</t>
  </si>
  <si>
    <t>D00-1009805</t>
  </si>
  <si>
    <t>D70-1004366</t>
  </si>
  <si>
    <t>D70-1004404</t>
  </si>
  <si>
    <t>D70-1004405</t>
  </si>
  <si>
    <t>D70-1004407</t>
  </si>
  <si>
    <t>F02-996515</t>
  </si>
  <si>
    <t>L00-1015833</t>
  </si>
  <si>
    <t>L00-1015835</t>
  </si>
  <si>
    <t>L00-1015836</t>
  </si>
  <si>
    <t>L00-1015837</t>
  </si>
  <si>
    <t>L00-1015839</t>
  </si>
  <si>
    <t>L00-1015840</t>
  </si>
  <si>
    <t>L00-1015841</t>
  </si>
  <si>
    <t>L00-1015875</t>
  </si>
  <si>
    <t>L00-1015885</t>
  </si>
  <si>
    <t>L00-1015898</t>
  </si>
  <si>
    <t>L00-1015900</t>
  </si>
  <si>
    <t>L00-1015901</t>
  </si>
  <si>
    <t>L00-1015902</t>
  </si>
  <si>
    <t>L00-1015903</t>
  </si>
  <si>
    <t>L00-1015904</t>
  </si>
  <si>
    <t>L00-1015909</t>
  </si>
  <si>
    <t>L00-1015911</t>
  </si>
  <si>
    <t>L00-1015916</t>
  </si>
  <si>
    <t>L00-1015988</t>
  </si>
  <si>
    <t>L00-1015995</t>
  </si>
  <si>
    <t>L00-1015996</t>
  </si>
  <si>
    <t>L00-1015997</t>
  </si>
  <si>
    <t>L00-1015998</t>
  </si>
  <si>
    <t>L00-1015999</t>
  </si>
  <si>
    <t>L00-1016000</t>
  </si>
  <si>
    <t>L00-1016001</t>
  </si>
  <si>
    <t>L00-1016002</t>
  </si>
  <si>
    <t>L00-1016006</t>
  </si>
  <si>
    <t>L00-1016029</t>
  </si>
  <si>
    <t>L00-1016034</t>
  </si>
  <si>
    <t>L00-1016038</t>
  </si>
  <si>
    <t>L00-1016039</t>
  </si>
  <si>
    <t>L00-1016040</t>
  </si>
  <si>
    <t>L00-1016041</t>
  </si>
  <si>
    <t>L00-1016074</t>
  </si>
  <si>
    <t>L00-1016076</t>
  </si>
  <si>
    <t>L00-1016077</t>
  </si>
  <si>
    <t>L00-1016078</t>
  </si>
  <si>
    <t>L00-1016080</t>
  </si>
  <si>
    <t>L00-1016081</t>
  </si>
  <si>
    <t>L00-1016086</t>
  </si>
  <si>
    <t>L00-1016087</t>
  </si>
  <si>
    <t>L00-1016088</t>
  </si>
  <si>
    <t>L00-1016100</t>
  </si>
  <si>
    <t>L00-1016101</t>
  </si>
  <si>
    <t>L00-1016126</t>
  </si>
  <si>
    <t>L00-1016127</t>
  </si>
  <si>
    <t>L00-1016131</t>
  </si>
  <si>
    <t>L00-1016138</t>
  </si>
  <si>
    <t>L00-1016174</t>
  </si>
  <si>
    <t>L00-1016264</t>
  </si>
  <si>
    <t>L00-1016265</t>
  </si>
  <si>
    <t>L00-1016266</t>
  </si>
  <si>
    <t>L00-1016267</t>
  </si>
  <si>
    <t>L00-1016268</t>
  </si>
  <si>
    <t>L00-1016269</t>
  </si>
  <si>
    <t>L00-1016271</t>
  </si>
  <si>
    <t>L00-1016272</t>
  </si>
  <si>
    <t>L00-1016273</t>
  </si>
  <si>
    <t>L00-1016275</t>
  </si>
  <si>
    <t>L00-1016279</t>
  </si>
  <si>
    <t>L00-1016282</t>
  </si>
  <si>
    <t>L00-1016283</t>
  </si>
  <si>
    <t>L00-1016285</t>
  </si>
  <si>
    <t>L00-1016286</t>
  </si>
  <si>
    <t>L00-1016293</t>
  </si>
  <si>
    <t>L00-1016297</t>
  </si>
  <si>
    <t>L00-1016298</t>
  </si>
  <si>
    <t>L00-1016299</t>
  </si>
  <si>
    <t>L00-1016317</t>
  </si>
  <si>
    <t>L00-1016329</t>
  </si>
  <si>
    <t>L00-1016331</t>
  </si>
  <si>
    <t>L00-1016337</t>
  </si>
  <si>
    <t>L00-1016724</t>
  </si>
  <si>
    <t>L00-1016748</t>
  </si>
  <si>
    <t>L00-1016783</t>
  </si>
  <si>
    <t>L00-1016784</t>
  </si>
  <si>
    <t>L01-999316</t>
  </si>
  <si>
    <t>L06-994200</t>
  </si>
  <si>
    <t>L06-994213</t>
  </si>
  <si>
    <t>L06-994214</t>
  </si>
  <si>
    <t>L06-994217</t>
  </si>
  <si>
    <t>L06-994230</t>
  </si>
  <si>
    <t>L06-994427</t>
  </si>
  <si>
    <t>L06-994508</t>
  </si>
  <si>
    <t>M00-1000024</t>
  </si>
  <si>
    <t>M05-1000846</t>
  </si>
  <si>
    <t>M11-919223</t>
  </si>
  <si>
    <t>M14-980714</t>
  </si>
  <si>
    <t>M20-1002405</t>
  </si>
  <si>
    <t>M20-1002421</t>
  </si>
  <si>
    <t>M20-1002566</t>
  </si>
  <si>
    <t>MC1-998617</t>
  </si>
  <si>
    <t>MS1-999172</t>
  </si>
  <si>
    <t>P00-996058</t>
  </si>
  <si>
    <t>Q00-999369</t>
  </si>
  <si>
    <t>Q02-930404</t>
  </si>
  <si>
    <t>Q02-930439</t>
  </si>
  <si>
    <t>Q02-930449</t>
  </si>
  <si>
    <t>Q02-930457</t>
  </si>
  <si>
    <t>Q02-930463</t>
  </si>
  <si>
    <t>T00-999278</t>
  </si>
  <si>
    <t>T00-999314</t>
  </si>
  <si>
    <t>Y00-1002034</t>
  </si>
  <si>
    <t>Y00-1002048</t>
  </si>
  <si>
    <t>Y00-1002054</t>
  </si>
  <si>
    <t>Y00-1002079</t>
  </si>
  <si>
    <t>Y00-1002086</t>
  </si>
  <si>
    <t>Y00-1002091</t>
  </si>
  <si>
    <t>Y01-811166</t>
  </si>
  <si>
    <t>Y11-983804</t>
  </si>
  <si>
    <t>Y17-862320</t>
  </si>
  <si>
    <t>C00-999286</t>
  </si>
  <si>
    <t>C00-999313</t>
  </si>
  <si>
    <t>C01-995742</t>
  </si>
  <si>
    <t>C01-995752</t>
  </si>
  <si>
    <t>D00-1009717</t>
  </si>
  <si>
    <t>D00-1009851</t>
  </si>
  <si>
    <t>D00-1009864</t>
  </si>
  <si>
    <t>D00-1009966</t>
  </si>
  <si>
    <t>D70-1004314</t>
  </si>
  <si>
    <t>D70-1004324</t>
  </si>
  <si>
    <t>D70-1004340</t>
  </si>
  <si>
    <t>D70-1004434</t>
  </si>
  <si>
    <t>G00-996765</t>
  </si>
  <si>
    <t>G00-996770</t>
  </si>
  <si>
    <t>G00-996789</t>
  </si>
  <si>
    <t>G11-993894</t>
  </si>
  <si>
    <t>G11-993901</t>
  </si>
  <si>
    <t>H00-1001085</t>
  </si>
  <si>
    <t>H01-993331</t>
  </si>
  <si>
    <t>L00-1015829</t>
  </si>
  <si>
    <t>L00-1015910</t>
  </si>
  <si>
    <t>L00-1016062</t>
  </si>
  <si>
    <t>L00-1016145</t>
  </si>
  <si>
    <t>L00-1016148</t>
  </si>
  <si>
    <t>L00-1016171</t>
  </si>
  <si>
    <t>L00-1016260</t>
  </si>
  <si>
    <t>L00-1016310</t>
  </si>
  <si>
    <t>L00-1016739</t>
  </si>
  <si>
    <t>L06-994233</t>
  </si>
  <si>
    <t>L06-994234</t>
  </si>
  <si>
    <t>L06-994247</t>
  </si>
  <si>
    <t>L06-994249</t>
  </si>
  <si>
    <t>L06-994277</t>
  </si>
  <si>
    <t>M00-999972</t>
  </si>
  <si>
    <t>M11-919161</t>
  </si>
  <si>
    <t>M14-980709</t>
  </si>
  <si>
    <t>M14-980711</t>
  </si>
  <si>
    <t>M14-980712</t>
  </si>
  <si>
    <t>M14-980723</t>
  </si>
  <si>
    <t>M20-1002391</t>
  </si>
  <si>
    <t>M20-1002408</t>
  </si>
  <si>
    <t>MS1-999166</t>
  </si>
  <si>
    <t>P01-998149</t>
  </si>
  <si>
    <t>Q00-999373</t>
  </si>
  <si>
    <t>Q00-999395</t>
  </si>
  <si>
    <t>Q02-930409</t>
  </si>
  <si>
    <t>T00-999265</t>
  </si>
  <si>
    <t>T00-999267</t>
  </si>
  <si>
    <t>T00-999316</t>
  </si>
  <si>
    <t>T00-999317</t>
  </si>
  <si>
    <t>T02-998285</t>
  </si>
  <si>
    <t>T02-998293</t>
  </si>
  <si>
    <t>Y00-1002019</t>
  </si>
  <si>
    <t>Y00-1002020</t>
  </si>
  <si>
    <t>Y00-1002022</t>
  </si>
  <si>
    <t>Y00-1002049</t>
  </si>
  <si>
    <t>Y00-1002050</t>
  </si>
  <si>
    <t>Y00-1002076</t>
  </si>
  <si>
    <t>Y00-1002096</t>
  </si>
  <si>
    <t>Y00-1002191</t>
  </si>
  <si>
    <t>Y00-1002212</t>
  </si>
  <si>
    <t>Y00-1002213</t>
  </si>
  <si>
    <t>Y00-1002214</t>
  </si>
  <si>
    <t>Y01-811184</t>
  </si>
  <si>
    <t>Y01-811185</t>
  </si>
  <si>
    <t>Y01-811192</t>
  </si>
  <si>
    <t>Y10-916205</t>
  </si>
  <si>
    <t>C00-999362</t>
  </si>
  <si>
    <t>C01-995735</t>
  </si>
  <si>
    <t>D00-1009786</t>
  </si>
  <si>
    <t>D00-1009799</t>
  </si>
  <si>
    <t>D00-1009870</t>
  </si>
  <si>
    <t>D00-1009968</t>
  </si>
  <si>
    <t>D00-1010985</t>
  </si>
  <si>
    <t>D00-1010987</t>
  </si>
  <si>
    <t>D70-1004279</t>
  </si>
  <si>
    <t>D70-1004344</t>
  </si>
  <si>
    <t>D70-1004356</t>
  </si>
  <si>
    <t>D70-1004435</t>
  </si>
  <si>
    <t>D70-1004436</t>
  </si>
  <si>
    <t>F04-975909</t>
  </si>
  <si>
    <t>F04-975950</t>
  </si>
  <si>
    <t>G00-996745</t>
  </si>
  <si>
    <t>G00-996795</t>
  </si>
  <si>
    <t>G00-996867</t>
  </si>
  <si>
    <t>G11-993903</t>
  </si>
  <si>
    <t>G11-993908</t>
  </si>
  <si>
    <t>G11-993939</t>
  </si>
  <si>
    <t>H00-1001096</t>
  </si>
  <si>
    <t>L00-1015891</t>
  </si>
  <si>
    <t>L00-1015918</t>
  </si>
  <si>
    <t>L00-1015944</t>
  </si>
  <si>
    <t>L00-1015949</t>
  </si>
  <si>
    <t>L00-1015950</t>
  </si>
  <si>
    <t>L00-1015964</t>
  </si>
  <si>
    <t>L00-1016068</t>
  </si>
  <si>
    <t>L00-1016711</t>
  </si>
  <si>
    <t>L00-1016723</t>
  </si>
  <si>
    <t>L00-1016759</t>
  </si>
  <si>
    <t>L00-1016786</t>
  </si>
  <si>
    <t>L00-1016787</t>
  </si>
  <si>
    <t>L00-1016788</t>
  </si>
  <si>
    <t>L01-999295</t>
  </si>
  <si>
    <t>L01-999342</t>
  </si>
  <si>
    <t>L06-994245</t>
  </si>
  <si>
    <t>L06-994255</t>
  </si>
  <si>
    <t>L06-994256</t>
  </si>
  <si>
    <t>L06-994321</t>
  </si>
  <si>
    <t>L06-994323</t>
  </si>
  <si>
    <t>L07-978233</t>
  </si>
  <si>
    <t>L07-978240</t>
  </si>
  <si>
    <t>L07-978316</t>
  </si>
  <si>
    <t>M00-999948</t>
  </si>
  <si>
    <t>M11-919151</t>
  </si>
  <si>
    <t>M11-919152</t>
  </si>
  <si>
    <t>M11-919153</t>
  </si>
  <si>
    <t>M11-919154</t>
  </si>
  <si>
    <t>M11-919156</t>
  </si>
  <si>
    <t>M11-919157</t>
  </si>
  <si>
    <t>M11-919162</t>
  </si>
  <si>
    <t>M11-919163</t>
  </si>
  <si>
    <t>M11-919165</t>
  </si>
  <si>
    <t>M11-919166</t>
  </si>
  <si>
    <t>M11-919167</t>
  </si>
  <si>
    <t>M11-919168</t>
  </si>
  <si>
    <t>M11-919169</t>
  </si>
  <si>
    <t>M11-919170</t>
  </si>
  <si>
    <t>M11-919172</t>
  </si>
  <si>
    <t>M11-919173</t>
  </si>
  <si>
    <t>M11-919174</t>
  </si>
  <si>
    <t>M11-919175</t>
  </si>
  <si>
    <t>M11-919176</t>
  </si>
  <si>
    <t>M11-919177</t>
  </si>
  <si>
    <t>M11-919178</t>
  </si>
  <si>
    <t>M11-919180</t>
  </si>
  <si>
    <t>M11-919181</t>
  </si>
  <si>
    <t>M11-919183</t>
  </si>
  <si>
    <t>M11-919184</t>
  </si>
  <si>
    <t>M11-919185</t>
  </si>
  <si>
    <t>M11-919186</t>
  </si>
  <si>
    <t>M11-919187</t>
  </si>
  <si>
    <t>M11-919188</t>
  </si>
  <si>
    <t>M11-919189</t>
  </si>
  <si>
    <t>M11-919190</t>
  </si>
  <si>
    <t>M11-919192</t>
  </si>
  <si>
    <t>M11-919193</t>
  </si>
  <si>
    <t>M11-919194</t>
  </si>
  <si>
    <t>M11-919195</t>
  </si>
  <si>
    <t>M11-919196</t>
  </si>
  <si>
    <t>M11-919197</t>
  </si>
  <si>
    <t>M11-919198</t>
  </si>
  <si>
    <t>M11-919199</t>
  </si>
  <si>
    <t>M11-919200</t>
  </si>
  <si>
    <t>M11-919201</t>
  </si>
  <si>
    <t>M11-919202</t>
  </si>
  <si>
    <t>M11-919203</t>
  </si>
  <si>
    <t>M11-919204</t>
  </si>
  <si>
    <t>M11-919205</t>
  </si>
  <si>
    <t>M11-919207</t>
  </si>
  <si>
    <t>M11-919208</t>
  </si>
  <si>
    <t>M11-919209</t>
  </si>
  <si>
    <t>M11-919210</t>
  </si>
  <si>
    <t>M11-919211</t>
  </si>
  <si>
    <t>M11-919212</t>
  </si>
  <si>
    <t>M11-919213</t>
  </si>
  <si>
    <t>M11-919215</t>
  </si>
  <si>
    <t>M11-919216</t>
  </si>
  <si>
    <t>M11-919218</t>
  </si>
  <si>
    <t>M11-919219</t>
  </si>
  <si>
    <t>M11-919220</t>
  </si>
  <si>
    <t>M11-919221</t>
  </si>
  <si>
    <t>M11-919222</t>
  </si>
  <si>
    <t>M11-919224</t>
  </si>
  <si>
    <t>M11-919225</t>
  </si>
  <si>
    <t>M11-919226</t>
  </si>
  <si>
    <t>M11-919240</t>
  </si>
  <si>
    <t>M11-919242</t>
  </si>
  <si>
    <t>M11-919243</t>
  </si>
  <si>
    <t>M11-919245</t>
  </si>
  <si>
    <t>M11-919246</t>
  </si>
  <si>
    <t>M11-919249</t>
  </si>
  <si>
    <t>M11-919264</t>
  </si>
  <si>
    <t>M11-919265</t>
  </si>
  <si>
    <t>M11-919267</t>
  </si>
  <si>
    <t>M11-919270</t>
  </si>
  <si>
    <t>M11-919271</t>
  </si>
  <si>
    <t>M11-919272</t>
  </si>
  <si>
    <t>M11-919274</t>
  </si>
  <si>
    <t>M11-919292</t>
  </si>
  <si>
    <t>M11-919298</t>
  </si>
  <si>
    <t>M11-919299</t>
  </si>
  <si>
    <t>M11-919300</t>
  </si>
  <si>
    <t>M11-919302</t>
  </si>
  <si>
    <t>M11-919303</t>
  </si>
  <si>
    <t>M14-980702</t>
  </si>
  <si>
    <t>M14-980704</t>
  </si>
  <si>
    <t>M20-1002373</t>
  </si>
  <si>
    <t>M25-848858</t>
  </si>
  <si>
    <t>M25-848863</t>
  </si>
  <si>
    <t>MC1-998628</t>
  </si>
  <si>
    <t>MC1-998668</t>
  </si>
  <si>
    <t>P00-996083</t>
  </si>
  <si>
    <t>P00-996084</t>
  </si>
  <si>
    <t>Q00-999352</t>
  </si>
  <si>
    <t>Q00-999449</t>
  </si>
  <si>
    <t>Q02-930405</t>
  </si>
  <si>
    <t>Q02-930438</t>
  </si>
  <si>
    <t>Q02-930443</t>
  </si>
  <si>
    <t>Q02-930484</t>
  </si>
  <si>
    <t>T00-999258</t>
  </si>
  <si>
    <t>T00-999259</t>
  </si>
  <si>
    <t>Y01-811236</t>
  </si>
  <si>
    <t>Y11-983786</t>
  </si>
  <si>
    <t>D00-1009831</t>
  </si>
  <si>
    <t>D00-1009984</t>
  </si>
  <si>
    <t>D70-1004431</t>
  </si>
  <si>
    <t>F04-975839</t>
  </si>
  <si>
    <t>G00-996747</t>
  </si>
  <si>
    <t>G00-996755</t>
  </si>
  <si>
    <t>G00-996831</t>
  </si>
  <si>
    <t>G11-993896</t>
  </si>
  <si>
    <t>H00-1001086</t>
  </si>
  <si>
    <t>H01-993362</t>
  </si>
  <si>
    <t>L00-1015785</t>
  </si>
  <si>
    <t>L00-1015848</t>
  </si>
  <si>
    <t>L00-1015857</t>
  </si>
  <si>
    <t>L00-1016003</t>
  </si>
  <si>
    <t>L00-1016183</t>
  </si>
  <si>
    <t>L00-1016306</t>
  </si>
  <si>
    <t>L00-1016312</t>
  </si>
  <si>
    <t>L00-1016722</t>
  </si>
  <si>
    <t>L00-1016762</t>
  </si>
  <si>
    <t>L01-999378</t>
  </si>
  <si>
    <t>L01-999443</t>
  </si>
  <si>
    <t>L06-994202</t>
  </si>
  <si>
    <t>L06-994218</t>
  </si>
  <si>
    <t>L06-994219</t>
  </si>
  <si>
    <t>L06-994273</t>
  </si>
  <si>
    <t>L06-994289</t>
  </si>
  <si>
    <t>L07-978252</t>
  </si>
  <si>
    <t>M00-999976</t>
  </si>
  <si>
    <t>M05-1000831</t>
  </si>
  <si>
    <t>M05-1000876</t>
  </si>
  <si>
    <t>M05-1000878</t>
  </si>
  <si>
    <t>M05-1000879</t>
  </si>
  <si>
    <t>M05-1000880</t>
  </si>
  <si>
    <t>M05-1000881</t>
  </si>
  <si>
    <t>M14-980705</t>
  </si>
  <si>
    <t>M14-980721</t>
  </si>
  <si>
    <t>M20-1002370</t>
  </si>
  <si>
    <t>M20-1002372</t>
  </si>
  <si>
    <t>M20-1002395</t>
  </si>
  <si>
    <t>M20-1002420</t>
  </si>
  <si>
    <t>M20-1002423</t>
  </si>
  <si>
    <t>P00-996065</t>
  </si>
  <si>
    <t>P00-996094</t>
  </si>
  <si>
    <t>P06-997041</t>
  </si>
  <si>
    <t>Q00-999361</t>
  </si>
  <si>
    <t>T00-999263</t>
  </si>
  <si>
    <t>T02-998292</t>
  </si>
  <si>
    <t>Y01-811165</t>
  </si>
  <si>
    <t>Y01-811170</t>
  </si>
  <si>
    <t>C00-999291</t>
  </si>
  <si>
    <t>C01-995737</t>
  </si>
  <si>
    <t>C01-995741</t>
  </si>
  <si>
    <t>C01-995746</t>
  </si>
  <si>
    <t>D00-1009739</t>
  </si>
  <si>
    <t>D00-1009745</t>
  </si>
  <si>
    <t>D00-1009746</t>
  </si>
  <si>
    <t>D00-1009761</t>
  </si>
  <si>
    <t>D00-1009790</t>
  </si>
  <si>
    <t>D00-1009847</t>
  </si>
  <si>
    <t>D70-1004256</t>
  </si>
  <si>
    <t>D70-1004357</t>
  </si>
  <si>
    <t>D70-1004403</t>
  </si>
  <si>
    <t>F02-996525</t>
  </si>
  <si>
    <t>F04-975836</t>
  </si>
  <si>
    <t>F04-975843</t>
  </si>
  <si>
    <t>F04-975844</t>
  </si>
  <si>
    <t>G00-996749</t>
  </si>
  <si>
    <t>G00-996762</t>
  </si>
  <si>
    <t>G11-993902</t>
  </si>
  <si>
    <t>G11-993911</t>
  </si>
  <si>
    <t>G11-993936</t>
  </si>
  <si>
    <t>H00-1001082</t>
  </si>
  <si>
    <t>H00-1001169</t>
  </si>
  <si>
    <t>L00-1015853</t>
  </si>
  <si>
    <t>L00-1015878</t>
  </si>
  <si>
    <t>L00-1015888</t>
  </si>
  <si>
    <t>L00-1015908</t>
  </si>
  <si>
    <t>L00-1015994</t>
  </si>
  <si>
    <t>L00-1016028</t>
  </si>
  <si>
    <t>L00-1016042</t>
  </si>
  <si>
    <t>L00-1016161</t>
  </si>
  <si>
    <t>L00-1016261</t>
  </si>
  <si>
    <t>L00-1016755</t>
  </si>
  <si>
    <t>L00-1016756</t>
  </si>
  <si>
    <t>L00-1016792</t>
  </si>
  <si>
    <t>L06-994235</t>
  </si>
  <si>
    <t>L06-994312</t>
  </si>
  <si>
    <t>L06-994324</t>
  </si>
  <si>
    <t>L07-978235</t>
  </si>
  <si>
    <t>L07-978236</t>
  </si>
  <si>
    <t>L07-978250</t>
  </si>
  <si>
    <t>L07-978355</t>
  </si>
  <si>
    <t>M00-999953</t>
  </si>
  <si>
    <t>M00-999968</t>
  </si>
  <si>
    <t>M00-999982</t>
  </si>
  <si>
    <t>M11-919148</t>
  </si>
  <si>
    <t>M11-919158</t>
  </si>
  <si>
    <t>M14-980707</t>
  </si>
  <si>
    <t>MC1-998622</t>
  </si>
  <si>
    <t>MH0-582243</t>
  </si>
  <si>
    <t>P01-998190</t>
  </si>
  <si>
    <t>P07-995043</t>
  </si>
  <si>
    <t>Q00-999360</t>
  </si>
  <si>
    <t>Q00-999362</t>
  </si>
  <si>
    <t>Q02-930432</t>
  </si>
  <si>
    <t>Q02-930440</t>
  </si>
  <si>
    <t>Q02-930544</t>
  </si>
  <si>
    <t>T02-998291</t>
  </si>
  <si>
    <t>Y00-1002062</t>
  </si>
  <si>
    <t>Y01-811183</t>
  </si>
  <si>
    <t>Y01-811186</t>
  </si>
  <si>
    <t>Y01-811233</t>
  </si>
  <si>
    <t>C00-999279</t>
  </si>
  <si>
    <t>C00-999409</t>
  </si>
  <si>
    <t>C01-995734</t>
  </si>
  <si>
    <t>C16-806655</t>
  </si>
  <si>
    <t>D00-1009819</t>
  </si>
  <si>
    <t>D00-1009862</t>
  </si>
  <si>
    <t>D00-1009883</t>
  </si>
  <si>
    <t>D00-1009982</t>
  </si>
  <si>
    <t>D00-1010799</t>
  </si>
  <si>
    <t>D70-1004280</t>
  </si>
  <si>
    <t>D70-1004292</t>
  </si>
  <si>
    <t>D70-1004310</t>
  </si>
  <si>
    <t>D70-1004371</t>
  </si>
  <si>
    <t>D70-1004373</t>
  </si>
  <si>
    <t>D70-1004390</t>
  </si>
  <si>
    <t>D70-1004568</t>
  </si>
  <si>
    <t>E00-996367</t>
  </si>
  <si>
    <t>E00-996379</t>
  </si>
  <si>
    <t>F02-996513</t>
  </si>
  <si>
    <t>F02-996514</t>
  </si>
  <si>
    <t>F02-996520</t>
  </si>
  <si>
    <t>F10-996366</t>
  </si>
  <si>
    <t>F10-996367</t>
  </si>
  <si>
    <t>F10-996369</t>
  </si>
  <si>
    <t>F10-996376</t>
  </si>
  <si>
    <t>G05-963886</t>
  </si>
  <si>
    <t>G05-963892</t>
  </si>
  <si>
    <t>H00-1001080</t>
  </si>
  <si>
    <t>H00-1001110</t>
  </si>
  <si>
    <t>H01-993334</t>
  </si>
  <si>
    <t>L00-1016037</t>
  </si>
  <si>
    <t>L00-1016045</t>
  </si>
  <si>
    <t>L00-1016053</t>
  </si>
  <si>
    <t>L00-1016091</t>
  </si>
  <si>
    <t>L00-1016124</t>
  </si>
  <si>
    <t>L00-1016157</t>
  </si>
  <si>
    <t>L00-1016186</t>
  </si>
  <si>
    <t>L00-1016188</t>
  </si>
  <si>
    <t>L00-1016725</t>
  </si>
  <si>
    <t>L00-1017306</t>
  </si>
  <si>
    <t>L00-1017313</t>
  </si>
  <si>
    <t>L01-999296</t>
  </si>
  <si>
    <t>L06-994246</t>
  </si>
  <si>
    <t>L06-994248</t>
  </si>
  <si>
    <t>L06-994268</t>
  </si>
  <si>
    <t>L06-994276</t>
  </si>
  <si>
    <t>L06-994434</t>
  </si>
  <si>
    <t>L07-978239</t>
  </si>
  <si>
    <t>M05-1000845</t>
  </si>
  <si>
    <t>M11-919155</t>
  </si>
  <si>
    <t>M11-919182</t>
  </si>
  <si>
    <t>M14-980698</t>
  </si>
  <si>
    <t>M14-980725</t>
  </si>
  <si>
    <t>M14-980729</t>
  </si>
  <si>
    <t>M20-1002409</t>
  </si>
  <si>
    <t>M20-1002415</t>
  </si>
  <si>
    <t>M20-1002495</t>
  </si>
  <si>
    <t>MSJ-232186</t>
  </si>
  <si>
    <t>MSJ-232187</t>
  </si>
  <si>
    <t>MSJ-232188</t>
  </si>
  <si>
    <t>P00-996061</t>
  </si>
  <si>
    <t>P00-996098</t>
  </si>
  <si>
    <t>P00-996172</t>
  </si>
  <si>
    <t>P01-998155</t>
  </si>
  <si>
    <t>P06-997039</t>
  </si>
  <si>
    <t>Q02-930399</t>
  </si>
  <si>
    <t>Q02-930400</t>
  </si>
  <si>
    <t>Q02-930446</t>
  </si>
  <si>
    <t>Q02-930472</t>
  </si>
  <si>
    <t>Q02-930473</t>
  </si>
  <si>
    <t>Q02-930476</t>
  </si>
  <si>
    <t>Q02-930478</t>
  </si>
  <si>
    <t>Q02-930487</t>
  </si>
  <si>
    <t>T00-999257</t>
  </si>
  <si>
    <t>T02-998286</t>
  </si>
  <si>
    <t>Y00-1002066</t>
  </si>
  <si>
    <t>Y01-811190</t>
  </si>
  <si>
    <t>Y01-811240</t>
  </si>
  <si>
    <t>Y01-811242</t>
  </si>
  <si>
    <t>C00-999299</t>
  </si>
  <si>
    <t>C00-999360</t>
  </si>
  <si>
    <t>C01-995733</t>
  </si>
  <si>
    <t>C16-806652</t>
  </si>
  <si>
    <t>D00-1009706</t>
  </si>
  <si>
    <t>D00-1009757</t>
  </si>
  <si>
    <t>D00-1009820</t>
  </si>
  <si>
    <t>D00-1009832</t>
  </si>
  <si>
    <t>D00-1009877</t>
  </si>
  <si>
    <t>D00-1009897</t>
  </si>
  <si>
    <t>D00-1009983</t>
  </si>
  <si>
    <t>D00-1010063</t>
  </si>
  <si>
    <t>D70-1004273</t>
  </si>
  <si>
    <t>D70-1004274</t>
  </si>
  <si>
    <t>D70-1004287</t>
  </si>
  <si>
    <t>D70-1004332</t>
  </si>
  <si>
    <t>D70-1004595</t>
  </si>
  <si>
    <t>F02-996521</t>
  </si>
  <si>
    <t>F04-975818</t>
  </si>
  <si>
    <t>F04-975820</t>
  </si>
  <si>
    <t>F04-975833</t>
  </si>
  <si>
    <t>F04-975842</t>
  </si>
  <si>
    <t>F04-975907</t>
  </si>
  <si>
    <t>G00-996769</t>
  </si>
  <si>
    <t>G00-996773</t>
  </si>
  <si>
    <t>H00-1001089</t>
  </si>
  <si>
    <t>H00-1001108</t>
  </si>
  <si>
    <t>H01-993327</t>
  </si>
  <si>
    <t>H01-993338</t>
  </si>
  <si>
    <t>H01-993340</t>
  </si>
  <si>
    <t>H01-993341</t>
  </si>
  <si>
    <t>L00-1015842</t>
  </si>
  <si>
    <t>L00-1015843</t>
  </si>
  <si>
    <t>L00-1015862</t>
  </si>
  <si>
    <t>L00-1015872</t>
  </si>
  <si>
    <t>L00-1015882</t>
  </si>
  <si>
    <t>L00-1015883</t>
  </si>
  <si>
    <t>L00-1015971</t>
  </si>
  <si>
    <t>L00-1015974</t>
  </si>
  <si>
    <t>L00-1015984</t>
  </si>
  <si>
    <t>L00-1015986</t>
  </si>
  <si>
    <t>L00-1016004</t>
  </si>
  <si>
    <t>L00-1016005</t>
  </si>
  <si>
    <t>L00-1016022</t>
  </si>
  <si>
    <t>L00-1016032</t>
  </si>
  <si>
    <t>L00-1016043</t>
  </si>
  <si>
    <t>L00-1016044</t>
  </si>
  <si>
    <t>L00-1016063</t>
  </si>
  <si>
    <t>L00-1016094</t>
  </si>
  <si>
    <t>L00-1016109</t>
  </si>
  <si>
    <t>L00-1016120</t>
  </si>
  <si>
    <t>L00-1016121</t>
  </si>
  <si>
    <t>L00-1016122</t>
  </si>
  <si>
    <t>L00-1016154</t>
  </si>
  <si>
    <t>L00-1016155</t>
  </si>
  <si>
    <t>L00-1016159</t>
  </si>
  <si>
    <t>L00-1016160</t>
  </si>
  <si>
    <t>L00-1016165</t>
  </si>
  <si>
    <t>L00-1016190</t>
  </si>
  <si>
    <t>L00-1016255</t>
  </si>
  <si>
    <t>L00-1016256</t>
  </si>
  <si>
    <t>L00-1016281</t>
  </si>
  <si>
    <t>L00-1016318</t>
  </si>
  <si>
    <t>L00-1016728</t>
  </si>
  <si>
    <t>L00-1016749</t>
  </si>
  <si>
    <t>L00-1016801</t>
  </si>
  <si>
    <t>L01-999343</t>
  </si>
  <si>
    <t>L06-994222</t>
  </si>
  <si>
    <t>L06-994250</t>
  </si>
  <si>
    <t>L06-994265</t>
  </si>
  <si>
    <t>L06-994270</t>
  </si>
  <si>
    <t>L06-994274</t>
  </si>
  <si>
    <t>L06-994279</t>
  </si>
  <si>
    <t>L06-994281</t>
  </si>
  <si>
    <t>L06-994285</t>
  </si>
  <si>
    <t>L06-994322</t>
  </si>
  <si>
    <t>L06-994416</t>
  </si>
  <si>
    <t>L06-994422</t>
  </si>
  <si>
    <t>L06-994534</t>
  </si>
  <si>
    <t>L06-994642</t>
  </si>
  <si>
    <t>L07-978232</t>
  </si>
  <si>
    <t>L07-978237</t>
  </si>
  <si>
    <t>L07-978255</t>
  </si>
  <si>
    <t>L07-978264</t>
  </si>
  <si>
    <t>M00-999978</t>
  </si>
  <si>
    <t>M00-999979</t>
  </si>
  <si>
    <t>M00-999986</t>
  </si>
  <si>
    <t>M00-999990</t>
  </si>
  <si>
    <t>M00-999991</t>
  </si>
  <si>
    <t>M00-999992</t>
  </si>
  <si>
    <t>M00-999994</t>
  </si>
  <si>
    <t>M00-999999</t>
  </si>
  <si>
    <t>M00-1000065</t>
  </si>
  <si>
    <t>M00-1000066</t>
  </si>
  <si>
    <t>M00-1000067</t>
  </si>
  <si>
    <t>M00-1000068</t>
  </si>
  <si>
    <t>M05-1000838</t>
  </si>
  <si>
    <t>M11-919214</t>
  </si>
  <si>
    <t>M14-980730</t>
  </si>
  <si>
    <t>M17-582318</t>
  </si>
  <si>
    <t>M20-1002411</t>
  </si>
  <si>
    <t>M20-1002563</t>
  </si>
  <si>
    <t>MC1-998671</t>
  </si>
  <si>
    <t>P00-996055</t>
  </si>
  <si>
    <t>P00-996081</t>
  </si>
  <si>
    <t>P00-996088</t>
  </si>
  <si>
    <t>P00-996226</t>
  </si>
  <si>
    <t>P01-998192</t>
  </si>
  <si>
    <t>P12-757</t>
  </si>
  <si>
    <t>Q00-999374</t>
  </si>
  <si>
    <t>Q00-999383</t>
  </si>
  <si>
    <t>Q02-930411</t>
  </si>
  <si>
    <t>T00-999255</t>
  </si>
  <si>
    <t>T00-999264</t>
  </si>
  <si>
    <t>T00-999274</t>
  </si>
  <si>
    <t>T02-998296</t>
  </si>
  <si>
    <t>Y00-1002013</t>
  </si>
  <si>
    <t>Y00-1002025</t>
  </si>
  <si>
    <t>Y00-1002038</t>
  </si>
  <si>
    <t>Y00-1002055</t>
  </si>
  <si>
    <t>Y00-1002061</t>
  </si>
  <si>
    <t>Y00-1002063</t>
  </si>
  <si>
    <t>Y00-1002068</t>
  </si>
  <si>
    <t>Y01-811163</t>
  </si>
  <si>
    <t>Y01-811167</t>
  </si>
  <si>
    <t>Y01-811168</t>
  </si>
  <si>
    <t>Y01-811176</t>
  </si>
  <si>
    <t>Y01-811177</t>
  </si>
  <si>
    <t>Y01-811178</t>
  </si>
  <si>
    <t>Y01-811179</t>
  </si>
  <si>
    <t>Y01-811180</t>
  </si>
  <si>
    <t>Y01-811181</t>
  </si>
  <si>
    <t>Y01-811191</t>
  </si>
  <si>
    <t>Y01-811198</t>
  </si>
  <si>
    <t>Y01-811207</t>
  </si>
  <si>
    <t>Y01-811230</t>
  </si>
  <si>
    <t>Y01-811235</t>
  </si>
  <si>
    <t>Y01-811237</t>
  </si>
  <si>
    <t>Y01-811238</t>
  </si>
  <si>
    <t>Y01-811239</t>
  </si>
  <si>
    <t>Y01-811241</t>
  </si>
  <si>
    <t>Y10-916202</t>
  </si>
  <si>
    <t>Y11-983768</t>
  </si>
  <si>
    <t>Y11-983807</t>
  </si>
  <si>
    <t>C01-995745</t>
  </si>
  <si>
    <t>D00-1009707</t>
  </si>
  <si>
    <t>D00-1009708</t>
  </si>
  <si>
    <t>D00-1009709</t>
  </si>
  <si>
    <t>D00-1009733</t>
  </si>
  <si>
    <t>D00-1009825</t>
  </si>
  <si>
    <t>D00-1009891</t>
  </si>
  <si>
    <t>D00-1009985</t>
  </si>
  <si>
    <t>D70-1004291</t>
  </si>
  <si>
    <t>D70-1004333</t>
  </si>
  <si>
    <t>D70-1004334</t>
  </si>
  <si>
    <t>D70-1004365</t>
  </si>
  <si>
    <t>D70-1004368</t>
  </si>
  <si>
    <t>D70-1004380</t>
  </si>
  <si>
    <t>D70-1004410</t>
  </si>
  <si>
    <t>D70-1004606</t>
  </si>
  <si>
    <t>G11-993907</t>
  </si>
  <si>
    <t>G22-156224</t>
  </si>
  <si>
    <t>H00-1001118</t>
  </si>
  <si>
    <t>L00-1015828</t>
  </si>
  <si>
    <t>L00-1015844</t>
  </si>
  <si>
    <t>L00-1015869</t>
  </si>
  <si>
    <t>L00-1015907</t>
  </si>
  <si>
    <t>L00-1015946</t>
  </si>
  <si>
    <t>L00-1015956</t>
  </si>
  <si>
    <t>L00-1016014</t>
  </si>
  <si>
    <t>L00-1016092</t>
  </si>
  <si>
    <t>L00-1016105</t>
  </si>
  <si>
    <t>L00-1016108</t>
  </si>
  <si>
    <t>L00-1016133</t>
  </si>
  <si>
    <t>L00-1016163</t>
  </si>
  <si>
    <t>L00-1016779</t>
  </si>
  <si>
    <t>L00-1016820</t>
  </si>
  <si>
    <t>L06-994282</t>
  </si>
  <si>
    <t>L07-978241</t>
  </si>
  <si>
    <t>L07-978253</t>
  </si>
  <si>
    <t>L07-978254</t>
  </si>
  <si>
    <t>M05-1000818</t>
  </si>
  <si>
    <t>M11-919159</t>
  </si>
  <si>
    <t>M14-980699</t>
  </si>
  <si>
    <t>M14-980710</t>
  </si>
  <si>
    <t>P00-996060</t>
  </si>
  <si>
    <t>Q02-930441</t>
  </si>
  <si>
    <t>T00-999276</t>
  </si>
  <si>
    <t>Y00-1002057</t>
  </si>
  <si>
    <t>Y00-1002059</t>
  </si>
  <si>
    <t>Y01-811164</t>
  </si>
  <si>
    <t>Y01-811193</t>
  </si>
  <si>
    <t>C01-995732</t>
  </si>
  <si>
    <t>C01-995767</t>
  </si>
  <si>
    <t>D00-1009818</t>
  </si>
  <si>
    <t>D00-1009859</t>
  </si>
  <si>
    <t>D00-1009887</t>
  </si>
  <si>
    <t>D00-1009888</t>
  </si>
  <si>
    <t>D70-1004311</t>
  </si>
  <si>
    <t>D70-1004315</t>
  </si>
  <si>
    <t>D70-1004423</t>
  </si>
  <si>
    <t>D70-1004438</t>
  </si>
  <si>
    <t>F04-975851</t>
  </si>
  <si>
    <t>G00-996761</t>
  </si>
  <si>
    <t>G05-963877</t>
  </si>
  <si>
    <t>G05-963881</t>
  </si>
  <si>
    <t>G05-963890</t>
  </si>
  <si>
    <t>H01-993335</t>
  </si>
  <si>
    <t>L00-1015880</t>
  </si>
  <si>
    <t>L00-1015914</t>
  </si>
  <si>
    <t>L00-1015932</t>
  </si>
  <si>
    <t>L00-1015963</t>
  </si>
  <si>
    <t>L00-1015976</t>
  </si>
  <si>
    <t>L00-1015977</t>
  </si>
  <si>
    <t>L00-1015979</t>
  </si>
  <si>
    <t>L00-1015980</t>
  </si>
  <si>
    <t>L00-1016082</t>
  </si>
  <si>
    <t>L00-1016113</t>
  </si>
  <si>
    <t>L00-1016143</t>
  </si>
  <si>
    <t>L00-1016189</t>
  </si>
  <si>
    <t>L00-1016262</t>
  </si>
  <si>
    <t>L00-1016311</t>
  </si>
  <si>
    <t>L00-1016712</t>
  </si>
  <si>
    <t>L00-1017352</t>
  </si>
  <si>
    <t>L06-994206</t>
  </si>
  <si>
    <t>L06-994236</t>
  </si>
  <si>
    <t>L06-994237</t>
  </si>
  <si>
    <t>L06-994238</t>
  </si>
  <si>
    <t>L06-994241</t>
  </si>
  <si>
    <t>L06-994286</t>
  </si>
  <si>
    <t>L06-994305</t>
  </si>
  <si>
    <t>L06-994332</t>
  </si>
  <si>
    <t>L06-994333</t>
  </si>
  <si>
    <t>M05-1000819</t>
  </si>
  <si>
    <t>M05-1000820</t>
  </si>
  <si>
    <t>M05-1000821</t>
  </si>
  <si>
    <t>M05-1000822</t>
  </si>
  <si>
    <t>M05-1000823</t>
  </si>
  <si>
    <t>M05-1000824</t>
  </si>
  <si>
    <t>M05-1000825</t>
  </si>
  <si>
    <t>M05-1000826</t>
  </si>
  <si>
    <t>M05-1000827</t>
  </si>
  <si>
    <t>M05-1000839</t>
  </si>
  <si>
    <t>M05-1000840</t>
  </si>
  <si>
    <t>M05-1000903</t>
  </si>
  <si>
    <t>M05-1000905</t>
  </si>
  <si>
    <t>M20-1002396</t>
  </si>
  <si>
    <t>M20-1002406</t>
  </si>
  <si>
    <t>P00-996099</t>
  </si>
  <si>
    <t>P00-996104</t>
  </si>
  <si>
    <t>P01-998156</t>
  </si>
  <si>
    <t>Q00-999345</t>
  </si>
  <si>
    <t>Q00-999346</t>
  </si>
  <si>
    <t>Q00-999350</t>
  </si>
  <si>
    <t>Q00-999396</t>
  </si>
  <si>
    <t>Q00-999445</t>
  </si>
  <si>
    <t>Q02-930407</t>
  </si>
  <si>
    <t>Q02-930416</t>
  </si>
  <si>
    <t>Q02-930458</t>
  </si>
  <si>
    <t>Q02-930552</t>
  </si>
  <si>
    <t>T00-999260</t>
  </si>
  <si>
    <t>T00-999261</t>
  </si>
  <si>
    <t>T00-999269</t>
  </si>
  <si>
    <t>T03-999836</t>
  </si>
  <si>
    <t>Y00-1002035</t>
  </si>
  <si>
    <t>C00-999301</t>
  </si>
  <si>
    <t>D00-1009797</t>
  </si>
  <si>
    <t>D00-1009803</t>
  </si>
  <si>
    <t>D00-1009822</t>
  </si>
  <si>
    <t>D00-1009826</t>
  </si>
  <si>
    <t>D00-1009833</t>
  </si>
  <si>
    <t>D00-1010004</t>
  </si>
  <si>
    <t>D00-1010052</t>
  </si>
  <si>
    <t>D00-1010285</t>
  </si>
  <si>
    <t>D00-1010313</t>
  </si>
  <si>
    <t>D70-1004283</t>
  </si>
  <si>
    <t>D70-1004331</t>
  </si>
  <si>
    <t>D70-1004335</t>
  </si>
  <si>
    <t>D70-1004345</t>
  </si>
  <si>
    <t>D70-1004352</t>
  </si>
  <si>
    <t>D70-1004375</t>
  </si>
  <si>
    <t>D70-1004376</t>
  </si>
  <si>
    <t>E00-996366</t>
  </si>
  <si>
    <t>G11-993938</t>
  </si>
  <si>
    <t>H00-1001081</t>
  </si>
  <si>
    <t>H00-1001087</t>
  </si>
  <si>
    <t>H00-1001100</t>
  </si>
  <si>
    <t>H00-1001105</t>
  </si>
  <si>
    <t>H00-1001109</t>
  </si>
  <si>
    <t>H00-1001171</t>
  </si>
  <si>
    <t>H00-1001227</t>
  </si>
  <si>
    <t>H01-993344</t>
  </si>
  <si>
    <t>L00-1015919</t>
  </si>
  <si>
    <t>L00-1015973</t>
  </si>
  <si>
    <t>L00-1016046</t>
  </si>
  <si>
    <t>L00-1016181</t>
  </si>
  <si>
    <t>L00-1016758</t>
  </si>
  <si>
    <t>L01-999314</t>
  </si>
  <si>
    <t>L01-999315</t>
  </si>
  <si>
    <t>L01-999326</t>
  </si>
  <si>
    <t>L01-999382</t>
  </si>
  <si>
    <t>L01-999383</t>
  </si>
  <si>
    <t>L06-994251</t>
  </si>
  <si>
    <t>L06-994253</t>
  </si>
  <si>
    <t>L06-994291</t>
  </si>
  <si>
    <t>L06-994300</t>
  </si>
  <si>
    <t>L06-994426</t>
  </si>
  <si>
    <t>L07-978245</t>
  </si>
  <si>
    <t>M00-999961</t>
  </si>
  <si>
    <t>M00-999963</t>
  </si>
  <si>
    <t>M00-999989</t>
  </si>
  <si>
    <t>M05-1000877</t>
  </si>
  <si>
    <t>M14-980757</t>
  </si>
  <si>
    <t>MS1-999171</t>
  </si>
  <si>
    <t>MS1-999210</t>
  </si>
  <si>
    <t>P01-998191</t>
  </si>
  <si>
    <t>Q00-999387</t>
  </si>
  <si>
    <t>Q02-930431</t>
  </si>
  <si>
    <t>T00-999271</t>
  </si>
  <si>
    <t>T02-998297</t>
  </si>
  <si>
    <t>T03-999837</t>
  </si>
  <si>
    <t>Y00-1002011</t>
  </si>
  <si>
    <t>Y00-1002031</t>
  </si>
  <si>
    <t>Y00-1002037</t>
  </si>
  <si>
    <t>C00-999290</t>
  </si>
  <si>
    <t>C00-999298</t>
  </si>
  <si>
    <t>D00-1009758</t>
  </si>
  <si>
    <t>D00-1009838</t>
  </si>
  <si>
    <t>D00-1009886</t>
  </si>
  <si>
    <t>D00-1009903</t>
  </si>
  <si>
    <t>D70-1004319</t>
  </si>
  <si>
    <t>E01-636188</t>
  </si>
  <si>
    <t>F04-975921</t>
  </si>
  <si>
    <t>F04-976005</t>
  </si>
  <si>
    <t>G05-963868</t>
  </si>
  <si>
    <t>G05-963870</t>
  </si>
  <si>
    <t>G05-963871</t>
  </si>
  <si>
    <t>G05-963873</t>
  </si>
  <si>
    <t>L00-1015913</t>
  </si>
  <si>
    <t>L00-1015915</t>
  </si>
  <si>
    <t>L00-1015928</t>
  </si>
  <si>
    <t>L00-1015960</t>
  </si>
  <si>
    <t>L00-1015972</t>
  </si>
  <si>
    <t>L00-1016142</t>
  </si>
  <si>
    <t>L00-1016180</t>
  </si>
  <si>
    <t>L00-1016259</t>
  </si>
  <si>
    <t>L00-1016277</t>
  </si>
  <si>
    <t>L00-1016324</t>
  </si>
  <si>
    <t>L00-1016709</t>
  </si>
  <si>
    <t>L00-1016715</t>
  </si>
  <si>
    <t>L00-1017407</t>
  </si>
  <si>
    <t>L01-999302</t>
  </si>
  <si>
    <t>L01-999332</t>
  </si>
  <si>
    <t>L01-999334</t>
  </si>
  <si>
    <t>L01-999380</t>
  </si>
  <si>
    <t>L06-994201</t>
  </si>
  <si>
    <t>L06-994229</t>
  </si>
  <si>
    <t>L06-994278</t>
  </si>
  <si>
    <t>L06-994284</t>
  </si>
  <si>
    <t>L06-994287</t>
  </si>
  <si>
    <t>L06-994290</t>
  </si>
  <si>
    <t>L06-994319</t>
  </si>
  <si>
    <t>L06-994342</t>
  </si>
  <si>
    <t>L06-994417</t>
  </si>
  <si>
    <t>L06-994429</t>
  </si>
  <si>
    <t>L07-978231</t>
  </si>
  <si>
    <t>M00-999959</t>
  </si>
  <si>
    <t>M00-999967</t>
  </si>
  <si>
    <t>M00-999981</t>
  </si>
  <si>
    <t>M05-1000815</t>
  </si>
  <si>
    <t>M05-1000842</t>
  </si>
  <si>
    <t>M11-919217</t>
  </si>
  <si>
    <t>M14-980715</t>
  </si>
  <si>
    <t>M14-980758</t>
  </si>
  <si>
    <t>M20-1002404</t>
  </si>
  <si>
    <t>M20-1002500</t>
  </si>
  <si>
    <t>P06-997036</t>
  </si>
  <si>
    <t>Q00-999353</t>
  </si>
  <si>
    <t>Q00-999354</t>
  </si>
  <si>
    <t>Q00-999356</t>
  </si>
  <si>
    <t>Q00-999385</t>
  </si>
  <si>
    <t>Q00-999386</t>
  </si>
  <si>
    <t>Q02-930420</t>
  </si>
  <si>
    <t>Q02-930445</t>
  </si>
  <si>
    <t>Q02-930469</t>
  </si>
  <si>
    <t>Q02-930481</t>
  </si>
  <si>
    <t>T02-998298</t>
  </si>
  <si>
    <t>Y00-1002014</t>
  </si>
  <si>
    <t>Y00-1002028</t>
  </si>
  <si>
    <t>Y00-1002202</t>
  </si>
  <si>
    <t>Y01-811175</t>
  </si>
  <si>
    <t>D00-1009729</t>
  </si>
  <si>
    <t>D00-1009734</t>
  </si>
  <si>
    <t>D00-1009783</t>
  </si>
  <si>
    <t>D00-1009843</t>
  </si>
  <si>
    <t>D00-1009882</t>
  </si>
  <si>
    <t>D00-1009898</t>
  </si>
  <si>
    <t>D00-1010308</t>
  </si>
  <si>
    <t>D00-1010318</t>
  </si>
  <si>
    <t>D70-1004296</t>
  </si>
  <si>
    <t>D70-1004316</t>
  </si>
  <si>
    <t>D70-1004317</t>
  </si>
  <si>
    <t>D70-1004320</t>
  </si>
  <si>
    <t>D70-1004327</t>
  </si>
  <si>
    <t>D70-1004343</t>
  </si>
  <si>
    <t>D70-1004361</t>
  </si>
  <si>
    <t>D70-1004372</t>
  </si>
  <si>
    <t>D70-1004591</t>
  </si>
  <si>
    <t>D70-1004727</t>
  </si>
  <si>
    <t>G00-996774</t>
  </si>
  <si>
    <t>G00-996775</t>
  </si>
  <si>
    <t>G00-996776</t>
  </si>
  <si>
    <t>G00-996783</t>
  </si>
  <si>
    <t>G00-996787</t>
  </si>
  <si>
    <t>G00-996793</t>
  </si>
  <si>
    <t>G00-996794</t>
  </si>
  <si>
    <t>G00-996875</t>
  </si>
  <si>
    <t>H00-1001219</t>
  </si>
  <si>
    <t>H00-1001223</t>
  </si>
  <si>
    <t>H01-993330</t>
  </si>
  <si>
    <t>H01-993369</t>
  </si>
  <si>
    <t>L00-1015838</t>
  </si>
  <si>
    <t>L00-1015889</t>
  </si>
  <si>
    <t>L00-1016056</t>
  </si>
  <si>
    <t>L00-1016095</t>
  </si>
  <si>
    <t>L00-1016173</t>
  </si>
  <si>
    <t>L00-1016187</t>
  </si>
  <si>
    <t>L00-1016194</t>
  </si>
  <si>
    <t>L00-1017273</t>
  </si>
  <si>
    <t>L01-999292</t>
  </si>
  <si>
    <t>L01-999320</t>
  </si>
  <si>
    <t>L06-994223</t>
  </si>
  <si>
    <t>L06-994269</t>
  </si>
  <si>
    <t>L06-994423</t>
  </si>
  <si>
    <t>L06-994435</t>
  </si>
  <si>
    <t>L07-978256</t>
  </si>
  <si>
    <t>M05-1000841</t>
  </si>
  <si>
    <t>M05-1000884</t>
  </si>
  <si>
    <t>M14-980719</t>
  </si>
  <si>
    <t>M20-1002419</t>
  </si>
  <si>
    <t>M20-1002496</t>
  </si>
  <si>
    <t>MC1-998629</t>
  </si>
  <si>
    <t>P00-996052</t>
  </si>
  <si>
    <t>P00-996059</t>
  </si>
  <si>
    <t>P00-996062</t>
  </si>
  <si>
    <t>P00-996082</t>
  </si>
  <si>
    <t>P00-996353</t>
  </si>
  <si>
    <t>Q00-999359</t>
  </si>
  <si>
    <t>Q00-999375</t>
  </si>
  <si>
    <t>Q02-930417</t>
  </si>
  <si>
    <t>Q02-930442</t>
  </si>
  <si>
    <t>Q02-930471</t>
  </si>
  <si>
    <t>Q02-930474</t>
  </si>
  <si>
    <t>Q02-930486</t>
  </si>
  <si>
    <t>T00-999256</t>
  </si>
  <si>
    <t>Y00-1002064</t>
  </si>
  <si>
    <t>Y01-811171</t>
  </si>
  <si>
    <t>Y01-811188</t>
  </si>
  <si>
    <t>Y01-811209</t>
  </si>
  <si>
    <t>Y01-811234</t>
  </si>
  <si>
    <t>Y10-916204</t>
  </si>
  <si>
    <t>Y11-983775</t>
  </si>
  <si>
    <t>C00-999275</t>
  </si>
  <si>
    <t>C00-999281</t>
  </si>
  <si>
    <t>C00-999318</t>
  </si>
  <si>
    <t>C01-995753</t>
  </si>
  <si>
    <t>D00-1009800</t>
  </si>
  <si>
    <t>D00-1009804</t>
  </si>
  <si>
    <t>D00-1009844</t>
  </si>
  <si>
    <t>D00-1009861</t>
  </si>
  <si>
    <t>D70-1004387</t>
  </si>
  <si>
    <t>F04-975845</t>
  </si>
  <si>
    <t>F04-975862</t>
  </si>
  <si>
    <t>G00-996751</t>
  </si>
  <si>
    <t>G00-996753</t>
  </si>
  <si>
    <t>G00-996768</t>
  </si>
  <si>
    <t>G00-996790</t>
  </si>
  <si>
    <t>G00-996791</t>
  </si>
  <si>
    <t>G00-996798</t>
  </si>
  <si>
    <t>G00-996799</t>
  </si>
  <si>
    <t>G00-996800</t>
  </si>
  <si>
    <t>G00-996801</t>
  </si>
  <si>
    <t>G00-996802</t>
  </si>
  <si>
    <t>G00-996803</t>
  </si>
  <si>
    <t>G00-996805</t>
  </si>
  <si>
    <t>H00-1001177</t>
  </si>
  <si>
    <t>L00-1015881</t>
  </si>
  <si>
    <t>L00-1015884</t>
  </si>
  <si>
    <t>L00-1015886</t>
  </si>
  <si>
    <t>L00-1015917</t>
  </si>
  <si>
    <t>L00-1015967</t>
  </si>
  <si>
    <t>L00-1016011</t>
  </si>
  <si>
    <t>L00-1016089</t>
  </si>
  <si>
    <t>L00-1016090</t>
  </si>
  <si>
    <t>L00-1016166</t>
  </si>
  <si>
    <t>L00-1016167</t>
  </si>
  <si>
    <t>L00-1016185</t>
  </si>
  <si>
    <t>L00-1016714</t>
  </si>
  <si>
    <t>L00-1017285</t>
  </si>
  <si>
    <t>L00-1017287</t>
  </si>
  <si>
    <t>L00-1017337</t>
  </si>
  <si>
    <t>L00-1017349</t>
  </si>
  <si>
    <t>L01-999299</t>
  </si>
  <si>
    <t>L06-994224</t>
  </si>
  <si>
    <t>L06-994258</t>
  </si>
  <si>
    <t>L06-994261</t>
  </si>
  <si>
    <t>L06-994428</t>
  </si>
  <si>
    <t>L06-994511</t>
  </si>
  <si>
    <t>M00-999947</t>
  </si>
  <si>
    <t>M00-999951</t>
  </si>
  <si>
    <t>M00-999957</t>
  </si>
  <si>
    <t>M00-999958</t>
  </si>
  <si>
    <t>M00-999964</t>
  </si>
  <si>
    <t>M00-1000025</t>
  </si>
  <si>
    <t>M00-1000028</t>
  </si>
  <si>
    <t>M05-1000828</t>
  </si>
  <si>
    <t>M14-980703</t>
  </si>
  <si>
    <t>M14-980706</t>
  </si>
  <si>
    <t>M14-980724</t>
  </si>
  <si>
    <t>M14-980731</t>
  </si>
  <si>
    <t>M14-980755</t>
  </si>
  <si>
    <t>M17-582304</t>
  </si>
  <si>
    <t>M17-582305</t>
  </si>
  <si>
    <t>M17-582308</t>
  </si>
  <si>
    <t>M20-1002379</t>
  </si>
  <si>
    <t>M20-1002385</t>
  </si>
  <si>
    <t>M20-1002494</t>
  </si>
  <si>
    <t>M25-848857</t>
  </si>
  <si>
    <t>MC1-998619</t>
  </si>
  <si>
    <t>MS5-913846</t>
  </si>
  <si>
    <t>P00-996068</t>
  </si>
  <si>
    <t>P00-996174</t>
  </si>
  <si>
    <t>P00-996175</t>
  </si>
  <si>
    <t>P01-998142</t>
  </si>
  <si>
    <t>P06-997035</t>
  </si>
  <si>
    <t>Q00-999377</t>
  </si>
  <si>
    <t>Q00-999446</t>
  </si>
  <si>
    <t>Q02-930429</t>
  </si>
  <si>
    <t>Q02-930455</t>
  </si>
  <si>
    <t>Q02-930477</t>
  </si>
  <si>
    <t>T00-999252</t>
  </si>
  <si>
    <t>T00-999273</t>
  </si>
  <si>
    <t>T00-999277</t>
  </si>
  <si>
    <t>Y00-1002006</t>
  </si>
  <si>
    <t>Y00-1002046</t>
  </si>
  <si>
    <t>Y00-1002052</t>
  </si>
  <si>
    <t>Y00-1002087</t>
  </si>
  <si>
    <t>Y17-862318</t>
  </si>
  <si>
    <t>C00-999282</t>
  </si>
  <si>
    <t>C01-995747</t>
  </si>
  <si>
    <t>C01-995754</t>
  </si>
  <si>
    <t>D00-1009829</t>
  </si>
  <si>
    <t>D00-1010765</t>
  </si>
  <si>
    <t>D70-1004288</t>
  </si>
  <si>
    <t>D70-1004306</t>
  </si>
  <si>
    <t>D70-1004323</t>
  </si>
  <si>
    <t>D70-1004337</t>
  </si>
  <si>
    <t>D70-1004348</t>
  </si>
  <si>
    <t>D70-1004358</t>
  </si>
  <si>
    <t>D70-1004430</t>
  </si>
  <si>
    <t>F02-996506</t>
  </si>
  <si>
    <t>F02-996518</t>
  </si>
  <si>
    <t>F02-996588</t>
  </si>
  <si>
    <t>F04-975838</t>
  </si>
  <si>
    <t>F14-102144</t>
  </si>
  <si>
    <t>G00-996764</t>
  </si>
  <si>
    <t>G00-996766</t>
  </si>
  <si>
    <t>G05-963878</t>
  </si>
  <si>
    <t>G05-963879</t>
  </si>
  <si>
    <t>G05-963932</t>
  </si>
  <si>
    <t>H00-1001083</t>
  </si>
  <si>
    <t>H00-1001111</t>
  </si>
  <si>
    <t>L00-1015846</t>
  </si>
  <si>
    <t>L00-1015855</t>
  </si>
  <si>
    <t>L00-1015866</t>
  </si>
  <si>
    <t>L00-1016024</t>
  </si>
  <si>
    <t>L00-1016027</t>
  </si>
  <si>
    <t>L00-1016050</t>
  </si>
  <si>
    <t>L00-1016054</t>
  </si>
  <si>
    <t>L00-1016073</t>
  </si>
  <si>
    <t>L00-1016708</t>
  </si>
  <si>
    <t>L00-1016741</t>
  </si>
  <si>
    <t>L00-1016763</t>
  </si>
  <si>
    <t>L00-1016765</t>
  </si>
  <si>
    <t>L00-1016768</t>
  </si>
  <si>
    <t>L00-1016776</t>
  </si>
  <si>
    <t>L00-1016777</t>
  </si>
  <si>
    <t>L00-1016789</t>
  </si>
  <si>
    <t>L00-1016790</t>
  </si>
  <si>
    <t>L00-1017263</t>
  </si>
  <si>
    <t>L00-1017305</t>
  </si>
  <si>
    <t>L01-999293</t>
  </si>
  <si>
    <t>L01-999294</t>
  </si>
  <si>
    <t>L01-999313</t>
  </si>
  <si>
    <t>L06-994216</t>
  </si>
  <si>
    <t>L06-994221</t>
  </si>
  <si>
    <t>L06-994228</t>
  </si>
  <si>
    <t>L06-994298</t>
  </si>
  <si>
    <t>L06-994317</t>
  </si>
  <si>
    <t>L06-994318</t>
  </si>
  <si>
    <t>L12-370239</t>
  </si>
  <si>
    <t>M00-999987</t>
  </si>
  <si>
    <t>M14-980726</t>
  </si>
  <si>
    <t>M14-980756</t>
  </si>
  <si>
    <t>M14-980759</t>
  </si>
  <si>
    <t>M20-1002377</t>
  </si>
  <si>
    <t>M20-1002378</t>
  </si>
  <si>
    <t>P00-996071</t>
  </si>
  <si>
    <t>P00-996072</t>
  </si>
  <si>
    <t>P00-996073</t>
  </si>
  <si>
    <t>P00-996095</t>
  </si>
  <si>
    <t>P00-996170</t>
  </si>
  <si>
    <t>P07-995042</t>
  </si>
  <si>
    <t>P07-995044</t>
  </si>
  <si>
    <t>P07-995084</t>
  </si>
  <si>
    <t>P07-995085</t>
  </si>
  <si>
    <t>Q00-999443</t>
  </si>
  <si>
    <t>Q00-999444</t>
  </si>
  <si>
    <t>Q02-930401</t>
  </si>
  <si>
    <t>Y01-811231</t>
  </si>
  <si>
    <t>Y02-993428</t>
  </si>
  <si>
    <t>Y17-862316</t>
  </si>
  <si>
    <t>Y17-862319</t>
  </si>
  <si>
    <t>C00-999302</t>
  </si>
  <si>
    <t>C01-995765</t>
  </si>
  <si>
    <t>D00-1009710</t>
  </si>
  <si>
    <t>D00-1009827</t>
  </si>
  <si>
    <t>D00-1009842</t>
  </si>
  <si>
    <t>D00-1009868</t>
  </si>
  <si>
    <t>D00-1009908</t>
  </si>
  <si>
    <t>D70-1004293</t>
  </si>
  <si>
    <t>D70-1004321</t>
  </si>
  <si>
    <t>D70-1004389</t>
  </si>
  <si>
    <t>G00-996746</t>
  </si>
  <si>
    <t>G00-996777</t>
  </si>
  <si>
    <t>G00-996836</t>
  </si>
  <si>
    <t>H00-1001094</t>
  </si>
  <si>
    <t>H00-1001099</t>
  </si>
  <si>
    <t>H01-993339</t>
  </si>
  <si>
    <t>H01-993365</t>
  </si>
  <si>
    <t>L00-1015832</t>
  </si>
  <si>
    <t>L00-1015850</t>
  </si>
  <si>
    <t>L00-1015879</t>
  </si>
  <si>
    <t>L00-1015897</t>
  </si>
  <si>
    <t>L00-1015927</t>
  </si>
  <si>
    <t>L00-1015929</t>
  </si>
  <si>
    <t>L00-1015930</t>
  </si>
  <si>
    <t>L00-1015935</t>
  </si>
  <si>
    <t>L00-1015940</t>
  </si>
  <si>
    <t>L00-1015948</t>
  </si>
  <si>
    <t>L00-1015952</t>
  </si>
  <si>
    <t>L00-1015968</t>
  </si>
  <si>
    <t>L00-1015970</t>
  </si>
  <si>
    <t>L00-1015981</t>
  </si>
  <si>
    <t>L00-1016008</t>
  </si>
  <si>
    <t>L00-1016009</t>
  </si>
  <si>
    <t>L00-1016010</t>
  </si>
  <si>
    <t>L00-1016012</t>
  </si>
  <si>
    <t>L00-1016013</t>
  </si>
  <si>
    <t>L00-1016023</t>
  </si>
  <si>
    <t>L00-1016093</t>
  </si>
  <si>
    <t>L00-1016162</t>
  </si>
  <si>
    <t>L00-1016205</t>
  </si>
  <si>
    <t>L00-1016263</t>
  </si>
  <si>
    <t>L00-1016270</t>
  </si>
  <si>
    <t>L00-1016276</t>
  </si>
  <si>
    <t>L00-1016292</t>
  </si>
  <si>
    <t>L00-1016332</t>
  </si>
  <si>
    <t>L00-1016747</t>
  </si>
  <si>
    <t>L06-994209</t>
  </si>
  <si>
    <t>L06-994227</t>
  </si>
  <si>
    <t>L06-994239</t>
  </si>
  <si>
    <t>L06-994266</t>
  </si>
  <si>
    <t>L06-994517</t>
  </si>
  <si>
    <t>M00-999965</t>
  </si>
  <si>
    <t>M05-1000836</t>
  </si>
  <si>
    <t>M05-1000843</t>
  </si>
  <si>
    <t>M14-980717</t>
  </si>
  <si>
    <t>M20-1002375</t>
  </si>
  <si>
    <t>M20-1002402</t>
  </si>
  <si>
    <t>M20-1002572</t>
  </si>
  <si>
    <t>MC1-998620</t>
  </si>
  <si>
    <t>MH0-582238</t>
  </si>
  <si>
    <t>ML0-226219</t>
  </si>
  <si>
    <t>P07-995049</t>
  </si>
  <si>
    <t>P07-995050</t>
  </si>
  <si>
    <t>P12-759</t>
  </si>
  <si>
    <t>Q00-999363</t>
  </si>
  <si>
    <t>Q02-930408</t>
  </si>
  <si>
    <t>Q02-930459</t>
  </si>
  <si>
    <t>Q02-930464</t>
  </si>
  <si>
    <t>T00-999262</t>
  </si>
  <si>
    <t>Y00-1002017</t>
  </si>
  <si>
    <t>Y00-1002018</t>
  </si>
  <si>
    <t>Y00-1002040</t>
  </si>
  <si>
    <t>Y00-1002047</t>
  </si>
  <si>
    <t>Y00-1002092</t>
  </si>
  <si>
    <t>Y00-1002193</t>
  </si>
  <si>
    <t>Y01-811194</t>
  </si>
  <si>
    <t>Y11-983769</t>
  </si>
  <si>
    <t>Y15-212167</t>
  </si>
  <si>
    <t>C01-995816</t>
  </si>
  <si>
    <t>C16-806653</t>
  </si>
  <si>
    <t>D00-1009845</t>
  </si>
  <si>
    <t>D00-1009866</t>
  </si>
  <si>
    <t>D70-1004300</t>
  </si>
  <si>
    <t>D70-1004301</t>
  </si>
  <si>
    <t>D70-1004369</t>
  </si>
  <si>
    <t>F04-975816</t>
  </si>
  <si>
    <t>F04-975835</t>
  </si>
  <si>
    <t>F04-975848</t>
  </si>
  <si>
    <t>L00-1015887</t>
  </si>
  <si>
    <t>L00-1016047</t>
  </si>
  <si>
    <t>L00-1016061</t>
  </si>
  <si>
    <t>L00-1016771</t>
  </si>
  <si>
    <t>L00-1016780</t>
  </si>
  <si>
    <t>L00-1016828</t>
  </si>
  <si>
    <t>L01-999301</t>
  </si>
  <si>
    <t>L06-994205</t>
  </si>
  <si>
    <t>L06-994208</t>
  </si>
  <si>
    <t>L06-994320</t>
  </si>
  <si>
    <t>L07-978257</t>
  </si>
  <si>
    <t>M05-1000833</t>
  </si>
  <si>
    <t>Q02-930406</t>
  </si>
  <si>
    <t>Y00-1002012</t>
  </si>
  <si>
    <t>Y01-811182</t>
  </si>
  <si>
    <t>D00-1009909</t>
  </si>
  <si>
    <t>D70-1004385</t>
  </si>
  <si>
    <t>L00-1015921</t>
  </si>
  <si>
    <t>L00-1016025</t>
  </si>
  <si>
    <t>L00-1016085</t>
  </si>
  <si>
    <t>L00-1016137</t>
  </si>
  <si>
    <t>L00-1016139</t>
  </si>
  <si>
    <t>L00-1016152</t>
  </si>
  <si>
    <t>L00-1016278</t>
  </si>
  <si>
    <t>L07-978251</t>
  </si>
  <si>
    <t>P00-996063</t>
  </si>
  <si>
    <t>T02-998330</t>
  </si>
  <si>
    <t>Y01-811172</t>
  </si>
  <si>
    <t>C00-999294</t>
  </si>
  <si>
    <t>C01-995750</t>
  </si>
  <si>
    <t>D00-1009794</t>
  </si>
  <si>
    <t>D00-1009812</t>
  </si>
  <si>
    <t>D00-1009816</t>
  </si>
  <si>
    <t>D00-1009828</t>
  </si>
  <si>
    <t>D00-1009890</t>
  </si>
  <si>
    <t>D00-1009906</t>
  </si>
  <si>
    <t>D00-1009917</t>
  </si>
  <si>
    <t>D00-1009918</t>
  </si>
  <si>
    <t>D00-1009921</t>
  </si>
  <si>
    <t>D00-1010002</t>
  </si>
  <si>
    <t>D70-1004284</t>
  </si>
  <si>
    <t>D70-1004318</t>
  </si>
  <si>
    <t>D70-1004330</t>
  </si>
  <si>
    <t>D70-1004579</t>
  </si>
  <si>
    <t>F02-996508</t>
  </si>
  <si>
    <t>F02-996516</t>
  </si>
  <si>
    <t>H00-1001112</t>
  </si>
  <si>
    <t>L00-1015923</t>
  </si>
  <si>
    <t>L00-1015924</t>
  </si>
  <si>
    <t>L00-1015965</t>
  </si>
  <si>
    <t>L00-1016066</t>
  </si>
  <si>
    <t>L00-1016128</t>
  </si>
  <si>
    <t>L00-1016291</t>
  </si>
  <si>
    <t>L00-1016744</t>
  </si>
  <si>
    <t>L00-1016760</t>
  </si>
  <si>
    <t>L00-1016781</t>
  </si>
  <si>
    <t>L00-1016785</t>
  </si>
  <si>
    <t>L06-994240</t>
  </si>
  <si>
    <t>L06-994506</t>
  </si>
  <si>
    <t>L06-994523</t>
  </si>
  <si>
    <t>L07-978320</t>
  </si>
  <si>
    <t>M14-980732</t>
  </si>
  <si>
    <t>M20-1002392</t>
  </si>
  <si>
    <t>M20-1002417</t>
  </si>
  <si>
    <t>M20-1002424</t>
  </si>
  <si>
    <t>P01-998146</t>
  </si>
  <si>
    <t>P01-998159</t>
  </si>
  <si>
    <t>P07-995047</t>
  </si>
  <si>
    <t>Y00-1002023</t>
  </si>
  <si>
    <t>Y00-1002026</t>
  </si>
  <si>
    <t>Y00-1002067</t>
  </si>
  <si>
    <t>Y00-1002205</t>
  </si>
  <si>
    <t>Y01-811173</t>
  </si>
  <si>
    <t>Y11-983770</t>
  </si>
  <si>
    <t>C00-999292</t>
  </si>
  <si>
    <t>D00-1009839</t>
  </si>
  <si>
    <t>D00-1010707</t>
  </si>
  <si>
    <t>D70-1004367</t>
  </si>
  <si>
    <t>D70-1004392</t>
  </si>
  <si>
    <t>D70-1004396</t>
  </si>
  <si>
    <t>D70-1004565</t>
  </si>
  <si>
    <t>D70-1004569</t>
  </si>
  <si>
    <t>F04-975828</t>
  </si>
  <si>
    <t>G00-996760</t>
  </si>
  <si>
    <t>G11-993897</t>
  </si>
  <si>
    <t>L00-1015876</t>
  </si>
  <si>
    <t>L00-1015877</t>
  </si>
  <si>
    <t>L00-1016017</t>
  </si>
  <si>
    <t>L00-1016021</t>
  </si>
  <si>
    <t>L00-1016026</t>
  </si>
  <si>
    <t>L00-1016049</t>
  </si>
  <si>
    <t>L00-1016059</t>
  </si>
  <si>
    <t>L00-1016097</t>
  </si>
  <si>
    <t>L00-1016103</t>
  </si>
  <si>
    <t>L00-1016106</t>
  </si>
  <si>
    <t>L00-1016107</t>
  </si>
  <si>
    <t>L00-1016114</t>
  </si>
  <si>
    <t>L00-1016136</t>
  </si>
  <si>
    <t>L00-1016150</t>
  </si>
  <si>
    <t>L00-1016168</t>
  </si>
  <si>
    <t>L00-1016170</t>
  </si>
  <si>
    <t>L00-1016172</t>
  </si>
  <si>
    <t>L00-1016182</t>
  </si>
  <si>
    <t>L00-1016274</t>
  </si>
  <si>
    <t>L00-1016284</t>
  </si>
  <si>
    <t>L00-1016319</t>
  </si>
  <si>
    <t>L00-1016731</t>
  </si>
  <si>
    <t>L00-1016742</t>
  </si>
  <si>
    <t>L00-1016766</t>
  </si>
  <si>
    <t>L00-1016778</t>
  </si>
  <si>
    <t>L00-1016823</t>
  </si>
  <si>
    <t>L01-999310</t>
  </si>
  <si>
    <t>L06-994272</t>
  </si>
  <si>
    <t>L06-994283</t>
  </si>
  <si>
    <t>L06-994510</t>
  </si>
  <si>
    <t>M00-999950</t>
  </si>
  <si>
    <t>M00-999954</t>
  </si>
  <si>
    <t>M14-980700</t>
  </si>
  <si>
    <t>M20-1002397</t>
  </si>
  <si>
    <t>M20-1002497</t>
  </si>
  <si>
    <t>MS5-913849</t>
  </si>
  <si>
    <t>P12-763</t>
  </si>
  <si>
    <t>Q00-999349</t>
  </si>
  <si>
    <t>Q00-999378</t>
  </si>
  <si>
    <t>Q02-930421</t>
  </si>
  <si>
    <t>Y00-1002010</t>
  </si>
  <si>
    <t>Y01-811232</t>
  </si>
  <si>
    <t>Y02-993421</t>
  </si>
  <si>
    <t>Y02-993422</t>
  </si>
  <si>
    <t>Y02-993423</t>
  </si>
  <si>
    <t>C00-999278</t>
  </si>
  <si>
    <t>C00-999284</t>
  </si>
  <si>
    <t>C00-999300</t>
  </si>
  <si>
    <t>C00-999303</t>
  </si>
  <si>
    <t>C00-999304</t>
  </si>
  <si>
    <t>C00-999305</t>
  </si>
  <si>
    <t>C00-999307</t>
  </si>
  <si>
    <t>C00-999308</t>
  </si>
  <si>
    <t>C00-999356</t>
  </si>
  <si>
    <t>C00-999410</t>
  </si>
  <si>
    <t>C00-999411</t>
  </si>
  <si>
    <t>C01-995755</t>
  </si>
  <si>
    <t>D00-1009730</t>
  </si>
  <si>
    <t>D00-1009782</t>
  </si>
  <si>
    <t>D00-1009814</t>
  </si>
  <si>
    <t>D00-1009893</t>
  </si>
  <si>
    <t>D70-1004307</t>
  </si>
  <si>
    <t>F02-996507</t>
  </si>
  <si>
    <t>F02-996509</t>
  </si>
  <si>
    <t>F02-996547</t>
  </si>
  <si>
    <t>F02-996577</t>
  </si>
  <si>
    <t>F04-975861</t>
  </si>
  <si>
    <t>G11-993899</t>
  </si>
  <si>
    <t>H00-1001107</t>
  </si>
  <si>
    <t>H00-1001222</t>
  </si>
  <si>
    <t>H01-993336</t>
  </si>
  <si>
    <t>L00-1015851</t>
  </si>
  <si>
    <t>L00-1015856</t>
  </si>
  <si>
    <t>L00-1015858</t>
  </si>
  <si>
    <t>L00-1015861</t>
  </si>
  <si>
    <t>L00-1015892</t>
  </si>
  <si>
    <t>L00-1015947</t>
  </si>
  <si>
    <t>L00-1015982</t>
  </si>
  <si>
    <t>L00-1016015</t>
  </si>
  <si>
    <t>L00-1016048</t>
  </si>
  <si>
    <t>L00-1016158</t>
  </si>
  <si>
    <t>L00-1016191</t>
  </si>
  <si>
    <t>L00-1016232</t>
  </si>
  <si>
    <t>L00-1016239</t>
  </si>
  <si>
    <t>L00-1016791</t>
  </si>
  <si>
    <t>L00-1016824</t>
  </si>
  <si>
    <t>L01-999384</t>
  </si>
  <si>
    <t>L01-999385</t>
  </si>
  <si>
    <t>L07-978243</t>
  </si>
  <si>
    <t>L07-978269</t>
  </si>
  <si>
    <t>M00-999952</t>
  </si>
  <si>
    <t>M00-999955</t>
  </si>
  <si>
    <t>M00-999970</t>
  </si>
  <si>
    <t>M00-999980</t>
  </si>
  <si>
    <t>M00-999988</t>
  </si>
  <si>
    <t>M00-1000026</t>
  </si>
  <si>
    <t>M11-919248</t>
  </si>
  <si>
    <t>M20-1002387</t>
  </si>
  <si>
    <t>M20-1002403</t>
  </si>
  <si>
    <t>M20-1002412</t>
  </si>
  <si>
    <t>M20-1002493</t>
  </si>
  <si>
    <t>M20-1002565</t>
  </si>
  <si>
    <t>MC1-998626</t>
  </si>
  <si>
    <t>MC1-998627</t>
  </si>
  <si>
    <t>MC1-998686</t>
  </si>
  <si>
    <t>MC1-998687</t>
  </si>
  <si>
    <t>P00-996075</t>
  </si>
  <si>
    <t>P00-996107</t>
  </si>
  <si>
    <t>Q00-999344</t>
  </si>
  <si>
    <t>Q00-999398</t>
  </si>
  <si>
    <t>Q00-999442</t>
  </si>
  <si>
    <t>Q02-930398</t>
  </si>
  <si>
    <t>T00-999272</t>
  </si>
  <si>
    <t>Y00-1002021</t>
  </si>
  <si>
    <t>Y00-1002027</t>
  </si>
  <si>
    <t>Y00-1002058</t>
  </si>
  <si>
    <t>Y02-993424</t>
  </si>
  <si>
    <t>D00-1009711</t>
  </si>
  <si>
    <t>D00-1009869</t>
  </si>
  <si>
    <t>D70-1004386</t>
  </si>
  <si>
    <t>D70-1004586</t>
  </si>
  <si>
    <t>F02-996575</t>
  </si>
  <si>
    <t>F10-996368</t>
  </si>
  <si>
    <t>G00-996767</t>
  </si>
  <si>
    <t>G00-996778</t>
  </si>
  <si>
    <t>G05-963869</t>
  </si>
  <si>
    <t>G11-993900</t>
  </si>
  <si>
    <t>H00-1001084</t>
  </si>
  <si>
    <t>L00-1015859</t>
  </si>
  <si>
    <t>L00-1015860</t>
  </si>
  <si>
    <t>L00-1015922</t>
  </si>
  <si>
    <t>L00-1015934</t>
  </si>
  <si>
    <t>L00-1016102</t>
  </si>
  <si>
    <t>L00-1016179</t>
  </si>
  <si>
    <t>L00-1016184</t>
  </si>
  <si>
    <t>L00-1016192</t>
  </si>
  <si>
    <t>L00-1016770</t>
  </si>
  <si>
    <t>L00-1017317</t>
  </si>
  <si>
    <t>L00-1017328</t>
  </si>
  <si>
    <t>L01-999307</t>
  </si>
  <si>
    <t>L01-999506</t>
  </si>
  <si>
    <t>L06-994203</t>
  </si>
  <si>
    <t>L06-994252</t>
  </si>
  <si>
    <t>L07-978244</t>
  </si>
  <si>
    <t>M11-919160</t>
  </si>
  <si>
    <t>M11-919247</t>
  </si>
  <si>
    <t>M14-980697</t>
  </si>
  <si>
    <t>M14-980753</t>
  </si>
  <si>
    <t>M20-1002381</t>
  </si>
  <si>
    <t>M20-1002389</t>
  </si>
  <si>
    <t>MS1-999170</t>
  </si>
  <si>
    <t>P00-996078</t>
  </si>
  <si>
    <t>Q00-999379</t>
  </si>
  <si>
    <t>T02-998294</t>
  </si>
  <si>
    <t>Y00-1002032</t>
  </si>
  <si>
    <t>Y00-1002065</t>
  </si>
  <si>
    <t>Y00-1002188</t>
  </si>
  <si>
    <t>Y00-1002217</t>
  </si>
  <si>
    <t>Y11-983805</t>
  </si>
  <si>
    <t>C00-999288</t>
  </si>
  <si>
    <t>C01-995740</t>
  </si>
  <si>
    <t>D00-1009703</t>
  </si>
  <si>
    <t>D00-1009705</t>
  </si>
  <si>
    <t>D00-1009731</t>
  </si>
  <si>
    <t>D00-1009775</t>
  </si>
  <si>
    <t>D00-1009781</t>
  </si>
  <si>
    <t>D00-1009787</t>
  </si>
  <si>
    <t>D00-1009806</t>
  </si>
  <si>
    <t>D00-1009807</t>
  </si>
  <si>
    <t>D00-1009823</t>
  </si>
  <si>
    <t>D00-1009855</t>
  </si>
  <si>
    <t>D00-1009856</t>
  </si>
  <si>
    <t>D00-1009857</t>
  </si>
  <si>
    <t>D00-1009858</t>
  </si>
  <si>
    <t>D00-1009892</t>
  </si>
  <si>
    <t>D00-1009895</t>
  </si>
  <si>
    <t>D00-1009914</t>
  </si>
  <si>
    <t>D00-1010067</t>
  </si>
  <si>
    <t>D00-1010083</t>
  </si>
  <si>
    <t>D00-1010425</t>
  </si>
  <si>
    <t>D00-1010426</t>
  </si>
  <si>
    <t>D70-1004297</t>
  </si>
  <si>
    <t>D70-1004302</t>
  </si>
  <si>
    <t>D70-1004303</t>
  </si>
  <si>
    <t>D70-1004312</t>
  </si>
  <si>
    <t>D70-1004313</t>
  </si>
  <si>
    <t>D70-1004325</t>
  </si>
  <si>
    <t>D70-1004351</t>
  </si>
  <si>
    <t>D70-1004362</t>
  </si>
  <si>
    <t>D70-1004391</t>
  </si>
  <si>
    <t>D70-1004949</t>
  </si>
  <si>
    <t>E00-996394</t>
  </si>
  <si>
    <t>F02-996510</t>
  </si>
  <si>
    <t>F04-975847</t>
  </si>
  <si>
    <t>G00-996829</t>
  </si>
  <si>
    <t>G05-963883</t>
  </si>
  <si>
    <t>L00-1015852</t>
  </si>
  <si>
    <t>L00-1015870</t>
  </si>
  <si>
    <t>L00-1015925</t>
  </si>
  <si>
    <t>L00-1015926</t>
  </si>
  <si>
    <t>L00-1015936</t>
  </si>
  <si>
    <t>L00-1016104</t>
  </si>
  <si>
    <t>L00-1016178</t>
  </si>
  <si>
    <t>L00-1016193</t>
  </si>
  <si>
    <t>L00-1016726</t>
  </si>
  <si>
    <t>L01-999319</t>
  </si>
  <si>
    <t>L06-994433</t>
  </si>
  <si>
    <t>M00-999956</t>
  </si>
  <si>
    <t>M00-999969</t>
  </si>
  <si>
    <t>M05-1000830</t>
  </si>
  <si>
    <t>M05-1000832</t>
  </si>
  <si>
    <t>M11-919191</t>
  </si>
  <si>
    <t>M11-919241</t>
  </si>
  <si>
    <t>M20-1002380</t>
  </si>
  <si>
    <t>M20-1002382</t>
  </si>
  <si>
    <t>M20-1002393</t>
  </si>
  <si>
    <t>M20-1002399</t>
  </si>
  <si>
    <t>M20-1002401</t>
  </si>
  <si>
    <t>M20-1002413</t>
  </si>
  <si>
    <t>M25-848856</t>
  </si>
  <si>
    <t>P00-996085</t>
  </si>
  <si>
    <t>P01-998157</t>
  </si>
  <si>
    <t>P01-998158</t>
  </si>
  <si>
    <t>P01-998160</t>
  </si>
  <si>
    <t>Q00-999358</t>
  </si>
  <si>
    <t>Q00-999380</t>
  </si>
  <si>
    <t>Y00-1002036</t>
  </si>
  <si>
    <t>Y11-983834</t>
  </si>
  <si>
    <t>Y15-212169</t>
  </si>
  <si>
    <t>C00-999283</t>
  </si>
  <si>
    <t>C00-999285</t>
  </si>
  <si>
    <t>C00-999287</t>
  </si>
  <si>
    <t>C00-999293</t>
  </si>
  <si>
    <t>C00-999296</t>
  </si>
  <si>
    <t>C01-995727</t>
  </si>
  <si>
    <t>C01-995736</t>
  </si>
  <si>
    <t>C01-995738</t>
  </si>
  <si>
    <t>C01-995739</t>
  </si>
  <si>
    <t>C01-995815</t>
  </si>
  <si>
    <t>C18-7</t>
  </si>
  <si>
    <t>D00-1009725</t>
  </si>
  <si>
    <t>D00-1009751</t>
  </si>
  <si>
    <t>D00-1009752</t>
  </si>
  <si>
    <t>D00-1009753</t>
  </si>
  <si>
    <t>D00-1009754</t>
  </si>
  <si>
    <t>D00-1009762</t>
  </si>
  <si>
    <t>D00-1009763</t>
  </si>
  <si>
    <t>D00-1009764</t>
  </si>
  <si>
    <t>D00-1009765</t>
  </si>
  <si>
    <t>D00-1009766</t>
  </si>
  <si>
    <t>D00-1009767</t>
  </si>
  <si>
    <t>D00-1009768</t>
  </si>
  <si>
    <t>D00-1009769</t>
  </si>
  <si>
    <t>D00-1009770</t>
  </si>
  <si>
    <t>D00-1009772</t>
  </si>
  <si>
    <t>D00-1009789</t>
  </si>
  <si>
    <t>D00-1009793</t>
  </si>
  <si>
    <t>D00-1009796</t>
  </si>
  <si>
    <t>D00-1009801</t>
  </si>
  <si>
    <t>D00-1009809</t>
  </si>
  <si>
    <t>D00-1009810</t>
  </si>
  <si>
    <t>D00-1009811</t>
  </si>
  <si>
    <t>D00-1009815</t>
  </si>
  <si>
    <t>D00-1009817</t>
  </si>
  <si>
    <t>D00-1009824</t>
  </si>
  <si>
    <t>D00-1009830</t>
  </si>
  <si>
    <t>D00-1009834</t>
  </si>
  <si>
    <t>D00-1009835</t>
  </si>
  <si>
    <t>D00-1009836</t>
  </si>
  <si>
    <t>D00-1009840</t>
  </si>
  <si>
    <t>D00-1009848</t>
  </si>
  <si>
    <t>D00-1009863</t>
  </si>
  <si>
    <t>D00-1009865</t>
  </si>
  <si>
    <t>D00-1009873</t>
  </si>
  <si>
    <t>D00-1009874</t>
  </si>
  <si>
    <t>D00-1009879</t>
  </si>
  <si>
    <t>D00-1009881</t>
  </si>
  <si>
    <t>D00-1009884</t>
  </si>
  <si>
    <t>D00-1009885</t>
  </si>
  <si>
    <t>D00-1009894</t>
  </si>
  <si>
    <t>D00-1009896</t>
  </si>
  <si>
    <t>D00-1009899</t>
  </si>
  <si>
    <t>D00-1009902</t>
  </si>
  <si>
    <t>D00-1009907</t>
  </si>
  <si>
    <t>D00-1009912</t>
  </si>
  <si>
    <t>D00-1009916</t>
  </si>
  <si>
    <t>D00-1009972</t>
  </si>
  <si>
    <t>D00-1009981</t>
  </si>
  <si>
    <t>D00-1010064</t>
  </si>
  <si>
    <t>D00-1010321</t>
  </si>
  <si>
    <t>D00-1010508</t>
  </si>
  <si>
    <t>D00-1010693</t>
  </si>
  <si>
    <t>D00-1010695</t>
  </si>
  <si>
    <t>D00-1010712</t>
  </si>
  <si>
    <t>D00-1010896</t>
  </si>
  <si>
    <t>D00-1010958</t>
  </si>
  <si>
    <t>D00-1010972</t>
  </si>
  <si>
    <t>D00-1011472</t>
  </si>
  <si>
    <t>D70-1004264</t>
  </si>
  <si>
    <t>D70-1004275</t>
  </si>
  <si>
    <t>D70-1004276</t>
  </si>
  <si>
    <t>D70-1004277</t>
  </si>
  <si>
    <t>D70-1004278</t>
  </si>
  <si>
    <t>D70-1004286</t>
  </si>
  <si>
    <t>D70-1004289</t>
  </si>
  <si>
    <t>D70-1004290</t>
  </si>
  <si>
    <t>D70-1004294</t>
  </si>
  <si>
    <t>D70-1004295</t>
  </si>
  <si>
    <t>D70-1004309</t>
  </si>
  <si>
    <t>D70-1004338</t>
  </si>
  <si>
    <t>D70-1004339</t>
  </si>
  <si>
    <t>D70-1004341</t>
  </si>
  <si>
    <t>D70-1004342</t>
  </si>
  <si>
    <t>D70-1004346</t>
  </si>
  <si>
    <t>D70-1004349</t>
  </si>
  <si>
    <t>D70-1004360</t>
  </si>
  <si>
    <t>D70-1004363</t>
  </si>
  <si>
    <t>D70-1004379</t>
  </si>
  <si>
    <t>D70-1004384</t>
  </si>
  <si>
    <t>D70-1004393</t>
  </si>
  <si>
    <t>D70-1004394</t>
  </si>
  <si>
    <t>D70-1004395</t>
  </si>
  <si>
    <t>D70-1004397</t>
  </si>
  <si>
    <t>D70-1004398</t>
  </si>
  <si>
    <t>D70-1004399</t>
  </si>
  <si>
    <t>D70-1004406</t>
  </si>
  <si>
    <t>D70-1004564</t>
  </si>
  <si>
    <t>D70-1004581</t>
  </si>
  <si>
    <t>D70-1004612</t>
  </si>
  <si>
    <t>D70-1004719</t>
  </si>
  <si>
    <t>D70-1004731</t>
  </si>
  <si>
    <t>D70-1004751</t>
  </si>
  <si>
    <t>F02-996517</t>
  </si>
  <si>
    <t>F02-996519</t>
  </si>
  <si>
    <t>F02-996522</t>
  </si>
  <si>
    <t>F02-996584</t>
  </si>
  <si>
    <t>F02-996585</t>
  </si>
  <si>
    <t>F02-996586</t>
  </si>
  <si>
    <t>F04-975817</t>
  </si>
  <si>
    <t>F04-975819</t>
  </si>
  <si>
    <t>F04-975823</t>
  </si>
  <si>
    <t>F04-975824</t>
  </si>
  <si>
    <t>F04-975829</t>
  </si>
  <si>
    <t>F04-975831</t>
  </si>
  <si>
    <t>F04-975834</t>
  </si>
  <si>
    <t>F04-975837</t>
  </si>
  <si>
    <t>F04-975840</t>
  </si>
  <si>
    <t>F04-975841</t>
  </si>
  <si>
    <t>F04-975846</t>
  </si>
  <si>
    <t>F04-975849</t>
  </si>
  <si>
    <t>F04-975850</t>
  </si>
  <si>
    <t>F04-975852</t>
  </si>
  <si>
    <t>F04-975853</t>
  </si>
  <si>
    <t>F04-975854</t>
  </si>
  <si>
    <t>F04-975855</t>
  </si>
  <si>
    <t>F04-975856</t>
  </si>
  <si>
    <t>F04-975857</t>
  </si>
  <si>
    <t>F04-975858</t>
  </si>
  <si>
    <t>F04-975906</t>
  </si>
  <si>
    <t>F04-975910</t>
  </si>
  <si>
    <t>F04-975911</t>
  </si>
  <si>
    <t>F04-975912</t>
  </si>
  <si>
    <t>F04-975918</t>
  </si>
  <si>
    <t>F04-975920</t>
  </si>
  <si>
    <t>F04-975932</t>
  </si>
  <si>
    <t>F04-975951</t>
  </si>
  <si>
    <t>F04-975953</t>
  </si>
  <si>
    <t>F04-975956</t>
  </si>
  <si>
    <t>F04-975959</t>
  </si>
  <si>
    <t>F04-975975</t>
  </si>
  <si>
    <t>G00-996741</t>
  </si>
  <si>
    <t>G00-996743</t>
  </si>
  <si>
    <t>G00-996744</t>
  </si>
  <si>
    <t>G00-996748</t>
  </si>
  <si>
    <t>G00-996750</t>
  </si>
  <si>
    <t>G00-996752</t>
  </si>
  <si>
    <t>G00-996754</t>
  </si>
  <si>
    <t>G00-996756</t>
  </si>
  <si>
    <t>G00-996758</t>
  </si>
  <si>
    <t>G00-996866</t>
  </si>
  <si>
    <t>G00-996870</t>
  </si>
  <si>
    <t>G00-996873</t>
  </si>
  <si>
    <t>G05-963874</t>
  </si>
  <si>
    <t>G05-963876</t>
  </si>
  <si>
    <t>G05-963894</t>
  </si>
  <si>
    <t>G05-963895</t>
  </si>
  <si>
    <t>G11-993898</t>
  </si>
  <si>
    <t>H00-1001090</t>
  </si>
  <si>
    <t>H00-1001092</t>
  </si>
  <si>
    <t>H00-1001093</t>
  </si>
  <si>
    <t>H00-1001101</t>
  </si>
  <si>
    <t>H00-1001102</t>
  </si>
  <si>
    <t>H00-1001106</t>
  </si>
  <si>
    <t>H00-1001117</t>
  </si>
  <si>
    <t>H00-1001237</t>
  </si>
  <si>
    <t>L00-1015867</t>
  </si>
  <si>
    <t>L00-1015868</t>
  </si>
  <si>
    <t>L00-1015893</t>
  </si>
  <si>
    <t>L00-1015894</t>
  </si>
  <si>
    <t>L00-1015895</t>
  </si>
  <si>
    <t>L00-1015896</t>
  </si>
  <si>
    <t>L00-1015931</t>
  </si>
  <si>
    <t>L00-1015937</t>
  </si>
  <si>
    <t>L00-1015939</t>
  </si>
  <si>
    <t>L00-1015951</t>
  </si>
  <si>
    <t>L00-1015959</t>
  </si>
  <si>
    <t>L00-1015966</t>
  </si>
  <si>
    <t>L00-1015975</t>
  </si>
  <si>
    <t>L00-1015983</t>
  </si>
  <si>
    <t>L00-1015987</t>
  </si>
  <si>
    <t>L00-1016055</t>
  </si>
  <si>
    <t>L00-1016067</t>
  </si>
  <si>
    <t>L00-1016115</t>
  </si>
  <si>
    <t>L00-1016116</t>
  </si>
  <si>
    <t>L00-1016117</t>
  </si>
  <si>
    <t>L00-1016118</t>
  </si>
  <si>
    <t>L00-1016119</t>
  </si>
  <si>
    <t>L00-1016147</t>
  </si>
  <si>
    <t>L00-1016195</t>
  </si>
  <si>
    <t>L00-1016196</t>
  </si>
  <si>
    <t>L00-1016197</t>
  </si>
  <si>
    <t>L00-1016217</t>
  </si>
  <si>
    <t>L00-1016735</t>
  </si>
  <si>
    <t>L00-1016737</t>
  </si>
  <si>
    <t>L00-1016772</t>
  </si>
  <si>
    <t>L00-1016793</t>
  </si>
  <si>
    <t>L00-1016802</t>
  </si>
  <si>
    <t>L00-1016825</t>
  </si>
  <si>
    <t>L00-1017283</t>
  </si>
  <si>
    <t>L00-1017922</t>
  </si>
  <si>
    <t>L01-999291</t>
  </si>
  <si>
    <t>L01-999303</t>
  </si>
  <si>
    <t>L01-999304</t>
  </si>
  <si>
    <t>L01-999305</t>
  </si>
  <si>
    <t>L01-999306</t>
  </si>
  <si>
    <t>L01-999317</t>
  </si>
  <si>
    <t>L01-999322</t>
  </si>
  <si>
    <t>L01-999323</t>
  </si>
  <si>
    <t>L01-999331</t>
  </si>
  <si>
    <t>L01-999333</t>
  </si>
  <si>
    <t>L01-999335</t>
  </si>
  <si>
    <t>L01-999336</t>
  </si>
  <si>
    <t>L01-999337</t>
  </si>
  <si>
    <t>L01-999348</t>
  </si>
  <si>
    <t>L01-999448</t>
  </si>
  <si>
    <t>L06-994254</t>
  </si>
  <si>
    <t>L06-994267</t>
  </si>
  <si>
    <t>L06-994275</t>
  </si>
  <si>
    <t>L06-994288</t>
  </si>
  <si>
    <t>L06-994299</t>
  </si>
  <si>
    <t>L06-994431</t>
  </si>
  <si>
    <t>L07-978352</t>
  </si>
  <si>
    <t>M00-999971</t>
  </si>
  <si>
    <t>M00-999984</t>
  </si>
  <si>
    <t>M00-999993</t>
  </si>
  <si>
    <t>M05-1000817</t>
  </si>
  <si>
    <t>M05-1000835</t>
  </si>
  <si>
    <t>M05-1000837</t>
  </si>
  <si>
    <t>M05-1000882</t>
  </si>
  <si>
    <t>M11-919179</t>
  </si>
  <si>
    <t>M11-919269</t>
  </si>
  <si>
    <t>M17-582323</t>
  </si>
  <si>
    <t>M20-1002398</t>
  </si>
  <si>
    <t>M20-1002400</t>
  </si>
  <si>
    <t>M20-1002407</t>
  </si>
  <si>
    <t>M20-1002414</t>
  </si>
  <si>
    <t>MC1-998623</t>
  </si>
  <si>
    <t>MC1-998624</t>
  </si>
  <si>
    <t>MC1-998631</t>
  </si>
  <si>
    <t>MC1-998667</t>
  </si>
  <si>
    <t>MC1-998691</t>
  </si>
  <si>
    <t>MC1-998694</t>
  </si>
  <si>
    <t>MC1-998696</t>
  </si>
  <si>
    <t>MC1-998724</t>
  </si>
  <si>
    <t>ML0-226225</t>
  </si>
  <si>
    <t>MS1-999169</t>
  </si>
  <si>
    <t>MS1-999193</t>
  </si>
  <si>
    <t>MS5-913847</t>
  </si>
  <si>
    <t>MS5-913861</t>
  </si>
  <si>
    <t>MS5-913862</t>
  </si>
  <si>
    <t>P00-996053</t>
  </si>
  <si>
    <t>P00-996054</t>
  </si>
  <si>
    <t>P00-996066</t>
  </si>
  <si>
    <t>P00-996074</t>
  </si>
  <si>
    <t>P00-996076</t>
  </si>
  <si>
    <t>P00-996077</t>
  </si>
  <si>
    <t>P00-996093</t>
  </si>
  <si>
    <t>P00-996106</t>
  </si>
  <si>
    <t>P00-996346</t>
  </si>
  <si>
    <t>P01-998154</t>
  </si>
  <si>
    <t>P01-998166</t>
  </si>
  <si>
    <t>P01-998189</t>
  </si>
  <si>
    <t>P01-998193</t>
  </si>
  <si>
    <t>P07-995041</t>
  </si>
  <si>
    <t>Q00-999347</t>
  </si>
  <si>
    <t>Q00-999348</t>
  </si>
  <si>
    <t>Q00-999351</t>
  </si>
  <si>
    <t>Q00-999355</t>
  </si>
  <si>
    <t>Q00-999357</t>
  </si>
  <si>
    <t>Q00-999367</t>
  </si>
  <si>
    <t>Q00-999381</t>
  </si>
  <si>
    <t>Q02-930413</t>
  </si>
  <si>
    <t>Q02-930422</t>
  </si>
  <si>
    <t>Q02-930444</t>
  </si>
  <si>
    <t>Q02-930454</t>
  </si>
  <si>
    <t>Q02-930539</t>
  </si>
  <si>
    <t>T02-998287</t>
  </si>
  <si>
    <t>T02-998288</t>
  </si>
  <si>
    <t>T02-998290</t>
  </si>
  <si>
    <t>T02-998299</t>
  </si>
  <si>
    <t>T02-998300</t>
  </si>
  <si>
    <t>T02-998329</t>
  </si>
  <si>
    <t>Y00-1002008</t>
  </si>
  <si>
    <t>Y00-1002015</t>
  </si>
  <si>
    <t>Y00-1002016</t>
  </si>
  <si>
    <t>Y00-1002024</t>
  </si>
  <si>
    <t>Y00-1002029</t>
  </si>
  <si>
    <t>Y00-1002030</t>
  </si>
  <si>
    <t>Y00-1002053</t>
  </si>
  <si>
    <t>Y00-1002056</t>
  </si>
  <si>
    <t>Y00-1002099</t>
  </si>
  <si>
    <t>Y00-1002285</t>
  </si>
  <si>
    <t>Y01-811169</t>
  </si>
  <si>
    <t>Y01-811174</t>
  </si>
  <si>
    <t>C01-995799</t>
  </si>
  <si>
    <t>D00-1009942</t>
  </si>
  <si>
    <t>D00-1009990</t>
  </si>
  <si>
    <t>D00-1009991</t>
  </si>
  <si>
    <t>D00-1009992</t>
  </si>
  <si>
    <t>D00-1009994</t>
  </si>
  <si>
    <t>D00-1009995</t>
  </si>
  <si>
    <t>D00-1009999</t>
  </si>
  <si>
    <t>D00-1010000</t>
  </si>
  <si>
    <t>D00-1010001</t>
  </si>
  <si>
    <t>D00-1010012</t>
  </si>
  <si>
    <t>D00-1010015</t>
  </si>
  <si>
    <t>D00-1010021</t>
  </si>
  <si>
    <t>D00-1010034</t>
  </si>
  <si>
    <t>D00-1010035</t>
  </si>
  <si>
    <t>D00-1010040</t>
  </si>
  <si>
    <t>D00-1010048</t>
  </si>
  <si>
    <t>D00-1010056</t>
  </si>
  <si>
    <t>D00-1010059</t>
  </si>
  <si>
    <t>D00-1010062</t>
  </si>
  <si>
    <t>D00-1010066</t>
  </si>
  <si>
    <t>D00-1010082</t>
  </si>
  <si>
    <t>D00-1010088</t>
  </si>
  <si>
    <t>D00-1010112</t>
  </si>
  <si>
    <t>D00-1010150</t>
  </si>
  <si>
    <t>D00-1010165</t>
  </si>
  <si>
    <t>D00-1010166</t>
  </si>
  <si>
    <t>D00-1010177</t>
  </si>
  <si>
    <t>D00-1010189</t>
  </si>
  <si>
    <t>D00-1010191</t>
  </si>
  <si>
    <t>D00-1010201</t>
  </si>
  <si>
    <t>D00-1010204</t>
  </si>
  <si>
    <t>D00-1010205</t>
  </si>
  <si>
    <t>D00-1010207</t>
  </si>
  <si>
    <t>D00-1010208</t>
  </si>
  <si>
    <t>D00-1010245</t>
  </si>
  <si>
    <t>D00-1010275</t>
  </si>
  <si>
    <t>D00-1010286</t>
  </si>
  <si>
    <t>D00-1010290</t>
  </si>
  <si>
    <t>D00-1010292</t>
  </si>
  <si>
    <t>D00-1010305</t>
  </si>
  <si>
    <t>D00-1010316</t>
  </si>
  <si>
    <t>D00-1010412</t>
  </si>
  <si>
    <t>D00-1010473</t>
  </si>
  <si>
    <t>D00-1010636</t>
  </si>
  <si>
    <t>D00-1010641</t>
  </si>
  <si>
    <t>D00-1010654</t>
  </si>
  <si>
    <t>D00-1010681</t>
  </si>
  <si>
    <t>D00-1010870</t>
  </si>
  <si>
    <t>D00-1010916</t>
  </si>
  <si>
    <t>D00-1010927</t>
  </si>
  <si>
    <t>D00-1010977</t>
  </si>
  <si>
    <t>D70-1004444</t>
  </si>
  <si>
    <t>D70-1004448</t>
  </si>
  <si>
    <t>D70-1004449</t>
  </si>
  <si>
    <t>D70-1004450</t>
  </si>
  <si>
    <t>D70-1004454</t>
  </si>
  <si>
    <t>D70-1004464</t>
  </si>
  <si>
    <t>D70-1004478</t>
  </si>
  <si>
    <t>D70-1004490</t>
  </si>
  <si>
    <t>D70-1004502</t>
  </si>
  <si>
    <t>D70-1004510</t>
  </si>
  <si>
    <t>D70-1004533</t>
  </si>
  <si>
    <t>D70-1004537</t>
  </si>
  <si>
    <t>D70-1004560</t>
  </si>
  <si>
    <t>D70-1004561</t>
  </si>
  <si>
    <t>D70-1004562</t>
  </si>
  <si>
    <t>D70-1004584</t>
  </si>
  <si>
    <t>D70-1004587</t>
  </si>
  <si>
    <t>D70-1004588</t>
  </si>
  <si>
    <t>D70-1004589</t>
  </si>
  <si>
    <t>D70-1004590</t>
  </si>
  <si>
    <t>D70-1004593</t>
  </si>
  <si>
    <t>D70-1004596</t>
  </si>
  <si>
    <t>D70-1004603</t>
  </si>
  <si>
    <t>D70-1004736</t>
  </si>
  <si>
    <t>D70-1004747</t>
  </si>
  <si>
    <t>D70-1004754</t>
  </si>
  <si>
    <t>D70-1004900</t>
  </si>
  <si>
    <t>E00-996374</t>
  </si>
  <si>
    <t>E00-996377</t>
  </si>
  <si>
    <t>F02-996527</t>
  </si>
  <si>
    <t>F02-996528</t>
  </si>
  <si>
    <t>F02-996538</t>
  </si>
  <si>
    <t>F02-996546</t>
  </si>
  <si>
    <t>F02-996580</t>
  </si>
  <si>
    <t>F04-975884</t>
  </si>
  <si>
    <t>F04-975885</t>
  </si>
  <si>
    <t>F04-975887</t>
  </si>
  <si>
    <t>F04-975895</t>
  </si>
  <si>
    <t>F04-975898</t>
  </si>
  <si>
    <t>F04-975931</t>
  </si>
  <si>
    <t>F04-975955</t>
  </si>
  <si>
    <t>F04-976006</t>
  </si>
  <si>
    <t>F04-976007</t>
  </si>
  <si>
    <t>G05-963917</t>
  </si>
  <si>
    <t>G05-963927</t>
  </si>
  <si>
    <t>G11-993932</t>
  </si>
  <si>
    <t>H01-993361</t>
  </si>
  <si>
    <t>L00-1016402</t>
  </si>
  <si>
    <t>L00-1016404</t>
  </si>
  <si>
    <t>L00-1016475</t>
  </si>
  <si>
    <t>L00-1016482</t>
  </si>
  <si>
    <t>L00-1016523</t>
  </si>
  <si>
    <t>L00-1016536</t>
  </si>
  <si>
    <t>L00-1016541</t>
  </si>
  <si>
    <t>L00-1016549</t>
  </si>
  <si>
    <t>L00-1016559</t>
  </si>
  <si>
    <t>L00-1016560</t>
  </si>
  <si>
    <t>L00-1016561</t>
  </si>
  <si>
    <t>L00-1016562</t>
  </si>
  <si>
    <t>L00-1016563</t>
  </si>
  <si>
    <t>L00-1016564</t>
  </si>
  <si>
    <t>L00-1016565</t>
  </si>
  <si>
    <t>L00-1016566</t>
  </si>
  <si>
    <t>L00-1016567</t>
  </si>
  <si>
    <t>L00-1016569</t>
  </si>
  <si>
    <t>L00-1016572</t>
  </si>
  <si>
    <t>L00-1016573</t>
  </si>
  <si>
    <t>L00-1016574</t>
  </si>
  <si>
    <t>L00-1016576</t>
  </si>
  <si>
    <t>L00-1016577</t>
  </si>
  <si>
    <t>L00-1016578</t>
  </si>
  <si>
    <t>L00-1016583</t>
  </si>
  <si>
    <t>L00-1016603</t>
  </si>
  <si>
    <t>L00-1016614</t>
  </si>
  <si>
    <t>L00-1016634</t>
  </si>
  <si>
    <t>L00-1016638</t>
  </si>
  <si>
    <t>L00-1016665</t>
  </si>
  <si>
    <t>L06-994387</t>
  </si>
  <si>
    <t>L07-978278</t>
  </si>
  <si>
    <t>L07-978294</t>
  </si>
  <si>
    <t>M00-999997</t>
  </si>
  <si>
    <t>M00-1000013</t>
  </si>
  <si>
    <t>M00-1000014</t>
  </si>
  <si>
    <t>M00-1000073</t>
  </si>
  <si>
    <t>M05-1000852</t>
  </si>
  <si>
    <t>M05-1000866</t>
  </si>
  <si>
    <t>M05-1000868</t>
  </si>
  <si>
    <t>M14-980763</t>
  </si>
  <si>
    <t>M14-980803</t>
  </si>
  <si>
    <t>M14-980804</t>
  </si>
  <si>
    <t>M17-582313</t>
  </si>
  <si>
    <t>M20-1002427</t>
  </si>
  <si>
    <t>M20-1002467</t>
  </si>
  <si>
    <t>M20-1002468</t>
  </si>
  <si>
    <t>M20-1002472</t>
  </si>
  <si>
    <t>M20-1002477</t>
  </si>
  <si>
    <t>M20-1002478</t>
  </si>
  <si>
    <t>M20-1002482</t>
  </si>
  <si>
    <t>M20-1002488</t>
  </si>
  <si>
    <t>MC1-998641</t>
  </si>
  <si>
    <t>MS1-999181</t>
  </si>
  <si>
    <t>MS5-913860</t>
  </si>
  <si>
    <t>P00-996122</t>
  </si>
  <si>
    <t>P00-996144</t>
  </si>
  <si>
    <t>P00-996157</t>
  </si>
  <si>
    <t>P00-996164</t>
  </si>
  <si>
    <t>P00-996225</t>
  </si>
  <si>
    <t>P00-996230</t>
  </si>
  <si>
    <t>P00-996231</t>
  </si>
  <si>
    <t>P01-998175</t>
  </si>
  <si>
    <t>P01-998185</t>
  </si>
  <si>
    <t>P06-997052</t>
  </si>
  <si>
    <t>P07-995058</t>
  </si>
  <si>
    <t>P07-995059</t>
  </si>
  <si>
    <t>Q00-999408</t>
  </si>
  <si>
    <t>Q00-999409</t>
  </si>
  <si>
    <t>Q00-999423</t>
  </si>
  <si>
    <t>Q00-999427</t>
  </si>
  <si>
    <t>Q00-999433</t>
  </si>
  <si>
    <t>Q00-999434</t>
  </si>
  <si>
    <t>Q00-999435</t>
  </si>
  <si>
    <t>Q00-999447</t>
  </si>
  <si>
    <t>Q00-999491</t>
  </si>
  <si>
    <t>Q02-930489</t>
  </si>
  <si>
    <t>Q02-930490</t>
  </si>
  <si>
    <t>T00-999305</t>
  </si>
  <si>
    <t>T00-999307</t>
  </si>
  <si>
    <t>T03-999842</t>
  </si>
  <si>
    <t>Y00-1002104</t>
  </si>
  <si>
    <t>Y00-1002122</t>
  </si>
  <si>
    <t>Y00-1002169</t>
  </si>
  <si>
    <t>Y00-1002204</t>
  </si>
  <si>
    <t>Y01-811220</t>
  </si>
  <si>
    <t>Y11-983787</t>
  </si>
  <si>
    <t>Y11-983793</t>
  </si>
  <si>
    <t>Y11-983808</t>
  </si>
  <si>
    <t>D00-1010022</t>
  </si>
  <si>
    <t>D70-1004519</t>
  </si>
  <si>
    <t>D70-1004520</t>
  </si>
  <si>
    <t>D70-1004527</t>
  </si>
  <si>
    <t>D70-1004592</t>
  </si>
  <si>
    <t>G00-996812</t>
  </si>
  <si>
    <t>G05-963922</t>
  </si>
  <si>
    <t>H00-1001132</t>
  </si>
  <si>
    <t>L00-1016341</t>
  </si>
  <si>
    <t>L00-1016403</t>
  </si>
  <si>
    <t>L00-1016428</t>
  </si>
  <si>
    <t>L00-1016450</t>
  </si>
  <si>
    <t>L00-1016460</t>
  </si>
  <si>
    <t>L00-1016517</t>
  </si>
  <si>
    <t>L00-1016530</t>
  </si>
  <si>
    <t>L00-1016745</t>
  </si>
  <si>
    <t>L00-1017312</t>
  </si>
  <si>
    <t>L00-1017383</t>
  </si>
  <si>
    <t>L06-994362</t>
  </si>
  <si>
    <t>L06-994430</t>
  </si>
  <si>
    <t>M11-919297</t>
  </si>
  <si>
    <t>M14-980739</t>
  </si>
  <si>
    <t>M20-1002437</t>
  </si>
  <si>
    <t>MS1-999208</t>
  </si>
  <si>
    <t>P01-998170</t>
  </si>
  <si>
    <t>P08-356196</t>
  </si>
  <si>
    <t>P08-356197</t>
  </si>
  <si>
    <t>P08-356199</t>
  </si>
  <si>
    <t>Q00-999415</t>
  </si>
  <si>
    <t>T00-999289</t>
  </si>
  <si>
    <t>T00-999291</t>
  </si>
  <si>
    <t>T00-999308</t>
  </si>
  <si>
    <t>Y00-1002121</t>
  </si>
  <si>
    <t>Y00-1002142</t>
  </si>
  <si>
    <t>Y01-811216</t>
  </si>
  <si>
    <t>C01-995801</t>
  </si>
  <si>
    <t>D00-1010036</t>
  </si>
  <si>
    <t>D00-1010295</t>
  </si>
  <si>
    <t>D00-1010635</t>
  </si>
  <si>
    <t>D70-1004547</t>
  </si>
  <si>
    <t>F02-996532</t>
  </si>
  <si>
    <t>F04-975869</t>
  </si>
  <si>
    <t>G05-963901</t>
  </si>
  <si>
    <t>G11-993925</t>
  </si>
  <si>
    <t>L00-1016361</t>
  </si>
  <si>
    <t>L00-1016462</t>
  </si>
  <si>
    <t>L00-1016470</t>
  </si>
  <si>
    <t>L00-1016487</t>
  </si>
  <si>
    <t>L00-1016587</t>
  </si>
  <si>
    <t>L00-1016675</t>
  </si>
  <si>
    <t>L00-1016677</t>
  </si>
  <si>
    <t>L00-1016678</t>
  </si>
  <si>
    <t>L00-1016681</t>
  </si>
  <si>
    <t>L00-1016687</t>
  </si>
  <si>
    <t>L00-1016769</t>
  </si>
  <si>
    <t>L00-1016822</t>
  </si>
  <si>
    <t>L00-1017335</t>
  </si>
  <si>
    <t>L01-999366</t>
  </si>
  <si>
    <t>L01-999371</t>
  </si>
  <si>
    <t>L06-994361</t>
  </si>
  <si>
    <t>L07-978272</t>
  </si>
  <si>
    <t>L07-978273</t>
  </si>
  <si>
    <t>M20-1002430</t>
  </si>
  <si>
    <t>M20-1002431</t>
  </si>
  <si>
    <t>MC1-998657</t>
  </si>
  <si>
    <t>MC1-998665</t>
  </si>
  <si>
    <t>MCC-26</t>
  </si>
  <si>
    <t>P00-996111</t>
  </si>
  <si>
    <t>P00-996141</t>
  </si>
  <si>
    <t>Q02-930498</t>
  </si>
  <si>
    <t>Y00-1002123</t>
  </si>
  <si>
    <t>Y00-1002129</t>
  </si>
  <si>
    <t>Y00-1002303</t>
  </si>
  <si>
    <t>Y17-862326</t>
  </si>
  <si>
    <t>D00-1009958</t>
  </si>
  <si>
    <t>D00-1010317</t>
  </si>
  <si>
    <t>F02-996535</t>
  </si>
  <si>
    <t>F02-996537</t>
  </si>
  <si>
    <t>F04-975870</t>
  </si>
  <si>
    <t>G11-993923</t>
  </si>
  <si>
    <t>G11-993927</t>
  </si>
  <si>
    <t>G22-156225</t>
  </si>
  <si>
    <t>H00-1001142</t>
  </si>
  <si>
    <t>H00-1001164</t>
  </si>
  <si>
    <t>H00-1001173</t>
  </si>
  <si>
    <t>H00-1001178</t>
  </si>
  <si>
    <t>L00-1016401</t>
  </si>
  <si>
    <t>L00-1016425</t>
  </si>
  <si>
    <t>L00-1016442</t>
  </si>
  <si>
    <t>L00-1016463</t>
  </si>
  <si>
    <t>L00-1016555</t>
  </si>
  <si>
    <t>L00-1016641</t>
  </si>
  <si>
    <t>L00-1016807</t>
  </si>
  <si>
    <t>L00-1017299</t>
  </si>
  <si>
    <t>L01-999360</t>
  </si>
  <si>
    <t>L01-999370</t>
  </si>
  <si>
    <t>L01-999381</t>
  </si>
  <si>
    <t>L01-999386</t>
  </si>
  <si>
    <t>L06-994371</t>
  </si>
  <si>
    <t>L06-994394</t>
  </si>
  <si>
    <t>L06-994400</t>
  </si>
  <si>
    <t>L06-994507</t>
  </si>
  <si>
    <t>L07-978303</t>
  </si>
  <si>
    <t>L07-978315</t>
  </si>
  <si>
    <t>M11-919233</t>
  </si>
  <si>
    <t>M11-919237</t>
  </si>
  <si>
    <t>M11-919296</t>
  </si>
  <si>
    <t>M11-919301</t>
  </si>
  <si>
    <t>M14-980743</t>
  </si>
  <si>
    <t>M14-980745</t>
  </si>
  <si>
    <t>M14-980749</t>
  </si>
  <si>
    <t>M20-1002480</t>
  </si>
  <si>
    <t>P01-998174</t>
  </si>
  <si>
    <t>P01-998177</t>
  </si>
  <si>
    <t>P01-998211</t>
  </si>
  <si>
    <t>P08-356190</t>
  </si>
  <si>
    <t>Q00-999448</t>
  </si>
  <si>
    <t>Q00-999450</t>
  </si>
  <si>
    <t>Q02-930492</t>
  </si>
  <si>
    <t>Q02-930496</t>
  </si>
  <si>
    <t>Q02-930529</t>
  </si>
  <si>
    <t>T00-999295</t>
  </si>
  <si>
    <t>T00-999351</t>
  </si>
  <si>
    <t>Y00-1002143</t>
  </si>
  <si>
    <t>Y00-1002146</t>
  </si>
  <si>
    <t>Y00-1002150</t>
  </si>
  <si>
    <t>Y00-1002172</t>
  </si>
  <si>
    <t>Y11-983788</t>
  </si>
  <si>
    <t>C00-999324</t>
  </si>
  <si>
    <t>C00-999332</t>
  </si>
  <si>
    <t>C00-999339</t>
  </si>
  <si>
    <t>C01-995778</t>
  </si>
  <si>
    <t>D00-1009993</t>
  </si>
  <si>
    <t>D00-1010105</t>
  </si>
  <si>
    <t>D00-1010123</t>
  </si>
  <si>
    <t>D00-1010169</t>
  </si>
  <si>
    <t>D00-1010307</t>
  </si>
  <si>
    <t>D70-1004558</t>
  </si>
  <si>
    <t>H00-1001150</t>
  </si>
  <si>
    <t>H00-1001155</t>
  </si>
  <si>
    <t>H01-993354</t>
  </si>
  <si>
    <t>L00-1016371</t>
  </si>
  <si>
    <t>L00-1016611</t>
  </si>
  <si>
    <t>L00-1016639</t>
  </si>
  <si>
    <t>L06-994388</t>
  </si>
  <si>
    <t>L07-978296</t>
  </si>
  <si>
    <t>M11-919258</t>
  </si>
  <si>
    <t>M11-919293</t>
  </si>
  <si>
    <t>M14-980742</t>
  </si>
  <si>
    <t>MC1-998645</t>
  </si>
  <si>
    <t>MC1-1004289</t>
  </si>
  <si>
    <t>MS1-999188</t>
  </si>
  <si>
    <t>MS1-999189</t>
  </si>
  <si>
    <t>P00-996156</t>
  </si>
  <si>
    <t>P01-998183</t>
  </si>
  <si>
    <t>Q00-999406</t>
  </si>
  <si>
    <t>Q00-999495</t>
  </si>
  <si>
    <t>T00-999292</t>
  </si>
  <si>
    <t>T02-998309</t>
  </si>
  <si>
    <t>T02-998322</t>
  </si>
  <si>
    <t>Y00-1002173</t>
  </si>
  <si>
    <t>C01-995788</t>
  </si>
  <si>
    <t>D00-1010041</t>
  </si>
  <si>
    <t>D00-1010065</t>
  </si>
  <si>
    <t>D70-1004521</t>
  </si>
  <si>
    <t>D70-1004551</t>
  </si>
  <si>
    <t>D70-1004720</t>
  </si>
  <si>
    <t>F04-975873</t>
  </si>
  <si>
    <t>F04-975886</t>
  </si>
  <si>
    <t>G00-996819</t>
  </si>
  <si>
    <t>G00-996868</t>
  </si>
  <si>
    <t>G05-963908</t>
  </si>
  <si>
    <t>H00-1001149</t>
  </si>
  <si>
    <t>H00-1001157</t>
  </si>
  <si>
    <t>H02-345196</t>
  </si>
  <si>
    <t>L00-1016391</t>
  </si>
  <si>
    <t>L00-1016495</t>
  </si>
  <si>
    <t>L00-1016607</t>
  </si>
  <si>
    <t>L00-1016659</t>
  </si>
  <si>
    <t>L00-1016674</t>
  </si>
  <si>
    <t>L00-1016689</t>
  </si>
  <si>
    <t>L00-1016826</t>
  </si>
  <si>
    <t>L01-999352</t>
  </si>
  <si>
    <t>L06-994403</t>
  </si>
  <si>
    <t>L06-994514</t>
  </si>
  <si>
    <t>L06-994529</t>
  </si>
  <si>
    <t>M00-1000019</t>
  </si>
  <si>
    <t>M05-1000874</t>
  </si>
  <si>
    <t>M20-1002436</t>
  </si>
  <si>
    <t>M20-1002446</t>
  </si>
  <si>
    <t>MC1-998649</t>
  </si>
  <si>
    <t>P07-995051</t>
  </si>
  <si>
    <t>Q02-930524</t>
  </si>
  <si>
    <t>Q02-930549</t>
  </si>
  <si>
    <t>T02-998316</t>
  </si>
  <si>
    <t>T02-998318</t>
  </si>
  <si>
    <t>T02-998326</t>
  </si>
  <si>
    <t>T02-998328</t>
  </si>
  <si>
    <t>Y00-1002112</t>
  </si>
  <si>
    <t>Y00-1002114</t>
  </si>
  <si>
    <t>Y00-1002297</t>
  </si>
  <si>
    <t>Y17-862322</t>
  </si>
  <si>
    <t>C00-999361</t>
  </si>
  <si>
    <t>C00-999408</t>
  </si>
  <si>
    <t>C01-995795</t>
  </si>
  <si>
    <t>C01-995803</t>
  </si>
  <si>
    <t>D00-1009959</t>
  </si>
  <si>
    <t>D00-1009960</t>
  </si>
  <si>
    <t>D00-1009986</t>
  </si>
  <si>
    <t>D00-1010171</t>
  </si>
  <si>
    <t>D00-1010376</t>
  </si>
  <si>
    <t>D00-1010379</t>
  </si>
  <si>
    <t>D00-1010700</t>
  </si>
  <si>
    <t>F04-975890</t>
  </si>
  <si>
    <t>F04-975891</t>
  </si>
  <si>
    <t>F04-975901</t>
  </si>
  <si>
    <t>F04-975917</t>
  </si>
  <si>
    <t>G05-963909</t>
  </si>
  <si>
    <t>G05-963929</t>
  </si>
  <si>
    <t>H00-1001133</t>
  </si>
  <si>
    <t>L00-1016423</t>
  </si>
  <si>
    <t>L00-1016426</t>
  </si>
  <si>
    <t>L00-1016472</t>
  </si>
  <si>
    <t>L00-1016494</t>
  </si>
  <si>
    <t>L00-1016535</t>
  </si>
  <si>
    <t>L00-1016575</t>
  </si>
  <si>
    <t>L00-1016579</t>
  </si>
  <si>
    <t>L00-1016582</t>
  </si>
  <si>
    <t>L00-1016649</t>
  </si>
  <si>
    <t>L00-1016751</t>
  </si>
  <si>
    <t>L00-1017272</t>
  </si>
  <si>
    <t>L00-1017278</t>
  </si>
  <si>
    <t>L07-978271</t>
  </si>
  <si>
    <t>L07-978287</t>
  </si>
  <si>
    <t>L07-978288</t>
  </si>
  <si>
    <t>L07-978295</t>
  </si>
  <si>
    <t>L07-978319</t>
  </si>
  <si>
    <t>M00-1000003</t>
  </si>
  <si>
    <t>M00-1000009</t>
  </si>
  <si>
    <t>M05-1000850</t>
  </si>
  <si>
    <t>M05-1000851</t>
  </si>
  <si>
    <t>M14-980751</t>
  </si>
  <si>
    <t>M20-1002486</t>
  </si>
  <si>
    <t>M20-1002585</t>
  </si>
  <si>
    <t>P00-996119</t>
  </si>
  <si>
    <t>Q00-999430</t>
  </si>
  <si>
    <t>Q02-930509</t>
  </si>
  <si>
    <t>Q02-930513</t>
  </si>
  <si>
    <t>T00-999318</t>
  </si>
  <si>
    <t>Y00-1002160</t>
  </si>
  <si>
    <t>Y00-1002170</t>
  </si>
  <si>
    <t>Y00-1002176</t>
  </si>
  <si>
    <t>Y00-1002197</t>
  </si>
  <si>
    <t>Y01-811212</t>
  </si>
  <si>
    <t>Y02-993442</t>
  </si>
  <si>
    <t>Y11-983800</t>
  </si>
  <si>
    <t>Y11-983801</t>
  </si>
  <si>
    <t>D00-1009987</t>
  </si>
  <si>
    <t>D00-1010029</t>
  </si>
  <si>
    <t>D00-1010118</t>
  </si>
  <si>
    <t>D00-1010129</t>
  </si>
  <si>
    <t>D00-1010153</t>
  </si>
  <si>
    <t>D00-1010193</t>
  </si>
  <si>
    <t>D00-1010194</t>
  </si>
  <si>
    <t>D00-1010904</t>
  </si>
  <si>
    <t>D70-1004443</t>
  </si>
  <si>
    <t>D70-1004463</t>
  </si>
  <si>
    <t>D70-1004469</t>
  </si>
  <si>
    <t>D70-1004556</t>
  </si>
  <si>
    <t>D70-1004602</t>
  </si>
  <si>
    <t>D70-1004744</t>
  </si>
  <si>
    <t>F02-996574</t>
  </si>
  <si>
    <t>G05-963902</t>
  </si>
  <si>
    <t>G11-993917</t>
  </si>
  <si>
    <t>H00-1001121</t>
  </si>
  <si>
    <t>H00-1001221</t>
  </si>
  <si>
    <t>H01-993353</t>
  </si>
  <si>
    <t>H01-993358</t>
  </si>
  <si>
    <t>L00-1016346</t>
  </si>
  <si>
    <t>L00-1016349</t>
  </si>
  <si>
    <t>L00-1016351</t>
  </si>
  <si>
    <t>L00-1016356</t>
  </si>
  <si>
    <t>L00-1016473</t>
  </si>
  <si>
    <t>L00-1016483</t>
  </si>
  <si>
    <t>L00-1016540</t>
  </si>
  <si>
    <t>L00-1016568</t>
  </si>
  <si>
    <t>L00-1016580</t>
  </si>
  <si>
    <t>L00-1016628</t>
  </si>
  <si>
    <t>L00-1016633</t>
  </si>
  <si>
    <t>L00-1017298</t>
  </si>
  <si>
    <t>L00-1017304</t>
  </si>
  <si>
    <t>L00-1017331</t>
  </si>
  <si>
    <t>L01-999373</t>
  </si>
  <si>
    <t>L01-999387</t>
  </si>
  <si>
    <t>L06-994337</t>
  </si>
  <si>
    <t>L06-994367</t>
  </si>
  <si>
    <t>L06-994380</t>
  </si>
  <si>
    <t>L06-994381</t>
  </si>
  <si>
    <t>L06-994390</t>
  </si>
  <si>
    <t>L06-994391</t>
  </si>
  <si>
    <t>L06-994530</t>
  </si>
  <si>
    <t>L06-994532</t>
  </si>
  <si>
    <t>L06-994540</t>
  </si>
  <si>
    <t>L06-994541</t>
  </si>
  <si>
    <t>L06-994542</t>
  </si>
  <si>
    <t>L07-978353</t>
  </si>
  <si>
    <t>M00-1000007</t>
  </si>
  <si>
    <t>M00-1000010</t>
  </si>
  <si>
    <t>M00-1000015</t>
  </si>
  <si>
    <t>M00-1000072</t>
  </si>
  <si>
    <t>M05-1000870</t>
  </si>
  <si>
    <t>M11-919259</t>
  </si>
  <si>
    <t>M11-919262</t>
  </si>
  <si>
    <t>M14-980747</t>
  </si>
  <si>
    <t>M20-1002458</t>
  </si>
  <si>
    <t>M20-1002469</t>
  </si>
  <si>
    <t>M20-1002481</t>
  </si>
  <si>
    <t>M20-1002555</t>
  </si>
  <si>
    <t>M20-1002591</t>
  </si>
  <si>
    <t>M20-1002592</t>
  </si>
  <si>
    <t>MC1-998697</t>
  </si>
  <si>
    <t>MC1-998720</t>
  </si>
  <si>
    <t>MC7-12159</t>
  </si>
  <si>
    <t>P01-998171</t>
  </si>
  <si>
    <t>P01-998220</t>
  </si>
  <si>
    <t>Q02-930503</t>
  </si>
  <si>
    <t>T00-999290</t>
  </si>
  <si>
    <t>T00-999296</t>
  </si>
  <si>
    <t>T02-998317</t>
  </si>
  <si>
    <t>Y00-1002171</t>
  </si>
  <si>
    <t>Y17-862324</t>
  </si>
  <si>
    <t>C01-995797</t>
  </si>
  <si>
    <t>C01-995798</t>
  </si>
  <si>
    <t>D00-1009955</t>
  </si>
  <si>
    <t>D00-1010111</t>
  </si>
  <si>
    <t>D00-1010142</t>
  </si>
  <si>
    <t>D70-1004480</t>
  </si>
  <si>
    <t>D70-1004491</t>
  </si>
  <si>
    <t>D70-1004548</t>
  </si>
  <si>
    <t>D70-1004597</t>
  </si>
  <si>
    <t>E00-996376</t>
  </si>
  <si>
    <t>E00-996378</t>
  </si>
  <si>
    <t>F02-996545</t>
  </si>
  <si>
    <t>F02-996579</t>
  </si>
  <si>
    <t>F04-975949</t>
  </si>
  <si>
    <t>G05-963904</t>
  </si>
  <si>
    <t>H00-1001145</t>
  </si>
  <si>
    <t>H01-993357</t>
  </si>
  <si>
    <t>H01-993391</t>
  </si>
  <si>
    <t>L00-1016370</t>
  </si>
  <si>
    <t>L00-1016412</t>
  </si>
  <si>
    <t>L00-1016486</t>
  </si>
  <si>
    <t>L00-1016518</t>
  </si>
  <si>
    <t>L00-1016539</t>
  </si>
  <si>
    <t>L00-1016635</t>
  </si>
  <si>
    <t>L00-1016700</t>
  </si>
  <si>
    <t>L00-1016842</t>
  </si>
  <si>
    <t>L01-999367</t>
  </si>
  <si>
    <t>L06-994350</t>
  </si>
  <si>
    <t>L06-994351</t>
  </si>
  <si>
    <t>L06-994363</t>
  </si>
  <si>
    <t>L06-994395</t>
  </si>
  <si>
    <t>L06-994398</t>
  </si>
  <si>
    <t>L06-994404</t>
  </si>
  <si>
    <t>L07-978274</t>
  </si>
  <si>
    <t>L07-978276</t>
  </si>
  <si>
    <t>L07-978358</t>
  </si>
  <si>
    <t>M14-980734</t>
  </si>
  <si>
    <t>M20-1002448</t>
  </si>
  <si>
    <t>M20-1002462</t>
  </si>
  <si>
    <t>MC1-998646</t>
  </si>
  <si>
    <t>MC1-998673</t>
  </si>
  <si>
    <t>P00-996108</t>
  </si>
  <si>
    <t>P00-996114</t>
  </si>
  <si>
    <t>P00-996128</t>
  </si>
  <si>
    <t>P00-996176</t>
  </si>
  <si>
    <t>P00-996235</t>
  </si>
  <si>
    <t>P00-996242</t>
  </si>
  <si>
    <t>P08-356198</t>
  </si>
  <si>
    <t>P09-151670</t>
  </si>
  <si>
    <t>P09-151671</t>
  </si>
  <si>
    <t>Q00-999431</t>
  </si>
  <si>
    <t>Q00-999432</t>
  </si>
  <si>
    <t>Q02-930530</t>
  </si>
  <si>
    <t>T00-999302</t>
  </si>
  <si>
    <t>Y00-1002139</t>
  </si>
  <si>
    <t>Y00-1002144</t>
  </si>
  <si>
    <t>Y17-862323</t>
  </si>
  <si>
    <t>C00-999328</t>
  </si>
  <si>
    <t>C00-999334</t>
  </si>
  <si>
    <t>C00-999335</t>
  </si>
  <si>
    <t>C01-995808</t>
  </si>
  <si>
    <t>D00-1010149</t>
  </si>
  <si>
    <t>D00-1010176</t>
  </si>
  <si>
    <t>D00-1010246</t>
  </si>
  <si>
    <t>D00-1010249</t>
  </si>
  <si>
    <t>D00-1010258</t>
  </si>
  <si>
    <t>D00-1010694</t>
  </si>
  <si>
    <t>D00-1010869</t>
  </si>
  <si>
    <t>D70-1004453</t>
  </si>
  <si>
    <t>D70-1004462</t>
  </si>
  <si>
    <t>D70-1004742</t>
  </si>
  <si>
    <t>D70-1004749</t>
  </si>
  <si>
    <t>D70-1004750</t>
  </si>
  <si>
    <t>D70-1004952</t>
  </si>
  <si>
    <t>F02-996541</t>
  </si>
  <si>
    <t>G00-996826</t>
  </si>
  <si>
    <t>G05-963925</t>
  </si>
  <si>
    <t>G11-993929</t>
  </si>
  <si>
    <t>G11-993934</t>
  </si>
  <si>
    <t>H00-1001122</t>
  </si>
  <si>
    <t>H00-1001232</t>
  </si>
  <si>
    <t>H00-1001244</t>
  </si>
  <si>
    <t>H01-993349</t>
  </si>
  <si>
    <t>H01-993350</t>
  </si>
  <si>
    <t>H02-345199</t>
  </si>
  <si>
    <t>L00-1016362</t>
  </si>
  <si>
    <t>L00-1016363</t>
  </si>
  <si>
    <t>L00-1016429</t>
  </si>
  <si>
    <t>L00-1016430</t>
  </si>
  <si>
    <t>L00-1016451</t>
  </si>
  <si>
    <t>L00-1016453</t>
  </si>
  <si>
    <t>L00-1016464</t>
  </si>
  <si>
    <t>L00-1016474</t>
  </si>
  <si>
    <t>L00-1016596</t>
  </si>
  <si>
    <t>L00-1016645</t>
  </si>
  <si>
    <t>L00-1016648</t>
  </si>
  <si>
    <t>L00-1016654</t>
  </si>
  <si>
    <t>L00-1017422</t>
  </si>
  <si>
    <t>L06-994365</t>
  </si>
  <si>
    <t>L06-994520</t>
  </si>
  <si>
    <t>L06-994521</t>
  </si>
  <si>
    <t>L06-994522</t>
  </si>
  <si>
    <t>L06-994525</t>
  </si>
  <si>
    <t>M05-1000854</t>
  </si>
  <si>
    <t>M05-1000855</t>
  </si>
  <si>
    <t>M05-1000857</t>
  </si>
  <si>
    <t>M05-1000858</t>
  </si>
  <si>
    <t>M05-1000861</t>
  </si>
  <si>
    <t>M05-1000863</t>
  </si>
  <si>
    <t>M05-1000869</t>
  </si>
  <si>
    <t>M11-919256</t>
  </si>
  <si>
    <t>M11-919257</t>
  </si>
  <si>
    <t>M14-980741</t>
  </si>
  <si>
    <t>M17-582317</t>
  </si>
  <si>
    <t>M20-1002451</t>
  </si>
  <si>
    <t>M20-1002483</t>
  </si>
  <si>
    <t>M20-1002484</t>
  </si>
  <si>
    <t>M20-1002487</t>
  </si>
  <si>
    <t>M20-1002654</t>
  </si>
  <si>
    <t>M20-1002657</t>
  </si>
  <si>
    <t>M20-1002658</t>
  </si>
  <si>
    <t>MC1-998653</t>
  </si>
  <si>
    <t>MC1-998672</t>
  </si>
  <si>
    <t>MC1-998688</t>
  </si>
  <si>
    <t>MS1-999190</t>
  </si>
  <si>
    <t>MS1-999191</t>
  </si>
  <si>
    <t>MS1-999209</t>
  </si>
  <si>
    <t>MSG-367080</t>
  </si>
  <si>
    <t>P00-996158</t>
  </si>
  <si>
    <t>P00-996227</t>
  </si>
  <si>
    <t>P01-998168</t>
  </si>
  <si>
    <t>P01-998169</t>
  </si>
  <si>
    <t>P01-998217</t>
  </si>
  <si>
    <t>Q00-999451</t>
  </si>
  <si>
    <t>Q02-930504</t>
  </si>
  <si>
    <t>Q02-930508</t>
  </si>
  <si>
    <t>Q02-930510</t>
  </si>
  <si>
    <t>Q02-930618</t>
  </si>
  <si>
    <t>Q02-930702</t>
  </si>
  <si>
    <t>T02-998315</t>
  </si>
  <si>
    <t>T02-998325</t>
  </si>
  <si>
    <t>Y00-1002117</t>
  </si>
  <si>
    <t>Y00-1002118</t>
  </si>
  <si>
    <t>Y00-1002119</t>
  </si>
  <si>
    <t>Y00-1002147</t>
  </si>
  <si>
    <t>Y00-1002283</t>
  </si>
  <si>
    <t>Y00-1002287</t>
  </si>
  <si>
    <t>Y01-811228</t>
  </si>
  <si>
    <t>Y02-993441</t>
  </si>
  <si>
    <t>Y17-862325</t>
  </si>
  <si>
    <t>C01-995791</t>
  </si>
  <si>
    <t>C01-995794</t>
  </si>
  <si>
    <t>C01-995796</t>
  </si>
  <si>
    <t>D00-1010136</t>
  </si>
  <si>
    <t>D00-1010146</t>
  </si>
  <si>
    <t>D70-1004508</t>
  </si>
  <si>
    <t>D70-1004515</t>
  </si>
  <si>
    <t>D70-1004516</t>
  </si>
  <si>
    <t>D70-1004517</t>
  </si>
  <si>
    <t>D70-1004518</t>
  </si>
  <si>
    <t>D70-1004532</t>
  </si>
  <si>
    <t>D70-1004542</t>
  </si>
  <si>
    <t>D70-1004543</t>
  </si>
  <si>
    <t>D70-1004734</t>
  </si>
  <si>
    <t>G05-963898</t>
  </si>
  <si>
    <t>G05-963899</t>
  </si>
  <si>
    <t>G05-963900</t>
  </si>
  <si>
    <t>G05-963907</t>
  </si>
  <si>
    <t>G05-963911</t>
  </si>
  <si>
    <t>H00-1001349</t>
  </si>
  <si>
    <t>L00-1016342</t>
  </si>
  <si>
    <t>L00-1016364</t>
  </si>
  <si>
    <t>L00-1016376</t>
  </si>
  <si>
    <t>L00-1016424</t>
  </si>
  <si>
    <t>L00-1016427</t>
  </si>
  <si>
    <t>L00-1016455</t>
  </si>
  <si>
    <t>L00-1016481</t>
  </si>
  <si>
    <t>L00-1016493</t>
  </si>
  <si>
    <t>L00-1016496</t>
  </si>
  <si>
    <t>L00-1016504</t>
  </si>
  <si>
    <t>L00-1016519</t>
  </si>
  <si>
    <t>L00-1016544</t>
  </si>
  <si>
    <t>L00-1016546</t>
  </si>
  <si>
    <t>L00-1016615</t>
  </si>
  <si>
    <t>L00-1016651</t>
  </si>
  <si>
    <t>L00-1016652</t>
  </si>
  <si>
    <t>L00-1016655</t>
  </si>
  <si>
    <t>L00-1016656</t>
  </si>
  <si>
    <t>L00-1016698</t>
  </si>
  <si>
    <t>L00-1017303</t>
  </si>
  <si>
    <t>L00-1017321</t>
  </si>
  <si>
    <t>L01-999374</t>
  </si>
  <si>
    <t>L01-999445</t>
  </si>
  <si>
    <t>L06-994359</t>
  </si>
  <si>
    <t>L06-994382</t>
  </si>
  <si>
    <t>L06-994389</t>
  </si>
  <si>
    <t>L06-994645</t>
  </si>
  <si>
    <t>L07-978284</t>
  </si>
  <si>
    <t>M05-1000883</t>
  </si>
  <si>
    <t>M05-1000907</t>
  </si>
  <si>
    <t>M20-1002428</t>
  </si>
  <si>
    <t>M20-1002447</t>
  </si>
  <si>
    <t>M20-1002460</t>
  </si>
  <si>
    <t>MC1-998689</t>
  </si>
  <si>
    <t>MCA-14</t>
  </si>
  <si>
    <t>MH0-582242</t>
  </si>
  <si>
    <t>P00-996152</t>
  </si>
  <si>
    <t>Q00-999404</t>
  </si>
  <si>
    <t>Q00-999411</t>
  </si>
  <si>
    <t>Q00-999416</t>
  </si>
  <si>
    <t>T00-999300</t>
  </si>
  <si>
    <t>T02-998321</t>
  </si>
  <si>
    <t>T02-998323</t>
  </si>
  <si>
    <t>Y00-1002178</t>
  </si>
  <si>
    <t>Y00-1002199</t>
  </si>
  <si>
    <t>C00-999347</t>
  </si>
  <si>
    <t>C01-995769</t>
  </si>
  <si>
    <t>C01-995772</t>
  </si>
  <si>
    <t>C01-995781</t>
  </si>
  <si>
    <t>C01-995859</t>
  </si>
  <si>
    <t>D00-1010137</t>
  </si>
  <si>
    <t>D00-1010148</t>
  </si>
  <si>
    <t>D00-1010154</t>
  </si>
  <si>
    <t>D00-1010160</t>
  </si>
  <si>
    <t>D00-1010172</t>
  </si>
  <si>
    <t>D00-1010180</t>
  </si>
  <si>
    <t>D00-1010406</t>
  </si>
  <si>
    <t>D00-1010876</t>
  </si>
  <si>
    <t>D00-1011251</t>
  </si>
  <si>
    <t>D70-1004474</t>
  </si>
  <si>
    <t>D70-1004499</t>
  </si>
  <si>
    <t>D70-1004541</t>
  </si>
  <si>
    <t>D70-1004574</t>
  </si>
  <si>
    <t>D70-1004723</t>
  </si>
  <si>
    <t>D70-1004732</t>
  </si>
  <si>
    <t>E00-996395</t>
  </si>
  <si>
    <t>F02-996533</t>
  </si>
  <si>
    <t>F02-996543</t>
  </si>
  <si>
    <t>G05-963926</t>
  </si>
  <si>
    <t>G11-993926</t>
  </si>
  <si>
    <t>G11-993952</t>
  </si>
  <si>
    <t>H00-1001131</t>
  </si>
  <si>
    <t>H01-993356</t>
  </si>
  <si>
    <t>L00-1016372</t>
  </si>
  <si>
    <t>L00-1016373</t>
  </si>
  <si>
    <t>L00-1016381</t>
  </si>
  <si>
    <t>L00-1016414</t>
  </si>
  <si>
    <t>L00-1016452</t>
  </si>
  <si>
    <t>L00-1016465</t>
  </si>
  <si>
    <t>L00-1016508</t>
  </si>
  <si>
    <t>L00-1016547</t>
  </si>
  <si>
    <t>L00-1016653</t>
  </si>
  <si>
    <t>L00-1016690</t>
  </si>
  <si>
    <t>L00-1016693</t>
  </si>
  <si>
    <t>L00-1016697</t>
  </si>
  <si>
    <t>L00-1017271</t>
  </si>
  <si>
    <t>L00-1017277</t>
  </si>
  <si>
    <t>L00-1017330</t>
  </si>
  <si>
    <t>L00-1017402</t>
  </si>
  <si>
    <t>L00-1017429</t>
  </si>
  <si>
    <t>L00-1017918</t>
  </si>
  <si>
    <t>L06-994399</t>
  </si>
  <si>
    <t>L06-994424</t>
  </si>
  <si>
    <t>L07-978289</t>
  </si>
  <si>
    <t>L07-978305</t>
  </si>
  <si>
    <t>L07-978307</t>
  </si>
  <si>
    <t>M11-919230</t>
  </si>
  <si>
    <t>M14-980736</t>
  </si>
  <si>
    <t>M14-980798</t>
  </si>
  <si>
    <t>M14-980802</t>
  </si>
  <si>
    <t>M20-1002475</t>
  </si>
  <si>
    <t>M20-1002479</t>
  </si>
  <si>
    <t>MH0-582239</t>
  </si>
  <si>
    <t>P00-996155</t>
  </si>
  <si>
    <t>P00-996232</t>
  </si>
  <si>
    <t>P00-996257</t>
  </si>
  <si>
    <t>P06-997055</t>
  </si>
  <si>
    <t>Q02-930555</t>
  </si>
  <si>
    <t>T03-999845</t>
  </si>
  <si>
    <t>Y11-983818</t>
  </si>
  <si>
    <t>Y11-983821</t>
  </si>
  <si>
    <t>C00-999327</t>
  </si>
  <si>
    <t>C00-999348</t>
  </si>
  <si>
    <t>C01-995779</t>
  </si>
  <si>
    <t>D00-1010182</t>
  </si>
  <si>
    <t>D00-1010200</t>
  </si>
  <si>
    <t>D00-1010202</t>
  </si>
  <si>
    <t>D70-1004488</t>
  </si>
  <si>
    <t>D70-1004489</t>
  </si>
  <si>
    <t>F02-996542</t>
  </si>
  <si>
    <t>G05-963903</t>
  </si>
  <si>
    <t>G05-963912</t>
  </si>
  <si>
    <t>G05-963965</t>
  </si>
  <si>
    <t>G11-993928</t>
  </si>
  <si>
    <t>G11-993931</t>
  </si>
  <si>
    <t>H00-1001158</t>
  </si>
  <si>
    <t>L00-1016399</t>
  </si>
  <si>
    <t>L00-1016431</t>
  </si>
  <si>
    <t>L00-1016449</t>
  </si>
  <si>
    <t>L00-1016466</t>
  </si>
  <si>
    <t>L00-1016538</t>
  </si>
  <si>
    <t>L00-1016570</t>
  </si>
  <si>
    <t>L00-1016571</t>
  </si>
  <si>
    <t>L00-1016616</t>
  </si>
  <si>
    <t>L00-1016657</t>
  </si>
  <si>
    <t>L00-1016663</t>
  </si>
  <si>
    <t>L00-1016668</t>
  </si>
  <si>
    <t>L00-1016672</t>
  </si>
  <si>
    <t>L00-1016701</t>
  </si>
  <si>
    <t>L00-1017325</t>
  </si>
  <si>
    <t>L07-978304</t>
  </si>
  <si>
    <t>L07-978311</t>
  </si>
  <si>
    <t>L07-978361</t>
  </si>
  <si>
    <t>L07-978362</t>
  </si>
  <si>
    <t>M00-1000018</t>
  </si>
  <si>
    <t>M05-1000853</t>
  </si>
  <si>
    <t>M20-1002439</t>
  </si>
  <si>
    <t>MC1-998640</t>
  </si>
  <si>
    <t>MSJ-232190</t>
  </si>
  <si>
    <t>MSJ-232197</t>
  </si>
  <si>
    <t>P01-998216</t>
  </si>
  <si>
    <t>P07-995060</t>
  </si>
  <si>
    <t>P07-995079</t>
  </si>
  <si>
    <t>P07-995080</t>
  </si>
  <si>
    <t>Q00-999428</t>
  </si>
  <si>
    <t>Q02-930499</t>
  </si>
  <si>
    <t>Q02-930518</t>
  </si>
  <si>
    <t>Q02-930521</t>
  </si>
  <si>
    <t>Q02-930532</t>
  </si>
  <si>
    <t>Q02-930707</t>
  </si>
  <si>
    <t>T00-999345</t>
  </si>
  <si>
    <t>T02-998324</t>
  </si>
  <si>
    <t>Y00-1002115</t>
  </si>
  <si>
    <t>Y00-1002116</t>
  </si>
  <si>
    <t>Y00-1002148</t>
  </si>
  <si>
    <t>Y00-1002149</t>
  </si>
  <si>
    <t>Y00-1002158</t>
  </si>
  <si>
    <t>Y00-1002159</t>
  </si>
  <si>
    <t>Y00-1002177</t>
  </si>
  <si>
    <t>Y00-1002215</t>
  </si>
  <si>
    <t>C01-995800</t>
  </si>
  <si>
    <t>D00-1010085</t>
  </si>
  <si>
    <t>D00-1010107</t>
  </si>
  <si>
    <t>D00-1010109</t>
  </si>
  <si>
    <t>D00-1010114</t>
  </si>
  <si>
    <t>D00-1010135</t>
  </si>
  <si>
    <t>D70-1004442</t>
  </si>
  <si>
    <t>D70-1004451</t>
  </si>
  <si>
    <t>D70-1004534</t>
  </si>
  <si>
    <t>D70-1004598</t>
  </si>
  <si>
    <t>D70-1004599</t>
  </si>
  <si>
    <t>D70-1004721</t>
  </si>
  <si>
    <t>D70-1004722</t>
  </si>
  <si>
    <t>G00-996810</t>
  </si>
  <si>
    <t>G00-996811</t>
  </si>
  <si>
    <t>G00-996820</t>
  </si>
  <si>
    <t>G11-993930</t>
  </si>
  <si>
    <t>L00-1016418</t>
  </si>
  <si>
    <t>L00-1016439</t>
  </si>
  <si>
    <t>L00-1016443</t>
  </si>
  <si>
    <t>L00-1016459</t>
  </si>
  <si>
    <t>L00-1016469</t>
  </si>
  <si>
    <t>L00-1016505</t>
  </si>
  <si>
    <t>L00-1016525</t>
  </si>
  <si>
    <t>L00-1016585</t>
  </si>
  <si>
    <t>L00-1016594</t>
  </si>
  <si>
    <t>L00-1016658</t>
  </si>
  <si>
    <t>L00-1017314</t>
  </si>
  <si>
    <t>L00-1017356</t>
  </si>
  <si>
    <t>L01-999357</t>
  </si>
  <si>
    <t>L06-994401</t>
  </si>
  <si>
    <t>L07-978286</t>
  </si>
  <si>
    <t>M11-919235</t>
  </si>
  <si>
    <t>M11-919273</t>
  </si>
  <si>
    <t>M14-980740</t>
  </si>
  <si>
    <t>MC1-998644</t>
  </si>
  <si>
    <t>MC1-998652</t>
  </si>
  <si>
    <t>MC1-998674</t>
  </si>
  <si>
    <t>P01-998178</t>
  </si>
  <si>
    <t>P06-997056</t>
  </si>
  <si>
    <t>Q02-930500</t>
  </si>
  <si>
    <t>T00-999303</t>
  </si>
  <si>
    <t>Y00-1002125</t>
  </si>
  <si>
    <t>Y00-1002164</t>
  </si>
  <si>
    <t>Y00-1002210</t>
  </si>
  <si>
    <t>Y00-1002218</t>
  </si>
  <si>
    <t>Y00-1002293</t>
  </si>
  <si>
    <t>Y01-811213</t>
  </si>
  <si>
    <t>C00-999338</t>
  </si>
  <si>
    <t>C00-999345</t>
  </si>
  <si>
    <t>C01-995771</t>
  </si>
  <si>
    <t>C01-995775</t>
  </si>
  <si>
    <t>C01-995790</t>
  </si>
  <si>
    <t>D00-1009949</t>
  </si>
  <si>
    <t>D00-1009956</t>
  </si>
  <si>
    <t>D00-1009961</t>
  </si>
  <si>
    <t>D00-1009965</t>
  </si>
  <si>
    <t>D00-1010025</t>
  </si>
  <si>
    <t>D00-1010030</t>
  </si>
  <si>
    <t>D00-1010054</t>
  </si>
  <si>
    <t>D00-1010130</t>
  </si>
  <si>
    <t>D00-1010131</t>
  </si>
  <si>
    <t>D00-1010139</t>
  </si>
  <si>
    <t>D00-1010143</t>
  </si>
  <si>
    <t>D00-1010144</t>
  </si>
  <si>
    <t>D00-1010145</t>
  </si>
  <si>
    <t>D00-1010152</t>
  </si>
  <si>
    <t>D00-1010159</t>
  </si>
  <si>
    <t>D00-1010162</t>
  </si>
  <si>
    <t>D00-1010168</t>
  </si>
  <si>
    <t>D00-1010174</t>
  </si>
  <si>
    <t>D00-1010183</t>
  </si>
  <si>
    <t>D00-1010187</t>
  </si>
  <si>
    <t>D00-1010192</t>
  </si>
  <si>
    <t>D00-1010195</t>
  </si>
  <si>
    <t>D00-1010199</t>
  </si>
  <si>
    <t>D00-1010206</t>
  </si>
  <si>
    <t>D00-1010244</t>
  </si>
  <si>
    <t>D00-1010291</t>
  </si>
  <si>
    <t>D00-1010294</t>
  </si>
  <si>
    <t>D00-1010296</t>
  </si>
  <si>
    <t>D00-1010326</t>
  </si>
  <si>
    <t>D00-1010472</t>
  </si>
  <si>
    <t>D00-1010634</t>
  </si>
  <si>
    <t>D00-1010711</t>
  </si>
  <si>
    <t>D00-1010738</t>
  </si>
  <si>
    <t>D00-1010949</t>
  </si>
  <si>
    <t>D00-1010983</t>
  </si>
  <si>
    <t>D70-1004445</t>
  </si>
  <si>
    <t>D70-1004446</t>
  </si>
  <si>
    <t>D70-1004447</t>
  </si>
  <si>
    <t>D70-1004452</t>
  </si>
  <si>
    <t>D70-1004500</t>
  </si>
  <si>
    <t>D70-1004501</t>
  </si>
  <si>
    <t>D70-1004503</t>
  </si>
  <si>
    <t>D70-1004523</t>
  </si>
  <si>
    <t>D70-1004540</t>
  </si>
  <si>
    <t>D70-1004546</t>
  </si>
  <si>
    <t>D70-1004552</t>
  </si>
  <si>
    <t>D70-1004554</t>
  </si>
  <si>
    <t>D70-1004733</t>
  </si>
  <si>
    <t>D70-1004758</t>
  </si>
  <si>
    <t>D70-1004899</t>
  </si>
  <si>
    <t>E00-996375</t>
  </si>
  <si>
    <t>F04-975865</t>
  </si>
  <si>
    <t>F04-975880</t>
  </si>
  <si>
    <t>F04-975899</t>
  </si>
  <si>
    <t>F04-975913</t>
  </si>
  <si>
    <t>F04-975961</t>
  </si>
  <si>
    <t>F04-975977</t>
  </si>
  <si>
    <t>G05-963960</t>
  </si>
  <si>
    <t>G11-993922</t>
  </si>
  <si>
    <t>H00-1001135</t>
  </si>
  <si>
    <t>H00-1001148</t>
  </si>
  <si>
    <t>H00-1001175</t>
  </si>
  <si>
    <t>H00-1001225</t>
  </si>
  <si>
    <t>L00-1016340</t>
  </si>
  <si>
    <t>L00-1016352</t>
  </si>
  <si>
    <t>L00-1016368</t>
  </si>
  <si>
    <t>L00-1016407</t>
  </si>
  <si>
    <t>L00-1016509</t>
  </si>
  <si>
    <t>L00-1016520</t>
  </si>
  <si>
    <t>L00-1016529</t>
  </si>
  <si>
    <t>L00-1016532</t>
  </si>
  <si>
    <t>L00-1016548</t>
  </si>
  <si>
    <t>L00-1016550</t>
  </si>
  <si>
    <t>L00-1016556</t>
  </si>
  <si>
    <t>L00-1016558</t>
  </si>
  <si>
    <t>L00-1016584</t>
  </si>
  <si>
    <t>L00-1016589</t>
  </si>
  <si>
    <t>L00-1016631</t>
  </si>
  <si>
    <t>L00-1016646</t>
  </si>
  <si>
    <t>L00-1016647</t>
  </si>
  <si>
    <t>L00-1016670</t>
  </si>
  <si>
    <t>L00-1016691</t>
  </si>
  <si>
    <t>L00-1016734</t>
  </si>
  <si>
    <t>L00-1016843</t>
  </si>
  <si>
    <t>L00-1016847</t>
  </si>
  <si>
    <t>L00-1017294</t>
  </si>
  <si>
    <t>L00-1017296</t>
  </si>
  <si>
    <t>L00-1017387</t>
  </si>
  <si>
    <t>L00-1017398</t>
  </si>
  <si>
    <t>L00-1017400</t>
  </si>
  <si>
    <t>L01-999355</t>
  </si>
  <si>
    <t>L01-999368</t>
  </si>
  <si>
    <t>L06-994356</t>
  </si>
  <si>
    <t>L06-994392</t>
  </si>
  <si>
    <t>L06-994425</t>
  </si>
  <si>
    <t>L06-994547</t>
  </si>
  <si>
    <t>L07-978277</t>
  </si>
  <si>
    <t>L07-978279</t>
  </si>
  <si>
    <t>L07-978290</t>
  </si>
  <si>
    <t>L07-978318</t>
  </si>
  <si>
    <t>L07-978321</t>
  </si>
  <si>
    <t>L07-978322</t>
  </si>
  <si>
    <t>M00-1000017</t>
  </si>
  <si>
    <t>M00-1000193</t>
  </si>
  <si>
    <t>M05-1000873</t>
  </si>
  <si>
    <t>M11-919227</t>
  </si>
  <si>
    <t>M14-980750</t>
  </si>
  <si>
    <t>M14-980760</t>
  </si>
  <si>
    <t>M14-980801</t>
  </si>
  <si>
    <t>M20-1002432</t>
  </si>
  <si>
    <t>M20-1002476</t>
  </si>
  <si>
    <t>MC1-998643</t>
  </si>
  <si>
    <t>MC1-998654</t>
  </si>
  <si>
    <t>MC1-998655</t>
  </si>
  <si>
    <t>MC1-998656</t>
  </si>
  <si>
    <t>MC1-998659</t>
  </si>
  <si>
    <t>MC1-998698</t>
  </si>
  <si>
    <t>MC7-12160</t>
  </si>
  <si>
    <t>MCC-30</t>
  </si>
  <si>
    <t>MH0-582240</t>
  </si>
  <si>
    <t>MH0-582241</t>
  </si>
  <si>
    <t>ML0-226222</t>
  </si>
  <si>
    <t>P00-996145</t>
  </si>
  <si>
    <t>P00-996162</t>
  </si>
  <si>
    <t>P00-996256</t>
  </si>
  <si>
    <t>P01-998179</t>
  </si>
  <si>
    <t>Q00-999414</t>
  </si>
  <si>
    <t>Q02-930501</t>
  </si>
  <si>
    <t>Q02-930528</t>
  </si>
  <si>
    <t>T00-999288</t>
  </si>
  <si>
    <t>T00-999299</t>
  </si>
  <si>
    <t>T00-999310</t>
  </si>
  <si>
    <t>Y00-1002113</t>
  </si>
  <si>
    <t>Y00-1002174</t>
  </si>
  <si>
    <t>Y00-1002211</t>
  </si>
  <si>
    <t>Y01-811214</t>
  </si>
  <si>
    <t>Y01-811215</t>
  </si>
  <si>
    <t>Y01-811217</t>
  </si>
  <si>
    <t>Y01-811218</t>
  </si>
  <si>
    <t>Y02-993436</t>
  </si>
  <si>
    <t>Y11-983792</t>
  </si>
  <si>
    <t>Y17-862328</t>
  </si>
  <si>
    <t>C00-999325</t>
  </si>
  <si>
    <t>C01-995780</t>
  </si>
  <si>
    <t>C01-995789</t>
  </si>
  <si>
    <t>D00-1010033</t>
  </si>
  <si>
    <t>D00-1010038</t>
  </si>
  <si>
    <t>D00-1010158</t>
  </si>
  <si>
    <t>D00-1010402</t>
  </si>
  <si>
    <t>D70-1004457</t>
  </si>
  <si>
    <t>D70-1004725</t>
  </si>
  <si>
    <t>F02-996529</t>
  </si>
  <si>
    <t>F02-996531</t>
  </si>
  <si>
    <t>F04-975879</t>
  </si>
  <si>
    <t>G05-963910</t>
  </si>
  <si>
    <t>G05-963924</t>
  </si>
  <si>
    <t>H00-1001127</t>
  </si>
  <si>
    <t>H00-1001230</t>
  </si>
  <si>
    <t>H01-993346</t>
  </si>
  <si>
    <t>H01-993366</t>
  </si>
  <si>
    <t>L00-1016359</t>
  </si>
  <si>
    <t>L00-1016405</t>
  </si>
  <si>
    <t>L00-1016506</t>
  </si>
  <si>
    <t>L00-1016534</t>
  </si>
  <si>
    <t>L00-1016650</t>
  </si>
  <si>
    <t>L00-1016660</t>
  </si>
  <si>
    <t>L00-1016694</t>
  </si>
  <si>
    <t>L00-1016796</t>
  </si>
  <si>
    <t>L00-1017336</t>
  </si>
  <si>
    <t>L00-1017353</t>
  </si>
  <si>
    <t>L01-999375</t>
  </si>
  <si>
    <t>L06-994345</t>
  </si>
  <si>
    <t>L06-994360</t>
  </si>
  <si>
    <t>L06-994368</t>
  </si>
  <si>
    <t>L06-994372</t>
  </si>
  <si>
    <t>L06-994432</t>
  </si>
  <si>
    <t>L06-994533</t>
  </si>
  <si>
    <t>L06-994535</t>
  </si>
  <si>
    <t>M14-980733</t>
  </si>
  <si>
    <t>M14-980748</t>
  </si>
  <si>
    <t>M20-1002441</t>
  </si>
  <si>
    <t>M20-1002470</t>
  </si>
  <si>
    <t>M20-1002471</t>
  </si>
  <si>
    <t>M20-1002557</t>
  </si>
  <si>
    <t>M20-1002562</t>
  </si>
  <si>
    <t>M20-1002573</t>
  </si>
  <si>
    <t>MC1-998647</t>
  </si>
  <si>
    <t>P00-996115</t>
  </si>
  <si>
    <t>P00-996136</t>
  </si>
  <si>
    <t>P00-996167</t>
  </si>
  <si>
    <t>P01-998194</t>
  </si>
  <si>
    <t>P01-998215</t>
  </si>
  <si>
    <t>Q02-930531</t>
  </si>
  <si>
    <t>Q02-930547</t>
  </si>
  <si>
    <t>Q02-930620</t>
  </si>
  <si>
    <t>T00-999304</t>
  </si>
  <si>
    <t>T00-999309</t>
  </si>
  <si>
    <t>T02-998346</t>
  </si>
  <si>
    <t>Y00-1002101</t>
  </si>
  <si>
    <t>Y00-1002136</t>
  </si>
  <si>
    <t>Y00-1002289</t>
  </si>
  <si>
    <t>Y01-811224</t>
  </si>
  <si>
    <t>Y01-811225</t>
  </si>
  <si>
    <t>Y11-983790</t>
  </si>
  <si>
    <t>Y11-983820</t>
  </si>
  <si>
    <t>Y11-989392</t>
  </si>
  <si>
    <t>C00-999412</t>
  </si>
  <si>
    <t>C01-995910</t>
  </si>
  <si>
    <t>D00-1010028</t>
  </si>
  <si>
    <t>D00-1010031</t>
  </si>
  <si>
    <t>D00-1010106</t>
  </si>
  <si>
    <t>D00-1010110</t>
  </si>
  <si>
    <t>D00-1010115</t>
  </si>
  <si>
    <t>D00-1010259</t>
  </si>
  <si>
    <t>D00-1010289</t>
  </si>
  <si>
    <t>D00-1010360</t>
  </si>
  <si>
    <t>D00-1010962</t>
  </si>
  <si>
    <t>D00-1010989</t>
  </si>
  <si>
    <t>D70-1004535</t>
  </si>
  <si>
    <t>G05-963931</t>
  </si>
  <si>
    <t>G11-993937</t>
  </si>
  <si>
    <t>G22-156227</t>
  </si>
  <si>
    <t>H00-1001151</t>
  </si>
  <si>
    <t>H00-1001152</t>
  </si>
  <si>
    <t>H00-1001229</t>
  </si>
  <si>
    <t>H01-993347</t>
  </si>
  <si>
    <t>H01-993352</t>
  </si>
  <si>
    <t>L00-1016343</t>
  </si>
  <si>
    <t>L00-1016369</t>
  </si>
  <si>
    <t>L00-1016400</t>
  </si>
  <si>
    <t>L00-1016432</t>
  </si>
  <si>
    <t>L00-1016661</t>
  </si>
  <si>
    <t>L00-1016684</t>
  </si>
  <si>
    <t>L00-1016804</t>
  </si>
  <si>
    <t>L00-1017300</t>
  </si>
  <si>
    <t>L00-1017345</t>
  </si>
  <si>
    <t>L01-999440</t>
  </si>
  <si>
    <t>L06-994346</t>
  </si>
  <si>
    <t>L06-994352</t>
  </si>
  <si>
    <t>L07-978281</t>
  </si>
  <si>
    <t>L07-978298</t>
  </si>
  <si>
    <t>L07-978301</t>
  </si>
  <si>
    <t>M11-919232</t>
  </si>
  <si>
    <t>M11-919234</t>
  </si>
  <si>
    <t>M20-1002454</t>
  </si>
  <si>
    <t>M20-1002464</t>
  </si>
  <si>
    <t>M20-1002589</t>
  </si>
  <si>
    <t>ML0-226221</t>
  </si>
  <si>
    <t>P00-996110</t>
  </si>
  <si>
    <t>P00-996113</t>
  </si>
  <si>
    <t>P00-996116</t>
  </si>
  <si>
    <t>P00-996154</t>
  </si>
  <si>
    <t>P01-998167</t>
  </si>
  <si>
    <t>P01-998176</t>
  </si>
  <si>
    <t>P01-998184</t>
  </si>
  <si>
    <t>Q02-930523</t>
  </si>
  <si>
    <t>Q02-930536</t>
  </si>
  <si>
    <t>Q02-930546</t>
  </si>
  <si>
    <t>Y00-1002108</t>
  </si>
  <si>
    <t>Y00-1002130</t>
  </si>
  <si>
    <t>Y00-1002131</t>
  </si>
  <si>
    <t>Y00-1002161</t>
  </si>
  <si>
    <t>Y00-1002175</t>
  </si>
  <si>
    <t>Y00-1002179</t>
  </si>
  <si>
    <t>Y00-1002181</t>
  </si>
  <si>
    <t>Y00-1002206</t>
  </si>
  <si>
    <t>Y02-993445</t>
  </si>
  <si>
    <t>C00-999333</t>
  </si>
  <si>
    <t>C00-999340</t>
  </si>
  <si>
    <t>C00-999344</t>
  </si>
  <si>
    <t>C01-995777</t>
  </si>
  <si>
    <t>C01-995782</t>
  </si>
  <si>
    <t>C01-995793</t>
  </si>
  <si>
    <t>D00-1009996</t>
  </si>
  <si>
    <t>D00-1010163</t>
  </si>
  <si>
    <t>D00-1010170</t>
  </si>
  <si>
    <t>D00-1010859</t>
  </si>
  <si>
    <t>D70-1004550</t>
  </si>
  <si>
    <t>D70-1004726</t>
  </si>
  <si>
    <t>D70-1004730</t>
  </si>
  <si>
    <t>D70-1004748</t>
  </si>
  <si>
    <t>F02-996530</t>
  </si>
  <si>
    <t>F04-975904</t>
  </si>
  <si>
    <t>F04-975952</t>
  </si>
  <si>
    <t>F04-975960</t>
  </si>
  <si>
    <t>F14-102145</t>
  </si>
  <si>
    <t>G05-963905</t>
  </si>
  <si>
    <t>G05-963919</t>
  </si>
  <si>
    <t>G05-963920</t>
  </si>
  <si>
    <t>G05-963921</t>
  </si>
  <si>
    <t>G05-963923</t>
  </si>
  <si>
    <t>G11-993920</t>
  </si>
  <si>
    <t>G11-993953</t>
  </si>
  <si>
    <t>G11-993954</t>
  </si>
  <si>
    <t>H00-1001129</t>
  </si>
  <si>
    <t>H00-1001134</t>
  </si>
  <si>
    <t>H00-1001138</t>
  </si>
  <si>
    <t>H00-1001176</t>
  </si>
  <si>
    <t>H00-1001220</t>
  </si>
  <si>
    <t>H01-993355</t>
  </si>
  <si>
    <t>H01-993359</t>
  </si>
  <si>
    <t>L00-1016345</t>
  </si>
  <si>
    <t>L00-1016406</t>
  </si>
  <si>
    <t>L00-1016476</t>
  </si>
  <si>
    <t>L00-1016497</t>
  </si>
  <si>
    <t>L00-1016526</t>
  </si>
  <si>
    <t>L00-1016586</t>
  </si>
  <si>
    <t>L00-1016752</t>
  </si>
  <si>
    <t>L00-1016795</t>
  </si>
  <si>
    <t>L00-1016805</t>
  </si>
  <si>
    <t>L00-1017315</t>
  </si>
  <si>
    <t>L01-999442</t>
  </si>
  <si>
    <t>L06-994353</t>
  </si>
  <si>
    <t>L06-994364</t>
  </si>
  <si>
    <t>L06-994366</t>
  </si>
  <si>
    <t>L07-978282</t>
  </si>
  <si>
    <t>L07-978285</t>
  </si>
  <si>
    <t>L07-978363</t>
  </si>
  <si>
    <t>M05-1000849</t>
  </si>
  <si>
    <t>M05-1000886</t>
  </si>
  <si>
    <t>M11-919254</t>
  </si>
  <si>
    <t>M14-980799</t>
  </si>
  <si>
    <t>M20-1002449</t>
  </si>
  <si>
    <t>M20-1002459</t>
  </si>
  <si>
    <t>M20-1002463</t>
  </si>
  <si>
    <t>M20-1002567</t>
  </si>
  <si>
    <t>MC1-998693</t>
  </si>
  <si>
    <t>P00-996133</t>
  </si>
  <si>
    <t>P00-996165</t>
  </si>
  <si>
    <t>P01-998173</t>
  </si>
  <si>
    <t>P06-997049</t>
  </si>
  <si>
    <t>Q02-930515</t>
  </si>
  <si>
    <t>Q02-930622</t>
  </si>
  <si>
    <t>T02-998319</t>
  </si>
  <si>
    <t>T02-998347</t>
  </si>
  <si>
    <t>T03-999844</t>
  </si>
  <si>
    <t>Y00-1002145</t>
  </si>
  <si>
    <t>Y00-1002162</t>
  </si>
  <si>
    <t>Y00-1002163</t>
  </si>
  <si>
    <t>Y00-1002180</t>
  </si>
  <si>
    <t>Y00-1002207</t>
  </si>
  <si>
    <t>Y00-1002216</t>
  </si>
  <si>
    <t>Y00-1002286</t>
  </si>
  <si>
    <t>Y00-1002294</t>
  </si>
  <si>
    <t>Y00-1002296</t>
  </si>
  <si>
    <t>Y00-1002394</t>
  </si>
  <si>
    <t>Y02-993439</t>
  </si>
  <si>
    <t>C01-995804</t>
  </si>
  <si>
    <t>D00-1009962</t>
  </si>
  <si>
    <t>D00-1009997</t>
  </si>
  <si>
    <t>D00-1010049</t>
  </si>
  <si>
    <t>D00-1010126</t>
  </si>
  <si>
    <t>D00-1010138</t>
  </si>
  <si>
    <t>D00-1010173</t>
  </si>
  <si>
    <t>D00-1010281</t>
  </si>
  <si>
    <t>D00-1010637</t>
  </si>
  <si>
    <t>D00-1010879</t>
  </si>
  <si>
    <t>F04-975888</t>
  </si>
  <si>
    <t>F04-975900</t>
  </si>
  <si>
    <t>G00-996822</t>
  </si>
  <si>
    <t>G05-963915</t>
  </si>
  <si>
    <t>G05-963916</t>
  </si>
  <si>
    <t>G05-963968</t>
  </si>
  <si>
    <t>H00-1001123</t>
  </si>
  <si>
    <t>H00-1001124</t>
  </si>
  <si>
    <t>H00-1001126</t>
  </si>
  <si>
    <t>H00-1001143</t>
  </si>
  <si>
    <t>H00-1001161</t>
  </si>
  <si>
    <t>H00-1001291</t>
  </si>
  <si>
    <t>L00-1016378</t>
  </si>
  <si>
    <t>L00-1016491</t>
  </si>
  <si>
    <t>L00-1016533</t>
  </si>
  <si>
    <t>L00-1016542</t>
  </si>
  <si>
    <t>L00-1016618</t>
  </si>
  <si>
    <t>L00-1016622</t>
  </si>
  <si>
    <t>L00-1016623</t>
  </si>
  <si>
    <t>L00-1017319</t>
  </si>
  <si>
    <t>L00-1017320</t>
  </si>
  <si>
    <t>L00-1017343</t>
  </si>
  <si>
    <t>L06-994421</t>
  </si>
  <si>
    <t>L07-978297</t>
  </si>
  <si>
    <t>M00-1000002</t>
  </si>
  <si>
    <t>M11-919260</t>
  </si>
  <si>
    <t>M11-919266</t>
  </si>
  <si>
    <t>M11-919338</t>
  </si>
  <si>
    <t>M11-919339</t>
  </si>
  <si>
    <t>M11-919342</t>
  </si>
  <si>
    <t>M11-919343</t>
  </si>
  <si>
    <t>M14-980737</t>
  </si>
  <si>
    <t>M20-1002440</t>
  </si>
  <si>
    <t>M20-1002466</t>
  </si>
  <si>
    <t>MC1-998638</t>
  </si>
  <si>
    <t>P00-996124</t>
  </si>
  <si>
    <t>P00-996126</t>
  </si>
  <si>
    <t>P00-996129</t>
  </si>
  <si>
    <t>P12-761</t>
  </si>
  <si>
    <t>Q00-999403</t>
  </si>
  <si>
    <t>Q02-930497</t>
  </si>
  <si>
    <t>Q02-930522</t>
  </si>
  <si>
    <t>Y00-1002103</t>
  </si>
  <si>
    <t>Y00-1002105</t>
  </si>
  <si>
    <t>Y00-1002106</t>
  </si>
  <si>
    <t>Y00-1002120</t>
  </si>
  <si>
    <t>Y00-1002292</t>
  </si>
  <si>
    <t>Y00-1002395</t>
  </si>
  <si>
    <t>C00-999326</t>
  </si>
  <si>
    <t>C00-999331</t>
  </si>
  <si>
    <t>C00-999343</t>
  </si>
  <si>
    <t>C00-999416</t>
  </si>
  <si>
    <t>C01-995786</t>
  </si>
  <si>
    <t>C01-995792</t>
  </si>
  <si>
    <t>D00-1010086</t>
  </si>
  <si>
    <t>D00-1010087</t>
  </si>
  <si>
    <t>D00-1010140</t>
  </si>
  <si>
    <t>D00-1010197</t>
  </si>
  <si>
    <t>D70-1004456</t>
  </si>
  <si>
    <t>D70-1004461</t>
  </si>
  <si>
    <t>D70-1004531</t>
  </si>
  <si>
    <t>D70-1004573</t>
  </si>
  <si>
    <t>G00-996809</t>
  </si>
  <si>
    <t>G00-996814</t>
  </si>
  <si>
    <t>G00-996815</t>
  </si>
  <si>
    <t>G00-996821</t>
  </si>
  <si>
    <t>G11-993921</t>
  </si>
  <si>
    <t>G11-993951</t>
  </si>
  <si>
    <t>H00-1001153</t>
  </si>
  <si>
    <t>L00-1016379</t>
  </si>
  <si>
    <t>L00-1016440</t>
  </si>
  <si>
    <t>L00-1016524</t>
  </si>
  <si>
    <t>L00-1016593</t>
  </si>
  <si>
    <t>L00-1016667</t>
  </si>
  <si>
    <t>L00-1016669</t>
  </si>
  <si>
    <t>L00-1016676</t>
  </si>
  <si>
    <t>L00-1016695</t>
  </si>
  <si>
    <t>L00-1016696</t>
  </si>
  <si>
    <t>L00-1016703</t>
  </si>
  <si>
    <t>L01-999372</t>
  </si>
  <si>
    <t>L07-978275</t>
  </si>
  <si>
    <t>M00-1000004</t>
  </si>
  <si>
    <t>M05-1000867</t>
  </si>
  <si>
    <t>M05-1000908</t>
  </si>
  <si>
    <t>M20-1002429</t>
  </si>
  <si>
    <t>M20-1002474</t>
  </si>
  <si>
    <t>MC1-998650</t>
  </si>
  <si>
    <t>P00-996153</t>
  </si>
  <si>
    <t>P00-996241</t>
  </si>
  <si>
    <t>P08-356191</t>
  </si>
  <si>
    <t>Q02-930514</t>
  </si>
  <si>
    <t>Q02-930525</t>
  </si>
  <si>
    <t>Q02-930535</t>
  </si>
  <si>
    <t>Q02-930537</t>
  </si>
  <si>
    <t>T00-999306</t>
  </si>
  <si>
    <t>T00-999349</t>
  </si>
  <si>
    <t>Y00-1002109</t>
  </si>
  <si>
    <t>Y00-1002140</t>
  </si>
  <si>
    <t>Y00-1002151</t>
  </si>
  <si>
    <t>Y00-1002152</t>
  </si>
  <si>
    <t>Y00-1002168</t>
  </si>
  <si>
    <t>Y00-1002182</t>
  </si>
  <si>
    <t>Y00-1002219</t>
  </si>
  <si>
    <t>Y00-1002428</t>
  </si>
  <si>
    <t>Y11-983791</t>
  </si>
  <si>
    <t>C00-999337</t>
  </si>
  <si>
    <t>C16-806660</t>
  </si>
  <si>
    <t>D00-1009957</t>
  </si>
  <si>
    <t>D00-1009988</t>
  </si>
  <si>
    <t>D00-1010051</t>
  </si>
  <si>
    <t>D00-1010090</t>
  </si>
  <si>
    <t>D00-1010127</t>
  </si>
  <si>
    <t>D00-1010156</t>
  </si>
  <si>
    <t>D00-1010198</t>
  </si>
  <si>
    <t>D70-1004484</t>
  </si>
  <si>
    <t>D70-1004563</t>
  </si>
  <si>
    <t>D70-1004740</t>
  </si>
  <si>
    <t>F02-996540</t>
  </si>
  <si>
    <t>F02-996548</t>
  </si>
  <si>
    <t>F02-996583</t>
  </si>
  <si>
    <t>F02-996602</t>
  </si>
  <si>
    <t>F04-975903</t>
  </si>
  <si>
    <t>F14-102147</t>
  </si>
  <si>
    <t>G00-996823</t>
  </si>
  <si>
    <t>G00-996877</t>
  </si>
  <si>
    <t>G11-993918</t>
  </si>
  <si>
    <t>G11-993919</t>
  </si>
  <si>
    <t>G11-993933</t>
  </si>
  <si>
    <t>L00-1016435</t>
  </si>
  <si>
    <t>L00-1016444</t>
  </si>
  <si>
    <t>L00-1016454</t>
  </si>
  <si>
    <t>L00-1016467</t>
  </si>
  <si>
    <t>L00-1016543</t>
  </si>
  <si>
    <t>L00-1016581</t>
  </si>
  <si>
    <t>L00-1016617</t>
  </si>
  <si>
    <t>L00-1016640</t>
  </si>
  <si>
    <t>L00-1016705</t>
  </si>
  <si>
    <t>L00-1016808</t>
  </si>
  <si>
    <t>L00-1016809</t>
  </si>
  <si>
    <t>L00-1016814</t>
  </si>
  <si>
    <t>L00-1016816</t>
  </si>
  <si>
    <t>L00-1016817</t>
  </si>
  <si>
    <t>L00-1017282</t>
  </si>
  <si>
    <t>L00-1017413</t>
  </si>
  <si>
    <t>L00-1017448</t>
  </si>
  <si>
    <t>L01-999354</t>
  </si>
  <si>
    <t>L01-999369</t>
  </si>
  <si>
    <t>L01-999449</t>
  </si>
  <si>
    <t>L06-994344</t>
  </si>
  <si>
    <t>L06-994374</t>
  </si>
  <si>
    <t>L06-994384</t>
  </si>
  <si>
    <t>L06-994414</t>
  </si>
  <si>
    <t>L06-994544</t>
  </si>
  <si>
    <t>M00-1000069</t>
  </si>
  <si>
    <t>M05-1000860</t>
  </si>
  <si>
    <t>M05-1000862</t>
  </si>
  <si>
    <t>M05-1000871</t>
  </si>
  <si>
    <t>M05-1000872</t>
  </si>
  <si>
    <t>M11-919239</t>
  </si>
  <si>
    <t>M11-919250</t>
  </si>
  <si>
    <t>M11-919261</t>
  </si>
  <si>
    <t>M11-919263</t>
  </si>
  <si>
    <t>M11-919305</t>
  </si>
  <si>
    <t>M14-980752</t>
  </si>
  <si>
    <t>M17-582311</t>
  </si>
  <si>
    <t>M20-1002434</t>
  </si>
  <si>
    <t>M20-1002473</t>
  </si>
  <si>
    <t>M20-1002559</t>
  </si>
  <si>
    <t>MC1-998642</t>
  </si>
  <si>
    <t>MS1-999182</t>
  </si>
  <si>
    <t>MS1-999183</t>
  </si>
  <si>
    <t>MS1-999185</t>
  </si>
  <si>
    <t>MS1-999186</t>
  </si>
  <si>
    <t>MS1-999212</t>
  </si>
  <si>
    <t>MS5-913853</t>
  </si>
  <si>
    <t>MS5-913859</t>
  </si>
  <si>
    <t>P00-996131</t>
  </si>
  <si>
    <t>P00-996148</t>
  </si>
  <si>
    <t>P00-996342</t>
  </si>
  <si>
    <t>P01-998180</t>
  </si>
  <si>
    <t>P01-998219</t>
  </si>
  <si>
    <t>P06-997051</t>
  </si>
  <si>
    <t>P12-758</t>
  </si>
  <si>
    <t>Q00-999420</t>
  </si>
  <si>
    <t>Q02-930519</t>
  </si>
  <si>
    <t>Q02-930558</t>
  </si>
  <si>
    <t>Q02-930619</t>
  </si>
  <si>
    <t>T00-999298</t>
  </si>
  <si>
    <t>T02-998310</t>
  </si>
  <si>
    <t>T02-998311</t>
  </si>
  <si>
    <t>T02-998312</t>
  </si>
  <si>
    <t>T03-999843</t>
  </si>
  <si>
    <t>Y00-1002132</t>
  </si>
  <si>
    <t>Y00-1002133</t>
  </si>
  <si>
    <t>Y00-1002154</t>
  </si>
  <si>
    <t>Y00-1002155</t>
  </si>
  <si>
    <t>Y00-1002167</t>
  </si>
  <si>
    <t>Y00-1002203</t>
  </si>
  <si>
    <t>Y00-1002295</t>
  </si>
  <si>
    <t>Y01-811223</t>
  </si>
  <si>
    <t>Y01-811226</t>
  </si>
  <si>
    <t>D00-1010023</t>
  </si>
  <si>
    <t>D00-1010119</t>
  </si>
  <si>
    <t>D00-1010124</t>
  </si>
  <si>
    <t>D00-1010167</t>
  </si>
  <si>
    <t>D70-1004530</t>
  </si>
  <si>
    <t>E00-996370</t>
  </si>
  <si>
    <t>E00-996373</t>
  </si>
  <si>
    <t>F02-996582</t>
  </si>
  <si>
    <t>F04-975877</t>
  </si>
  <si>
    <t>F04-975882</t>
  </si>
  <si>
    <t>F04-975915</t>
  </si>
  <si>
    <t>F04-975958</t>
  </si>
  <si>
    <t>F04-976011</t>
  </si>
  <si>
    <t>G11-993955</t>
  </si>
  <si>
    <t>G11-993956</t>
  </si>
  <si>
    <t>H00-1001141</t>
  </si>
  <si>
    <t>H00-1001234</t>
  </si>
  <si>
    <t>L00-1016347</t>
  </si>
  <si>
    <t>L00-1016348</t>
  </si>
  <si>
    <t>L00-1016408</t>
  </si>
  <si>
    <t>L00-1016409</t>
  </si>
  <si>
    <t>L00-1016484</t>
  </si>
  <si>
    <t>L00-1016531</t>
  </si>
  <si>
    <t>L00-1016554</t>
  </si>
  <si>
    <t>L00-1016588</t>
  </si>
  <si>
    <t>L00-1016591</t>
  </si>
  <si>
    <t>L00-1016602</t>
  </si>
  <si>
    <t>L00-1016815</t>
  </si>
  <si>
    <t>L00-1017940</t>
  </si>
  <si>
    <t>L06-994373</t>
  </si>
  <si>
    <t>L06-994412</t>
  </si>
  <si>
    <t>L07-978354</t>
  </si>
  <si>
    <t>L07-978357</t>
  </si>
  <si>
    <t>M00-1000005</t>
  </si>
  <si>
    <t>M00-1000011</t>
  </si>
  <si>
    <t>M00-1000020</t>
  </si>
  <si>
    <t>M14-980814</t>
  </si>
  <si>
    <t>M14-980839</t>
  </si>
  <si>
    <t>MS1-999184</t>
  </si>
  <si>
    <t>P00-996120</t>
  </si>
  <si>
    <t>P00-996147</t>
  </si>
  <si>
    <t>P00-996160</t>
  </si>
  <si>
    <t>P06-997048</t>
  </si>
  <si>
    <t>Q00-999436</t>
  </si>
  <si>
    <t>Q00-999437</t>
  </si>
  <si>
    <t>Q00-999438</t>
  </si>
  <si>
    <t>Q02-930507</t>
  </si>
  <si>
    <t>Q02-930511</t>
  </si>
  <si>
    <t>Q02-930520</t>
  </si>
  <si>
    <t>Y00-1002110</t>
  </si>
  <si>
    <t>Y00-1002127</t>
  </si>
  <si>
    <t>Y00-1002134</t>
  </si>
  <si>
    <t>Y01-811221</t>
  </si>
  <si>
    <t>Y11-983799</t>
  </si>
  <si>
    <t>Y11-983831</t>
  </si>
  <si>
    <t>C00-999346</t>
  </si>
  <si>
    <t>C01-995776</t>
  </si>
  <si>
    <t>D00-1010210</t>
  </si>
  <si>
    <t>D70-1004479</t>
  </si>
  <si>
    <t>F04-975957</t>
  </si>
  <si>
    <t>F04-975962</t>
  </si>
  <si>
    <t>G00-996881</t>
  </si>
  <si>
    <t>G05-963914</t>
  </si>
  <si>
    <t>H00-1001139</t>
  </si>
  <si>
    <t>H01-993371</t>
  </si>
  <si>
    <t>H01-993372</t>
  </si>
  <si>
    <t>L00-1016377</t>
  </si>
  <si>
    <t>L00-1016490</t>
  </si>
  <si>
    <t>L00-1016492</t>
  </si>
  <si>
    <t>L00-1016511</t>
  </si>
  <si>
    <t>L00-1016514</t>
  </si>
  <si>
    <t>L00-1016527</t>
  </si>
  <si>
    <t>L00-1016637</t>
  </si>
  <si>
    <t>L00-1016798</t>
  </si>
  <si>
    <t>L00-1016803</t>
  </si>
  <si>
    <t>L00-1016813</t>
  </si>
  <si>
    <t>L00-1016821</t>
  </si>
  <si>
    <t>L00-1017340</t>
  </si>
  <si>
    <t>L00-1017360</t>
  </si>
  <si>
    <t>L00-1017927</t>
  </si>
  <si>
    <t>L01-999358</t>
  </si>
  <si>
    <t>L01-999520</t>
  </si>
  <si>
    <t>L06-994370</t>
  </si>
  <si>
    <t>L06-994375</t>
  </si>
  <si>
    <t>L06-994376</t>
  </si>
  <si>
    <t>L06-994393</t>
  </si>
  <si>
    <t>L06-994410</t>
  </si>
  <si>
    <t>L06-994411</t>
  </si>
  <si>
    <t>L06-994509</t>
  </si>
  <si>
    <t>L06-994536</t>
  </si>
  <si>
    <t>L06-994651</t>
  </si>
  <si>
    <t>L06-994659</t>
  </si>
  <si>
    <t>L07-978291</t>
  </si>
  <si>
    <t>L07-978306</t>
  </si>
  <si>
    <t>M14-980738</t>
  </si>
  <si>
    <t>M20-1002443</t>
  </si>
  <si>
    <t>M20-1002452</t>
  </si>
  <si>
    <t>M20-1002461</t>
  </si>
  <si>
    <t>M20-1002465</t>
  </si>
  <si>
    <t>M20-1002485</t>
  </si>
  <si>
    <t>P00-996109</t>
  </si>
  <si>
    <t>P00-996118</t>
  </si>
  <si>
    <t>P00-996138</t>
  </si>
  <si>
    <t>P00-996234</t>
  </si>
  <si>
    <t>P06-997046</t>
  </si>
  <si>
    <t>P12-765</t>
  </si>
  <si>
    <t>Q00-999417</t>
  </si>
  <si>
    <t>Q00-999425</t>
  </si>
  <si>
    <t>Q00-999426</t>
  </si>
  <si>
    <t>Q02-930491</t>
  </si>
  <si>
    <t>Q02-930554</t>
  </si>
  <si>
    <t>Q02-930557</t>
  </si>
  <si>
    <t>Y00-1002124</t>
  </si>
  <si>
    <t>Y00-1002208</t>
  </si>
  <si>
    <t>Y00-1002413</t>
  </si>
  <si>
    <t>Y02-993446</t>
  </si>
  <si>
    <t>Y02-993455</t>
  </si>
  <si>
    <t>Y15-212168</t>
  </si>
  <si>
    <t>Y17-862327</t>
  </si>
  <si>
    <t>C00-999329</t>
  </si>
  <si>
    <t>C00-999330</t>
  </si>
  <si>
    <t>C00-999342</t>
  </si>
  <si>
    <t>C00-999420</t>
  </si>
  <si>
    <t>C01-995805</t>
  </si>
  <si>
    <t>D00-1010032</t>
  </si>
  <si>
    <t>D00-1010108</t>
  </si>
  <si>
    <t>D00-1010134</t>
  </si>
  <si>
    <t>D00-1010203</t>
  </si>
  <si>
    <t>D70-1004460</t>
  </si>
  <si>
    <t>D70-1004492</t>
  </si>
  <si>
    <t>D70-1004497</t>
  </si>
  <si>
    <t>D70-1004522</t>
  </si>
  <si>
    <t>D70-1004525</t>
  </si>
  <si>
    <t>G00-996837</t>
  </si>
  <si>
    <t>G05-963896</t>
  </si>
  <si>
    <t>G05-963928</t>
  </si>
  <si>
    <t>G05-963964</t>
  </si>
  <si>
    <t>H00-1001144</t>
  </si>
  <si>
    <t>H00-1001226</t>
  </si>
  <si>
    <t>L00-1016344</t>
  </si>
  <si>
    <t>L00-1016380</t>
  </si>
  <si>
    <t>L00-1016410</t>
  </si>
  <si>
    <t>L00-1016411</t>
  </si>
  <si>
    <t>L00-1016433</t>
  </si>
  <si>
    <t>L00-1016434</t>
  </si>
  <si>
    <t>L00-1016437</t>
  </si>
  <si>
    <t>L00-1016441</t>
  </si>
  <si>
    <t>L00-1016445</t>
  </si>
  <si>
    <t>L00-1016448</t>
  </si>
  <si>
    <t>L00-1016477</t>
  </si>
  <si>
    <t>L00-1016485</t>
  </si>
  <si>
    <t>L00-1016488</t>
  </si>
  <si>
    <t>L00-1016515</t>
  </si>
  <si>
    <t>L00-1016528</t>
  </si>
  <si>
    <t>L00-1016590</t>
  </si>
  <si>
    <t>L00-1016595</t>
  </si>
  <si>
    <t>L00-1016600</t>
  </si>
  <si>
    <t>L00-1016605</t>
  </si>
  <si>
    <t>L00-1016621</t>
  </si>
  <si>
    <t>L00-1016624</t>
  </si>
  <si>
    <t>L00-1016625</t>
  </si>
  <si>
    <t>L00-1016632</t>
  </si>
  <si>
    <t>L00-1016636</t>
  </si>
  <si>
    <t>L00-1016671</t>
  </si>
  <si>
    <t>L00-1016673</t>
  </si>
  <si>
    <t>L00-1016799</t>
  </si>
  <si>
    <t>L00-1016818</t>
  </si>
  <si>
    <t>L00-1017329</t>
  </si>
  <si>
    <t>L00-1017385</t>
  </si>
  <si>
    <t>L00-1017436</t>
  </si>
  <si>
    <t>L00-1017908</t>
  </si>
  <si>
    <t>L01-999356</t>
  </si>
  <si>
    <t>L01-999363</t>
  </si>
  <si>
    <t>L01-999376</t>
  </si>
  <si>
    <t>L01-999439</t>
  </si>
  <si>
    <t>L01-999453</t>
  </si>
  <si>
    <t>L01-999507</t>
  </si>
  <si>
    <t>L06-994348</t>
  </si>
  <si>
    <t>L06-994369</t>
  </si>
  <si>
    <t>L06-994385</t>
  </si>
  <si>
    <t>L06-994405</t>
  </si>
  <si>
    <t>L06-994512</t>
  </si>
  <si>
    <t>L07-978308</t>
  </si>
  <si>
    <t>M00-1000021</t>
  </si>
  <si>
    <t>M05-1000875</t>
  </si>
  <si>
    <t>M11-919295</t>
  </si>
  <si>
    <t>M14-980735</t>
  </si>
  <si>
    <t>M17-582325</t>
  </si>
  <si>
    <t>M17-582329</t>
  </si>
  <si>
    <t>M20-1002453</t>
  </si>
  <si>
    <t>MS1-999179</t>
  </si>
  <si>
    <t>MS1-999187</t>
  </si>
  <si>
    <t>MS1-999227</t>
  </si>
  <si>
    <t>P00-996121</t>
  </si>
  <si>
    <t>P00-996139</t>
  </si>
  <si>
    <t>P00-996149</t>
  </si>
  <si>
    <t>P00-996150</t>
  </si>
  <si>
    <t>P01-998181</t>
  </si>
  <si>
    <t>P01-998218</t>
  </si>
  <si>
    <t>Q00-999422</t>
  </si>
  <si>
    <t>Q02-930505</t>
  </si>
  <si>
    <t>Q02-930526</t>
  </si>
  <si>
    <t>T00-999346</t>
  </si>
  <si>
    <t>T02-998349</t>
  </si>
  <si>
    <t>T03-999841</t>
  </si>
  <si>
    <t>Y00-1002102</t>
  </si>
  <si>
    <t>Y00-1002135</t>
  </si>
  <si>
    <t>Y00-1002137</t>
  </si>
  <si>
    <t>Y00-1002138</t>
  </si>
  <si>
    <t>Y00-1002157</t>
  </si>
  <si>
    <t>Y00-1002198</t>
  </si>
  <si>
    <t>Y00-1002301</t>
  </si>
  <si>
    <t>Y02-993440</t>
  </si>
  <si>
    <t>Y02-993454</t>
  </si>
  <si>
    <t>Y10-916206</t>
  </si>
  <si>
    <t>C00-999336</t>
  </si>
  <si>
    <t>C00-999341</t>
  </si>
  <si>
    <t>C00-999349</t>
  </si>
  <si>
    <t>C00-999414</t>
  </si>
  <si>
    <t>C00-999422</t>
  </si>
  <si>
    <t>D00-1009998</t>
  </si>
  <si>
    <t>D70-1004496</t>
  </si>
  <si>
    <t>D70-1004509</t>
  </si>
  <si>
    <t>D70-1004538</t>
  </si>
  <si>
    <t>D70-1004539</t>
  </si>
  <si>
    <t>D70-1004741</t>
  </si>
  <si>
    <t>F04-975872</t>
  </si>
  <si>
    <t>F04-975883</t>
  </si>
  <si>
    <t>F04-975954</t>
  </si>
  <si>
    <t>G00-996817</t>
  </si>
  <si>
    <t>G00-996876</t>
  </si>
  <si>
    <t>G05-963897</t>
  </si>
  <si>
    <t>G05-963918</t>
  </si>
  <si>
    <t>G11-993924</t>
  </si>
  <si>
    <t>H00-1001146</t>
  </si>
  <si>
    <t>H00-1001174</t>
  </si>
  <si>
    <t>L00-1016384</t>
  </si>
  <si>
    <t>L00-1016387</t>
  </si>
  <si>
    <t>L00-1016479</t>
  </si>
  <si>
    <t>L00-1016480</t>
  </si>
  <si>
    <t>L00-1016498</t>
  </si>
  <si>
    <t>L00-1016499</t>
  </si>
  <si>
    <t>L00-1016500</t>
  </si>
  <si>
    <t>L00-1016502</t>
  </si>
  <si>
    <t>L00-1016510</t>
  </si>
  <si>
    <t>L00-1016512</t>
  </si>
  <si>
    <t>L00-1016522</t>
  </si>
  <si>
    <t>L00-1016537</t>
  </si>
  <si>
    <t>L00-1016610</t>
  </si>
  <si>
    <t>L00-1016612</t>
  </si>
  <si>
    <t>L00-1016664</t>
  </si>
  <si>
    <t>L00-1016688</t>
  </si>
  <si>
    <t>L00-1016702</t>
  </si>
  <si>
    <t>L00-1016704</t>
  </si>
  <si>
    <t>L00-1016727</t>
  </si>
  <si>
    <t>L00-1016740</t>
  </si>
  <si>
    <t>L00-1016811</t>
  </si>
  <si>
    <t>L00-1017281</t>
  </si>
  <si>
    <t>L00-1017318</t>
  </si>
  <si>
    <t>L00-1017347</t>
  </si>
  <si>
    <t>L00-1017408</t>
  </si>
  <si>
    <t>L00-1017409</t>
  </si>
  <si>
    <t>L06-994402</t>
  </si>
  <si>
    <t>L06-994513</t>
  </si>
  <si>
    <t>L06-994543</t>
  </si>
  <si>
    <t>L06-994548</t>
  </si>
  <si>
    <t>L07-978292</t>
  </si>
  <si>
    <t>L07-978299</t>
  </si>
  <si>
    <t>L07-978300</t>
  </si>
  <si>
    <t>M05-1000864</t>
  </si>
  <si>
    <t>M11-919228</t>
  </si>
  <si>
    <t>M11-919255</t>
  </si>
  <si>
    <t>M20-1002455</t>
  </si>
  <si>
    <t>M20-1002558</t>
  </si>
  <si>
    <t>M20-1002587</t>
  </si>
  <si>
    <t>MC1-998651</t>
  </si>
  <si>
    <t>MC1-998690</t>
  </si>
  <si>
    <t>P00-996117</t>
  </si>
  <si>
    <t>P00-996125</t>
  </si>
  <si>
    <t>P00-996135</t>
  </si>
  <si>
    <t>P06-997047</t>
  </si>
  <si>
    <t>P06-997054</t>
  </si>
  <si>
    <t>P08-356192</t>
  </si>
  <si>
    <t>Q00-999399</t>
  </si>
  <si>
    <t>Q00-999407</t>
  </si>
  <si>
    <t>Q02-930506</t>
  </si>
  <si>
    <t>Q02-930516</t>
  </si>
  <si>
    <t>Q02-930556</t>
  </si>
  <si>
    <t>T00-999293</t>
  </si>
  <si>
    <t>T02-998308</t>
  </si>
  <si>
    <t>T02-998313</t>
  </si>
  <si>
    <t>T02-998327</t>
  </si>
  <si>
    <t>Y00-1002156</t>
  </si>
  <si>
    <t>Y00-1002310</t>
  </si>
  <si>
    <t>Y02-993437</t>
  </si>
  <si>
    <t>Y02-993438</t>
  </si>
  <si>
    <t>Y11-983803</t>
  </si>
  <si>
    <t>Y15-212171</t>
  </si>
  <si>
    <t>C00-999419</t>
  </si>
  <si>
    <t>C01-995768</t>
  </si>
  <si>
    <t>C01-995785</t>
  </si>
  <si>
    <t>C01-995807</t>
  </si>
  <si>
    <t>C01-995857</t>
  </si>
  <si>
    <t>C01-995858</t>
  </si>
  <si>
    <t>C18-8</t>
  </si>
  <si>
    <t>D00-1010011</t>
  </si>
  <si>
    <t>D00-1010094</t>
  </si>
  <si>
    <t>D00-1010095</t>
  </si>
  <si>
    <t>D00-1010188</t>
  </si>
  <si>
    <t>D00-1010354</t>
  </si>
  <si>
    <t>D00-1010358</t>
  </si>
  <si>
    <t>D70-1004475</t>
  </si>
  <si>
    <t>D70-1004505</t>
  </si>
  <si>
    <t>D70-1004529</t>
  </si>
  <si>
    <t>D70-1004555</t>
  </si>
  <si>
    <t>D70-1004559</t>
  </si>
  <si>
    <t>D70-1004902</t>
  </si>
  <si>
    <t>F04-975874</t>
  </si>
  <si>
    <t>H00-1001156</t>
  </si>
  <si>
    <t>L00-1016353</t>
  </si>
  <si>
    <t>L00-1016354</t>
  </si>
  <si>
    <t>L00-1016355</t>
  </si>
  <si>
    <t>L00-1016358</t>
  </si>
  <si>
    <t>L00-1016382</t>
  </si>
  <si>
    <t>L00-1016419</t>
  </si>
  <si>
    <t>L00-1016461</t>
  </si>
  <si>
    <t>L00-1016471</t>
  </si>
  <si>
    <t>L00-1016516</t>
  </si>
  <si>
    <t>L00-1016604</t>
  </si>
  <si>
    <t>L00-1016627</t>
  </si>
  <si>
    <t>L00-1016629</t>
  </si>
  <si>
    <t>L00-1016666</t>
  </si>
  <si>
    <t>L00-1016810</t>
  </si>
  <si>
    <t>L00-1017308</t>
  </si>
  <si>
    <t>L00-1017309</t>
  </si>
  <si>
    <t>L00-1017310</t>
  </si>
  <si>
    <t>L00-1017377</t>
  </si>
  <si>
    <t>L00-1017380</t>
  </si>
  <si>
    <t>L00-1017443</t>
  </si>
  <si>
    <t>L00-1017877</t>
  </si>
  <si>
    <t>L01-999388</t>
  </si>
  <si>
    <t>L06-994347</t>
  </si>
  <si>
    <t>L06-994515</t>
  </si>
  <si>
    <t>L06-994531</t>
  </si>
  <si>
    <t>L07-978293</t>
  </si>
  <si>
    <t>L07-978309</t>
  </si>
  <si>
    <t>M11-919294</t>
  </si>
  <si>
    <t>M11-919304</t>
  </si>
  <si>
    <t>M11-919370</t>
  </si>
  <si>
    <t>M14-980744</t>
  </si>
  <si>
    <t>M14-980812</t>
  </si>
  <si>
    <t>M20-1002445</t>
  </si>
  <si>
    <t>M20-1002456</t>
  </si>
  <si>
    <t>M20-1002556</t>
  </si>
  <si>
    <t>MS1-999180</t>
  </si>
  <si>
    <t>P00-996132</t>
  </si>
  <si>
    <t>P00-996163</t>
  </si>
  <si>
    <t>Q00-999412</t>
  </si>
  <si>
    <t>Q00-999413</t>
  </si>
  <si>
    <t>Q00-999429</t>
  </si>
  <si>
    <t>Q00-999494</t>
  </si>
  <si>
    <t>Q00-999540</t>
  </si>
  <si>
    <t>Q02-930502</t>
  </si>
  <si>
    <t>Q02-930527</t>
  </si>
  <si>
    <t>Q02-930533</t>
  </si>
  <si>
    <t>Q02-930621</t>
  </si>
  <si>
    <t>T00-999294</t>
  </si>
  <si>
    <t>Y00-1002183</t>
  </si>
  <si>
    <t>Y00-1002184</t>
  </si>
  <si>
    <t>Y11-983794</t>
  </si>
  <si>
    <t>Y11-983795</t>
  </si>
  <si>
    <t>Y11-983797</t>
  </si>
  <si>
    <t>Y11-983798</t>
  </si>
  <si>
    <t>Y11-983817</t>
  </si>
  <si>
    <t>C00-999406</t>
  </si>
  <si>
    <t>D00-1009989</t>
  </si>
  <si>
    <t>D00-1010120</t>
  </si>
  <si>
    <t>D00-1010128</t>
  </si>
  <si>
    <t>D70-1004458</t>
  </si>
  <si>
    <t>D70-1004493</t>
  </si>
  <si>
    <t>D70-1004494</t>
  </si>
  <si>
    <t>D70-1004495</t>
  </si>
  <si>
    <t>D70-1004506</t>
  </si>
  <si>
    <t>D70-1004511</t>
  </si>
  <si>
    <t>D70-1004512</t>
  </si>
  <si>
    <t>D70-1004544</t>
  </si>
  <si>
    <t>D70-1004605</t>
  </si>
  <si>
    <t>D70-1004915</t>
  </si>
  <si>
    <t>F04-975875</t>
  </si>
  <si>
    <t>F04-975876</t>
  </si>
  <si>
    <t>G00-996818</t>
  </si>
  <si>
    <t>G00-996827</t>
  </si>
  <si>
    <t>G00-996878</t>
  </si>
  <si>
    <t>G05-963906</t>
  </si>
  <si>
    <t>H00-1001128</t>
  </si>
  <si>
    <t>H00-1001136</t>
  </si>
  <si>
    <t>H00-1001162</t>
  </si>
  <si>
    <t>H00-1001163</t>
  </si>
  <si>
    <t>H01-993360</t>
  </si>
  <si>
    <t>H01-993373</t>
  </si>
  <si>
    <t>L00-1016385</t>
  </si>
  <si>
    <t>L00-1016388</t>
  </si>
  <si>
    <t>L00-1016389</t>
  </si>
  <si>
    <t>L00-1016390</t>
  </si>
  <si>
    <t>L00-1016395</t>
  </si>
  <si>
    <t>L00-1016396</t>
  </si>
  <si>
    <t>L00-1016446</t>
  </si>
  <si>
    <t>L00-1016456</t>
  </si>
  <si>
    <t>L00-1016601</t>
  </si>
  <si>
    <t>L00-1016613</t>
  </si>
  <si>
    <t>L00-1016619</t>
  </si>
  <si>
    <t>L00-1016679</t>
  </si>
  <si>
    <t>L00-1016680</t>
  </si>
  <si>
    <t>L00-1016685</t>
  </si>
  <si>
    <t>L00-1016686</t>
  </si>
  <si>
    <t>L00-1017354</t>
  </si>
  <si>
    <t>L00-1017382</t>
  </si>
  <si>
    <t>L00-1017892</t>
  </si>
  <si>
    <t>L00-1017907</t>
  </si>
  <si>
    <t>L00-1017942</t>
  </si>
  <si>
    <t>L00-1018082</t>
  </si>
  <si>
    <t>L06-994357</t>
  </si>
  <si>
    <t>L06-994377</t>
  </si>
  <si>
    <t>L06-994378</t>
  </si>
  <si>
    <t>L06-994379</t>
  </si>
  <si>
    <t>L06-994396</t>
  </si>
  <si>
    <t>L06-994519</t>
  </si>
  <si>
    <t>L06-994554</t>
  </si>
  <si>
    <t>L07-978283</t>
  </si>
  <si>
    <t>L07-978310</t>
  </si>
  <si>
    <t>L07-978312</t>
  </si>
  <si>
    <t>L07-978313</t>
  </si>
  <si>
    <t>L07-978314</t>
  </si>
  <si>
    <t>L07-978356</t>
  </si>
  <si>
    <t>M00-1000027</t>
  </si>
  <si>
    <t>M00-1000070</t>
  </si>
  <si>
    <t>M00-1000071</t>
  </si>
  <si>
    <t>M00-1000076</t>
  </si>
  <si>
    <t>M05-1000859</t>
  </si>
  <si>
    <t>M11-919236</t>
  </si>
  <si>
    <t>M11-919251</t>
  </si>
  <si>
    <t>M11-919268</t>
  </si>
  <si>
    <t>M14-980761</t>
  </si>
  <si>
    <t>M20-1002444</t>
  </si>
  <si>
    <t>M20-1002457</t>
  </si>
  <si>
    <t>M25-848861</t>
  </si>
  <si>
    <t>P00-996123</t>
  </si>
  <si>
    <t>P01-998182</t>
  </si>
  <si>
    <t>P07-995052</t>
  </si>
  <si>
    <t>P07-995061</t>
  </si>
  <si>
    <t>Q00-999405</t>
  </si>
  <si>
    <t>Q00-999421</t>
  </si>
  <si>
    <t>Q00-999424</t>
  </si>
  <si>
    <t>Q00-999493</t>
  </si>
  <si>
    <t>Q02-930517</t>
  </si>
  <si>
    <t>T00-999311</t>
  </si>
  <si>
    <t>T02-998314</t>
  </si>
  <si>
    <t>T02-998345</t>
  </si>
  <si>
    <t>Y00-1002141</t>
  </si>
  <si>
    <t>Y00-1002153</t>
  </si>
  <si>
    <t>Y00-1002166</t>
  </si>
  <si>
    <t>Y01-811222</t>
  </si>
  <si>
    <t>C01-995773</t>
  </si>
  <si>
    <t>C01-995774</t>
  </si>
  <si>
    <t>C01-995783</t>
  </si>
  <si>
    <t>C01-995787</t>
  </si>
  <si>
    <t>C16-806654</t>
  </si>
  <si>
    <t>D00-1010039</t>
  </si>
  <si>
    <t>D00-1010050</t>
  </si>
  <si>
    <t>D00-1010091</t>
  </si>
  <si>
    <t>D00-1010133</t>
  </si>
  <si>
    <t>D00-1010178</t>
  </si>
  <si>
    <t>D00-1010196</t>
  </si>
  <si>
    <t>D00-1010768</t>
  </si>
  <si>
    <t>D00-1011143</t>
  </si>
  <si>
    <t>D70-1004465</t>
  </si>
  <si>
    <t>D70-1004536</t>
  </si>
  <si>
    <t>E00-996369</t>
  </si>
  <si>
    <t>E00-996371</t>
  </si>
  <si>
    <t>E00-996387</t>
  </si>
  <si>
    <t>F10-996373</t>
  </si>
  <si>
    <t>G00-996816</t>
  </si>
  <si>
    <t>G00-996838</t>
  </si>
  <si>
    <t>G05-963933</t>
  </si>
  <si>
    <t>G05-963935</t>
  </si>
  <si>
    <t>G11-993916</t>
  </si>
  <si>
    <t>H00-1001154</t>
  </si>
  <si>
    <t>H00-1001293</t>
  </si>
  <si>
    <t>L00-1016365</t>
  </si>
  <si>
    <t>L00-1016366</t>
  </si>
  <si>
    <t>L00-1016367</t>
  </si>
  <si>
    <t>L00-1016383</t>
  </si>
  <si>
    <t>L00-1016398</t>
  </si>
  <si>
    <t>L00-1016415</t>
  </si>
  <si>
    <t>L00-1016436</t>
  </si>
  <si>
    <t>L00-1016458</t>
  </si>
  <si>
    <t>L00-1016503</t>
  </si>
  <si>
    <t>L00-1016507</t>
  </si>
  <si>
    <t>L00-1016551</t>
  </si>
  <si>
    <t>L00-1016608</t>
  </si>
  <si>
    <t>L00-1016662</t>
  </si>
  <si>
    <t>L00-1016683</t>
  </si>
  <si>
    <t>L00-1016692</t>
  </si>
  <si>
    <t>L00-1016800</t>
  </si>
  <si>
    <t>L00-1016806</t>
  </si>
  <si>
    <t>L00-1017355</t>
  </si>
  <si>
    <t>L00-1017424</t>
  </si>
  <si>
    <t>L00-1017909</t>
  </si>
  <si>
    <t>L01-999362</t>
  </si>
  <si>
    <t>L01-999364</t>
  </si>
  <si>
    <t>L01-999365</t>
  </si>
  <si>
    <t>L01-999450</t>
  </si>
  <si>
    <t>L06-994358</t>
  </si>
  <si>
    <t>L06-994383</t>
  </si>
  <si>
    <t>L06-994407</t>
  </si>
  <si>
    <t>L06-994516</t>
  </si>
  <si>
    <t>M00-1000016</t>
  </si>
  <si>
    <t>M00-1000081</t>
  </si>
  <si>
    <t>M00-1000200</t>
  </si>
  <si>
    <t>M11-919253</t>
  </si>
  <si>
    <t>M11-919340</t>
  </si>
  <si>
    <t>M14-980800</t>
  </si>
  <si>
    <t>M17-582314</t>
  </si>
  <si>
    <t>M20-1002435</t>
  </si>
  <si>
    <t>M20-1002450</t>
  </si>
  <si>
    <t>M20-1002756</t>
  </si>
  <si>
    <t>MC1-998637</t>
  </si>
  <si>
    <t>P00-996134</t>
  </si>
  <si>
    <t>P00-996137</t>
  </si>
  <si>
    <t>P00-996140</t>
  </si>
  <si>
    <t>P00-996146</t>
  </si>
  <si>
    <t>P00-996161</t>
  </si>
  <si>
    <t>P00-996166</t>
  </si>
  <si>
    <t>P00-996350</t>
  </si>
  <si>
    <t>P01-998172</t>
  </si>
  <si>
    <t>Q02-930494</t>
  </si>
  <si>
    <t>Q02-930495</t>
  </si>
  <si>
    <t>Q02-930548</t>
  </si>
  <si>
    <t>Q02-930625</t>
  </si>
  <si>
    <t>Y00-1002107</t>
  </si>
  <si>
    <t>Y00-1002111</t>
  </si>
  <si>
    <t>Y00-1002126</t>
  </si>
  <si>
    <t>Y02-993443</t>
  </si>
  <si>
    <t>C01-995770</t>
  </si>
  <si>
    <t>C01-995802</t>
  </si>
  <si>
    <t>D00-1010104</t>
  </si>
  <si>
    <t>D00-1010116</t>
  </si>
  <si>
    <t>D00-1010122</t>
  </si>
  <si>
    <t>D00-1010179</t>
  </si>
  <si>
    <t>D00-1010260</t>
  </si>
  <si>
    <t>D00-1010401</t>
  </si>
  <si>
    <t>D00-1010917</t>
  </si>
  <si>
    <t>D00-1010952</t>
  </si>
  <si>
    <t>D70-1004481</t>
  </si>
  <si>
    <t>D70-1004482</t>
  </si>
  <si>
    <t>D70-1004514</t>
  </si>
  <si>
    <t>D70-1004524</t>
  </si>
  <si>
    <t>D70-1004526</t>
  </si>
  <si>
    <t>D70-1004604</t>
  </si>
  <si>
    <t>D70-1004756</t>
  </si>
  <si>
    <t>D70-1004923</t>
  </si>
  <si>
    <t>F02-996526</t>
  </si>
  <si>
    <t>F02-996536</t>
  </si>
  <si>
    <t>F02-996576</t>
  </si>
  <si>
    <t>F04-975866</t>
  </si>
  <si>
    <t>F04-975867</t>
  </si>
  <si>
    <t>F04-975868</t>
  </si>
  <si>
    <t>F04-975878</t>
  </si>
  <si>
    <t>F04-975896</t>
  </si>
  <si>
    <t>F04-975897</t>
  </si>
  <si>
    <t>F10-996374</t>
  </si>
  <si>
    <t>G00-996824</t>
  </si>
  <si>
    <t>G05-963913</t>
  </si>
  <si>
    <t>G05-963934</t>
  </si>
  <si>
    <t>H00-1001120</t>
  </si>
  <si>
    <t>H00-1001137</t>
  </si>
  <si>
    <t>H00-1001159</t>
  </si>
  <si>
    <t>H00-1001160</t>
  </si>
  <si>
    <t>H00-1001165</t>
  </si>
  <si>
    <t>H00-1001297</t>
  </si>
  <si>
    <t>H01-993348</t>
  </si>
  <si>
    <t>H01-993351</t>
  </si>
  <si>
    <t>H01-993392</t>
  </si>
  <si>
    <t>H01-993393</t>
  </si>
  <si>
    <t>H01-993396</t>
  </si>
  <si>
    <t>L00-1016360</t>
  </si>
  <si>
    <t>L00-1016397</t>
  </si>
  <si>
    <t>L00-1016413</t>
  </si>
  <si>
    <t>L00-1016416</t>
  </si>
  <si>
    <t>L00-1016417</t>
  </si>
  <si>
    <t>L00-1016420</t>
  </si>
  <si>
    <t>L00-1016421</t>
  </si>
  <si>
    <t>L00-1016478</t>
  </si>
  <si>
    <t>L00-1016501</t>
  </si>
  <si>
    <t>L00-1016545</t>
  </si>
  <si>
    <t>L00-1016599</t>
  </si>
  <si>
    <t>L00-1016606</t>
  </si>
  <si>
    <t>L00-1016630</t>
  </si>
  <si>
    <t>L00-1016642</t>
  </si>
  <si>
    <t>L00-1016699</t>
  </si>
  <si>
    <t>L00-1016797</t>
  </si>
  <si>
    <t>L00-1017290</t>
  </si>
  <si>
    <t>L00-1017359</t>
  </si>
  <si>
    <t>L00-1017373</t>
  </si>
  <si>
    <t>L00-1017374</t>
  </si>
  <si>
    <t>L00-1017431</t>
  </si>
  <si>
    <t>L01-999351</t>
  </si>
  <si>
    <t>L01-999441</t>
  </si>
  <si>
    <t>L06-994539</t>
  </si>
  <si>
    <t>L07-978302</t>
  </si>
  <si>
    <t>M00-1000006</t>
  </si>
  <si>
    <t>M00-1000012</t>
  </si>
  <si>
    <t>M00-1000074</t>
  </si>
  <si>
    <t>M00-1000075</t>
  </si>
  <si>
    <t>M05-1000965</t>
  </si>
  <si>
    <t>M11-919231</t>
  </si>
  <si>
    <t>M11-919341</t>
  </si>
  <si>
    <t>M17-582312</t>
  </si>
  <si>
    <t>M17-582324</t>
  </si>
  <si>
    <t>M20-1002438</t>
  </si>
  <si>
    <t>M20-1002442</t>
  </si>
  <si>
    <t>M20-1002499</t>
  </si>
  <si>
    <t>M20-1002561</t>
  </si>
  <si>
    <t>M20-1002564</t>
  </si>
  <si>
    <t>MC1-998648</t>
  </si>
  <si>
    <t>MC1-998658</t>
  </si>
  <si>
    <t>MS1-999192</t>
  </si>
  <si>
    <t>P00-996112</t>
  </si>
  <si>
    <t>P00-996130</t>
  </si>
  <si>
    <t>P00-996173</t>
  </si>
  <si>
    <t>P00-996233</t>
  </si>
  <si>
    <t>P07-995055</t>
  </si>
  <si>
    <t>P07-995093</t>
  </si>
  <si>
    <t>Q00-999418</t>
  </si>
  <si>
    <t>Q00-999419</t>
  </si>
  <si>
    <t>Q00-999541</t>
  </si>
  <si>
    <t>Q02-930534</t>
  </si>
  <si>
    <t>T00-999301</t>
  </si>
  <si>
    <t>T00-999347</t>
  </si>
  <si>
    <t>T00-999348</t>
  </si>
  <si>
    <t>T00-999377</t>
  </si>
  <si>
    <t>Y00-1002284</t>
  </si>
  <si>
    <t>Y00-1002288</t>
  </si>
  <si>
    <t>Y01-811219</t>
  </si>
  <si>
    <t>Y11-983796</t>
  </si>
  <si>
    <t>C00-999405</t>
  </si>
  <si>
    <t>C01-995784</t>
  </si>
  <si>
    <t>C01-995806</t>
  </si>
  <si>
    <t>D00-1010125</t>
  </si>
  <si>
    <t>D00-1010141</t>
  </si>
  <si>
    <t>D00-1010155</t>
  </si>
  <si>
    <t>D00-1010181</t>
  </si>
  <si>
    <t>D00-1010185</t>
  </si>
  <si>
    <t>D00-1010209</t>
  </si>
  <si>
    <t>D00-1010708</t>
  </si>
  <si>
    <t>D00-1010955</t>
  </si>
  <si>
    <t>D70-1004455</t>
  </si>
  <si>
    <t>D70-1004459</t>
  </si>
  <si>
    <t>D70-1004466</t>
  </si>
  <si>
    <t>D70-1004468</t>
  </si>
  <si>
    <t>D70-1004470</t>
  </si>
  <si>
    <t>D70-1004471</t>
  </si>
  <si>
    <t>D70-1004472</t>
  </si>
  <si>
    <t>D70-1004476</t>
  </si>
  <si>
    <t>D70-1004477</t>
  </si>
  <si>
    <t>D70-1004483</t>
  </si>
  <si>
    <t>D70-1004485</t>
  </si>
  <si>
    <t>D70-1004487</t>
  </si>
  <si>
    <t>D70-1004498</t>
  </si>
  <si>
    <t>D70-1004504</t>
  </si>
  <si>
    <t>D70-1004507</t>
  </si>
  <si>
    <t>D70-1004513</t>
  </si>
  <si>
    <t>D70-1004545</t>
  </si>
  <si>
    <t>D70-1004549</t>
  </si>
  <si>
    <t>D70-1004553</t>
  </si>
  <si>
    <t>D70-1004557</t>
  </si>
  <si>
    <t>D70-1004601</t>
  </si>
  <si>
    <t>D70-1004757</t>
  </si>
  <si>
    <t>D70-1004765</t>
  </si>
  <si>
    <t>F02-996534</t>
  </si>
  <si>
    <t>G00-996808</t>
  </si>
  <si>
    <t>G00-996813</t>
  </si>
  <si>
    <t>G00-996825</t>
  </si>
  <si>
    <t>G00-996879</t>
  </si>
  <si>
    <t>G00-996880</t>
  </si>
  <si>
    <t>G05-963967</t>
  </si>
  <si>
    <t>G05-964028</t>
  </si>
  <si>
    <t>H00-1001140</t>
  </si>
  <si>
    <t>H00-1001168</t>
  </si>
  <si>
    <t>H01-993345</t>
  </si>
  <si>
    <t>H01-993374</t>
  </si>
  <si>
    <t>L00-1016350</t>
  </si>
  <si>
    <t>L00-1016375</t>
  </si>
  <si>
    <t>L00-1016386</t>
  </si>
  <si>
    <t>L00-1016392</t>
  </si>
  <si>
    <t>L00-1016393</t>
  </si>
  <si>
    <t>L00-1016394</t>
  </si>
  <si>
    <t>L00-1016422</t>
  </si>
  <si>
    <t>L00-1016438</t>
  </si>
  <si>
    <t>L00-1016644</t>
  </si>
  <si>
    <t>L00-1016682</t>
  </si>
  <si>
    <t>L00-1017393</t>
  </si>
  <si>
    <t>L00-1017410</t>
  </si>
  <si>
    <t>L00-1017421</t>
  </si>
  <si>
    <t>L00-1017452</t>
  </si>
  <si>
    <t>L01-999359</t>
  </si>
  <si>
    <t>L01-999377</t>
  </si>
  <si>
    <t>L01-999444</t>
  </si>
  <si>
    <t>L06-994406</t>
  </si>
  <si>
    <t>L06-994408</t>
  </si>
  <si>
    <t>L06-994413</t>
  </si>
  <si>
    <t>L06-994524</t>
  </si>
  <si>
    <t>L07-978280</t>
  </si>
  <si>
    <t>M14-980746</t>
  </si>
  <si>
    <t>M14-980807</t>
  </si>
  <si>
    <t>M25-848862</t>
  </si>
  <si>
    <t>P00-996127</t>
  </si>
  <si>
    <t>P00-996142</t>
  </si>
  <si>
    <t>P00-996143</t>
  </si>
  <si>
    <t>P00-996151</t>
  </si>
  <si>
    <t>P00-996159</t>
  </si>
  <si>
    <t>P00-996168</t>
  </si>
  <si>
    <t>P00-996169</t>
  </si>
  <si>
    <t>P00-996229</t>
  </si>
  <si>
    <t>P01-998186</t>
  </si>
  <si>
    <t>P06-997050</t>
  </si>
  <si>
    <t>P07-995053</t>
  </si>
  <si>
    <t>P07-995054</t>
  </si>
  <si>
    <t>P07-995056</t>
  </si>
  <si>
    <t>P07-995057</t>
  </si>
  <si>
    <t>P07-995081</t>
  </si>
  <si>
    <t>P07-995082</t>
  </si>
  <si>
    <t>P07-995083</t>
  </si>
  <si>
    <t>P12-762</t>
  </si>
  <si>
    <t>Q02-930493</t>
  </si>
  <si>
    <t>Q02-930512</t>
  </si>
  <si>
    <t>Q02-930538</t>
  </si>
  <si>
    <t>Q02-930626</t>
  </si>
  <si>
    <t>T00-999297</t>
  </si>
  <si>
    <t>T00-999312</t>
  </si>
  <si>
    <t>Y00-1002185</t>
  </si>
  <si>
    <t>Y00-1002309</t>
  </si>
  <si>
    <t>Y01-811227</t>
  </si>
  <si>
    <t>Y01-811262</t>
  </si>
  <si>
    <t>Y11-983789</t>
  </si>
  <si>
    <t>C00-999407</t>
  </si>
  <si>
    <t>C00-999417</t>
  </si>
  <si>
    <t>C01-995855</t>
  </si>
  <si>
    <t>D00-1010014</t>
  </si>
  <si>
    <t>D00-1010016</t>
  </si>
  <si>
    <t>D00-1010017</t>
  </si>
  <si>
    <t>D00-1010018</t>
  </si>
  <si>
    <t>D00-1010024</t>
  </si>
  <si>
    <t>D00-1010026</t>
  </si>
  <si>
    <t>D00-1010027</t>
  </si>
  <si>
    <t>D00-1010060</t>
  </si>
  <si>
    <t>D00-1010084</t>
  </si>
  <si>
    <t>D00-1010092</t>
  </si>
  <si>
    <t>D00-1010093</t>
  </si>
  <si>
    <t>D00-1010096</t>
  </si>
  <si>
    <t>D00-1010097</t>
  </si>
  <si>
    <t>D00-1010098</t>
  </si>
  <si>
    <t>D00-1010099</t>
  </si>
  <si>
    <t>D00-1010100</t>
  </si>
  <si>
    <t>D00-1010101</t>
  </si>
  <si>
    <t>D00-1010102</t>
  </si>
  <si>
    <t>D00-1010103</t>
  </si>
  <si>
    <t>D00-1010113</t>
  </si>
  <si>
    <t>D00-1010117</t>
  </si>
  <si>
    <t>D00-1010121</t>
  </si>
  <si>
    <t>D00-1010132</t>
  </si>
  <si>
    <t>D00-1010147</t>
  </si>
  <si>
    <t>D00-1010151</t>
  </si>
  <si>
    <t>D00-1010157</t>
  </si>
  <si>
    <t>D00-1010161</t>
  </si>
  <si>
    <t>D00-1010164</t>
  </si>
  <si>
    <t>D00-1010175</t>
  </si>
  <si>
    <t>D00-1010184</t>
  </si>
  <si>
    <t>D00-1010186</t>
  </si>
  <si>
    <t>D00-1010190</t>
  </si>
  <si>
    <t>D00-1010211</t>
  </si>
  <si>
    <t>D00-1010280</t>
  </si>
  <si>
    <t>D00-1010293</t>
  </si>
  <si>
    <t>D00-1010355</t>
  </si>
  <si>
    <t>D00-1010359</t>
  </si>
  <si>
    <t>D00-1010403</t>
  </si>
  <si>
    <t>D00-1010685</t>
  </si>
  <si>
    <t>D00-1010854</t>
  </si>
  <si>
    <t>D00-1010866</t>
  </si>
  <si>
    <t>D00-1010923</t>
  </si>
  <si>
    <t>D00-1011130</t>
  </si>
  <si>
    <t>D00-1011184</t>
  </si>
  <si>
    <t>D00-1011434</t>
  </si>
  <si>
    <t>D00-1011436</t>
  </si>
  <si>
    <t>D00-1011459</t>
  </si>
  <si>
    <t>D00-1011488</t>
  </si>
  <si>
    <t>D70-1004467</t>
  </si>
  <si>
    <t>D70-1004473</t>
  </si>
  <si>
    <t>D70-1004486</t>
  </si>
  <si>
    <t>D70-1004528</t>
  </si>
  <si>
    <t>D70-1004570</t>
  </si>
  <si>
    <t>D70-1004575</t>
  </si>
  <si>
    <t>D70-1004576</t>
  </si>
  <si>
    <t>D70-1004755</t>
  </si>
  <si>
    <t>D70-1004897</t>
  </si>
  <si>
    <t>D70-1004911</t>
  </si>
  <si>
    <t>D70-1004918</t>
  </si>
  <si>
    <t>E00-996372</t>
  </si>
  <si>
    <t>F02-996539</t>
  </si>
  <si>
    <t>F02-996544</t>
  </si>
  <si>
    <t>F04-975871</t>
  </si>
  <si>
    <t>F04-975881</t>
  </si>
  <si>
    <t>F04-975889</t>
  </si>
  <si>
    <t>F04-975892</t>
  </si>
  <si>
    <t>F04-975893</t>
  </si>
  <si>
    <t>F04-975976</t>
  </si>
  <si>
    <t>G11-993976</t>
  </si>
  <si>
    <t>G32-1</t>
  </si>
  <si>
    <t>H00-1001125</t>
  </si>
  <si>
    <t>H00-1001130</t>
  </si>
  <si>
    <t>H00-1001147</t>
  </si>
  <si>
    <t>H00-1001166</t>
  </si>
  <si>
    <t>H00-1001167</t>
  </si>
  <si>
    <t>H00-1001235</t>
  </si>
  <si>
    <t>H00-1001236</t>
  </si>
  <si>
    <t>H00-1001296</t>
  </si>
  <si>
    <t>H02-345202</t>
  </si>
  <si>
    <t>H02-345205</t>
  </si>
  <si>
    <t>L00-1016357</t>
  </si>
  <si>
    <t>L00-1016374</t>
  </si>
  <si>
    <t>L00-1016447</t>
  </si>
  <si>
    <t>L00-1016457</t>
  </si>
  <si>
    <t>L00-1016468</t>
  </si>
  <si>
    <t>L00-1016489</t>
  </si>
  <si>
    <t>L00-1016513</t>
  </si>
  <si>
    <t>L00-1016521</t>
  </si>
  <si>
    <t>L00-1016552</t>
  </si>
  <si>
    <t>L00-1016553</t>
  </si>
  <si>
    <t>L00-1016557</t>
  </si>
  <si>
    <t>L00-1016592</t>
  </si>
  <si>
    <t>L00-1016597</t>
  </si>
  <si>
    <t>L00-1016598</t>
  </si>
  <si>
    <t>L00-1016609</t>
  </si>
  <si>
    <t>L00-1016620</t>
  </si>
  <si>
    <t>L00-1016626</t>
  </si>
  <si>
    <t>L00-1016643</t>
  </si>
  <si>
    <t>L00-1017390</t>
  </si>
  <si>
    <t>L00-1017392</t>
  </si>
  <si>
    <t>L00-1017435</t>
  </si>
  <si>
    <t>L00-1017880</t>
  </si>
  <si>
    <t>L00-1017881</t>
  </si>
  <si>
    <t>L00-1017882</t>
  </si>
  <si>
    <t>L00-1017959</t>
  </si>
  <si>
    <t>L01-999353</t>
  </si>
  <si>
    <t>L01-999361</t>
  </si>
  <si>
    <t>L01-999454</t>
  </si>
  <si>
    <t>L06-994349</t>
  </si>
  <si>
    <t>L06-994354</t>
  </si>
  <si>
    <t>L06-994355</t>
  </si>
  <si>
    <t>L06-994386</t>
  </si>
  <si>
    <t>L06-994397</t>
  </si>
  <si>
    <t>L06-994409</t>
  </si>
  <si>
    <t>L06-994668</t>
  </si>
  <si>
    <t>M00-1000008</t>
  </si>
  <si>
    <t>M05-1000856</t>
  </si>
  <si>
    <t>M05-1000865</t>
  </si>
  <si>
    <t>M05-1000904</t>
  </si>
  <si>
    <t>M11-919229</t>
  </si>
  <si>
    <t>M11-919238</t>
  </si>
  <si>
    <t>M11-919252</t>
  </si>
  <si>
    <t>M14-980762</t>
  </si>
  <si>
    <t>M20-1002433</t>
  </si>
  <si>
    <t>MC1-998639</t>
  </si>
  <si>
    <t>MC1-998660</t>
  </si>
  <si>
    <t>MC1-998692</t>
  </si>
  <si>
    <t>MS5-913854</t>
  </si>
  <si>
    <t>MS5-913855</t>
  </si>
  <si>
    <t>MSJ-232194</t>
  </si>
  <si>
    <t>Q00-999402</t>
  </si>
  <si>
    <t>Q00-999410</t>
  </si>
  <si>
    <t>T02-998320</t>
  </si>
  <si>
    <t>Y00-1002128</t>
  </si>
  <si>
    <t>Y00-1002165</t>
  </si>
  <si>
    <t>Y00-1002186</t>
  </si>
  <si>
    <t>Y00-1002187</t>
  </si>
  <si>
    <t>Y11-983802</t>
  </si>
  <si>
    <t>C00-999381</t>
  </si>
  <si>
    <t>C00-999386</t>
  </si>
  <si>
    <t>C00-999398</t>
  </si>
  <si>
    <t>C00-999399</t>
  </si>
  <si>
    <t>C01-995829</t>
  </si>
  <si>
    <t>C01-995833</t>
  </si>
  <si>
    <t>C01-995840</t>
  </si>
  <si>
    <t>C01-995841</t>
  </si>
  <si>
    <t>C16-806656</t>
  </si>
  <si>
    <t>D00-1010310</t>
  </si>
  <si>
    <t>D00-1010364</t>
  </si>
  <si>
    <t>D00-1010429</t>
  </si>
  <si>
    <t>D00-1010430</t>
  </si>
  <si>
    <t>D00-1010431</t>
  </si>
  <si>
    <t>D00-1010433</t>
  </si>
  <si>
    <t>D00-1010434</t>
  </si>
  <si>
    <t>D00-1010435</t>
  </si>
  <si>
    <t>D00-1010436</t>
  </si>
  <si>
    <t>D00-1010437</t>
  </si>
  <si>
    <t>D00-1010438</t>
  </si>
  <si>
    <t>D00-1010439</t>
  </si>
  <si>
    <t>D00-1010440</t>
  </si>
  <si>
    <t>D00-1010441</t>
  </si>
  <si>
    <t>D00-1010442</t>
  </si>
  <si>
    <t>D00-1010443</t>
  </si>
  <si>
    <t>D00-1010444</t>
  </si>
  <si>
    <t>D00-1010445</t>
  </si>
  <si>
    <t>D00-1010446</t>
  </si>
  <si>
    <t>D00-1010447</t>
  </si>
  <si>
    <t>D00-1010448</t>
  </si>
  <si>
    <t>D00-1010449</t>
  </si>
  <si>
    <t>D00-1010450</t>
  </si>
  <si>
    <t>D00-1010451</t>
  </si>
  <si>
    <t>D00-1010452</t>
  </si>
  <si>
    <t>D00-1010453</t>
  </si>
  <si>
    <t>D00-1010454</t>
  </si>
  <si>
    <t>D00-1010455</t>
  </si>
  <si>
    <t>D00-1010456</t>
  </si>
  <si>
    <t>D00-1010457</t>
  </si>
  <si>
    <t>D00-1010458</t>
  </si>
  <si>
    <t>D00-1010459</t>
  </si>
  <si>
    <t>D00-1010531</t>
  </si>
  <si>
    <t>D00-1010540</t>
  </si>
  <si>
    <t>D00-1010544</t>
  </si>
  <si>
    <t>D00-1010553</t>
  </si>
  <si>
    <t>D00-1010563</t>
  </si>
  <si>
    <t>D00-1010564</t>
  </si>
  <si>
    <t>D00-1010572</t>
  </si>
  <si>
    <t>D00-1010573</t>
  </si>
  <si>
    <t>D00-1010576</t>
  </si>
  <si>
    <t>D00-1010580</t>
  </si>
  <si>
    <t>D00-1010593</t>
  </si>
  <si>
    <t>D00-1010595</t>
  </si>
  <si>
    <t>D00-1010596</t>
  </si>
  <si>
    <t>D00-1010600</t>
  </si>
  <si>
    <t>D00-1010601</t>
  </si>
  <si>
    <t>D00-1010605</t>
  </si>
  <si>
    <t>D00-1010609</t>
  </si>
  <si>
    <t>D00-1010610</t>
  </si>
  <si>
    <t>D00-1010616</t>
  </si>
  <si>
    <t>D00-1010628</t>
  </si>
  <si>
    <t>D00-1010653</t>
  </si>
  <si>
    <t>D00-1010667</t>
  </si>
  <si>
    <t>D00-1010668</t>
  </si>
  <si>
    <t>D00-1010669</t>
  </si>
  <si>
    <t>D00-1010671</t>
  </si>
  <si>
    <t>D00-1010673</t>
  </si>
  <si>
    <t>D00-1010915</t>
  </si>
  <si>
    <t>D00-1010941</t>
  </si>
  <si>
    <t>D00-1010948</t>
  </si>
  <si>
    <t>D00-1010951</t>
  </si>
  <si>
    <t>D00-1010964</t>
  </si>
  <si>
    <t>D00-1010970</t>
  </si>
  <si>
    <t>D00-1011123</t>
  </si>
  <si>
    <t>D00-1011146</t>
  </si>
  <si>
    <t>D00-1011149</t>
  </si>
  <si>
    <t>D00-1011164</t>
  </si>
  <si>
    <t>D00-1011187</t>
  </si>
  <si>
    <t>D00-1011190</t>
  </si>
  <si>
    <t>D00-1011196</t>
  </si>
  <si>
    <t>D00-1011203</t>
  </si>
  <si>
    <t>D00-1011204</t>
  </si>
  <si>
    <t>D00-1011218</t>
  </si>
  <si>
    <t>D00-1011235</t>
  </si>
  <si>
    <t>D00-1011253</t>
  </si>
  <si>
    <t>D00-1011432</t>
  </si>
  <si>
    <t>D00-1011455</t>
  </si>
  <si>
    <t>D70-1004613</t>
  </si>
  <si>
    <t>D70-1004618</t>
  </si>
  <si>
    <t>D70-1004622</t>
  </si>
  <si>
    <t>D70-1004638</t>
  </si>
  <si>
    <t>D70-1004659</t>
  </si>
  <si>
    <t>D70-1004667</t>
  </si>
  <si>
    <t>D70-1004688</t>
  </si>
  <si>
    <t>D70-1004689</t>
  </si>
  <si>
    <t>D70-1004738</t>
  </si>
  <si>
    <t>D70-1004924</t>
  </si>
  <si>
    <t>F02-996552</t>
  </si>
  <si>
    <t>F02-996553</t>
  </si>
  <si>
    <t>F02-996554</t>
  </si>
  <si>
    <t>F04-975919</t>
  </si>
  <si>
    <t>F04-975922</t>
  </si>
  <si>
    <t>F04-975942</t>
  </si>
  <si>
    <t>F04-976004</t>
  </si>
  <si>
    <t>F04-976018</t>
  </si>
  <si>
    <t>F04-976049</t>
  </si>
  <si>
    <t>G05-963944</t>
  </si>
  <si>
    <t>G05-963957</t>
  </si>
  <si>
    <t>G05-963958</t>
  </si>
  <si>
    <t>G05-963966</t>
  </si>
  <si>
    <t>G11-993944</t>
  </si>
  <si>
    <t>G15-248304</t>
  </si>
  <si>
    <t>H00-1001179</t>
  </si>
  <si>
    <t>H00-1001183</t>
  </si>
  <si>
    <t>H00-1001240</t>
  </si>
  <si>
    <t>H00-1001241</t>
  </si>
  <si>
    <t>H00-1001242</t>
  </si>
  <si>
    <t>H00-1001243</t>
  </si>
  <si>
    <t>H00-1001301</t>
  </si>
  <si>
    <t>H00-1001302</t>
  </si>
  <si>
    <t>H01-993375</t>
  </si>
  <si>
    <t>H01-993376</t>
  </si>
  <si>
    <t>H01-993388</t>
  </si>
  <si>
    <t>L00-1016859</t>
  </si>
  <si>
    <t>L00-1016922</t>
  </si>
  <si>
    <t>L00-1016984</t>
  </si>
  <si>
    <t>L00-1016987</t>
  </si>
  <si>
    <t>L00-1016991</t>
  </si>
  <si>
    <t>L00-1017011</t>
  </si>
  <si>
    <t>L00-1017115</t>
  </si>
  <si>
    <t>L00-1017135</t>
  </si>
  <si>
    <t>L00-1017166</t>
  </si>
  <si>
    <t>L00-1017167</t>
  </si>
  <si>
    <t>L00-1017170</t>
  </si>
  <si>
    <t>L00-1017171</t>
  </si>
  <si>
    <t>L00-1017173</t>
  </si>
  <si>
    <t>L00-1017416</t>
  </si>
  <si>
    <t>L00-1017987</t>
  </si>
  <si>
    <t>L00-1018015</t>
  </si>
  <si>
    <t>L00-1018018</t>
  </si>
  <si>
    <t>L00-1018021</t>
  </si>
  <si>
    <t>L00-1018023</t>
  </si>
  <si>
    <t>L01-999421</t>
  </si>
  <si>
    <t>L01-999432</t>
  </si>
  <si>
    <t>L01-999434</t>
  </si>
  <si>
    <t>L06-994467</t>
  </si>
  <si>
    <t>L06-994476</t>
  </si>
  <si>
    <t>L06-994490</t>
  </si>
  <si>
    <t>L06-994491</t>
  </si>
  <si>
    <t>L06-994492</t>
  </si>
  <si>
    <t>L06-994493</t>
  </si>
  <si>
    <t>L06-994518</t>
  </si>
  <si>
    <t>L06-994650</t>
  </si>
  <si>
    <t>M00-1000031</t>
  </si>
  <si>
    <t>M00-1000058</t>
  </si>
  <si>
    <t>M00-1000060</t>
  </si>
  <si>
    <t>M00-1000077</t>
  </si>
  <si>
    <t>M05-1000891</t>
  </si>
  <si>
    <t>M05-1000906</t>
  </si>
  <si>
    <t>M05-1000934</t>
  </si>
  <si>
    <t>M11-919287</t>
  </si>
  <si>
    <t>M14-980774</t>
  </si>
  <si>
    <t>M14-980793</t>
  </si>
  <si>
    <t>M20-1002506</t>
  </si>
  <si>
    <t>M20-1002516</t>
  </si>
  <si>
    <t>M20-1002521</t>
  </si>
  <si>
    <t>M20-1002570</t>
  </si>
  <si>
    <t>M20-1002577</t>
  </si>
  <si>
    <t>M20-1002664</t>
  </si>
  <si>
    <t>M20-1002665</t>
  </si>
  <si>
    <t>MC1-998683</t>
  </si>
  <si>
    <t>MC1-998718</t>
  </si>
  <si>
    <t>ML0-226226</t>
  </si>
  <si>
    <t>MS5-913857</t>
  </si>
  <si>
    <t>P00-996180</t>
  </si>
  <si>
    <t>P00-996181</t>
  </si>
  <si>
    <t>P00-996211</t>
  </si>
  <si>
    <t>P00-996352</t>
  </si>
  <si>
    <t>P01-998222</t>
  </si>
  <si>
    <t>P07-995077</t>
  </si>
  <si>
    <t>Q00-999470</t>
  </si>
  <si>
    <t>Q02-930594</t>
  </si>
  <si>
    <t>Q02-930596</t>
  </si>
  <si>
    <t>Q02-930597</t>
  </si>
  <si>
    <t>T00-999324</t>
  </si>
  <si>
    <t>T00-999325</t>
  </si>
  <si>
    <t>T00-999350</t>
  </si>
  <si>
    <t>T03-999849</t>
  </si>
  <si>
    <t>Y00-1002241</t>
  </si>
  <si>
    <t>Y00-1002247</t>
  </si>
  <si>
    <t>Y00-1002265</t>
  </si>
  <si>
    <t>Y00-1002269</t>
  </si>
  <si>
    <t>Y00-1002270</t>
  </si>
  <si>
    <t>Y00-1002279</t>
  </si>
  <si>
    <t>Y00-1002396</t>
  </si>
  <si>
    <t>Y01-811250</t>
  </si>
  <si>
    <t>Y01-811253</t>
  </si>
  <si>
    <t>Y01-811258</t>
  </si>
  <si>
    <t>C01-995820</t>
  </si>
  <si>
    <t>C01-995842</t>
  </si>
  <si>
    <t>C01-995909</t>
  </si>
  <si>
    <t>D00-1010333</t>
  </si>
  <si>
    <t>D00-1010334</t>
  </si>
  <si>
    <t>D00-1010335</t>
  </si>
  <si>
    <t>D00-1010336</t>
  </si>
  <si>
    <t>D00-1010337</t>
  </si>
  <si>
    <t>D00-1010338</t>
  </si>
  <si>
    <t>D00-1010339</t>
  </si>
  <si>
    <t>D00-1010340</t>
  </si>
  <si>
    <t>D00-1010341</t>
  </si>
  <si>
    <t>D00-1010342</t>
  </si>
  <si>
    <t>D00-1010343</t>
  </si>
  <si>
    <t>D00-1010390</t>
  </si>
  <si>
    <t>D00-1010391</t>
  </si>
  <si>
    <t>D00-1010392</t>
  </si>
  <si>
    <t>D00-1010393</t>
  </si>
  <si>
    <t>D00-1010394</t>
  </si>
  <si>
    <t>D00-1010395</t>
  </si>
  <si>
    <t>D00-1010396</t>
  </si>
  <si>
    <t>D00-1010397</t>
  </si>
  <si>
    <t>D00-1010398</t>
  </si>
  <si>
    <t>D00-1010399</t>
  </si>
  <si>
    <t>D00-1010400</t>
  </si>
  <si>
    <t>D00-1010506</t>
  </si>
  <si>
    <t>D00-1010549</t>
  </si>
  <si>
    <t>D00-1010557</t>
  </si>
  <si>
    <t>D00-1011153</t>
  </si>
  <si>
    <t>D00-1011154</t>
  </si>
  <si>
    <t>D00-1011161</t>
  </si>
  <si>
    <t>D00-1011162</t>
  </si>
  <si>
    <t>D00-1011248</t>
  </si>
  <si>
    <t>D00-1011252</t>
  </si>
  <si>
    <t>D00-1011281</t>
  </si>
  <si>
    <t>D00-1011282</t>
  </si>
  <si>
    <t>D70-1004616</t>
  </si>
  <si>
    <t>D70-1004696</t>
  </si>
  <si>
    <t>D70-1004711</t>
  </si>
  <si>
    <t>F02-996566</t>
  </si>
  <si>
    <t>G00-996843</t>
  </si>
  <si>
    <t>G00-996850</t>
  </si>
  <si>
    <t>G00-996853</t>
  </si>
  <si>
    <t>G00-996865</t>
  </si>
  <si>
    <t>G00-996871</t>
  </si>
  <si>
    <t>G00-996874</t>
  </si>
  <si>
    <t>H00-1001182</t>
  </si>
  <si>
    <t>H00-1001184</t>
  </si>
  <si>
    <t>H00-1001197</t>
  </si>
  <si>
    <t>H00-1001198</t>
  </si>
  <si>
    <t>H02-345197</t>
  </si>
  <si>
    <t>L00-1016875</t>
  </si>
  <si>
    <t>L00-1016881</t>
  </si>
  <si>
    <t>L00-1016882</t>
  </si>
  <si>
    <t>L00-1016959</t>
  </si>
  <si>
    <t>L00-1016972</t>
  </si>
  <si>
    <t>L00-1017033</t>
  </si>
  <si>
    <t>L00-1017101</t>
  </si>
  <si>
    <t>L00-1017109</t>
  </si>
  <si>
    <t>L00-1017125</t>
  </si>
  <si>
    <t>L00-1017161</t>
  </si>
  <si>
    <t>L00-1017164</t>
  </si>
  <si>
    <t>L00-1017172</t>
  </si>
  <si>
    <t>L00-1017176</t>
  </si>
  <si>
    <t>L00-1017181</t>
  </si>
  <si>
    <t>L00-1017249</t>
  </si>
  <si>
    <t>L00-1017284</t>
  </si>
  <si>
    <t>L00-1017381</t>
  </si>
  <si>
    <t>L00-1017399</t>
  </si>
  <si>
    <t>L00-1017412</t>
  </si>
  <si>
    <t>L00-1017445</t>
  </si>
  <si>
    <t>L00-1017872</t>
  </si>
  <si>
    <t>L00-1017875</t>
  </si>
  <si>
    <t>L06-994460</t>
  </si>
  <si>
    <t>L06-994461</t>
  </si>
  <si>
    <t>L06-994462</t>
  </si>
  <si>
    <t>L06-994473</t>
  </si>
  <si>
    <t>L06-994482</t>
  </si>
  <si>
    <t>L06-994501</t>
  </si>
  <si>
    <t>L06-994504</t>
  </si>
  <si>
    <t>L06-994551</t>
  </si>
  <si>
    <t>M00-1000050</t>
  </si>
  <si>
    <t>M14-980765</t>
  </si>
  <si>
    <t>M14-980781</t>
  </si>
  <si>
    <t>M14-980806</t>
  </si>
  <si>
    <t>M14-980810</t>
  </si>
  <si>
    <t>M14-980811</t>
  </si>
  <si>
    <t>M14-980840</t>
  </si>
  <si>
    <t>M20-1002534</t>
  </si>
  <si>
    <t>M20-1002537</t>
  </si>
  <si>
    <t>MC1-998675</t>
  </si>
  <si>
    <t>ML0-226223</t>
  </si>
  <si>
    <t>MS1-999207</t>
  </si>
  <si>
    <t>MS1-999225</t>
  </si>
  <si>
    <t>MS1-999226</t>
  </si>
  <si>
    <t>P00-996345</t>
  </si>
  <si>
    <t>P06-997058</t>
  </si>
  <si>
    <t>Q00-999466</t>
  </si>
  <si>
    <t>Q00-999478</t>
  </si>
  <si>
    <t>Q02-930553</t>
  </si>
  <si>
    <t>Q02-930566</t>
  </si>
  <si>
    <t>Q02-930575</t>
  </si>
  <si>
    <t>Q02-930595</t>
  </si>
  <si>
    <t>Q02-930608</t>
  </si>
  <si>
    <t>T02-998336</t>
  </si>
  <si>
    <t>T02-998337</t>
  </si>
  <si>
    <t>T02-998350</t>
  </si>
  <si>
    <t>Y00-1002255</t>
  </si>
  <si>
    <t>Y00-1002312</t>
  </si>
  <si>
    <t>C01-995846</t>
  </si>
  <si>
    <t>D00-1010565</t>
  </si>
  <si>
    <t>D70-1004614</t>
  </si>
  <si>
    <t>D70-1004615</t>
  </si>
  <si>
    <t>D70-1004617</t>
  </si>
  <si>
    <t>D70-1004626</t>
  </si>
  <si>
    <t>D70-1004652</t>
  </si>
  <si>
    <t>D70-1004655</t>
  </si>
  <si>
    <t>D70-1004675</t>
  </si>
  <si>
    <t>D70-1004691</t>
  </si>
  <si>
    <t>D70-1004699</t>
  </si>
  <si>
    <t>D70-1004708</t>
  </si>
  <si>
    <t>F02-996572</t>
  </si>
  <si>
    <t>F04-975923</t>
  </si>
  <si>
    <t>F04-975943</t>
  </si>
  <si>
    <t>F04-975944</t>
  </si>
  <si>
    <t>H00-1001206</t>
  </si>
  <si>
    <t>L00-1016886</t>
  </si>
  <si>
    <t>L00-1016889</t>
  </si>
  <si>
    <t>L00-1016904</t>
  </si>
  <si>
    <t>L00-1016960</t>
  </si>
  <si>
    <t>L00-1016964</t>
  </si>
  <si>
    <t>L00-1016981</t>
  </si>
  <si>
    <t>L00-1017050</t>
  </si>
  <si>
    <t>L00-1017053</t>
  </si>
  <si>
    <t>L00-1017056</t>
  </si>
  <si>
    <t>L00-1017084</t>
  </si>
  <si>
    <t>L00-1017102</t>
  </si>
  <si>
    <t>L00-1017110</t>
  </si>
  <si>
    <t>L00-1017124</t>
  </si>
  <si>
    <t>L00-1017188</t>
  </si>
  <si>
    <t>L00-1017286</t>
  </si>
  <si>
    <t>L00-1017384</t>
  </si>
  <si>
    <t>L00-1017430</t>
  </si>
  <si>
    <t>L00-1017449</t>
  </si>
  <si>
    <t>L00-1018128</t>
  </si>
  <si>
    <t>L06-994447</t>
  </si>
  <si>
    <t>L06-994465</t>
  </si>
  <si>
    <t>L06-994466</t>
  </si>
  <si>
    <t>L06-994475</t>
  </si>
  <si>
    <t>M00-1000043</t>
  </si>
  <si>
    <t>M00-1000057</t>
  </si>
  <si>
    <t>M05-1000900</t>
  </si>
  <si>
    <t>M20-1002501</t>
  </si>
  <si>
    <t>M20-1002568</t>
  </si>
  <si>
    <t>M20-1002586</t>
  </si>
  <si>
    <t>MC1-998722</t>
  </si>
  <si>
    <t>MS1-999194</t>
  </si>
  <si>
    <t>MS1-999202</t>
  </si>
  <si>
    <t>MSJ-232192</t>
  </si>
  <si>
    <t>P00-996195</t>
  </si>
  <si>
    <t>P00-996199</t>
  </si>
  <si>
    <t>P00-996200</t>
  </si>
  <si>
    <t>P00-996206</t>
  </si>
  <si>
    <t>P00-996210</t>
  </si>
  <si>
    <t>P00-996214</t>
  </si>
  <si>
    <t>P00-996216</t>
  </si>
  <si>
    <t>P00-996228</t>
  </si>
  <si>
    <t>P00-996450</t>
  </si>
  <si>
    <t>P00-1002018</t>
  </si>
  <si>
    <t>P12-760</t>
  </si>
  <si>
    <t>Y00-1002221</t>
  </si>
  <si>
    <t>Y00-1002253</t>
  </si>
  <si>
    <t>Y00-1002254</t>
  </si>
  <si>
    <t>Y01-811251</t>
  </si>
  <si>
    <t>C00-999363</t>
  </si>
  <si>
    <t>C00-999418</t>
  </si>
  <si>
    <t>C01-995828</t>
  </si>
  <si>
    <t>D00-1010558</t>
  </si>
  <si>
    <t>D00-1010578</t>
  </si>
  <si>
    <t>D00-1010925</t>
  </si>
  <si>
    <t>D70-1004621</t>
  </si>
  <si>
    <t>D70-1004690</t>
  </si>
  <si>
    <t>D70-1004739</t>
  </si>
  <si>
    <t>D70-1004746</t>
  </si>
  <si>
    <t>D70-1004917</t>
  </si>
  <si>
    <t>E00-996384</t>
  </si>
  <si>
    <t>G00-996857</t>
  </si>
  <si>
    <t>G05-963959</t>
  </si>
  <si>
    <t>G05-963963</t>
  </si>
  <si>
    <t>H01-993385</t>
  </si>
  <si>
    <t>L00-1016884</t>
  </si>
  <si>
    <t>L00-1016887</t>
  </si>
  <si>
    <t>L00-1016944</t>
  </si>
  <si>
    <t>L00-1016945</t>
  </si>
  <si>
    <t>L00-1016947</t>
  </si>
  <si>
    <t>L00-1016948</t>
  </si>
  <si>
    <t>L00-1016965</t>
  </si>
  <si>
    <t>L00-1017066</t>
  </si>
  <si>
    <t>L00-1017083</t>
  </si>
  <si>
    <t>L00-1017094</t>
  </si>
  <si>
    <t>L00-1017202</t>
  </si>
  <si>
    <t>L00-1017406</t>
  </si>
  <si>
    <t>L00-1017910</t>
  </si>
  <si>
    <t>L00-1018039</t>
  </si>
  <si>
    <t>L06-994494</t>
  </si>
  <si>
    <t>L06-994643</t>
  </si>
  <si>
    <t>L07-978332</t>
  </si>
  <si>
    <t>L07-978333</t>
  </si>
  <si>
    <t>M14-980782</t>
  </si>
  <si>
    <t>M14-980786</t>
  </si>
  <si>
    <t>P07-995078</t>
  </si>
  <si>
    <t>Q00-999467</t>
  </si>
  <si>
    <t>Q00-999537</t>
  </si>
  <si>
    <t>Q02-930613</t>
  </si>
  <si>
    <t>Q02-930616</t>
  </si>
  <si>
    <t>Q02-930633</t>
  </si>
  <si>
    <t>T02-998341</t>
  </si>
  <si>
    <t>Y00-1002227</t>
  </si>
  <si>
    <t>Y17-862329</t>
  </si>
  <si>
    <t>C01-995831</t>
  </si>
  <si>
    <t>C01-995837</t>
  </si>
  <si>
    <t>C01-995848</t>
  </si>
  <si>
    <t>D00-1010604</t>
  </si>
  <si>
    <t>D00-1010621</t>
  </si>
  <si>
    <t>D00-1010678</t>
  </si>
  <si>
    <t>D00-1010867</t>
  </si>
  <si>
    <t>D00-1010868</t>
  </si>
  <si>
    <t>D00-1010897</t>
  </si>
  <si>
    <t>D00-1010903</t>
  </si>
  <si>
    <t>D00-1011219</t>
  </si>
  <si>
    <t>D70-1004712</t>
  </si>
  <si>
    <t>D70-1004753</t>
  </si>
  <si>
    <t>E00-996383</t>
  </si>
  <si>
    <t>G00-996863</t>
  </si>
  <si>
    <t>H00-1001208</t>
  </si>
  <si>
    <t>H00-1001209</t>
  </si>
  <si>
    <t>L00-1016891</t>
  </si>
  <si>
    <t>L00-1016892</t>
  </si>
  <si>
    <t>L00-1016896</t>
  </si>
  <si>
    <t>L00-1016946</t>
  </si>
  <si>
    <t>L00-1016961</t>
  </si>
  <si>
    <t>L00-1017015</t>
  </si>
  <si>
    <t>L00-1017039</t>
  </si>
  <si>
    <t>L00-1017076</t>
  </si>
  <si>
    <t>L00-1017190</t>
  </si>
  <si>
    <t>L00-1017935</t>
  </si>
  <si>
    <t>L00-1018056</t>
  </si>
  <si>
    <t>L01-999404</t>
  </si>
  <si>
    <t>L06-994439</t>
  </si>
  <si>
    <t>L07-978334</t>
  </si>
  <si>
    <t>L07-978407</t>
  </si>
  <si>
    <t>M11-919281</t>
  </si>
  <si>
    <t>M11-919282</t>
  </si>
  <si>
    <t>M11-919283</t>
  </si>
  <si>
    <t>M11-919369</t>
  </si>
  <si>
    <t>M11-919373</t>
  </si>
  <si>
    <t>M14-980769</t>
  </si>
  <si>
    <t>M14-980770</t>
  </si>
  <si>
    <t>M14-980771</t>
  </si>
  <si>
    <t>M14-980809</t>
  </si>
  <si>
    <t>M20-1002503</t>
  </si>
  <si>
    <t>M20-1002504</t>
  </si>
  <si>
    <t>M20-1008430</t>
  </si>
  <si>
    <t>MS1-999199</t>
  </si>
  <si>
    <t>P01-998205</t>
  </si>
  <si>
    <t>P08-356193</t>
  </si>
  <si>
    <t>Q02-930587</t>
  </si>
  <si>
    <t>Q02-930624</t>
  </si>
  <si>
    <t>Y00-1002248</t>
  </si>
  <si>
    <t>Y01-811244</t>
  </si>
  <si>
    <t>Y01-811265</t>
  </si>
  <si>
    <t>Y01-811266</t>
  </si>
  <si>
    <t>C00-999372</t>
  </si>
  <si>
    <t>D00-1010327</t>
  </si>
  <si>
    <t>D00-1010511</t>
  </si>
  <si>
    <t>D00-1010533</t>
  </si>
  <si>
    <t>D00-1010594</t>
  </si>
  <si>
    <t>D00-1010611</t>
  </si>
  <si>
    <t>D00-1010615</t>
  </si>
  <si>
    <t>D00-1010656</t>
  </si>
  <si>
    <t>D00-1010945</t>
  </si>
  <si>
    <t>F02-996564</t>
  </si>
  <si>
    <t>F02-996567</t>
  </si>
  <si>
    <t>F02-996568</t>
  </si>
  <si>
    <t>G11-993958</t>
  </si>
  <si>
    <t>G22-156228</t>
  </si>
  <si>
    <t>H01-993384</t>
  </si>
  <si>
    <t>L00-1016893</t>
  </si>
  <si>
    <t>L00-1016989</t>
  </si>
  <si>
    <t>L00-1017025</t>
  </si>
  <si>
    <t>L00-1017048</t>
  </si>
  <si>
    <t>L00-1017073</t>
  </si>
  <si>
    <t>L00-1017178</t>
  </si>
  <si>
    <t>L00-1017189</t>
  </si>
  <si>
    <t>L00-1017334</t>
  </si>
  <si>
    <t>L06-994453</t>
  </si>
  <si>
    <t>L06-994454</t>
  </si>
  <si>
    <t>L06-994456</t>
  </si>
  <si>
    <t>M00-1000056</t>
  </si>
  <si>
    <t>M05-1000901</t>
  </si>
  <si>
    <t>M14-980790</t>
  </si>
  <si>
    <t>M14-980813</t>
  </si>
  <si>
    <t>M20-1002547</t>
  </si>
  <si>
    <t>P00-996192</t>
  </si>
  <si>
    <t>P00-996446</t>
  </si>
  <si>
    <t>P01-998197</t>
  </si>
  <si>
    <t>P01-998202</t>
  </si>
  <si>
    <t>Q00-999488</t>
  </si>
  <si>
    <t>Q02-930632</t>
  </si>
  <si>
    <t>Q02-930703</t>
  </si>
  <si>
    <t>T00-999337</t>
  </si>
  <si>
    <t>Y00-1002249</t>
  </si>
  <si>
    <t>Y00-1002250</t>
  </si>
  <si>
    <t>Y01-811252</t>
  </si>
  <si>
    <t>Y10-916208</t>
  </si>
  <si>
    <t>Y11-983824</t>
  </si>
  <si>
    <t>Y11-983826</t>
  </si>
  <si>
    <t>Y11-983827</t>
  </si>
  <si>
    <t>Y11-983828</t>
  </si>
  <si>
    <t>Y11-983829</t>
  </si>
  <si>
    <t>C00-999415</t>
  </si>
  <si>
    <t>C16-806657</t>
  </si>
  <si>
    <t>D00-1010525</t>
  </si>
  <si>
    <t>D00-1010529</t>
  </si>
  <si>
    <t>D00-1010546</t>
  </si>
  <si>
    <t>D00-1010597</t>
  </si>
  <si>
    <t>D00-1010716</t>
  </si>
  <si>
    <t>D70-1004625</t>
  </si>
  <si>
    <t>D70-1004630</t>
  </si>
  <si>
    <t>D70-1004713</t>
  </si>
  <si>
    <t>D70-1004724</t>
  </si>
  <si>
    <t>D70-1004896</t>
  </si>
  <si>
    <t>D70-1004901</t>
  </si>
  <si>
    <t>F02-996551</t>
  </si>
  <si>
    <t>F02-996587</t>
  </si>
  <si>
    <t>G00-996851</t>
  </si>
  <si>
    <t>G00-996906</t>
  </si>
  <si>
    <t>G05-963937</t>
  </si>
  <si>
    <t>G05-963938</t>
  </si>
  <si>
    <t>G05-963939</t>
  </si>
  <si>
    <t>G05-963940</t>
  </si>
  <si>
    <t>G05-963951</t>
  </si>
  <si>
    <t>G05-963953</t>
  </si>
  <si>
    <t>G05-964031</t>
  </si>
  <si>
    <t>H00-1001181</t>
  </si>
  <si>
    <t>H00-1001188</t>
  </si>
  <si>
    <t>H00-1001202</t>
  </si>
  <si>
    <t>H00-1001203</t>
  </si>
  <si>
    <t>H00-1001245</t>
  </si>
  <si>
    <t>H00-1001292</t>
  </si>
  <si>
    <t>L00-1016856</t>
  </si>
  <si>
    <t>L00-1016858</t>
  </si>
  <si>
    <t>L00-1016860</t>
  </si>
  <si>
    <t>L00-1016878</t>
  </si>
  <si>
    <t>L00-1016879</t>
  </si>
  <si>
    <t>L00-1016939</t>
  </si>
  <si>
    <t>L00-1016940</t>
  </si>
  <si>
    <t>L00-1016974</t>
  </si>
  <si>
    <t>L00-1016997</t>
  </si>
  <si>
    <t>L00-1017032</t>
  </si>
  <si>
    <t>L00-1017086</t>
  </si>
  <si>
    <t>L00-1017097</t>
  </si>
  <si>
    <t>L00-1017107</t>
  </si>
  <si>
    <t>L00-1017123</t>
  </si>
  <si>
    <t>L00-1017133</t>
  </si>
  <si>
    <t>L00-1017165</t>
  </si>
  <si>
    <t>L00-1017180</t>
  </si>
  <si>
    <t>L00-1017185</t>
  </si>
  <si>
    <t>L00-1017206</t>
  </si>
  <si>
    <t>L00-1017207</t>
  </si>
  <si>
    <t>L00-1017215</t>
  </si>
  <si>
    <t>L00-1017216</t>
  </si>
  <si>
    <t>L00-1017217</t>
  </si>
  <si>
    <t>L00-1017232</t>
  </si>
  <si>
    <t>L00-1017346</t>
  </si>
  <si>
    <t>L00-1017425</t>
  </si>
  <si>
    <t>L00-1017439</t>
  </si>
  <si>
    <t>L00-1017441</t>
  </si>
  <si>
    <t>L00-1017984</t>
  </si>
  <si>
    <t>L01-999397</t>
  </si>
  <si>
    <t>L01-999400</t>
  </si>
  <si>
    <t>L01-999519</t>
  </si>
  <si>
    <t>L06-994452</t>
  </si>
  <si>
    <t>L07-978329</t>
  </si>
  <si>
    <t>L07-978359</t>
  </si>
  <si>
    <t>M00-1000030</t>
  </si>
  <si>
    <t>M00-1000062</t>
  </si>
  <si>
    <t>M05-1000893</t>
  </si>
  <si>
    <t>M05-1000897</t>
  </si>
  <si>
    <t>M11-919280</t>
  </si>
  <si>
    <t>M14-980775</t>
  </si>
  <si>
    <t>M14-980791</t>
  </si>
  <si>
    <t>M17-582320</t>
  </si>
  <si>
    <t>M20-1002541</t>
  </si>
  <si>
    <t>MC1-998695</t>
  </si>
  <si>
    <t>MS1-999228</t>
  </si>
  <si>
    <t>P00-996177</t>
  </si>
  <si>
    <t>P00-996186</t>
  </si>
  <si>
    <t>P00-996193</t>
  </si>
  <si>
    <t>P00-996236</t>
  </si>
  <si>
    <t>Q02-930634</t>
  </si>
  <si>
    <t>T00-999331</t>
  </si>
  <si>
    <t>T02-998342</t>
  </si>
  <si>
    <t>Y01-811243</t>
  </si>
  <si>
    <t>Y01-811296</t>
  </si>
  <si>
    <t>Y11-983816</t>
  </si>
  <si>
    <t>Y11-983876</t>
  </si>
  <si>
    <t>C00-999385</t>
  </si>
  <si>
    <t>C01-995817</t>
  </si>
  <si>
    <t>C01-995821</t>
  </si>
  <si>
    <t>C01-995823</t>
  </si>
  <si>
    <t>C01-995836</t>
  </si>
  <si>
    <t>C01-995843</t>
  </si>
  <si>
    <t>C01-995911</t>
  </si>
  <si>
    <t>D00-1010617</t>
  </si>
  <si>
    <t>D00-1010666</t>
  </si>
  <si>
    <t>D00-1010878</t>
  </si>
  <si>
    <t>D70-1004694</t>
  </si>
  <si>
    <t>D70-1004697</t>
  </si>
  <si>
    <t>E00-996396</t>
  </si>
  <si>
    <t>F10-996378</t>
  </si>
  <si>
    <t>F10-996380</t>
  </si>
  <si>
    <t>G05-963942</t>
  </si>
  <si>
    <t>G05-963952</t>
  </si>
  <si>
    <t>H00-1001190</t>
  </si>
  <si>
    <t>L00-1016862</t>
  </si>
  <si>
    <t>L00-1016880</t>
  </si>
  <si>
    <t>L00-1016894</t>
  </si>
  <si>
    <t>L00-1016895</t>
  </si>
  <si>
    <t>L00-1016905</t>
  </si>
  <si>
    <t>L00-1016955</t>
  </si>
  <si>
    <t>L00-1016956</t>
  </si>
  <si>
    <t>L00-1016998</t>
  </si>
  <si>
    <t>L00-1017012</t>
  </si>
  <si>
    <t>L00-1017021</t>
  </si>
  <si>
    <t>L00-1017091</t>
  </si>
  <si>
    <t>L00-1017093</t>
  </si>
  <si>
    <t>L00-1017098</t>
  </si>
  <si>
    <t>L00-1017106</t>
  </si>
  <si>
    <t>L00-1017120</t>
  </si>
  <si>
    <t>L00-1017121</t>
  </si>
  <si>
    <t>L00-1017177</t>
  </si>
  <si>
    <t>L00-1017187</t>
  </si>
  <si>
    <t>L00-1017194</t>
  </si>
  <si>
    <t>L00-1017200</t>
  </si>
  <si>
    <t>L00-1017208</t>
  </si>
  <si>
    <t>L00-1017214</t>
  </si>
  <si>
    <t>L00-1017225</t>
  </si>
  <si>
    <t>L00-1017235</t>
  </si>
  <si>
    <t>L00-1017259</t>
  </si>
  <si>
    <t>L00-1017261</t>
  </si>
  <si>
    <t>L00-1017403</t>
  </si>
  <si>
    <t>L00-1017404</t>
  </si>
  <si>
    <t>L00-1017405</t>
  </si>
  <si>
    <t>L00-1017411</t>
  </si>
  <si>
    <t>L00-1017447</t>
  </si>
  <si>
    <t>L00-1017883</t>
  </si>
  <si>
    <t>L00-1017884</t>
  </si>
  <si>
    <t>L00-1017885</t>
  </si>
  <si>
    <t>L00-1017886</t>
  </si>
  <si>
    <t>L00-1017900</t>
  </si>
  <si>
    <t>L00-1017901</t>
  </si>
  <si>
    <t>L00-1017912</t>
  </si>
  <si>
    <t>L00-1017943</t>
  </si>
  <si>
    <t>L00-1018007</t>
  </si>
  <si>
    <t>L00-1018008</t>
  </si>
  <si>
    <t>L00-1018019</t>
  </si>
  <si>
    <t>L00-1018025</t>
  </si>
  <si>
    <t>L00-1018084</t>
  </si>
  <si>
    <t>L00-1018645</t>
  </si>
  <si>
    <t>L01-999427</t>
  </si>
  <si>
    <t>L01-999508</t>
  </si>
  <si>
    <t>L06-994463</t>
  </si>
  <si>
    <t>L06-994528</t>
  </si>
  <si>
    <t>L06-994550</t>
  </si>
  <si>
    <t>L07-978331</t>
  </si>
  <si>
    <t>M00-1000038</t>
  </si>
  <si>
    <t>M14-980805</t>
  </si>
  <si>
    <t>M20-1002532</t>
  </si>
  <si>
    <t>M20-1002549</t>
  </si>
  <si>
    <t>MC1-998684</t>
  </si>
  <si>
    <t>MC1-998719</t>
  </si>
  <si>
    <t>P01-998199</t>
  </si>
  <si>
    <t>P01-998208</t>
  </si>
  <si>
    <t>Q00-999453</t>
  </si>
  <si>
    <t>Q00-999460</t>
  </si>
  <si>
    <t>Q00-999462</t>
  </si>
  <si>
    <t>Q00-999555</t>
  </si>
  <si>
    <t>Q02-930576</t>
  </si>
  <si>
    <t>Q02-930591</t>
  </si>
  <si>
    <t>Q02-930592</t>
  </si>
  <si>
    <t>Q02-930598</t>
  </si>
  <si>
    <t>T02-998340</t>
  </si>
  <si>
    <t>T02-998343</t>
  </si>
  <si>
    <t>T03-999850</t>
  </si>
  <si>
    <t>Y00-1002229</t>
  </si>
  <si>
    <t>Y00-1002258</t>
  </si>
  <si>
    <t>Y00-1002260</t>
  </si>
  <si>
    <t>Y00-1002271</t>
  </si>
  <si>
    <t>Y00-1002272</t>
  </si>
  <si>
    <t>Y00-1002273</t>
  </si>
  <si>
    <t>Y00-1002276</t>
  </si>
  <si>
    <t>Y00-1002277</t>
  </si>
  <si>
    <t>Y17-862333</t>
  </si>
  <si>
    <t>C00-999392</t>
  </si>
  <si>
    <t>C00-999487</t>
  </si>
  <si>
    <t>C01-995851</t>
  </si>
  <si>
    <t>C01-995852</t>
  </si>
  <si>
    <t>D00-1010325</t>
  </si>
  <si>
    <t>D00-1010520</t>
  </si>
  <si>
    <t>D00-1010524</t>
  </si>
  <si>
    <t>D00-1010526</t>
  </si>
  <si>
    <t>D70-1004893</t>
  </si>
  <si>
    <t>F02-996550</t>
  </si>
  <si>
    <t>G00-996845</t>
  </si>
  <si>
    <t>G00-996909</t>
  </si>
  <si>
    <t>G05-963948</t>
  </si>
  <si>
    <t>G05-963961</t>
  </si>
  <si>
    <t>G05-964025</t>
  </si>
  <si>
    <t>G05-964026</t>
  </si>
  <si>
    <t>H00-1001215</t>
  </si>
  <si>
    <t>H00-1001298</t>
  </si>
  <si>
    <t>H02-345203</t>
  </si>
  <si>
    <t>L00-1016854</t>
  </si>
  <si>
    <t>L00-1016876</t>
  </si>
  <si>
    <t>L00-1016911</t>
  </si>
  <si>
    <t>L00-1017003</t>
  </si>
  <si>
    <t>L00-1017010</t>
  </si>
  <si>
    <t>L00-1017037</t>
  </si>
  <si>
    <t>L00-1017045</t>
  </si>
  <si>
    <t>L00-1017051</t>
  </si>
  <si>
    <t>L00-1017054</t>
  </si>
  <si>
    <t>L00-1017055</t>
  </si>
  <si>
    <t>L00-1017096</t>
  </si>
  <si>
    <t>L00-1017142</t>
  </si>
  <si>
    <t>L00-1017163</t>
  </si>
  <si>
    <t>L00-1017169</t>
  </si>
  <si>
    <t>L00-1017183</t>
  </si>
  <si>
    <t>L00-1017186</t>
  </si>
  <si>
    <t>L00-1017196</t>
  </si>
  <si>
    <t>L00-1017258</t>
  </si>
  <si>
    <t>L00-1017327</t>
  </si>
  <si>
    <t>L00-1017362</t>
  </si>
  <si>
    <t>L00-1017415</t>
  </si>
  <si>
    <t>L00-1017418</t>
  </si>
  <si>
    <t>L00-1017444</t>
  </si>
  <si>
    <t>L00-1017868</t>
  </si>
  <si>
    <t>L00-1017869</t>
  </si>
  <si>
    <t>L00-1017870</t>
  </si>
  <si>
    <t>L00-1017887</t>
  </si>
  <si>
    <t>L00-1017897</t>
  </si>
  <si>
    <t>L00-1017905</t>
  </si>
  <si>
    <t>L01-999398</t>
  </si>
  <si>
    <t>L06-994471</t>
  </si>
  <si>
    <t>L06-994545</t>
  </si>
  <si>
    <t>L06-994546</t>
  </si>
  <si>
    <t>L07-978344</t>
  </si>
  <si>
    <t>L07-978364</t>
  </si>
  <si>
    <t>M00-1000046</t>
  </si>
  <si>
    <t>M14-980778</t>
  </si>
  <si>
    <t>M14-980785</t>
  </si>
  <si>
    <t>M14-980847</t>
  </si>
  <si>
    <t>M17-582331</t>
  </si>
  <si>
    <t>M20-1002505</t>
  </si>
  <si>
    <t>M20-1002513</t>
  </si>
  <si>
    <t>M20-1002550</t>
  </si>
  <si>
    <t>M20-1002571</t>
  </si>
  <si>
    <t>M20-1002576</t>
  </si>
  <si>
    <t>M20-1002659</t>
  </si>
  <si>
    <t>P00-996182</t>
  </si>
  <si>
    <t>P00-996360</t>
  </si>
  <si>
    <t>P08-356195</t>
  </si>
  <si>
    <t>Q02-930559</t>
  </si>
  <si>
    <t>Q02-930560</t>
  </si>
  <si>
    <t>Q02-930577</t>
  </si>
  <si>
    <t>Q02-930706</t>
  </si>
  <si>
    <t>Y00-1002239</t>
  </si>
  <si>
    <t>Y00-1002281</t>
  </si>
  <si>
    <t>Y00-1002400</t>
  </si>
  <si>
    <t>Y01-811290</t>
  </si>
  <si>
    <t>Y01-811291</t>
  </si>
  <si>
    <t>C00-999382</t>
  </si>
  <si>
    <t>C00-999395</t>
  </si>
  <si>
    <t>C01-995826</t>
  </si>
  <si>
    <t>D00-1010346</t>
  </si>
  <si>
    <t>D00-1010512</t>
  </si>
  <si>
    <t>D00-1010550</t>
  </si>
  <si>
    <t>D00-1010556</t>
  </si>
  <si>
    <t>D00-1010577</t>
  </si>
  <si>
    <t>D00-1010589</t>
  </si>
  <si>
    <t>D00-1010598</t>
  </si>
  <si>
    <t>D00-1010606</t>
  </si>
  <si>
    <t>D00-1010608</t>
  </si>
  <si>
    <t>D00-1010619</t>
  </si>
  <si>
    <t>D00-1010943</t>
  </si>
  <si>
    <t>D00-1010980</t>
  </si>
  <si>
    <t>D70-1004620</t>
  </si>
  <si>
    <t>D70-1004632</t>
  </si>
  <si>
    <t>D70-1004642</t>
  </si>
  <si>
    <t>D70-1004663</t>
  </si>
  <si>
    <t>D70-1004674</t>
  </si>
  <si>
    <t>D70-1004695</t>
  </si>
  <si>
    <t>D70-1004704</t>
  </si>
  <si>
    <t>D70-1004707</t>
  </si>
  <si>
    <t>D70-1004737</t>
  </si>
  <si>
    <t>F04-975924</t>
  </si>
  <si>
    <t>F10-996383</t>
  </si>
  <si>
    <t>F10-996397</t>
  </si>
  <si>
    <t>G11-993943</t>
  </si>
  <si>
    <t>G11-993977</t>
  </si>
  <si>
    <t>H00-1001192</t>
  </si>
  <si>
    <t>H01-993386</t>
  </si>
  <si>
    <t>L00-1016906</t>
  </si>
  <si>
    <t>L00-1016949</t>
  </si>
  <si>
    <t>L00-1017022</t>
  </si>
  <si>
    <t>L00-1017077</t>
  </si>
  <si>
    <t>L00-1017168</t>
  </si>
  <si>
    <t>L00-1017193</t>
  </si>
  <si>
    <t>L00-1017288</t>
  </si>
  <si>
    <t>L00-1017295</t>
  </si>
  <si>
    <t>L00-1017378</t>
  </si>
  <si>
    <t>L00-1017438</t>
  </si>
  <si>
    <t>L00-1017878</t>
  </si>
  <si>
    <t>L00-1017916</t>
  </si>
  <si>
    <t>L00-1018093</t>
  </si>
  <si>
    <t>L06-994441</t>
  </si>
  <si>
    <t>L06-994474</t>
  </si>
  <si>
    <t>L06-994526</t>
  </si>
  <si>
    <t>L07-978325</t>
  </si>
  <si>
    <t>L07-978338</t>
  </si>
  <si>
    <t>L12-370243</t>
  </si>
  <si>
    <t>M00-1000029</t>
  </si>
  <si>
    <t>M05-1000894</t>
  </si>
  <si>
    <t>M11-919279</t>
  </si>
  <si>
    <t>M11-919344</t>
  </si>
  <si>
    <t>M20-1002539</t>
  </si>
  <si>
    <t>M20-1002552</t>
  </si>
  <si>
    <t>M25-848865</t>
  </si>
  <si>
    <t>P00-996188</t>
  </si>
  <si>
    <t>P00-996262</t>
  </si>
  <si>
    <t>P00-996351</t>
  </si>
  <si>
    <t>P06-997059</t>
  </si>
  <si>
    <t>Q00-999452</t>
  </si>
  <si>
    <t>Q02-930599</t>
  </si>
  <si>
    <t>T00-999344</t>
  </si>
  <si>
    <t>Y00-1002225</t>
  </si>
  <si>
    <t>Y00-1002232</t>
  </si>
  <si>
    <t>Y00-1002251</t>
  </si>
  <si>
    <t>Y00-1002261</t>
  </si>
  <si>
    <t>Y00-1002266</t>
  </si>
  <si>
    <t>Y02-993447</t>
  </si>
  <si>
    <t>Y02-993453</t>
  </si>
  <si>
    <t>D00-1010349</t>
  </si>
  <si>
    <t>D00-1010521</t>
  </si>
  <si>
    <t>D00-1010567</t>
  </si>
  <si>
    <t>D00-1010579</t>
  </si>
  <si>
    <t>D00-1010624</t>
  </si>
  <si>
    <t>D70-1004645</t>
  </si>
  <si>
    <t>D70-1004653</t>
  </si>
  <si>
    <t>D70-1004654</t>
  </si>
  <si>
    <t>D70-1004665</t>
  </si>
  <si>
    <t>D70-1004671</t>
  </si>
  <si>
    <t>D70-1004692</t>
  </si>
  <si>
    <t>F04-975937</t>
  </si>
  <si>
    <t>F04-975941</t>
  </si>
  <si>
    <t>G05-963943</t>
  </si>
  <si>
    <t>G05-963954</t>
  </si>
  <si>
    <t>G05-963955</t>
  </si>
  <si>
    <t>H00-1001204</t>
  </si>
  <si>
    <t>H01-993383</t>
  </si>
  <si>
    <t>H01-993390</t>
  </si>
  <si>
    <t>H01-993427</t>
  </si>
  <si>
    <t>L00-1016901</t>
  </si>
  <si>
    <t>L00-1016928</t>
  </si>
  <si>
    <t>L00-1016934</t>
  </si>
  <si>
    <t>L00-1016976</t>
  </si>
  <si>
    <t>L00-1016990</t>
  </si>
  <si>
    <t>L00-1017016</t>
  </si>
  <si>
    <t>L00-1017017</t>
  </si>
  <si>
    <t>L00-1017020</t>
  </si>
  <si>
    <t>L00-1017026</t>
  </si>
  <si>
    <t>L00-1017034</t>
  </si>
  <si>
    <t>L00-1017038</t>
  </si>
  <si>
    <t>L00-1017040</t>
  </si>
  <si>
    <t>L00-1017088</t>
  </si>
  <si>
    <t>L00-1017116</t>
  </si>
  <si>
    <t>L00-1017129</t>
  </si>
  <si>
    <t>L00-1017130</t>
  </si>
  <si>
    <t>L00-1017136</t>
  </si>
  <si>
    <t>L00-1017423</t>
  </si>
  <si>
    <t>L00-1017866</t>
  </si>
  <si>
    <t>L00-1017933</t>
  </si>
  <si>
    <t>L00-1018024</t>
  </si>
  <si>
    <t>L01-999401</t>
  </si>
  <si>
    <t>L01-999402</t>
  </si>
  <si>
    <t>L01-999437</t>
  </si>
  <si>
    <t>L01-999455</t>
  </si>
  <si>
    <t>L01-999512</t>
  </si>
  <si>
    <t>L06-994464</t>
  </si>
  <si>
    <t>L07-978337</t>
  </si>
  <si>
    <t>L07-978342</t>
  </si>
  <si>
    <t>L07-978343</t>
  </si>
  <si>
    <t>L07-978345</t>
  </si>
  <si>
    <t>L07-978360</t>
  </si>
  <si>
    <t>M00-1000190</t>
  </si>
  <si>
    <t>M05-1000896</t>
  </si>
  <si>
    <t>M11-919288</t>
  </si>
  <si>
    <t>M20-1002518</t>
  </si>
  <si>
    <t>M20-1002529</t>
  </si>
  <si>
    <t>M20-1008309</t>
  </si>
  <si>
    <t>P00-996207</t>
  </si>
  <si>
    <t>Q02-930583</t>
  </si>
  <si>
    <t>Q02-930584</t>
  </si>
  <si>
    <t>Q02-930605</t>
  </si>
  <si>
    <t>T02-998331</t>
  </si>
  <si>
    <t>T02-998333</t>
  </si>
  <si>
    <t>Y00-1002391</t>
  </si>
  <si>
    <t>Y00-1002402</t>
  </si>
  <si>
    <t>Y01-811247</t>
  </si>
  <si>
    <t>Y01-811288</t>
  </si>
  <si>
    <t>Y11-983813</t>
  </si>
  <si>
    <t>Y11-983854</t>
  </si>
  <si>
    <t>C00-999365</t>
  </si>
  <si>
    <t>D00-1010328</t>
  </si>
  <si>
    <t>D00-1010535</t>
  </si>
  <si>
    <t>D00-1010538</t>
  </si>
  <si>
    <t>D00-1010599</t>
  </si>
  <si>
    <t>D00-1010960</t>
  </si>
  <si>
    <t>D70-1004607</t>
  </si>
  <si>
    <t>D70-1004683</t>
  </si>
  <si>
    <t>D70-1004684</t>
  </si>
  <si>
    <t>D70-1004728</t>
  </si>
  <si>
    <t>D70-1004729</t>
  </si>
  <si>
    <t>D70-1004907</t>
  </si>
  <si>
    <t>D70-1005068</t>
  </si>
  <si>
    <t>D70-1005076</t>
  </si>
  <si>
    <t>F02-996578</t>
  </si>
  <si>
    <t>F02-996606</t>
  </si>
  <si>
    <t>G05-964027</t>
  </si>
  <si>
    <t>G22-156226</t>
  </si>
  <si>
    <t>H00-1001196</t>
  </si>
  <si>
    <t>H01-993381</t>
  </si>
  <si>
    <t>H01-993382</t>
  </si>
  <si>
    <t>L00-1016877</t>
  </si>
  <si>
    <t>L00-1016920</t>
  </si>
  <si>
    <t>L00-1016950</t>
  </si>
  <si>
    <t>L00-1016951</t>
  </si>
  <si>
    <t>L00-1016967</t>
  </si>
  <si>
    <t>L00-1016970</t>
  </si>
  <si>
    <t>L00-1017028</t>
  </si>
  <si>
    <t>L00-1017069</t>
  </si>
  <si>
    <t>L00-1017070</t>
  </si>
  <si>
    <t>L00-1017072</t>
  </si>
  <si>
    <t>L00-1017111</t>
  </si>
  <si>
    <t>L00-1017119</t>
  </si>
  <si>
    <t>L00-1017137</t>
  </si>
  <si>
    <t>L00-1017221</t>
  </si>
  <si>
    <t>L00-1017231</t>
  </si>
  <si>
    <t>L00-1017332</t>
  </si>
  <si>
    <t>L00-1017376</t>
  </si>
  <si>
    <t>L00-1017446</t>
  </si>
  <si>
    <t>L00-1017864</t>
  </si>
  <si>
    <t>L00-1017970</t>
  </si>
  <si>
    <t>L00-1018046</t>
  </si>
  <si>
    <t>L00-1018071</t>
  </si>
  <si>
    <t>L00-1018620</t>
  </si>
  <si>
    <t>L06-994436</t>
  </si>
  <si>
    <t>L06-994478</t>
  </si>
  <si>
    <t>L06-994489</t>
  </si>
  <si>
    <t>L06-994527</t>
  </si>
  <si>
    <t>L06-994641</t>
  </si>
  <si>
    <t>L06-994658</t>
  </si>
  <si>
    <t>M05-1000888</t>
  </si>
  <si>
    <t>M05-1000895</t>
  </si>
  <si>
    <t>M11-919275</t>
  </si>
  <si>
    <t>M11-919276</t>
  </si>
  <si>
    <t>M14-980808</t>
  </si>
  <si>
    <t>M20-1002672</t>
  </si>
  <si>
    <t>MS1-999206</t>
  </si>
  <si>
    <t>P00-996183</t>
  </si>
  <si>
    <t>P00-996201</t>
  </si>
  <si>
    <t>P00-996203</t>
  </si>
  <si>
    <t>P00-996260</t>
  </si>
  <si>
    <t>P00-996447</t>
  </si>
  <si>
    <t>Q00-999468</t>
  </si>
  <si>
    <t>Q00-999536</t>
  </si>
  <si>
    <t>Q02-930579</t>
  </si>
  <si>
    <t>Y00-1002224</t>
  </si>
  <si>
    <t>Y00-1002305</t>
  </si>
  <si>
    <t>Y10-916212</t>
  </si>
  <si>
    <t>Y11-983810</t>
  </si>
  <si>
    <t>Y17-862330</t>
  </si>
  <si>
    <t>Y17-862331</t>
  </si>
  <si>
    <t>Y17-862332</t>
  </si>
  <si>
    <t>C00-999391</t>
  </si>
  <si>
    <t>C01-995819</t>
  </si>
  <si>
    <t>C16-806663</t>
  </si>
  <si>
    <t>D00-1010344</t>
  </si>
  <si>
    <t>D00-1010350</t>
  </si>
  <si>
    <t>D00-1010352</t>
  </si>
  <si>
    <t>D00-1010522</t>
  </si>
  <si>
    <t>D00-1010527</t>
  </si>
  <si>
    <t>D00-1010542</t>
  </si>
  <si>
    <t>D00-1010613</t>
  </si>
  <si>
    <t>D70-1004624</t>
  </si>
  <si>
    <t>D70-1004641</t>
  </si>
  <si>
    <t>D70-1004646</t>
  </si>
  <si>
    <t>D70-1004682</t>
  </si>
  <si>
    <t>D70-1004700</t>
  </si>
  <si>
    <t>D70-1004701</t>
  </si>
  <si>
    <t>D70-1004735</t>
  </si>
  <si>
    <t>D70-1004759</t>
  </si>
  <si>
    <t>D70-1004763</t>
  </si>
  <si>
    <t>F02-996573</t>
  </si>
  <si>
    <t>F02-996609</t>
  </si>
  <si>
    <t>F02-996610</t>
  </si>
  <si>
    <t>G00-996860</t>
  </si>
  <si>
    <t>G00-996872</t>
  </si>
  <si>
    <t>H00-1001228</t>
  </si>
  <si>
    <t>H00-1001239</t>
  </si>
  <si>
    <t>H01-993377</t>
  </si>
  <si>
    <t>H01-993378</t>
  </si>
  <si>
    <t>H01-993379</t>
  </si>
  <si>
    <t>L00-1016863</t>
  </si>
  <si>
    <t>L00-1016866</t>
  </si>
  <si>
    <t>L00-1016910</t>
  </si>
  <si>
    <t>L00-1016921</t>
  </si>
  <si>
    <t>L00-1016923</t>
  </si>
  <si>
    <t>L00-1016942</t>
  </si>
  <si>
    <t>L00-1017179</t>
  </si>
  <si>
    <t>L00-1017197</t>
  </si>
  <si>
    <t>L00-1017890</t>
  </si>
  <si>
    <t>L00-1017952</t>
  </si>
  <si>
    <t>L00-1018113</t>
  </si>
  <si>
    <t>L06-994438</t>
  </si>
  <si>
    <t>L06-994443</t>
  </si>
  <si>
    <t>L06-994451</t>
  </si>
  <si>
    <t>L06-994655</t>
  </si>
  <si>
    <t>M00-1000042</t>
  </si>
  <si>
    <t>M14-980789</t>
  </si>
  <si>
    <t>M14-980794</t>
  </si>
  <si>
    <t>M20-1002512</t>
  </si>
  <si>
    <t>M20-1002524</t>
  </si>
  <si>
    <t>M20-1002536</t>
  </si>
  <si>
    <t>M20-1002575</t>
  </si>
  <si>
    <t>M20-1002677</t>
  </si>
  <si>
    <t>MC1-998676</t>
  </si>
  <si>
    <t>MSJ-232198</t>
  </si>
  <si>
    <t>P00-996187</t>
  </si>
  <si>
    <t>P00-996191</t>
  </si>
  <si>
    <t>P00-996217</t>
  </si>
  <si>
    <t>P00-996221</t>
  </si>
  <si>
    <t>P00-996222</t>
  </si>
  <si>
    <t>P00-996224</t>
  </si>
  <si>
    <t>P01-998210</t>
  </si>
  <si>
    <t>Q00-999457</t>
  </si>
  <si>
    <t>Q00-999458</t>
  </si>
  <si>
    <t>Q00-999463</t>
  </si>
  <si>
    <t>Q00-999464</t>
  </si>
  <si>
    <t>Q00-999486</t>
  </si>
  <si>
    <t>Q00-999538</t>
  </si>
  <si>
    <t>Q02-930580</t>
  </si>
  <si>
    <t>T00-999323</t>
  </si>
  <si>
    <t>T00-999333</t>
  </si>
  <si>
    <t>T03-999857</t>
  </si>
  <si>
    <t>Y00-1002259</t>
  </si>
  <si>
    <t>Y00-1002311</t>
  </si>
  <si>
    <t>Y01-811289</t>
  </si>
  <si>
    <t>C00-999389</t>
  </si>
  <si>
    <t>C00-999394</t>
  </si>
  <si>
    <t>C00-999488</t>
  </si>
  <si>
    <t>C00-999495</t>
  </si>
  <si>
    <t>C16-806658</t>
  </si>
  <si>
    <t>C16-806659</t>
  </si>
  <si>
    <t>D00-1010507</t>
  </si>
  <si>
    <t>D00-1010555</t>
  </si>
  <si>
    <t>D70-1004608</t>
  </si>
  <si>
    <t>D70-1004898</t>
  </si>
  <si>
    <t>F02-996603</t>
  </si>
  <si>
    <t>F10-996379</t>
  </si>
  <si>
    <t>G00-996840</t>
  </si>
  <si>
    <t>G00-996848</t>
  </si>
  <si>
    <t>G00-996855</t>
  </si>
  <si>
    <t>G00-996907</t>
  </si>
  <si>
    <t>G11-993940</t>
  </si>
  <si>
    <t>G11-993946</t>
  </si>
  <si>
    <t>H00-1001180</t>
  </si>
  <si>
    <t>L00-1016855</t>
  </si>
  <si>
    <t>L00-1016865</t>
  </si>
  <si>
    <t>L00-1016925</t>
  </si>
  <si>
    <t>L00-1016926</t>
  </si>
  <si>
    <t>L00-1016927</t>
  </si>
  <si>
    <t>L00-1016929</t>
  </si>
  <si>
    <t>L00-1017047</t>
  </si>
  <si>
    <t>L00-1017052</t>
  </si>
  <si>
    <t>L00-1017078</t>
  </si>
  <si>
    <t>L00-1017080</t>
  </si>
  <si>
    <t>L00-1017146</t>
  </si>
  <si>
    <t>L00-1017240</t>
  </si>
  <si>
    <t>L00-1017244</t>
  </si>
  <si>
    <t>L00-1017251</t>
  </si>
  <si>
    <t>L00-1017891</t>
  </si>
  <si>
    <t>L00-1017893</t>
  </si>
  <si>
    <t>L00-1017950</t>
  </si>
  <si>
    <t>L00-1017995</t>
  </si>
  <si>
    <t>L00-1018011</t>
  </si>
  <si>
    <t>L00-1018017</t>
  </si>
  <si>
    <t>L00-1018114</t>
  </si>
  <si>
    <t>L00-1018116</t>
  </si>
  <si>
    <t>L00-1018117</t>
  </si>
  <si>
    <t>L01-999389</t>
  </si>
  <si>
    <t>L01-999392</t>
  </si>
  <si>
    <t>L01-999423</t>
  </si>
  <si>
    <t>L01-999433</t>
  </si>
  <si>
    <t>L01-999446</t>
  </si>
  <si>
    <t>L06-994457</t>
  </si>
  <si>
    <t>L06-994468</t>
  </si>
  <si>
    <t>L06-994477</t>
  </si>
  <si>
    <t>L06-994485</t>
  </si>
  <si>
    <t>L06-994552</t>
  </si>
  <si>
    <t>L06-994758</t>
  </si>
  <si>
    <t>L07-978326</t>
  </si>
  <si>
    <t>L07-978330</t>
  </si>
  <si>
    <t>L07-978413</t>
  </si>
  <si>
    <t>M00-1000045</t>
  </si>
  <si>
    <t>M14-980772</t>
  </si>
  <si>
    <t>M14-980773</t>
  </si>
  <si>
    <t>M14-980792</t>
  </si>
  <si>
    <t>M17-582321</t>
  </si>
  <si>
    <t>M20-1002530</t>
  </si>
  <si>
    <t>M20-1002531</t>
  </si>
  <si>
    <t>M20-1002533</t>
  </si>
  <si>
    <t>M20-1002540</t>
  </si>
  <si>
    <t>M20-1002574</t>
  </si>
  <si>
    <t>MC1-998679</t>
  </si>
  <si>
    <t>MC1-998727</t>
  </si>
  <si>
    <t>MS1-999198</t>
  </si>
  <si>
    <t>P00-996184</t>
  </si>
  <si>
    <t>P00-996370</t>
  </si>
  <si>
    <t>P01-998206</t>
  </si>
  <si>
    <t>P01-998223</t>
  </si>
  <si>
    <t>P01-998224</t>
  </si>
  <si>
    <t>Q00-999465</t>
  </si>
  <si>
    <t>Q00-999471</t>
  </si>
  <si>
    <t>Q00-999542</t>
  </si>
  <si>
    <t>Q02-930562</t>
  </si>
  <si>
    <t>Q02-930572</t>
  </si>
  <si>
    <t>Q02-930578</t>
  </si>
  <si>
    <t>T00-999339</t>
  </si>
  <si>
    <t>T02-998338</t>
  </si>
  <si>
    <t>T02-998339</t>
  </si>
  <si>
    <t>Y00-1002235</t>
  </si>
  <si>
    <t>Y00-1002236</t>
  </si>
  <si>
    <t>Y00-1002237</t>
  </si>
  <si>
    <t>Y00-1002238</t>
  </si>
  <si>
    <t>Y00-1002300</t>
  </si>
  <si>
    <t>Y02-993452</t>
  </si>
  <si>
    <t>Y02-993462</t>
  </si>
  <si>
    <t>Y11-983812</t>
  </si>
  <si>
    <t>C00-999366</t>
  </si>
  <si>
    <t>C00-999369</t>
  </si>
  <si>
    <t>C00-999371</t>
  </si>
  <si>
    <t>C00-999376</t>
  </si>
  <si>
    <t>C00-999377</t>
  </si>
  <si>
    <t>C00-999378</t>
  </si>
  <si>
    <t>C00-999387</t>
  </si>
  <si>
    <t>C00-999388</t>
  </si>
  <si>
    <t>C00-999393</t>
  </si>
  <si>
    <t>C00-999397</t>
  </si>
  <si>
    <t>C00-999484</t>
  </si>
  <si>
    <t>C00-999489</t>
  </si>
  <si>
    <t>C01-995845</t>
  </si>
  <si>
    <t>C01-995854</t>
  </si>
  <si>
    <t>D00-1010329</t>
  </si>
  <si>
    <t>D00-1010408</t>
  </si>
  <si>
    <t>D00-1010409</t>
  </si>
  <si>
    <t>D00-1010428</t>
  </si>
  <si>
    <t>D00-1010534</t>
  </si>
  <si>
    <t>D00-1010559</t>
  </si>
  <si>
    <t>D00-1010586</t>
  </si>
  <si>
    <t>D00-1010592</t>
  </si>
  <si>
    <t>D00-1010612</t>
  </si>
  <si>
    <t>D00-1010632</t>
  </si>
  <si>
    <t>D00-1010662</t>
  </si>
  <si>
    <t>D00-1010663</t>
  </si>
  <si>
    <t>D00-1010664</t>
  </si>
  <si>
    <t>D00-1010674</t>
  </si>
  <si>
    <t>D00-1010676</t>
  </si>
  <si>
    <t>D00-1010719</t>
  </si>
  <si>
    <t>D00-1011188</t>
  </si>
  <si>
    <t>D00-1011454</t>
  </si>
  <si>
    <t>D00-1017140</t>
  </si>
  <si>
    <t>D00-1017223</t>
  </si>
  <si>
    <t>D00-1017224</t>
  </si>
  <si>
    <t>D00-1017225</t>
  </si>
  <si>
    <t>D70-1004656</t>
  </si>
  <si>
    <t>D70-1004745</t>
  </si>
  <si>
    <t>E00-996382</t>
  </si>
  <si>
    <t>F02-996556</t>
  </si>
  <si>
    <t>F04-975925</t>
  </si>
  <si>
    <t>F04-975935</t>
  </si>
  <si>
    <t>F04-976008</t>
  </si>
  <si>
    <t>F04-976009</t>
  </si>
  <si>
    <t>F04-976019</t>
  </si>
  <si>
    <t>F10-996393</t>
  </si>
  <si>
    <t>G11-993947</t>
  </si>
  <si>
    <t>H00-1001210</t>
  </si>
  <si>
    <t>H00-1001211</t>
  </si>
  <si>
    <t>H00-1001212</t>
  </si>
  <si>
    <t>H00-1001233</t>
  </si>
  <si>
    <t>H02-345198</t>
  </si>
  <si>
    <t>L00-1016857</t>
  </si>
  <si>
    <t>L00-1016864</t>
  </si>
  <si>
    <t>L00-1016872</t>
  </si>
  <si>
    <t>L00-1016902</t>
  </si>
  <si>
    <t>L00-1016918</t>
  </si>
  <si>
    <t>L00-1016919</t>
  </si>
  <si>
    <t>L00-1016930</t>
  </si>
  <si>
    <t>L00-1016931</t>
  </si>
  <si>
    <t>L00-1016977</t>
  </si>
  <si>
    <t>L00-1017014</t>
  </si>
  <si>
    <t>L00-1017074</t>
  </si>
  <si>
    <t>L00-1017075</t>
  </si>
  <si>
    <t>L00-1017103</t>
  </si>
  <si>
    <t>L00-1017104</t>
  </si>
  <si>
    <t>L00-1017105</t>
  </si>
  <si>
    <t>L00-1017108</t>
  </si>
  <si>
    <t>L00-1017112</t>
  </si>
  <si>
    <t>L00-1017145</t>
  </si>
  <si>
    <t>L00-1017199</t>
  </si>
  <si>
    <t>L00-1017201</t>
  </si>
  <si>
    <t>L00-1017203</t>
  </si>
  <si>
    <t>L00-1017311</t>
  </si>
  <si>
    <t>L00-1017450</t>
  </si>
  <si>
    <t>L00-1017453</t>
  </si>
  <si>
    <t>L00-1017874</t>
  </si>
  <si>
    <t>L00-1017896</t>
  </si>
  <si>
    <t>L00-1017972</t>
  </si>
  <si>
    <t>L00-1018069</t>
  </si>
  <si>
    <t>L00-1018107</t>
  </si>
  <si>
    <t>L00-1018652</t>
  </si>
  <si>
    <t>L01-999394</t>
  </si>
  <si>
    <t>L01-999403</t>
  </si>
  <si>
    <t>L01-999447</t>
  </si>
  <si>
    <t>L01-999513</t>
  </si>
  <si>
    <t>L06-994481</t>
  </si>
  <si>
    <t>L06-994499</t>
  </si>
  <si>
    <t>L06-994537</t>
  </si>
  <si>
    <t>L06-994538</t>
  </si>
  <si>
    <t>L07-978347</t>
  </si>
  <si>
    <t>M00-1000036</t>
  </si>
  <si>
    <t>M00-1000044</t>
  </si>
  <si>
    <t>M11-919290</t>
  </si>
  <si>
    <t>M20-1002522</t>
  </si>
  <si>
    <t>M20-1002525</t>
  </si>
  <si>
    <t>M20-1002580</t>
  </si>
  <si>
    <t>M20-1002663</t>
  </si>
  <si>
    <t>M20-1002757</t>
  </si>
  <si>
    <t>M34-11</t>
  </si>
  <si>
    <t>P00-996189</t>
  </si>
  <si>
    <t>P00-996196</t>
  </si>
  <si>
    <t>P00-996202</t>
  </si>
  <si>
    <t>P00-996208</t>
  </si>
  <si>
    <t>P00-996213</t>
  </si>
  <si>
    <t>P00-996369</t>
  </si>
  <si>
    <t>P07-995075</t>
  </si>
  <si>
    <t>Q00-999481</t>
  </si>
  <si>
    <t>Q00-999482</t>
  </si>
  <si>
    <t>Q00-999492</t>
  </si>
  <si>
    <t>Q02-930593</t>
  </si>
  <si>
    <t>Q02-930601</t>
  </si>
  <si>
    <t>Q02-930603</t>
  </si>
  <si>
    <t>Q02-930628</t>
  </si>
  <si>
    <t>Q02-930704</t>
  </si>
  <si>
    <t>T00-999332</t>
  </si>
  <si>
    <t>T00-999335</t>
  </si>
  <si>
    <t>T00-999336</t>
  </si>
  <si>
    <t>T02-998344</t>
  </si>
  <si>
    <t>T03-999846</t>
  </si>
  <si>
    <t>T03-999847</t>
  </si>
  <si>
    <t>Y00-1002242</t>
  </si>
  <si>
    <t>Y00-1002274</t>
  </si>
  <si>
    <t>Y00-1002275</t>
  </si>
  <si>
    <t>Y00-1002280</t>
  </si>
  <si>
    <t>Y00-1002519</t>
  </si>
  <si>
    <t>C00-999401</t>
  </si>
  <si>
    <t>C00-999402</t>
  </si>
  <si>
    <t>C18-6</t>
  </si>
  <si>
    <t>D00-1010509</t>
  </si>
  <si>
    <t>D00-1010523</t>
  </si>
  <si>
    <t>D00-1010541</t>
  </si>
  <si>
    <t>D00-1010568</t>
  </si>
  <si>
    <t>D00-1010665</t>
  </si>
  <si>
    <t>D00-1011126</t>
  </si>
  <si>
    <t>D00-1011135</t>
  </si>
  <si>
    <t>D00-1011217</t>
  </si>
  <si>
    <t>D70-1004657</t>
  </si>
  <si>
    <t>D70-1004662</t>
  </si>
  <si>
    <t>D70-1004673</t>
  </si>
  <si>
    <t>D70-1004698</t>
  </si>
  <si>
    <t>D70-1004718</t>
  </si>
  <si>
    <t>F04-975926</t>
  </si>
  <si>
    <t>F04-976033</t>
  </si>
  <si>
    <t>F04-976055</t>
  </si>
  <si>
    <t>G00-996839</t>
  </si>
  <si>
    <t>G00-996842</t>
  </si>
  <si>
    <t>G00-996846</t>
  </si>
  <si>
    <t>G11-993942</t>
  </si>
  <si>
    <t>G11-993979</t>
  </si>
  <si>
    <t>H00-1001231</t>
  </si>
  <si>
    <t>H01-993394</t>
  </si>
  <si>
    <t>L00-1016861</t>
  </si>
  <si>
    <t>L00-1016903</t>
  </si>
  <si>
    <t>L00-1016912</t>
  </si>
  <si>
    <t>L00-1017008</t>
  </si>
  <si>
    <t>L00-1017036</t>
  </si>
  <si>
    <t>L00-1017090</t>
  </si>
  <si>
    <t>L00-1017117</t>
  </si>
  <si>
    <t>L00-1017144</t>
  </si>
  <si>
    <t>L00-1017147</t>
  </si>
  <si>
    <t>L00-1017204</t>
  </si>
  <si>
    <t>L00-1017219</t>
  </si>
  <si>
    <t>L00-1017241</t>
  </si>
  <si>
    <t>L00-1017243</t>
  </si>
  <si>
    <t>L00-1017379</t>
  </si>
  <si>
    <t>L00-1017919</t>
  </si>
  <si>
    <t>L00-1017945</t>
  </si>
  <si>
    <t>L00-1017953</t>
  </si>
  <si>
    <t>L00-1017961</t>
  </si>
  <si>
    <t>L00-1018000</t>
  </si>
  <si>
    <t>L00-1018085</t>
  </si>
  <si>
    <t>L01-999390</t>
  </si>
  <si>
    <t>L01-999399</t>
  </si>
  <si>
    <t>L01-999426</t>
  </si>
  <si>
    <t>L07-978350</t>
  </si>
  <si>
    <t>L07-978411</t>
  </si>
  <si>
    <t>M00-1000033</t>
  </si>
  <si>
    <t>M00-1000034</t>
  </si>
  <si>
    <t>M00-1000047</t>
  </si>
  <si>
    <t>M00-1000059</t>
  </si>
  <si>
    <t>M14-980795</t>
  </si>
  <si>
    <t>M20-1002508</t>
  </si>
  <si>
    <t>M20-1002510</t>
  </si>
  <si>
    <t>M20-1002520</t>
  </si>
  <si>
    <t>M20-1002545</t>
  </si>
  <si>
    <t>M20-1002546</t>
  </si>
  <si>
    <t>M20-1002581</t>
  </si>
  <si>
    <t>M20-1002656</t>
  </si>
  <si>
    <t>M20-1002660</t>
  </si>
  <si>
    <t>MH0-582246</t>
  </si>
  <si>
    <t>P01-998214</t>
  </si>
  <si>
    <t>Q02-930568</t>
  </si>
  <si>
    <t>Q02-930585</t>
  </si>
  <si>
    <t>Q02-930615</t>
  </si>
  <si>
    <t>Q02-930774</t>
  </si>
  <si>
    <t>T00-999342</t>
  </si>
  <si>
    <t>Y00-1002278</t>
  </si>
  <si>
    <t>Y00-1002392</t>
  </si>
  <si>
    <t>C00-999383</t>
  </si>
  <si>
    <t>C01-995832</t>
  </si>
  <si>
    <t>C01-995838</t>
  </si>
  <si>
    <t>C01-995839</t>
  </si>
  <si>
    <t>D00-1010411</t>
  </si>
  <si>
    <t>D00-1010551</t>
  </si>
  <si>
    <t>D00-1010582</t>
  </si>
  <si>
    <t>D00-1010587</t>
  </si>
  <si>
    <t>D00-1010591</t>
  </si>
  <si>
    <t>D00-1010657</t>
  </si>
  <si>
    <t>D00-1010875</t>
  </si>
  <si>
    <t>D00-1010926</t>
  </si>
  <si>
    <t>D00-1011124</t>
  </si>
  <si>
    <t>D00-1011131</t>
  </si>
  <si>
    <t>D70-1004631</t>
  </si>
  <si>
    <t>D70-1004706</t>
  </si>
  <si>
    <t>D70-1004715</t>
  </si>
  <si>
    <t>E00-996381</t>
  </si>
  <si>
    <t>F02-996558</t>
  </si>
  <si>
    <t>F04-976065</t>
  </si>
  <si>
    <t>G05-963946</t>
  </si>
  <si>
    <t>G05-964029</t>
  </si>
  <si>
    <t>G05-964030</t>
  </si>
  <si>
    <t>G11-993945</t>
  </si>
  <si>
    <t>H00-1001186</t>
  </si>
  <si>
    <t>L00-1016943</t>
  </si>
  <si>
    <t>L00-1017029</t>
  </si>
  <si>
    <t>L00-1017057</t>
  </si>
  <si>
    <t>L00-1017113</t>
  </si>
  <si>
    <t>L00-1017114</t>
  </si>
  <si>
    <t>L00-1017122</t>
  </si>
  <si>
    <t>L00-1017162</t>
  </si>
  <si>
    <t>L00-1017182</t>
  </si>
  <si>
    <t>L00-1017191</t>
  </si>
  <si>
    <t>L00-1017192</t>
  </si>
  <si>
    <t>L00-1017211</t>
  </si>
  <si>
    <t>L00-1017212</t>
  </si>
  <si>
    <t>L00-1017246</t>
  </si>
  <si>
    <t>L00-1017344</t>
  </si>
  <si>
    <t>L00-1017358</t>
  </si>
  <si>
    <t>L00-1017401</t>
  </si>
  <si>
    <t>L00-1017876</t>
  </si>
  <si>
    <t>L00-1018088</t>
  </si>
  <si>
    <t>L00-1018622</t>
  </si>
  <si>
    <t>L00-1018639</t>
  </si>
  <si>
    <t>L06-994442</t>
  </si>
  <si>
    <t>L06-994448</t>
  </si>
  <si>
    <t>L06-994505</t>
  </si>
  <si>
    <t>L07-978339</t>
  </si>
  <si>
    <t>M25-848864</t>
  </si>
  <si>
    <t>MS1-999195</t>
  </si>
  <si>
    <t>MS1-999211</t>
  </si>
  <si>
    <t>P00-996179</t>
  </si>
  <si>
    <t>P01-998200</t>
  </si>
  <si>
    <t>Q00-999459</t>
  </si>
  <si>
    <t>Q00-999543</t>
  </si>
  <si>
    <t>Q02-930561</t>
  </si>
  <si>
    <t>Q02-930604</t>
  </si>
  <si>
    <t>Q02-930610</t>
  </si>
  <si>
    <t>Q02-930631</t>
  </si>
  <si>
    <t>Y00-1002230</t>
  </si>
  <si>
    <t>Y00-1002262</t>
  </si>
  <si>
    <t>Y00-1002308</t>
  </si>
  <si>
    <t>Y00-1002401</t>
  </si>
  <si>
    <t>Y11-983814</t>
  </si>
  <si>
    <t>Y11-983815</t>
  </si>
  <si>
    <t>D00-1010513</t>
  </si>
  <si>
    <t>D00-1010514</t>
  </si>
  <si>
    <t>D00-1010530</t>
  </si>
  <si>
    <t>D00-1010560</t>
  </si>
  <si>
    <t>D00-1010571</t>
  </si>
  <si>
    <t>D00-1010575</t>
  </si>
  <si>
    <t>D00-1010584</t>
  </si>
  <si>
    <t>D00-1010961</t>
  </si>
  <si>
    <t>D00-1011145</t>
  </si>
  <si>
    <t>D00-1011175</t>
  </si>
  <si>
    <t>D70-1004664</t>
  </si>
  <si>
    <t>D70-1004677</t>
  </si>
  <si>
    <t>D70-1004678</t>
  </si>
  <si>
    <t>D70-1004679</t>
  </si>
  <si>
    <t>D70-1004681</t>
  </si>
  <si>
    <t>D70-1004710</t>
  </si>
  <si>
    <t>D70-1004916</t>
  </si>
  <si>
    <t>F02-996549</t>
  </si>
  <si>
    <t>F02-996561</t>
  </si>
  <si>
    <t>H00-1001191</t>
  </si>
  <si>
    <t>H00-1001199</t>
  </si>
  <si>
    <t>L00-1016907</t>
  </si>
  <si>
    <t>L00-1016908</t>
  </si>
  <si>
    <t>L00-1016914</t>
  </si>
  <si>
    <t>L00-1016952</t>
  </si>
  <si>
    <t>L00-1016953</t>
  </si>
  <si>
    <t>L00-1016954</t>
  </si>
  <si>
    <t>L00-1017005</t>
  </si>
  <si>
    <t>L00-1017035</t>
  </si>
  <si>
    <t>L00-1017043</t>
  </si>
  <si>
    <t>L00-1017079</t>
  </si>
  <si>
    <t>L00-1017085</t>
  </si>
  <si>
    <t>L00-1017100</t>
  </si>
  <si>
    <t>L00-1017154</t>
  </si>
  <si>
    <t>L00-1017213</t>
  </si>
  <si>
    <t>L00-1017230</t>
  </si>
  <si>
    <t>L00-1017432</t>
  </si>
  <si>
    <t>L00-1017433</t>
  </si>
  <si>
    <t>L00-1017434</t>
  </si>
  <si>
    <t>L00-1017442</t>
  </si>
  <si>
    <t>L00-1018087</t>
  </si>
  <si>
    <t>L00-1018123</t>
  </si>
  <si>
    <t>L00-1018576</t>
  </si>
  <si>
    <t>L01-999393</t>
  </si>
  <si>
    <t>L01-999409</t>
  </si>
  <si>
    <t>L01-999420</t>
  </si>
  <si>
    <t>L01-999521</t>
  </si>
  <si>
    <t>L06-994444</t>
  </si>
  <si>
    <t>L06-994472</t>
  </si>
  <si>
    <t>L06-994640</t>
  </si>
  <si>
    <t>L06-994648</t>
  </si>
  <si>
    <t>L06-994649</t>
  </si>
  <si>
    <t>L07-978415</t>
  </si>
  <si>
    <t>M00-1000037</t>
  </si>
  <si>
    <t>M14-980784</t>
  </si>
  <si>
    <t>M20-1002538</t>
  </si>
  <si>
    <t>M20-1002544</t>
  </si>
  <si>
    <t>MC1-998677</t>
  </si>
  <si>
    <t>MC1-998682</t>
  </si>
  <si>
    <t>P00-996185</t>
  </si>
  <si>
    <t>P00-996212</t>
  </si>
  <si>
    <t>P00-996219</t>
  </si>
  <si>
    <t>P00-996365</t>
  </si>
  <si>
    <t>P07-995067</t>
  </si>
  <si>
    <t>P07-995069</t>
  </si>
  <si>
    <t>P07-995070</t>
  </si>
  <si>
    <t>P08-356194</t>
  </si>
  <si>
    <t>P12-764</t>
  </si>
  <si>
    <t>Q00-999455</t>
  </si>
  <si>
    <t>Q02-930564</t>
  </si>
  <si>
    <t>Q02-930567</t>
  </si>
  <si>
    <t>Q02-930600</t>
  </si>
  <si>
    <t>S00-993923</t>
  </si>
  <si>
    <t>T03-999852</t>
  </si>
  <si>
    <t>T03-999860</t>
  </si>
  <si>
    <t>Y00-1002393</t>
  </si>
  <si>
    <t>Y01-811248</t>
  </si>
  <si>
    <t>Y01-811259</t>
  </si>
  <si>
    <t>Y01-811260</t>
  </si>
  <si>
    <t>Y01-811315</t>
  </si>
  <si>
    <t>Y02-993448</t>
  </si>
  <si>
    <t>Y11-983832</t>
  </si>
  <si>
    <t>C00-999368</t>
  </si>
  <si>
    <t>C00-999384</t>
  </si>
  <si>
    <t>C00-999404</t>
  </si>
  <si>
    <t>C01-995822</t>
  </si>
  <si>
    <t>C01-995844</t>
  </si>
  <si>
    <t>C01-995927</t>
  </si>
  <si>
    <t>D00-1010311</t>
  </si>
  <si>
    <t>D00-1010407</t>
  </si>
  <si>
    <t>D00-1010537</t>
  </si>
  <si>
    <t>D00-1010569</t>
  </si>
  <si>
    <t>D00-1010623</t>
  </si>
  <si>
    <t>D00-1011268</t>
  </si>
  <si>
    <t>D00-1011466</t>
  </si>
  <si>
    <t>D00-1017215</t>
  </si>
  <si>
    <t>D70-1004609</t>
  </si>
  <si>
    <t>D70-1004639</t>
  </si>
  <si>
    <t>D70-1004640</t>
  </si>
  <si>
    <t>D70-1004649</t>
  </si>
  <si>
    <t>D70-1004703</t>
  </si>
  <si>
    <t>D70-1004716</t>
  </si>
  <si>
    <t>D70-1004908</t>
  </si>
  <si>
    <t>D70-1004943</t>
  </si>
  <si>
    <t>E00-996380</t>
  </si>
  <si>
    <t>F04-975933</t>
  </si>
  <si>
    <t>G00-996856</t>
  </si>
  <si>
    <t>G11-993950</t>
  </si>
  <si>
    <t>H00-1001200</t>
  </si>
  <si>
    <t>H00-1001216</t>
  </si>
  <si>
    <t>H00-1001295</t>
  </si>
  <si>
    <t>H00-1001351</t>
  </si>
  <si>
    <t>L00-1016885</t>
  </si>
  <si>
    <t>L00-1016938</t>
  </si>
  <si>
    <t>L00-1016975</t>
  </si>
  <si>
    <t>L00-1017030</t>
  </si>
  <si>
    <t>L00-1017042</t>
  </si>
  <si>
    <t>L00-1017058</t>
  </si>
  <si>
    <t>L00-1017059</t>
  </si>
  <si>
    <t>L00-1017236</t>
  </si>
  <si>
    <t>L00-1017242</t>
  </si>
  <si>
    <t>L00-1017252</t>
  </si>
  <si>
    <t>L00-1017254</t>
  </si>
  <si>
    <t>L00-1017324</t>
  </si>
  <si>
    <t>L00-1017338</t>
  </si>
  <si>
    <t>L00-1017888</t>
  </si>
  <si>
    <t>L00-1017915</t>
  </si>
  <si>
    <t>L00-1017920</t>
  </si>
  <si>
    <t>L00-1017924</t>
  </si>
  <si>
    <t>L00-1017926</t>
  </si>
  <si>
    <t>L00-1017944</t>
  </si>
  <si>
    <t>L00-1017967</t>
  </si>
  <si>
    <t>L00-1018074</t>
  </si>
  <si>
    <t>L06-994646</t>
  </si>
  <si>
    <t>L06-994656</t>
  </si>
  <si>
    <t>L07-978335</t>
  </si>
  <si>
    <t>M05-1000973</t>
  </si>
  <si>
    <t>M05-1006495</t>
  </si>
  <si>
    <t>M14-980779</t>
  </si>
  <si>
    <t>M14-980783</t>
  </si>
  <si>
    <t>M17-582319</t>
  </si>
  <si>
    <t>M17-582330</t>
  </si>
  <si>
    <t>M20-1002527</t>
  </si>
  <si>
    <t>M20-1002579</t>
  </si>
  <si>
    <t>MC1-998680</t>
  </si>
  <si>
    <t>MS1-999200</t>
  </si>
  <si>
    <t>MS1-999203</t>
  </si>
  <si>
    <t>P00-996341</t>
  </si>
  <si>
    <t>P00-996434</t>
  </si>
  <si>
    <t>Q00-999469</t>
  </si>
  <si>
    <t>Q00-999489</t>
  </si>
  <si>
    <t>Q02-930563</t>
  </si>
  <si>
    <t>Q02-930586</t>
  </si>
  <si>
    <t>Q02-930627</t>
  </si>
  <si>
    <t>T00-999378</t>
  </si>
  <si>
    <t>Y00-1002222</t>
  </si>
  <si>
    <t>Y00-1002397</t>
  </si>
  <si>
    <t>C00-999374</t>
  </si>
  <si>
    <t>C00-999379</t>
  </si>
  <si>
    <t>C00-999451</t>
  </si>
  <si>
    <t>C01-995830</t>
  </si>
  <si>
    <t>C01-995853</t>
  </si>
  <si>
    <t>D00-1010510</t>
  </si>
  <si>
    <t>D00-1010581</t>
  </si>
  <si>
    <t>D00-1010588</t>
  </si>
  <si>
    <t>D00-1010660</t>
  </si>
  <si>
    <t>D00-1010675</t>
  </si>
  <si>
    <t>D00-1011418</t>
  </si>
  <si>
    <t>D00-1011437</t>
  </si>
  <si>
    <t>D70-1004628</t>
  </si>
  <si>
    <t>D70-1004644</t>
  </si>
  <si>
    <t>D70-1004714</t>
  </si>
  <si>
    <t>D70-1004717</t>
  </si>
  <si>
    <t>F02-996559</t>
  </si>
  <si>
    <t>F02-996560</t>
  </si>
  <si>
    <t>F04-975940</t>
  </si>
  <si>
    <t>F04-976013</t>
  </si>
  <si>
    <t>F04-976067</t>
  </si>
  <si>
    <t>F04-976069</t>
  </si>
  <si>
    <t>F10-996381</t>
  </si>
  <si>
    <t>G00-996852</t>
  </si>
  <si>
    <t>G00-996864</t>
  </si>
  <si>
    <t>G05-963947</t>
  </si>
  <si>
    <t>H00-1001201</t>
  </si>
  <si>
    <t>L00-1016941</t>
  </si>
  <si>
    <t>L00-1016966</t>
  </si>
  <si>
    <t>L00-1016986</t>
  </si>
  <si>
    <t>L00-1016992</t>
  </si>
  <si>
    <t>L00-1016996</t>
  </si>
  <si>
    <t>L00-1017013</t>
  </si>
  <si>
    <t>L00-1017018</t>
  </si>
  <si>
    <t>L00-1017068</t>
  </si>
  <si>
    <t>L00-1017081</t>
  </si>
  <si>
    <t>L00-1017092</t>
  </si>
  <si>
    <t>L00-1017152</t>
  </si>
  <si>
    <t>L00-1017341</t>
  </si>
  <si>
    <t>L00-1017342</t>
  </si>
  <si>
    <t>L00-1017351</t>
  </si>
  <si>
    <t>L00-1017427</t>
  </si>
  <si>
    <t>L00-1017879</t>
  </si>
  <si>
    <t>L00-1017889</t>
  </si>
  <si>
    <t>L00-1017934</t>
  </si>
  <si>
    <t>L01-999411</t>
  </si>
  <si>
    <t>L06-994480</t>
  </si>
  <si>
    <t>L06-994484</t>
  </si>
  <si>
    <t>L07-978328</t>
  </si>
  <si>
    <t>L07-978408</t>
  </si>
  <si>
    <t>L07-978412</t>
  </si>
  <si>
    <t>L07-978418</t>
  </si>
  <si>
    <t>M05-1000902</t>
  </si>
  <si>
    <t>M11-919291</t>
  </si>
  <si>
    <t>M14-980796</t>
  </si>
  <si>
    <t>M20-1002548</t>
  </si>
  <si>
    <t>M20-1002578</t>
  </si>
  <si>
    <t>MC1-998681</t>
  </si>
  <si>
    <t>MS1-999205</t>
  </si>
  <si>
    <t>P01-998201</t>
  </si>
  <si>
    <t>P01-998207</t>
  </si>
  <si>
    <t>Q00-999472</t>
  </si>
  <si>
    <t>Q00-999549</t>
  </si>
  <si>
    <t>Q02-930609</t>
  </si>
  <si>
    <t>Q02-930617</t>
  </si>
  <si>
    <t>T02-998348</t>
  </si>
  <si>
    <t>Y00-1002223</t>
  </si>
  <si>
    <t>Y00-1002256</t>
  </si>
  <si>
    <t>Y00-1002302</t>
  </si>
  <si>
    <t>Y00-1002403</t>
  </si>
  <si>
    <t>Y01-811257</t>
  </si>
  <si>
    <t>Y02-993451</t>
  </si>
  <si>
    <t>Y11-983811</t>
  </si>
  <si>
    <t>Y11-983833</t>
  </si>
  <si>
    <t>Y11-983852</t>
  </si>
  <si>
    <t>Y17-862334</t>
  </si>
  <si>
    <t>C01-995922</t>
  </si>
  <si>
    <t>D00-1010574</t>
  </si>
  <si>
    <t>D00-1010607</t>
  </si>
  <si>
    <t>D00-1010620</t>
  </si>
  <si>
    <t>D00-1010625</t>
  </si>
  <si>
    <t>D00-1010661</t>
  </si>
  <si>
    <t>D00-1010677</t>
  </si>
  <si>
    <t>D70-1004637</t>
  </si>
  <si>
    <t>F04-975939</t>
  </si>
  <si>
    <t>F10-996382</t>
  </si>
  <si>
    <t>G00-996911</t>
  </si>
  <si>
    <t>G00-996912</t>
  </si>
  <si>
    <t>G05-963949</t>
  </si>
  <si>
    <t>G05-963962</t>
  </si>
  <si>
    <t>G11-993949</t>
  </si>
  <si>
    <t>H00-1001187</t>
  </si>
  <si>
    <t>H01-993429</t>
  </si>
  <si>
    <t>H01-993430</t>
  </si>
  <si>
    <t>H02-345204</t>
  </si>
  <si>
    <t>L00-1016874</t>
  </si>
  <si>
    <t>L00-1016916</t>
  </si>
  <si>
    <t>L00-1016917</t>
  </si>
  <si>
    <t>L00-1016932</t>
  </si>
  <si>
    <t>L00-1016933</t>
  </si>
  <si>
    <t>L00-1016957</t>
  </si>
  <si>
    <t>L00-1016968</t>
  </si>
  <si>
    <t>L00-1016983</t>
  </si>
  <si>
    <t>L00-1017009</t>
  </si>
  <si>
    <t>L00-1017019</t>
  </si>
  <si>
    <t>L00-1017062</t>
  </si>
  <si>
    <t>L00-1017126</t>
  </si>
  <si>
    <t>L00-1017128</t>
  </si>
  <si>
    <t>L00-1017151</t>
  </si>
  <si>
    <t>L00-1017158</t>
  </si>
  <si>
    <t>L00-1017174</t>
  </si>
  <si>
    <t>L00-1017184</t>
  </si>
  <si>
    <t>L00-1017218</t>
  </si>
  <si>
    <t>L00-1017238</t>
  </si>
  <si>
    <t>L00-1017247</t>
  </si>
  <si>
    <t>L00-1017255</t>
  </si>
  <si>
    <t>L00-1017289</t>
  </si>
  <si>
    <t>L00-1017367</t>
  </si>
  <si>
    <t>L00-1017369</t>
  </si>
  <si>
    <t>L00-1017903</t>
  </si>
  <si>
    <t>L00-1017964</t>
  </si>
  <si>
    <t>L00-1018036</t>
  </si>
  <si>
    <t>L00-1018079</t>
  </si>
  <si>
    <t>L00-1018675</t>
  </si>
  <si>
    <t>L01-999406</t>
  </si>
  <si>
    <t>L01-999431</t>
  </si>
  <si>
    <t>L06-994437</t>
  </si>
  <si>
    <t>L06-994495</t>
  </si>
  <si>
    <t>L06-994497</t>
  </si>
  <si>
    <t>L06-994502</t>
  </si>
  <si>
    <t>L06-994661</t>
  </si>
  <si>
    <t>M00-1000039</t>
  </si>
  <si>
    <t>M00-1000040</t>
  </si>
  <si>
    <t>M00-1000064</t>
  </si>
  <si>
    <t>M05-1000939</t>
  </si>
  <si>
    <t>M05-1000940</t>
  </si>
  <si>
    <t>M05-1000946</t>
  </si>
  <si>
    <t>M11-919278</t>
  </si>
  <si>
    <t>M11-919284</t>
  </si>
  <si>
    <t>M11-919285</t>
  </si>
  <si>
    <t>M11-919376</t>
  </si>
  <si>
    <t>M14-980764</t>
  </si>
  <si>
    <t>M20-1002511</t>
  </si>
  <si>
    <t>M20-1002584</t>
  </si>
  <si>
    <t>MS5-913858</t>
  </si>
  <si>
    <t>MSJ-232203</t>
  </si>
  <si>
    <t>MSJ-232204</t>
  </si>
  <si>
    <t>P01-998204</t>
  </si>
  <si>
    <t>Q02-930571</t>
  </si>
  <si>
    <t>Q02-930581</t>
  </si>
  <si>
    <t>T02-998334</t>
  </si>
  <si>
    <t>Y00-1002226</t>
  </si>
  <si>
    <t>Y00-1002233</t>
  </si>
  <si>
    <t>Y00-1002243</t>
  </si>
  <si>
    <t>Y00-1002263</t>
  </si>
  <si>
    <t>Y00-1002264</t>
  </si>
  <si>
    <t>Y00-1002398</t>
  </si>
  <si>
    <t>Y01-811255</t>
  </si>
  <si>
    <t>Y01-811256</t>
  </si>
  <si>
    <t>Y11-983825</t>
  </si>
  <si>
    <t>C00-999364</t>
  </si>
  <si>
    <t>C00-999375</t>
  </si>
  <si>
    <t>C01-995818</t>
  </si>
  <si>
    <t>C01-995835</t>
  </si>
  <si>
    <t>C01-995914</t>
  </si>
  <si>
    <t>D00-1010548</t>
  </si>
  <si>
    <t>D00-1010585</t>
  </si>
  <si>
    <t>D00-1010622</t>
  </si>
  <si>
    <t>D00-1010630</t>
  </si>
  <si>
    <t>D00-1010631</t>
  </si>
  <si>
    <t>D00-1010672</t>
  </si>
  <si>
    <t>D00-1010722</t>
  </si>
  <si>
    <t>D00-1011440</t>
  </si>
  <si>
    <t>D70-1004623</t>
  </si>
  <si>
    <t>D70-1004629</t>
  </si>
  <si>
    <t>D70-1004636</t>
  </si>
  <si>
    <t>D70-1004668</t>
  </si>
  <si>
    <t>D70-1004672</t>
  </si>
  <si>
    <t>F02-996555</t>
  </si>
  <si>
    <t>F02-996562</t>
  </si>
  <si>
    <t>F02-996565</t>
  </si>
  <si>
    <t>F04-975927</t>
  </si>
  <si>
    <t>G05-963950</t>
  </si>
  <si>
    <t>H00-1001189</t>
  </si>
  <si>
    <t>H00-1001213</t>
  </si>
  <si>
    <t>H00-1001218</t>
  </si>
  <si>
    <t>H01-993395</t>
  </si>
  <si>
    <t>L00-1016873</t>
  </si>
  <si>
    <t>L00-1016883</t>
  </si>
  <si>
    <t>L00-1016924</t>
  </si>
  <si>
    <t>L00-1016969</t>
  </si>
  <si>
    <t>L00-1016971</t>
  </si>
  <si>
    <t>L00-1016978</t>
  </si>
  <si>
    <t>L00-1016979</t>
  </si>
  <si>
    <t>L00-1016988</t>
  </si>
  <si>
    <t>L00-1017007</t>
  </si>
  <si>
    <t>L00-1017023</t>
  </si>
  <si>
    <t>L00-1017049</t>
  </si>
  <si>
    <t>L00-1017060</t>
  </si>
  <si>
    <t>L00-1017061</t>
  </si>
  <si>
    <t>L00-1017143</t>
  </si>
  <si>
    <t>L00-1017227</t>
  </si>
  <si>
    <t>L00-1017339</t>
  </si>
  <si>
    <t>L00-1017365</t>
  </si>
  <si>
    <t>L00-1017975</t>
  </si>
  <si>
    <t>L01-999391</t>
  </si>
  <si>
    <t>L01-999451</t>
  </si>
  <si>
    <t>L06-994445</t>
  </si>
  <si>
    <t>L06-994449</t>
  </si>
  <si>
    <t>L07-978340</t>
  </si>
  <si>
    <t>L07-978414</t>
  </si>
  <si>
    <t>M00-1000194</t>
  </si>
  <si>
    <t>M11-919277</t>
  </si>
  <si>
    <t>M11-919286</t>
  </si>
  <si>
    <t>M11-919289</t>
  </si>
  <si>
    <t>M14-980766</t>
  </si>
  <si>
    <t>M14-980776</t>
  </si>
  <si>
    <t>M14-980777</t>
  </si>
  <si>
    <t>M14-980797</t>
  </si>
  <si>
    <t>M20-1002526</t>
  </si>
  <si>
    <t>M20-1002583</t>
  </si>
  <si>
    <t>MS5-913856</t>
  </si>
  <si>
    <t>P00-996190</t>
  </si>
  <si>
    <t>Q00-999473</t>
  </si>
  <si>
    <t>Q00-999475</t>
  </si>
  <si>
    <t>Q00-999479</t>
  </si>
  <si>
    <t>Q00-999480</t>
  </si>
  <si>
    <t>Q00-999483</t>
  </si>
  <si>
    <t>Q00-999484</t>
  </si>
  <si>
    <t>Q00-999487</t>
  </si>
  <si>
    <t>Q00-999546</t>
  </si>
  <si>
    <t>Q00-999547</t>
  </si>
  <si>
    <t>Q02-930630</t>
  </si>
  <si>
    <t>T00-999320</t>
  </si>
  <si>
    <t>T00-999326</t>
  </si>
  <si>
    <t>Y00-1002231</t>
  </si>
  <si>
    <t>Y00-1002240</t>
  </si>
  <si>
    <t>Y00-1002244</t>
  </si>
  <si>
    <t>Y00-1002306</t>
  </si>
  <si>
    <t>Y01-811254</t>
  </si>
  <si>
    <t>Y02-993468</t>
  </si>
  <si>
    <t>C01-995825</t>
  </si>
  <si>
    <t>C01-995827</t>
  </si>
  <si>
    <t>C01-995849</t>
  </si>
  <si>
    <t>C01-995850</t>
  </si>
  <si>
    <t>C01-995924</t>
  </si>
  <si>
    <t>D00-1010375</t>
  </si>
  <si>
    <t>D00-1010515</t>
  </si>
  <si>
    <t>D00-1010528</t>
  </si>
  <si>
    <t>D00-1010545</t>
  </si>
  <si>
    <t>D00-1010554</t>
  </si>
  <si>
    <t>D00-1010851</t>
  </si>
  <si>
    <t>D00-1011202</t>
  </si>
  <si>
    <t>D00-1011480</t>
  </si>
  <si>
    <t>D70-1004610</t>
  </si>
  <si>
    <t>D70-1004611</t>
  </si>
  <si>
    <t>D70-1004680</t>
  </si>
  <si>
    <t>D70-1004895</t>
  </si>
  <si>
    <t>F02-996563</t>
  </si>
  <si>
    <t>F02-996569</t>
  </si>
  <si>
    <t>F02-996570</t>
  </si>
  <si>
    <t>F02-996571</t>
  </si>
  <si>
    <t>F04-975934</t>
  </si>
  <si>
    <t>F04-975936</t>
  </si>
  <si>
    <t>F04-976015</t>
  </si>
  <si>
    <t>G00-996847</t>
  </si>
  <si>
    <t>G00-996849</t>
  </si>
  <si>
    <t>G00-996854</t>
  </si>
  <si>
    <t>G00-996858</t>
  </si>
  <si>
    <t>G00-996859</t>
  </si>
  <si>
    <t>G00-996861</t>
  </si>
  <si>
    <t>G00-996862</t>
  </si>
  <si>
    <t>G11-993948</t>
  </si>
  <si>
    <t>H00-1001214</t>
  </si>
  <si>
    <t>L00-1016867</t>
  </si>
  <si>
    <t>L00-1016890</t>
  </si>
  <si>
    <t>L00-1016963</t>
  </si>
  <si>
    <t>L00-1017004</t>
  </si>
  <si>
    <t>L00-1017041</t>
  </si>
  <si>
    <t>L00-1017063</t>
  </si>
  <si>
    <t>L00-1017065</t>
  </si>
  <si>
    <t>L00-1017131</t>
  </si>
  <si>
    <t>L00-1017228</t>
  </si>
  <si>
    <t>L00-1017237</t>
  </si>
  <si>
    <t>L00-1017245</t>
  </si>
  <si>
    <t>L00-1017960</t>
  </si>
  <si>
    <t>L00-1017979</t>
  </si>
  <si>
    <t>L00-1018028</t>
  </si>
  <si>
    <t>L00-1018655</t>
  </si>
  <si>
    <t>L01-999395</t>
  </si>
  <si>
    <t>L01-999396</t>
  </si>
  <si>
    <t>L01-999422</t>
  </si>
  <si>
    <t>L01-999430</t>
  </si>
  <si>
    <t>L01-999436</t>
  </si>
  <si>
    <t>L01-999572</t>
  </si>
  <si>
    <t>L06-994459</t>
  </si>
  <si>
    <t>L06-994487</t>
  </si>
  <si>
    <t>L06-994496</t>
  </si>
  <si>
    <t>L07-978346</t>
  </si>
  <si>
    <t>L07-978409</t>
  </si>
  <si>
    <t>M14-980787</t>
  </si>
  <si>
    <t>M20-1002507</t>
  </si>
  <si>
    <t>MC1-998726</t>
  </si>
  <si>
    <t>P00-996197</t>
  </si>
  <si>
    <t>P01-998209</t>
  </si>
  <si>
    <t>P07-995062</t>
  </si>
  <si>
    <t>P07-995071</t>
  </si>
  <si>
    <t>P07-995072</t>
  </si>
  <si>
    <t>P07-995097</t>
  </si>
  <si>
    <t>P07-995098</t>
  </si>
  <si>
    <t>Q02-930565</t>
  </si>
  <si>
    <t>T00-999319</t>
  </si>
  <si>
    <t>Y00-1002245</t>
  </si>
  <si>
    <t>Y00-1002246</t>
  </si>
  <si>
    <t>Y01-811287</t>
  </si>
  <si>
    <t>C00-999400</t>
  </si>
  <si>
    <t>C00-999403</t>
  </si>
  <si>
    <t>D00-1010345</t>
  </si>
  <si>
    <t>D00-1010583</t>
  </si>
  <si>
    <t>D00-1011518</t>
  </si>
  <si>
    <t>D70-1004658</t>
  </si>
  <si>
    <t>D70-1004702</t>
  </si>
  <si>
    <t>D70-1004922</t>
  </si>
  <si>
    <t>F04-975916</t>
  </si>
  <si>
    <t>F04-975938</t>
  </si>
  <si>
    <t>F04-975946</t>
  </si>
  <si>
    <t>F04-976062</t>
  </si>
  <si>
    <t>F04-976064</t>
  </si>
  <si>
    <t>F04-976066</t>
  </si>
  <si>
    <t>G05-963945</t>
  </si>
  <si>
    <t>G05-964036</t>
  </si>
  <si>
    <t>H00-1001224</t>
  </si>
  <si>
    <t>L00-1016909</t>
  </si>
  <si>
    <t>L00-1016958</t>
  </si>
  <si>
    <t>L00-1017006</t>
  </si>
  <si>
    <t>L00-1017031</t>
  </si>
  <si>
    <t>L00-1017089</t>
  </si>
  <si>
    <t>L00-1017095</t>
  </si>
  <si>
    <t>L00-1017209</t>
  </si>
  <si>
    <t>L00-1017210</t>
  </si>
  <si>
    <t>L00-1017224</t>
  </si>
  <si>
    <t>L00-1017226</t>
  </si>
  <si>
    <t>L00-1017234</t>
  </si>
  <si>
    <t>L00-1017253</t>
  </si>
  <si>
    <t>L00-1017348</t>
  </si>
  <si>
    <t>L00-1017368</t>
  </si>
  <si>
    <t>L00-1017858</t>
  </si>
  <si>
    <t>L00-1018132</t>
  </si>
  <si>
    <t>L06-994470</t>
  </si>
  <si>
    <t>L07-978327</t>
  </si>
  <si>
    <t>L07-978336</t>
  </si>
  <si>
    <t>L07-978341</t>
  </si>
  <si>
    <t>L07-978349</t>
  </si>
  <si>
    <t>L07-978351</t>
  </si>
  <si>
    <t>L07-978410</t>
  </si>
  <si>
    <t>M00-1000048</t>
  </si>
  <si>
    <t>M00-1000063</t>
  </si>
  <si>
    <t>M05-1000890</t>
  </si>
  <si>
    <t>M05-1000909</t>
  </si>
  <si>
    <t>M11-919306</t>
  </si>
  <si>
    <t>M20-1002517</t>
  </si>
  <si>
    <t>M20-1002551</t>
  </si>
  <si>
    <t>MC1-998678</t>
  </si>
  <si>
    <t>MS1-999201</t>
  </si>
  <si>
    <t>MS1-999204</t>
  </si>
  <si>
    <t>P00-996194</t>
  </si>
  <si>
    <t>P00-996223</t>
  </si>
  <si>
    <t>Q02-930588</t>
  </si>
  <si>
    <t>Q02-930606</t>
  </si>
  <si>
    <t>Q02-930629</t>
  </si>
  <si>
    <t>T02-998332</t>
  </si>
  <si>
    <t>Y00-1002304</t>
  </si>
  <si>
    <t>Y00-1002307</t>
  </si>
  <si>
    <t>Y00-1002389</t>
  </si>
  <si>
    <t>Y00-1002390</t>
  </si>
  <si>
    <t>Y02-993449</t>
  </si>
  <si>
    <t>Y02-993450</t>
  </si>
  <si>
    <t>Y11-983851</t>
  </si>
  <si>
    <t>C00-999370</t>
  </si>
  <si>
    <t>C00-999421</t>
  </si>
  <si>
    <t>C01-995861</t>
  </si>
  <si>
    <t>D00-1010543</t>
  </si>
  <si>
    <t>D00-1010547</t>
  </si>
  <si>
    <t>D00-1010602</t>
  </si>
  <si>
    <t>D00-1010618</t>
  </si>
  <si>
    <t>D70-1004647</t>
  </si>
  <si>
    <t>D70-1004648</t>
  </si>
  <si>
    <t>D70-1010862</t>
  </si>
  <si>
    <t>F02-996557</t>
  </si>
  <si>
    <t>F04-975928</t>
  </si>
  <si>
    <t>F04-975929</t>
  </si>
  <si>
    <t>F04-975930</t>
  </si>
  <si>
    <t>G00-996844</t>
  </si>
  <si>
    <t>L00-1016869</t>
  </si>
  <si>
    <t>L00-1016888</t>
  </si>
  <si>
    <t>L00-1016900</t>
  </si>
  <si>
    <t>L00-1016915</t>
  </si>
  <si>
    <t>L00-1016937</t>
  </si>
  <si>
    <t>L00-1017067</t>
  </si>
  <si>
    <t>L00-1017071</t>
  </si>
  <si>
    <t>L00-1017082</t>
  </si>
  <si>
    <t>L00-1017127</t>
  </si>
  <si>
    <t>L00-1017149</t>
  </si>
  <si>
    <t>L00-1017153</t>
  </si>
  <si>
    <t>L00-1017156</t>
  </si>
  <si>
    <t>L00-1017157</t>
  </si>
  <si>
    <t>L00-1017159</t>
  </si>
  <si>
    <t>L00-1017195</t>
  </si>
  <si>
    <t>L00-1017198</t>
  </si>
  <si>
    <t>L00-1017229</t>
  </si>
  <si>
    <t>L00-1017239</t>
  </si>
  <si>
    <t>L00-1017250</t>
  </si>
  <si>
    <t>L00-1017256</t>
  </si>
  <si>
    <t>L00-1017257</t>
  </si>
  <si>
    <t>L00-1017260</t>
  </si>
  <si>
    <t>L00-1017357</t>
  </si>
  <si>
    <t>L00-1017366</t>
  </si>
  <si>
    <t>L00-1017371</t>
  </si>
  <si>
    <t>L00-1017372</t>
  </si>
  <si>
    <t>L00-1017391</t>
  </si>
  <si>
    <t>L00-1017397</t>
  </si>
  <si>
    <t>L00-1017440</t>
  </si>
  <si>
    <t>L00-1017911</t>
  </si>
  <si>
    <t>L00-1017913</t>
  </si>
  <si>
    <t>L00-1017914</t>
  </si>
  <si>
    <t>L00-1017969</t>
  </si>
  <si>
    <t>L01-999405</t>
  </si>
  <si>
    <t>L06-994446</t>
  </si>
  <si>
    <t>L06-994488</t>
  </si>
  <si>
    <t>L07-978348</t>
  </si>
  <si>
    <t>M20-1002535</t>
  </si>
  <si>
    <t>M20-1002590</t>
  </si>
  <si>
    <t>M20-1002655</t>
  </si>
  <si>
    <t>M20-1002662</t>
  </si>
  <si>
    <t>MH0-582244</t>
  </si>
  <si>
    <t>MS1-999196</t>
  </si>
  <si>
    <t>MS1-999197</t>
  </si>
  <si>
    <t>P00-996178</t>
  </si>
  <si>
    <t>P00-996209</t>
  </si>
  <si>
    <t>P00-996357</t>
  </si>
  <si>
    <t>P00-1001491</t>
  </si>
  <si>
    <t>P06-997060</t>
  </si>
  <si>
    <t>P07-995065</t>
  </si>
  <si>
    <t>P07-995066</t>
  </si>
  <si>
    <t>P07-995068</t>
  </si>
  <si>
    <t>P07-995074</t>
  </si>
  <si>
    <t>P07-995076</t>
  </si>
  <si>
    <t>P07-995095</t>
  </si>
  <si>
    <t>Q00-999474</t>
  </si>
  <si>
    <t>Q00-999539</t>
  </si>
  <si>
    <t>Q00-999544</t>
  </si>
  <si>
    <t>Q00-999545</t>
  </si>
  <si>
    <t>Q02-930569</t>
  </si>
  <si>
    <t>Q02-930705</t>
  </si>
  <si>
    <t>T00-999327</t>
  </si>
  <si>
    <t>T00-999334</t>
  </si>
  <si>
    <t>T00-999338</t>
  </si>
  <si>
    <t>T00-999340</t>
  </si>
  <si>
    <t>Y00-1002282</t>
  </si>
  <si>
    <t>Y00-1002520</t>
  </si>
  <si>
    <t>Y01-811249</t>
  </si>
  <si>
    <t>Y01-816843</t>
  </si>
  <si>
    <t>C00-999367</t>
  </si>
  <si>
    <t>C00-999380</t>
  </si>
  <si>
    <t>C00-999396</t>
  </si>
  <si>
    <t>C00-999413</t>
  </si>
  <si>
    <t>C00-999490</t>
  </si>
  <si>
    <t>C01-995920</t>
  </si>
  <si>
    <t>D00-1010330</t>
  </si>
  <si>
    <t>D00-1010331</t>
  </si>
  <si>
    <t>D00-1010536</t>
  </si>
  <si>
    <t>D00-1010627</t>
  </si>
  <si>
    <t>D00-1010996</t>
  </si>
  <si>
    <t>D00-1011127</t>
  </si>
  <si>
    <t>D70-1004705</t>
  </si>
  <si>
    <t>D70-1004709</t>
  </si>
  <si>
    <t>D70-1004752</t>
  </si>
  <si>
    <t>F02-996605</t>
  </si>
  <si>
    <t>F04-975945</t>
  </si>
  <si>
    <t>G05-963936</t>
  </si>
  <si>
    <t>G05-963941</t>
  </si>
  <si>
    <t>G05-963956</t>
  </si>
  <si>
    <t>G11-993941</t>
  </si>
  <si>
    <t>H00-1001193</t>
  </si>
  <si>
    <t>H00-1001194</t>
  </si>
  <si>
    <t>H00-1001303</t>
  </si>
  <si>
    <t>H00-1001304</t>
  </si>
  <si>
    <t>H01-993380</t>
  </si>
  <si>
    <t>L00-1016868</t>
  </si>
  <si>
    <t>L00-1016898</t>
  </si>
  <si>
    <t>L00-1016913</t>
  </si>
  <si>
    <t>L00-1016962</t>
  </si>
  <si>
    <t>L00-1016973</t>
  </si>
  <si>
    <t>L00-1016999</t>
  </si>
  <si>
    <t>L00-1017118</t>
  </si>
  <si>
    <t>L00-1017132</t>
  </si>
  <si>
    <t>L00-1017175</t>
  </si>
  <si>
    <t>L00-1017220</t>
  </si>
  <si>
    <t>L00-1017223</t>
  </si>
  <si>
    <t>L00-1017925</t>
  </si>
  <si>
    <t>L00-1017937</t>
  </si>
  <si>
    <t>L00-1017971</t>
  </si>
  <si>
    <t>L00-1018004</t>
  </si>
  <si>
    <t>L01-999429</t>
  </si>
  <si>
    <t>L01-999452</t>
  </si>
  <si>
    <t>L06-994458</t>
  </si>
  <si>
    <t>L06-994486</t>
  </si>
  <si>
    <t>L06-994549</t>
  </si>
  <si>
    <t>L06-994647</t>
  </si>
  <si>
    <t>L07-978417</t>
  </si>
  <si>
    <t>L07-978469</t>
  </si>
  <si>
    <t>M00-1000052</t>
  </si>
  <si>
    <t>M00-1000061</t>
  </si>
  <si>
    <t>M00-1000191</t>
  </si>
  <si>
    <t>M20-1002502</t>
  </si>
  <si>
    <t>M20-1002514</t>
  </si>
  <si>
    <t>M20-1002515</t>
  </si>
  <si>
    <t>M20-1002523</t>
  </si>
  <si>
    <t>M20-1002569</t>
  </si>
  <si>
    <t>MC1-998685</t>
  </si>
  <si>
    <t>P00-996205</t>
  </si>
  <si>
    <t>P00-996218</t>
  </si>
  <si>
    <t>P00-996220</t>
  </si>
  <si>
    <t>P00-996259</t>
  </si>
  <si>
    <t>P00-996348</t>
  </si>
  <si>
    <t>P00-996441</t>
  </si>
  <si>
    <t>P01-998198</t>
  </si>
  <si>
    <t>P07-995063</t>
  </si>
  <si>
    <t>P07-995064</t>
  </si>
  <si>
    <t>Q02-930570</t>
  </si>
  <si>
    <t>Q02-930589</t>
  </si>
  <si>
    <t>Q02-930623</t>
  </si>
  <si>
    <t>Y00-1002228</t>
  </si>
  <si>
    <t>Y00-1002252</t>
  </si>
  <si>
    <t>Y01-811245</t>
  </si>
  <si>
    <t>Y01-811264</t>
  </si>
  <si>
    <t>C00-999373</t>
  </si>
  <si>
    <t>C01-995824</t>
  </si>
  <si>
    <t>C01-995834</t>
  </si>
  <si>
    <t>D00-1010347</t>
  </si>
  <si>
    <t>D00-1010516</t>
  </si>
  <si>
    <t>D00-1010517</t>
  </si>
  <si>
    <t>D00-1010570</t>
  </si>
  <si>
    <t>D00-1010614</t>
  </si>
  <si>
    <t>D70-1004627</t>
  </si>
  <si>
    <t>D70-1004643</t>
  </si>
  <si>
    <t>F04-975914</t>
  </si>
  <si>
    <t>F04-975947</t>
  </si>
  <si>
    <t>F10-996384</t>
  </si>
  <si>
    <t>H00-1001195</t>
  </si>
  <si>
    <t>H00-1001238</t>
  </si>
  <si>
    <t>H00-1001299</t>
  </si>
  <si>
    <t>H00-1001300</t>
  </si>
  <si>
    <t>H00-1001346</t>
  </si>
  <si>
    <t>H01-993460</t>
  </si>
  <si>
    <t>L00-1016870</t>
  </si>
  <si>
    <t>L00-1016871</t>
  </si>
  <si>
    <t>L00-1016899</t>
  </si>
  <si>
    <t>L00-1016935</t>
  </si>
  <si>
    <t>L00-1016985</t>
  </si>
  <si>
    <t>L00-1016993</t>
  </si>
  <si>
    <t>L00-1016994</t>
  </si>
  <si>
    <t>L00-1016995</t>
  </si>
  <si>
    <t>L00-1017024</t>
  </si>
  <si>
    <t>L00-1017027</t>
  </si>
  <si>
    <t>L00-1017044</t>
  </si>
  <si>
    <t>L00-1017087</t>
  </si>
  <si>
    <t>L00-1017134</t>
  </si>
  <si>
    <t>L00-1017248</t>
  </si>
  <si>
    <t>L00-1017389</t>
  </si>
  <si>
    <t>L00-1018031</t>
  </si>
  <si>
    <t>L00-1018040</t>
  </si>
  <si>
    <t>L00-1018043</t>
  </si>
  <si>
    <t>L00-1018076</t>
  </si>
  <si>
    <t>L00-1018644</t>
  </si>
  <si>
    <t>L01-999417</t>
  </si>
  <si>
    <t>L01-999418</t>
  </si>
  <si>
    <t>L01-999419</t>
  </si>
  <si>
    <t>L01-999424</t>
  </si>
  <si>
    <t>L06-994455</t>
  </si>
  <si>
    <t>L06-994469</t>
  </si>
  <si>
    <t>L06-994498</t>
  </si>
  <si>
    <t>L06-994553</t>
  </si>
  <si>
    <t>L06-994644</t>
  </si>
  <si>
    <t>L07-978323</t>
  </si>
  <si>
    <t>L07-978324</t>
  </si>
  <si>
    <t>M00-1000032</t>
  </si>
  <si>
    <t>M00-1000041</t>
  </si>
  <si>
    <t>M05-1000889</t>
  </si>
  <si>
    <t>M05-1000935</t>
  </si>
  <si>
    <t>M05-1000942</t>
  </si>
  <si>
    <t>M14-980767</t>
  </si>
  <si>
    <t>M14-980788</t>
  </si>
  <si>
    <t>M14-980882</t>
  </si>
  <si>
    <t>M20-1002509</t>
  </si>
  <si>
    <t>M20-1002519</t>
  </si>
  <si>
    <t>ML0-226224</t>
  </si>
  <si>
    <t>P00-996215</t>
  </si>
  <si>
    <t>P00-996356</t>
  </si>
  <si>
    <t>P01-998203</t>
  </si>
  <si>
    <t>P08-356202</t>
  </si>
  <si>
    <t>Q00-999461</t>
  </si>
  <si>
    <t>Q00-999490</t>
  </si>
  <si>
    <t>Q02-930607</t>
  </si>
  <si>
    <t>Q02-930611</t>
  </si>
  <si>
    <t>Q02-930711</t>
  </si>
  <si>
    <t>Q02-930715</t>
  </si>
  <si>
    <t>T03-999848</t>
  </si>
  <si>
    <t>Y10-916207</t>
  </si>
  <si>
    <t>C00-999390</t>
  </si>
  <si>
    <t>C01-995847</t>
  </si>
  <si>
    <t>C01-995860</t>
  </si>
  <si>
    <t>C01-995907</t>
  </si>
  <si>
    <t>C01-995925</t>
  </si>
  <si>
    <t>D00-1010332</t>
  </si>
  <si>
    <t>D00-1010421</t>
  </si>
  <si>
    <t>D00-1010422</t>
  </si>
  <si>
    <t>D00-1010423</t>
  </si>
  <si>
    <t>D00-1010432</t>
  </si>
  <si>
    <t>D00-1010518</t>
  </si>
  <si>
    <t>D00-1010519</t>
  </si>
  <si>
    <t>D00-1010532</t>
  </si>
  <si>
    <t>D00-1010539</t>
  </si>
  <si>
    <t>D00-1010552</t>
  </si>
  <si>
    <t>D00-1010561</t>
  </si>
  <si>
    <t>D00-1010562</t>
  </si>
  <si>
    <t>D00-1010566</t>
  </si>
  <si>
    <t>D00-1010590</t>
  </si>
  <si>
    <t>D00-1010603</t>
  </si>
  <si>
    <t>D00-1010626</t>
  </si>
  <si>
    <t>D00-1010658</t>
  </si>
  <si>
    <t>D00-1010679</t>
  </si>
  <si>
    <t>D00-1010954</t>
  </si>
  <si>
    <t>D00-1011125</t>
  </si>
  <si>
    <t>D00-1011185</t>
  </si>
  <si>
    <t>D00-1011458</t>
  </si>
  <si>
    <t>D70-1004619</t>
  </si>
  <si>
    <t>D70-1004633</t>
  </si>
  <si>
    <t>D70-1004634</t>
  </si>
  <si>
    <t>D70-1004635</t>
  </si>
  <si>
    <t>D70-1004650</t>
  </si>
  <si>
    <t>D70-1004651</t>
  </si>
  <si>
    <t>D70-1004660</t>
  </si>
  <si>
    <t>D70-1004661</t>
  </si>
  <si>
    <t>D70-1004666</t>
  </si>
  <si>
    <t>D70-1004669</t>
  </si>
  <si>
    <t>D70-1004670</t>
  </si>
  <si>
    <t>D70-1004676</t>
  </si>
  <si>
    <t>D70-1004685</t>
  </si>
  <si>
    <t>D70-1004686</t>
  </si>
  <si>
    <t>D70-1004687</t>
  </si>
  <si>
    <t>D70-1004693</t>
  </si>
  <si>
    <t>D70-1004926</t>
  </si>
  <si>
    <t>D70-1004950</t>
  </si>
  <si>
    <t>D70-1005081</t>
  </si>
  <si>
    <t>F04-975948</t>
  </si>
  <si>
    <t>F04-975974</t>
  </si>
  <si>
    <t>F04-976017</t>
  </si>
  <si>
    <t>G00-996841</t>
  </si>
  <si>
    <t>H00-1001185</t>
  </si>
  <si>
    <t>H00-1001205</t>
  </si>
  <si>
    <t>H00-1001207</t>
  </si>
  <si>
    <t>H00-1001217</t>
  </si>
  <si>
    <t>H00-1001348</t>
  </si>
  <si>
    <t>H01-993387</t>
  </si>
  <si>
    <t>H01-993389</t>
  </si>
  <si>
    <t>L00-1016897</t>
  </si>
  <si>
    <t>L00-1016936</t>
  </si>
  <si>
    <t>L00-1016980</t>
  </si>
  <si>
    <t>L00-1016982</t>
  </si>
  <si>
    <t>L00-1017000</t>
  </si>
  <si>
    <t>L00-1017001</t>
  </si>
  <si>
    <t>L00-1017002</t>
  </si>
  <si>
    <t>L00-1017046</t>
  </si>
  <si>
    <t>L00-1017064</t>
  </si>
  <si>
    <t>L00-1017099</t>
  </si>
  <si>
    <t>L00-1017138</t>
  </si>
  <si>
    <t>L00-1017139</t>
  </si>
  <si>
    <t>L00-1017140</t>
  </si>
  <si>
    <t>L00-1017141</t>
  </si>
  <si>
    <t>L00-1017148</t>
  </si>
  <si>
    <t>L00-1017150</t>
  </si>
  <si>
    <t>L00-1017155</t>
  </si>
  <si>
    <t>L00-1017160</t>
  </si>
  <si>
    <t>L00-1017205</t>
  </si>
  <si>
    <t>L00-1017222</t>
  </si>
  <si>
    <t>L00-1017233</t>
  </si>
  <si>
    <t>L00-1017426</t>
  </si>
  <si>
    <t>L00-1017904</t>
  </si>
  <si>
    <t>L00-1017958</t>
  </si>
  <si>
    <t>L00-1017997</t>
  </si>
  <si>
    <t>L00-1017998</t>
  </si>
  <si>
    <t>L00-1018012</t>
  </si>
  <si>
    <t>L00-1018030</t>
  </si>
  <si>
    <t>L00-1018032</t>
  </si>
  <si>
    <t>L01-999407</t>
  </si>
  <si>
    <t>L01-999408</t>
  </si>
  <si>
    <t>L01-999410</t>
  </si>
  <si>
    <t>L01-999412</t>
  </si>
  <si>
    <t>L01-999413</t>
  </si>
  <si>
    <t>L01-999414</t>
  </si>
  <si>
    <t>L01-999415</t>
  </si>
  <si>
    <t>L01-999416</t>
  </si>
  <si>
    <t>L01-999425</t>
  </si>
  <si>
    <t>L01-999428</t>
  </si>
  <si>
    <t>L01-999435</t>
  </si>
  <si>
    <t>L01-999438</t>
  </si>
  <si>
    <t>L01-999509</t>
  </si>
  <si>
    <t>L01-999510</t>
  </si>
  <si>
    <t>L01-999511</t>
  </si>
  <si>
    <t>L01-999515</t>
  </si>
  <si>
    <t>L01-999516</t>
  </si>
  <si>
    <t>L01-999517</t>
  </si>
  <si>
    <t>L01-999518</t>
  </si>
  <si>
    <t>L01-999571</t>
  </si>
  <si>
    <t>L06-994440</t>
  </si>
  <si>
    <t>L06-994450</t>
  </si>
  <si>
    <t>L06-994479</t>
  </si>
  <si>
    <t>L06-994483</t>
  </si>
  <si>
    <t>L06-994500</t>
  </si>
  <si>
    <t>L06-994503</t>
  </si>
  <si>
    <t>L06-994663</t>
  </si>
  <si>
    <t>L06-994670</t>
  </si>
  <si>
    <t>L06-994756</t>
  </si>
  <si>
    <t>M00-1000035</t>
  </si>
  <si>
    <t>M00-1000049</t>
  </si>
  <si>
    <t>M00-1000051</t>
  </si>
  <si>
    <t>M00-1000053</t>
  </si>
  <si>
    <t>M00-1000054</t>
  </si>
  <si>
    <t>M00-1000055</t>
  </si>
  <si>
    <t>M05-1000887</t>
  </si>
  <si>
    <t>M05-1000892</t>
  </si>
  <si>
    <t>M05-1000898</t>
  </si>
  <si>
    <t>M05-1000899</t>
  </si>
  <si>
    <t>M05-1000938</t>
  </si>
  <si>
    <t>M14-980768</t>
  </si>
  <si>
    <t>M14-980780</t>
  </si>
  <si>
    <t>M20-1002528</t>
  </si>
  <si>
    <t>M20-1002542</t>
  </si>
  <si>
    <t>M20-1002543</t>
  </si>
  <si>
    <t>M20-1002553</t>
  </si>
  <si>
    <t>M20-1002554</t>
  </si>
  <si>
    <t>M20-1002582</t>
  </si>
  <si>
    <t>M20-1002588</t>
  </si>
  <si>
    <t>M20-1002671</t>
  </si>
  <si>
    <t>M20-1002673</t>
  </si>
  <si>
    <t>MC1-998721</t>
  </si>
  <si>
    <t>MC1-1004287</t>
  </si>
  <si>
    <t>MH0-582245</t>
  </si>
  <si>
    <t>MSJ-232191</t>
  </si>
  <si>
    <t>MSJ-232193</t>
  </si>
  <si>
    <t>P00-996198</t>
  </si>
  <si>
    <t>P00-996204</t>
  </si>
  <si>
    <t>P01-998221</t>
  </si>
  <si>
    <t>P06-997057</t>
  </si>
  <si>
    <t>P07-995073</t>
  </si>
  <si>
    <t>P07-995094</t>
  </si>
  <si>
    <t>Q00-999454</t>
  </si>
  <si>
    <t>Q00-999456</t>
  </si>
  <si>
    <t>Q00-999476</t>
  </si>
  <si>
    <t>Q00-999477</t>
  </si>
  <si>
    <t>Q00-999485</t>
  </si>
  <si>
    <t>Q00-999550</t>
  </si>
  <si>
    <t>Q00-999551</t>
  </si>
  <si>
    <t>Q00-999552</t>
  </si>
  <si>
    <t>Q00-999553</t>
  </si>
  <si>
    <t>Q00-999554</t>
  </si>
  <si>
    <t>Q02-930573</t>
  </si>
  <si>
    <t>Q02-930574</t>
  </si>
  <si>
    <t>Q02-930582</t>
  </si>
  <si>
    <t>Q02-930590</t>
  </si>
  <si>
    <t>Q02-930602</t>
  </si>
  <si>
    <t>Q02-930612</t>
  </si>
  <si>
    <t>Q02-930614</t>
  </si>
  <si>
    <t>Q02-930708</t>
  </si>
  <si>
    <t>T00-999321</t>
  </si>
  <si>
    <t>T00-999322</t>
  </si>
  <si>
    <t>T00-999328</t>
  </si>
  <si>
    <t>T00-999329</t>
  </si>
  <si>
    <t>T00-999330</t>
  </si>
  <si>
    <t>T00-999341</t>
  </si>
  <si>
    <t>T00-999343</t>
  </si>
  <si>
    <t>T02-998335</t>
  </si>
  <si>
    <t>T03-999851</t>
  </si>
  <si>
    <t>Y00-1002220</t>
  </si>
  <si>
    <t>Y00-1002234</t>
  </si>
  <si>
    <t>Y00-1002257</t>
  </si>
  <si>
    <t>Y00-1002267</t>
  </si>
  <si>
    <t>Y00-1002268</t>
  </si>
  <si>
    <t>Y00-1002399</t>
  </si>
  <si>
    <t>Y01-811246</t>
  </si>
  <si>
    <t>Y01-811261</t>
  </si>
  <si>
    <t>Y10-916209</t>
  </si>
  <si>
    <t>C00-999449</t>
  </si>
  <si>
    <t>C00-999450</t>
  </si>
  <si>
    <t>C00-999485</t>
  </si>
  <si>
    <t>C00-999498</t>
  </si>
  <si>
    <t>C01-995872</t>
  </si>
  <si>
    <t>C01-995873</t>
  </si>
  <si>
    <t>C01-995888</t>
  </si>
  <si>
    <t>C01-995994</t>
  </si>
  <si>
    <t>C01-1001546</t>
  </si>
  <si>
    <t>C01-1001551</t>
  </si>
  <si>
    <t>D00-1010709</t>
  </si>
  <si>
    <t>D00-1010710</t>
  </si>
  <si>
    <t>D00-1010718</t>
  </si>
  <si>
    <t>D00-1010720</t>
  </si>
  <si>
    <t>D00-1010721</t>
  </si>
  <si>
    <t>D00-1010723</t>
  </si>
  <si>
    <t>D00-1010724</t>
  </si>
  <si>
    <t>D00-1010725</t>
  </si>
  <si>
    <t>D00-1010726</t>
  </si>
  <si>
    <t>D00-1010727</t>
  </si>
  <si>
    <t>D00-1010728</t>
  </si>
  <si>
    <t>D00-1010731</t>
  </si>
  <si>
    <t>D00-1010732</t>
  </si>
  <si>
    <t>D00-1010733</t>
  </si>
  <si>
    <t>D00-1010734</t>
  </si>
  <si>
    <t>D00-1010735</t>
  </si>
  <si>
    <t>D00-1010736</t>
  </si>
  <si>
    <t>D00-1010737</t>
  </si>
  <si>
    <t>D00-1010739</t>
  </si>
  <si>
    <t>D00-1010740</t>
  </si>
  <si>
    <t>D00-1010741</t>
  </si>
  <si>
    <t>D00-1010742</t>
  </si>
  <si>
    <t>D00-1010743</t>
  </si>
  <si>
    <t>D00-1010745</t>
  </si>
  <si>
    <t>D00-1010746</t>
  </si>
  <si>
    <t>D00-1010747</t>
  </si>
  <si>
    <t>D00-1010748</t>
  </si>
  <si>
    <t>D00-1010749</t>
  </si>
  <si>
    <t>D00-1010750</t>
  </si>
  <si>
    <t>D00-1010751</t>
  </si>
  <si>
    <t>D00-1010752</t>
  </si>
  <si>
    <t>D00-1010753</t>
  </si>
  <si>
    <t>D00-1010754</t>
  </si>
  <si>
    <t>D00-1010761</t>
  </si>
  <si>
    <t>D00-1010762</t>
  </si>
  <si>
    <t>D00-1010769</t>
  </si>
  <si>
    <t>D00-1010770</t>
  </si>
  <si>
    <t>D00-1010771</t>
  </si>
  <si>
    <t>D00-1010772</t>
  </si>
  <si>
    <t>D00-1010773</t>
  </si>
  <si>
    <t>D00-1010774</t>
  </si>
  <si>
    <t>D00-1010776</t>
  </si>
  <si>
    <t>D00-1010777</t>
  </si>
  <si>
    <t>D00-1010778</t>
  </si>
  <si>
    <t>D00-1010779</t>
  </si>
  <si>
    <t>D00-1010780</t>
  </si>
  <si>
    <t>D00-1010781</t>
  </si>
  <si>
    <t>D00-1010782</t>
  </si>
  <si>
    <t>D00-1010783</t>
  </si>
  <si>
    <t>D00-1010784</t>
  </si>
  <si>
    <t>D00-1010785</t>
  </si>
  <si>
    <t>D00-1010786</t>
  </si>
  <si>
    <t>D00-1010787</t>
  </si>
  <si>
    <t>D00-1010788</t>
  </si>
  <si>
    <t>D00-1010789</t>
  </si>
  <si>
    <t>D00-1010790</t>
  </si>
  <si>
    <t>D00-1010791</t>
  </si>
  <si>
    <t>D00-1010792</t>
  </si>
  <si>
    <t>D00-1010793</t>
  </si>
  <si>
    <t>D00-1010794</t>
  </si>
  <si>
    <t>D00-1010795</t>
  </si>
  <si>
    <t>D00-1010796</t>
  </si>
  <si>
    <t>D00-1010797</t>
  </si>
  <si>
    <t>D00-1010798</t>
  </si>
  <si>
    <t>D00-1010802</t>
  </si>
  <si>
    <t>D00-1010803</t>
  </si>
  <si>
    <t>D00-1010804</t>
  </si>
  <si>
    <t>D00-1010805</t>
  </si>
  <si>
    <t>D00-1010806</t>
  </si>
  <si>
    <t>D00-1010807</t>
  </si>
  <si>
    <t>D00-1010808</t>
  </si>
  <si>
    <t>D00-1010809</t>
  </si>
  <si>
    <t>D00-1010810</t>
  </si>
  <si>
    <t>D00-1010812</t>
  </si>
  <si>
    <t>D00-1010813</t>
  </si>
  <si>
    <t>D00-1010814</t>
  </si>
  <si>
    <t>D00-1010815</t>
  </si>
  <si>
    <t>D00-1010816</t>
  </si>
  <si>
    <t>D00-1010817</t>
  </si>
  <si>
    <t>D00-1010818</t>
  </si>
  <si>
    <t>D00-1010819</t>
  </si>
  <si>
    <t>D00-1010820</t>
  </si>
  <si>
    <t>D00-1010821</t>
  </si>
  <si>
    <t>D00-1010822</t>
  </si>
  <si>
    <t>D00-1010823</t>
  </si>
  <si>
    <t>D00-1010824</t>
  </si>
  <si>
    <t>D00-1010825</t>
  </si>
  <si>
    <t>D00-1010828</t>
  </si>
  <si>
    <t>D00-1010829</t>
  </si>
  <si>
    <t>D00-1010830</t>
  </si>
  <si>
    <t>D00-1010831</t>
  </si>
  <si>
    <t>D00-1010832</t>
  </si>
  <si>
    <t>D00-1010833</t>
  </si>
  <si>
    <t>D00-1010834</t>
  </si>
  <si>
    <t>D00-1010835</t>
  </si>
  <si>
    <t>D00-1010836</t>
  </si>
  <si>
    <t>D00-1010837</t>
  </si>
  <si>
    <t>D00-1010838</t>
  </si>
  <si>
    <t>D00-1010839</t>
  </si>
  <si>
    <t>D00-1010840</t>
  </si>
  <si>
    <t>D00-1010841</t>
  </si>
  <si>
    <t>D00-1010842</t>
  </si>
  <si>
    <t>D00-1010844</t>
  </si>
  <si>
    <t>D00-1010845</t>
  </si>
  <si>
    <t>D00-1010846</t>
  </si>
  <si>
    <t>D00-1010848</t>
  </si>
  <si>
    <t>D00-1010849</t>
  </si>
  <si>
    <t>D00-1010850</t>
  </si>
  <si>
    <t>D00-1010855</t>
  </si>
  <si>
    <t>D00-1010905</t>
  </si>
  <si>
    <t>D00-1010918</t>
  </si>
  <si>
    <t>D00-1010935</t>
  </si>
  <si>
    <t>D00-1010936</t>
  </si>
  <si>
    <t>D00-1010937</t>
  </si>
  <si>
    <t>D00-1010942</t>
  </si>
  <si>
    <t>D00-1010953</t>
  </si>
  <si>
    <t>D00-1010956</t>
  </si>
  <si>
    <t>D00-1010957</t>
  </si>
  <si>
    <t>D00-1010968</t>
  </si>
  <si>
    <t>D00-1010973</t>
  </si>
  <si>
    <t>D00-1010974</t>
  </si>
  <si>
    <t>D00-1010978</t>
  </si>
  <si>
    <t>D00-1010979</t>
  </si>
  <si>
    <t>D00-1010984</t>
  </si>
  <si>
    <t>D00-1010986</t>
  </si>
  <si>
    <t>D00-1010999</t>
  </si>
  <si>
    <t>D00-1011001</t>
  </si>
  <si>
    <t>D00-1011002</t>
  </si>
  <si>
    <t>D00-1011003</t>
  </si>
  <si>
    <t>D00-1011004</t>
  </si>
  <si>
    <t>D00-1011005</t>
  </si>
  <si>
    <t>D00-1011008</t>
  </si>
  <si>
    <t>D00-1011010</t>
  </si>
  <si>
    <t>D00-1011012</t>
  </si>
  <si>
    <t>D00-1011013</t>
  </si>
  <si>
    <t>D00-1011014</t>
  </si>
  <si>
    <t>D00-1011015</t>
  </si>
  <si>
    <t>D00-1011016</t>
  </si>
  <si>
    <t>D00-1011046</t>
  </si>
  <si>
    <t>D00-1011049</t>
  </si>
  <si>
    <t>D00-1011055</t>
  </si>
  <si>
    <t>D00-1011062</t>
  </si>
  <si>
    <t>D00-1011064</t>
  </si>
  <si>
    <t>D00-1011069</t>
  </si>
  <si>
    <t>D00-1011070</t>
  </si>
  <si>
    <t>D00-1011075</t>
  </si>
  <si>
    <t>D00-1011076</t>
  </si>
  <si>
    <t>D00-1011084</t>
  </si>
  <si>
    <t>D00-1011085</t>
  </si>
  <si>
    <t>D00-1011087</t>
  </si>
  <si>
    <t>D00-1011093</t>
  </si>
  <si>
    <t>D00-1011110</t>
  </si>
  <si>
    <t>D00-1011136</t>
  </si>
  <si>
    <t>D00-1011137</t>
  </si>
  <si>
    <t>D00-1011140</t>
  </si>
  <si>
    <t>D00-1011152</t>
  </si>
  <si>
    <t>D00-1011167</t>
  </si>
  <si>
    <t>D00-1011200</t>
  </si>
  <si>
    <t>D00-1011233</t>
  </si>
  <si>
    <t>D00-1011234</t>
  </si>
  <si>
    <t>D00-1011236</t>
  </si>
  <si>
    <t>D00-1011237</t>
  </si>
  <si>
    <t>D00-1011238</t>
  </si>
  <si>
    <t>D00-1011241</t>
  </si>
  <si>
    <t>D00-1011242</t>
  </si>
  <si>
    <t>D00-1011243</t>
  </si>
  <si>
    <t>D00-1011255</t>
  </si>
  <si>
    <t>D00-1011257</t>
  </si>
  <si>
    <t>D00-1011258</t>
  </si>
  <si>
    <t>D00-1011261</t>
  </si>
  <si>
    <t>D00-1011262</t>
  </si>
  <si>
    <t>D00-1011413</t>
  </si>
  <si>
    <t>D00-1011417</t>
  </si>
  <si>
    <t>D00-1011419</t>
  </si>
  <si>
    <t>D00-1011428</t>
  </si>
  <si>
    <t>D00-1011453</t>
  </si>
  <si>
    <t>D00-1011487</t>
  </si>
  <si>
    <t>D00-1011499</t>
  </si>
  <si>
    <t>D00-1011502</t>
  </si>
  <si>
    <t>D00-1011508</t>
  </si>
  <si>
    <t>D00-1011517</t>
  </si>
  <si>
    <t>D00-1011519</t>
  </si>
  <si>
    <t>D00-1017141</t>
  </si>
  <si>
    <t>D00-1017145</t>
  </si>
  <si>
    <t>D00-1017165</t>
  </si>
  <si>
    <t>D00-1017168</t>
  </si>
  <si>
    <t>D00-1017169</t>
  </si>
  <si>
    <t>D00-1017170</t>
  </si>
  <si>
    <t>D00-1017221</t>
  </si>
  <si>
    <t>D00-1017495</t>
  </si>
  <si>
    <t>D00-1017504</t>
  </si>
  <si>
    <t>D00-1017538</t>
  </si>
  <si>
    <t>D70-1004766</t>
  </si>
  <si>
    <t>D70-1004771</t>
  </si>
  <si>
    <t>D70-1004800</t>
  </si>
  <si>
    <t>D70-1004803</t>
  </si>
  <si>
    <t>D70-1004806</t>
  </si>
  <si>
    <t>D70-1004811</t>
  </si>
  <si>
    <t>D70-1004840</t>
  </si>
  <si>
    <t>D70-1004847</t>
  </si>
  <si>
    <t>D70-1004852</t>
  </si>
  <si>
    <t>D70-1004853</t>
  </si>
  <si>
    <t>D70-1004856</t>
  </si>
  <si>
    <t>D70-1004869</t>
  </si>
  <si>
    <t>D70-1004910</t>
  </si>
  <si>
    <t>D70-1005064</t>
  </si>
  <si>
    <t>D70-1005072</t>
  </si>
  <si>
    <t>F04-975999</t>
  </si>
  <si>
    <t>F04-976002</t>
  </si>
  <si>
    <t>F04-976060</t>
  </si>
  <si>
    <t>F10-996386</t>
  </si>
  <si>
    <t>F10-996388</t>
  </si>
  <si>
    <t>G00-996904</t>
  </si>
  <si>
    <t>G05-964037</t>
  </si>
  <si>
    <t>G11-993959</t>
  </si>
  <si>
    <t>G11-993966</t>
  </si>
  <si>
    <t>G11-993982</t>
  </si>
  <si>
    <t>H00-1001260</t>
  </si>
  <si>
    <t>H00-1001267</t>
  </si>
  <si>
    <t>H00-1001272</t>
  </si>
  <si>
    <t>H00-1001276</t>
  </si>
  <si>
    <t>H00-1001282</t>
  </si>
  <si>
    <t>H01-993411</t>
  </si>
  <si>
    <t>H01-993422</t>
  </si>
  <si>
    <t>H01-993453</t>
  </si>
  <si>
    <t>L00-1017451</t>
  </si>
  <si>
    <t>L00-1017470</t>
  </si>
  <si>
    <t>L00-1017508</t>
  </si>
  <si>
    <t>L00-1017509</t>
  </si>
  <si>
    <t>L00-1017510</t>
  </si>
  <si>
    <t>L00-1017518</t>
  </si>
  <si>
    <t>L00-1017527</t>
  </si>
  <si>
    <t>L00-1017531</t>
  </si>
  <si>
    <t>L00-1017541</t>
  </si>
  <si>
    <t>L00-1017557</t>
  </si>
  <si>
    <t>L00-1017592</t>
  </si>
  <si>
    <t>L00-1017596</t>
  </si>
  <si>
    <t>L00-1017599</t>
  </si>
  <si>
    <t>L00-1017601</t>
  </si>
  <si>
    <t>L00-1017650</t>
  </si>
  <si>
    <t>L00-1017653</t>
  </si>
  <si>
    <t>L00-1017662</t>
  </si>
  <si>
    <t>L00-1017663</t>
  </si>
  <si>
    <t>L00-1017680</t>
  </si>
  <si>
    <t>L00-1017693</t>
  </si>
  <si>
    <t>L00-1017695</t>
  </si>
  <si>
    <t>L00-1017696</t>
  </si>
  <si>
    <t>L00-1017702</t>
  </si>
  <si>
    <t>L00-1017719</t>
  </si>
  <si>
    <t>L00-1017725</t>
  </si>
  <si>
    <t>L00-1017744</t>
  </si>
  <si>
    <t>L00-1017747</t>
  </si>
  <si>
    <t>L00-1017788</t>
  </si>
  <si>
    <t>L00-1017789</t>
  </si>
  <si>
    <t>L00-1017790</t>
  </si>
  <si>
    <t>L00-1017791</t>
  </si>
  <si>
    <t>L00-1017792</t>
  </si>
  <si>
    <t>L00-1017794</t>
  </si>
  <si>
    <t>L00-1017807</t>
  </si>
  <si>
    <t>L00-1017811</t>
  </si>
  <si>
    <t>L00-1017816</t>
  </si>
  <si>
    <t>L00-1017821</t>
  </si>
  <si>
    <t>L00-1017929</t>
  </si>
  <si>
    <t>L00-1017930</t>
  </si>
  <si>
    <t>L00-1017931</t>
  </si>
  <si>
    <t>L00-1017932</t>
  </si>
  <si>
    <t>L00-1018013</t>
  </si>
  <si>
    <t>L00-1018034</t>
  </si>
  <si>
    <t>L00-1018042</t>
  </si>
  <si>
    <t>L00-1018049</t>
  </si>
  <si>
    <t>L00-1018080</t>
  </si>
  <si>
    <t>L00-1018083</t>
  </si>
  <si>
    <t>L00-1018095</t>
  </si>
  <si>
    <t>L00-1018127</t>
  </si>
  <si>
    <t>L00-1018592</t>
  </si>
  <si>
    <t>L00-1018633</t>
  </si>
  <si>
    <t>L00-1018678</t>
  </si>
  <si>
    <t>L00-1018707</t>
  </si>
  <si>
    <t>L01-999463</t>
  </si>
  <si>
    <t>L01-999475</t>
  </si>
  <si>
    <t>L01-999489</t>
  </si>
  <si>
    <t>L01-999491</t>
  </si>
  <si>
    <t>L01-999523</t>
  </si>
  <si>
    <t>L01-999575</t>
  </si>
  <si>
    <t>L06-994555</t>
  </si>
  <si>
    <t>L06-994564</t>
  </si>
  <si>
    <t>L06-994567</t>
  </si>
  <si>
    <t>L06-994571</t>
  </si>
  <si>
    <t>L06-994574</t>
  </si>
  <si>
    <t>L06-994584</t>
  </si>
  <si>
    <t>L06-994606</t>
  </si>
  <si>
    <t>L06-994608</t>
  </si>
  <si>
    <t>L06-994630</t>
  </si>
  <si>
    <t>L06-994665</t>
  </si>
  <si>
    <t>L06-994749</t>
  </si>
  <si>
    <t>L06-994754</t>
  </si>
  <si>
    <t>L06-994755</t>
  </si>
  <si>
    <t>M00-1000078</t>
  </si>
  <si>
    <t>M00-1000079</t>
  </si>
  <si>
    <t>M00-1000082</t>
  </si>
  <si>
    <t>M00-1000083</t>
  </si>
  <si>
    <t>M00-1000085</t>
  </si>
  <si>
    <t>M00-1000087</t>
  </si>
  <si>
    <t>M00-1000088</t>
  </si>
  <si>
    <t>M00-1000089</t>
  </si>
  <si>
    <t>M00-1000090</t>
  </si>
  <si>
    <t>M00-1000092</t>
  </si>
  <si>
    <t>M00-1000094</t>
  </si>
  <si>
    <t>M00-1000095</t>
  </si>
  <si>
    <t>M00-1000096</t>
  </si>
  <si>
    <t>M00-1000097</t>
  </si>
  <si>
    <t>M00-1000098</t>
  </si>
  <si>
    <t>M00-1000099</t>
  </si>
  <si>
    <t>M00-1000100</t>
  </si>
  <si>
    <t>M00-1000101</t>
  </si>
  <si>
    <t>M00-1000102</t>
  </si>
  <si>
    <t>M00-1000104</t>
  </si>
  <si>
    <t>M00-1000105</t>
  </si>
  <si>
    <t>M00-1000106</t>
  </si>
  <si>
    <t>M00-1000107</t>
  </si>
  <si>
    <t>M00-1000109</t>
  </si>
  <si>
    <t>M00-1000111</t>
  </si>
  <si>
    <t>M00-1000112</t>
  </si>
  <si>
    <t>M00-1000113</t>
  </si>
  <si>
    <t>M00-1000117</t>
  </si>
  <si>
    <t>M00-1000118</t>
  </si>
  <si>
    <t>M00-1000119</t>
  </si>
  <si>
    <t>M00-1000121</t>
  </si>
  <si>
    <t>M00-1000122</t>
  </si>
  <si>
    <t>M00-1000123</t>
  </si>
  <si>
    <t>M00-1000126</t>
  </si>
  <si>
    <t>M00-1000127</t>
  </si>
  <si>
    <t>M00-1000129</t>
  </si>
  <si>
    <t>M00-1000130</t>
  </si>
  <si>
    <t>M00-1000131</t>
  </si>
  <si>
    <t>M00-1000135</t>
  </si>
  <si>
    <t>M00-1000136</t>
  </si>
  <si>
    <t>M00-1000137</t>
  </si>
  <si>
    <t>M00-1000138</t>
  </si>
  <si>
    <t>M00-1000139</t>
  </si>
  <si>
    <t>M00-1000140</t>
  </si>
  <si>
    <t>M00-1000142</t>
  </si>
  <si>
    <t>M00-1000143</t>
  </si>
  <si>
    <t>M00-1000148</t>
  </si>
  <si>
    <t>M00-1000149</t>
  </si>
  <si>
    <t>M00-1000150</t>
  </si>
  <si>
    <t>M00-1000156</t>
  </si>
  <si>
    <t>M00-1000157</t>
  </si>
  <si>
    <t>M00-1000158</t>
  </si>
  <si>
    <t>M00-1000159</t>
  </si>
  <si>
    <t>M00-1000160</t>
  </si>
  <si>
    <t>M00-1000161</t>
  </si>
  <si>
    <t>M00-1000170</t>
  </si>
  <si>
    <t>M00-1000171</t>
  </si>
  <si>
    <t>M00-1000174</t>
  </si>
  <si>
    <t>M00-1000175</t>
  </si>
  <si>
    <t>M00-1000176</t>
  </si>
  <si>
    <t>M00-1000177</t>
  </si>
  <si>
    <t>M00-1000178</t>
  </si>
  <si>
    <t>M00-1000179</t>
  </si>
  <si>
    <t>M00-1000180</t>
  </si>
  <si>
    <t>M00-1000181</t>
  </si>
  <si>
    <t>M00-1000182</t>
  </si>
  <si>
    <t>M00-1000183</t>
  </si>
  <si>
    <t>M00-1000184</t>
  </si>
  <si>
    <t>M00-1000185</t>
  </si>
  <si>
    <t>M00-1000186</t>
  </si>
  <si>
    <t>M00-1000187</t>
  </si>
  <si>
    <t>M00-1000192</t>
  </si>
  <si>
    <t>M00-1000195</t>
  </si>
  <si>
    <t>M00-1000196</t>
  </si>
  <si>
    <t>M00-1000198</t>
  </si>
  <si>
    <t>M00-1000201</t>
  </si>
  <si>
    <t>M00-1000202</t>
  </si>
  <si>
    <t>M00-1000234</t>
  </si>
  <si>
    <t>M00-1000235</t>
  </si>
  <si>
    <t>M00-1000236</t>
  </si>
  <si>
    <t>M00-1005266</t>
  </si>
  <si>
    <t>M05-1000922</t>
  </si>
  <si>
    <t>M05-1000924</t>
  </si>
  <si>
    <t>M11-919308</t>
  </si>
  <si>
    <t>M11-919312</t>
  </si>
  <si>
    <t>M11-919327</t>
  </si>
  <si>
    <t>M11-919334</t>
  </si>
  <si>
    <t>M11-919372</t>
  </si>
  <si>
    <t>M14-980819</t>
  </si>
  <si>
    <t>M14-980918</t>
  </si>
  <si>
    <t>M14-986422</t>
  </si>
  <si>
    <t>M14-986453</t>
  </si>
  <si>
    <t>M14-986455</t>
  </si>
  <si>
    <t>M20-1002595</t>
  </si>
  <si>
    <t>M20-1002596</t>
  </si>
  <si>
    <t>M20-1002605</t>
  </si>
  <si>
    <t>M20-1002631</t>
  </si>
  <si>
    <t>M20-1002667</t>
  </si>
  <si>
    <t>M34-12</t>
  </si>
  <si>
    <t>M34-13</t>
  </si>
  <si>
    <t>MC1-998708</t>
  </si>
  <si>
    <t>MC1-998712</t>
  </si>
  <si>
    <t>MC1-998713</t>
  </si>
  <si>
    <t>MC1-998725</t>
  </si>
  <si>
    <t>MCC-31</t>
  </si>
  <si>
    <t>ML0-226227</t>
  </si>
  <si>
    <t>MS5-913867</t>
  </si>
  <si>
    <t>MS5-913868</t>
  </si>
  <si>
    <t>MSJ-232195</t>
  </si>
  <si>
    <t>P00-996264</t>
  </si>
  <si>
    <t>P00-996278</t>
  </si>
  <si>
    <t>P00-996288</t>
  </si>
  <si>
    <t>P00-996302</t>
  </si>
  <si>
    <t>P00-996333</t>
  </si>
  <si>
    <t>P00-996358</t>
  </si>
  <si>
    <t>P00-996366</t>
  </si>
  <si>
    <t>P00-996435</t>
  </si>
  <si>
    <t>P00-1002012</t>
  </si>
  <si>
    <t>P00-1002103</t>
  </si>
  <si>
    <t>P01-998243</t>
  </si>
  <si>
    <t>P06-997061</t>
  </si>
  <si>
    <t>P07-995089</t>
  </si>
  <si>
    <t>P08-356200</t>
  </si>
  <si>
    <t>Q00-999503</t>
  </si>
  <si>
    <t>Q00-999518</t>
  </si>
  <si>
    <t>Q00-999519</t>
  </si>
  <si>
    <t>Q00-999603</t>
  </si>
  <si>
    <t>Q00-999609</t>
  </si>
  <si>
    <t>Q02-930671</t>
  </si>
  <si>
    <t>Q02-930722</t>
  </si>
  <si>
    <t>T00-999355</t>
  </si>
  <si>
    <t>T00-999360</t>
  </si>
  <si>
    <t>T00-999373</t>
  </si>
  <si>
    <t>T00-999379</t>
  </si>
  <si>
    <t>T00-999380</t>
  </si>
  <si>
    <t>T00-999430</t>
  </si>
  <si>
    <t>T02-998355</t>
  </si>
  <si>
    <t>T03-999853</t>
  </si>
  <si>
    <t>T03-999858</t>
  </si>
  <si>
    <t>T03-999859</t>
  </si>
  <si>
    <t>Y00-1002313</t>
  </si>
  <si>
    <t>Y00-1002315</t>
  </si>
  <si>
    <t>Y00-1002320</t>
  </si>
  <si>
    <t>Y00-1002327</t>
  </si>
  <si>
    <t>Y00-1002343</t>
  </si>
  <si>
    <t>Y00-1002346</t>
  </si>
  <si>
    <t>Y00-1002352</t>
  </si>
  <si>
    <t>Y00-1002359</t>
  </si>
  <si>
    <t>Y00-1002378</t>
  </si>
  <si>
    <t>Y00-1002521</t>
  </si>
  <si>
    <t>Y00-1002526</t>
  </si>
  <si>
    <t>Y00-1002527</t>
  </si>
  <si>
    <t>Y00-1002529</t>
  </si>
  <si>
    <t>Y01-811295</t>
  </si>
  <si>
    <t>Y02-993456</t>
  </si>
  <si>
    <t>Y11-983840</t>
  </si>
  <si>
    <t>C01-995899</t>
  </si>
  <si>
    <t>D00-1010843</t>
  </si>
  <si>
    <t>D00-1011018</t>
  </si>
  <si>
    <t>D00-1011019</t>
  </si>
  <si>
    <t>D00-1011068</t>
  </si>
  <si>
    <t>D00-1011089</t>
  </si>
  <si>
    <t>D00-1011272</t>
  </si>
  <si>
    <t>D70-1004764</t>
  </si>
  <si>
    <t>D70-1004796</t>
  </si>
  <si>
    <t>D70-1004914</t>
  </si>
  <si>
    <t>F02-996593</t>
  </si>
  <si>
    <t>F02-996632</t>
  </si>
  <si>
    <t>G00-996884</t>
  </si>
  <si>
    <t>G00-996910</t>
  </si>
  <si>
    <t>G05-964000</t>
  </si>
  <si>
    <t>G05-964001</t>
  </si>
  <si>
    <t>H00-1001246</t>
  </si>
  <si>
    <t>H01-993398</t>
  </si>
  <si>
    <t>H01-993454</t>
  </si>
  <si>
    <t>L00-1017639</t>
  </si>
  <si>
    <t>L00-1017652</t>
  </si>
  <si>
    <t>L00-1017743</t>
  </si>
  <si>
    <t>L00-1017761</t>
  </si>
  <si>
    <t>L00-1017796</t>
  </si>
  <si>
    <t>L00-1017797</t>
  </si>
  <si>
    <t>L00-1017809</t>
  </si>
  <si>
    <t>L00-1017832</t>
  </si>
  <si>
    <t>L00-1018121</t>
  </si>
  <si>
    <t>L00-1018130</t>
  </si>
  <si>
    <t>L00-1018131</t>
  </si>
  <si>
    <t>L00-1018629</t>
  </si>
  <si>
    <t>L01-999496</t>
  </si>
  <si>
    <t>L06-994576</t>
  </si>
  <si>
    <t>L06-994600</t>
  </si>
  <si>
    <t>L06-994762</t>
  </si>
  <si>
    <t>L06-994763</t>
  </si>
  <si>
    <t>L07-978396</t>
  </si>
  <si>
    <t>L07-978475</t>
  </si>
  <si>
    <t>L07-984090</t>
  </si>
  <si>
    <t>M00-1000154</t>
  </si>
  <si>
    <t>MS5-913863</t>
  </si>
  <si>
    <t>P00-996321</t>
  </si>
  <si>
    <t>P00-996334</t>
  </si>
  <si>
    <t>P01-998244</t>
  </si>
  <si>
    <t>P07-995087</t>
  </si>
  <si>
    <t>Q00-999514</t>
  </si>
  <si>
    <t>Q00-999526</t>
  </si>
  <si>
    <t>Q00-999605</t>
  </si>
  <si>
    <t>Q00-999606</t>
  </si>
  <si>
    <t>Q02-930658</t>
  </si>
  <si>
    <t>Q02-930659</t>
  </si>
  <si>
    <t>Q02-930662</t>
  </si>
  <si>
    <t>Q02-930709</t>
  </si>
  <si>
    <t>Q02-930710</t>
  </si>
  <si>
    <t>T03-999854</t>
  </si>
  <si>
    <t>Y00-1002347</t>
  </si>
  <si>
    <t>Y00-1002375</t>
  </si>
  <si>
    <t>C00-999443</t>
  </si>
  <si>
    <t>C01-995883</t>
  </si>
  <si>
    <t>C01-995885</t>
  </si>
  <si>
    <t>C01-995895</t>
  </si>
  <si>
    <t>C16-806662</t>
  </si>
  <si>
    <t>D00-1010755</t>
  </si>
  <si>
    <t>D00-1010756</t>
  </si>
  <si>
    <t>D00-1010921</t>
  </si>
  <si>
    <t>D00-1011006</t>
  </si>
  <si>
    <t>D00-1011063</t>
  </si>
  <si>
    <t>D00-1011071</t>
  </si>
  <si>
    <t>D70-1004769</t>
  </si>
  <si>
    <t>D70-1004795</t>
  </si>
  <si>
    <t>D70-1004822</t>
  </si>
  <si>
    <t>D70-1004866</t>
  </si>
  <si>
    <t>D70-1004912</t>
  </si>
  <si>
    <t>F02-996597</t>
  </si>
  <si>
    <t>F02-996630</t>
  </si>
  <si>
    <t>G05-963975</t>
  </si>
  <si>
    <t>G05-963980</t>
  </si>
  <si>
    <t>G05-964008</t>
  </si>
  <si>
    <t>G11-993980</t>
  </si>
  <si>
    <t>H00-1001249</t>
  </si>
  <si>
    <t>H01-993406</t>
  </si>
  <si>
    <t>H01-993420</t>
  </si>
  <si>
    <t>H02-345201</t>
  </si>
  <si>
    <t>L00-1017478</t>
  </si>
  <si>
    <t>L00-1017543</t>
  </si>
  <si>
    <t>L00-1017570</t>
  </si>
  <si>
    <t>L00-1017618</t>
  </si>
  <si>
    <t>L00-1017620</t>
  </si>
  <si>
    <t>L00-1017651</t>
  </si>
  <si>
    <t>L00-1017655</t>
  </si>
  <si>
    <t>L00-1017661</t>
  </si>
  <si>
    <t>L00-1017701</t>
  </si>
  <si>
    <t>L00-1017723</t>
  </si>
  <si>
    <t>L00-1017724</t>
  </si>
  <si>
    <t>L00-1017798</t>
  </si>
  <si>
    <t>L06-994590</t>
  </si>
  <si>
    <t>L06-994605</t>
  </si>
  <si>
    <t>L07-978373</t>
  </si>
  <si>
    <t>L07-978374</t>
  </si>
  <si>
    <t>L07-978388</t>
  </si>
  <si>
    <t>M11-919311</t>
  </si>
  <si>
    <t>MS1-999216</t>
  </si>
  <si>
    <t>P00-996255</t>
  </si>
  <si>
    <t>P00-996266</t>
  </si>
  <si>
    <t>P00-996276</t>
  </si>
  <si>
    <t>P01-998232</t>
  </si>
  <si>
    <t>P01-998240</t>
  </si>
  <si>
    <t>P01-998241</t>
  </si>
  <si>
    <t>P01-998242</t>
  </si>
  <si>
    <t>Q02-930646</t>
  </si>
  <si>
    <t>Q02-930663</t>
  </si>
  <si>
    <t>Q02-930668</t>
  </si>
  <si>
    <t>Q02-930669</t>
  </si>
  <si>
    <t>Q02-930674</t>
  </si>
  <si>
    <t>T00-999374</t>
  </si>
  <si>
    <t>T02-998357</t>
  </si>
  <si>
    <t>Y00-1002316</t>
  </si>
  <si>
    <t>Y00-1002317</t>
  </si>
  <si>
    <t>Y00-1002319</t>
  </si>
  <si>
    <t>Y00-1002324</t>
  </si>
  <si>
    <t>Y00-1002325</t>
  </si>
  <si>
    <t>Y00-1002326</t>
  </si>
  <si>
    <t>Y00-1002348</t>
  </si>
  <si>
    <t>Y02-993457</t>
  </si>
  <si>
    <t>Y11-983843</t>
  </si>
  <si>
    <t>Y11-989394</t>
  </si>
  <si>
    <t>C01-995863</t>
  </si>
  <si>
    <t>C01-995864</t>
  </si>
  <si>
    <t>C01-995902</t>
  </si>
  <si>
    <t>C01-995993</t>
  </si>
  <si>
    <t>D00-1010938</t>
  </si>
  <si>
    <t>D00-1010975</t>
  </si>
  <si>
    <t>D00-1011278</t>
  </si>
  <si>
    <t>D00-1011491</t>
  </si>
  <si>
    <t>D70-1004770</t>
  </si>
  <si>
    <t>D70-1004789</t>
  </si>
  <si>
    <t>D70-1004805</t>
  </si>
  <si>
    <t>D70-1004821</t>
  </si>
  <si>
    <t>D70-1004841</t>
  </si>
  <si>
    <t>D70-1004843</t>
  </si>
  <si>
    <t>D70-1004845</t>
  </si>
  <si>
    <t>D70-1005074</t>
  </si>
  <si>
    <t>F04-976050</t>
  </si>
  <si>
    <t>F10-996394</t>
  </si>
  <si>
    <t>G05-963983</t>
  </si>
  <si>
    <t>G05-963990</t>
  </si>
  <si>
    <t>G05-964009</t>
  </si>
  <si>
    <t>G05-964020</t>
  </si>
  <si>
    <t>G05-964112</t>
  </si>
  <si>
    <t>G11-993972</t>
  </si>
  <si>
    <t>G11-993981</t>
  </si>
  <si>
    <t>H00-1001347</t>
  </si>
  <si>
    <t>L00-1017479</t>
  </si>
  <si>
    <t>L00-1017482</t>
  </si>
  <si>
    <t>L00-1017490</t>
  </si>
  <si>
    <t>L00-1017512</t>
  </si>
  <si>
    <t>L00-1017514</t>
  </si>
  <si>
    <t>L00-1017515</t>
  </si>
  <si>
    <t>L00-1017687</t>
  </si>
  <si>
    <t>L00-1017703</t>
  </si>
  <si>
    <t>L00-1017727</t>
  </si>
  <si>
    <t>L00-1017745</t>
  </si>
  <si>
    <t>L00-1018044</t>
  </si>
  <si>
    <t>L00-1018048</t>
  </si>
  <si>
    <t>L00-1018067</t>
  </si>
  <si>
    <t>L00-1018068</t>
  </si>
  <si>
    <t>L01-999522</t>
  </si>
  <si>
    <t>L06-994613</t>
  </si>
  <si>
    <t>L06-994617</t>
  </si>
  <si>
    <t>L06-994631</t>
  </si>
  <si>
    <t>L07-978366</t>
  </si>
  <si>
    <t>L07-978390</t>
  </si>
  <si>
    <t>L07-978391</t>
  </si>
  <si>
    <t>M05-1000914</t>
  </si>
  <si>
    <t>M20-1002614</t>
  </si>
  <si>
    <t>M20-1002619</t>
  </si>
  <si>
    <t>M20-1002675</t>
  </si>
  <si>
    <t>MC1-998710</t>
  </si>
  <si>
    <t>P00-996282</t>
  </si>
  <si>
    <t>P00-996298</t>
  </si>
  <si>
    <t>P00-996433</t>
  </si>
  <si>
    <t>P00-1002017</t>
  </si>
  <si>
    <t>Q02-930645</t>
  </si>
  <si>
    <t>Q02-930692</t>
  </si>
  <si>
    <t>Q02-930693</t>
  </si>
  <si>
    <t>Q02-930697</t>
  </si>
  <si>
    <t>Q02-930716</t>
  </si>
  <si>
    <t>Q02-930721</t>
  </si>
  <si>
    <t>Q02-930782</t>
  </si>
  <si>
    <t>Q02-930787</t>
  </si>
  <si>
    <t>T00-999362</t>
  </si>
  <si>
    <t>T00-999431</t>
  </si>
  <si>
    <t>Y00-1002410</t>
  </si>
  <si>
    <t>Y02-993461</t>
  </si>
  <si>
    <t>Y11-983871</t>
  </si>
  <si>
    <t>C00-999427</t>
  </si>
  <si>
    <t>C00-999435</t>
  </si>
  <si>
    <t>C01-995876</t>
  </si>
  <si>
    <t>C01-995904</t>
  </si>
  <si>
    <t>D00-1010939</t>
  </si>
  <si>
    <t>D00-1011054</t>
  </si>
  <si>
    <t>D00-1011074</t>
  </si>
  <si>
    <t>D00-1011471</t>
  </si>
  <si>
    <t>D00-1011514</t>
  </si>
  <si>
    <t>D70-1004804</t>
  </si>
  <si>
    <t>D70-1004864</t>
  </si>
  <si>
    <t>F02-996596</t>
  </si>
  <si>
    <t>G00-996886</t>
  </si>
  <si>
    <t>G00-996898</t>
  </si>
  <si>
    <t>G00-996908</t>
  </si>
  <si>
    <t>G05-963994</t>
  </si>
  <si>
    <t>G15-248306</t>
  </si>
  <si>
    <t>H00-1001250</t>
  </si>
  <si>
    <t>H00-1001278</t>
  </si>
  <si>
    <t>L00-1017542</t>
  </si>
  <si>
    <t>L00-1017556</t>
  </si>
  <si>
    <t>L00-1017603</t>
  </si>
  <si>
    <t>L00-1017614</t>
  </si>
  <si>
    <t>L00-1017621</t>
  </si>
  <si>
    <t>L00-1017654</t>
  </si>
  <si>
    <t>L00-1017730</t>
  </si>
  <si>
    <t>L00-1017731</t>
  </si>
  <si>
    <t>L00-1017778</t>
  </si>
  <si>
    <t>L00-1017781</t>
  </si>
  <si>
    <t>L00-1017814</t>
  </si>
  <si>
    <t>L00-1017829</t>
  </si>
  <si>
    <t>L00-1017859</t>
  </si>
  <si>
    <t>L00-1018078</t>
  </si>
  <si>
    <t>L00-1018081</t>
  </si>
  <si>
    <t>L00-1018090</t>
  </si>
  <si>
    <t>L01-999467</t>
  </si>
  <si>
    <t>L01-999478</t>
  </si>
  <si>
    <t>L06-994572</t>
  </si>
  <si>
    <t>L06-994597</t>
  </si>
  <si>
    <t>L06-994611</t>
  </si>
  <si>
    <t>L06-994748</t>
  </si>
  <si>
    <t>L06-994757</t>
  </si>
  <si>
    <t>L07-978381</t>
  </si>
  <si>
    <t>L07-978416</t>
  </si>
  <si>
    <t>M00-1000084</t>
  </si>
  <si>
    <t>M00-1000152</t>
  </si>
  <si>
    <t>M05-1000970</t>
  </si>
  <si>
    <t>M11-919336</t>
  </si>
  <si>
    <t>M11-919337</t>
  </si>
  <si>
    <t>MS1-999214</t>
  </si>
  <si>
    <t>MS1-1004754</t>
  </si>
  <si>
    <t>P00-996265</t>
  </si>
  <si>
    <t>P00-996293</t>
  </si>
  <si>
    <t>P00-996299</t>
  </si>
  <si>
    <t>P00-996303</t>
  </si>
  <si>
    <t>P00-996373</t>
  </si>
  <si>
    <t>P00-996374</t>
  </si>
  <si>
    <t>P00-1001490</t>
  </si>
  <si>
    <t>P07-995090</t>
  </si>
  <si>
    <t>Q00-999556</t>
  </si>
  <si>
    <t>Q02-930660</t>
  </si>
  <si>
    <t>Q02-930673</t>
  </si>
  <si>
    <t>Q02-930700</t>
  </si>
  <si>
    <t>T00-999365</t>
  </si>
  <si>
    <t>T00-999366</t>
  </si>
  <si>
    <t>T02-998359</t>
  </si>
  <si>
    <t>T03-999855</t>
  </si>
  <si>
    <t>Y00-1002349</t>
  </si>
  <si>
    <t>Y00-1002418</t>
  </si>
  <si>
    <t>Y00-1002419</t>
  </si>
  <si>
    <t>Y00-1002422</t>
  </si>
  <si>
    <t>Y11-983845</t>
  </si>
  <si>
    <t>C00-999424</t>
  </si>
  <si>
    <t>C00-999430</t>
  </si>
  <si>
    <t>C00-999445</t>
  </si>
  <si>
    <t>C00-999500</t>
  </si>
  <si>
    <t>C00-999501</t>
  </si>
  <si>
    <t>C01-995926</t>
  </si>
  <si>
    <t>D00-1010757</t>
  </si>
  <si>
    <t>D00-1011007</t>
  </si>
  <si>
    <t>D00-1011023</t>
  </si>
  <si>
    <t>D00-1011030</t>
  </si>
  <si>
    <t>D00-1011115</t>
  </si>
  <si>
    <t>D00-1011120</t>
  </si>
  <si>
    <t>D00-1011279</t>
  </si>
  <si>
    <t>D00-1011470</t>
  </si>
  <si>
    <t>D70-1004809</t>
  </si>
  <si>
    <t>D70-1004810</t>
  </si>
  <si>
    <t>D70-1004838</t>
  </si>
  <si>
    <t>D70-1004851</t>
  </si>
  <si>
    <t>D70-1004879</t>
  </si>
  <si>
    <t>F10-1001921</t>
  </si>
  <si>
    <t>G05-963996</t>
  </si>
  <si>
    <t>G05-963999</t>
  </si>
  <si>
    <t>G05-964018</t>
  </si>
  <si>
    <t>G05-964023</t>
  </si>
  <si>
    <t>G11-993965</t>
  </si>
  <si>
    <t>H01-993409</t>
  </si>
  <si>
    <t>H01-993413</t>
  </si>
  <si>
    <t>H01-993415</t>
  </si>
  <si>
    <t>L00-1017469</t>
  </si>
  <si>
    <t>L00-1017622</t>
  </si>
  <si>
    <t>L00-1017647</t>
  </si>
  <si>
    <t>L00-1017688</t>
  </si>
  <si>
    <t>L00-1017689</t>
  </si>
  <si>
    <t>L00-1017698</t>
  </si>
  <si>
    <t>L00-1017787</t>
  </si>
  <si>
    <t>L00-1017806</t>
  </si>
  <si>
    <t>L00-1017846</t>
  </si>
  <si>
    <t>L00-1017898</t>
  </si>
  <si>
    <t>L00-1017994</t>
  </si>
  <si>
    <t>L00-1018077</t>
  </si>
  <si>
    <t>L00-1018607</t>
  </si>
  <si>
    <t>L06-994556</t>
  </si>
  <si>
    <t>L06-994557</t>
  </si>
  <si>
    <t>L06-994609</t>
  </si>
  <si>
    <t>L06-994610</t>
  </si>
  <si>
    <t>L06-994669</t>
  </si>
  <si>
    <t>L06-994751</t>
  </si>
  <si>
    <t>L07-978367</t>
  </si>
  <si>
    <t>L07-978401</t>
  </si>
  <si>
    <t>L07-978403</t>
  </si>
  <si>
    <t>L07-978404</t>
  </si>
  <si>
    <t>L07-978406</t>
  </si>
  <si>
    <t>L07-978471</t>
  </si>
  <si>
    <t>M00-1000086</t>
  </si>
  <si>
    <t>M05-1000912</t>
  </si>
  <si>
    <t>M05-1000919</t>
  </si>
  <si>
    <t>M05-1000941</t>
  </si>
  <si>
    <t>M05-1000943</t>
  </si>
  <si>
    <t>M05-1000964</t>
  </si>
  <si>
    <t>M11-919329</t>
  </si>
  <si>
    <t>M11-919374</t>
  </si>
  <si>
    <t>M11-924900</t>
  </si>
  <si>
    <t>M17-587858</t>
  </si>
  <si>
    <t>M20-1002638</t>
  </si>
  <si>
    <t>MC1-998704</t>
  </si>
  <si>
    <t>MC1-998723</t>
  </si>
  <si>
    <t>MC1-998728</t>
  </si>
  <si>
    <t>MC1-1004286</t>
  </si>
  <si>
    <t>P00-996268</t>
  </si>
  <si>
    <t>P00-996269</t>
  </si>
  <si>
    <t>P00-996271</t>
  </si>
  <si>
    <t>P00-996272</t>
  </si>
  <si>
    <t>P00-996273</t>
  </si>
  <si>
    <t>P00-996284</t>
  </si>
  <si>
    <t>P00-996287</t>
  </si>
  <si>
    <t>P00-996304</t>
  </si>
  <si>
    <t>P00-996314</t>
  </si>
  <si>
    <t>P00-996315</t>
  </si>
  <si>
    <t>P00-996322</t>
  </si>
  <si>
    <t>P00-996328</t>
  </si>
  <si>
    <t>P00-996331</t>
  </si>
  <si>
    <t>P00-996354</t>
  </si>
  <si>
    <t>P00-996355</t>
  </si>
  <si>
    <t>P00-996430</t>
  </si>
  <si>
    <t>P00-996443</t>
  </si>
  <si>
    <t>P00-1001992</t>
  </si>
  <si>
    <t>P00-1002001</t>
  </si>
  <si>
    <t>P01-998228</t>
  </si>
  <si>
    <t>P01-998230</t>
  </si>
  <si>
    <t>Q00-999511</t>
  </si>
  <si>
    <t>Q02-930653</t>
  </si>
  <si>
    <t>T00-999368</t>
  </si>
  <si>
    <t>T02-998361</t>
  </si>
  <si>
    <t>T02-998363</t>
  </si>
  <si>
    <t>Y00-1002337</t>
  </si>
  <si>
    <t>Y00-1002420</t>
  </si>
  <si>
    <t>Y01-811273</t>
  </si>
  <si>
    <t>Y01-811284</t>
  </si>
  <si>
    <t>C00-999423</t>
  </si>
  <si>
    <t>C01-995991</t>
  </si>
  <si>
    <t>D00-1010991</t>
  </si>
  <si>
    <t>D00-1010992</t>
  </si>
  <si>
    <t>D00-1011086</t>
  </si>
  <si>
    <t>D00-1011439</t>
  </si>
  <si>
    <t>D70-1004776</t>
  </si>
  <si>
    <t>D70-1004857</t>
  </si>
  <si>
    <t>D70-1004884</t>
  </si>
  <si>
    <t>D70-1005065</t>
  </si>
  <si>
    <t>F02-996607</t>
  </si>
  <si>
    <t>F04-975965</t>
  </si>
  <si>
    <t>F04-975996</t>
  </si>
  <si>
    <t>G00-996900</t>
  </si>
  <si>
    <t>G00-996901</t>
  </si>
  <si>
    <t>G05-963984</t>
  </si>
  <si>
    <t>G05-964013</t>
  </si>
  <si>
    <t>G05-964100</t>
  </si>
  <si>
    <t>L00-1017476</t>
  </si>
  <si>
    <t>L00-1017513</t>
  </si>
  <si>
    <t>L00-1017533</t>
  </si>
  <si>
    <t>L00-1017545</t>
  </si>
  <si>
    <t>L00-1017546</t>
  </si>
  <si>
    <t>L00-1017589</t>
  </si>
  <si>
    <t>L00-1017623</t>
  </si>
  <si>
    <t>L00-1017656</t>
  </si>
  <si>
    <t>L00-1017685</t>
  </si>
  <si>
    <t>L00-1017732</t>
  </si>
  <si>
    <t>L00-1017736</t>
  </si>
  <si>
    <t>L00-1017742</t>
  </si>
  <si>
    <t>L00-1017773</t>
  </si>
  <si>
    <t>L00-1017784</t>
  </si>
  <si>
    <t>L00-1017830</t>
  </si>
  <si>
    <t>L00-1017951</t>
  </si>
  <si>
    <t>L00-1017954</t>
  </si>
  <si>
    <t>L00-1017968</t>
  </si>
  <si>
    <t>L00-1017977</t>
  </si>
  <si>
    <t>L00-1017978</t>
  </si>
  <si>
    <t>L00-1018089</t>
  </si>
  <si>
    <t>L00-1018687</t>
  </si>
  <si>
    <t>L00-1024008</t>
  </si>
  <si>
    <t>L01-999472</t>
  </si>
  <si>
    <t>L06-994582</t>
  </si>
  <si>
    <t>L06-994591</t>
  </si>
  <si>
    <t>L06-994622</t>
  </si>
  <si>
    <t>L06-994623</t>
  </si>
  <si>
    <t>L06-994750</t>
  </si>
  <si>
    <t>L07-978397</t>
  </si>
  <si>
    <t>M00-1000197</t>
  </si>
  <si>
    <t>M11-919313</t>
  </si>
  <si>
    <t>M11-919314</t>
  </si>
  <si>
    <t>M11-919322</t>
  </si>
  <si>
    <t>M11-919324</t>
  </si>
  <si>
    <t>M11-919330</t>
  </si>
  <si>
    <t>M11-919346</t>
  </si>
  <si>
    <t>M11-919371</t>
  </si>
  <si>
    <t>M11-924905</t>
  </si>
  <si>
    <t>M14-980815</t>
  </si>
  <si>
    <t>M14-980828</t>
  </si>
  <si>
    <t>MC1-998703</t>
  </si>
  <si>
    <t>MC1-998757</t>
  </si>
  <si>
    <t>MCA-15</t>
  </si>
  <si>
    <t>MS5-913891</t>
  </si>
  <si>
    <t>P00-996290</t>
  </si>
  <si>
    <t>P12-767</t>
  </si>
  <si>
    <t>Q02-930635</t>
  </si>
  <si>
    <t>Q02-930688</t>
  </si>
  <si>
    <t>Q02-930698</t>
  </si>
  <si>
    <t>T00-999432</t>
  </si>
  <si>
    <t>T02-998362</t>
  </si>
  <si>
    <t>T02-998366</t>
  </si>
  <si>
    <t>Y00-1002358</t>
  </si>
  <si>
    <t>Y00-1002376</t>
  </si>
  <si>
    <t>Y00-1002377</t>
  </si>
  <si>
    <t>C00-999444</t>
  </si>
  <si>
    <t>C01-995874</t>
  </si>
  <si>
    <t>C01-995875</t>
  </si>
  <si>
    <t>C01-995989</t>
  </si>
  <si>
    <t>D00-1010892</t>
  </si>
  <si>
    <t>D00-1010994</t>
  </si>
  <si>
    <t>D00-1010997</t>
  </si>
  <si>
    <t>D00-1011022</t>
  </si>
  <si>
    <t>D00-1011088</t>
  </si>
  <si>
    <t>D00-1011479</t>
  </si>
  <si>
    <t>D00-1017142</t>
  </si>
  <si>
    <t>D70-1004799</t>
  </si>
  <si>
    <t>D70-1004905</t>
  </si>
  <si>
    <t>D70-1004934</t>
  </si>
  <si>
    <t>F04-975981</t>
  </si>
  <si>
    <t>F04-975982</t>
  </si>
  <si>
    <t>F04-975983</t>
  </si>
  <si>
    <t>F04-975984</t>
  </si>
  <si>
    <t>F04-975985</t>
  </si>
  <si>
    <t>F04-975986</t>
  </si>
  <si>
    <t>F04-975987</t>
  </si>
  <si>
    <t>F04-975988</t>
  </si>
  <si>
    <t>F04-975989</t>
  </si>
  <si>
    <t>F04-975990</t>
  </si>
  <si>
    <t>F04-975991</t>
  </si>
  <si>
    <t>F04-975992</t>
  </si>
  <si>
    <t>F04-975993</t>
  </si>
  <si>
    <t>F04-975997</t>
  </si>
  <si>
    <t>F04-975998</t>
  </si>
  <si>
    <t>F04-976001</t>
  </si>
  <si>
    <t>F04-976003</t>
  </si>
  <si>
    <t>F04-976014</t>
  </si>
  <si>
    <t>F04-976053</t>
  </si>
  <si>
    <t>F10-996392</t>
  </si>
  <si>
    <t>G11-993963</t>
  </si>
  <si>
    <t>G11-993971</t>
  </si>
  <si>
    <t>H00-1001261</t>
  </si>
  <si>
    <t>H00-1001289</t>
  </si>
  <si>
    <t>H01-993401</t>
  </si>
  <si>
    <t>H01-993423</t>
  </si>
  <si>
    <t>L00-1017544</t>
  </si>
  <si>
    <t>L00-1017563</t>
  </si>
  <si>
    <t>L00-1017564</t>
  </si>
  <si>
    <t>L00-1017591</t>
  </si>
  <si>
    <t>L00-1017602</t>
  </si>
  <si>
    <t>L00-1017673</t>
  </si>
  <si>
    <t>L00-1017705</t>
  </si>
  <si>
    <t>L00-1017712</t>
  </si>
  <si>
    <t>L00-1017765</t>
  </si>
  <si>
    <t>L00-1017772</t>
  </si>
  <si>
    <t>L00-1017805</t>
  </si>
  <si>
    <t>L00-1017825</t>
  </si>
  <si>
    <t>L00-1018010</t>
  </si>
  <si>
    <t>L00-1018041</t>
  </si>
  <si>
    <t>L00-1018106</t>
  </si>
  <si>
    <t>L00-1018608</t>
  </si>
  <si>
    <t>L00-1025281</t>
  </si>
  <si>
    <t>L01-999497</t>
  </si>
  <si>
    <t>L06-994629</t>
  </si>
  <si>
    <t>L06-994632</t>
  </si>
  <si>
    <t>L06-994667</t>
  </si>
  <si>
    <t>L07-978386</t>
  </si>
  <si>
    <t>L07-978467</t>
  </si>
  <si>
    <t>L07-978474</t>
  </si>
  <si>
    <t>M00-1000163</t>
  </si>
  <si>
    <t>M00-1005810</t>
  </si>
  <si>
    <t>M11-919320</t>
  </si>
  <si>
    <t>M11-919345</t>
  </si>
  <si>
    <t>M14-980825</t>
  </si>
  <si>
    <t>M14-980842</t>
  </si>
  <si>
    <t>M20-1002632</t>
  </si>
  <si>
    <t>M20-1002666</t>
  </si>
  <si>
    <t>MC1-998705</t>
  </si>
  <si>
    <t>MC1-998759</t>
  </si>
  <si>
    <t>MC1-1004285</t>
  </si>
  <si>
    <t>P00-996296</t>
  </si>
  <si>
    <t>P00-996336</t>
  </si>
  <si>
    <t>P00-996337</t>
  </si>
  <si>
    <t>P00-996344</t>
  </si>
  <si>
    <t>Q00-999530</t>
  </si>
  <si>
    <t>Q02-930685</t>
  </si>
  <si>
    <t>Q02-930718</t>
  </si>
  <si>
    <t>T02-998364</t>
  </si>
  <si>
    <t>Y00-1002328</t>
  </si>
  <si>
    <t>Y00-1002340</t>
  </si>
  <si>
    <t>Y00-1002357</t>
  </si>
  <si>
    <t>Y00-1002367</t>
  </si>
  <si>
    <t>Y00-1002373</t>
  </si>
  <si>
    <t>Y01-811317</t>
  </si>
  <si>
    <t>Y10-916211</t>
  </si>
  <si>
    <t>C01-995879</t>
  </si>
  <si>
    <t>C01-995896</t>
  </si>
  <si>
    <t>D00-1010963</t>
  </si>
  <si>
    <t>D00-1011021</t>
  </si>
  <si>
    <t>D00-1011058</t>
  </si>
  <si>
    <t>D00-1011090</t>
  </si>
  <si>
    <t>D00-1011103</t>
  </si>
  <si>
    <t>D00-1011265</t>
  </si>
  <si>
    <t>D00-1011490</t>
  </si>
  <si>
    <t>D70-1004883</t>
  </si>
  <si>
    <t>D70-1004886</t>
  </si>
  <si>
    <t>D70-1004888</t>
  </si>
  <si>
    <t>D70-1004906</t>
  </si>
  <si>
    <t>D70-1004913</t>
  </si>
  <si>
    <t>D70-1005067</t>
  </si>
  <si>
    <t>D70-1005070</t>
  </si>
  <si>
    <t>D70-1010686</t>
  </si>
  <si>
    <t>F04-975963</t>
  </si>
  <si>
    <t>F04-975979</t>
  </si>
  <si>
    <t>G00-996890</t>
  </si>
  <si>
    <t>G05-964002</t>
  </si>
  <si>
    <t>G05-964019</t>
  </si>
  <si>
    <t>G05-964114</t>
  </si>
  <si>
    <t>H00-1001262</t>
  </si>
  <si>
    <t>H01-993425</t>
  </si>
  <si>
    <t>L00-1017474</t>
  </si>
  <si>
    <t>L00-1017483</t>
  </si>
  <si>
    <t>L00-1017574</t>
  </si>
  <si>
    <t>L00-1017646</t>
  </si>
  <si>
    <t>L00-1017659</t>
  </si>
  <si>
    <t>L00-1017660</t>
  </si>
  <si>
    <t>L00-1017717</t>
  </si>
  <si>
    <t>L00-1017733</t>
  </si>
  <si>
    <t>L00-1017741</t>
  </si>
  <si>
    <t>L00-1017766</t>
  </si>
  <si>
    <t>L00-1017808</t>
  </si>
  <si>
    <t>L00-1018094</t>
  </si>
  <si>
    <t>L00-1018096</t>
  </si>
  <si>
    <t>L01-999460</t>
  </si>
  <si>
    <t>L06-994634</t>
  </si>
  <si>
    <t>L06-994760</t>
  </si>
  <si>
    <t>L07-978375</t>
  </si>
  <si>
    <t>L07-978387</t>
  </si>
  <si>
    <t>L07-978419</t>
  </si>
  <si>
    <t>L07-978421</t>
  </si>
  <si>
    <t>M00-1000093</t>
  </si>
  <si>
    <t>M00-1000167</t>
  </si>
  <si>
    <t>M00-1000173</t>
  </si>
  <si>
    <t>M14-980822</t>
  </si>
  <si>
    <t>M14-980833</t>
  </si>
  <si>
    <t>M14-980890</t>
  </si>
  <si>
    <t>M20-1002598</t>
  </si>
  <si>
    <t>M20-1002622</t>
  </si>
  <si>
    <t>M20-1002623</t>
  </si>
  <si>
    <t>M20-1002624</t>
  </si>
  <si>
    <t>M20-1002625</t>
  </si>
  <si>
    <t>M20-1002626</t>
  </si>
  <si>
    <t>M20-1002629</t>
  </si>
  <si>
    <t>M20-1002661</t>
  </si>
  <si>
    <t>MC1-998700</t>
  </si>
  <si>
    <t>MC1-998716</t>
  </si>
  <si>
    <t>MC1-1004284</t>
  </si>
  <si>
    <t>MC1-1004328</t>
  </si>
  <si>
    <t>MS1-999213</t>
  </si>
  <si>
    <t>MS1-999215</t>
  </si>
  <si>
    <t>P00-996270</t>
  </si>
  <si>
    <t>P00-996279</t>
  </si>
  <si>
    <t>P00-996309</t>
  </si>
  <si>
    <t>P00-996310</t>
  </si>
  <si>
    <t>P01-998229</t>
  </si>
  <si>
    <t>P01-998239</t>
  </si>
  <si>
    <t>P01-998261</t>
  </si>
  <si>
    <t>P06-997065</t>
  </si>
  <si>
    <t>Y00-1002318</t>
  </si>
  <si>
    <t>Y00-1002360</t>
  </si>
  <si>
    <t>C00-999425</t>
  </si>
  <si>
    <t>C00-999441</t>
  </si>
  <si>
    <t>C00-999486</t>
  </si>
  <si>
    <t>C01-995912</t>
  </si>
  <si>
    <t>C01-995919</t>
  </si>
  <si>
    <t>C01-995986</t>
  </si>
  <si>
    <t>D00-1010763</t>
  </si>
  <si>
    <t>D00-1010826</t>
  </si>
  <si>
    <t>D00-1011024</t>
  </si>
  <si>
    <t>D00-1011027</t>
  </si>
  <si>
    <t>D00-1011028</t>
  </si>
  <si>
    <t>D00-1011102</t>
  </si>
  <si>
    <t>D00-1011151</t>
  </si>
  <si>
    <t>D70-1004818</t>
  </si>
  <si>
    <t>D70-1004832</t>
  </si>
  <si>
    <t>D70-1004848</t>
  </si>
  <si>
    <t>D70-1004867</t>
  </si>
  <si>
    <t>D70-1004881</t>
  </si>
  <si>
    <t>F04-975964</t>
  </si>
  <si>
    <t>F04-975966</t>
  </si>
  <si>
    <t>F04-975978</t>
  </si>
  <si>
    <t>F04-976061</t>
  </si>
  <si>
    <t>G00-996887</t>
  </si>
  <si>
    <t>G00-996936</t>
  </si>
  <si>
    <t>G05-963977</t>
  </si>
  <si>
    <t>G05-963985</t>
  </si>
  <si>
    <t>H00-1001247</t>
  </si>
  <si>
    <t>H00-1001257</t>
  </si>
  <si>
    <t>H01-993397</t>
  </si>
  <si>
    <t>L00-1017473</t>
  </si>
  <si>
    <t>L00-1017484</t>
  </si>
  <si>
    <t>L00-1017625</t>
  </si>
  <si>
    <t>L00-1017670</t>
  </si>
  <si>
    <t>L00-1017776</t>
  </si>
  <si>
    <t>L00-1017810</t>
  </si>
  <si>
    <t>L00-1017992</t>
  </si>
  <si>
    <t>L00-1017993</t>
  </si>
  <si>
    <t>L00-1018594</t>
  </si>
  <si>
    <t>L01-999469</t>
  </si>
  <si>
    <t>L01-999514</t>
  </si>
  <si>
    <t>L01-999574</t>
  </si>
  <si>
    <t>L06-994562</t>
  </si>
  <si>
    <t>L06-994616</t>
  </si>
  <si>
    <t>L07-978376</t>
  </si>
  <si>
    <t>L07-978465</t>
  </si>
  <si>
    <t>M00-1000147</t>
  </si>
  <si>
    <t>M00-1000153</t>
  </si>
  <si>
    <t>M00-1000199</t>
  </si>
  <si>
    <t>M05-1000916</t>
  </si>
  <si>
    <t>M05-1000969</t>
  </si>
  <si>
    <t>M11-919317</t>
  </si>
  <si>
    <t>M14-980820</t>
  </si>
  <si>
    <t>M17-582328</t>
  </si>
  <si>
    <t>M20-1002597</t>
  </si>
  <si>
    <t>M20-1002621</t>
  </si>
  <si>
    <t>MS5-913866</t>
  </si>
  <si>
    <t>MS5-913890</t>
  </si>
  <si>
    <t>P00-996263</t>
  </si>
  <si>
    <t>P00-996289</t>
  </si>
  <si>
    <t>P00-996319</t>
  </si>
  <si>
    <t>P00-996320</t>
  </si>
  <si>
    <t>P00-996343</t>
  </si>
  <si>
    <t>P00-996368</t>
  </si>
  <si>
    <t>P00-996436</t>
  </si>
  <si>
    <t>P06-997063</t>
  </si>
  <si>
    <t>P12-766</t>
  </si>
  <si>
    <t>Q00-999535</t>
  </si>
  <si>
    <t>Q02-930654</t>
  </si>
  <si>
    <t>Q02-930655</t>
  </si>
  <si>
    <t>Q02-930664</t>
  </si>
  <si>
    <t>Q02-930672</t>
  </si>
  <si>
    <t>T00-999356</t>
  </si>
  <si>
    <t>T00-999364</t>
  </si>
  <si>
    <t>T00-999367</t>
  </si>
  <si>
    <t>T02-998368</t>
  </si>
  <si>
    <t>Y00-1002329</t>
  </si>
  <si>
    <t>Y00-1002361</t>
  </si>
  <si>
    <t>Y00-1002405</t>
  </si>
  <si>
    <t>Y00-1002539</t>
  </si>
  <si>
    <t>Y01-811278</t>
  </si>
  <si>
    <t>Y01-811279</t>
  </si>
  <si>
    <t>Y01-811285</t>
  </si>
  <si>
    <t>Y01-811286</t>
  </si>
  <si>
    <t>Y01-811294</t>
  </si>
  <si>
    <t>Y01-811321</t>
  </si>
  <si>
    <t>Y01-811322</t>
  </si>
  <si>
    <t>Y01-816840</t>
  </si>
  <si>
    <t>C01-995868</t>
  </si>
  <si>
    <t>C01-995913</t>
  </si>
  <si>
    <t>C01-995916</t>
  </si>
  <si>
    <t>D00-1010993</t>
  </si>
  <si>
    <t>D00-1011009</t>
  </si>
  <si>
    <t>D00-1011011</t>
  </si>
  <si>
    <t>D00-1011044</t>
  </si>
  <si>
    <t>D00-1011171</t>
  </si>
  <si>
    <t>D00-1011177</t>
  </si>
  <si>
    <t>D00-1011201</t>
  </si>
  <si>
    <t>D00-1011477</t>
  </si>
  <si>
    <t>D00-1017199</t>
  </si>
  <si>
    <t>D00-1017309</t>
  </si>
  <si>
    <t>D70-1004777</t>
  </si>
  <si>
    <t>D70-1004863</t>
  </si>
  <si>
    <t>D70-1004903</t>
  </si>
  <si>
    <t>D70-1004904</t>
  </si>
  <si>
    <t>F02-996600</t>
  </si>
  <si>
    <t>F04-975994</t>
  </si>
  <si>
    <t>F04-976056</t>
  </si>
  <si>
    <t>F10-996398</t>
  </si>
  <si>
    <t>G00-996889</t>
  </si>
  <si>
    <t>G00-996899</t>
  </si>
  <si>
    <t>G05-963970</t>
  </si>
  <si>
    <t>G05-963973</t>
  </si>
  <si>
    <t>G05-963974</t>
  </si>
  <si>
    <t>G05-964032</t>
  </si>
  <si>
    <t>G05-964038</t>
  </si>
  <si>
    <t>G05-964101</t>
  </si>
  <si>
    <t>G05-964106</t>
  </si>
  <si>
    <t>H00-1001284</t>
  </si>
  <si>
    <t>H00-1001285</t>
  </si>
  <si>
    <t>H00-1001352</t>
  </si>
  <si>
    <t>L00-1017528</t>
  </si>
  <si>
    <t>L00-1017537</t>
  </si>
  <si>
    <t>L00-1017547</t>
  </si>
  <si>
    <t>L00-1017565</t>
  </si>
  <si>
    <t>L00-1017581</t>
  </si>
  <si>
    <t>L00-1017583</t>
  </si>
  <si>
    <t>L00-1017593</t>
  </si>
  <si>
    <t>L00-1017748</t>
  </si>
  <si>
    <t>L00-1017785</t>
  </si>
  <si>
    <t>L00-1017801</t>
  </si>
  <si>
    <t>L00-1017838</t>
  </si>
  <si>
    <t>L00-1017850</t>
  </si>
  <si>
    <t>L00-1017873</t>
  </si>
  <si>
    <t>L00-1017962</t>
  </si>
  <si>
    <t>L00-1018108</t>
  </si>
  <si>
    <t>L00-1018109</t>
  </si>
  <si>
    <t>L00-1018600</t>
  </si>
  <si>
    <t>L00-1018656</t>
  </si>
  <si>
    <t>L01-999484</t>
  </si>
  <si>
    <t>L06-994586</t>
  </si>
  <si>
    <t>L06-994598</t>
  </si>
  <si>
    <t>L07-978365</t>
  </si>
  <si>
    <t>L07-978385</t>
  </si>
  <si>
    <t>M00-1000166</t>
  </si>
  <si>
    <t>M05-1000929</t>
  </si>
  <si>
    <t>M05-1000930</t>
  </si>
  <si>
    <t>M05-1000931</t>
  </si>
  <si>
    <t>M05-1000932</t>
  </si>
  <si>
    <t>M17-582337</t>
  </si>
  <si>
    <t>M20-1002647</t>
  </si>
  <si>
    <t>MC1-998714</t>
  </si>
  <si>
    <t>MC1-998729</t>
  </si>
  <si>
    <t>MH0-582255</t>
  </si>
  <si>
    <t>P01-1003782</t>
  </si>
  <si>
    <t>Q00-999531</t>
  </si>
  <si>
    <t>Q02-930636</t>
  </si>
  <si>
    <t>Q02-930667</t>
  </si>
  <si>
    <t>Q02-930712</t>
  </si>
  <si>
    <t>Q02-930713</t>
  </si>
  <si>
    <t>Q02-930776</t>
  </si>
  <si>
    <t>Q02-936337</t>
  </si>
  <si>
    <t>T00-999372</t>
  </si>
  <si>
    <t>Y00-1002366</t>
  </si>
  <si>
    <t>Y00-1002404</t>
  </si>
  <si>
    <t>Y00-1002406</t>
  </si>
  <si>
    <t>C00-999429</t>
  </si>
  <si>
    <t>D00-1010976</t>
  </si>
  <si>
    <t>D00-1011000</t>
  </si>
  <si>
    <t>D00-1011025</t>
  </si>
  <si>
    <t>D00-1011457</t>
  </si>
  <si>
    <t>D70-1004761</t>
  </si>
  <si>
    <t>D70-1004815</t>
  </si>
  <si>
    <t>D70-1004861</t>
  </si>
  <si>
    <t>D70-1004876</t>
  </si>
  <si>
    <t>D70-1004877</t>
  </si>
  <si>
    <t>D70-1004882</t>
  </si>
  <si>
    <t>D70-1004921</t>
  </si>
  <si>
    <t>D70-1005066</t>
  </si>
  <si>
    <t>D70-1010696</t>
  </si>
  <si>
    <t>F04-975967</t>
  </si>
  <si>
    <t>F04-976051</t>
  </si>
  <si>
    <t>G05-964016</t>
  </si>
  <si>
    <t>G05-964102</t>
  </si>
  <si>
    <t>H00-1001256</t>
  </si>
  <si>
    <t>H01-993418</t>
  </si>
  <si>
    <t>L00-1017462</t>
  </si>
  <si>
    <t>L00-1017517</t>
  </si>
  <si>
    <t>L00-1017519</t>
  </si>
  <si>
    <t>L00-1017551</t>
  </si>
  <si>
    <t>L00-1017590</t>
  </si>
  <si>
    <t>L00-1017600</t>
  </si>
  <si>
    <t>L00-1017617</t>
  </si>
  <si>
    <t>L00-1017636</t>
  </si>
  <si>
    <t>L00-1017649</t>
  </si>
  <si>
    <t>L00-1017699</t>
  </si>
  <si>
    <t>L00-1017726</t>
  </si>
  <si>
    <t>L00-1017729</t>
  </si>
  <si>
    <t>L00-1017754</t>
  </si>
  <si>
    <t>L00-1017771</t>
  </si>
  <si>
    <t>L00-1017777</t>
  </si>
  <si>
    <t>L00-1017802</t>
  </si>
  <si>
    <t>L00-1017941</t>
  </si>
  <si>
    <t>L00-1018035</t>
  </si>
  <si>
    <t>L00-1018064</t>
  </si>
  <si>
    <t>L00-1018072</t>
  </si>
  <si>
    <t>L00-1018119</t>
  </si>
  <si>
    <t>L00-1018688</t>
  </si>
  <si>
    <t>L00-1024627</t>
  </si>
  <si>
    <t>L00-1024630</t>
  </si>
  <si>
    <t>L00-1024667</t>
  </si>
  <si>
    <t>L00-1024700</t>
  </si>
  <si>
    <t>L01-999473</t>
  </si>
  <si>
    <t>L06-1000467</t>
  </si>
  <si>
    <t>M20-1002603</t>
  </si>
  <si>
    <t>M20-1002635</t>
  </si>
  <si>
    <t>P00-996285</t>
  </si>
  <si>
    <t>P00-996306</t>
  </si>
  <si>
    <t>P00-996347</t>
  </si>
  <si>
    <t>P00-996437</t>
  </si>
  <si>
    <t>P00-996444</t>
  </si>
  <si>
    <t>P00-996455</t>
  </si>
  <si>
    <t>P01-998233</t>
  </si>
  <si>
    <t>P01-998234</t>
  </si>
  <si>
    <t>P01-998235</t>
  </si>
  <si>
    <t>Q02-930684</t>
  </si>
  <si>
    <t>Q02-930687</t>
  </si>
  <si>
    <t>T00-999353</t>
  </si>
  <si>
    <t>T00-999369</t>
  </si>
  <si>
    <t>Y00-1002350</t>
  </si>
  <si>
    <t>Y00-1008107</t>
  </si>
  <si>
    <t>Y01-811280</t>
  </si>
  <si>
    <t>Y01-811297</t>
  </si>
  <si>
    <t>Y01-811314</t>
  </si>
  <si>
    <t>C00-999426</t>
  </si>
  <si>
    <t>C01-995862</t>
  </si>
  <si>
    <t>C01-995869</t>
  </si>
  <si>
    <t>C01-995897</t>
  </si>
  <si>
    <t>C01-995988</t>
  </si>
  <si>
    <t>C01-995992</t>
  </si>
  <si>
    <t>D00-1011061</t>
  </si>
  <si>
    <t>D00-1011091</t>
  </si>
  <si>
    <t>D00-1011122</t>
  </si>
  <si>
    <t>D00-1016637</t>
  </si>
  <si>
    <t>D70-1004823</t>
  </si>
  <si>
    <t>D70-1004885</t>
  </si>
  <si>
    <t>F02-996601</t>
  </si>
  <si>
    <t>F02-996608</t>
  </si>
  <si>
    <t>F04-976054</t>
  </si>
  <si>
    <t>G05-963995</t>
  </si>
  <si>
    <t>H00-1001275</t>
  </si>
  <si>
    <t>H01-993407</t>
  </si>
  <si>
    <t>H01-993410</t>
  </si>
  <si>
    <t>H01-993412</t>
  </si>
  <si>
    <t>H01-993457</t>
  </si>
  <si>
    <t>L00-1017466</t>
  </si>
  <si>
    <t>L00-1017516</t>
  </si>
  <si>
    <t>L00-1017548</t>
  </si>
  <si>
    <t>L00-1017578</t>
  </si>
  <si>
    <t>L00-1017582</t>
  </si>
  <si>
    <t>L00-1017587</t>
  </si>
  <si>
    <t>L00-1017604</t>
  </si>
  <si>
    <t>L00-1017624</t>
  </si>
  <si>
    <t>L00-1017686</t>
  </si>
  <si>
    <t>L00-1017690</t>
  </si>
  <si>
    <t>L00-1017691</t>
  </si>
  <si>
    <t>L00-1017713</t>
  </si>
  <si>
    <t>L00-1017812</t>
  </si>
  <si>
    <t>L00-1017841</t>
  </si>
  <si>
    <t>L00-1017963</t>
  </si>
  <si>
    <t>L00-1018115</t>
  </si>
  <si>
    <t>L00-1018118</t>
  </si>
  <si>
    <t>L00-1018661</t>
  </si>
  <si>
    <t>L01-999459</t>
  </si>
  <si>
    <t>L06-994580</t>
  </si>
  <si>
    <t>L06-994633</t>
  </si>
  <si>
    <t>L07-978372</t>
  </si>
  <si>
    <t>M11-919307</t>
  </si>
  <si>
    <t>M11-919315</t>
  </si>
  <si>
    <t>M11-919323</t>
  </si>
  <si>
    <t>M14-980821</t>
  </si>
  <si>
    <t>M14-980826</t>
  </si>
  <si>
    <t>M14-980832</t>
  </si>
  <si>
    <t>M20-1002607</t>
  </si>
  <si>
    <t>M20-1002609</t>
  </si>
  <si>
    <t>P00-996316</t>
  </si>
  <si>
    <t>P00-996445</t>
  </si>
  <si>
    <t>P01-998237</t>
  </si>
  <si>
    <t>Q00-999512</t>
  </si>
  <si>
    <t>Q00-999532</t>
  </si>
  <si>
    <t>Q00-999533</t>
  </si>
  <si>
    <t>Q00-999607</t>
  </si>
  <si>
    <t>Q02-930643</t>
  </si>
  <si>
    <t>Q02-930679</t>
  </si>
  <si>
    <t>Q02-930690</t>
  </si>
  <si>
    <t>Q02-930772</t>
  </si>
  <si>
    <t>Q02-930773</t>
  </si>
  <si>
    <t>Y00-1002330</t>
  </si>
  <si>
    <t>Y00-1002363</t>
  </si>
  <si>
    <t>Y00-1002364</t>
  </si>
  <si>
    <t>Y00-1002365</t>
  </si>
  <si>
    <t>Y00-1002370</t>
  </si>
  <si>
    <t>Y00-1002379</t>
  </si>
  <si>
    <t>Y00-1002417</t>
  </si>
  <si>
    <t>Y00-1002522</t>
  </si>
  <si>
    <t>Y00-1002532</t>
  </si>
  <si>
    <t>Y00-1002534</t>
  </si>
  <si>
    <t>Y01-811271</t>
  </si>
  <si>
    <t>Y01-811316</t>
  </si>
  <si>
    <t>Y01-816842</t>
  </si>
  <si>
    <t>Y02-993459</t>
  </si>
  <si>
    <t>Y10-916213</t>
  </si>
  <si>
    <t>Y17-862342</t>
  </si>
  <si>
    <t>C00-999431</t>
  </si>
  <si>
    <t>C00-999432</t>
  </si>
  <si>
    <t>C00-999442</t>
  </si>
  <si>
    <t>C01-995870</t>
  </si>
  <si>
    <t>C01-995900</t>
  </si>
  <si>
    <t>C16-806661</t>
  </si>
  <si>
    <t>C16-806665</t>
  </si>
  <si>
    <t>D00-1010729</t>
  </si>
  <si>
    <t>D00-1010758</t>
  </si>
  <si>
    <t>D00-1011051</t>
  </si>
  <si>
    <t>D00-1011065</t>
  </si>
  <si>
    <t>D00-1011424</t>
  </si>
  <si>
    <t>D70-1004871</t>
  </si>
  <si>
    <t>D70-1004887</t>
  </si>
  <si>
    <t>D70-1005079</t>
  </si>
  <si>
    <t>F02-996599</t>
  </si>
  <si>
    <t>F04-976057</t>
  </si>
  <si>
    <t>F04-976070</t>
  </si>
  <si>
    <t>G00-996891</t>
  </si>
  <si>
    <t>G00-1002462</t>
  </si>
  <si>
    <t>G11-993967</t>
  </si>
  <si>
    <t>G11-993973</t>
  </si>
  <si>
    <t>G11-993975</t>
  </si>
  <si>
    <t>H01-993400</t>
  </si>
  <si>
    <t>H01-993403</t>
  </si>
  <si>
    <t>H01-993456</t>
  </si>
  <si>
    <t>H01-993459</t>
  </si>
  <si>
    <t>L00-1017520</t>
  </si>
  <si>
    <t>L00-1017521</t>
  </si>
  <si>
    <t>L00-1017535</t>
  </si>
  <si>
    <t>L00-1017626</t>
  </si>
  <si>
    <t>L00-1017638</t>
  </si>
  <si>
    <t>L00-1017657</t>
  </si>
  <si>
    <t>L00-1017672</t>
  </si>
  <si>
    <t>L00-1017676</t>
  </si>
  <si>
    <t>L00-1017682</t>
  </si>
  <si>
    <t>L00-1017692</t>
  </si>
  <si>
    <t>L00-1017709</t>
  </si>
  <si>
    <t>L00-1017722</t>
  </si>
  <si>
    <t>L00-1017740</t>
  </si>
  <si>
    <t>L00-1017770</t>
  </si>
  <si>
    <t>L00-1017799</t>
  </si>
  <si>
    <t>L00-1017813</t>
  </si>
  <si>
    <t>L00-1017817</t>
  </si>
  <si>
    <t>L00-1017831</t>
  </si>
  <si>
    <t>L00-1017836</t>
  </si>
  <si>
    <t>L00-1017946</t>
  </si>
  <si>
    <t>L00-1018110</t>
  </si>
  <si>
    <t>L00-1018111</t>
  </si>
  <si>
    <t>L00-1018122</t>
  </si>
  <si>
    <t>L06-994614</t>
  </si>
  <si>
    <t>M00-1000103</t>
  </si>
  <si>
    <t>M00-1000168</t>
  </si>
  <si>
    <t>M05-1000920</t>
  </si>
  <si>
    <t>M11-919316</t>
  </si>
  <si>
    <t>M11-919375</t>
  </si>
  <si>
    <t>M14-980885</t>
  </si>
  <si>
    <t>M20-1002759</t>
  </si>
  <si>
    <t>MC1-1004283</t>
  </si>
  <si>
    <t>Q00-999497</t>
  </si>
  <si>
    <t>Q02-930691</t>
  </si>
  <si>
    <t>S00-999431</t>
  </si>
  <si>
    <t>S00-999435</t>
  </si>
  <si>
    <t>T02-998353</t>
  </si>
  <si>
    <t>Y00-1002368</t>
  </si>
  <si>
    <t>C00-999439</t>
  </si>
  <si>
    <t>C00-999483</t>
  </si>
  <si>
    <t>C01-995893</t>
  </si>
  <si>
    <t>C01-995898</t>
  </si>
  <si>
    <t>D00-1011020</t>
  </si>
  <si>
    <t>D00-1011040</t>
  </si>
  <si>
    <t>D00-1011041</t>
  </si>
  <si>
    <t>D00-1011094</t>
  </si>
  <si>
    <t>D00-1011099</t>
  </si>
  <si>
    <t>D00-1011138</t>
  </si>
  <si>
    <t>D00-1011163</t>
  </si>
  <si>
    <t>D00-1011467</t>
  </si>
  <si>
    <t>D00-1011468</t>
  </si>
  <si>
    <t>D00-1017173</t>
  </si>
  <si>
    <t>D70-1004760</t>
  </si>
  <si>
    <t>D70-1004774</t>
  </si>
  <si>
    <t>D70-1004791</t>
  </si>
  <si>
    <t>D70-1004802</t>
  </si>
  <si>
    <t>D70-1004819</t>
  </si>
  <si>
    <t>D70-1004836</t>
  </si>
  <si>
    <t>D70-1004862</t>
  </si>
  <si>
    <t>D70-1004880</t>
  </si>
  <si>
    <t>D70-1004892</t>
  </si>
  <si>
    <t>D70-1004894</t>
  </si>
  <si>
    <t>D70-1004946</t>
  </si>
  <si>
    <t>D70-1005073</t>
  </si>
  <si>
    <t>E00-996388</t>
  </si>
  <si>
    <t>E00-996390</t>
  </si>
  <si>
    <t>E00-996391</t>
  </si>
  <si>
    <t>E00-996392</t>
  </si>
  <si>
    <t>E00-1001911</t>
  </si>
  <si>
    <t>F04-975968</t>
  </si>
  <si>
    <t>F04-976010</t>
  </si>
  <si>
    <t>G00-996897</t>
  </si>
  <si>
    <t>G11-993996</t>
  </si>
  <si>
    <t>H00-1001263</t>
  </si>
  <si>
    <t>H00-1001273</t>
  </si>
  <si>
    <t>H00-1001274</t>
  </si>
  <si>
    <t>H00-1001288</t>
  </si>
  <si>
    <t>H01-993419</t>
  </si>
  <si>
    <t>H01-993424</t>
  </si>
  <si>
    <t>H01-993426</t>
  </si>
  <si>
    <t>H01-993428</t>
  </si>
  <si>
    <t>L00-1017486</t>
  </si>
  <si>
    <t>L00-1017488</t>
  </si>
  <si>
    <t>L00-1017511</t>
  </si>
  <si>
    <t>L00-1017577</t>
  </si>
  <si>
    <t>L00-1017579</t>
  </si>
  <si>
    <t>L00-1017594</t>
  </si>
  <si>
    <t>L00-1017609</t>
  </si>
  <si>
    <t>L00-1017613</t>
  </si>
  <si>
    <t>L00-1017628</t>
  </si>
  <si>
    <t>L00-1017658</t>
  </si>
  <si>
    <t>L00-1017668</t>
  </si>
  <si>
    <t>L00-1017694</t>
  </si>
  <si>
    <t>L00-1017715</t>
  </si>
  <si>
    <t>L00-1017738</t>
  </si>
  <si>
    <t>L00-1017751</t>
  </si>
  <si>
    <t>L00-1017800</t>
  </si>
  <si>
    <t>L00-1017837</t>
  </si>
  <si>
    <t>L00-1017839</t>
  </si>
  <si>
    <t>L00-1017938</t>
  </si>
  <si>
    <t>L00-1017947</t>
  </si>
  <si>
    <t>L00-1017957</t>
  </si>
  <si>
    <t>L00-1017985</t>
  </si>
  <si>
    <t>L00-1017996</t>
  </si>
  <si>
    <t>L00-1018053</t>
  </si>
  <si>
    <t>L00-1018578</t>
  </si>
  <si>
    <t>L01-999457</t>
  </si>
  <si>
    <t>L01-999465</t>
  </si>
  <si>
    <t>L01-999476</t>
  </si>
  <si>
    <t>L01-999498</t>
  </si>
  <si>
    <t>L01-999500</t>
  </si>
  <si>
    <t>L06-994589</t>
  </si>
  <si>
    <t>L06-994619</t>
  </si>
  <si>
    <t>L06-994636</t>
  </si>
  <si>
    <t>L06-994747</t>
  </si>
  <si>
    <t>L06-994768</t>
  </si>
  <si>
    <t>L06-1000351</t>
  </si>
  <si>
    <t>M00-1000134</t>
  </si>
  <si>
    <t>M14-980823</t>
  </si>
  <si>
    <t>M14-980824</t>
  </si>
  <si>
    <t>M14-980836</t>
  </si>
  <si>
    <t>M20-1002594</t>
  </si>
  <si>
    <t>M20-1002600</t>
  </si>
  <si>
    <t>M20-1002620</t>
  </si>
  <si>
    <t>M20-1002668</t>
  </si>
  <si>
    <t>MC7-12161</t>
  </si>
  <si>
    <t>MH0-582249</t>
  </si>
  <si>
    <t>MS1-999221</t>
  </si>
  <si>
    <t>MS1-999222</t>
  </si>
  <si>
    <t>MS5-913869</t>
  </si>
  <si>
    <t>P00-996300</t>
  </si>
  <si>
    <t>P00-996305</t>
  </si>
  <si>
    <t>P00-996452</t>
  </si>
  <si>
    <t>P01-998225</t>
  </si>
  <si>
    <t>Q00-999498</t>
  </si>
  <si>
    <t>Q00-999513</t>
  </si>
  <si>
    <t>Q00-999534</t>
  </si>
  <si>
    <t>Q00-1005131</t>
  </si>
  <si>
    <t>Q02-930649</t>
  </si>
  <si>
    <t>Q02-930670</t>
  </si>
  <si>
    <t>Q02-930689</t>
  </si>
  <si>
    <t>S00-993924</t>
  </si>
  <si>
    <t>T00-999359</t>
  </si>
  <si>
    <t>T00-999371</t>
  </si>
  <si>
    <t>T00-999376</t>
  </si>
  <si>
    <t>T03-999868</t>
  </si>
  <si>
    <t>Y00-1002331</t>
  </si>
  <si>
    <t>Y00-1002341</t>
  </si>
  <si>
    <t>Y00-1002528</t>
  </si>
  <si>
    <t>Y00-1008124</t>
  </si>
  <si>
    <t>Y01-811268</t>
  </si>
  <si>
    <t>Y01-811276</t>
  </si>
  <si>
    <t>Y01-811319</t>
  </si>
  <si>
    <t>Y11-983835</t>
  </si>
  <si>
    <t>Y17-867849</t>
  </si>
  <si>
    <t>C01-995877</t>
  </si>
  <si>
    <t>D00-1010934</t>
  </si>
  <si>
    <t>D00-1010966</t>
  </si>
  <si>
    <t>D00-1011026</t>
  </si>
  <si>
    <t>D00-1011053</t>
  </si>
  <si>
    <t>D00-1011066</t>
  </si>
  <si>
    <t>D00-1011067</t>
  </si>
  <si>
    <t>D00-1011116</t>
  </si>
  <si>
    <t>D70-1004830</t>
  </si>
  <si>
    <t>D70-1004837</t>
  </si>
  <si>
    <t>F04-975980</t>
  </si>
  <si>
    <t>G05-963971</t>
  </si>
  <si>
    <t>G05-964015</t>
  </si>
  <si>
    <t>G05-964021</t>
  </si>
  <si>
    <t>G05-964111</t>
  </si>
  <si>
    <t>H00-1001248</t>
  </si>
  <si>
    <t>H00-1001265</t>
  </si>
  <si>
    <t>L00-1017497</t>
  </si>
  <si>
    <t>L00-1017530</t>
  </si>
  <si>
    <t>L00-1017538</t>
  </si>
  <si>
    <t>L00-1017539</t>
  </si>
  <si>
    <t>L00-1017559</t>
  </si>
  <si>
    <t>L00-1017629</t>
  </si>
  <si>
    <t>L00-1017675</t>
  </si>
  <si>
    <t>L00-1017749</t>
  </si>
  <si>
    <t>L00-1017923</t>
  </si>
  <si>
    <t>L00-1018073</t>
  </si>
  <si>
    <t>L00-1018590</t>
  </si>
  <si>
    <t>L00-1018591</t>
  </si>
  <si>
    <t>L06-994585</t>
  </si>
  <si>
    <t>L07-978368</t>
  </si>
  <si>
    <t>L07-978382</t>
  </si>
  <si>
    <t>L07-978392</t>
  </si>
  <si>
    <t>L07-978395</t>
  </si>
  <si>
    <t>M00-1000151</t>
  </si>
  <si>
    <t>M05-1000917</t>
  </si>
  <si>
    <t>M05-1000926</t>
  </si>
  <si>
    <t>M11-919332</t>
  </si>
  <si>
    <t>M14-980837</t>
  </si>
  <si>
    <t>M20-1002615</t>
  </si>
  <si>
    <t>M20-1002616</t>
  </si>
  <si>
    <t>M20-1002618</t>
  </si>
  <si>
    <t>M20-1002669</t>
  </si>
  <si>
    <t>M20-1002764</t>
  </si>
  <si>
    <t>M20-1002765</t>
  </si>
  <si>
    <t>MC1-998707</t>
  </si>
  <si>
    <t>MS1-999239</t>
  </si>
  <si>
    <t>MS5-913864</t>
  </si>
  <si>
    <t>MS5-913865</t>
  </si>
  <si>
    <t>MS5-913871</t>
  </si>
  <si>
    <t>MS5-913872</t>
  </si>
  <si>
    <t>MS5-913889</t>
  </si>
  <si>
    <t>MS5-919409</t>
  </si>
  <si>
    <t>P00-996291</t>
  </si>
  <si>
    <t>P00-996294</t>
  </si>
  <si>
    <t>P00-996363</t>
  </si>
  <si>
    <t>P00-996364</t>
  </si>
  <si>
    <t>P00-996371</t>
  </si>
  <si>
    <t>P00-996372</t>
  </si>
  <si>
    <t>P07-995088</t>
  </si>
  <si>
    <t>Q00-999528</t>
  </si>
  <si>
    <t>Q00-999604</t>
  </si>
  <si>
    <t>Q02-930686</t>
  </si>
  <si>
    <t>S00-993925</t>
  </si>
  <si>
    <t>T02-998358</t>
  </si>
  <si>
    <t>Y00-1002338</t>
  </si>
  <si>
    <t>Y00-1002384</t>
  </si>
  <si>
    <t>Y02-993458</t>
  </si>
  <si>
    <t>Y17-862335</t>
  </si>
  <si>
    <t>C01-995894</t>
  </si>
  <si>
    <t>C01-995908</t>
  </si>
  <si>
    <t>D00-1010759</t>
  </si>
  <si>
    <t>D00-1010760</t>
  </si>
  <si>
    <t>D00-1010906</t>
  </si>
  <si>
    <t>D00-1011108</t>
  </si>
  <si>
    <t>D00-1011111</t>
  </si>
  <si>
    <t>D00-1011216</t>
  </si>
  <si>
    <t>D70-1004808</t>
  </si>
  <si>
    <t>D70-1004829</t>
  </si>
  <si>
    <t>D70-1004846</t>
  </si>
  <si>
    <t>G00-996883</t>
  </si>
  <si>
    <t>G00-996892</t>
  </si>
  <si>
    <t>G05-964003</t>
  </si>
  <si>
    <t>G05-964010</t>
  </si>
  <si>
    <t>H00-1001264</t>
  </si>
  <si>
    <t>H00-1001277</t>
  </si>
  <si>
    <t>H01-993408</t>
  </si>
  <si>
    <t>H01-993414</t>
  </si>
  <si>
    <t>L00-1017489</t>
  </si>
  <si>
    <t>L00-1017492</t>
  </si>
  <si>
    <t>L00-1017493</t>
  </si>
  <si>
    <t>L00-1017496</t>
  </si>
  <si>
    <t>L00-1017524</t>
  </si>
  <si>
    <t>L00-1017532</t>
  </si>
  <si>
    <t>L00-1017550</t>
  </si>
  <si>
    <t>L00-1017584</t>
  </si>
  <si>
    <t>L00-1017585</t>
  </si>
  <si>
    <t>L00-1017631</t>
  </si>
  <si>
    <t>L00-1017767</t>
  </si>
  <si>
    <t>L00-1017779</t>
  </si>
  <si>
    <t>L00-1017819</t>
  </si>
  <si>
    <t>L00-1017822</t>
  </si>
  <si>
    <t>L00-1017973</t>
  </si>
  <si>
    <t>L00-1017974</t>
  </si>
  <si>
    <t>L00-1017986</t>
  </si>
  <si>
    <t>L00-1018613</t>
  </si>
  <si>
    <t>L01-999488</t>
  </si>
  <si>
    <t>L06-994575</t>
  </si>
  <si>
    <t>L06-994578</t>
  </si>
  <si>
    <t>L06-994607</t>
  </si>
  <si>
    <t>L06-994621</t>
  </si>
  <si>
    <t>M00-1000114</t>
  </si>
  <si>
    <t>M11-919309</t>
  </si>
  <si>
    <t>M14-980845</t>
  </si>
  <si>
    <t>M14-980846</t>
  </si>
  <si>
    <t>M20-1002644</t>
  </si>
  <si>
    <t>M20-1002646</t>
  </si>
  <si>
    <t>MS1-999224</t>
  </si>
  <si>
    <t>MSJ-232196</t>
  </si>
  <si>
    <t>Q00-999499</t>
  </si>
  <si>
    <t>Q00-999520</t>
  </si>
  <si>
    <t>Q00-999527</t>
  </si>
  <si>
    <t>Q02-930694</t>
  </si>
  <si>
    <t>T00-999361</t>
  </si>
  <si>
    <t>T00-999370</t>
  </si>
  <si>
    <t>Y01-811267</t>
  </si>
  <si>
    <t>Y01-811320</t>
  </si>
  <si>
    <t>Y11-983850</t>
  </si>
  <si>
    <t>Y11-983878</t>
  </si>
  <si>
    <t>Y11-988890</t>
  </si>
  <si>
    <t>Y17-862336</t>
  </si>
  <si>
    <t>C01-995884</t>
  </si>
  <si>
    <t>C01-995887</t>
  </si>
  <si>
    <t>C01-995990</t>
  </si>
  <si>
    <t>D00-1010940</t>
  </si>
  <si>
    <t>D00-1011052</t>
  </si>
  <si>
    <t>D00-1011073</t>
  </si>
  <si>
    <t>D00-1011079</t>
  </si>
  <si>
    <t>D00-1011095</t>
  </si>
  <si>
    <t>D00-1011104</t>
  </si>
  <si>
    <t>D00-1016636</t>
  </si>
  <si>
    <t>D00-1017217</t>
  </si>
  <si>
    <t>D00-1017506</t>
  </si>
  <si>
    <t>D70-1004793</t>
  </si>
  <si>
    <t>D70-1004870</t>
  </si>
  <si>
    <t>D70-1004925</t>
  </si>
  <si>
    <t>G00-996885</t>
  </si>
  <si>
    <t>G00-996896</t>
  </si>
  <si>
    <t>G00-996902</t>
  </si>
  <si>
    <t>G05-963981</t>
  </si>
  <si>
    <t>G05-964017</t>
  </si>
  <si>
    <t>G05-964022</t>
  </si>
  <si>
    <t>G05-964108</t>
  </si>
  <si>
    <t>G05-964110</t>
  </si>
  <si>
    <t>G05-969656</t>
  </si>
  <si>
    <t>G05-969657</t>
  </si>
  <si>
    <t>G11-993957</t>
  </si>
  <si>
    <t>G11-993969</t>
  </si>
  <si>
    <t>H00-1001253</t>
  </si>
  <si>
    <t>H02-345200</t>
  </si>
  <si>
    <t>L00-1017481</t>
  </si>
  <si>
    <t>L00-1017552</t>
  </si>
  <si>
    <t>L00-1017586</t>
  </si>
  <si>
    <t>L00-1017627</t>
  </si>
  <si>
    <t>L00-1017642</t>
  </si>
  <si>
    <t>L00-1017648</t>
  </si>
  <si>
    <t>L00-1017665</t>
  </si>
  <si>
    <t>L00-1017728</t>
  </si>
  <si>
    <t>L00-1018062</t>
  </si>
  <si>
    <t>L00-1018098</t>
  </si>
  <si>
    <t>L00-1018125</t>
  </si>
  <si>
    <t>L00-1018575</t>
  </si>
  <si>
    <t>L00-1018627</t>
  </si>
  <si>
    <t>L00-1018630</t>
  </si>
  <si>
    <t>L00-1018685</t>
  </si>
  <si>
    <t>L00-1024005</t>
  </si>
  <si>
    <t>L00-1024006</t>
  </si>
  <si>
    <t>L01-999466</t>
  </si>
  <si>
    <t>L01-999485</t>
  </si>
  <si>
    <t>L01-999492</t>
  </si>
  <si>
    <t>L06-994558</t>
  </si>
  <si>
    <t>L06-994615</t>
  </si>
  <si>
    <t>M00-1000169</t>
  </si>
  <si>
    <t>M11-919318</t>
  </si>
  <si>
    <t>M11-919325</t>
  </si>
  <si>
    <t>M14-980829</t>
  </si>
  <si>
    <t>M14-980841</t>
  </si>
  <si>
    <t>M14-980843</t>
  </si>
  <si>
    <t>M14-980848</t>
  </si>
  <si>
    <t>M20-1002634</t>
  </si>
  <si>
    <t>M20-1002670</t>
  </si>
  <si>
    <t>P00-996277</t>
  </si>
  <si>
    <t>P00-996308</t>
  </si>
  <si>
    <t>P00-996311</t>
  </si>
  <si>
    <t>P00-996325</t>
  </si>
  <si>
    <t>P00-996431</t>
  </si>
  <si>
    <t>P00-1002000</t>
  </si>
  <si>
    <t>P00-1002005</t>
  </si>
  <si>
    <t>Q00-999501</t>
  </si>
  <si>
    <t>Q00-999524</t>
  </si>
  <si>
    <t>Q02-930650</t>
  </si>
  <si>
    <t>Q02-930665</t>
  </si>
  <si>
    <t>Q02-930775</t>
  </si>
  <si>
    <t>T00-999354</t>
  </si>
  <si>
    <t>T02-998354</t>
  </si>
  <si>
    <t>T02-998367</t>
  </si>
  <si>
    <t>Y00-1002339</t>
  </si>
  <si>
    <t>Y00-1002372</t>
  </si>
  <si>
    <t>Y00-1002540</t>
  </si>
  <si>
    <t>Y11-983844</t>
  </si>
  <si>
    <t>Y11-989396</t>
  </si>
  <si>
    <t>C01-995880</t>
  </si>
  <si>
    <t>C01-995886</t>
  </si>
  <si>
    <t>D00-1010766</t>
  </si>
  <si>
    <t>D00-1011042</t>
  </si>
  <si>
    <t>D00-1011047</t>
  </si>
  <si>
    <t>D00-1011072</t>
  </si>
  <si>
    <t>D00-1011105</t>
  </si>
  <si>
    <t>D00-1011106</t>
  </si>
  <si>
    <t>D00-1011113</t>
  </si>
  <si>
    <t>D00-1011114</t>
  </si>
  <si>
    <t>D00-1011121</t>
  </si>
  <si>
    <t>D00-1011525</t>
  </si>
  <si>
    <t>D00-1017204</t>
  </si>
  <si>
    <t>D00-1017209</t>
  </si>
  <si>
    <t>D70-1004784</t>
  </si>
  <si>
    <t>D70-1004827</t>
  </si>
  <si>
    <t>D70-1004868</t>
  </si>
  <si>
    <t>D70-1004889</t>
  </si>
  <si>
    <t>F02-996594</t>
  </si>
  <si>
    <t>F04-976063</t>
  </si>
  <si>
    <t>G05-963976</t>
  </si>
  <si>
    <t>G11-993960</t>
  </si>
  <si>
    <t>H01-993417</t>
  </si>
  <si>
    <t>L00-1017464</t>
  </si>
  <si>
    <t>L00-1017534</t>
  </si>
  <si>
    <t>L00-1017553</t>
  </si>
  <si>
    <t>L00-1017610</t>
  </si>
  <si>
    <t>L00-1017708</t>
  </si>
  <si>
    <t>L00-1017716</t>
  </si>
  <si>
    <t>L00-1017803</t>
  </si>
  <si>
    <t>L00-1018005</t>
  </si>
  <si>
    <t>L00-1018006</t>
  </si>
  <si>
    <t>L00-1018583</t>
  </si>
  <si>
    <t>L00-1018599</t>
  </si>
  <si>
    <t>L00-1024633</t>
  </si>
  <si>
    <t>L00-1024682</t>
  </si>
  <si>
    <t>L01-999461</t>
  </si>
  <si>
    <t>L01-999573</t>
  </si>
  <si>
    <t>L06-994612</t>
  </si>
  <si>
    <t>L06-994635</t>
  </si>
  <si>
    <t>L06-994761</t>
  </si>
  <si>
    <t>L07-978389</t>
  </si>
  <si>
    <t>L07-978399</t>
  </si>
  <si>
    <t>L07-978464</t>
  </si>
  <si>
    <t>L07-978466</t>
  </si>
  <si>
    <t>L07-978468</t>
  </si>
  <si>
    <t>M00-1000155</t>
  </si>
  <si>
    <t>M05-1000923</t>
  </si>
  <si>
    <t>M05-1000933</t>
  </si>
  <si>
    <t>M05-1000971</t>
  </si>
  <si>
    <t>M14-980830</t>
  </si>
  <si>
    <t>M20-1002601</t>
  </si>
  <si>
    <t>M20-1002606</t>
  </si>
  <si>
    <t>P01-998246</t>
  </si>
  <si>
    <t>P06-997074</t>
  </si>
  <si>
    <t>Q00-999496</t>
  </si>
  <si>
    <t>Q00-999525</t>
  </si>
  <si>
    <t>Y00-1002323</t>
  </si>
  <si>
    <t>Y00-1002424</t>
  </si>
  <si>
    <t>Y02-993460</t>
  </si>
  <si>
    <t>Y11-983842</t>
  </si>
  <si>
    <t>C00-999428</t>
  </si>
  <si>
    <t>C00-999438</t>
  </si>
  <si>
    <t>C01-995901</t>
  </si>
  <si>
    <t>C01-995915</t>
  </si>
  <si>
    <t>C01-995996</t>
  </si>
  <si>
    <t>D00-1011148</t>
  </si>
  <si>
    <t>D00-1011460</t>
  </si>
  <si>
    <t>D00-1011462</t>
  </si>
  <si>
    <t>D70-1004783</t>
  </si>
  <si>
    <t>F04-975969</t>
  </si>
  <si>
    <t>G05-963986</t>
  </si>
  <si>
    <t>G05-963987</t>
  </si>
  <si>
    <t>G05-964103</t>
  </si>
  <si>
    <t>G05-964105</t>
  </si>
  <si>
    <t>G05-964115</t>
  </si>
  <si>
    <t>G11-993961</t>
  </si>
  <si>
    <t>H01-993399</t>
  </si>
  <si>
    <t>H01-993405</t>
  </si>
  <si>
    <t>L00-1017454</t>
  </si>
  <si>
    <t>L00-1017455</t>
  </si>
  <si>
    <t>L00-1017468</t>
  </si>
  <si>
    <t>L00-1017480</t>
  </si>
  <si>
    <t>L00-1017549</t>
  </si>
  <si>
    <t>L00-1017554</t>
  </si>
  <si>
    <t>L00-1017568</t>
  </si>
  <si>
    <t>L00-1017576</t>
  </si>
  <si>
    <t>L00-1017619</t>
  </si>
  <si>
    <t>L00-1017630</t>
  </si>
  <si>
    <t>L00-1017635</t>
  </si>
  <si>
    <t>L00-1017706</t>
  </si>
  <si>
    <t>L00-1017763</t>
  </si>
  <si>
    <t>L00-1017764</t>
  </si>
  <si>
    <t>L00-1017849</t>
  </si>
  <si>
    <t>L00-1018605</t>
  </si>
  <si>
    <t>L00-1018616</t>
  </si>
  <si>
    <t>L00-1018641</t>
  </si>
  <si>
    <t>L00-1018673</t>
  </si>
  <si>
    <t>L00-1024579</t>
  </si>
  <si>
    <t>L01-999495</t>
  </si>
  <si>
    <t>L06-994599</t>
  </si>
  <si>
    <t>L06-994652</t>
  </si>
  <si>
    <t>L06-994657</t>
  </si>
  <si>
    <t>L06-994660</t>
  </si>
  <si>
    <t>L07-978378</t>
  </si>
  <si>
    <t>L07-978393</t>
  </si>
  <si>
    <t>L07-978394</t>
  </si>
  <si>
    <t>L07-984029</t>
  </si>
  <si>
    <t>L07-984032</t>
  </si>
  <si>
    <t>M00-1000132</t>
  </si>
  <si>
    <t>M00-1000133</t>
  </si>
  <si>
    <t>M00-1000141</t>
  </si>
  <si>
    <t>M00-1000144</t>
  </si>
  <si>
    <t>M00-1000145</t>
  </si>
  <si>
    <t>M00-1000162</t>
  </si>
  <si>
    <t>M11-919321</t>
  </si>
  <si>
    <t>M11-919326</t>
  </si>
  <si>
    <t>M14-980831</t>
  </si>
  <si>
    <t>M14-980835</t>
  </si>
  <si>
    <t>M17-582338</t>
  </si>
  <si>
    <t>M20-1002627</t>
  </si>
  <si>
    <t>M20-1002641</t>
  </si>
  <si>
    <t>M20-1002676</t>
  </si>
  <si>
    <t>M20-1002758</t>
  </si>
  <si>
    <t>M25-848871</t>
  </si>
  <si>
    <t>MC1-998701</t>
  </si>
  <si>
    <t>MC1-998702</t>
  </si>
  <si>
    <t>P00-996295</t>
  </si>
  <si>
    <t>P00-996297</t>
  </si>
  <si>
    <t>P00-996318</t>
  </si>
  <si>
    <t>P00-996338</t>
  </si>
  <si>
    <t>P00-996339</t>
  </si>
  <si>
    <t>P00-996349</t>
  </si>
  <si>
    <t>P00-996449</t>
  </si>
  <si>
    <t>P06-997066</t>
  </si>
  <si>
    <t>Q00-999529</t>
  </si>
  <si>
    <t>Q00-999548</t>
  </si>
  <si>
    <t>Q00-999602</t>
  </si>
  <si>
    <t>Q00-999608</t>
  </si>
  <si>
    <t>Q02-930639</t>
  </si>
  <si>
    <t>Q02-930640</t>
  </si>
  <si>
    <t>Q02-930642</t>
  </si>
  <si>
    <t>Q02-930675</t>
  </si>
  <si>
    <t>Q02-930719</t>
  </si>
  <si>
    <t>Q02-930720</t>
  </si>
  <si>
    <t>Q02-930788</t>
  </si>
  <si>
    <t>Q02-936338</t>
  </si>
  <si>
    <t>Y00-1002322</t>
  </si>
  <si>
    <t>Y00-1002351</t>
  </si>
  <si>
    <t>Y00-1002546</t>
  </si>
  <si>
    <t>Y15-212172</t>
  </si>
  <si>
    <t>C00-999433</t>
  </si>
  <si>
    <t>C00-999447</t>
  </si>
  <si>
    <t>C01-995871</t>
  </si>
  <si>
    <t>C01-995881</t>
  </si>
  <si>
    <t>D00-1010730</t>
  </si>
  <si>
    <t>D00-1011031</t>
  </si>
  <si>
    <t>D00-1011037</t>
  </si>
  <si>
    <t>D00-1011469</t>
  </si>
  <si>
    <t>D00-1017143</t>
  </si>
  <si>
    <t>D00-1017284</t>
  </si>
  <si>
    <t>D70-1004865</t>
  </si>
  <si>
    <t>D70-1004919</t>
  </si>
  <si>
    <t>G00-996882</t>
  </si>
  <si>
    <t>G05-963982</t>
  </si>
  <si>
    <t>G05-963997</t>
  </si>
  <si>
    <t>G11-993968</t>
  </si>
  <si>
    <t>H00-1001252</t>
  </si>
  <si>
    <t>H00-1001287</t>
  </si>
  <si>
    <t>L00-1017456</t>
  </si>
  <si>
    <t>L00-1017612</t>
  </si>
  <si>
    <t>L00-1017669</t>
  </si>
  <si>
    <t>L00-1017714</t>
  </si>
  <si>
    <t>L00-1017824</t>
  </si>
  <si>
    <t>L00-1017827</t>
  </si>
  <si>
    <t>L00-1017855</t>
  </si>
  <si>
    <t>L00-1017857</t>
  </si>
  <si>
    <t>L00-1017976</t>
  </si>
  <si>
    <t>L00-1018597</t>
  </si>
  <si>
    <t>L00-1018626</t>
  </si>
  <si>
    <t>L00-1018628</t>
  </si>
  <si>
    <t>L00-1024551</t>
  </si>
  <si>
    <t>L01-999474</t>
  </si>
  <si>
    <t>L06-994568</t>
  </si>
  <si>
    <t>L06-994577</t>
  </si>
  <si>
    <t>L06-994593</t>
  </si>
  <si>
    <t>M00-1000172</t>
  </si>
  <si>
    <t>M05-1000915</t>
  </si>
  <si>
    <t>M05-1000925</t>
  </si>
  <si>
    <t>M05-1000937</t>
  </si>
  <si>
    <t>M14-980818</t>
  </si>
  <si>
    <t>M17-582339</t>
  </si>
  <si>
    <t>M20-1002610</t>
  </si>
  <si>
    <t>M20-1002762</t>
  </si>
  <si>
    <t>M20-1008414</t>
  </si>
  <si>
    <t>M25-848866</t>
  </si>
  <si>
    <t>P00-996340</t>
  </si>
  <si>
    <t>P08-356201</t>
  </si>
  <si>
    <t>Q02-930682</t>
  </si>
  <si>
    <t>T02-998387</t>
  </si>
  <si>
    <t>Y00-1002362</t>
  </si>
  <si>
    <t>Y00-1002427</t>
  </si>
  <si>
    <t>Y00-1008118</t>
  </si>
  <si>
    <t>Y02-993469</t>
  </si>
  <si>
    <t>Y17-862343</t>
  </si>
  <si>
    <t>Y17-862344</t>
  </si>
  <si>
    <t>C00-999448</t>
  </si>
  <si>
    <t>C00-1005035</t>
  </si>
  <si>
    <t>C00-1005044</t>
  </si>
  <si>
    <t>C01-995878</t>
  </si>
  <si>
    <t>D00-1010998</t>
  </si>
  <si>
    <t>D00-1011036</t>
  </si>
  <si>
    <t>D00-1011038</t>
  </si>
  <si>
    <t>D00-1011045</t>
  </si>
  <si>
    <t>D00-1011059</t>
  </si>
  <si>
    <t>D00-1011082</t>
  </si>
  <si>
    <t>D00-1011176</t>
  </si>
  <si>
    <t>D00-1017208</t>
  </si>
  <si>
    <t>D70-1004801</t>
  </si>
  <si>
    <t>D70-1004816</t>
  </si>
  <si>
    <t>D70-1004820</t>
  </si>
  <si>
    <t>D70-1004834</t>
  </si>
  <si>
    <t>D70-1004835</t>
  </si>
  <si>
    <t>D70-1004873</t>
  </si>
  <si>
    <t>D70-1004874</t>
  </si>
  <si>
    <t>D70-1004947</t>
  </si>
  <si>
    <t>D70-1005061</t>
  </si>
  <si>
    <t>F02-996581</t>
  </si>
  <si>
    <t>F02-996591</t>
  </si>
  <si>
    <t>F04-976000</t>
  </si>
  <si>
    <t>F04-976012</t>
  </si>
  <si>
    <t>F04-976068</t>
  </si>
  <si>
    <t>G05-963993</t>
  </si>
  <si>
    <t>G05-963998</t>
  </si>
  <si>
    <t>G05-964024</t>
  </si>
  <si>
    <t>G05-964033</t>
  </si>
  <si>
    <t>G11-993964</t>
  </si>
  <si>
    <t>G32-2</t>
  </si>
  <si>
    <t>G32-3</t>
  </si>
  <si>
    <t>G32-4</t>
  </si>
  <si>
    <t>G32-5</t>
  </si>
  <si>
    <t>H00-1001254</t>
  </si>
  <si>
    <t>H00-1001286</t>
  </si>
  <si>
    <t>L00-1017487</t>
  </si>
  <si>
    <t>L00-1017523</t>
  </si>
  <si>
    <t>L00-1017526</t>
  </si>
  <si>
    <t>L00-1017667</t>
  </si>
  <si>
    <t>L00-1017759</t>
  </si>
  <si>
    <t>L00-1017762</t>
  </si>
  <si>
    <t>L00-1017823</t>
  </si>
  <si>
    <t>L00-1017826</t>
  </si>
  <si>
    <t>L00-1018102</t>
  </si>
  <si>
    <t>L00-1018129</t>
  </si>
  <si>
    <t>L01-999468</t>
  </si>
  <si>
    <t>L01-1005115</t>
  </si>
  <si>
    <t>L06-994583</t>
  </si>
  <si>
    <t>L06-994587</t>
  </si>
  <si>
    <t>L06-994624</t>
  </si>
  <si>
    <t>L07-978383</t>
  </si>
  <si>
    <t>L07-978398</t>
  </si>
  <si>
    <t>L07-978470</t>
  </si>
  <si>
    <t>M00-1000115</t>
  </si>
  <si>
    <t>M00-1000116</t>
  </si>
  <si>
    <t>M00-1000189</t>
  </si>
  <si>
    <t>M05-1000921</t>
  </si>
  <si>
    <t>M05-1000936</t>
  </si>
  <si>
    <t>M11-919310</t>
  </si>
  <si>
    <t>M11-919328</t>
  </si>
  <si>
    <t>M11-919399</t>
  </si>
  <si>
    <t>M20-1002628</t>
  </si>
  <si>
    <t>M20-1002636</t>
  </si>
  <si>
    <t>M20-1002637</t>
  </si>
  <si>
    <t>MS1-999217</t>
  </si>
  <si>
    <t>MS1-999218</t>
  </si>
  <si>
    <t>P00-996332</t>
  </si>
  <si>
    <t>P06-997064</t>
  </si>
  <si>
    <t>Q00-999506</t>
  </si>
  <si>
    <t>Q00-999507</t>
  </si>
  <si>
    <t>Q00-999508</t>
  </si>
  <si>
    <t>Q00-999509</t>
  </si>
  <si>
    <t>Q00-999510</t>
  </si>
  <si>
    <t>Q00-999610</t>
  </si>
  <si>
    <t>Q00-1005130</t>
  </si>
  <si>
    <t>Q02-930676</t>
  </si>
  <si>
    <t>Q02-930695</t>
  </si>
  <si>
    <t>Q02-930696</t>
  </si>
  <si>
    <t>Q02-930714</t>
  </si>
  <si>
    <t>Q02-930717</t>
  </si>
  <si>
    <t>Q02-930783</t>
  </si>
  <si>
    <t>T00-999363</t>
  </si>
  <si>
    <t>T02-998356</t>
  </si>
  <si>
    <t>Y00-1002299</t>
  </si>
  <si>
    <t>Y00-1002412</t>
  </si>
  <si>
    <t>Y11-989395</t>
  </si>
  <si>
    <t>C00-999434</t>
  </si>
  <si>
    <t>C01-1001543</t>
  </si>
  <si>
    <t>D00-1010847</t>
  </si>
  <si>
    <t>D00-1011034</t>
  </si>
  <si>
    <t>D00-1011035</t>
  </si>
  <si>
    <t>D00-1011078</t>
  </si>
  <si>
    <t>D00-1011096</t>
  </si>
  <si>
    <t>D70-1004792</t>
  </si>
  <si>
    <t>D70-1004812</t>
  </si>
  <si>
    <t>D70-1004839</t>
  </si>
  <si>
    <t>F04-975970</t>
  </si>
  <si>
    <t>F04-976016</t>
  </si>
  <si>
    <t>F14-102148</t>
  </si>
  <si>
    <t>G05-964004</t>
  </si>
  <si>
    <t>G22-156230</t>
  </si>
  <si>
    <t>H00-1001251</t>
  </si>
  <si>
    <t>H00-1001268</t>
  </si>
  <si>
    <t>H00-1001290</t>
  </si>
  <si>
    <t>L00-1017467</t>
  </si>
  <si>
    <t>L00-1017471</t>
  </si>
  <si>
    <t>L00-1017472</t>
  </si>
  <si>
    <t>L00-1017477</t>
  </si>
  <si>
    <t>L00-1017498</t>
  </si>
  <si>
    <t>L00-1017506</t>
  </si>
  <si>
    <t>L00-1017555</t>
  </si>
  <si>
    <t>L00-1017558</t>
  </si>
  <si>
    <t>L00-1017640</t>
  </si>
  <si>
    <t>L00-1017641</t>
  </si>
  <si>
    <t>L00-1017707</t>
  </si>
  <si>
    <t>L00-1017746</t>
  </si>
  <si>
    <t>L00-1017783</t>
  </si>
  <si>
    <t>L00-1017804</t>
  </si>
  <si>
    <t>L00-1017833</t>
  </si>
  <si>
    <t>L00-1017848</t>
  </si>
  <si>
    <t>L00-1017852</t>
  </si>
  <si>
    <t>L00-1017949</t>
  </si>
  <si>
    <t>L00-1018120</t>
  </si>
  <si>
    <t>L00-1024645</t>
  </si>
  <si>
    <t>L01-999458</t>
  </si>
  <si>
    <t>L01-999470</t>
  </si>
  <si>
    <t>L01-999487</t>
  </si>
  <si>
    <t>L06-994559</t>
  </si>
  <si>
    <t>L06-994561</t>
  </si>
  <si>
    <t>L06-994565</t>
  </si>
  <si>
    <t>L06-994604</t>
  </si>
  <si>
    <t>L06-994627</t>
  </si>
  <si>
    <t>L06-994628</t>
  </si>
  <si>
    <t>L06-994637</t>
  </si>
  <si>
    <t>L06-994653</t>
  </si>
  <si>
    <t>L07-978370</t>
  </si>
  <si>
    <t>L07-978420</t>
  </si>
  <si>
    <t>M00-1000091</t>
  </si>
  <si>
    <t>M00-1000125</t>
  </si>
  <si>
    <t>M14-980816</t>
  </si>
  <si>
    <t>M14-980817</t>
  </si>
  <si>
    <t>M14-980827</t>
  </si>
  <si>
    <t>M14-980844</t>
  </si>
  <si>
    <t>M17-587849</t>
  </si>
  <si>
    <t>P00-996275</t>
  </si>
  <si>
    <t>P00-996280</t>
  </si>
  <si>
    <t>P00-996326</t>
  </si>
  <si>
    <t>P00-996329</t>
  </si>
  <si>
    <t>P00-996330</t>
  </si>
  <si>
    <t>P00-996440</t>
  </si>
  <si>
    <t>P01-998231</t>
  </si>
  <si>
    <t>Q02-930661</t>
  </si>
  <si>
    <t>Q02-930779</t>
  </si>
  <si>
    <t>T03-999856</t>
  </si>
  <si>
    <t>Y00-1002381</t>
  </si>
  <si>
    <t>Y00-1002382</t>
  </si>
  <si>
    <t>Y00-1002414</t>
  </si>
  <si>
    <t>Y00-1007600</t>
  </si>
  <si>
    <t>C00-999440</t>
  </si>
  <si>
    <t>C01-995921</t>
  </si>
  <si>
    <t>C01-995987</t>
  </si>
  <si>
    <t>C01-995995</t>
  </si>
  <si>
    <t>D00-1011109</t>
  </si>
  <si>
    <t>D70-1004794</t>
  </si>
  <si>
    <t>D70-1004875</t>
  </si>
  <si>
    <t>F04-975971</t>
  </si>
  <si>
    <t>G00-996893</t>
  </si>
  <si>
    <t>G00-996913</t>
  </si>
  <si>
    <t>G05-964005</t>
  </si>
  <si>
    <t>G05-964034</t>
  </si>
  <si>
    <t>G05-964035</t>
  </si>
  <si>
    <t>G11-993962</t>
  </si>
  <si>
    <t>G15-248305</t>
  </si>
  <si>
    <t>H00-1001283</t>
  </si>
  <si>
    <t>H01-993404</t>
  </si>
  <si>
    <t>L00-1017457</t>
  </si>
  <si>
    <t>L00-1017491</t>
  </si>
  <si>
    <t>L00-1017499</t>
  </si>
  <si>
    <t>L00-1017503</t>
  </si>
  <si>
    <t>L00-1017536</t>
  </si>
  <si>
    <t>L00-1017572</t>
  </si>
  <si>
    <t>L00-1017580</t>
  </si>
  <si>
    <t>L00-1017595</t>
  </si>
  <si>
    <t>L00-1017632</t>
  </si>
  <si>
    <t>L00-1017645</t>
  </si>
  <si>
    <t>L00-1017674</t>
  </si>
  <si>
    <t>L00-1017681</t>
  </si>
  <si>
    <t>L00-1017720</t>
  </si>
  <si>
    <t>L00-1017737</t>
  </si>
  <si>
    <t>L00-1017755</t>
  </si>
  <si>
    <t>L00-1017757</t>
  </si>
  <si>
    <t>L00-1017758</t>
  </si>
  <si>
    <t>L00-1017760</t>
  </si>
  <si>
    <t>L00-1017828</t>
  </si>
  <si>
    <t>L00-1017835</t>
  </si>
  <si>
    <t>L00-1017842</t>
  </si>
  <si>
    <t>L00-1017854</t>
  </si>
  <si>
    <t>L00-1018003</t>
  </si>
  <si>
    <t>L00-1018009</t>
  </si>
  <si>
    <t>L00-1018016</t>
  </si>
  <si>
    <t>L00-1018086</t>
  </si>
  <si>
    <t>L01-999493</t>
  </si>
  <si>
    <t>L01-999494</t>
  </si>
  <si>
    <t>L06-994620</t>
  </si>
  <si>
    <t>L06-994662</t>
  </si>
  <si>
    <t>L06-1000339</t>
  </si>
  <si>
    <t>L07-978377</t>
  </si>
  <si>
    <t>L07-978400</t>
  </si>
  <si>
    <t>M05-1000928</t>
  </si>
  <si>
    <t>M05-1000968</t>
  </si>
  <si>
    <t>M11-919319</t>
  </si>
  <si>
    <t>M20-1002593</t>
  </si>
  <si>
    <t>M20-1002642</t>
  </si>
  <si>
    <t>M20-1002643</t>
  </si>
  <si>
    <t>M20-1002679</t>
  </si>
  <si>
    <t>M20-1008317</t>
  </si>
  <si>
    <t>MCC-29</t>
  </si>
  <si>
    <t>P00-996301</t>
  </si>
  <si>
    <t>P00-996313</t>
  </si>
  <si>
    <t>P00-996317</t>
  </si>
  <si>
    <t>P00-996323</t>
  </si>
  <si>
    <t>P00-996327</t>
  </si>
  <si>
    <t>P00-996367</t>
  </si>
  <si>
    <t>P00-996429</t>
  </si>
  <si>
    <t>P01-1003781</t>
  </si>
  <si>
    <t>Q00-999611</t>
  </si>
  <si>
    <t>Y00-1002383</t>
  </si>
  <si>
    <t>Y00-1002421</t>
  </si>
  <si>
    <t>Y01-811282</t>
  </si>
  <si>
    <t>Y01-816841</t>
  </si>
  <si>
    <t>Y11-983879</t>
  </si>
  <si>
    <t>Y11-983880</t>
  </si>
  <si>
    <t>C01-995906</t>
  </si>
  <si>
    <t>D00-1011092</t>
  </si>
  <si>
    <t>D00-1011513</t>
  </si>
  <si>
    <t>D70-1004778</t>
  </si>
  <si>
    <t>D70-1004779</t>
  </si>
  <si>
    <t>D70-1004797</t>
  </si>
  <si>
    <t>D70-1004798</t>
  </si>
  <si>
    <t>D70-1004833</t>
  </si>
  <si>
    <t>F02-996595</t>
  </si>
  <si>
    <t>F04-975972</t>
  </si>
  <si>
    <t>F10-996387</t>
  </si>
  <si>
    <t>G00-1001959</t>
  </si>
  <si>
    <t>G05-964006</t>
  </si>
  <si>
    <t>G05-964007</t>
  </si>
  <si>
    <t>G11-993970</t>
  </si>
  <si>
    <t>L00-1017463</t>
  </si>
  <si>
    <t>L00-1017495</t>
  </si>
  <si>
    <t>L00-1017500</t>
  </si>
  <si>
    <t>L00-1017501</t>
  </si>
  <si>
    <t>L00-1017507</t>
  </si>
  <si>
    <t>L00-1017522</t>
  </si>
  <si>
    <t>L00-1017571</t>
  </si>
  <si>
    <t>L00-1017643</t>
  </si>
  <si>
    <t>L00-1017684</t>
  </si>
  <si>
    <t>L00-1017718</t>
  </si>
  <si>
    <t>L00-1017734</t>
  </si>
  <si>
    <t>L00-1017735</t>
  </si>
  <si>
    <t>L00-1017756</t>
  </si>
  <si>
    <t>L00-1017780</t>
  </si>
  <si>
    <t>L00-1017782</t>
  </si>
  <si>
    <t>L00-1017815</t>
  </si>
  <si>
    <t>L00-1017999</t>
  </si>
  <si>
    <t>L00-1018002</t>
  </si>
  <si>
    <t>L00-1018029</t>
  </si>
  <si>
    <t>L00-1018103</t>
  </si>
  <si>
    <t>L00-1018577</t>
  </si>
  <si>
    <t>L00-1018606</t>
  </si>
  <si>
    <t>L00-1018619</t>
  </si>
  <si>
    <t>L00-1018663</t>
  </si>
  <si>
    <t>L01-999486</t>
  </si>
  <si>
    <t>L06-994746</t>
  </si>
  <si>
    <t>L06-994753</t>
  </si>
  <si>
    <t>L07-978379</t>
  </si>
  <si>
    <t>L07-978384</t>
  </si>
  <si>
    <t>L07-978463</t>
  </si>
  <si>
    <t>M00-1000165</t>
  </si>
  <si>
    <t>M05-1000945</t>
  </si>
  <si>
    <t>M11-919333</t>
  </si>
  <si>
    <t>M20-1008329</t>
  </si>
  <si>
    <t>MC1-998699</t>
  </si>
  <si>
    <t>MS5-913870</t>
  </si>
  <si>
    <t>P00-996438</t>
  </si>
  <si>
    <t>P01-998264</t>
  </si>
  <si>
    <t>P06-997067</t>
  </si>
  <si>
    <t>Q00-999500</t>
  </si>
  <si>
    <t>Q02-930681</t>
  </si>
  <si>
    <t>Q02-930791</t>
  </si>
  <si>
    <t>T00-999357</t>
  </si>
  <si>
    <t>T02-998352</t>
  </si>
  <si>
    <t>T02-998388</t>
  </si>
  <si>
    <t>Y00-1002353</t>
  </si>
  <si>
    <t>Y00-1002356</t>
  </si>
  <si>
    <t>Y00-1002380</t>
  </si>
  <si>
    <t>Y00-1002387</t>
  </si>
  <si>
    <t>Y00-1002411</t>
  </si>
  <si>
    <t>Y00-1002530</t>
  </si>
  <si>
    <t>Y00-1002535</t>
  </si>
  <si>
    <t>Y00-1008123</t>
  </si>
  <si>
    <t>Y00-1008127</t>
  </si>
  <si>
    <t>Y00-1008129</t>
  </si>
  <si>
    <t>Y11-983849</t>
  </si>
  <si>
    <t>Y15-212170</t>
  </si>
  <si>
    <t>C01-995917</t>
  </si>
  <si>
    <t>C01-995918</t>
  </si>
  <si>
    <t>D00-1011048</t>
  </si>
  <si>
    <t>D00-1011056</t>
  </si>
  <si>
    <t>D00-1011081</t>
  </si>
  <si>
    <t>D00-1011165</t>
  </si>
  <si>
    <t>D00-1011166</t>
  </si>
  <si>
    <t>D00-1011481</t>
  </si>
  <si>
    <t>D00-1011495</t>
  </si>
  <si>
    <t>D00-1017205</t>
  </si>
  <si>
    <t>D00-1017214</t>
  </si>
  <si>
    <t>D00-1017239</t>
  </si>
  <si>
    <t>D00-1017285</t>
  </si>
  <si>
    <t>D00-1017520</t>
  </si>
  <si>
    <t>D70-1004824</t>
  </si>
  <si>
    <t>D70-1010706</t>
  </si>
  <si>
    <t>F02-996590</t>
  </si>
  <si>
    <t>F04-975995</t>
  </si>
  <si>
    <t>F04-981598</t>
  </si>
  <si>
    <t>F10-996385</t>
  </si>
  <si>
    <t>G00-996894</t>
  </si>
  <si>
    <t>G00-996895</t>
  </si>
  <si>
    <t>G05-963969</t>
  </si>
  <si>
    <t>G05-963992</t>
  </si>
  <si>
    <t>G11-993978</t>
  </si>
  <si>
    <t>G11-999023</t>
  </si>
  <si>
    <t>H00-1001255</t>
  </si>
  <si>
    <t>H00-1001266</t>
  </si>
  <si>
    <t>H00-1001270</t>
  </si>
  <si>
    <t>L00-1017458</t>
  </si>
  <si>
    <t>L00-1017459</t>
  </si>
  <si>
    <t>L00-1017460</t>
  </si>
  <si>
    <t>L00-1017561</t>
  </si>
  <si>
    <t>L00-1017611</t>
  </si>
  <si>
    <t>L00-1017616</t>
  </si>
  <si>
    <t>L00-1017637</t>
  </si>
  <si>
    <t>L00-1017644</t>
  </si>
  <si>
    <t>L00-1017664</t>
  </si>
  <si>
    <t>L00-1017679</t>
  </si>
  <si>
    <t>L00-1017711</t>
  </si>
  <si>
    <t>L00-1017750</t>
  </si>
  <si>
    <t>L00-1017775</t>
  </si>
  <si>
    <t>L00-1017786</t>
  </si>
  <si>
    <t>L00-1018001</t>
  </si>
  <si>
    <t>L00-1018615</t>
  </si>
  <si>
    <t>L00-1018677</t>
  </si>
  <si>
    <t>L00-1018692</t>
  </si>
  <si>
    <t>L00-1024583</t>
  </si>
  <si>
    <t>L00-1024592</t>
  </si>
  <si>
    <t>L01-999464</t>
  </si>
  <si>
    <t>L06-994588</t>
  </si>
  <si>
    <t>L06-994601</t>
  </si>
  <si>
    <t>L06-994603</t>
  </si>
  <si>
    <t>L06-994664</t>
  </si>
  <si>
    <t>L07-978369</t>
  </si>
  <si>
    <t>L07-978380</t>
  </si>
  <si>
    <t>L12-370246</t>
  </si>
  <si>
    <t>M00-1000080</t>
  </si>
  <si>
    <t>M00-1000108</t>
  </si>
  <si>
    <t>M00-1000231</t>
  </si>
  <si>
    <t>M05-1000910</t>
  </si>
  <si>
    <t>M05-1000911</t>
  </si>
  <si>
    <t>M05-1000913</t>
  </si>
  <si>
    <t>M05-1000944</t>
  </si>
  <si>
    <t>M05-1000966</t>
  </si>
  <si>
    <t>M11-919335</t>
  </si>
  <si>
    <t>M14-980834</t>
  </si>
  <si>
    <t>M17-582327</t>
  </si>
  <si>
    <t>M20-1002604</t>
  </si>
  <si>
    <t>M20-1002633</t>
  </si>
  <si>
    <t>M20-1008318</t>
  </si>
  <si>
    <t>MCC-28</t>
  </si>
  <si>
    <t>MS1-999219</t>
  </si>
  <si>
    <t>MS1-999223</t>
  </si>
  <si>
    <t>MS1-1004746</t>
  </si>
  <si>
    <t>P00-996286</t>
  </si>
  <si>
    <t>P00-1002002</t>
  </si>
  <si>
    <t>P01-998236</t>
  </si>
  <si>
    <t>P01-998245</t>
  </si>
  <si>
    <t>P01-998262</t>
  </si>
  <si>
    <t>P06-997062</t>
  </si>
  <si>
    <t>Q00-999523</t>
  </si>
  <si>
    <t>Q02-930657</t>
  </si>
  <si>
    <t>Q02-930666</t>
  </si>
  <si>
    <t>Q02-930678</t>
  </si>
  <si>
    <t>Q02-930792</t>
  </si>
  <si>
    <t>T02-998360</t>
  </si>
  <si>
    <t>T02-998365</t>
  </si>
  <si>
    <t>Y00-1002342</t>
  </si>
  <si>
    <t>Y01-811281</t>
  </si>
  <si>
    <t>Y11-983846</t>
  </si>
  <si>
    <t>C00-999436</t>
  </si>
  <si>
    <t>C00-999437</t>
  </si>
  <si>
    <t>C00-1004530</t>
  </si>
  <si>
    <t>D00-1010858</t>
  </si>
  <si>
    <t>D00-1011029</t>
  </si>
  <si>
    <t>D00-1011101</t>
  </si>
  <si>
    <t>D00-1011169</t>
  </si>
  <si>
    <t>D00-1011170</t>
  </si>
  <si>
    <t>D00-1011435</t>
  </si>
  <si>
    <t>D00-1011496</t>
  </si>
  <si>
    <t>D00-1017207</t>
  </si>
  <si>
    <t>D00-1017267</t>
  </si>
  <si>
    <t>D70-1004772</t>
  </si>
  <si>
    <t>D70-1004785</t>
  </si>
  <si>
    <t>D70-1004786</t>
  </si>
  <si>
    <t>D70-1004787</t>
  </si>
  <si>
    <t>D70-1004788</t>
  </si>
  <si>
    <t>D70-1004850</t>
  </si>
  <si>
    <t>D70-1004860</t>
  </si>
  <si>
    <t>D70-1004878</t>
  </si>
  <si>
    <t>D70-1004909</t>
  </si>
  <si>
    <t>D70-1004927</t>
  </si>
  <si>
    <t>D70-1005071</t>
  </si>
  <si>
    <t>G05-963978</t>
  </si>
  <si>
    <t>G05-964014</t>
  </si>
  <si>
    <t>G11-993974</t>
  </si>
  <si>
    <t>H00-1001258</t>
  </si>
  <si>
    <t>L00-1017525</t>
  </si>
  <si>
    <t>L00-1017560</t>
  </si>
  <si>
    <t>L00-1017562</t>
  </si>
  <si>
    <t>L00-1017671</t>
  </si>
  <si>
    <t>L00-1017752</t>
  </si>
  <si>
    <t>L00-1017753</t>
  </si>
  <si>
    <t>L00-1017769</t>
  </si>
  <si>
    <t>L00-1017795</t>
  </si>
  <si>
    <t>L00-1018104</t>
  </si>
  <si>
    <t>L00-1024584</t>
  </si>
  <si>
    <t>L00-1024590</t>
  </si>
  <si>
    <t>L01-999503</t>
  </si>
  <si>
    <t>L01-999504</t>
  </si>
  <si>
    <t>L01-999505</t>
  </si>
  <si>
    <t>L06-994569</t>
  </si>
  <si>
    <t>L06-994581</t>
  </si>
  <si>
    <t>L06-994596</t>
  </si>
  <si>
    <t>L06-994602</t>
  </si>
  <si>
    <t>L06-994618</t>
  </si>
  <si>
    <t>L06-994638</t>
  </si>
  <si>
    <t>L06-994759</t>
  </si>
  <si>
    <t>L06-994765</t>
  </si>
  <si>
    <t>L06-994771</t>
  </si>
  <si>
    <t>L06-999829</t>
  </si>
  <si>
    <t>L06-1000340</t>
  </si>
  <si>
    <t>L06-1000354</t>
  </si>
  <si>
    <t>L06-1000357</t>
  </si>
  <si>
    <t>L07-978405</t>
  </si>
  <si>
    <t>L07-978462</t>
  </si>
  <si>
    <t>L07-978472</t>
  </si>
  <si>
    <t>M05-1000927</t>
  </si>
  <si>
    <t>M11-919331</t>
  </si>
  <si>
    <t>M11-924945</t>
  </si>
  <si>
    <t>M20-1002611</t>
  </si>
  <si>
    <t>M20-1002612</t>
  </si>
  <si>
    <t>M20-1002652</t>
  </si>
  <si>
    <t>P00-996283</t>
  </si>
  <si>
    <t>P00-996292</t>
  </si>
  <si>
    <t>P00-996451</t>
  </si>
  <si>
    <t>P01-998226</t>
  </si>
  <si>
    <t>P06-997069</t>
  </si>
  <si>
    <t>P07-995086</t>
  </si>
  <si>
    <t>Q00-999515</t>
  </si>
  <si>
    <t>Q00-999517</t>
  </si>
  <si>
    <t>Q02-930638</t>
  </si>
  <si>
    <t>Q02-930641</t>
  </si>
  <si>
    <t>Q02-930644</t>
  </si>
  <si>
    <t>Q02-930680</t>
  </si>
  <si>
    <t>Y00-1002314</t>
  </si>
  <si>
    <t>Y00-1002385</t>
  </si>
  <si>
    <t>Y00-1002425</t>
  </si>
  <si>
    <t>Y00-1002426</t>
  </si>
  <si>
    <t>Y00-1002538</t>
  </si>
  <si>
    <t>Y01-811274</t>
  </si>
  <si>
    <t>Y01-811275</t>
  </si>
  <si>
    <t>Y11-983838</t>
  </si>
  <si>
    <t>Y11-983841</t>
  </si>
  <si>
    <t>C01-995867</t>
  </si>
  <si>
    <t>D00-1010857</t>
  </si>
  <si>
    <t>D00-1011060</t>
  </si>
  <si>
    <t>D00-1011416</t>
  </si>
  <si>
    <t>D70-1004775</t>
  </si>
  <si>
    <t>D70-1005063</t>
  </si>
  <si>
    <t>F04-976048</t>
  </si>
  <si>
    <t>G00-996903</t>
  </si>
  <si>
    <t>G05-963979</t>
  </si>
  <si>
    <t>G05-963988</t>
  </si>
  <si>
    <t>H00-1001271</t>
  </si>
  <si>
    <t>H00-1001279</t>
  </si>
  <si>
    <t>H00-1001280</t>
  </si>
  <si>
    <t>H01-993402</t>
  </si>
  <si>
    <t>H01-993421</t>
  </si>
  <si>
    <t>H01-993452</t>
  </si>
  <si>
    <t>H01-998976</t>
  </si>
  <si>
    <t>L00-1017461</t>
  </si>
  <si>
    <t>L00-1017475</t>
  </si>
  <si>
    <t>L00-1017485</t>
  </si>
  <si>
    <t>L00-1017502</t>
  </si>
  <si>
    <t>L00-1017677</t>
  </si>
  <si>
    <t>L00-1017683</t>
  </si>
  <si>
    <t>L00-1017704</t>
  </si>
  <si>
    <t>L00-1017739</t>
  </si>
  <si>
    <t>L00-1017768</t>
  </si>
  <si>
    <t>L00-1017851</t>
  </si>
  <si>
    <t>L00-1017853</t>
  </si>
  <si>
    <t>L01-999462</t>
  </si>
  <si>
    <t>L01-999490</t>
  </si>
  <si>
    <t>L01-999501</t>
  </si>
  <si>
    <t>L06-994560</t>
  </si>
  <si>
    <t>L06-994579</t>
  </si>
  <si>
    <t>L06-994592</t>
  </si>
  <si>
    <t>L06-994595</t>
  </si>
  <si>
    <t>L06-994639</t>
  </si>
  <si>
    <t>L07-978402</t>
  </si>
  <si>
    <t>M00-1000124</t>
  </si>
  <si>
    <t>M20-1002639</t>
  </si>
  <si>
    <t>M20-1002640</t>
  </si>
  <si>
    <t>M20-1002651</t>
  </si>
  <si>
    <t>M20-1008424</t>
  </si>
  <si>
    <t>MC1-998709</t>
  </si>
  <si>
    <t>MC1-998711</t>
  </si>
  <si>
    <t>MS1-999220</t>
  </si>
  <si>
    <t>P00-996267</t>
  </si>
  <si>
    <t>P00-996274</t>
  </si>
  <si>
    <t>P00-996312</t>
  </si>
  <si>
    <t>P00-996324</t>
  </si>
  <si>
    <t>P00-1002088</t>
  </si>
  <si>
    <t>P01-998238</t>
  </si>
  <si>
    <t>P07-995092</t>
  </si>
  <si>
    <t>Q02-930647</t>
  </si>
  <si>
    <t>Q02-930656</t>
  </si>
  <si>
    <t>Q02-930683</t>
  </si>
  <si>
    <t>Q02-930699</t>
  </si>
  <si>
    <t>Q02-930777</t>
  </si>
  <si>
    <t>T00-999375</t>
  </si>
  <si>
    <t>Y00-1002332</t>
  </si>
  <si>
    <t>Y00-1002336</t>
  </si>
  <si>
    <t>Y00-1002354</t>
  </si>
  <si>
    <t>Y00-1002386</t>
  </si>
  <si>
    <t>Y00-1002415</t>
  </si>
  <si>
    <t>Y00-1002423</t>
  </si>
  <si>
    <t>Y01-811269</t>
  </si>
  <si>
    <t>Y01-811272</t>
  </si>
  <si>
    <t>Y11-983872</t>
  </si>
  <si>
    <t>Y11-983873</t>
  </si>
  <si>
    <t>C00-999446</t>
  </si>
  <si>
    <t>C01-995892</t>
  </si>
  <si>
    <t>D00-1010912</t>
  </si>
  <si>
    <t>D00-1011039</t>
  </si>
  <si>
    <t>D00-1011077</t>
  </si>
  <si>
    <t>D00-1011080</t>
  </si>
  <si>
    <t>D00-1011098</t>
  </si>
  <si>
    <t>D00-1011100</t>
  </si>
  <si>
    <t>D00-1011112</t>
  </si>
  <si>
    <t>D00-1011168</t>
  </si>
  <si>
    <t>D00-1017163</t>
  </si>
  <si>
    <t>D70-1004767</t>
  </si>
  <si>
    <t>D70-1004768</t>
  </si>
  <si>
    <t>D70-1004807</t>
  </si>
  <si>
    <t>F10-996389</t>
  </si>
  <si>
    <t>F10-996390</t>
  </si>
  <si>
    <t>G05-963972</t>
  </si>
  <si>
    <t>G05-963991</t>
  </si>
  <si>
    <t>G05-964107</t>
  </si>
  <si>
    <t>H00-1006907</t>
  </si>
  <si>
    <t>H01-993431</t>
  </si>
  <si>
    <t>L00-1017505</t>
  </si>
  <si>
    <t>L00-1017540</t>
  </si>
  <si>
    <t>L00-1017588</t>
  </si>
  <si>
    <t>L00-1017598</t>
  </si>
  <si>
    <t>L00-1017678</t>
  </si>
  <si>
    <t>L00-1017697</t>
  </si>
  <si>
    <t>L00-1017700</t>
  </si>
  <si>
    <t>L00-1017820</t>
  </si>
  <si>
    <t>L00-1017840</t>
  </si>
  <si>
    <t>M00-1000146</t>
  </si>
  <si>
    <t>M00-1000188</t>
  </si>
  <si>
    <t>M11-919347</t>
  </si>
  <si>
    <t>M20-1002608</t>
  </si>
  <si>
    <t>M20-1002645</t>
  </si>
  <si>
    <t>M20-1002650</t>
  </si>
  <si>
    <t>MC1-998706</t>
  </si>
  <si>
    <t>MC1-998762</t>
  </si>
  <si>
    <t>P00-996335</t>
  </si>
  <si>
    <t>P00-1002089</t>
  </si>
  <si>
    <t>Q00-999516</t>
  </si>
  <si>
    <t>Q00-999521</t>
  </si>
  <si>
    <t>T00-999358</t>
  </si>
  <si>
    <t>T00-1005007</t>
  </si>
  <si>
    <t>T02-998386</t>
  </si>
  <si>
    <t>Y00-1002369</t>
  </si>
  <si>
    <t>Y01-811277</t>
  </si>
  <si>
    <t>Y10-916210</t>
  </si>
  <si>
    <t>Y11-983836</t>
  </si>
  <si>
    <t>Y11-983848</t>
  </si>
  <si>
    <t>C01-995882</t>
  </si>
  <si>
    <t>C01-995903</t>
  </si>
  <si>
    <t>C01-995905</t>
  </si>
  <si>
    <t>D00-1010871</t>
  </si>
  <si>
    <t>D00-1011017</t>
  </si>
  <si>
    <t>D00-1011043</t>
  </si>
  <si>
    <t>D70-1004773</t>
  </si>
  <si>
    <t>D70-1004780</t>
  </si>
  <si>
    <t>D70-1004781</t>
  </si>
  <si>
    <t>D70-1004782</t>
  </si>
  <si>
    <t>D70-1004790</t>
  </si>
  <si>
    <t>D70-1004825</t>
  </si>
  <si>
    <t>D70-1004826</t>
  </si>
  <si>
    <t>D70-1004831</t>
  </si>
  <si>
    <t>D70-1004842</t>
  </si>
  <si>
    <t>D70-1004844</t>
  </si>
  <si>
    <t>D70-1004854</t>
  </si>
  <si>
    <t>D70-1004858</t>
  </si>
  <si>
    <t>D70-1004859</t>
  </si>
  <si>
    <t>D70-1004872</t>
  </si>
  <si>
    <t>D70-1004891</t>
  </si>
  <si>
    <t>D70-1004920</t>
  </si>
  <si>
    <t>D70-1004935</t>
  </si>
  <si>
    <t>D70-1004936</t>
  </si>
  <si>
    <t>D70-1004942</t>
  </si>
  <si>
    <t>D70-1004948</t>
  </si>
  <si>
    <t>D70-1005069</t>
  </si>
  <si>
    <t>D70-1010683</t>
  </si>
  <si>
    <t>F02-996592</t>
  </si>
  <si>
    <t>F04-976071</t>
  </si>
  <si>
    <t>F10-996391</t>
  </si>
  <si>
    <t>G05-963989</t>
  </si>
  <si>
    <t>G05-964011</t>
  </si>
  <si>
    <t>G05-964012</t>
  </si>
  <si>
    <t>G05-964039</t>
  </si>
  <si>
    <t>G05-964040</t>
  </si>
  <si>
    <t>G22-156229</t>
  </si>
  <si>
    <t>H00-1001281</t>
  </si>
  <si>
    <t>H01-993416</t>
  </si>
  <si>
    <t>L00-1017566</t>
  </si>
  <si>
    <t>L00-1017567</t>
  </si>
  <si>
    <t>L00-1017575</t>
  </si>
  <si>
    <t>L00-1017597</t>
  </si>
  <si>
    <t>L00-1017633</t>
  </si>
  <si>
    <t>L00-1017666</t>
  </si>
  <si>
    <t>L00-1017710</t>
  </si>
  <si>
    <t>L00-1017834</t>
  </si>
  <si>
    <t>L00-1017843</t>
  </si>
  <si>
    <t>L00-1017844</t>
  </si>
  <si>
    <t>L00-1017845</t>
  </si>
  <si>
    <t>L00-1017847</t>
  </si>
  <si>
    <t>L00-1018092</t>
  </si>
  <si>
    <t>L00-1018614</t>
  </si>
  <si>
    <t>L01-999456</t>
  </si>
  <si>
    <t>L01-999477</t>
  </si>
  <si>
    <t>L06-994566</t>
  </si>
  <si>
    <t>L07-978371</t>
  </si>
  <si>
    <t>M17-582326</t>
  </si>
  <si>
    <t>M20-1002599</t>
  </si>
  <si>
    <t>M20-1002617</t>
  </si>
  <si>
    <t>M20-1002648</t>
  </si>
  <si>
    <t>M20-1002653</t>
  </si>
  <si>
    <t>M20-1002769</t>
  </si>
  <si>
    <t>M25-848867</t>
  </si>
  <si>
    <t>MC1-998715</t>
  </si>
  <si>
    <t>MH0-582250</t>
  </si>
  <si>
    <t>MH0-582251</t>
  </si>
  <si>
    <t>P00-996307</t>
  </si>
  <si>
    <t>P00-996439</t>
  </si>
  <si>
    <t>P00-996442</t>
  </si>
  <si>
    <t>P00-1001994</t>
  </si>
  <si>
    <t>P01-998227</t>
  </si>
  <si>
    <t>P07-995091</t>
  </si>
  <si>
    <t>Q00-999505</t>
  </si>
  <si>
    <t>Q00-999522</t>
  </si>
  <si>
    <t>Q02-930652</t>
  </si>
  <si>
    <t>Q02-930701</t>
  </si>
  <si>
    <t>T00-999352</t>
  </si>
  <si>
    <t>Y00-1002333</t>
  </si>
  <si>
    <t>Y00-1002334</t>
  </si>
  <si>
    <t>Y00-1002335</t>
  </si>
  <si>
    <t>Y00-1002355</t>
  </si>
  <si>
    <t>Y00-1002388</t>
  </si>
  <si>
    <t>Y00-1002407</t>
  </si>
  <si>
    <t>Y00-1002408</t>
  </si>
  <si>
    <t>Y00-1002409</t>
  </si>
  <si>
    <t>Y00-1002416</t>
  </si>
  <si>
    <t>Y00-1002523</t>
  </si>
  <si>
    <t>Y11-983853</t>
  </si>
  <si>
    <t>C00-999499</t>
  </si>
  <si>
    <t>C01-995865</t>
  </si>
  <si>
    <t>C01-995866</t>
  </si>
  <si>
    <t>C01-995889</t>
  </si>
  <si>
    <t>C01-995890</t>
  </si>
  <si>
    <t>C01-995891</t>
  </si>
  <si>
    <t>D00-1010890</t>
  </si>
  <si>
    <t>D00-1010891</t>
  </si>
  <si>
    <t>D00-1010907</t>
  </si>
  <si>
    <t>D00-1010908</t>
  </si>
  <si>
    <t>D00-1010965</t>
  </si>
  <si>
    <t>D00-1011032</t>
  </si>
  <si>
    <t>D00-1011033</t>
  </si>
  <si>
    <t>D00-1011050</t>
  </si>
  <si>
    <t>D00-1011057</t>
  </si>
  <si>
    <t>D00-1011083</t>
  </si>
  <si>
    <t>D00-1011097</t>
  </si>
  <si>
    <t>D00-1011107</t>
  </si>
  <si>
    <t>D00-1011117</t>
  </si>
  <si>
    <t>D00-1011118</t>
  </si>
  <si>
    <t>D00-1011119</t>
  </si>
  <si>
    <t>D00-1011172</t>
  </si>
  <si>
    <t>D00-1011173</t>
  </si>
  <si>
    <t>D00-1011461</t>
  </si>
  <si>
    <t>D00-1017324</t>
  </si>
  <si>
    <t>D00-1017492</t>
  </si>
  <si>
    <t>D00-1017499</t>
  </si>
  <si>
    <t>D70-1004762</t>
  </si>
  <si>
    <t>D70-1004813</t>
  </si>
  <si>
    <t>D70-1004814</t>
  </si>
  <si>
    <t>D70-1004817</t>
  </si>
  <si>
    <t>D70-1004828</t>
  </si>
  <si>
    <t>D70-1004849</t>
  </si>
  <si>
    <t>D70-1004855</t>
  </si>
  <si>
    <t>D70-1004890</t>
  </si>
  <si>
    <t>D70-1005062</t>
  </si>
  <si>
    <t>E00-996389</t>
  </si>
  <si>
    <t>E00-996393</t>
  </si>
  <si>
    <t>F02-996589</t>
  </si>
  <si>
    <t>F02-996598</t>
  </si>
  <si>
    <t>F04-975973</t>
  </si>
  <si>
    <t>G00-996888</t>
  </si>
  <si>
    <t>G11-999527</t>
  </si>
  <si>
    <t>H00-1001259</t>
  </si>
  <si>
    <t>H00-1001269</t>
  </si>
  <si>
    <t>H00-1001294</t>
  </si>
  <si>
    <t>L00-1017465</t>
  </si>
  <si>
    <t>L00-1017494</t>
  </si>
  <si>
    <t>L00-1017504</t>
  </si>
  <si>
    <t>L00-1017529</t>
  </si>
  <si>
    <t>L00-1017569</t>
  </si>
  <si>
    <t>L00-1017573</t>
  </si>
  <si>
    <t>L00-1017605</t>
  </si>
  <si>
    <t>L00-1017606</t>
  </si>
  <si>
    <t>L00-1017607</t>
  </si>
  <si>
    <t>L00-1017608</t>
  </si>
  <si>
    <t>L00-1017615</t>
  </si>
  <si>
    <t>L00-1017634</t>
  </si>
  <si>
    <t>L00-1017721</t>
  </si>
  <si>
    <t>L00-1017774</t>
  </si>
  <si>
    <t>L00-1017793</t>
  </si>
  <si>
    <t>L00-1017818</t>
  </si>
  <si>
    <t>L00-1017856</t>
  </si>
  <si>
    <t>L00-1018027</t>
  </si>
  <si>
    <t>L00-1018050</t>
  </si>
  <si>
    <t>L00-1018051</t>
  </si>
  <si>
    <t>L00-1018052</t>
  </si>
  <si>
    <t>L00-1018060</t>
  </si>
  <si>
    <t>L00-1018061</t>
  </si>
  <si>
    <t>L00-1018063</t>
  </si>
  <si>
    <t>L00-1018070</t>
  </si>
  <si>
    <t>L01-999471</t>
  </si>
  <si>
    <t>L01-999479</t>
  </si>
  <si>
    <t>L01-999480</t>
  </si>
  <si>
    <t>L01-999481</t>
  </si>
  <si>
    <t>L01-999482</t>
  </si>
  <si>
    <t>L01-999483</t>
  </si>
  <si>
    <t>L01-999499</t>
  </si>
  <si>
    <t>L01-999502</t>
  </si>
  <si>
    <t>L01-999576</t>
  </si>
  <si>
    <t>L01-999577</t>
  </si>
  <si>
    <t>L01-999578</t>
  </si>
  <si>
    <t>L06-994563</t>
  </si>
  <si>
    <t>L06-994570</t>
  </si>
  <si>
    <t>L06-994573</t>
  </si>
  <si>
    <t>L06-994594</t>
  </si>
  <si>
    <t>L06-994625</t>
  </si>
  <si>
    <t>L06-994626</t>
  </si>
  <si>
    <t>L06-994654</t>
  </si>
  <si>
    <t>M00-1000110</t>
  </si>
  <si>
    <t>M00-1000120</t>
  </si>
  <si>
    <t>M00-1000128</t>
  </si>
  <si>
    <t>M00-1000164</t>
  </si>
  <si>
    <t>M00-1000233</t>
  </si>
  <si>
    <t>M05-1000918</t>
  </si>
  <si>
    <t>M14-980838</t>
  </si>
  <si>
    <t>M14-980883</t>
  </si>
  <si>
    <t>M17-582340</t>
  </si>
  <si>
    <t>M20-1002602</t>
  </si>
  <si>
    <t>M20-1002613</t>
  </si>
  <si>
    <t>M20-1002630</t>
  </si>
  <si>
    <t>M20-1002649</t>
  </si>
  <si>
    <t>M20-1002674</t>
  </si>
  <si>
    <t>M20-1002678</t>
  </si>
  <si>
    <t>M20-1002766</t>
  </si>
  <si>
    <t>M20-1008333</t>
  </si>
  <si>
    <t>MC1-998717</t>
  </si>
  <si>
    <t>MH0-582247</t>
  </si>
  <si>
    <t>MH0-582248</t>
  </si>
  <si>
    <t>P00-996281</t>
  </si>
  <si>
    <t>Q00-999502</t>
  </si>
  <si>
    <t>Q00-999504</t>
  </si>
  <si>
    <t>Q02-930637</t>
  </si>
  <si>
    <t>Q02-930648</t>
  </si>
  <si>
    <t>Q02-930651</t>
  </si>
  <si>
    <t>Q02-930677</t>
  </si>
  <si>
    <t>S00-993926</t>
  </si>
  <si>
    <t>T02-998351</t>
  </si>
  <si>
    <t>Y00-1002321</t>
  </si>
  <si>
    <t>Y00-1002344</t>
  </si>
  <si>
    <t>Y00-1002345</t>
  </si>
  <si>
    <t>Y00-1002371</t>
  </si>
  <si>
    <t>Y00-1002374</t>
  </si>
  <si>
    <t>Y01-811270</t>
  </si>
  <si>
    <t>Y01-811283</t>
  </si>
  <si>
    <t>Y11-983837</t>
  </si>
  <si>
    <t>Y11-983839</t>
  </si>
  <si>
    <t>Y11-983847</t>
  </si>
  <si>
    <t>C00-999452</t>
  </si>
  <si>
    <t>C00-999473</t>
  </si>
  <si>
    <t>C01-995923</t>
  </si>
  <si>
    <t>C01-995964</t>
  </si>
  <si>
    <t>C01-995998</t>
  </si>
  <si>
    <t>C01-995999</t>
  </si>
  <si>
    <t>D00-1011186</t>
  </si>
  <si>
    <t>D00-1011206</t>
  </si>
  <si>
    <t>D00-1011207</t>
  </si>
  <si>
    <t>D00-1011208</t>
  </si>
  <si>
    <t>D00-1011209</t>
  </si>
  <si>
    <t>D00-1011210</t>
  </si>
  <si>
    <t>D00-1011220</t>
  </si>
  <si>
    <t>D00-1011221</t>
  </si>
  <si>
    <t>D00-1011222</t>
  </si>
  <si>
    <t>D00-1011223</t>
  </si>
  <si>
    <t>D00-1011228</t>
  </si>
  <si>
    <t>D00-1011229</t>
  </si>
  <si>
    <t>D00-1011245</t>
  </si>
  <si>
    <t>D00-1011260</t>
  </si>
  <si>
    <t>D00-1011267</t>
  </si>
  <si>
    <t>D00-1011290</t>
  </si>
  <si>
    <t>D00-1011304</t>
  </si>
  <si>
    <t>D00-1011305</t>
  </si>
  <si>
    <t>D00-1011309</t>
  </si>
  <si>
    <t>D00-1011310</t>
  </si>
  <si>
    <t>D00-1011312</t>
  </si>
  <si>
    <t>D00-1011315</t>
  </si>
  <si>
    <t>D00-1011316</t>
  </si>
  <si>
    <t>D00-1011318</t>
  </si>
  <si>
    <t>D00-1011319</t>
  </si>
  <si>
    <t>D00-1011325</t>
  </si>
  <si>
    <t>D00-1011326</t>
  </si>
  <si>
    <t>D00-1011328</t>
  </si>
  <si>
    <t>D00-1011331</t>
  </si>
  <si>
    <t>D00-1011336</t>
  </si>
  <si>
    <t>D00-1011343</t>
  </si>
  <si>
    <t>D00-1011353</t>
  </si>
  <si>
    <t>D00-1011363</t>
  </si>
  <si>
    <t>D00-1011368</t>
  </si>
  <si>
    <t>D00-1011372</t>
  </si>
  <si>
    <t>D00-1011383</t>
  </si>
  <si>
    <t>D00-1011388</t>
  </si>
  <si>
    <t>D00-1011389</t>
  </si>
  <si>
    <t>D00-1011393</t>
  </si>
  <si>
    <t>D00-1011396</t>
  </si>
  <si>
    <t>D00-1011398</t>
  </si>
  <si>
    <t>D00-1011400</t>
  </si>
  <si>
    <t>D00-1011402</t>
  </si>
  <si>
    <t>D00-1011404</t>
  </si>
  <si>
    <t>D00-1011431</t>
  </si>
  <si>
    <t>D00-1011445</t>
  </si>
  <si>
    <t>D00-1011447</t>
  </si>
  <si>
    <t>D00-1017201</t>
  </si>
  <si>
    <t>D00-1017213</t>
  </si>
  <si>
    <t>D00-1017237</t>
  </si>
  <si>
    <t>D00-1017283</t>
  </si>
  <si>
    <t>D00-1017299</t>
  </si>
  <si>
    <t>D00-1017300</t>
  </si>
  <si>
    <t>D70-1004930</t>
  </si>
  <si>
    <t>D70-1004931</t>
  </si>
  <si>
    <t>D70-1004932</t>
  </si>
  <si>
    <t>D70-1004933</t>
  </si>
  <si>
    <t>D70-1004937</t>
  </si>
  <si>
    <t>D70-1004991</t>
  </si>
  <si>
    <t>D70-1004992</t>
  </si>
  <si>
    <t>D70-1005002</t>
  </si>
  <si>
    <t>D70-1005006</t>
  </si>
  <si>
    <t>D70-1005007</t>
  </si>
  <si>
    <t>D70-1005008</t>
  </si>
  <si>
    <t>D70-1005015</t>
  </si>
  <si>
    <t>D70-1005022</t>
  </si>
  <si>
    <t>D70-1005023</t>
  </si>
  <si>
    <t>D70-1005024</t>
  </si>
  <si>
    <t>D70-1005026</t>
  </si>
  <si>
    <t>D70-1005030</t>
  </si>
  <si>
    <t>D70-1005084</t>
  </si>
  <si>
    <t>F02-996604</t>
  </si>
  <si>
    <t>F02-996611</t>
  </si>
  <si>
    <t>F02-996625</t>
  </si>
  <si>
    <t>F02-996628</t>
  </si>
  <si>
    <t>F04-976020</t>
  </si>
  <si>
    <t>F04-976027</t>
  </si>
  <si>
    <t>F04-976028</t>
  </si>
  <si>
    <t>F04-976046</t>
  </si>
  <si>
    <t>F04-976072</t>
  </si>
  <si>
    <t>F04-981652</t>
  </si>
  <si>
    <t>G00-996914</t>
  </si>
  <si>
    <t>G00-996916</t>
  </si>
  <si>
    <t>G05-964079</t>
  </si>
  <si>
    <t>H00-1006909</t>
  </si>
  <si>
    <t>L00-1018097</t>
  </si>
  <si>
    <t>L00-1018150</t>
  </si>
  <si>
    <t>L00-1018168</t>
  </si>
  <si>
    <t>L00-1018175</t>
  </si>
  <si>
    <t>L00-1018185</t>
  </si>
  <si>
    <t>L00-1018218</t>
  </si>
  <si>
    <t>L00-1018227</t>
  </si>
  <si>
    <t>L00-1018259</t>
  </si>
  <si>
    <t>L00-1018261</t>
  </si>
  <si>
    <t>L00-1018265</t>
  </si>
  <si>
    <t>L00-1018389</t>
  </si>
  <si>
    <t>L00-1018399</t>
  </si>
  <si>
    <t>L00-1018400</t>
  </si>
  <si>
    <t>L00-1018408</t>
  </si>
  <si>
    <t>L00-1018414</t>
  </si>
  <si>
    <t>L00-1018457</t>
  </si>
  <si>
    <t>L00-1018460</t>
  </si>
  <si>
    <t>L00-1018484</t>
  </si>
  <si>
    <t>L00-1018494</t>
  </si>
  <si>
    <t>L00-1018525</t>
  </si>
  <si>
    <t>L00-1018632</t>
  </si>
  <si>
    <t>L00-1018646</t>
  </si>
  <si>
    <t>L00-1018654</t>
  </si>
  <si>
    <t>L00-1024558</t>
  </si>
  <si>
    <t>L00-1024642</t>
  </si>
  <si>
    <t>L00-1024646</t>
  </si>
  <si>
    <t>L01-999528</t>
  </si>
  <si>
    <t>L01-999541</t>
  </si>
  <si>
    <t>L01-999542</t>
  </si>
  <si>
    <t>L01-999544</t>
  </si>
  <si>
    <t>L01-999548</t>
  </si>
  <si>
    <t>L01-999560</t>
  </si>
  <si>
    <t>L01-999579</t>
  </si>
  <si>
    <t>L06-994666</t>
  </si>
  <si>
    <t>L06-994675</t>
  </si>
  <si>
    <t>L06-994676</t>
  </si>
  <si>
    <t>L06-994697</t>
  </si>
  <si>
    <t>L06-994713</t>
  </si>
  <si>
    <t>L06-994717</t>
  </si>
  <si>
    <t>L06-994730</t>
  </si>
  <si>
    <t>L06-994752</t>
  </si>
  <si>
    <t>L07-978440</t>
  </si>
  <si>
    <t>M00-1000215</t>
  </si>
  <si>
    <t>M00-1000237</t>
  </si>
  <si>
    <t>M05-1000961</t>
  </si>
  <si>
    <t>M05-1006474</t>
  </si>
  <si>
    <t>M11-919348</t>
  </si>
  <si>
    <t>M11-919356</t>
  </si>
  <si>
    <t>M11-919361</t>
  </si>
  <si>
    <t>M11-919368</t>
  </si>
  <si>
    <t>M11-924903</t>
  </si>
  <si>
    <t>M11-924906</t>
  </si>
  <si>
    <t>M14-980886</t>
  </si>
  <si>
    <t>M17-582334</t>
  </si>
  <si>
    <t>M20-1008323</t>
  </si>
  <si>
    <t>MC1-998747</t>
  </si>
  <si>
    <t>MC1-998748</t>
  </si>
  <si>
    <t>MC1-998749</t>
  </si>
  <si>
    <t>MH0-582252</t>
  </si>
  <si>
    <t>MH0-582253</t>
  </si>
  <si>
    <t>MH0-582256</t>
  </si>
  <si>
    <t>MH0-587761</t>
  </si>
  <si>
    <t>MS5-913882</t>
  </si>
  <si>
    <t>MS5-913887</t>
  </si>
  <si>
    <t>P00-996378</t>
  </si>
  <si>
    <t>P00-996394</t>
  </si>
  <si>
    <t>P00-996395</t>
  </si>
  <si>
    <t>P00-996427</t>
  </si>
  <si>
    <t>P00-996432</t>
  </si>
  <si>
    <t>P00-1002013</t>
  </si>
  <si>
    <t>P00-1002014</t>
  </si>
  <si>
    <t>P07-995108</t>
  </si>
  <si>
    <t>P07-995109</t>
  </si>
  <si>
    <t>P07-995110</t>
  </si>
  <si>
    <t>P08-356203</t>
  </si>
  <si>
    <t>P09-157172</t>
  </si>
  <si>
    <t>Q00-999579</t>
  </si>
  <si>
    <t>Q00-999590</t>
  </si>
  <si>
    <t>Q00-999601</t>
  </si>
  <si>
    <t>Q02-930728</t>
  </si>
  <si>
    <t>Q02-930738</t>
  </si>
  <si>
    <t>Q02-930752</t>
  </si>
  <si>
    <t>T00-999388</t>
  </si>
  <si>
    <t>T00-999396</t>
  </si>
  <si>
    <t>T00-999399</t>
  </si>
  <si>
    <t>T00-999400</t>
  </si>
  <si>
    <t>T00-999411</t>
  </si>
  <si>
    <t>T00-999417</t>
  </si>
  <si>
    <t>T00-1005004</t>
  </si>
  <si>
    <t>T02-998383</t>
  </si>
  <si>
    <t>Y00-1002436</t>
  </si>
  <si>
    <t>Y00-1002439</t>
  </si>
  <si>
    <t>Y00-1002442</t>
  </si>
  <si>
    <t>Y00-1002443</t>
  </si>
  <si>
    <t>Y00-1002474</t>
  </si>
  <si>
    <t>Y00-1002475</t>
  </si>
  <si>
    <t>Y00-1002481</t>
  </si>
  <si>
    <t>Y00-1002493</t>
  </si>
  <si>
    <t>Y00-1002497</t>
  </si>
  <si>
    <t>Y00-1002502</t>
  </si>
  <si>
    <t>Y00-1002524</t>
  </si>
  <si>
    <t>Y01-811306</t>
  </si>
  <si>
    <t>Y01-811307</t>
  </si>
  <si>
    <t>Y01-811323</t>
  </si>
  <si>
    <t>Y02-993463</t>
  </si>
  <si>
    <t>Y10-916216</t>
  </si>
  <si>
    <t>Y11-983856</t>
  </si>
  <si>
    <t>Y11-983857</t>
  </si>
  <si>
    <t>Y17-862338</t>
  </si>
  <si>
    <t>C00-999457</t>
  </si>
  <si>
    <t>D00-1017198</t>
  </si>
  <si>
    <t>D70-1004955</t>
  </si>
  <si>
    <t>D70-1005025</t>
  </si>
  <si>
    <t>D70-1010682</t>
  </si>
  <si>
    <t>G05-964087</t>
  </si>
  <si>
    <t>G11-993984</t>
  </si>
  <si>
    <t>G11-993992</t>
  </si>
  <si>
    <t>G11-993993</t>
  </si>
  <si>
    <t>G11-999524</t>
  </si>
  <si>
    <t>G11-999525</t>
  </si>
  <si>
    <t>G11-999526</t>
  </si>
  <si>
    <t>G11-999556</t>
  </si>
  <si>
    <t>G11-999557</t>
  </si>
  <si>
    <t>H00-1001305</t>
  </si>
  <si>
    <t>H00-1001342</t>
  </si>
  <si>
    <t>H01-993448</t>
  </si>
  <si>
    <t>L00-1018075</t>
  </si>
  <si>
    <t>L00-1018135</t>
  </si>
  <si>
    <t>L00-1018136</t>
  </si>
  <si>
    <t>L00-1018172</t>
  </si>
  <si>
    <t>L00-1018214</t>
  </si>
  <si>
    <t>L00-1018230</t>
  </si>
  <si>
    <t>L00-1018324</t>
  </si>
  <si>
    <t>L00-1018335</t>
  </si>
  <si>
    <t>L00-1018363</t>
  </si>
  <si>
    <t>L00-1018402</t>
  </si>
  <si>
    <t>L00-1018403</t>
  </si>
  <si>
    <t>L00-1018536</t>
  </si>
  <si>
    <t>L00-1018676</t>
  </si>
  <si>
    <t>L00-1018679</t>
  </si>
  <si>
    <t>L00-1018683</t>
  </si>
  <si>
    <t>L00-1024007</t>
  </si>
  <si>
    <t>L00-1024541</t>
  </si>
  <si>
    <t>L00-1024546</t>
  </si>
  <si>
    <t>L00-1024547</t>
  </si>
  <si>
    <t>L00-1024548</t>
  </si>
  <si>
    <t>L00-1024650</t>
  </si>
  <si>
    <t>L06-994691</t>
  </si>
  <si>
    <t>L06-994722</t>
  </si>
  <si>
    <t>L06-994735</t>
  </si>
  <si>
    <t>L06-994739</t>
  </si>
  <si>
    <t>L07-978441</t>
  </si>
  <si>
    <t>L07-978473</t>
  </si>
  <si>
    <t>M11-919358</t>
  </si>
  <si>
    <t>M14-980865</t>
  </si>
  <si>
    <t>MC1-998733</t>
  </si>
  <si>
    <t>MC1-998743</t>
  </si>
  <si>
    <t>MC1-1004291</t>
  </si>
  <si>
    <t>MS1-1004744</t>
  </si>
  <si>
    <t>P00-996382</t>
  </si>
  <si>
    <t>P00-996400</t>
  </si>
  <si>
    <t>P00-996412</t>
  </si>
  <si>
    <t>P01-998249</t>
  </si>
  <si>
    <t>P01-998250</t>
  </si>
  <si>
    <t>P01-998257</t>
  </si>
  <si>
    <t>P01-1003785</t>
  </si>
  <si>
    <t>P01-1003786</t>
  </si>
  <si>
    <t>Q00-999581</t>
  </si>
  <si>
    <t>T00-999382</t>
  </si>
  <si>
    <t>T00-999401</t>
  </si>
  <si>
    <t>T00-999423</t>
  </si>
  <si>
    <t>T02-998371</t>
  </si>
  <si>
    <t>T02-998378</t>
  </si>
  <si>
    <t>T02-998380</t>
  </si>
  <si>
    <t>T02-998382</t>
  </si>
  <si>
    <t>T02-998384</t>
  </si>
  <si>
    <t>T03-999867</t>
  </si>
  <si>
    <t>Y00-1008102</t>
  </si>
  <si>
    <t>Y11-983858</t>
  </si>
  <si>
    <t>D00-1011192</t>
  </si>
  <si>
    <t>D00-1011224</t>
  </si>
  <si>
    <t>D00-1011287</t>
  </si>
  <si>
    <t>D00-1011289</t>
  </si>
  <si>
    <t>D00-1011298</t>
  </si>
  <si>
    <t>D00-1011317</t>
  </si>
  <si>
    <t>D00-1011382</t>
  </si>
  <si>
    <t>D00-1011401</t>
  </si>
  <si>
    <t>D00-1011539</t>
  </si>
  <si>
    <t>D00-1017148</t>
  </si>
  <si>
    <t>D00-1017182</t>
  </si>
  <si>
    <t>D00-1017227</t>
  </si>
  <si>
    <t>D70-1004938</t>
  </si>
  <si>
    <t>D70-1004939</t>
  </si>
  <si>
    <t>D70-1004951</t>
  </si>
  <si>
    <t>D70-1004963</t>
  </si>
  <si>
    <t>D70-1004993</t>
  </si>
  <si>
    <t>D70-1005040</t>
  </si>
  <si>
    <t>D70-1010703</t>
  </si>
  <si>
    <t>D70-1010707</t>
  </si>
  <si>
    <t>F04-976037</t>
  </si>
  <si>
    <t>F10-996396</t>
  </si>
  <si>
    <t>G05-964069</t>
  </si>
  <si>
    <t>H00-1001313</t>
  </si>
  <si>
    <t>L00-1018196</t>
  </si>
  <si>
    <t>L00-1018221</t>
  </si>
  <si>
    <t>L00-1018222</t>
  </si>
  <si>
    <t>L00-1018298</t>
  </si>
  <si>
    <t>L00-1018299</t>
  </si>
  <si>
    <t>L00-1018343</t>
  </si>
  <si>
    <t>L00-1018344</t>
  </si>
  <si>
    <t>L00-1018346</t>
  </si>
  <si>
    <t>L00-1018376</t>
  </si>
  <si>
    <t>L00-1018377</t>
  </si>
  <si>
    <t>L00-1018382</t>
  </si>
  <si>
    <t>L00-1018462</t>
  </si>
  <si>
    <t>L00-1018530</t>
  </si>
  <si>
    <t>L00-1018547</t>
  </si>
  <si>
    <t>L00-1018548</t>
  </si>
  <si>
    <t>L00-1018552</t>
  </si>
  <si>
    <t>L00-1018553</t>
  </si>
  <si>
    <t>L00-1018705</t>
  </si>
  <si>
    <t>L00-1018706</t>
  </si>
  <si>
    <t>L00-1018708</t>
  </si>
  <si>
    <t>L00-1024010</t>
  </si>
  <si>
    <t>L00-1024552</t>
  </si>
  <si>
    <t>L00-1024714</t>
  </si>
  <si>
    <t>L01-1005119</t>
  </si>
  <si>
    <t>L06-994728</t>
  </si>
  <si>
    <t>L06-994773</t>
  </si>
  <si>
    <t>M00-1000203</t>
  </si>
  <si>
    <t>M05-1000948</t>
  </si>
  <si>
    <t>M11-919355</t>
  </si>
  <si>
    <t>M11-919359</t>
  </si>
  <si>
    <t>M14-980863</t>
  </si>
  <si>
    <t>M14-980872</t>
  </si>
  <si>
    <t>M14-980874</t>
  </si>
  <si>
    <t>M14-980875</t>
  </si>
  <si>
    <t>M20-1002689</t>
  </si>
  <si>
    <t>M20-1002691</t>
  </si>
  <si>
    <t>M20-1002735</t>
  </si>
  <si>
    <t>M20-1002750</t>
  </si>
  <si>
    <t>MC1-998740</t>
  </si>
  <si>
    <t>MC1-998741</t>
  </si>
  <si>
    <t>MC1-998742</t>
  </si>
  <si>
    <t>MC1-998745</t>
  </si>
  <si>
    <t>MC1-998746</t>
  </si>
  <si>
    <t>MC1-998752</t>
  </si>
  <si>
    <t>MC1-998758</t>
  </si>
  <si>
    <t>P06-1002583</t>
  </si>
  <si>
    <t>Q00-999584</t>
  </si>
  <si>
    <t>Q00-999596</t>
  </si>
  <si>
    <t>Q00-1005134</t>
  </si>
  <si>
    <t>Q00-1005135</t>
  </si>
  <si>
    <t>Y00-1002429</t>
  </si>
  <si>
    <t>Y00-1002483</t>
  </si>
  <si>
    <t>Y01-811298</t>
  </si>
  <si>
    <t>Y11-983855</t>
  </si>
  <si>
    <t>C01-995945</t>
  </si>
  <si>
    <t>C01-995965</t>
  </si>
  <si>
    <t>C01-1001541</t>
  </si>
  <si>
    <t>D00-1011193</t>
  </si>
  <si>
    <t>D00-1011271</t>
  </si>
  <si>
    <t>D00-1011274</t>
  </si>
  <si>
    <t>D00-1011285</t>
  </si>
  <si>
    <t>D00-1011297</t>
  </si>
  <si>
    <t>D00-1011302</t>
  </si>
  <si>
    <t>D00-1011373</t>
  </si>
  <si>
    <t>D00-1011387</t>
  </si>
  <si>
    <t>D00-1017166</t>
  </si>
  <si>
    <t>D00-1017210</t>
  </si>
  <si>
    <t>D00-1017266</t>
  </si>
  <si>
    <t>D70-1004956</t>
  </si>
  <si>
    <t>D70-1004961</t>
  </si>
  <si>
    <t>D70-1004967</t>
  </si>
  <si>
    <t>D70-1004980</t>
  </si>
  <si>
    <t>D70-1005031</t>
  </si>
  <si>
    <t>D70-1005037</t>
  </si>
  <si>
    <t>D70-1005046</t>
  </si>
  <si>
    <t>D70-1010718</t>
  </si>
  <si>
    <t>G05-964070</t>
  </si>
  <si>
    <t>G05-964088</t>
  </si>
  <si>
    <t>G05-964113</t>
  </si>
  <si>
    <t>G05-969653</t>
  </si>
  <si>
    <t>H01-993445</t>
  </si>
  <si>
    <t>H01-998471</t>
  </si>
  <si>
    <t>H02-345206</t>
  </si>
  <si>
    <t>L00-1018194</t>
  </si>
  <si>
    <t>L00-1018209</t>
  </si>
  <si>
    <t>L00-1018216</t>
  </si>
  <si>
    <t>L00-1018278</t>
  </si>
  <si>
    <t>L00-1018347</t>
  </si>
  <si>
    <t>L00-1018405</t>
  </si>
  <si>
    <t>L00-1018410</t>
  </si>
  <si>
    <t>L00-1018412</t>
  </si>
  <si>
    <t>L00-1018459</t>
  </si>
  <si>
    <t>L00-1018470</t>
  </si>
  <si>
    <t>L00-1018664</t>
  </si>
  <si>
    <t>L01-999533</t>
  </si>
  <si>
    <t>L01-999534</t>
  </si>
  <si>
    <t>L01-999535</t>
  </si>
  <si>
    <t>L06-994673</t>
  </si>
  <si>
    <t>L06-994685</t>
  </si>
  <si>
    <t>L06-994700</t>
  </si>
  <si>
    <t>L06-994732</t>
  </si>
  <si>
    <t>M00-1000218</t>
  </si>
  <si>
    <t>M11-919357</t>
  </si>
  <si>
    <t>M11-919363</t>
  </si>
  <si>
    <t>M11-924902</t>
  </si>
  <si>
    <t>M11-924913</t>
  </si>
  <si>
    <t>M14-980852</t>
  </si>
  <si>
    <t>M14-980862</t>
  </si>
  <si>
    <t>M14-980866</t>
  </si>
  <si>
    <t>P06-997071</t>
  </si>
  <si>
    <t>P06-997073</t>
  </si>
  <si>
    <t>Q00-999558</t>
  </si>
  <si>
    <t>Q00-999561</t>
  </si>
  <si>
    <t>Q00-1005128</t>
  </si>
  <si>
    <t>Q02-930726</t>
  </si>
  <si>
    <t>Q02-930767</t>
  </si>
  <si>
    <t>T00-999414</t>
  </si>
  <si>
    <t>T02-1003927</t>
  </si>
  <si>
    <t>Y00-1002430</t>
  </si>
  <si>
    <t>Y01-811301</t>
  </si>
  <si>
    <t>Y01-811302</t>
  </si>
  <si>
    <t>Y17-862341</t>
  </si>
  <si>
    <t>C00-1005045</t>
  </si>
  <si>
    <t>C01-995950</t>
  </si>
  <si>
    <t>C01-995951</t>
  </si>
  <si>
    <t>C01-995952</t>
  </si>
  <si>
    <t>D00-1011348</t>
  </si>
  <si>
    <t>D00-1011421</t>
  </si>
  <si>
    <t>D70-1005004</t>
  </si>
  <si>
    <t>F04-976040</t>
  </si>
  <si>
    <t>F04-981599</t>
  </si>
  <si>
    <t>F04-981614</t>
  </si>
  <si>
    <t>G05-964066</t>
  </si>
  <si>
    <t>H01-993455</t>
  </si>
  <si>
    <t>L00-1018138</t>
  </si>
  <si>
    <t>L00-1018198</t>
  </si>
  <si>
    <t>L00-1018213</t>
  </si>
  <si>
    <t>L00-1018215</t>
  </si>
  <si>
    <t>L00-1018217</t>
  </si>
  <si>
    <t>L00-1018219</t>
  </si>
  <si>
    <t>L00-1018250</t>
  </si>
  <si>
    <t>L00-1018276</t>
  </si>
  <si>
    <t>L00-1018289</t>
  </si>
  <si>
    <t>L00-1018325</t>
  </si>
  <si>
    <t>L00-1018326</t>
  </si>
  <si>
    <t>L00-1018350</t>
  </si>
  <si>
    <t>L00-1018447</t>
  </si>
  <si>
    <t>L00-1018448</t>
  </si>
  <si>
    <t>L00-1018474</t>
  </si>
  <si>
    <t>L00-1018479</t>
  </si>
  <si>
    <t>L00-1018480</t>
  </si>
  <si>
    <t>L00-1018481</t>
  </si>
  <si>
    <t>L00-1018680</t>
  </si>
  <si>
    <t>L00-1024556</t>
  </si>
  <si>
    <t>L00-1024580</t>
  </si>
  <si>
    <t>L01-999536</t>
  </si>
  <si>
    <t>L07-984025</t>
  </si>
  <si>
    <t>L07-984028</t>
  </si>
  <si>
    <t>L07-984031</t>
  </si>
  <si>
    <t>M00-1000220</t>
  </si>
  <si>
    <t>M05-1000955</t>
  </si>
  <si>
    <t>M14-980891</t>
  </si>
  <si>
    <t>M17-587848</t>
  </si>
  <si>
    <t>M20-1002751</t>
  </si>
  <si>
    <t>M20-1002753</t>
  </si>
  <si>
    <t>M20-1002767</t>
  </si>
  <si>
    <t>M20-1008319</t>
  </si>
  <si>
    <t>M20-1008439</t>
  </si>
  <si>
    <t>MH0-582254</t>
  </si>
  <si>
    <t>MS5-913879</t>
  </si>
  <si>
    <t>P00-996423</t>
  </si>
  <si>
    <t>P00-1002003</t>
  </si>
  <si>
    <t>P07-995106</t>
  </si>
  <si>
    <t>Q02-930754</t>
  </si>
  <si>
    <t>T00-999393</t>
  </si>
  <si>
    <t>T00-999394</t>
  </si>
  <si>
    <t>T00-999395</t>
  </si>
  <si>
    <t>T00-999427</t>
  </si>
  <si>
    <t>T00-999428</t>
  </si>
  <si>
    <t>T00-1005046</t>
  </si>
  <si>
    <t>T00-1005064</t>
  </si>
  <si>
    <t>T03-999861</t>
  </si>
  <si>
    <t>Y00-1002491</t>
  </si>
  <si>
    <t>Y00-1002495</t>
  </si>
  <si>
    <t>Y11-983867</t>
  </si>
  <si>
    <t>C00-999471</t>
  </si>
  <si>
    <t>C01-995940</t>
  </si>
  <si>
    <t>C01-995955</t>
  </si>
  <si>
    <t>D00-1011286</t>
  </si>
  <si>
    <t>D00-1011303</t>
  </si>
  <si>
    <t>D00-1011354</t>
  </si>
  <si>
    <t>D00-1016635</t>
  </si>
  <si>
    <t>D00-1017147</t>
  </si>
  <si>
    <t>D00-1017517</t>
  </si>
  <si>
    <t>D00-1017541</t>
  </si>
  <si>
    <t>D00-1017590</t>
  </si>
  <si>
    <t>D70-1004988</t>
  </si>
  <si>
    <t>D70-1004989</t>
  </si>
  <si>
    <t>D70-1004994</t>
  </si>
  <si>
    <t>G05-969658</t>
  </si>
  <si>
    <t>L00-1018140</t>
  </si>
  <si>
    <t>L00-1018163</t>
  </si>
  <si>
    <t>L00-1018164</t>
  </si>
  <si>
    <t>L00-1018263</t>
  </si>
  <si>
    <t>L00-1018277</t>
  </si>
  <si>
    <t>L00-1018288</t>
  </si>
  <si>
    <t>L00-1018301</t>
  </si>
  <si>
    <t>L00-1018345</t>
  </si>
  <si>
    <t>L00-1018352</t>
  </si>
  <si>
    <t>L00-1018375</t>
  </si>
  <si>
    <t>L00-1018381</t>
  </si>
  <si>
    <t>L00-1018383</t>
  </si>
  <si>
    <t>L00-1018404</t>
  </si>
  <si>
    <t>L00-1018413</t>
  </si>
  <si>
    <t>L00-1018415</t>
  </si>
  <si>
    <t>L00-1018416</t>
  </si>
  <si>
    <t>L00-1018421</t>
  </si>
  <si>
    <t>L00-1018427</t>
  </si>
  <si>
    <t>L00-1018467</t>
  </si>
  <si>
    <t>L00-1018468</t>
  </si>
  <si>
    <t>L00-1018586</t>
  </si>
  <si>
    <t>L00-1018587</t>
  </si>
  <si>
    <t>L06-994681</t>
  </si>
  <si>
    <t>L06-994687</t>
  </si>
  <si>
    <t>L06-994724</t>
  </si>
  <si>
    <t>L06-994738</t>
  </si>
  <si>
    <t>L06-994742</t>
  </si>
  <si>
    <t>L07-978423</t>
  </si>
  <si>
    <t>L07-978432</t>
  </si>
  <si>
    <t>L07-978458</t>
  </si>
  <si>
    <t>M00-1000207</t>
  </si>
  <si>
    <t>M14-980849</t>
  </si>
  <si>
    <t>M14-980856</t>
  </si>
  <si>
    <t>M14-980892</t>
  </si>
  <si>
    <t>M20-1002713</t>
  </si>
  <si>
    <t>M20-1002714</t>
  </si>
  <si>
    <t>M20-1002725</t>
  </si>
  <si>
    <t>MC1-998731</t>
  </si>
  <si>
    <t>MS5-913875</t>
  </si>
  <si>
    <t>P00-996398</t>
  </si>
  <si>
    <t>P01-1003783</t>
  </si>
  <si>
    <t>P01-1003784</t>
  </si>
  <si>
    <t>P07-995104</t>
  </si>
  <si>
    <t>Q00-999568</t>
  </si>
  <si>
    <t>Q02-930759</t>
  </si>
  <si>
    <t>T00-999397</t>
  </si>
  <si>
    <t>T00-999420</t>
  </si>
  <si>
    <t>Y00-1002453</t>
  </si>
  <si>
    <t>Y01-811310</t>
  </si>
  <si>
    <t>Y01-816838</t>
  </si>
  <si>
    <t>D00-1010981</t>
  </si>
  <si>
    <t>D00-1010982</t>
  </si>
  <si>
    <t>D00-1010988</t>
  </si>
  <si>
    <t>D00-1011225</t>
  </si>
  <si>
    <t>D00-1011246</t>
  </si>
  <si>
    <t>D00-1011273</t>
  </si>
  <si>
    <t>D00-1011344</t>
  </si>
  <si>
    <t>D00-1011361</t>
  </si>
  <si>
    <t>D00-1011449</t>
  </si>
  <si>
    <t>D00-1011483</t>
  </si>
  <si>
    <t>D00-1011484</t>
  </si>
  <si>
    <t>D00-1011486</t>
  </si>
  <si>
    <t>D00-1017191</t>
  </si>
  <si>
    <t>D00-1017192</t>
  </si>
  <si>
    <t>D00-1017256</t>
  </si>
  <si>
    <t>D70-1004964</t>
  </si>
  <si>
    <t>D70-1004974</t>
  </si>
  <si>
    <t>D70-1004978</t>
  </si>
  <si>
    <t>D70-1004979</t>
  </si>
  <si>
    <t>D70-1004981</t>
  </si>
  <si>
    <t>D70-1005045</t>
  </si>
  <si>
    <t>D70-1010697</t>
  </si>
  <si>
    <t>G00-996932</t>
  </si>
  <si>
    <t>G05-964054</t>
  </si>
  <si>
    <t>G05-964055</t>
  </si>
  <si>
    <t>G05-964060</t>
  </si>
  <si>
    <t>G05-964061</t>
  </si>
  <si>
    <t>G05-964062</t>
  </si>
  <si>
    <t>G05-964080</t>
  </si>
  <si>
    <t>G05-964104</t>
  </si>
  <si>
    <t>H01-993433</t>
  </si>
  <si>
    <t>H01-993440</t>
  </si>
  <si>
    <t>H01-998974</t>
  </si>
  <si>
    <t>L00-1018133</t>
  </si>
  <si>
    <t>L00-1018134</t>
  </si>
  <si>
    <t>L00-1018184</t>
  </si>
  <si>
    <t>L00-1018188</t>
  </si>
  <si>
    <t>L00-1018262</t>
  </si>
  <si>
    <t>L00-1018264</t>
  </si>
  <si>
    <t>L00-1018285</t>
  </si>
  <si>
    <t>L00-1018312</t>
  </si>
  <si>
    <t>L00-1018327</t>
  </si>
  <si>
    <t>L00-1018368</t>
  </si>
  <si>
    <t>L00-1018384</t>
  </si>
  <si>
    <t>L00-1018390</t>
  </si>
  <si>
    <t>L00-1018398</t>
  </si>
  <si>
    <t>L00-1018406</t>
  </si>
  <si>
    <t>L00-1018407</t>
  </si>
  <si>
    <t>L00-1018425</t>
  </si>
  <si>
    <t>L00-1018461</t>
  </si>
  <si>
    <t>L00-1018488</t>
  </si>
  <si>
    <t>L00-1018495</t>
  </si>
  <si>
    <t>L00-1018514</t>
  </si>
  <si>
    <t>L00-1018519</t>
  </si>
  <si>
    <t>L00-1018588</t>
  </si>
  <si>
    <t>L00-1018589</t>
  </si>
  <si>
    <t>L00-1024605</t>
  </si>
  <si>
    <t>L01-999539</t>
  </si>
  <si>
    <t>L06-1000338</t>
  </si>
  <si>
    <t>L07-978424</t>
  </si>
  <si>
    <t>L07-978427</t>
  </si>
  <si>
    <t>L07-978444</t>
  </si>
  <si>
    <t>L07-984027</t>
  </si>
  <si>
    <t>M00-1000209</t>
  </si>
  <si>
    <t>M05-1000956</t>
  </si>
  <si>
    <t>M14-980868</t>
  </si>
  <si>
    <t>M20-1002709</t>
  </si>
  <si>
    <t>MS5-913883</t>
  </si>
  <si>
    <t>P00-996379</t>
  </si>
  <si>
    <t>P00-996380</t>
  </si>
  <si>
    <t>P00-996405</t>
  </si>
  <si>
    <t>P00-996411</t>
  </si>
  <si>
    <t>P00-1002010</t>
  </si>
  <si>
    <t>P01-998252</t>
  </si>
  <si>
    <t>P01-998256</t>
  </si>
  <si>
    <t>P07-995107</t>
  </si>
  <si>
    <t>Q00-999572</t>
  </si>
  <si>
    <t>Q02-930739</t>
  </si>
  <si>
    <t>Q02-930753</t>
  </si>
  <si>
    <t>T00-999381</t>
  </si>
  <si>
    <t>T00-1005008</t>
  </si>
  <si>
    <t>Y00-1002482</t>
  </si>
  <si>
    <t>Y00-1002507</t>
  </si>
  <si>
    <t>Y11-983859</t>
  </si>
  <si>
    <t>D00-1011329</t>
  </si>
  <si>
    <t>D00-1011333</t>
  </si>
  <si>
    <t>D00-1011364</t>
  </si>
  <si>
    <t>D00-1011405</t>
  </si>
  <si>
    <t>D00-1017212</t>
  </si>
  <si>
    <t>D70-1004957</t>
  </si>
  <si>
    <t>D70-1004960</t>
  </si>
  <si>
    <t>D70-1004984</t>
  </si>
  <si>
    <t>D70-1005017</t>
  </si>
  <si>
    <t>D70-1005041</t>
  </si>
  <si>
    <t>D70-1005042</t>
  </si>
  <si>
    <t>D70-1005050</t>
  </si>
  <si>
    <t>D70-1010712</t>
  </si>
  <si>
    <t>E00-996397</t>
  </si>
  <si>
    <t>E00-1001913</t>
  </si>
  <si>
    <t>G00-996933</t>
  </si>
  <si>
    <t>G05-964073</t>
  </si>
  <si>
    <t>H00-1001308</t>
  </si>
  <si>
    <t>H00-1001355</t>
  </si>
  <si>
    <t>H00-1001356</t>
  </si>
  <si>
    <t>H00-1001357</t>
  </si>
  <si>
    <t>H01-993434</t>
  </si>
  <si>
    <t>H01-993435</t>
  </si>
  <si>
    <t>H01-993450</t>
  </si>
  <si>
    <t>L00-1018266</t>
  </si>
  <si>
    <t>L00-1018268</t>
  </si>
  <si>
    <t>L00-1018280</t>
  </si>
  <si>
    <t>L00-1018328</t>
  </si>
  <si>
    <t>L00-1018466</t>
  </si>
  <si>
    <t>L00-1018478</t>
  </si>
  <si>
    <t>L00-1018501</t>
  </si>
  <si>
    <t>L00-1018528</t>
  </si>
  <si>
    <t>L00-1024537</t>
  </si>
  <si>
    <t>L00-1024543</t>
  </si>
  <si>
    <t>L00-1024561</t>
  </si>
  <si>
    <t>L00-1024582</t>
  </si>
  <si>
    <t>L00-1024597</t>
  </si>
  <si>
    <t>L00-1024730</t>
  </si>
  <si>
    <t>L01-999525</t>
  </si>
  <si>
    <t>L01-999545</t>
  </si>
  <si>
    <t>L01-1005122</t>
  </si>
  <si>
    <t>L06-994711</t>
  </si>
  <si>
    <t>L06-994715</t>
  </si>
  <si>
    <t>L06-1000469</t>
  </si>
  <si>
    <t>L07-978452</t>
  </si>
  <si>
    <t>M17-582335</t>
  </si>
  <si>
    <t>M20-1002707</t>
  </si>
  <si>
    <t>M20-1002761</t>
  </si>
  <si>
    <t>M20-1008429</t>
  </si>
  <si>
    <t>MC1-998744</t>
  </si>
  <si>
    <t>MS5-919421</t>
  </si>
  <si>
    <t>P00-996388</t>
  </si>
  <si>
    <t>P00-996399</t>
  </si>
  <si>
    <t>P00-1002006</t>
  </si>
  <si>
    <t>Q00-999564</t>
  </si>
  <si>
    <t>Q00-999595</t>
  </si>
  <si>
    <t>Q02-930723</t>
  </si>
  <si>
    <t>Q02-930780</t>
  </si>
  <si>
    <t>T00-999413</t>
  </si>
  <si>
    <t>T00-1004998</t>
  </si>
  <si>
    <t>T00-1004999</t>
  </si>
  <si>
    <t>T03-999865</t>
  </si>
  <si>
    <t>Y00-1002478</t>
  </si>
  <si>
    <t>Y01-811305</t>
  </si>
  <si>
    <t>Y01-811318</t>
  </si>
  <si>
    <t>Y17-862340</t>
  </si>
  <si>
    <t>C01-995961</t>
  </si>
  <si>
    <t>D00-1011330</t>
  </si>
  <si>
    <t>D00-1011392</t>
  </si>
  <si>
    <t>D00-1016634</t>
  </si>
  <si>
    <t>D00-1017554</t>
  </si>
  <si>
    <t>D70-1005032</t>
  </si>
  <si>
    <t>G00-996923</t>
  </si>
  <si>
    <t>G00-996928</t>
  </si>
  <si>
    <t>H00-1001315</t>
  </si>
  <si>
    <t>H02-345207</t>
  </si>
  <si>
    <t>L00-1018145</t>
  </si>
  <si>
    <t>L00-1018186</t>
  </si>
  <si>
    <t>L00-1018220</t>
  </si>
  <si>
    <t>L00-1018223</t>
  </si>
  <si>
    <t>L00-1018224</t>
  </si>
  <si>
    <t>L00-1018231</t>
  </si>
  <si>
    <t>L00-1018252</t>
  </si>
  <si>
    <t>L00-1018281</t>
  </si>
  <si>
    <t>L00-1018313</t>
  </si>
  <si>
    <t>L00-1018516</t>
  </si>
  <si>
    <t>L00-1018517</t>
  </si>
  <si>
    <t>L00-1018522</t>
  </si>
  <si>
    <t>L00-1024544</t>
  </si>
  <si>
    <t>L00-1024549</t>
  </si>
  <si>
    <t>L00-1024559</t>
  </si>
  <si>
    <t>L00-1024606</t>
  </si>
  <si>
    <t>L01-999561</t>
  </si>
  <si>
    <t>L01-1005121</t>
  </si>
  <si>
    <t>L01-1005125</t>
  </si>
  <si>
    <t>L01-1005129</t>
  </si>
  <si>
    <t>L06-994680</t>
  </si>
  <si>
    <t>L06-994682</t>
  </si>
  <si>
    <t>L06-994734</t>
  </si>
  <si>
    <t>L07-984024</t>
  </si>
  <si>
    <t>M00-1000211</t>
  </si>
  <si>
    <t>M00-1000213</t>
  </si>
  <si>
    <t>M00-1000216</t>
  </si>
  <si>
    <t>M00-1000217</t>
  </si>
  <si>
    <t>M00-1005783</t>
  </si>
  <si>
    <t>M00-1005784</t>
  </si>
  <si>
    <t>M11-924911</t>
  </si>
  <si>
    <t>M11-924915</t>
  </si>
  <si>
    <t>M14-980867</t>
  </si>
  <si>
    <t>P00-996416</t>
  </si>
  <si>
    <t>P06-1002581</t>
  </si>
  <si>
    <t>P06-1002596</t>
  </si>
  <si>
    <t>Q00-1005191</t>
  </si>
  <si>
    <t>Q02-930756</t>
  </si>
  <si>
    <t>Q02-930778</t>
  </si>
  <si>
    <t>T02-998379</t>
  </si>
  <si>
    <t>C00-999462</t>
  </si>
  <si>
    <t>C00-999496</t>
  </si>
  <si>
    <t>C00-999497</t>
  </si>
  <si>
    <t>C01-995933</t>
  </si>
  <si>
    <t>C01-995934</t>
  </si>
  <si>
    <t>C01-995974</t>
  </si>
  <si>
    <t>D00-1011294</t>
  </si>
  <si>
    <t>D00-1011332</t>
  </si>
  <si>
    <t>D00-1011381</t>
  </si>
  <si>
    <t>D00-1011385</t>
  </si>
  <si>
    <t>D00-1011494</t>
  </si>
  <si>
    <t>D00-1011501</t>
  </si>
  <si>
    <t>D00-1016633</t>
  </si>
  <si>
    <t>D00-1017203</t>
  </si>
  <si>
    <t>D00-1017228</t>
  </si>
  <si>
    <t>D70-1004940</t>
  </si>
  <si>
    <t>D70-1004941</t>
  </si>
  <si>
    <t>D70-1004968</t>
  </si>
  <si>
    <t>D70-1004969</t>
  </si>
  <si>
    <t>D70-1004971</t>
  </si>
  <si>
    <t>D70-1005000</t>
  </si>
  <si>
    <t>D70-1005027</t>
  </si>
  <si>
    <t>D70-1005028</t>
  </si>
  <si>
    <t>D70-1010847</t>
  </si>
  <si>
    <t>F02-996627</t>
  </si>
  <si>
    <t>F04-976024</t>
  </si>
  <si>
    <t>F04-976059</t>
  </si>
  <si>
    <t>G05-969652</t>
  </si>
  <si>
    <t>H00-1001307</t>
  </si>
  <si>
    <t>H01-993438</t>
  </si>
  <si>
    <t>L00-1018137</t>
  </si>
  <si>
    <t>L00-1018165</t>
  </si>
  <si>
    <t>L00-1018166</t>
  </si>
  <si>
    <t>L00-1018183</t>
  </si>
  <si>
    <t>L00-1018315</t>
  </si>
  <si>
    <t>L00-1018482</t>
  </si>
  <si>
    <t>L00-1018485</t>
  </si>
  <si>
    <t>L00-1018523</t>
  </si>
  <si>
    <t>L00-1018546</t>
  </si>
  <si>
    <t>L00-1018554</t>
  </si>
  <si>
    <t>L00-1018618</t>
  </si>
  <si>
    <t>L00-1018647</t>
  </si>
  <si>
    <t>L00-1024536</t>
  </si>
  <si>
    <t>L00-1024542</t>
  </si>
  <si>
    <t>L00-1024554</t>
  </si>
  <si>
    <t>L00-1024595</t>
  </si>
  <si>
    <t>L01-999543</t>
  </si>
  <si>
    <t>L06-1000341</t>
  </si>
  <si>
    <t>L12-370244</t>
  </si>
  <si>
    <t>M00-1000219</t>
  </si>
  <si>
    <t>M20-1002692</t>
  </si>
  <si>
    <t>M20-1002745</t>
  </si>
  <si>
    <t>M20-1008322</t>
  </si>
  <si>
    <t>M20-1008421</t>
  </si>
  <si>
    <t>ML0-226234</t>
  </si>
  <si>
    <t>MS1-999231</t>
  </si>
  <si>
    <t>P00-996386</t>
  </si>
  <si>
    <t>P00-996401</t>
  </si>
  <si>
    <t>Q02-930736</t>
  </si>
  <si>
    <t>Q02-930740</t>
  </si>
  <si>
    <t>T00-999398</t>
  </si>
  <si>
    <t>T00-999416</t>
  </si>
  <si>
    <t>T03-999862</t>
  </si>
  <si>
    <t>Y00-1002447</t>
  </si>
  <si>
    <t>Y00-1002486</t>
  </si>
  <si>
    <t>Y00-1002514</t>
  </si>
  <si>
    <t>Y02-993467</t>
  </si>
  <si>
    <t>Y11-983875</t>
  </si>
  <si>
    <t>C00-999454</t>
  </si>
  <si>
    <t>C00-999460</t>
  </si>
  <si>
    <t>C00-999467</t>
  </si>
  <si>
    <t>C00-999468</t>
  </si>
  <si>
    <t>C00-999469</t>
  </si>
  <si>
    <t>C00-1005046</t>
  </si>
  <si>
    <t>C00-1005047</t>
  </si>
  <si>
    <t>C00-1005048</t>
  </si>
  <si>
    <t>C00-1005050</t>
  </si>
  <si>
    <t>C00-1005051</t>
  </si>
  <si>
    <t>D00-1011194</t>
  </si>
  <si>
    <t>D00-1011292</t>
  </si>
  <si>
    <t>D00-1011355</t>
  </si>
  <si>
    <t>D00-1011360</t>
  </si>
  <si>
    <t>D00-1011451</t>
  </si>
  <si>
    <t>D00-1017508</t>
  </si>
  <si>
    <t>D70-1004966</t>
  </si>
  <si>
    <t>D70-1004976</t>
  </si>
  <si>
    <t>D70-1004985</t>
  </si>
  <si>
    <t>D70-1004998</t>
  </si>
  <si>
    <t>D70-1005009</t>
  </si>
  <si>
    <t>D70-1005054</t>
  </si>
  <si>
    <t>D70-1005057</t>
  </si>
  <si>
    <t>D70-1010725</t>
  </si>
  <si>
    <t>D70-1010888</t>
  </si>
  <si>
    <t>E00-996400</t>
  </si>
  <si>
    <t>F04-981096</t>
  </si>
  <si>
    <t>G00-996921</t>
  </si>
  <si>
    <t>G00-996938</t>
  </si>
  <si>
    <t>G05-964048</t>
  </si>
  <si>
    <t>G05-964056</t>
  </si>
  <si>
    <t>G05-964094</t>
  </si>
  <si>
    <t>H00-1001329</t>
  </si>
  <si>
    <t>H00-1001330</t>
  </si>
  <si>
    <t>H00-1001337</t>
  </si>
  <si>
    <t>H00-1001338</t>
  </si>
  <si>
    <t>H00-1001339</t>
  </si>
  <si>
    <t>H00-1001350</t>
  </si>
  <si>
    <t>H01-993436</t>
  </si>
  <si>
    <t>H01-993447</t>
  </si>
  <si>
    <t>H01-993449</t>
  </si>
  <si>
    <t>H01-998978</t>
  </si>
  <si>
    <t>L00-1018144</t>
  </si>
  <si>
    <t>L00-1018151</t>
  </si>
  <si>
    <t>L00-1018292</t>
  </si>
  <si>
    <t>L00-1018329</t>
  </si>
  <si>
    <t>L00-1018330</t>
  </si>
  <si>
    <t>L00-1018334</t>
  </si>
  <si>
    <t>L00-1018365</t>
  </si>
  <si>
    <t>L00-1018369</t>
  </si>
  <si>
    <t>L00-1018394</t>
  </si>
  <si>
    <t>L00-1018419</t>
  </si>
  <si>
    <t>L00-1018423</t>
  </si>
  <si>
    <t>L00-1024664</t>
  </si>
  <si>
    <t>L01-999537</t>
  </si>
  <si>
    <t>L01-999562</t>
  </si>
  <si>
    <t>L01-999564</t>
  </si>
  <si>
    <t>L06-994688</t>
  </si>
  <si>
    <t>L06-994692</t>
  </si>
  <si>
    <t>L06-994733</t>
  </si>
  <si>
    <t>L07-984023</t>
  </si>
  <si>
    <t>M20-1002732</t>
  </si>
  <si>
    <t>M20-1002746</t>
  </si>
  <si>
    <t>MC1-998732</t>
  </si>
  <si>
    <t>MS5-913878</t>
  </si>
  <si>
    <t>P01-998258</t>
  </si>
  <si>
    <t>P01-998259</t>
  </si>
  <si>
    <t>P07-995103</t>
  </si>
  <si>
    <t>Q00-999573</t>
  </si>
  <si>
    <t>Q00-999574</t>
  </si>
  <si>
    <t>Q00-999575</t>
  </si>
  <si>
    <t>Q02-930724</t>
  </si>
  <si>
    <t>S00-993927</t>
  </si>
  <si>
    <t>T00-999403</t>
  </si>
  <si>
    <t>T00-999404</t>
  </si>
  <si>
    <t>T00-999421</t>
  </si>
  <si>
    <t>T00-999422</t>
  </si>
  <si>
    <t>T00-999424</t>
  </si>
  <si>
    <t>T00-1005009</t>
  </si>
  <si>
    <t>T03-999866</t>
  </si>
  <si>
    <t>Y00-1002463</t>
  </si>
  <si>
    <t>Y00-1002465</t>
  </si>
  <si>
    <t>Y00-1002473</t>
  </si>
  <si>
    <t>Y01-811311</t>
  </si>
  <si>
    <t>Y11-983864</t>
  </si>
  <si>
    <t>C00-999453</t>
  </si>
  <si>
    <t>C01-1001542</t>
  </si>
  <si>
    <t>D00-1011275</t>
  </si>
  <si>
    <t>D00-1011358</t>
  </si>
  <si>
    <t>D00-1011375</t>
  </si>
  <si>
    <t>D00-1011379</t>
  </si>
  <si>
    <t>D00-1011395</t>
  </si>
  <si>
    <t>D00-1016540</t>
  </si>
  <si>
    <t>F04-976021</t>
  </si>
  <si>
    <t>F04-976045</t>
  </si>
  <si>
    <t>F04-981635</t>
  </si>
  <si>
    <t>G11-999529</t>
  </si>
  <si>
    <t>G22-161734</t>
  </si>
  <si>
    <t>L00-1018155</t>
  </si>
  <si>
    <t>L00-1018189</t>
  </si>
  <si>
    <t>L00-1018199</t>
  </si>
  <si>
    <t>L00-1018254</t>
  </si>
  <si>
    <t>L00-1018409</t>
  </si>
  <si>
    <t>L00-1018422</t>
  </si>
  <si>
    <t>L00-1018464</t>
  </si>
  <si>
    <t>L00-1018469</t>
  </si>
  <si>
    <t>L00-1018486</t>
  </si>
  <si>
    <t>L00-1018487</t>
  </si>
  <si>
    <t>L00-1018521</t>
  </si>
  <si>
    <t>L00-1018558</t>
  </si>
  <si>
    <t>L00-1018573</t>
  </si>
  <si>
    <t>L00-1018593</t>
  </si>
  <si>
    <t>L00-1024539</t>
  </si>
  <si>
    <t>L00-1024596</t>
  </si>
  <si>
    <t>L00-1024666</t>
  </si>
  <si>
    <t>L00-1024709</t>
  </si>
  <si>
    <t>L00-1024751</t>
  </si>
  <si>
    <t>L01-999529</t>
  </si>
  <si>
    <t>L01-999531</t>
  </si>
  <si>
    <t>L01-999565</t>
  </si>
  <si>
    <t>L06-994671</t>
  </si>
  <si>
    <t>L06-994690</t>
  </si>
  <si>
    <t>L06-994693</t>
  </si>
  <si>
    <t>L06-994694</t>
  </si>
  <si>
    <t>L06-994709</t>
  </si>
  <si>
    <t>L06-1000349</t>
  </si>
  <si>
    <t>L07-978431</t>
  </si>
  <si>
    <t>L07-978433</t>
  </si>
  <si>
    <t>L07-984026</t>
  </si>
  <si>
    <t>L07-984093</t>
  </si>
  <si>
    <t>M14-980861</t>
  </si>
  <si>
    <t>M14-980887</t>
  </si>
  <si>
    <t>M14-980893</t>
  </si>
  <si>
    <t>M14-980894</t>
  </si>
  <si>
    <t>M14-986421</t>
  </si>
  <si>
    <t>MS1-999230</t>
  </si>
  <si>
    <t>MS5-913877</t>
  </si>
  <si>
    <t>P00-996426</t>
  </si>
  <si>
    <t>T00-999409</t>
  </si>
  <si>
    <t>Y00-1002451</t>
  </si>
  <si>
    <t>Y00-1008133</t>
  </si>
  <si>
    <t>C00-999465</t>
  </si>
  <si>
    <t>C01-995967</t>
  </si>
  <si>
    <t>C01-995985</t>
  </si>
  <si>
    <t>C01-1001036</t>
  </si>
  <si>
    <t>C16-806664</t>
  </si>
  <si>
    <t>D00-1011308</t>
  </si>
  <si>
    <t>D00-1011324</t>
  </si>
  <si>
    <t>D00-1011327</t>
  </si>
  <si>
    <t>D00-1011341</t>
  </si>
  <si>
    <t>D00-1011367</t>
  </si>
  <si>
    <t>D00-1011450</t>
  </si>
  <si>
    <t>D00-1017226</t>
  </si>
  <si>
    <t>D70-1005060</t>
  </si>
  <si>
    <t>F04-976022</t>
  </si>
  <si>
    <t>G11-993986</t>
  </si>
  <si>
    <t>H00-1001317</t>
  </si>
  <si>
    <t>H02-345208</t>
  </si>
  <si>
    <t>L00-1018187</t>
  </si>
  <si>
    <t>L00-1018282</t>
  </si>
  <si>
    <t>L00-1018348</t>
  </si>
  <si>
    <t>L00-1018424</t>
  </si>
  <si>
    <t>L00-1018431</t>
  </si>
  <si>
    <t>L00-1018440</t>
  </si>
  <si>
    <t>L00-1018473</t>
  </si>
  <si>
    <t>L00-1018492</t>
  </si>
  <si>
    <t>L01-999549</t>
  </si>
  <si>
    <t>L01-999566</t>
  </si>
  <si>
    <t>L06-994725</t>
  </si>
  <si>
    <t>L06-994764</t>
  </si>
  <si>
    <t>L06-1000342</t>
  </si>
  <si>
    <t>M00-1000224</t>
  </si>
  <si>
    <t>M11-919353</t>
  </si>
  <si>
    <t>M20-1002733</t>
  </si>
  <si>
    <t>M20-1002734</t>
  </si>
  <si>
    <t>M20-1002763</t>
  </si>
  <si>
    <t>MH0-582257</t>
  </si>
  <si>
    <t>MS1-999232</t>
  </si>
  <si>
    <t>MS1-999237</t>
  </si>
  <si>
    <t>P00-996402</t>
  </si>
  <si>
    <t>P00-996403</t>
  </si>
  <si>
    <t>Q00-999594</t>
  </si>
  <si>
    <t>Q02-930725</t>
  </si>
  <si>
    <t>Q02-930757</t>
  </si>
  <si>
    <t>Q02-930761</t>
  </si>
  <si>
    <t>Q02-930769</t>
  </si>
  <si>
    <t>Y00-1002448</t>
  </si>
  <si>
    <t>Y00-1002452</t>
  </si>
  <si>
    <t>Y00-1002454</t>
  </si>
  <si>
    <t>Y00-1002484</t>
  </si>
  <si>
    <t>Y00-1002515</t>
  </si>
  <si>
    <t>Y00-1008120</t>
  </si>
  <si>
    <t>Y10-916214</t>
  </si>
  <si>
    <t>Y10-916215</t>
  </si>
  <si>
    <t>Y11-983860</t>
  </si>
  <si>
    <t>Y11-983865</t>
  </si>
  <si>
    <t>Y11-983868</t>
  </si>
  <si>
    <t>Y11-983869</t>
  </si>
  <si>
    <t>Y11-983870</t>
  </si>
  <si>
    <t>Y11-988889</t>
  </si>
  <si>
    <t>C01-995956</t>
  </si>
  <si>
    <t>C01-995962</t>
  </si>
  <si>
    <t>D00-1011370</t>
  </si>
  <si>
    <t>D00-1011391</t>
  </si>
  <si>
    <t>D00-1011423</t>
  </si>
  <si>
    <t>D00-1017276</t>
  </si>
  <si>
    <t>D70-1004997</t>
  </si>
  <si>
    <t>D70-1005038</t>
  </si>
  <si>
    <t>F04-976041</t>
  </si>
  <si>
    <t>F04-976042</t>
  </si>
  <si>
    <t>F10-996395</t>
  </si>
  <si>
    <t>G00-996925</t>
  </si>
  <si>
    <t>G00-996929</t>
  </si>
  <si>
    <t>G05-964082</t>
  </si>
  <si>
    <t>L00-1018126</t>
  </si>
  <si>
    <t>L00-1018191</t>
  </si>
  <si>
    <t>L00-1018192</t>
  </si>
  <si>
    <t>L00-1018279</t>
  </si>
  <si>
    <t>L00-1018316</t>
  </si>
  <si>
    <t>L00-1018342</t>
  </si>
  <si>
    <t>L00-1018354</t>
  </si>
  <si>
    <t>L00-1018378</t>
  </si>
  <si>
    <t>L00-1018477</t>
  </si>
  <si>
    <t>L00-1018489</t>
  </si>
  <si>
    <t>L00-1018500</t>
  </si>
  <si>
    <t>L00-1018520</t>
  </si>
  <si>
    <t>L00-1018574</t>
  </si>
  <si>
    <t>L00-1025245</t>
  </si>
  <si>
    <t>L01-1004608</t>
  </si>
  <si>
    <t>L06-994703</t>
  </si>
  <si>
    <t>L06-994741</t>
  </si>
  <si>
    <t>L06-1000345</t>
  </si>
  <si>
    <t>L07-978425</t>
  </si>
  <si>
    <t>M00-1000210</t>
  </si>
  <si>
    <t>M14-980870</t>
  </si>
  <si>
    <t>M14-980877</t>
  </si>
  <si>
    <t>MS1-999233</t>
  </si>
  <si>
    <t>MS1-999236</t>
  </si>
  <si>
    <t>P00-996376</t>
  </si>
  <si>
    <t>P00-996383</t>
  </si>
  <si>
    <t>P00-996385</t>
  </si>
  <si>
    <t>P06-997068</t>
  </si>
  <si>
    <t>P06-997072</t>
  </si>
  <si>
    <t>P06-1002597</t>
  </si>
  <si>
    <t>P06-1002598</t>
  </si>
  <si>
    <t>Q00-999585</t>
  </si>
  <si>
    <t>Q02-930786</t>
  </si>
  <si>
    <t>T00-999384</t>
  </si>
  <si>
    <t>T00-999387</t>
  </si>
  <si>
    <t>T00-999415</t>
  </si>
  <si>
    <t>T00-1005050</t>
  </si>
  <si>
    <t>Y00-1002485</t>
  </si>
  <si>
    <t>Y00-1002511</t>
  </si>
  <si>
    <t>Y00-1008202</t>
  </si>
  <si>
    <t>C00-999459</t>
  </si>
  <si>
    <t>C00-999491</t>
  </si>
  <si>
    <t>C00-999492</t>
  </si>
  <si>
    <t>C00-999493</t>
  </si>
  <si>
    <t>C00-999494</t>
  </si>
  <si>
    <t>C00-1005036</t>
  </si>
  <si>
    <t>C00-1005037</t>
  </si>
  <si>
    <t>C00-1005038</t>
  </si>
  <si>
    <t>C00-1005039</t>
  </si>
  <si>
    <t>C00-1005083</t>
  </si>
  <si>
    <t>C01-995929</t>
  </si>
  <si>
    <t>C01-995947</t>
  </si>
  <si>
    <t>C01-995963</t>
  </si>
  <si>
    <t>C01-995970</t>
  </si>
  <si>
    <t>C01-995975</t>
  </si>
  <si>
    <t>D00-1010995</t>
  </si>
  <si>
    <t>D00-1011226</t>
  </si>
  <si>
    <t>D00-1011231</t>
  </si>
  <si>
    <t>D00-1011295</t>
  </si>
  <si>
    <t>D00-1011384</t>
  </si>
  <si>
    <t>D00-1011406</t>
  </si>
  <si>
    <t>D00-1011485</t>
  </si>
  <si>
    <t>D00-1017474</t>
  </si>
  <si>
    <t>D70-1004965</t>
  </si>
  <si>
    <t>D70-1005029</t>
  </si>
  <si>
    <t>D70-1005043</t>
  </si>
  <si>
    <t>D70-1005055</t>
  </si>
  <si>
    <t>D70-1005075</t>
  </si>
  <si>
    <t>D70-1005080</t>
  </si>
  <si>
    <t>D70-1010699</t>
  </si>
  <si>
    <t>D70-1010705</t>
  </si>
  <si>
    <t>D70-1010711</t>
  </si>
  <si>
    <t>D70-1010717</t>
  </si>
  <si>
    <t>D70-1010841</t>
  </si>
  <si>
    <t>F04-976023</t>
  </si>
  <si>
    <t>F04-976047</t>
  </si>
  <si>
    <t>F04-981656</t>
  </si>
  <si>
    <t>G05-964043</t>
  </si>
  <si>
    <t>G05-964050</t>
  </si>
  <si>
    <t>G05-964097</t>
  </si>
  <si>
    <t>G05-969655</t>
  </si>
  <si>
    <t>G11-993995</t>
  </si>
  <si>
    <t>G11-999530</t>
  </si>
  <si>
    <t>H00-1001316</t>
  </si>
  <si>
    <t>H00-1001324</t>
  </si>
  <si>
    <t>H00-1001327</t>
  </si>
  <si>
    <t>H00-1001335</t>
  </si>
  <si>
    <t>H01-998975</t>
  </si>
  <si>
    <t>L00-1018147</t>
  </si>
  <si>
    <t>L00-1018160</t>
  </si>
  <si>
    <t>L00-1018190</t>
  </si>
  <si>
    <t>L00-1018205</t>
  </si>
  <si>
    <t>L00-1018225</t>
  </si>
  <si>
    <t>L00-1018258</t>
  </si>
  <si>
    <t>L00-1018273</t>
  </si>
  <si>
    <t>L00-1018300</t>
  </si>
  <si>
    <t>L00-1018302</t>
  </si>
  <si>
    <t>L00-1018349</t>
  </si>
  <si>
    <t>L00-1018499</t>
  </si>
  <si>
    <t>L00-1018539</t>
  </si>
  <si>
    <t>L00-1018549</t>
  </si>
  <si>
    <t>L00-1018598</t>
  </si>
  <si>
    <t>L00-1018636</t>
  </si>
  <si>
    <t>L00-1018657</t>
  </si>
  <si>
    <t>L00-1018696</t>
  </si>
  <si>
    <t>L00-1024581</t>
  </si>
  <si>
    <t>L00-1024632</t>
  </si>
  <si>
    <t>L00-1024701</t>
  </si>
  <si>
    <t>L01-999559</t>
  </si>
  <si>
    <t>L01-999568</t>
  </si>
  <si>
    <t>L01-1005112</t>
  </si>
  <si>
    <t>L01-1005118</t>
  </si>
  <si>
    <t>L06-994736</t>
  </si>
  <si>
    <t>L06-994737</t>
  </si>
  <si>
    <t>L06-1000344</t>
  </si>
  <si>
    <t>L07-978426</t>
  </si>
  <si>
    <t>M11-919362</t>
  </si>
  <si>
    <t>M11-924909</t>
  </si>
  <si>
    <t>M11-924944</t>
  </si>
  <si>
    <t>M14-980854</t>
  </si>
  <si>
    <t>M14-980855</t>
  </si>
  <si>
    <t>M14-980884</t>
  </si>
  <si>
    <t>M14-980888</t>
  </si>
  <si>
    <t>M14-980889</t>
  </si>
  <si>
    <t>M14-986424</t>
  </si>
  <si>
    <t>M20-1002698</t>
  </si>
  <si>
    <t>M20-1002699</t>
  </si>
  <si>
    <t>M20-1002710</t>
  </si>
  <si>
    <t>M20-1002711</t>
  </si>
  <si>
    <t>M20-1002740</t>
  </si>
  <si>
    <t>M20-1002806</t>
  </si>
  <si>
    <t>M20-1008418</t>
  </si>
  <si>
    <t>MC1-998737</t>
  </si>
  <si>
    <t>MC1-998753</t>
  </si>
  <si>
    <t>MS1-999234</t>
  </si>
  <si>
    <t>MS1-999235</t>
  </si>
  <si>
    <t>P00-996414</t>
  </si>
  <si>
    <t>P00-996420</t>
  </si>
  <si>
    <t>P00-996448</t>
  </si>
  <si>
    <t>P00-1001998</t>
  </si>
  <si>
    <t>P00-1001999</t>
  </si>
  <si>
    <t>P00-1002004</t>
  </si>
  <si>
    <t>Q02-930729</t>
  </si>
  <si>
    <t>Q02-930766</t>
  </si>
  <si>
    <t>Q02-930784</t>
  </si>
  <si>
    <t>T02-998370</t>
  </si>
  <si>
    <t>Y00-1002434</t>
  </si>
  <si>
    <t>Y00-1002472</t>
  </si>
  <si>
    <t>Y00-1002477</t>
  </si>
  <si>
    <t>Y00-1002541</t>
  </si>
  <si>
    <t>Y00-1008140</t>
  </si>
  <si>
    <t>Y01-811303</t>
  </si>
  <si>
    <t>Y01-816871</t>
  </si>
  <si>
    <t>Y02-993466</t>
  </si>
  <si>
    <t>Y11-983866</t>
  </si>
  <si>
    <t>Y11-983874</t>
  </si>
  <si>
    <t>Y17-867852</t>
  </si>
  <si>
    <t>C00-999455</t>
  </si>
  <si>
    <t>C00-999463</t>
  </si>
  <si>
    <t>C00-1005040</t>
  </si>
  <si>
    <t>C01-995935</t>
  </si>
  <si>
    <t>C01-995936</t>
  </si>
  <si>
    <t>C01-995937</t>
  </si>
  <si>
    <t>C01-995957</t>
  </si>
  <si>
    <t>C01-995959</t>
  </si>
  <si>
    <t>D00-1011291</t>
  </si>
  <si>
    <t>D00-1011397</t>
  </si>
  <si>
    <t>D00-1011411</t>
  </si>
  <si>
    <t>D00-1011444</t>
  </si>
  <si>
    <t>D00-1011504</t>
  </si>
  <si>
    <t>D00-1017502</t>
  </si>
  <si>
    <t>D70-1004977</t>
  </si>
  <si>
    <t>D70-1005048</t>
  </si>
  <si>
    <t>D70-1010695</t>
  </si>
  <si>
    <t>D70-1010840</t>
  </si>
  <si>
    <t>F02-996612</t>
  </si>
  <si>
    <t>F02-996633</t>
  </si>
  <si>
    <t>F04-981613</t>
  </si>
  <si>
    <t>G00-996920</t>
  </si>
  <si>
    <t>G05-964041</t>
  </si>
  <si>
    <t>G05-964071</t>
  </si>
  <si>
    <t>G05-964072</t>
  </si>
  <si>
    <t>G05-964092</t>
  </si>
  <si>
    <t>G11-993997</t>
  </si>
  <si>
    <t>G11-993998</t>
  </si>
  <si>
    <t>H00-1001332</t>
  </si>
  <si>
    <t>H00-1001340</t>
  </si>
  <si>
    <t>H00-1001358</t>
  </si>
  <si>
    <t>H01-993444</t>
  </si>
  <si>
    <t>H01-993451</t>
  </si>
  <si>
    <t>H01-998973</t>
  </si>
  <si>
    <t>L00-1018146</t>
  </si>
  <si>
    <t>L00-1018152</t>
  </si>
  <si>
    <t>L00-1018176</t>
  </si>
  <si>
    <t>L00-1018208</t>
  </si>
  <si>
    <t>L00-1018305</t>
  </si>
  <si>
    <t>L00-1018370</t>
  </si>
  <si>
    <t>L00-1018458</t>
  </si>
  <si>
    <t>L00-1018637</t>
  </si>
  <si>
    <t>L00-1018695</t>
  </si>
  <si>
    <t>L00-1018699</t>
  </si>
  <si>
    <t>L00-1024538</t>
  </si>
  <si>
    <t>L00-1024611</t>
  </si>
  <si>
    <t>L00-1024644</t>
  </si>
  <si>
    <t>L01-999530</t>
  </si>
  <si>
    <t>L06-994718</t>
  </si>
  <si>
    <t>L07-978422</t>
  </si>
  <si>
    <t>L07-978442</t>
  </si>
  <si>
    <t>L07-984030</t>
  </si>
  <si>
    <t>L12-370245</t>
  </si>
  <si>
    <t>M05-1000967</t>
  </si>
  <si>
    <t>M20-1002690</t>
  </si>
  <si>
    <t>M20-1002700</t>
  </si>
  <si>
    <t>M20-1002705</t>
  </si>
  <si>
    <t>M20-1002760</t>
  </si>
  <si>
    <t>M20-1002768</t>
  </si>
  <si>
    <t>M20-1008327</t>
  </si>
  <si>
    <t>M25-848868</t>
  </si>
  <si>
    <t>MC1-998739</t>
  </si>
  <si>
    <t>P00-996389</t>
  </si>
  <si>
    <t>Q00-999559</t>
  </si>
  <si>
    <t>Q00-999598</t>
  </si>
  <si>
    <t>Q00-1005129</t>
  </si>
  <si>
    <t>Q02-930790</t>
  </si>
  <si>
    <t>Q02-936335</t>
  </si>
  <si>
    <t>T00-999391</t>
  </si>
  <si>
    <t>T02-998381</t>
  </si>
  <si>
    <t>Y00-1002466</t>
  </si>
  <si>
    <t>Y00-1002509</t>
  </si>
  <si>
    <t>Y00-1002545</t>
  </si>
  <si>
    <t>Y00-1008119</t>
  </si>
  <si>
    <t>C01-995976</t>
  </si>
  <si>
    <t>D00-1011394</t>
  </si>
  <si>
    <t>D00-1011399</t>
  </si>
  <si>
    <t>D00-1011403</t>
  </si>
  <si>
    <t>D00-1011438</t>
  </si>
  <si>
    <t>D00-1011443</t>
  </si>
  <si>
    <t>D70-1005082</t>
  </si>
  <si>
    <t>F02-996614</t>
  </si>
  <si>
    <t>F02-996621</t>
  </si>
  <si>
    <t>F02-996622</t>
  </si>
  <si>
    <t>F02-996623</t>
  </si>
  <si>
    <t>F02-996624</t>
  </si>
  <si>
    <t>G05-964084</t>
  </si>
  <si>
    <t>L00-1018148</t>
  </si>
  <si>
    <t>L00-1018180</t>
  </si>
  <si>
    <t>L00-1018229</t>
  </si>
  <si>
    <t>L00-1018303</t>
  </si>
  <si>
    <t>L00-1018319</t>
  </si>
  <si>
    <t>L00-1018351</t>
  </si>
  <si>
    <t>L00-1018428</t>
  </si>
  <si>
    <t>L00-1018463</t>
  </si>
  <si>
    <t>L00-1018472</t>
  </si>
  <si>
    <t>L00-1018491</t>
  </si>
  <si>
    <t>L00-1018498</t>
  </si>
  <si>
    <t>L00-1018559</t>
  </si>
  <si>
    <t>L00-1018560</t>
  </si>
  <si>
    <t>L00-1018617</t>
  </si>
  <si>
    <t>L00-1024545</t>
  </si>
  <si>
    <t>L00-1024589</t>
  </si>
  <si>
    <t>L00-1024733</t>
  </si>
  <si>
    <t>L00-1024741</t>
  </si>
  <si>
    <t>L00-1024742</t>
  </si>
  <si>
    <t>L00-1025216</t>
  </si>
  <si>
    <t>L01-1005109</t>
  </si>
  <si>
    <t>L06-994695</t>
  </si>
  <si>
    <t>L06-994705</t>
  </si>
  <si>
    <t>L06-994719</t>
  </si>
  <si>
    <t>L06-994766</t>
  </si>
  <si>
    <t>L06-1000343</t>
  </si>
  <si>
    <t>L06-1000465</t>
  </si>
  <si>
    <t>L07-984022</t>
  </si>
  <si>
    <t>M11-919360</t>
  </si>
  <si>
    <t>M11-919365</t>
  </si>
  <si>
    <t>M11-924907</t>
  </si>
  <si>
    <t>M11-924908</t>
  </si>
  <si>
    <t>M11-924910</t>
  </si>
  <si>
    <t>M11-924938</t>
  </si>
  <si>
    <t>M11-924939</t>
  </si>
  <si>
    <t>M11-924940</t>
  </si>
  <si>
    <t>M14-980869</t>
  </si>
  <si>
    <t>M20-1002754</t>
  </si>
  <si>
    <t>M25-848870</t>
  </si>
  <si>
    <t>MS5-913880</t>
  </si>
  <si>
    <t>P00-996377</t>
  </si>
  <si>
    <t>P00-996415</t>
  </si>
  <si>
    <t>P00-996425</t>
  </si>
  <si>
    <t>P00-996453</t>
  </si>
  <si>
    <t>P00-1001993</t>
  </si>
  <si>
    <t>P00-1002016</t>
  </si>
  <si>
    <t>P00-1002019</t>
  </si>
  <si>
    <t>P01-998254</t>
  </si>
  <si>
    <t>Q02-930770</t>
  </si>
  <si>
    <t>Q02-930785</t>
  </si>
  <si>
    <t>Q02-936332</t>
  </si>
  <si>
    <t>T00-999426</t>
  </si>
  <si>
    <t>Y00-1002431</t>
  </si>
  <si>
    <t>Y00-1002438</t>
  </si>
  <si>
    <t>Y00-1002464</t>
  </si>
  <si>
    <t>Y00-1002531</t>
  </si>
  <si>
    <t>Y00-1007601</t>
  </si>
  <si>
    <t>C00-999478</t>
  </si>
  <si>
    <t>D00-1011369</t>
  </si>
  <si>
    <t>D00-1011377</t>
  </si>
  <si>
    <t>G00-996935</t>
  </si>
  <si>
    <t>G05-964049</t>
  </si>
  <si>
    <t>G05-964109</t>
  </si>
  <si>
    <t>H00-1001312</t>
  </si>
  <si>
    <t>H00-1006903</t>
  </si>
  <si>
    <t>L00-1018141</t>
  </si>
  <si>
    <t>L00-1018143</t>
  </si>
  <si>
    <t>L00-1018161</t>
  </si>
  <si>
    <t>L00-1018171</t>
  </si>
  <si>
    <t>L00-1018210</t>
  </si>
  <si>
    <t>L00-1018226</t>
  </si>
  <si>
    <t>L00-1018293</t>
  </si>
  <si>
    <t>L00-1018314</t>
  </si>
  <si>
    <t>L00-1018336</t>
  </si>
  <si>
    <t>L00-1018429</t>
  </si>
  <si>
    <t>L00-1018438</t>
  </si>
  <si>
    <t>L00-1018511</t>
  </si>
  <si>
    <t>L00-1018568</t>
  </si>
  <si>
    <t>L00-1018569</t>
  </si>
  <si>
    <t>L00-1018571</t>
  </si>
  <si>
    <t>L00-1018650</t>
  </si>
  <si>
    <t>L00-1024540</t>
  </si>
  <si>
    <t>L00-1024553</t>
  </si>
  <si>
    <t>L06-994674</t>
  </si>
  <si>
    <t>L06-994712</t>
  </si>
  <si>
    <t>L07-978445</t>
  </si>
  <si>
    <t>M00-1000225</t>
  </si>
  <si>
    <t>M05-1000950</t>
  </si>
  <si>
    <t>M11-919366</t>
  </si>
  <si>
    <t>M11-924904</t>
  </si>
  <si>
    <t>M14-980881</t>
  </si>
  <si>
    <t>M17-582336</t>
  </si>
  <si>
    <t>M20-1002703</t>
  </si>
  <si>
    <t>M20-1008334</t>
  </si>
  <si>
    <t>MC7-17662</t>
  </si>
  <si>
    <t>MSJ-232200</t>
  </si>
  <si>
    <t>MSJ-232201</t>
  </si>
  <si>
    <t>P00-996454</t>
  </si>
  <si>
    <t>P00-1002008</t>
  </si>
  <si>
    <t>P00-1002022</t>
  </si>
  <si>
    <t>P00-1002096</t>
  </si>
  <si>
    <t>Q00-999560</t>
  </si>
  <si>
    <t>Q00-999562</t>
  </si>
  <si>
    <t>Q00-999578</t>
  </si>
  <si>
    <t>Q00-1005136</t>
  </si>
  <si>
    <t>Q00-1005137</t>
  </si>
  <si>
    <t>Q00-1005141</t>
  </si>
  <si>
    <t>Q00-1005181</t>
  </si>
  <si>
    <t>Q00-1005188</t>
  </si>
  <si>
    <t>Q02-930731</t>
  </si>
  <si>
    <t>Q02-930762</t>
  </si>
  <si>
    <t>Q02-930781</t>
  </si>
  <si>
    <t>Q02-936336</t>
  </si>
  <si>
    <t>Q02-936340</t>
  </si>
  <si>
    <t>T03-999864</t>
  </si>
  <si>
    <t>Y00-1002469</t>
  </si>
  <si>
    <t>Y00-1002510</t>
  </si>
  <si>
    <t>Y00-1002516</t>
  </si>
  <si>
    <t>Y00-1002517</t>
  </si>
  <si>
    <t>Y00-1002533</t>
  </si>
  <si>
    <t>Y00-1008103</t>
  </si>
  <si>
    <t>D00-1011249</t>
  </si>
  <si>
    <t>D00-1011386</t>
  </si>
  <si>
    <t>D00-1011407</t>
  </si>
  <si>
    <t>D00-1017318</t>
  </si>
  <si>
    <t>D00-1017490</t>
  </si>
  <si>
    <t>D00-1017537</t>
  </si>
  <si>
    <t>F02-996617</t>
  </si>
  <si>
    <t>F04-976035</t>
  </si>
  <si>
    <t>F04-976058</t>
  </si>
  <si>
    <t>F04-976077</t>
  </si>
  <si>
    <t>G00-996918</t>
  </si>
  <si>
    <t>G00-1002464</t>
  </si>
  <si>
    <t>G15-253808</t>
  </si>
  <si>
    <t>H00-1001314</t>
  </si>
  <si>
    <t>H00-1006904</t>
  </si>
  <si>
    <t>L00-1018173</t>
  </si>
  <si>
    <t>L00-1018193</t>
  </si>
  <si>
    <t>L00-1018242</t>
  </si>
  <si>
    <t>L00-1018244</t>
  </si>
  <si>
    <t>L00-1018260</t>
  </si>
  <si>
    <t>L00-1018395</t>
  </si>
  <si>
    <t>L00-1018401</t>
  </si>
  <si>
    <t>L00-1018417</t>
  </si>
  <si>
    <t>L00-1018452</t>
  </si>
  <si>
    <t>L00-1018505</t>
  </si>
  <si>
    <t>L00-1018506</t>
  </si>
  <si>
    <t>L00-1018507</t>
  </si>
  <si>
    <t>L00-1018508</t>
  </si>
  <si>
    <t>L00-1018509</t>
  </si>
  <si>
    <t>L00-1018510</t>
  </si>
  <si>
    <t>L00-1018512</t>
  </si>
  <si>
    <t>L00-1018513</t>
  </si>
  <si>
    <t>L00-1018532</t>
  </si>
  <si>
    <t>L00-1018562</t>
  </si>
  <si>
    <t>L00-1018662</t>
  </si>
  <si>
    <t>L01-999563</t>
  </si>
  <si>
    <t>L06-994720</t>
  </si>
  <si>
    <t>L06-994745</t>
  </si>
  <si>
    <t>L07-978454</t>
  </si>
  <si>
    <t>M00-1000204</t>
  </si>
  <si>
    <t>M00-1000205</t>
  </si>
  <si>
    <t>M00-1000232</t>
  </si>
  <si>
    <t>M05-1000972</t>
  </si>
  <si>
    <t>M20-1002702</t>
  </si>
  <si>
    <t>M20-1002718</t>
  </si>
  <si>
    <t>P01-998253</t>
  </si>
  <si>
    <t>Q02-930737</t>
  </si>
  <si>
    <t>Q02-930758</t>
  </si>
  <si>
    <t>T00-999390</t>
  </si>
  <si>
    <t>T00-999429</t>
  </si>
  <si>
    <t>T02-998375</t>
  </si>
  <si>
    <t>Y00-1002508</t>
  </si>
  <si>
    <t>Y15-217677</t>
  </si>
  <si>
    <t>C00-999458</t>
  </si>
  <si>
    <t>C00-999464</t>
  </si>
  <si>
    <t>C00-999480</t>
  </si>
  <si>
    <t>C00-999481</t>
  </si>
  <si>
    <t>C00-999482</t>
  </si>
  <si>
    <t>C01-995948</t>
  </si>
  <si>
    <t>C01-995954</t>
  </si>
  <si>
    <t>C01-995960</t>
  </si>
  <si>
    <t>C01-1001545</t>
  </si>
  <si>
    <t>C01-1001613</t>
  </si>
  <si>
    <t>D00-1011311</t>
  </si>
  <si>
    <t>D00-1011334</t>
  </si>
  <si>
    <t>D00-1011356</t>
  </si>
  <si>
    <t>D00-1011376</t>
  </si>
  <si>
    <t>D00-1017473</t>
  </si>
  <si>
    <t>D70-1004983</t>
  </si>
  <si>
    <t>D70-1004995</t>
  </si>
  <si>
    <t>D70-1004996</t>
  </si>
  <si>
    <t>D70-1005019</t>
  </si>
  <si>
    <t>D70-1010726</t>
  </si>
  <si>
    <t>D70-1010727</t>
  </si>
  <si>
    <t>D70-1010842</t>
  </si>
  <si>
    <t>E00-996398</t>
  </si>
  <si>
    <t>F02-996629</t>
  </si>
  <si>
    <t>F02-1002151</t>
  </si>
  <si>
    <t>F04-976025</t>
  </si>
  <si>
    <t>G05-964053</t>
  </si>
  <si>
    <t>G05-964089</t>
  </si>
  <si>
    <t>G05-964090</t>
  </si>
  <si>
    <t>G05-964091</t>
  </si>
  <si>
    <t>G05-964098</t>
  </si>
  <si>
    <t>G05-964099</t>
  </si>
  <si>
    <t>G11-993988</t>
  </si>
  <si>
    <t>G11-993990</t>
  </si>
  <si>
    <t>H00-1001360</t>
  </si>
  <si>
    <t>H01-998972</t>
  </si>
  <si>
    <t>L00-1018197</t>
  </si>
  <si>
    <t>L00-1018272</t>
  </si>
  <si>
    <t>L00-1018311</t>
  </si>
  <si>
    <t>L00-1018432</t>
  </si>
  <si>
    <t>L00-1018436</t>
  </si>
  <si>
    <t>L00-1018453</t>
  </si>
  <si>
    <t>L00-1018515</t>
  </si>
  <si>
    <t>L00-1018634</t>
  </si>
  <si>
    <t>L00-1018674</t>
  </si>
  <si>
    <t>L01-999550</t>
  </si>
  <si>
    <t>L01-999554</t>
  </si>
  <si>
    <t>L01-999556</t>
  </si>
  <si>
    <t>L07-978434</t>
  </si>
  <si>
    <t>L07-978446</t>
  </si>
  <si>
    <t>L07-978447</t>
  </si>
  <si>
    <t>L07-978448</t>
  </si>
  <si>
    <t>M00-1000212</t>
  </si>
  <si>
    <t>M00-1005773</t>
  </si>
  <si>
    <t>M05-1006492</t>
  </si>
  <si>
    <t>M14-980878</t>
  </si>
  <si>
    <t>M14-980880</t>
  </si>
  <si>
    <t>M17-582333</t>
  </si>
  <si>
    <t>M20-1002681</t>
  </si>
  <si>
    <t>M20-1002693</t>
  </si>
  <si>
    <t>M20-1002694</t>
  </si>
  <si>
    <t>M20-1002715</t>
  </si>
  <si>
    <t>M20-1002737</t>
  </si>
  <si>
    <t>M20-1002744</t>
  </si>
  <si>
    <t>M20-1002749</t>
  </si>
  <si>
    <t>MS1-1004745</t>
  </si>
  <si>
    <t>P00-996361</t>
  </si>
  <si>
    <t>P00-996362</t>
  </si>
  <si>
    <t>P00-996384</t>
  </si>
  <si>
    <t>P00-996456</t>
  </si>
  <si>
    <t>P00-1002015</t>
  </si>
  <si>
    <t>Q00-999593</t>
  </si>
  <si>
    <t>Q02-930732</t>
  </si>
  <si>
    <t>Q02-930760</t>
  </si>
  <si>
    <t>Q02-930763</t>
  </si>
  <si>
    <t>Q02-930789</t>
  </si>
  <si>
    <t>T00-999402</t>
  </si>
  <si>
    <t>Y00-1002449</t>
  </si>
  <si>
    <t>Y00-1002496</t>
  </si>
  <si>
    <t>Y00-1008122</t>
  </si>
  <si>
    <t>Y00-1008125</t>
  </si>
  <si>
    <t>Y11-983877</t>
  </si>
  <si>
    <t>C01-995958</t>
  </si>
  <si>
    <t>C01-995982</t>
  </si>
  <si>
    <t>C01-995997</t>
  </si>
  <si>
    <t>D00-1011211</t>
  </si>
  <si>
    <t>D00-1011232</t>
  </si>
  <si>
    <t>D00-1011339</t>
  </si>
  <si>
    <t>D00-1011345</t>
  </si>
  <si>
    <t>D00-1011346</t>
  </si>
  <si>
    <t>D00-1011351</t>
  </si>
  <si>
    <t>D00-1011408</t>
  </si>
  <si>
    <t>D00-1011442</t>
  </si>
  <si>
    <t>D00-1011505</t>
  </si>
  <si>
    <t>D70-1005051</t>
  </si>
  <si>
    <t>E00-996403</t>
  </si>
  <si>
    <t>F02-996619</t>
  </si>
  <si>
    <t>F04-976034</t>
  </si>
  <si>
    <t>F04-976038</t>
  </si>
  <si>
    <t>F10-1001911</t>
  </si>
  <si>
    <t>G00-996930</t>
  </si>
  <si>
    <t>G00-1002461</t>
  </si>
  <si>
    <t>G05-964081</t>
  </si>
  <si>
    <t>G05-969654</t>
  </si>
  <si>
    <t>L00-1018203</t>
  </si>
  <si>
    <t>L00-1018207</t>
  </si>
  <si>
    <t>L00-1018274</t>
  </si>
  <si>
    <t>L00-1018310</t>
  </si>
  <si>
    <t>L00-1018318</t>
  </si>
  <si>
    <t>L00-1018367</t>
  </si>
  <si>
    <t>L00-1018434</t>
  </si>
  <si>
    <t>L00-1018455</t>
  </si>
  <si>
    <t>L00-1018533</t>
  </si>
  <si>
    <t>L00-1018690</t>
  </si>
  <si>
    <t>L01-999547</t>
  </si>
  <si>
    <t>L01-1005116</t>
  </si>
  <si>
    <t>L06-994721</t>
  </si>
  <si>
    <t>L06-994767</t>
  </si>
  <si>
    <t>L07-978456</t>
  </si>
  <si>
    <t>M00-1000206</t>
  </si>
  <si>
    <t>M00-1000229</t>
  </si>
  <si>
    <t>M00-1005805</t>
  </si>
  <si>
    <t>M05-1000958</t>
  </si>
  <si>
    <t>M11-919354</t>
  </si>
  <si>
    <t>M14-980850</t>
  </si>
  <si>
    <t>M14-980857</t>
  </si>
  <si>
    <t>M20-1002695</t>
  </si>
  <si>
    <t>M20-1002706</t>
  </si>
  <si>
    <t>M20-1002717</t>
  </si>
  <si>
    <t>M20-1002736</t>
  </si>
  <si>
    <t>M20-1008320</t>
  </si>
  <si>
    <t>MC1-998750</t>
  </si>
  <si>
    <t>P01-998263</t>
  </si>
  <si>
    <t>P07-995100</t>
  </si>
  <si>
    <t>T02-998372</t>
  </si>
  <si>
    <t>T02-998385</t>
  </si>
  <si>
    <t>Y00-1002432</t>
  </si>
  <si>
    <t>Y00-1002437</t>
  </si>
  <si>
    <t>Y00-1002525</t>
  </si>
  <si>
    <t>Y00-1002542</t>
  </si>
  <si>
    <t>Y00-1002543</t>
  </si>
  <si>
    <t>Y01-811299</t>
  </si>
  <si>
    <t>Y01-816870</t>
  </si>
  <si>
    <t>D00-1011195</t>
  </si>
  <si>
    <t>D00-1011320</t>
  </si>
  <si>
    <t>D00-1011390</t>
  </si>
  <si>
    <t>D00-1011420</t>
  </si>
  <si>
    <t>D70-1004928</t>
  </si>
  <si>
    <t>D70-1005001</t>
  </si>
  <si>
    <t>D70-1005010</t>
  </si>
  <si>
    <t>D70-1005039</t>
  </si>
  <si>
    <t>D70-1010684</t>
  </si>
  <si>
    <t>D70-1010865</t>
  </si>
  <si>
    <t>F02-996626</t>
  </si>
  <si>
    <t>F04-976043</t>
  </si>
  <si>
    <t>F10-1001910</t>
  </si>
  <si>
    <t>G05-964086</t>
  </si>
  <si>
    <t>G11-993994</t>
  </si>
  <si>
    <t>H00-1001344</t>
  </si>
  <si>
    <t>H01-993458</t>
  </si>
  <si>
    <t>L00-1018195</t>
  </si>
  <si>
    <t>L00-1018232</t>
  </si>
  <si>
    <t>L00-1018296</t>
  </si>
  <si>
    <t>L00-1018524</t>
  </si>
  <si>
    <t>L00-1018581</t>
  </si>
  <si>
    <t>L00-1018582</t>
  </si>
  <si>
    <t>L00-1018651</t>
  </si>
  <si>
    <t>L00-1018667</t>
  </si>
  <si>
    <t>L00-1018672</t>
  </si>
  <si>
    <t>L00-1024591</t>
  </si>
  <si>
    <t>L00-1024625</t>
  </si>
  <si>
    <t>L00-1024626</t>
  </si>
  <si>
    <t>L00-1024745</t>
  </si>
  <si>
    <t>L00-1024746</t>
  </si>
  <si>
    <t>L00-1024747</t>
  </si>
  <si>
    <t>L00-1025202</t>
  </si>
  <si>
    <t>L00-1025270</t>
  </si>
  <si>
    <t>L06-994698</t>
  </si>
  <si>
    <t>L06-994699</t>
  </si>
  <si>
    <t>L06-994704</t>
  </si>
  <si>
    <t>L06-1000348</t>
  </si>
  <si>
    <t>L06-1000350</t>
  </si>
  <si>
    <t>L06-1000358</t>
  </si>
  <si>
    <t>L06-1000359</t>
  </si>
  <si>
    <t>M00-1000226</t>
  </si>
  <si>
    <t>M14-980851</t>
  </si>
  <si>
    <t>M14-980871</t>
  </si>
  <si>
    <t>MC1-998730</t>
  </si>
  <si>
    <t>MSJ-232199</t>
  </si>
  <si>
    <t>P00-996410</t>
  </si>
  <si>
    <t>P00-1002011</t>
  </si>
  <si>
    <t>P06-1002599</t>
  </si>
  <si>
    <t>P07-995099</t>
  </si>
  <si>
    <t>P07-995102</t>
  </si>
  <si>
    <t>P07-1000643</t>
  </si>
  <si>
    <t>Q00-999587</t>
  </si>
  <si>
    <t>Q00-999588</t>
  </si>
  <si>
    <t>Q00-1005132</t>
  </si>
  <si>
    <t>Q02-930727</t>
  </si>
  <si>
    <t>Q02-930741</t>
  </si>
  <si>
    <t>Q02-936327</t>
  </si>
  <si>
    <t>T02-998369</t>
  </si>
  <si>
    <t>Y00-1002487</t>
  </si>
  <si>
    <t>Y00-1002503</t>
  </si>
  <si>
    <t>Y00-1002512</t>
  </si>
  <si>
    <t>Y01-811300</t>
  </si>
  <si>
    <t>Y01-811313</t>
  </si>
  <si>
    <t>Y15-212173</t>
  </si>
  <si>
    <t>Y15-217676</t>
  </si>
  <si>
    <t>C00-999477</t>
  </si>
  <si>
    <t>C01-995939</t>
  </si>
  <si>
    <t>C01-995953</t>
  </si>
  <si>
    <t>C01-995972</t>
  </si>
  <si>
    <t>C01-1001539</t>
  </si>
  <si>
    <t>D00-1011212</t>
  </si>
  <si>
    <t>D00-1011230</t>
  </si>
  <si>
    <t>D00-1011300</t>
  </si>
  <si>
    <t>D00-1011307</t>
  </si>
  <si>
    <t>D00-1011314</t>
  </si>
  <si>
    <t>D00-1011323</t>
  </si>
  <si>
    <t>D00-1011342</t>
  </si>
  <si>
    <t>D00-1017486</t>
  </si>
  <si>
    <t>D70-1004990</t>
  </si>
  <si>
    <t>D70-1005085</t>
  </si>
  <si>
    <t>D70-1005087</t>
  </si>
  <si>
    <t>D70-1005088</t>
  </si>
  <si>
    <t>F02-996620</t>
  </si>
  <si>
    <t>F04-976026</t>
  </si>
  <si>
    <t>G05-964052</t>
  </si>
  <si>
    <t>G05-964074</t>
  </si>
  <si>
    <t>G11-993985</t>
  </si>
  <si>
    <t>G11-993989</t>
  </si>
  <si>
    <t>H00-1006905</t>
  </si>
  <si>
    <t>H01-993443</t>
  </si>
  <si>
    <t>L00-1018142</t>
  </si>
  <si>
    <t>L00-1018159</t>
  </si>
  <si>
    <t>L00-1018169</t>
  </si>
  <si>
    <t>L00-1018170</t>
  </si>
  <si>
    <t>L00-1018174</t>
  </si>
  <si>
    <t>L00-1018204</t>
  </si>
  <si>
    <t>L00-1018212</t>
  </si>
  <si>
    <t>L00-1018251</t>
  </si>
  <si>
    <t>L00-1018270</t>
  </si>
  <si>
    <t>L00-1018309</t>
  </si>
  <si>
    <t>L00-1018360</t>
  </si>
  <si>
    <t>L00-1018380</t>
  </si>
  <si>
    <t>L00-1018418</t>
  </si>
  <si>
    <t>L00-1018426</t>
  </si>
  <si>
    <t>L00-1018648</t>
  </si>
  <si>
    <t>L00-1018691</t>
  </si>
  <si>
    <t>L00-1024629</t>
  </si>
  <si>
    <t>L00-1024636</t>
  </si>
  <si>
    <t>L00-1024736</t>
  </si>
  <si>
    <t>L00-1025233</t>
  </si>
  <si>
    <t>L00-1025244</t>
  </si>
  <si>
    <t>L01-999552</t>
  </si>
  <si>
    <t>L01-999553</t>
  </si>
  <si>
    <t>L01-999555</t>
  </si>
  <si>
    <t>L01-999567</t>
  </si>
  <si>
    <t>L01-1005120</t>
  </si>
  <si>
    <t>L06-994731</t>
  </si>
  <si>
    <t>L06-1000331</t>
  </si>
  <si>
    <t>L06-1000456</t>
  </si>
  <si>
    <t>L06-1000457</t>
  </si>
  <si>
    <t>M20-1002684</t>
  </si>
  <si>
    <t>M20-1002685</t>
  </si>
  <si>
    <t>M20-1002704</t>
  </si>
  <si>
    <t>M20-1002728</t>
  </si>
  <si>
    <t>M20-1002739</t>
  </si>
  <si>
    <t>MS5-913874</t>
  </si>
  <si>
    <t>P00-996407</t>
  </si>
  <si>
    <t>Q02-936326</t>
  </si>
  <si>
    <t>S00-999432</t>
  </si>
  <si>
    <t>T00-999385</t>
  </si>
  <si>
    <t>T00-999425</t>
  </si>
  <si>
    <t>T00-1005006</t>
  </si>
  <si>
    <t>Y00-1002544</t>
  </si>
  <si>
    <t>Y00-1008105</t>
  </si>
  <si>
    <t>Y00-1008116</t>
  </si>
  <si>
    <t>Y01-816844</t>
  </si>
  <si>
    <t>Y02-998986</t>
  </si>
  <si>
    <t>Y10-921720</t>
  </si>
  <si>
    <t>C00-999466</t>
  </si>
  <si>
    <t>C00-999474</t>
  </si>
  <si>
    <t>C01-995943</t>
  </si>
  <si>
    <t>C01-995969</t>
  </si>
  <si>
    <t>C01-995971</t>
  </si>
  <si>
    <t>C01-995973</t>
  </si>
  <si>
    <t>D70-1004986</t>
  </si>
  <si>
    <t>D70-1005047</t>
  </si>
  <si>
    <t>D70-1010709</t>
  </si>
  <si>
    <t>D70-1010848</t>
  </si>
  <si>
    <t>F04-976044</t>
  </si>
  <si>
    <t>G00-996927</t>
  </si>
  <si>
    <t>G00-1002460</t>
  </si>
  <si>
    <t>G05-964045</t>
  </si>
  <si>
    <t>G05-964068</t>
  </si>
  <si>
    <t>G05-964077</t>
  </si>
  <si>
    <t>G05-964078</t>
  </si>
  <si>
    <t>H00-1001322</t>
  </si>
  <si>
    <t>H00-1001331</t>
  </si>
  <si>
    <t>H00-1006955</t>
  </si>
  <si>
    <t>L00-1018167</t>
  </si>
  <si>
    <t>L00-1018211</t>
  </si>
  <si>
    <t>L00-1018233</t>
  </si>
  <si>
    <t>L00-1018236</t>
  </si>
  <si>
    <t>L00-1018249</t>
  </si>
  <si>
    <t>L00-1018267</t>
  </si>
  <si>
    <t>L00-1018306</t>
  </si>
  <si>
    <t>L00-1018307</t>
  </si>
  <si>
    <t>L00-1018317</t>
  </si>
  <si>
    <t>L00-1018337</t>
  </si>
  <si>
    <t>L00-1018338</t>
  </si>
  <si>
    <t>L00-1018357</t>
  </si>
  <si>
    <t>L00-1018361</t>
  </si>
  <si>
    <t>L00-1018372</t>
  </si>
  <si>
    <t>L00-1018454</t>
  </si>
  <si>
    <t>L00-1018471</t>
  </si>
  <si>
    <t>L00-1018475</t>
  </si>
  <si>
    <t>L00-1018531</t>
  </si>
  <si>
    <t>L00-1018535</t>
  </si>
  <si>
    <t>L00-1018544</t>
  </si>
  <si>
    <t>L00-1018561</t>
  </si>
  <si>
    <t>L00-1018635</t>
  </si>
  <si>
    <t>L00-1018642</t>
  </si>
  <si>
    <t>L00-1018653</t>
  </si>
  <si>
    <t>L00-1024578</t>
  </si>
  <si>
    <t>L00-1024612</t>
  </si>
  <si>
    <t>L00-1025319</t>
  </si>
  <si>
    <t>L00-1025343</t>
  </si>
  <si>
    <t>L01-999526</t>
  </si>
  <si>
    <t>L01-999540</t>
  </si>
  <si>
    <t>L06-994707</t>
  </si>
  <si>
    <t>L06-994772</t>
  </si>
  <si>
    <t>L06-1000355</t>
  </si>
  <si>
    <t>L06-1000455</t>
  </si>
  <si>
    <t>L06-1000472</t>
  </si>
  <si>
    <t>L07-978435</t>
  </si>
  <si>
    <t>L07-978439</t>
  </si>
  <si>
    <t>L07-978453</t>
  </si>
  <si>
    <t>L07-978476</t>
  </si>
  <si>
    <t>L07-983517</t>
  </si>
  <si>
    <t>L07-984021</t>
  </si>
  <si>
    <t>M00-1000222</t>
  </si>
  <si>
    <t>M00-1000227</t>
  </si>
  <si>
    <t>M00-1005775</t>
  </si>
  <si>
    <t>M00-1005781</t>
  </si>
  <si>
    <t>M05-1006518</t>
  </si>
  <si>
    <t>M11-924912</t>
  </si>
  <si>
    <t>M17-587850</t>
  </si>
  <si>
    <t>M20-1002686</t>
  </si>
  <si>
    <t>M20-1002743</t>
  </si>
  <si>
    <t>M20-1008330</t>
  </si>
  <si>
    <t>M20-1008335</t>
  </si>
  <si>
    <t>MC7-17663</t>
  </si>
  <si>
    <t>MC7-17664</t>
  </si>
  <si>
    <t>MS1-999229</t>
  </si>
  <si>
    <t>MS5-913876</t>
  </si>
  <si>
    <t>MS5-913885</t>
  </si>
  <si>
    <t>MS5-913886</t>
  </si>
  <si>
    <t>MSJ-232202</t>
  </si>
  <si>
    <t>P00-996428</t>
  </si>
  <si>
    <t>P00-1002007</t>
  </si>
  <si>
    <t>P01-998255</t>
  </si>
  <si>
    <t>P06-1002580</t>
  </si>
  <si>
    <t>P06-1002582</t>
  </si>
  <si>
    <t>Q00-999577</t>
  </si>
  <si>
    <t>Q02-930733</t>
  </si>
  <si>
    <t>Q02-930734</t>
  </si>
  <si>
    <t>Q02-936333</t>
  </si>
  <si>
    <t>Q02-936334</t>
  </si>
  <si>
    <t>T00-999383</t>
  </si>
  <si>
    <t>T00-999410</t>
  </si>
  <si>
    <t>T02-998373</t>
  </si>
  <si>
    <t>T02-998374</t>
  </si>
  <si>
    <t>T02-998376</t>
  </si>
  <si>
    <t>T02-1003913</t>
  </si>
  <si>
    <t>Y00-1002505</t>
  </si>
  <si>
    <t>Y00-1008126</t>
  </si>
  <si>
    <t>Y00-1008201</t>
  </si>
  <si>
    <t>Y11-983863</t>
  </si>
  <si>
    <t>C00-999456</t>
  </si>
  <si>
    <t>C00-999470</t>
  </si>
  <si>
    <t>C00-1005095</t>
  </si>
  <si>
    <t>D00-1011306</t>
  </si>
  <si>
    <t>D00-1011350</t>
  </si>
  <si>
    <t>D00-1011366</t>
  </si>
  <si>
    <t>D00-1011448</t>
  </si>
  <si>
    <t>D00-1011506</t>
  </si>
  <si>
    <t>D00-1011507</t>
  </si>
  <si>
    <t>D00-1011538</t>
  </si>
  <si>
    <t>D00-1017193</t>
  </si>
  <si>
    <t>D00-1017233</t>
  </si>
  <si>
    <t>D00-1017234</t>
  </si>
  <si>
    <t>D00-1017236</t>
  </si>
  <si>
    <t>D00-1017257</t>
  </si>
  <si>
    <t>D00-1017487</t>
  </si>
  <si>
    <t>D70-1004999</t>
  </si>
  <si>
    <t>D70-1005033</t>
  </si>
  <si>
    <t>D70-1005036</t>
  </si>
  <si>
    <t>D70-1005053</t>
  </si>
  <si>
    <t>D70-1005056</t>
  </si>
  <si>
    <t>E00-1001914</t>
  </si>
  <si>
    <t>E00-1001923</t>
  </si>
  <si>
    <t>F02-996616</t>
  </si>
  <si>
    <t>F04-981615</t>
  </si>
  <si>
    <t>G05-964075</t>
  </si>
  <si>
    <t>G05-964093</t>
  </si>
  <si>
    <t>H00-1001323</t>
  </si>
  <si>
    <t>H01-993432</t>
  </si>
  <si>
    <t>H01-998977</t>
  </si>
  <si>
    <t>L00-1018177</t>
  </si>
  <si>
    <t>L00-1018235</t>
  </si>
  <si>
    <t>L00-1018275</t>
  </si>
  <si>
    <t>L00-1018291</t>
  </si>
  <si>
    <t>L00-1018339</t>
  </si>
  <si>
    <t>L00-1018340</t>
  </si>
  <si>
    <t>L00-1018353</t>
  </si>
  <si>
    <t>L00-1018366</t>
  </si>
  <si>
    <t>L00-1018371</t>
  </si>
  <si>
    <t>L00-1018379</t>
  </si>
  <si>
    <t>L00-1018433</t>
  </si>
  <si>
    <t>L00-1018449</t>
  </si>
  <si>
    <t>L00-1018526</t>
  </si>
  <si>
    <t>L00-1018527</t>
  </si>
  <si>
    <t>L00-1018534</t>
  </si>
  <si>
    <t>L00-1018550</t>
  </si>
  <si>
    <t>L00-1018551</t>
  </si>
  <si>
    <t>L00-1018555</t>
  </si>
  <si>
    <t>L00-1018557</t>
  </si>
  <si>
    <t>L00-1018563</t>
  </si>
  <si>
    <t>L00-1018564</t>
  </si>
  <si>
    <t>L00-1018566</t>
  </si>
  <si>
    <t>L00-1018638</t>
  </si>
  <si>
    <t>L00-1018640</t>
  </si>
  <si>
    <t>L00-1018649</t>
  </si>
  <si>
    <t>L00-1018686</t>
  </si>
  <si>
    <t>L00-1018694</t>
  </si>
  <si>
    <t>L00-1018698</t>
  </si>
  <si>
    <t>L00-1024572</t>
  </si>
  <si>
    <t>L00-1024603</t>
  </si>
  <si>
    <t>L00-1024610</t>
  </si>
  <si>
    <t>L00-1024631</t>
  </si>
  <si>
    <t>L00-1024640</t>
  </si>
  <si>
    <t>L00-1024703</t>
  </si>
  <si>
    <t>L00-1025228</t>
  </si>
  <si>
    <t>L00-1025229</t>
  </si>
  <si>
    <t>L00-1025259</t>
  </si>
  <si>
    <t>L06-994678</t>
  </si>
  <si>
    <t>L06-994684</t>
  </si>
  <si>
    <t>L06-994701</t>
  </si>
  <si>
    <t>L06-994708</t>
  </si>
  <si>
    <t>L06-994727</t>
  </si>
  <si>
    <t>L06-994770</t>
  </si>
  <si>
    <t>L06-1000332</t>
  </si>
  <si>
    <t>L06-1000347</t>
  </si>
  <si>
    <t>L06-1000352</t>
  </si>
  <si>
    <t>L06-1000364</t>
  </si>
  <si>
    <t>L07-978443</t>
  </si>
  <si>
    <t>M00-1000221</t>
  </si>
  <si>
    <t>M14-980873</t>
  </si>
  <si>
    <t>M20-1002696</t>
  </si>
  <si>
    <t>M20-1008431</t>
  </si>
  <si>
    <t>MC1-998751</t>
  </si>
  <si>
    <t>MC1-998754</t>
  </si>
  <si>
    <t>MS5-913873</t>
  </si>
  <si>
    <t>P00-996393</t>
  </si>
  <si>
    <t>P00-996406</t>
  </si>
  <si>
    <t>P00-1002020</t>
  </si>
  <si>
    <t>Q00-999597</t>
  </si>
  <si>
    <t>T00-1005000</t>
  </si>
  <si>
    <t>T03-999863</t>
  </si>
  <si>
    <t>Y00-1002494</t>
  </si>
  <si>
    <t>Y00-1002498</t>
  </si>
  <si>
    <t>Y00-1002499</t>
  </si>
  <si>
    <t>Y00-1002500</t>
  </si>
  <si>
    <t>Y00-1002536</t>
  </si>
  <si>
    <t>Y00-1002537</t>
  </si>
  <si>
    <t>Y00-1008117</t>
  </si>
  <si>
    <t>Y17-862337</t>
  </si>
  <si>
    <t>C01-995932</t>
  </si>
  <si>
    <t>C01-1001037</t>
  </si>
  <si>
    <t>D00-1011213</t>
  </si>
  <si>
    <t>D00-1011264</t>
  </si>
  <si>
    <t>D00-1011293</t>
  </si>
  <si>
    <t>D00-1011299</t>
  </si>
  <si>
    <t>D00-1011335</t>
  </si>
  <si>
    <t>D00-1011338</t>
  </si>
  <si>
    <t>D70-1005052</t>
  </si>
  <si>
    <t>F04-976029</t>
  </si>
  <si>
    <t>F04-981651</t>
  </si>
  <si>
    <t>F10-996399</t>
  </si>
  <si>
    <t>G00-996915</t>
  </si>
  <si>
    <t>G00-996917</t>
  </si>
  <si>
    <t>G00-996924</t>
  </si>
  <si>
    <t>G00-996937</t>
  </si>
  <si>
    <t>G05-964042</t>
  </si>
  <si>
    <t>G05-964065</t>
  </si>
  <si>
    <t>G05-964085</t>
  </si>
  <si>
    <t>G11-993999</t>
  </si>
  <si>
    <t>H00-1001328</t>
  </si>
  <si>
    <t>H00-1001341</t>
  </si>
  <si>
    <t>H00-1001359</t>
  </si>
  <si>
    <t>H00-1006900</t>
  </si>
  <si>
    <t>H00-1006908</t>
  </si>
  <si>
    <t>L00-1018154</t>
  </si>
  <si>
    <t>L00-1018178</t>
  </si>
  <si>
    <t>L00-1018201</t>
  </si>
  <si>
    <t>L00-1018237</t>
  </si>
  <si>
    <t>L00-1018238</t>
  </si>
  <si>
    <t>L00-1018239</t>
  </si>
  <si>
    <t>L00-1018241</t>
  </si>
  <si>
    <t>L00-1018255</t>
  </si>
  <si>
    <t>L00-1018256</t>
  </si>
  <si>
    <t>L00-1018257</t>
  </si>
  <si>
    <t>L00-1018297</t>
  </si>
  <si>
    <t>L00-1018331</t>
  </si>
  <si>
    <t>L00-1018341</t>
  </si>
  <si>
    <t>L00-1018411</t>
  </si>
  <si>
    <t>L00-1018420</t>
  </si>
  <si>
    <t>L00-1018465</t>
  </si>
  <si>
    <t>L00-1018529</t>
  </si>
  <si>
    <t>L00-1018542</t>
  </si>
  <si>
    <t>L00-1018556</t>
  </si>
  <si>
    <t>L00-1018697</t>
  </si>
  <si>
    <t>L00-1024647</t>
  </si>
  <si>
    <t>L00-1024668</t>
  </si>
  <si>
    <t>L00-1025231</t>
  </si>
  <si>
    <t>L01-999524</t>
  </si>
  <si>
    <t>L01-999527</t>
  </si>
  <si>
    <t>L01-999538</t>
  </si>
  <si>
    <t>L06-994677</t>
  </si>
  <si>
    <t>L06-994696</t>
  </si>
  <si>
    <t>L06-994740</t>
  </si>
  <si>
    <t>L06-994743</t>
  </si>
  <si>
    <t>L06-1000471</t>
  </si>
  <si>
    <t>L07-978455</t>
  </si>
  <si>
    <t>L07-978459</t>
  </si>
  <si>
    <t>L07-978460</t>
  </si>
  <si>
    <t>M05-1000951</t>
  </si>
  <si>
    <t>M14-980920</t>
  </si>
  <si>
    <t>M20-1002682</t>
  </si>
  <si>
    <t>M20-1002742</t>
  </si>
  <si>
    <t>M20-1008326</t>
  </si>
  <si>
    <t>M20-1008328</t>
  </si>
  <si>
    <t>P01-998248</t>
  </si>
  <si>
    <t>P01-1003790</t>
  </si>
  <si>
    <t>Q00-999557</t>
  </si>
  <si>
    <t>Q00-999563</t>
  </si>
  <si>
    <t>Q00-999569</t>
  </si>
  <si>
    <t>Q00-999580</t>
  </si>
  <si>
    <t>Q00-999582</t>
  </si>
  <si>
    <t>Q00-999600</t>
  </si>
  <si>
    <t>T00-999419</t>
  </si>
  <si>
    <t>T00-1005010</t>
  </si>
  <si>
    <t>Y00-1002445</t>
  </si>
  <si>
    <t>Y00-1002446</t>
  </si>
  <si>
    <t>Y00-1002455</t>
  </si>
  <si>
    <t>Y00-1002456</t>
  </si>
  <si>
    <t>Y00-1002462</t>
  </si>
  <si>
    <t>Y00-1002488</t>
  </si>
  <si>
    <t>Y00-1008121</t>
  </si>
  <si>
    <t>Y00-1008200</t>
  </si>
  <si>
    <t>Y01-811304</t>
  </si>
  <si>
    <t>C01-995942</t>
  </si>
  <si>
    <t>C01-995977</t>
  </si>
  <si>
    <t>C01-995979</t>
  </si>
  <si>
    <t>C01-995980</t>
  </si>
  <si>
    <t>D00-1011359</t>
  </si>
  <si>
    <t>D00-1011489</t>
  </si>
  <si>
    <t>D00-1011497</t>
  </si>
  <si>
    <t>D00-1011503</t>
  </si>
  <si>
    <t>D00-1017194</t>
  </si>
  <si>
    <t>D00-1017195</t>
  </si>
  <si>
    <t>D00-1017272</t>
  </si>
  <si>
    <t>D70-1005016</t>
  </si>
  <si>
    <t>F02-996618</t>
  </si>
  <si>
    <t>G05-964063</t>
  </si>
  <si>
    <t>G05-964064</t>
  </si>
  <si>
    <t>G11-993987</t>
  </si>
  <si>
    <t>H00-1001325</t>
  </si>
  <si>
    <t>H00-1001361</t>
  </si>
  <si>
    <t>H00-1001362</t>
  </si>
  <si>
    <t>L00-1018153</t>
  </si>
  <si>
    <t>L00-1018200</t>
  </si>
  <si>
    <t>L00-1018206</t>
  </si>
  <si>
    <t>L00-1018228</t>
  </si>
  <si>
    <t>L00-1018234</t>
  </si>
  <si>
    <t>L00-1018294</t>
  </si>
  <si>
    <t>L00-1018320</t>
  </si>
  <si>
    <t>L00-1018356</t>
  </si>
  <si>
    <t>L00-1018358</t>
  </si>
  <si>
    <t>L00-1018374</t>
  </si>
  <si>
    <t>L00-1018435</t>
  </si>
  <si>
    <t>L00-1018441</t>
  </si>
  <si>
    <t>L00-1018442</t>
  </si>
  <si>
    <t>L00-1018443</t>
  </si>
  <si>
    <t>L00-1018444</t>
  </si>
  <si>
    <t>L00-1018445</t>
  </si>
  <si>
    <t>L00-1018621</t>
  </si>
  <si>
    <t>L00-1018659</t>
  </si>
  <si>
    <t>L00-1018689</t>
  </si>
  <si>
    <t>L00-1018702</t>
  </si>
  <si>
    <t>L00-1024712</t>
  </si>
  <si>
    <t>L00-1025207</t>
  </si>
  <si>
    <t>L00-1025223</t>
  </si>
  <si>
    <t>L01-999532</t>
  </si>
  <si>
    <t>L01-999546</t>
  </si>
  <si>
    <t>L01-999557</t>
  </si>
  <si>
    <t>L01-999569</t>
  </si>
  <si>
    <t>L01-999570</t>
  </si>
  <si>
    <t>L01-1005110</t>
  </si>
  <si>
    <t>L06-994689</t>
  </si>
  <si>
    <t>L06-994710</t>
  </si>
  <si>
    <t>L06-994723</t>
  </si>
  <si>
    <t>L06-1000346</t>
  </si>
  <si>
    <t>L07-978457</t>
  </si>
  <si>
    <t>L07-978461</t>
  </si>
  <si>
    <t>M00-1000214</t>
  </si>
  <si>
    <t>M05-1000949</t>
  </si>
  <si>
    <t>M05-1000952</t>
  </si>
  <si>
    <t>M05-1000962</t>
  </si>
  <si>
    <t>M05-1006519</t>
  </si>
  <si>
    <t>M14-980858</t>
  </si>
  <si>
    <t>M14-980860</t>
  </si>
  <si>
    <t>M17-582332</t>
  </si>
  <si>
    <t>M20-1002687</t>
  </si>
  <si>
    <t>M20-1002726</t>
  </si>
  <si>
    <t>M20-1002755</t>
  </si>
  <si>
    <t>MC1-998736</t>
  </si>
  <si>
    <t>MC1-998761</t>
  </si>
  <si>
    <t>MS5-913881</t>
  </si>
  <si>
    <t>MSG-372581</t>
  </si>
  <si>
    <t>MSG-372582</t>
  </si>
  <si>
    <t>P00-996381</t>
  </si>
  <si>
    <t>P00-996417</t>
  </si>
  <si>
    <t>P00-996418</t>
  </si>
  <si>
    <t>P00-996419</t>
  </si>
  <si>
    <t>P00-996422</t>
  </si>
  <si>
    <t>P00-1001997</t>
  </si>
  <si>
    <t>P00-1002009</t>
  </si>
  <si>
    <t>P00-1002111</t>
  </si>
  <si>
    <t>P00-1002113</t>
  </si>
  <si>
    <t>P01-998260</t>
  </si>
  <si>
    <t>P06-1002579</t>
  </si>
  <si>
    <t>Q00-999592</t>
  </si>
  <si>
    <t>Q00-1005139</t>
  </si>
  <si>
    <t>Q02-930735</t>
  </si>
  <si>
    <t>Q02-930768</t>
  </si>
  <si>
    <t>T00-999412</t>
  </si>
  <si>
    <t>Y00-1002435</t>
  </si>
  <si>
    <t>Y00-1002450</t>
  </si>
  <si>
    <t>Y00-1002457</t>
  </si>
  <si>
    <t>Y00-1002459</t>
  </si>
  <si>
    <t>Y00-1002460</t>
  </si>
  <si>
    <t>Y00-1002476</t>
  </si>
  <si>
    <t>Y00-1002489</t>
  </si>
  <si>
    <t>Y00-1002490</t>
  </si>
  <si>
    <t>Y00-1002518</t>
  </si>
  <si>
    <t>Y00-1008106</t>
  </si>
  <si>
    <t>Y01-816875</t>
  </si>
  <si>
    <t>Y11-989391</t>
  </si>
  <si>
    <t>C00-999475</t>
  </si>
  <si>
    <t>C00-1005031</t>
  </si>
  <si>
    <t>C00-1005032</t>
  </si>
  <si>
    <t>C00-1005049</t>
  </si>
  <si>
    <t>C00-1005088</t>
  </si>
  <si>
    <t>C01-995928</t>
  </si>
  <si>
    <t>C01-995930</t>
  </si>
  <si>
    <t>C01-995931</t>
  </si>
  <si>
    <t>C01-995941</t>
  </si>
  <si>
    <t>C01-995944</t>
  </si>
  <si>
    <t>C01-995966</t>
  </si>
  <si>
    <t>C01-995968</t>
  </si>
  <si>
    <t>C01-995978</t>
  </si>
  <si>
    <t>C01-1001544</t>
  </si>
  <si>
    <t>D00-1011214</t>
  </si>
  <si>
    <t>D00-1011296</t>
  </si>
  <si>
    <t>D00-1011313</t>
  </si>
  <si>
    <t>D00-1011340</t>
  </si>
  <si>
    <t>D00-1011357</t>
  </si>
  <si>
    <t>D00-1011409</t>
  </si>
  <si>
    <t>D00-1017202</t>
  </si>
  <si>
    <t>D70-1005011</t>
  </si>
  <si>
    <t>D70-1005012</t>
  </si>
  <si>
    <t>D70-1005013</t>
  </si>
  <si>
    <t>D70-1005018</t>
  </si>
  <si>
    <t>D70-1005035</t>
  </si>
  <si>
    <t>D70-1005086</t>
  </si>
  <si>
    <t>D70-1010857</t>
  </si>
  <si>
    <t>F02-996613</t>
  </si>
  <si>
    <t>F02-996615</t>
  </si>
  <si>
    <t>G00-996919</t>
  </si>
  <si>
    <t>G00-996922</t>
  </si>
  <si>
    <t>G05-964044</t>
  </si>
  <si>
    <t>G05-964046</t>
  </si>
  <si>
    <t>G05-964057</t>
  </si>
  <si>
    <t>G05-964076</t>
  </si>
  <si>
    <t>G05-964083</t>
  </si>
  <si>
    <t>G05-964095</t>
  </si>
  <si>
    <t>G05-964096</t>
  </si>
  <si>
    <t>H00-1001306</t>
  </si>
  <si>
    <t>H00-1001326</t>
  </si>
  <si>
    <t>H00-1001353</t>
  </si>
  <si>
    <t>H00-1006910</t>
  </si>
  <si>
    <t>H01-993446</t>
  </si>
  <si>
    <t>L00-1018149</t>
  </si>
  <si>
    <t>L00-1018179</t>
  </si>
  <si>
    <t>L00-1018283</t>
  </si>
  <si>
    <t>L00-1018321</t>
  </si>
  <si>
    <t>L00-1018332</t>
  </si>
  <si>
    <t>L00-1018359</t>
  </si>
  <si>
    <t>L00-1018364</t>
  </si>
  <si>
    <t>L00-1018373</t>
  </si>
  <si>
    <t>L00-1018385</t>
  </si>
  <si>
    <t>L00-1018386</t>
  </si>
  <si>
    <t>L00-1018387</t>
  </si>
  <si>
    <t>L00-1018392</t>
  </si>
  <si>
    <t>L00-1018393</t>
  </si>
  <si>
    <t>L00-1018437</t>
  </si>
  <si>
    <t>L00-1018439</t>
  </si>
  <si>
    <t>L00-1018446</t>
  </si>
  <si>
    <t>L00-1018518</t>
  </si>
  <si>
    <t>L00-1018538</t>
  </si>
  <si>
    <t>L00-1018543</t>
  </si>
  <si>
    <t>L00-1018567</t>
  </si>
  <si>
    <t>L00-1024607</t>
  </si>
  <si>
    <t>L00-1024609</t>
  </si>
  <si>
    <t>L00-1024722</t>
  </si>
  <si>
    <t>L06-994726</t>
  </si>
  <si>
    <t>L06-994729</t>
  </si>
  <si>
    <t>L06-1000476</t>
  </si>
  <si>
    <t>L07-978428</t>
  </si>
  <si>
    <t>L07-978430</t>
  </si>
  <si>
    <t>L07-978437</t>
  </si>
  <si>
    <t>M00-1000223</t>
  </si>
  <si>
    <t>M00-1000230</t>
  </si>
  <si>
    <t>M05-1000957</t>
  </si>
  <si>
    <t>M05-1000963</t>
  </si>
  <si>
    <t>M05-1006494</t>
  </si>
  <si>
    <t>M14-980853</t>
  </si>
  <si>
    <t>M14-980859</t>
  </si>
  <si>
    <t>M17-587851</t>
  </si>
  <si>
    <t>M20-1002721</t>
  </si>
  <si>
    <t>M20-1002722</t>
  </si>
  <si>
    <t>M20-1002723</t>
  </si>
  <si>
    <t>M20-1002724</t>
  </si>
  <si>
    <t>M20-1002748</t>
  </si>
  <si>
    <t>MC1-998734</t>
  </si>
  <si>
    <t>MC1-998735</t>
  </si>
  <si>
    <t>P00-996413</t>
  </si>
  <si>
    <t>Q00-999599</t>
  </si>
  <si>
    <t>Q00-1005184</t>
  </si>
  <si>
    <t>Q00-1005185</t>
  </si>
  <si>
    <t>Q02-936328</t>
  </si>
  <si>
    <t>T00-999418</t>
  </si>
  <si>
    <t>Y00-1002441</t>
  </si>
  <si>
    <t>Y00-1002444</t>
  </si>
  <si>
    <t>Y00-1002470</t>
  </si>
  <si>
    <t>Y00-1002506</t>
  </si>
  <si>
    <t>Y00-1008104</t>
  </si>
  <si>
    <t>Y01-811308</t>
  </si>
  <si>
    <t>Y01-811312</t>
  </si>
  <si>
    <t>Y02-998974</t>
  </si>
  <si>
    <t>Y11-983861</t>
  </si>
  <si>
    <t>Y11-983862</t>
  </si>
  <si>
    <t>C00-999461</t>
  </si>
  <si>
    <t>C00-999479</t>
  </si>
  <si>
    <t>C00-1005084</t>
  </si>
  <si>
    <t>C00-1005087</t>
  </si>
  <si>
    <t>C01-995983</t>
  </si>
  <si>
    <t>C01-995984</t>
  </si>
  <si>
    <t>C01-1001540</t>
  </si>
  <si>
    <t>D00-1011276</t>
  </si>
  <si>
    <t>D00-1011321</t>
  </si>
  <si>
    <t>D00-1011322</t>
  </si>
  <si>
    <t>D00-1011349</t>
  </si>
  <si>
    <t>D00-1011352</t>
  </si>
  <si>
    <t>D00-1011365</t>
  </si>
  <si>
    <t>D00-1011371</t>
  </si>
  <si>
    <t>D00-1017264</t>
  </si>
  <si>
    <t>D00-1017265</t>
  </si>
  <si>
    <t>D00-1017298</t>
  </si>
  <si>
    <t>D70-1004929</t>
  </si>
  <si>
    <t>D70-1004962</t>
  </si>
  <si>
    <t>D70-1004970</t>
  </si>
  <si>
    <t>D70-1005021</t>
  </si>
  <si>
    <t>D70-1010904</t>
  </si>
  <si>
    <t>E00-996401</t>
  </si>
  <si>
    <t>G00-996931</t>
  </si>
  <si>
    <t>G05-964051</t>
  </si>
  <si>
    <t>G11-993983</t>
  </si>
  <si>
    <t>G11-993991</t>
  </si>
  <si>
    <t>H00-1001318</t>
  </si>
  <si>
    <t>H00-1001343</t>
  </si>
  <si>
    <t>H00-1006906</t>
  </si>
  <si>
    <t>H01-993437</t>
  </si>
  <si>
    <t>H01-993439</t>
  </si>
  <si>
    <t>L00-1018202</t>
  </si>
  <si>
    <t>L00-1018240</t>
  </si>
  <si>
    <t>L00-1018245</t>
  </si>
  <si>
    <t>L00-1018247</t>
  </si>
  <si>
    <t>L00-1018248</t>
  </si>
  <si>
    <t>L00-1018253</t>
  </si>
  <si>
    <t>L00-1018269</t>
  </si>
  <si>
    <t>L00-1018284</t>
  </si>
  <si>
    <t>L00-1018290</t>
  </si>
  <si>
    <t>L00-1018308</t>
  </si>
  <si>
    <t>L00-1018333</t>
  </si>
  <si>
    <t>L00-1018355</t>
  </si>
  <si>
    <t>L00-1018388</t>
  </si>
  <si>
    <t>L00-1018391</t>
  </si>
  <si>
    <t>L00-1018456</t>
  </si>
  <si>
    <t>L00-1018476</t>
  </si>
  <si>
    <t>L00-1018541</t>
  </si>
  <si>
    <t>L00-1018570</t>
  </si>
  <si>
    <t>L00-1018572</t>
  </si>
  <si>
    <t>L00-1018595</t>
  </si>
  <si>
    <t>L00-1018701</t>
  </si>
  <si>
    <t>L00-1024569</t>
  </si>
  <si>
    <t>L00-1024574</t>
  </si>
  <si>
    <t>L00-1024683</t>
  </si>
  <si>
    <t>L06-994706</t>
  </si>
  <si>
    <t>L06-1000360</t>
  </si>
  <si>
    <t>L07-978449</t>
  </si>
  <si>
    <t>L07-978450</t>
  </si>
  <si>
    <t>L07-978451</t>
  </si>
  <si>
    <t>M05-1000947</t>
  </si>
  <si>
    <t>M05-1000953</t>
  </si>
  <si>
    <t>M05-1000954</t>
  </si>
  <si>
    <t>M05-1000959</t>
  </si>
  <si>
    <t>M05-1000960</t>
  </si>
  <si>
    <t>M05-1006522</t>
  </si>
  <si>
    <t>M11-919351</t>
  </si>
  <si>
    <t>M11-919364</t>
  </si>
  <si>
    <t>M20-1002708</t>
  </si>
  <si>
    <t>M20-1002716</t>
  </si>
  <si>
    <t>M20-1002719</t>
  </si>
  <si>
    <t>M20-1002720</t>
  </si>
  <si>
    <t>M20-1008423</t>
  </si>
  <si>
    <t>MC1-998738</t>
  </si>
  <si>
    <t>MC7-17666</t>
  </si>
  <si>
    <t>P00-996387</t>
  </si>
  <si>
    <t>P00-996397</t>
  </si>
  <si>
    <t>P00-996408</t>
  </si>
  <si>
    <t>P00-996421</t>
  </si>
  <si>
    <t>P00-996424</t>
  </si>
  <si>
    <t>P00-1002023</t>
  </si>
  <si>
    <t>P00-1002076</t>
  </si>
  <si>
    <t>P01-998251</t>
  </si>
  <si>
    <t>P07-995105</t>
  </si>
  <si>
    <t>Q00-999583</t>
  </si>
  <si>
    <t>Q00-999586</t>
  </si>
  <si>
    <t>Q00-999589</t>
  </si>
  <si>
    <t>Q02-930742</t>
  </si>
  <si>
    <t>Q02-930744</t>
  </si>
  <si>
    <t>Q02-930745</t>
  </si>
  <si>
    <t>Q02-930747</t>
  </si>
  <si>
    <t>Q02-930751</t>
  </si>
  <si>
    <t>Q02-930764</t>
  </si>
  <si>
    <t>Q02-930765</t>
  </si>
  <si>
    <t>Q02-936341</t>
  </si>
  <si>
    <t>T00-999386</t>
  </si>
  <si>
    <t>T00-999389</t>
  </si>
  <si>
    <t>T00-999392</t>
  </si>
  <si>
    <t>T00-1005041</t>
  </si>
  <si>
    <t>T00-1005052</t>
  </si>
  <si>
    <t>T02-998377</t>
  </si>
  <si>
    <t>T02-1003930</t>
  </si>
  <si>
    <t>Y00-1002458</t>
  </si>
  <si>
    <t>Y00-1002479</t>
  </si>
  <si>
    <t>C00-999472</t>
  </si>
  <si>
    <t>C00-999476</t>
  </si>
  <si>
    <t>C00-1005096</t>
  </si>
  <si>
    <t>C01-995938</t>
  </si>
  <si>
    <t>C01-995946</t>
  </si>
  <si>
    <t>C01-995949</t>
  </si>
  <si>
    <t>C01-995981</t>
  </si>
  <si>
    <t>C01-1001538</t>
  </si>
  <si>
    <t>C01-1001547</t>
  </si>
  <si>
    <t>C01-1001548</t>
  </si>
  <si>
    <t>C01-1001549</t>
  </si>
  <si>
    <t>D00-1011215</t>
  </si>
  <si>
    <t>D00-1011227</t>
  </si>
  <si>
    <t>D00-1011250</t>
  </si>
  <si>
    <t>D00-1011256</t>
  </si>
  <si>
    <t>D00-1011263</t>
  </si>
  <si>
    <t>D00-1011277</t>
  </si>
  <si>
    <t>D00-1011288</t>
  </si>
  <si>
    <t>D00-1011301</t>
  </si>
  <si>
    <t>D00-1011337</t>
  </si>
  <si>
    <t>D00-1011347</t>
  </si>
  <si>
    <t>D00-1011362</t>
  </si>
  <si>
    <t>D00-1011374</t>
  </si>
  <si>
    <t>D00-1011378</t>
  </si>
  <si>
    <t>D00-1011380</t>
  </si>
  <si>
    <t>D00-1011410</t>
  </si>
  <si>
    <t>D00-1011412</t>
  </si>
  <si>
    <t>D00-1011452</t>
  </si>
  <si>
    <t>D00-1011533</t>
  </si>
  <si>
    <t>D00-1017231</t>
  </si>
  <si>
    <t>D00-1017258</t>
  </si>
  <si>
    <t>D00-1017485</t>
  </si>
  <si>
    <t>D00-1017540</t>
  </si>
  <si>
    <t>D00-1017642</t>
  </si>
  <si>
    <t>D70-1004944</t>
  </si>
  <si>
    <t>D70-1004945</t>
  </si>
  <si>
    <t>D70-1004953</t>
  </si>
  <si>
    <t>D70-1004954</t>
  </si>
  <si>
    <t>D70-1004958</t>
  </si>
  <si>
    <t>D70-1004959</t>
  </si>
  <si>
    <t>D70-1004972</t>
  </si>
  <si>
    <t>D70-1004973</t>
  </si>
  <si>
    <t>D70-1004975</t>
  </si>
  <si>
    <t>D70-1004982</t>
  </si>
  <si>
    <t>D70-1004987</t>
  </si>
  <si>
    <t>D70-1005003</t>
  </si>
  <si>
    <t>D70-1005005</t>
  </si>
  <si>
    <t>D70-1005014</t>
  </si>
  <si>
    <t>D70-1005020</t>
  </si>
  <si>
    <t>D70-1005034</t>
  </si>
  <si>
    <t>D70-1005044</t>
  </si>
  <si>
    <t>D70-1005049</t>
  </si>
  <si>
    <t>D70-1005058</t>
  </si>
  <si>
    <t>D70-1005059</t>
  </si>
  <si>
    <t>D70-1005077</t>
  </si>
  <si>
    <t>D70-1005078</t>
  </si>
  <si>
    <t>D70-1010685</t>
  </si>
  <si>
    <t>D70-1010700</t>
  </si>
  <si>
    <t>D70-1010704</t>
  </si>
  <si>
    <t>D70-1010839</t>
  </si>
  <si>
    <t>E00-996399</t>
  </si>
  <si>
    <t>E00-996402</t>
  </si>
  <si>
    <t>F02-996631</t>
  </si>
  <si>
    <t>F04-976030</t>
  </si>
  <si>
    <t>F04-976031</t>
  </si>
  <si>
    <t>F04-976032</t>
  </si>
  <si>
    <t>F04-976036</t>
  </si>
  <si>
    <t>F04-976039</t>
  </si>
  <si>
    <t>F04-976052</t>
  </si>
  <si>
    <t>F04-976078</t>
  </si>
  <si>
    <t>F04-981646</t>
  </si>
  <si>
    <t>G00-996926</t>
  </si>
  <si>
    <t>G00-996934</t>
  </si>
  <si>
    <t>G05-964047</t>
  </si>
  <si>
    <t>G05-964058</t>
  </si>
  <si>
    <t>G05-964059</t>
  </si>
  <si>
    <t>G05-964067</t>
  </si>
  <si>
    <t>G05-969664</t>
  </si>
  <si>
    <t>G05-969733</t>
  </si>
  <si>
    <t>H00-1001309</t>
  </si>
  <si>
    <t>H00-1001310</t>
  </si>
  <si>
    <t>H00-1001311</t>
  </si>
  <si>
    <t>H00-1001319</t>
  </si>
  <si>
    <t>H00-1001320</t>
  </si>
  <si>
    <t>H00-1001321</t>
  </si>
  <si>
    <t>H00-1001333</t>
  </si>
  <si>
    <t>H00-1001334</t>
  </si>
  <si>
    <t>H00-1001336</t>
  </si>
  <si>
    <t>H00-1001345</t>
  </si>
  <si>
    <t>H00-1001354</t>
  </si>
  <si>
    <t>H00-1006901</t>
  </si>
  <si>
    <t>H01-993441</t>
  </si>
  <si>
    <t>H01-993442</t>
  </si>
  <si>
    <t>L00-1018139</t>
  </si>
  <si>
    <t>L00-1018156</t>
  </si>
  <si>
    <t>L00-1018157</t>
  </si>
  <si>
    <t>L00-1018158</t>
  </si>
  <si>
    <t>L00-1018162</t>
  </si>
  <si>
    <t>L00-1018181</t>
  </si>
  <si>
    <t>L00-1018182</t>
  </si>
  <si>
    <t>L00-1018243</t>
  </si>
  <si>
    <t>L00-1018246</t>
  </si>
  <si>
    <t>L00-1018271</t>
  </si>
  <si>
    <t>L00-1018286</t>
  </si>
  <si>
    <t>L00-1018287</t>
  </si>
  <si>
    <t>L00-1018295</t>
  </si>
  <si>
    <t>L00-1018304</t>
  </si>
  <si>
    <t>L00-1018322</t>
  </si>
  <si>
    <t>L00-1018323</t>
  </si>
  <si>
    <t>L00-1018362</t>
  </si>
  <si>
    <t>L00-1018396</t>
  </si>
  <si>
    <t>L00-1018397</t>
  </si>
  <si>
    <t>L00-1018430</t>
  </si>
  <si>
    <t>L00-1018450</t>
  </si>
  <si>
    <t>L00-1018451</t>
  </si>
  <si>
    <t>L00-1018483</t>
  </si>
  <si>
    <t>L00-1018490</t>
  </si>
  <si>
    <t>L00-1018493</t>
  </si>
  <si>
    <t>L00-1018496</t>
  </si>
  <si>
    <t>L00-1018497</t>
  </si>
  <si>
    <t>L00-1018502</t>
  </si>
  <si>
    <t>L00-1018503</t>
  </si>
  <si>
    <t>L00-1018504</t>
  </si>
  <si>
    <t>L00-1018537</t>
  </si>
  <si>
    <t>L00-1018540</t>
  </si>
  <si>
    <t>L00-1018545</t>
  </si>
  <si>
    <t>L00-1018565</t>
  </si>
  <si>
    <t>L00-1018658</t>
  </si>
  <si>
    <t>L00-1018660</t>
  </si>
  <si>
    <t>L00-1018681</t>
  </si>
  <si>
    <t>L00-1018682</t>
  </si>
  <si>
    <t>L00-1018693</t>
  </si>
  <si>
    <t>L00-1018700</t>
  </si>
  <si>
    <t>L00-1018703</t>
  </si>
  <si>
    <t>L00-1018704</t>
  </si>
  <si>
    <t>L00-1018709</t>
  </si>
  <si>
    <t>L00-1024009</t>
  </si>
  <si>
    <t>L00-1024577</t>
  </si>
  <si>
    <t>L00-1024656</t>
  </si>
  <si>
    <t>L00-1024670</t>
  </si>
  <si>
    <t>L00-1024721</t>
  </si>
  <si>
    <t>L00-1025208</t>
  </si>
  <si>
    <t>L00-1025237</t>
  </si>
  <si>
    <t>L00-1025249</t>
  </si>
  <si>
    <t>L00-1025252</t>
  </si>
  <si>
    <t>L00-1025286</t>
  </si>
  <si>
    <t>L00-1025293</t>
  </si>
  <si>
    <t>L01-999551</t>
  </si>
  <si>
    <t>L01-999558</t>
  </si>
  <si>
    <t>L01-999580</t>
  </si>
  <si>
    <t>L01-1005111</t>
  </si>
  <si>
    <t>L01-1005117</t>
  </si>
  <si>
    <t>L01-1005123</t>
  </si>
  <si>
    <t>L01-1005124</t>
  </si>
  <si>
    <t>L06-994672</t>
  </si>
  <si>
    <t>L06-994679</t>
  </si>
  <si>
    <t>L06-994683</t>
  </si>
  <si>
    <t>L06-994686</t>
  </si>
  <si>
    <t>L06-994702</t>
  </si>
  <si>
    <t>L06-994714</t>
  </si>
  <si>
    <t>L06-994716</t>
  </si>
  <si>
    <t>L06-994744</t>
  </si>
  <si>
    <t>L06-994769</t>
  </si>
  <si>
    <t>L06-999830</t>
  </si>
  <si>
    <t>L06-1000353</t>
  </si>
  <si>
    <t>L06-1000356</t>
  </si>
  <si>
    <t>L06-1000462</t>
  </si>
  <si>
    <t>L07-978429</t>
  </si>
  <si>
    <t>L07-978436</t>
  </si>
  <si>
    <t>L07-978438</t>
  </si>
  <si>
    <t>M00-1000208</t>
  </si>
  <si>
    <t>M00-1000228</t>
  </si>
  <si>
    <t>M00-1005774</t>
  </si>
  <si>
    <t>M00-1005776</t>
  </si>
  <si>
    <t>M00-1005777</t>
  </si>
  <si>
    <t>M11-919349</t>
  </si>
  <si>
    <t>M11-919350</t>
  </si>
  <si>
    <t>M11-919352</t>
  </si>
  <si>
    <t>M11-919367</t>
  </si>
  <si>
    <t>M11-924914</t>
  </si>
  <si>
    <t>M14-980864</t>
  </si>
  <si>
    <t>M14-980876</t>
  </si>
  <si>
    <t>M14-980879</t>
  </si>
  <si>
    <t>M14-980895</t>
  </si>
  <si>
    <t>M14-980919</t>
  </si>
  <si>
    <t>M14-986423</t>
  </si>
  <si>
    <t>M14-986451</t>
  </si>
  <si>
    <t>M14-986452</t>
  </si>
  <si>
    <t>M14-986456</t>
  </si>
  <si>
    <t>M20-1002680</t>
  </si>
  <si>
    <t>M20-1002683</t>
  </si>
  <si>
    <t>M20-1002688</t>
  </si>
  <si>
    <t>M20-1002697</t>
  </si>
  <si>
    <t>M20-1002701</t>
  </si>
  <si>
    <t>M20-1002712</t>
  </si>
  <si>
    <t>M20-1002727</t>
  </si>
  <si>
    <t>M20-1002729</t>
  </si>
  <si>
    <t>M20-1002730</t>
  </si>
  <si>
    <t>M20-1002731</t>
  </si>
  <si>
    <t>M20-1002738</t>
  </si>
  <si>
    <t>M20-1002741</t>
  </si>
  <si>
    <t>M20-1002747</t>
  </si>
  <si>
    <t>M20-1002752</t>
  </si>
  <si>
    <t>M20-1007807</t>
  </si>
  <si>
    <t>M20-1008308</t>
  </si>
  <si>
    <t>M20-1008321</t>
  </si>
  <si>
    <t>M20-1008325</t>
  </si>
  <si>
    <t>M20-1008331</t>
  </si>
  <si>
    <t>M20-1008420</t>
  </si>
  <si>
    <t>M20-1008433</t>
  </si>
  <si>
    <t>M25-848869</t>
  </si>
  <si>
    <t>MC1-998755</t>
  </si>
  <si>
    <t>MC1-998756</t>
  </si>
  <si>
    <t>MC1-998760</t>
  </si>
  <si>
    <t>ML0-226228</t>
  </si>
  <si>
    <t>MS1-999238</t>
  </si>
  <si>
    <t>MS5-913888</t>
  </si>
  <si>
    <t>P00-996375</t>
  </si>
  <si>
    <t>P00-996390</t>
  </si>
  <si>
    <t>P00-996391</t>
  </si>
  <si>
    <t>P00-996392</t>
  </si>
  <si>
    <t>P00-996396</t>
  </si>
  <si>
    <t>P00-996404</t>
  </si>
  <si>
    <t>P00-996409</t>
  </si>
  <si>
    <t>P01-998247</t>
  </si>
  <si>
    <t>P06-997070</t>
  </si>
  <si>
    <t>P07-995101</t>
  </si>
  <si>
    <t>Q00-999565</t>
  </si>
  <si>
    <t>Q00-999566</t>
  </si>
  <si>
    <t>Q00-999567</t>
  </si>
  <si>
    <t>Q00-999570</t>
  </si>
  <si>
    <t>Q00-999571</t>
  </si>
  <si>
    <t>Q00-999576</t>
  </si>
  <si>
    <t>Q00-999591</t>
  </si>
  <si>
    <t>Q00-1005138</t>
  </si>
  <si>
    <t>Q02-930730</t>
  </si>
  <si>
    <t>Q02-930743</t>
  </si>
  <si>
    <t>Q02-930746</t>
  </si>
  <si>
    <t>Q02-930748</t>
  </si>
  <si>
    <t>Q02-930749</t>
  </si>
  <si>
    <t>Q02-930750</t>
  </si>
  <si>
    <t>Q02-930755</t>
  </si>
  <si>
    <t>Q02-930771</t>
  </si>
  <si>
    <t>Q02-936342</t>
  </si>
  <si>
    <t>T00-999405</t>
  </si>
  <si>
    <t>T00-999406</t>
  </si>
  <si>
    <t>T00-999407</t>
  </si>
  <si>
    <t>T00-999408</t>
  </si>
  <si>
    <t>T00-1005001</t>
  </si>
  <si>
    <t>T00-1005042</t>
  </si>
  <si>
    <t>Y00-1002433</t>
  </si>
  <si>
    <t>Y00-1002440</t>
  </si>
  <si>
    <t>Y00-1002461</t>
  </si>
  <si>
    <t>Y00-1002467</t>
  </si>
  <si>
    <t>Y00-1002468</t>
  </si>
  <si>
    <t>Y00-1002471</t>
  </si>
  <si>
    <t>Y00-1002480</t>
  </si>
  <si>
    <t>Y00-1002492</t>
  </si>
  <si>
    <t>Y00-1002501</t>
  </si>
  <si>
    <t>Y00-1002504</t>
  </si>
  <si>
    <t>Y00-1002513</t>
  </si>
  <si>
    <t>Y00-1008130</t>
  </si>
  <si>
    <t>Y01-811309</t>
  </si>
  <si>
    <t>Y02-993464</t>
  </si>
  <si>
    <t>Y02-993465</t>
  </si>
  <si>
    <t>Y15-217674</t>
  </si>
  <si>
    <t>Y15-217675</t>
  </si>
  <si>
    <t>Y15-217678</t>
  </si>
  <si>
    <t>Y17-862339</t>
  </si>
  <si>
    <t>Y17-867851</t>
  </si>
  <si>
    <t>C00-1004522</t>
  </si>
  <si>
    <t>C00-1004524</t>
  </si>
  <si>
    <t>C00-1004525</t>
  </si>
  <si>
    <t>C00-1004527</t>
  </si>
  <si>
    <t>C01-1001550</t>
  </si>
  <si>
    <t>D00-1011500</t>
  </si>
  <si>
    <t>D00-1011511</t>
  </si>
  <si>
    <t>D00-1011515</t>
  </si>
  <si>
    <t>D00-1011520</t>
  </si>
  <si>
    <t>D00-1011526</t>
  </si>
  <si>
    <t>D00-1016543</t>
  </si>
  <si>
    <t>D00-1016545</t>
  </si>
  <si>
    <t>D00-1016550</t>
  </si>
  <si>
    <t>D00-1016579</t>
  </si>
  <si>
    <t>D00-1016588</t>
  </si>
  <si>
    <t>D00-1016593</t>
  </si>
  <si>
    <t>D00-1016631</t>
  </si>
  <si>
    <t>D00-1016632</t>
  </si>
  <si>
    <t>D00-1016638</t>
  </si>
  <si>
    <t>D00-1016639</t>
  </si>
  <si>
    <t>D00-1017149</t>
  </si>
  <si>
    <t>D00-1017150</t>
  </si>
  <si>
    <t>D00-1017153</t>
  </si>
  <si>
    <t>D00-1017159</t>
  </si>
  <si>
    <t>D00-1017160</t>
  </si>
  <si>
    <t>D00-1017161</t>
  </si>
  <si>
    <t>D00-1017216</t>
  </si>
  <si>
    <t>D00-1017323</t>
  </si>
  <si>
    <t>D00-1017483</t>
  </si>
  <si>
    <t>D00-1017530</t>
  </si>
  <si>
    <t>D00-1017533</t>
  </si>
  <si>
    <t>D00-1017550</t>
  </si>
  <si>
    <t>D70-1010105</t>
  </si>
  <si>
    <t>D70-1010106</t>
  </si>
  <si>
    <t>D70-1010123</t>
  </si>
  <si>
    <t>D70-1010124</t>
  </si>
  <si>
    <t>D70-1010125</t>
  </si>
  <si>
    <t>D70-1010126</t>
  </si>
  <si>
    <t>D70-1010133</t>
  </si>
  <si>
    <t>D70-1010174</t>
  </si>
  <si>
    <t>D70-1010178</t>
  </si>
  <si>
    <t>D70-1010181</t>
  </si>
  <si>
    <t>D70-1010689</t>
  </si>
  <si>
    <t>D70-1010702</t>
  </si>
  <si>
    <t>D70-1010708</t>
  </si>
  <si>
    <t>D70-1010715</t>
  </si>
  <si>
    <t>D70-1010724</t>
  </si>
  <si>
    <t>E00-996407</t>
  </si>
  <si>
    <t>F02-1001649</t>
  </si>
  <si>
    <t>F02-1002155</t>
  </si>
  <si>
    <t>F04-976080</t>
  </si>
  <si>
    <t>F04-976081</t>
  </si>
  <si>
    <t>F04-976085</t>
  </si>
  <si>
    <t>F04-981093</t>
  </si>
  <si>
    <t>F04-981094</t>
  </si>
  <si>
    <t>F04-981597</t>
  </si>
  <si>
    <t>F04-981644</t>
  </si>
  <si>
    <t>F10-1001400</t>
  </si>
  <si>
    <t>F10-1001405</t>
  </si>
  <si>
    <t>F10-1001406</t>
  </si>
  <si>
    <t>F10-1001922</t>
  </si>
  <si>
    <t>G05-964133</t>
  </si>
  <si>
    <t>G22-156231</t>
  </si>
  <si>
    <t>L00-1023781</t>
  </si>
  <si>
    <t>L00-1023804</t>
  </si>
  <si>
    <t>L00-1023805</t>
  </si>
  <si>
    <t>L00-1023880</t>
  </si>
  <si>
    <t>L00-1023881</t>
  </si>
  <si>
    <t>L00-1023945</t>
  </si>
  <si>
    <t>L00-1023954</t>
  </si>
  <si>
    <t>L00-1023994</t>
  </si>
  <si>
    <t>L00-1024619</t>
  </si>
  <si>
    <t>L00-1025209</t>
  </si>
  <si>
    <t>L00-1025227</t>
  </si>
  <si>
    <t>L00-1025251</t>
  </si>
  <si>
    <t>L06-999800</t>
  </si>
  <si>
    <t>L06-999811</t>
  </si>
  <si>
    <t>L06-999813</t>
  </si>
  <si>
    <t>L06-999814</t>
  </si>
  <si>
    <t>L07-983491</t>
  </si>
  <si>
    <t>L07-984033</t>
  </si>
  <si>
    <t>L12-375249</t>
  </si>
  <si>
    <t>M05-1006490</t>
  </si>
  <si>
    <t>M05-1006520</t>
  </si>
  <si>
    <t>M14-980898</t>
  </si>
  <si>
    <t>M20-1002776</t>
  </si>
  <si>
    <t>MC1-998769</t>
  </si>
  <si>
    <t>MH0-582258</t>
  </si>
  <si>
    <t>ML0-231735</t>
  </si>
  <si>
    <t>MS5-913892</t>
  </si>
  <si>
    <t>MS5-913893</t>
  </si>
  <si>
    <t>MS5-913895</t>
  </si>
  <si>
    <t>MS5-913901</t>
  </si>
  <si>
    <t>MS5-913902</t>
  </si>
  <si>
    <t>MS5-913903</t>
  </si>
  <si>
    <t>MS5-913904</t>
  </si>
  <si>
    <t>MS5-913905</t>
  </si>
  <si>
    <t>MS5-919420</t>
  </si>
  <si>
    <t>Q02-935808</t>
  </si>
  <si>
    <t>Q02-935814</t>
  </si>
  <si>
    <t>T00-1004440</t>
  </si>
  <si>
    <t>T00-1004492</t>
  </si>
  <si>
    <t>T00-1005045</t>
  </si>
  <si>
    <t>T00-1005053</t>
  </si>
  <si>
    <t>T02-1003401</t>
  </si>
  <si>
    <t>T02-1003402</t>
  </si>
  <si>
    <t>T02-1003403</t>
  </si>
  <si>
    <t>T02-1003404</t>
  </si>
  <si>
    <t>T02-1003405</t>
  </si>
  <si>
    <t>T02-1003407</t>
  </si>
  <si>
    <t>T02-1003408</t>
  </si>
  <si>
    <t>T02-1003409</t>
  </si>
  <si>
    <t>Y01-816327</t>
  </si>
  <si>
    <t>Y01-816329</t>
  </si>
  <si>
    <t>Y17-867346</t>
  </si>
  <si>
    <t>C01-1001025</t>
  </si>
  <si>
    <t>C01-1001035</t>
  </si>
  <si>
    <t>C01-1001553</t>
  </si>
  <si>
    <t>C16-811669</t>
  </si>
  <si>
    <t>D00-1016563</t>
  </si>
  <si>
    <t>D70-1010111</t>
  </si>
  <si>
    <t>G00-996953</t>
  </si>
  <si>
    <t>G05-969662</t>
  </si>
  <si>
    <t>G05-969731</t>
  </si>
  <si>
    <t>G11-999011</t>
  </si>
  <si>
    <t>G11-999013</t>
  </si>
  <si>
    <t>H00-1006379</t>
  </si>
  <si>
    <t>H01-998979</t>
  </si>
  <si>
    <t>L00-1023717</t>
  </si>
  <si>
    <t>L00-1023755</t>
  </si>
  <si>
    <t>L00-1023774</t>
  </si>
  <si>
    <t>L00-1023808</t>
  </si>
  <si>
    <t>L00-1023933</t>
  </si>
  <si>
    <t>L00-1023934</t>
  </si>
  <si>
    <t>L00-1023969</t>
  </si>
  <si>
    <t>L00-1024669</t>
  </si>
  <si>
    <t>L00-1025257</t>
  </si>
  <si>
    <t>L01-1005126</t>
  </si>
  <si>
    <t>L01-1005165</t>
  </si>
  <si>
    <t>L06-999807</t>
  </si>
  <si>
    <t>L07-983501</t>
  </si>
  <si>
    <t>L07-984034</t>
  </si>
  <si>
    <t>L07-984092</t>
  </si>
  <si>
    <t>M11-919388</t>
  </si>
  <si>
    <t>M14-986454</t>
  </si>
  <si>
    <t>MC1-998763</t>
  </si>
  <si>
    <t>MC1-998765</t>
  </si>
  <si>
    <t>MC1-998772</t>
  </si>
  <si>
    <t>MC1-998777</t>
  </si>
  <si>
    <t>MC1-1004338</t>
  </si>
  <si>
    <t>P00-1001481</t>
  </si>
  <si>
    <t>P01-998277</t>
  </si>
  <si>
    <t>Q02-936329</t>
  </si>
  <si>
    <t>Y00-1007587</t>
  </si>
  <si>
    <t>Y00-1008142</t>
  </si>
  <si>
    <t>Y00-1008199</t>
  </si>
  <si>
    <t>Y11-988884</t>
  </si>
  <si>
    <t>C00-1004502</t>
  </si>
  <si>
    <t>C00-1005100</t>
  </si>
  <si>
    <t>D00-1016616</t>
  </si>
  <si>
    <t>D70-1010089</t>
  </si>
  <si>
    <t>D70-1010853</t>
  </si>
  <si>
    <t>F04-981095</t>
  </si>
  <si>
    <t>F04-981634</t>
  </si>
  <si>
    <t>F10-1001404</t>
  </si>
  <si>
    <t>G00-996954</t>
  </si>
  <si>
    <t>G05-964116</t>
  </si>
  <si>
    <t>G05-964118</t>
  </si>
  <si>
    <t>G05-969661</t>
  </si>
  <si>
    <t>G05-969663</t>
  </si>
  <si>
    <t>G11-999000</t>
  </si>
  <si>
    <t>G11-999004</t>
  </si>
  <si>
    <t>H00-1006364</t>
  </si>
  <si>
    <t>L00-1023861</t>
  </si>
  <si>
    <t>L00-1023882</t>
  </si>
  <si>
    <t>L00-1023936</t>
  </si>
  <si>
    <t>L00-1024651</t>
  </si>
  <si>
    <t>L00-1024652</t>
  </si>
  <si>
    <t>L00-1024719</t>
  </si>
  <si>
    <t>L00-1024744</t>
  </si>
  <si>
    <t>L00-1024750</t>
  </si>
  <si>
    <t>L00-1025205</t>
  </si>
  <si>
    <t>L01-1004596</t>
  </si>
  <si>
    <t>L06-999804</t>
  </si>
  <si>
    <t>L06-1000363</t>
  </si>
  <si>
    <t>L07-983494</t>
  </si>
  <si>
    <t>L07-983502</t>
  </si>
  <si>
    <t>M11-919383</t>
  </si>
  <si>
    <t>M20-1002795</t>
  </si>
  <si>
    <t>P00-1001472</t>
  </si>
  <si>
    <t>P00-1001475</t>
  </si>
  <si>
    <t>P00-1001476</t>
  </si>
  <si>
    <t>P00-1002092</t>
  </si>
  <si>
    <t>T02-1003915</t>
  </si>
  <si>
    <t>T03-1004869</t>
  </si>
  <si>
    <t>Y00-1007565</t>
  </si>
  <si>
    <t>Y01-816335</t>
  </si>
  <si>
    <t>Y01-816846</t>
  </si>
  <si>
    <t>Y17-867345</t>
  </si>
  <si>
    <t>Y17-867347</t>
  </si>
  <si>
    <t>Y17-867866</t>
  </si>
  <si>
    <t>C00-1004504</t>
  </si>
  <si>
    <t>C01-1001031</t>
  </si>
  <si>
    <t>D70-1010844</t>
  </si>
  <si>
    <t>D70-1010876</t>
  </si>
  <si>
    <t>F02-1001642</t>
  </si>
  <si>
    <t>F04-976073</t>
  </si>
  <si>
    <t>F04-976079</t>
  </si>
  <si>
    <t>G22-156233</t>
  </si>
  <si>
    <t>H00-1006393</t>
  </si>
  <si>
    <t>L00-1023719</t>
  </si>
  <si>
    <t>L00-1023720</t>
  </si>
  <si>
    <t>L00-1023731</t>
  </si>
  <si>
    <t>L00-1023775</t>
  </si>
  <si>
    <t>L00-1023776</t>
  </si>
  <si>
    <t>L00-1023777</t>
  </si>
  <si>
    <t>L00-1023863</t>
  </si>
  <si>
    <t>L00-1023888</t>
  </si>
  <si>
    <t>L00-1023907</t>
  </si>
  <si>
    <t>L00-1024528</t>
  </si>
  <si>
    <t>L00-1024613</t>
  </si>
  <si>
    <t>L00-1024634</t>
  </si>
  <si>
    <t>L01-1004594</t>
  </si>
  <si>
    <t>L06-999816</t>
  </si>
  <si>
    <t>L07-983484</t>
  </si>
  <si>
    <t>L07-983490</t>
  </si>
  <si>
    <t>M00-1005253</t>
  </si>
  <si>
    <t>M00-1005254</t>
  </si>
  <si>
    <t>M00-1005256</t>
  </si>
  <si>
    <t>M00-1005259</t>
  </si>
  <si>
    <t>M05-1006483</t>
  </si>
  <si>
    <t>M11-919391</t>
  </si>
  <si>
    <t>M11-919392</t>
  </si>
  <si>
    <t>M14-980906</t>
  </si>
  <si>
    <t>M20-1002780</t>
  </si>
  <si>
    <t>P00-1001487</t>
  </si>
  <si>
    <t>P01-998273</t>
  </si>
  <si>
    <t>P01-998274</t>
  </si>
  <si>
    <t>P06-1002075</t>
  </si>
  <si>
    <t>T00-1004441</t>
  </si>
  <si>
    <t>Y00-1007552</t>
  </si>
  <si>
    <t>Y00-1007585</t>
  </si>
  <si>
    <t>Y01-816325</t>
  </si>
  <si>
    <t>Y11-988881</t>
  </si>
  <si>
    <t>C00-1004515</t>
  </si>
  <si>
    <t>C00-1005101</t>
  </si>
  <si>
    <t>C01-1001029</t>
  </si>
  <si>
    <t>C01-1001614</t>
  </si>
  <si>
    <t>D00-1016565</t>
  </si>
  <si>
    <t>D00-1016567</t>
  </si>
  <si>
    <t>D00-1017281</t>
  </si>
  <si>
    <t>D00-1017282</t>
  </si>
  <si>
    <t>D70-1010090</t>
  </si>
  <si>
    <t>D70-1010151</t>
  </si>
  <si>
    <t>D70-1010858</t>
  </si>
  <si>
    <t>D70-1010878</t>
  </si>
  <si>
    <t>F04-981088</t>
  </si>
  <si>
    <t>G05-964134</t>
  </si>
  <si>
    <t>H00-1006363</t>
  </si>
  <si>
    <t>H00-1006397</t>
  </si>
  <si>
    <t>L00-1023778</t>
  </si>
  <si>
    <t>L00-1023829</t>
  </si>
  <si>
    <t>L00-1023833</t>
  </si>
  <si>
    <t>L00-1023931</t>
  </si>
  <si>
    <t>L00-1023959</t>
  </si>
  <si>
    <t>L00-1023960</t>
  </si>
  <si>
    <t>L00-1023976</t>
  </si>
  <si>
    <t>L00-1024690</t>
  </si>
  <si>
    <t>L06-999791</t>
  </si>
  <si>
    <t>L07-983492</t>
  </si>
  <si>
    <t>M00-1005241</t>
  </si>
  <si>
    <t>M00-1005260</t>
  </si>
  <si>
    <t>M00-1005785</t>
  </si>
  <si>
    <t>MC1-998767</t>
  </si>
  <si>
    <t>ML0-226229</t>
  </si>
  <si>
    <t>ML0-226231</t>
  </si>
  <si>
    <t>MS1-999240</t>
  </si>
  <si>
    <t>Q00-1004625</t>
  </si>
  <si>
    <t>Q02-935806</t>
  </si>
  <si>
    <t>Q02-935811</t>
  </si>
  <si>
    <t>Q02-935823</t>
  </si>
  <si>
    <t>Q02-936417</t>
  </si>
  <si>
    <t>T02-1003398</t>
  </si>
  <si>
    <t>Y00-1007566</t>
  </si>
  <si>
    <t>Y00-1007588</t>
  </si>
  <si>
    <t>Y00-1007589</t>
  </si>
  <si>
    <t>Y11-988883</t>
  </si>
  <si>
    <t>C00-1005041</t>
  </si>
  <si>
    <t>C00-1005042</t>
  </si>
  <si>
    <t>C00-1005043</t>
  </si>
  <si>
    <t>C01-1001022</t>
  </si>
  <si>
    <t>C01-1001600</t>
  </si>
  <si>
    <t>D00-1016581</t>
  </si>
  <si>
    <t>D00-1016612</t>
  </si>
  <si>
    <t>D00-1017157</t>
  </si>
  <si>
    <t>D00-1017478</t>
  </si>
  <si>
    <t>D00-1017607</t>
  </si>
  <si>
    <t>D70-1010175</t>
  </si>
  <si>
    <t>G00-996946</t>
  </si>
  <si>
    <t>G00-996950</t>
  </si>
  <si>
    <t>G00-996951</t>
  </si>
  <si>
    <t>G00-1002463</t>
  </si>
  <si>
    <t>G11-999555</t>
  </si>
  <si>
    <t>L00-1023779</t>
  </si>
  <si>
    <t>L00-1023780</t>
  </si>
  <si>
    <t>L00-1023782</t>
  </si>
  <si>
    <t>L00-1023796</t>
  </si>
  <si>
    <t>L00-1023807</t>
  </si>
  <si>
    <t>L00-1023820</t>
  </si>
  <si>
    <t>L00-1023828</t>
  </si>
  <si>
    <t>L00-1023886</t>
  </si>
  <si>
    <t>L00-1023891</t>
  </si>
  <si>
    <t>L00-1023892</t>
  </si>
  <si>
    <t>L00-1024001</t>
  </si>
  <si>
    <t>L00-1024026</t>
  </si>
  <si>
    <t>L00-1024628</t>
  </si>
  <si>
    <t>L00-1024660</t>
  </si>
  <si>
    <t>L00-1024672</t>
  </si>
  <si>
    <t>L00-1024710</t>
  </si>
  <si>
    <t>L00-1024725</t>
  </si>
  <si>
    <t>L00-1024735</t>
  </si>
  <si>
    <t>L00-1025345</t>
  </si>
  <si>
    <t>L06-999803</t>
  </si>
  <si>
    <t>L07-983500</t>
  </si>
  <si>
    <t>L07-983503</t>
  </si>
  <si>
    <t>M05-1006491</t>
  </si>
  <si>
    <t>M17-587855</t>
  </si>
  <si>
    <t>M17-587856</t>
  </si>
  <si>
    <t>MSJ-237707</t>
  </si>
  <si>
    <t>MSJ-237708</t>
  </si>
  <si>
    <t>P00-1001459</t>
  </si>
  <si>
    <t>P00-1001483</t>
  </si>
  <si>
    <t>P01-998267</t>
  </si>
  <si>
    <t>P01-998268</t>
  </si>
  <si>
    <t>P01-1003812</t>
  </si>
  <si>
    <t>Q02-935795</t>
  </si>
  <si>
    <t>T00-1004444</t>
  </si>
  <si>
    <t>T00-1004497</t>
  </si>
  <si>
    <t>Y00-1007550</t>
  </si>
  <si>
    <t>Y00-1007584</t>
  </si>
  <si>
    <t>Y00-1007592</t>
  </si>
  <si>
    <t>Y00-1008198</t>
  </si>
  <si>
    <t>Y01-816336</t>
  </si>
  <si>
    <t>C00-1004503</t>
  </si>
  <si>
    <t>C00-1004510</t>
  </si>
  <si>
    <t>C00-1005097</t>
  </si>
  <si>
    <t>C16-811668</t>
  </si>
  <si>
    <t>D00-1011527</t>
  </si>
  <si>
    <t>D00-1016546</t>
  </si>
  <si>
    <t>D00-1016558</t>
  </si>
  <si>
    <t>D00-1016571</t>
  </si>
  <si>
    <t>D00-1016614</t>
  </si>
  <si>
    <t>D00-1017269</t>
  </si>
  <si>
    <t>D00-1017523</t>
  </si>
  <si>
    <t>D70-1010107</t>
  </si>
  <si>
    <t>D70-1010146</t>
  </si>
  <si>
    <t>D70-1010716</t>
  </si>
  <si>
    <t>D70-1010846</t>
  </si>
  <si>
    <t>E00-996404</t>
  </si>
  <si>
    <t>F04-981657</t>
  </si>
  <si>
    <t>G05-964135</t>
  </si>
  <si>
    <t>G05-969666</t>
  </si>
  <si>
    <t>G11-999016</t>
  </si>
  <si>
    <t>G11-999018</t>
  </si>
  <si>
    <t>G11-999566</t>
  </si>
  <si>
    <t>H00-1006377</t>
  </si>
  <si>
    <t>L00-1023726</t>
  </si>
  <si>
    <t>L00-1023809</t>
  </si>
  <si>
    <t>L00-1023817</t>
  </si>
  <si>
    <t>L00-1023840</t>
  </si>
  <si>
    <t>L00-1023842</t>
  </si>
  <si>
    <t>L00-1023846</t>
  </si>
  <si>
    <t>L00-1023853</t>
  </si>
  <si>
    <t>L00-1023928</t>
  </si>
  <si>
    <t>L00-1024706</t>
  </si>
  <si>
    <t>L00-1024737</t>
  </si>
  <si>
    <t>L00-1024756</t>
  </si>
  <si>
    <t>L00-1025203</t>
  </si>
  <si>
    <t>L00-1025222</t>
  </si>
  <si>
    <t>L00-1025224</t>
  </si>
  <si>
    <t>L01-1004581</t>
  </si>
  <si>
    <t>L01-1004583</t>
  </si>
  <si>
    <t>L01-1004584</t>
  </si>
  <si>
    <t>L01-1004587</t>
  </si>
  <si>
    <t>L06-999796</t>
  </si>
  <si>
    <t>L06-999801</t>
  </si>
  <si>
    <t>L06-1000362</t>
  </si>
  <si>
    <t>L07-984091</t>
  </si>
  <si>
    <t>L07-984095</t>
  </si>
  <si>
    <t>M05-1006484</t>
  </si>
  <si>
    <t>M11-919380</t>
  </si>
  <si>
    <t>M11-919381</t>
  </si>
  <si>
    <t>M11-919384</t>
  </si>
  <si>
    <t>M14-980907</t>
  </si>
  <si>
    <t>MS5-913894</t>
  </si>
  <si>
    <t>P00-1001474</t>
  </si>
  <si>
    <t>P07-1000119</t>
  </si>
  <si>
    <t>Q00-1005140</t>
  </si>
  <si>
    <t>Q00-1005209</t>
  </si>
  <si>
    <t>Q02-935799</t>
  </si>
  <si>
    <t>Q02-935812</t>
  </si>
  <si>
    <t>Q02-936330</t>
  </si>
  <si>
    <t>Q02-936343</t>
  </si>
  <si>
    <t>T00-1005047</t>
  </si>
  <si>
    <t>Y00-1007547</t>
  </si>
  <si>
    <t>Y00-1007548</t>
  </si>
  <si>
    <t>Y00-1007567</t>
  </si>
  <si>
    <t>Y00-1008203</t>
  </si>
  <si>
    <t>Y01-816337</t>
  </si>
  <si>
    <t>C01-1001004</t>
  </si>
  <si>
    <t>D00-1016624</t>
  </si>
  <si>
    <t>D70-1010110</t>
  </si>
  <si>
    <t>D70-1010129</t>
  </si>
  <si>
    <t>D70-1010147</t>
  </si>
  <si>
    <t>E00-996405</t>
  </si>
  <si>
    <t>F02-1001645</t>
  </si>
  <si>
    <t>L00-1023721</t>
  </si>
  <si>
    <t>L00-1023737</t>
  </si>
  <si>
    <t>L00-1023815</t>
  </si>
  <si>
    <t>L00-1023847</t>
  </si>
  <si>
    <t>L00-1023848</t>
  </si>
  <si>
    <t>L00-1023972</t>
  </si>
  <si>
    <t>L00-1023982</t>
  </si>
  <si>
    <t>L00-1024608</t>
  </si>
  <si>
    <t>L00-1024708</t>
  </si>
  <si>
    <t>L00-1024715</t>
  </si>
  <si>
    <t>L00-1024716</t>
  </si>
  <si>
    <t>L00-1024717</t>
  </si>
  <si>
    <t>L00-1025238</t>
  </si>
  <si>
    <t>L06-999808</t>
  </si>
  <si>
    <t>L06-1000334</t>
  </si>
  <si>
    <t>L06-1000466</t>
  </si>
  <si>
    <t>L07-983516</t>
  </si>
  <si>
    <t>M11-919377</t>
  </si>
  <si>
    <t>M11-919385</t>
  </si>
  <si>
    <t>M11-919387</t>
  </si>
  <si>
    <t>M11-919395</t>
  </si>
  <si>
    <t>M11-924953</t>
  </si>
  <si>
    <t>MCA-16</t>
  </si>
  <si>
    <t>MCA-5517</t>
  </si>
  <si>
    <t>MCA-5518</t>
  </si>
  <si>
    <t>P00-1001458</t>
  </si>
  <si>
    <t>P00-1001482</t>
  </si>
  <si>
    <t>P07-1000115</t>
  </si>
  <si>
    <t>P07-1000651</t>
  </si>
  <si>
    <t>Q00-1004617</t>
  </si>
  <si>
    <t>Q00-1004623</t>
  </si>
  <si>
    <t>Q00-1005133</t>
  </si>
  <si>
    <t>T00-1005044</t>
  </si>
  <si>
    <t>Y00-1007573</t>
  </si>
  <si>
    <t>Y00-1007596</t>
  </si>
  <si>
    <t>Y00-1008144</t>
  </si>
  <si>
    <t>C01-1001009</t>
  </si>
  <si>
    <t>C01-1001012</t>
  </si>
  <si>
    <t>C01-1001021</t>
  </si>
  <si>
    <t>C01-1001026</t>
  </si>
  <si>
    <t>C01-1001027</t>
  </si>
  <si>
    <t>C01-1001605</t>
  </si>
  <si>
    <t>D70-1010694</t>
  </si>
  <si>
    <t>D70-1010698</t>
  </si>
  <si>
    <t>F02-1002152</t>
  </si>
  <si>
    <t>F10-1001402</t>
  </si>
  <si>
    <t>G00-996956</t>
  </si>
  <si>
    <t>G00-1002494</t>
  </si>
  <si>
    <t>G05-964120</t>
  </si>
  <si>
    <t>G05-969659</t>
  </si>
  <si>
    <t>G05-969730</t>
  </si>
  <si>
    <t>G11-999014</t>
  </si>
  <si>
    <t>H00-1006382</t>
  </si>
  <si>
    <t>H00-1006389</t>
  </si>
  <si>
    <t>H00-1006398</t>
  </si>
  <si>
    <t>L00-1023744</t>
  </si>
  <si>
    <t>L00-1023797</t>
  </si>
  <si>
    <t>L00-1023811</t>
  </si>
  <si>
    <t>L00-1023814</t>
  </si>
  <si>
    <t>L00-1023832</t>
  </si>
  <si>
    <t>L00-1023834</t>
  </si>
  <si>
    <t>L00-1023887</t>
  </si>
  <si>
    <t>L00-1023911</t>
  </si>
  <si>
    <t>L00-1023935</t>
  </si>
  <si>
    <t>L00-1023938</t>
  </si>
  <si>
    <t>L00-1023941</t>
  </si>
  <si>
    <t>L00-1023942</t>
  </si>
  <si>
    <t>L00-1023950</t>
  </si>
  <si>
    <t>L00-1024711</t>
  </si>
  <si>
    <t>L00-1024726</t>
  </si>
  <si>
    <t>L00-1024731</t>
  </si>
  <si>
    <t>L01-1004588</t>
  </si>
  <si>
    <t>L06-999780</t>
  </si>
  <si>
    <t>L06-999781</t>
  </si>
  <si>
    <t>L06-999782</t>
  </si>
  <si>
    <t>L06-1000458</t>
  </si>
  <si>
    <t>L06-1000461</t>
  </si>
  <si>
    <t>M00-1005772</t>
  </si>
  <si>
    <t>M14-980904</t>
  </si>
  <si>
    <t>M14-980909</t>
  </si>
  <si>
    <t>MS1-999243</t>
  </si>
  <si>
    <t>MS5-919423</t>
  </si>
  <si>
    <t>P07-1000117</t>
  </si>
  <si>
    <t>Q00-1004615</t>
  </si>
  <si>
    <t>Q00-1005142</t>
  </si>
  <si>
    <t>T00-1005002</t>
  </si>
  <si>
    <t>T00-1005003</t>
  </si>
  <si>
    <t>T02-1003410</t>
  </si>
  <si>
    <t>Y10-921218</t>
  </si>
  <si>
    <t>D00-1011521</t>
  </si>
  <si>
    <t>D00-1016587</t>
  </si>
  <si>
    <t>D70-1010118</t>
  </si>
  <si>
    <t>D70-1010723</t>
  </si>
  <si>
    <t>D70-1010884</t>
  </si>
  <si>
    <t>D70-1010901</t>
  </si>
  <si>
    <t>F04-981087</t>
  </si>
  <si>
    <t>G00-996939</t>
  </si>
  <si>
    <t>G00-1002492</t>
  </si>
  <si>
    <t>G05-964136</t>
  </si>
  <si>
    <t>G05-964146</t>
  </si>
  <si>
    <t>G05-964147</t>
  </si>
  <si>
    <t>G05-969660</t>
  </si>
  <si>
    <t>H00-1006391</t>
  </si>
  <si>
    <t>H01-998468</t>
  </si>
  <si>
    <t>L00-1023743</t>
  </si>
  <si>
    <t>L00-1023786</t>
  </si>
  <si>
    <t>L00-1023799</t>
  </si>
  <si>
    <t>L00-1023844</t>
  </si>
  <si>
    <t>L00-1023845</t>
  </si>
  <si>
    <t>L00-1023896</t>
  </si>
  <si>
    <t>L00-1023898</t>
  </si>
  <si>
    <t>L00-1023927</t>
  </si>
  <si>
    <t>L00-1023939</t>
  </si>
  <si>
    <t>L00-1023979</t>
  </si>
  <si>
    <t>L00-1023980</t>
  </si>
  <si>
    <t>L00-1023981</t>
  </si>
  <si>
    <t>L00-1024534</t>
  </si>
  <si>
    <t>L00-1024620</t>
  </si>
  <si>
    <t>L00-1024696</t>
  </si>
  <si>
    <t>L00-1024720</t>
  </si>
  <si>
    <t>L01-1004598</t>
  </si>
  <si>
    <t>L01-1005166</t>
  </si>
  <si>
    <t>L07-983477</t>
  </si>
  <si>
    <t>L07-983497</t>
  </si>
  <si>
    <t>L07-983498</t>
  </si>
  <si>
    <t>L07-983509</t>
  </si>
  <si>
    <t>L07-983514</t>
  </si>
  <si>
    <t>M14-980910</t>
  </si>
  <si>
    <t>M17-582346</t>
  </si>
  <si>
    <t>M17-582347</t>
  </si>
  <si>
    <t>M17-587853</t>
  </si>
  <si>
    <t>M20-1002792</t>
  </si>
  <si>
    <t>M20-1008312</t>
  </si>
  <si>
    <t>M20-1008313</t>
  </si>
  <si>
    <t>M20-1008316</t>
  </si>
  <si>
    <t>MH0-582259</t>
  </si>
  <si>
    <t>Q00-1004624</t>
  </si>
  <si>
    <t>Q02-935796</t>
  </si>
  <si>
    <t>S00-998929</t>
  </si>
  <si>
    <t>T00-1004483</t>
  </si>
  <si>
    <t>T00-1004489</t>
  </si>
  <si>
    <t>Y00-1007593</t>
  </si>
  <si>
    <t>Y00-1008141</t>
  </si>
  <si>
    <t>Y01-816334</t>
  </si>
  <si>
    <t>C00-1005034</t>
  </si>
  <si>
    <t>C01-1001001</t>
  </si>
  <si>
    <t>D00-1016554</t>
  </si>
  <si>
    <t>D00-1016557</t>
  </si>
  <si>
    <t>D00-1016602</t>
  </si>
  <si>
    <t>D00-1016610</t>
  </si>
  <si>
    <t>D00-1017155</t>
  </si>
  <si>
    <t>D00-1017503</t>
  </si>
  <si>
    <t>D70-1010096</t>
  </si>
  <si>
    <t>D70-1010108</t>
  </si>
  <si>
    <t>D70-1010172</t>
  </si>
  <si>
    <t>D70-1010710</t>
  </si>
  <si>
    <t>F02-1001636</t>
  </si>
  <si>
    <t>F04-981090</t>
  </si>
  <si>
    <t>G00-996949</t>
  </si>
  <si>
    <t>G05-964130</t>
  </si>
  <si>
    <t>G05-964137</t>
  </si>
  <si>
    <t>H00-1006390</t>
  </si>
  <si>
    <t>H00-1006392</t>
  </si>
  <si>
    <t>H00-1006963</t>
  </si>
  <si>
    <t>H00-1006964</t>
  </si>
  <si>
    <t>L00-1023722</t>
  </si>
  <si>
    <t>L00-1023738</t>
  </si>
  <si>
    <t>L00-1023740</t>
  </si>
  <si>
    <t>L00-1023783</t>
  </si>
  <si>
    <t>L00-1023787</t>
  </si>
  <si>
    <t>L00-1023824</t>
  </si>
  <si>
    <t>L00-1023870</t>
  </si>
  <si>
    <t>L00-1023875</t>
  </si>
  <si>
    <t>L00-1023889</t>
  </si>
  <si>
    <t>L00-1023922</t>
  </si>
  <si>
    <t>L00-1023929</t>
  </si>
  <si>
    <t>L00-1023962</t>
  </si>
  <si>
    <t>L00-1024019</t>
  </si>
  <si>
    <t>L00-1024637</t>
  </si>
  <si>
    <t>L00-1024679</t>
  </si>
  <si>
    <t>L00-1024680</t>
  </si>
  <si>
    <t>L00-1024723</t>
  </si>
  <si>
    <t>L00-1025250</t>
  </si>
  <si>
    <t>L00-1025307</t>
  </si>
  <si>
    <t>L01-1005114</t>
  </si>
  <si>
    <t>L06-999820</t>
  </si>
  <si>
    <t>L06-1000509</t>
  </si>
  <si>
    <t>L07-983510</t>
  </si>
  <si>
    <t>L12-375247</t>
  </si>
  <si>
    <t>M14-980897</t>
  </si>
  <si>
    <t>MC1-998773</t>
  </si>
  <si>
    <t>P00-1001489</t>
  </si>
  <si>
    <t>Q02-935813</t>
  </si>
  <si>
    <t>Q02-935815</t>
  </si>
  <si>
    <t>Q02-936405</t>
  </si>
  <si>
    <t>Q02-936424</t>
  </si>
  <si>
    <t>S00-998930</t>
  </si>
  <si>
    <t>S00-999436</t>
  </si>
  <si>
    <t>Y00-1007556</t>
  </si>
  <si>
    <t>Y00-1007590</t>
  </si>
  <si>
    <t>Y11-989397</t>
  </si>
  <si>
    <t>Y17-867865</t>
  </si>
  <si>
    <t>C01-1001002</t>
  </si>
  <si>
    <t>C01-1001010</t>
  </si>
  <si>
    <t>C01-1001623</t>
  </si>
  <si>
    <t>D00-1016578</t>
  </si>
  <si>
    <t>D00-1016611</t>
  </si>
  <si>
    <t>D00-1016630</t>
  </si>
  <si>
    <t>D00-1017154</t>
  </si>
  <si>
    <t>D00-1017158</t>
  </si>
  <si>
    <t>D00-1017311</t>
  </si>
  <si>
    <t>D00-1017322</t>
  </si>
  <si>
    <t>D70-1010135</t>
  </si>
  <si>
    <t>D70-1010169</t>
  </si>
  <si>
    <t>F02-1001638</t>
  </si>
  <si>
    <t>F02-1002187</t>
  </si>
  <si>
    <t>H00-1006366</t>
  </si>
  <si>
    <t>H00-1006367</t>
  </si>
  <si>
    <t>H00-1006368</t>
  </si>
  <si>
    <t>H00-1006372</t>
  </si>
  <si>
    <t>H00-1006378</t>
  </si>
  <si>
    <t>L00-1023715</t>
  </si>
  <si>
    <t>L00-1023741</t>
  </si>
  <si>
    <t>L00-1023825</t>
  </si>
  <si>
    <t>L00-1023826</t>
  </si>
  <si>
    <t>L00-1023837</t>
  </si>
  <si>
    <t>L00-1023871</t>
  </si>
  <si>
    <t>L00-1023940</t>
  </si>
  <si>
    <t>L00-1023943</t>
  </si>
  <si>
    <t>L00-1023944</t>
  </si>
  <si>
    <t>L00-1023956</t>
  </si>
  <si>
    <t>L00-1024014</t>
  </si>
  <si>
    <t>L00-1024015</t>
  </si>
  <si>
    <t>L00-1024593</t>
  </si>
  <si>
    <t>L00-1024657</t>
  </si>
  <si>
    <t>L07-983478</t>
  </si>
  <si>
    <t>L07-983504</t>
  </si>
  <si>
    <t>L07-983505</t>
  </si>
  <si>
    <t>L07-983513</t>
  </si>
  <si>
    <t>M00-1005262</t>
  </si>
  <si>
    <t>M05-1006475</t>
  </si>
  <si>
    <t>M05-1006478</t>
  </si>
  <si>
    <t>M05-1006525</t>
  </si>
  <si>
    <t>M11-919386</t>
  </si>
  <si>
    <t>M11-919397</t>
  </si>
  <si>
    <t>M14-980908</t>
  </si>
  <si>
    <t>M14-980915</t>
  </si>
  <si>
    <t>M20-1002777</t>
  </si>
  <si>
    <t>M20-1008446</t>
  </si>
  <si>
    <t>P00-1001467</t>
  </si>
  <si>
    <t>P00-1002021</t>
  </si>
  <si>
    <t>Q02-935800</t>
  </si>
  <si>
    <t>Q02-936331</t>
  </si>
  <si>
    <t>Q02-936339</t>
  </si>
  <si>
    <t>T00-1004439</t>
  </si>
  <si>
    <t>T00-1004491</t>
  </si>
  <si>
    <t>Y00-1007574</t>
  </si>
  <si>
    <t>Y00-1008111</t>
  </si>
  <si>
    <t>Y00-1008131</t>
  </si>
  <si>
    <t>Y02-998472</t>
  </si>
  <si>
    <t>C00-1004528</t>
  </si>
  <si>
    <t>D00-1016582</t>
  </si>
  <si>
    <t>D00-1016617</t>
  </si>
  <si>
    <t>D00-1017174</t>
  </si>
  <si>
    <t>D00-1017259</t>
  </si>
  <si>
    <t>F10-1001407</t>
  </si>
  <si>
    <t>G00-996952</t>
  </si>
  <si>
    <t>G11-999001</t>
  </si>
  <si>
    <t>L00-1023718</t>
  </si>
  <si>
    <t>L00-1023784</t>
  </si>
  <si>
    <t>L00-1023793</t>
  </si>
  <si>
    <t>L00-1023800</t>
  </si>
  <si>
    <t>L00-1023801</t>
  </si>
  <si>
    <t>L00-1023803</t>
  </si>
  <si>
    <t>L00-1023862</t>
  </si>
  <si>
    <t>L00-1023872</t>
  </si>
  <si>
    <t>L00-1023885</t>
  </si>
  <si>
    <t>L00-1023915</t>
  </si>
  <si>
    <t>L00-1024004</t>
  </si>
  <si>
    <t>L00-1024529</t>
  </si>
  <si>
    <t>L00-1024531</t>
  </si>
  <si>
    <t>L00-1024727</t>
  </si>
  <si>
    <t>L00-1024749</t>
  </si>
  <si>
    <t>L00-1025210</t>
  </si>
  <si>
    <t>L00-1025217</t>
  </si>
  <si>
    <t>L00-1025248</t>
  </si>
  <si>
    <t>L00-1025269</t>
  </si>
  <si>
    <t>L00-1025285</t>
  </si>
  <si>
    <t>L01-1004606</t>
  </si>
  <si>
    <t>L06-999774</t>
  </si>
  <si>
    <t>L06-999775</t>
  </si>
  <si>
    <t>L06-1000460</t>
  </si>
  <si>
    <t>L07-983506</t>
  </si>
  <si>
    <t>L07-984094</t>
  </si>
  <si>
    <t>M20-1002796</t>
  </si>
  <si>
    <t>M20-1008311</t>
  </si>
  <si>
    <t>M20-1008314</t>
  </si>
  <si>
    <t>M20-1008422</t>
  </si>
  <si>
    <t>M20-1008425</t>
  </si>
  <si>
    <t>MCA-5519</t>
  </si>
  <si>
    <t>P00-1001473</t>
  </si>
  <si>
    <t>Q02-935809</t>
  </si>
  <si>
    <t>T02-1003399</t>
  </si>
  <si>
    <t>T02-1003931</t>
  </si>
  <si>
    <t>T03-1005372</t>
  </si>
  <si>
    <t>Y00-1007561</t>
  </si>
  <si>
    <t>Y00-1008115</t>
  </si>
  <si>
    <t>Y01-816872</t>
  </si>
  <si>
    <t>Y11-989412</t>
  </si>
  <si>
    <t>C00-1004523</t>
  </si>
  <si>
    <t>C00-1005098</t>
  </si>
  <si>
    <t>C00-1005106</t>
  </si>
  <si>
    <t>C01-1001033</t>
  </si>
  <si>
    <t>D00-1016559</t>
  </si>
  <si>
    <t>D00-1016573</t>
  </si>
  <si>
    <t>D00-1016619</t>
  </si>
  <si>
    <t>D00-1017553</t>
  </si>
  <si>
    <t>D70-1010173</t>
  </si>
  <si>
    <t>D70-1010693</t>
  </si>
  <si>
    <t>F02-1001640</t>
  </si>
  <si>
    <t>F04-976082</t>
  </si>
  <si>
    <t>G00-996940</t>
  </si>
  <si>
    <t>G00-1002493</t>
  </si>
  <si>
    <t>G05-964125</t>
  </si>
  <si>
    <t>G11-999567</t>
  </si>
  <si>
    <t>L00-1023768</t>
  </si>
  <si>
    <t>L00-1023790</t>
  </si>
  <si>
    <t>L00-1023792</t>
  </si>
  <si>
    <t>L00-1023810</t>
  </si>
  <si>
    <t>L00-1023856</t>
  </si>
  <si>
    <t>L00-1023908</t>
  </si>
  <si>
    <t>L00-1023913</t>
  </si>
  <si>
    <t>L00-1023957</t>
  </si>
  <si>
    <t>L00-1023967</t>
  </si>
  <si>
    <t>L00-1023983</t>
  </si>
  <si>
    <t>L00-1023986</t>
  </si>
  <si>
    <t>L00-1023999</t>
  </si>
  <si>
    <t>L00-1024687</t>
  </si>
  <si>
    <t>L00-1024707</t>
  </si>
  <si>
    <t>L00-1024732</t>
  </si>
  <si>
    <t>L00-1024738</t>
  </si>
  <si>
    <t>L00-1024753</t>
  </si>
  <si>
    <t>L00-1025287</t>
  </si>
  <si>
    <t>L00-1025401</t>
  </si>
  <si>
    <t>L00-1025402</t>
  </si>
  <si>
    <t>L06-999819</t>
  </si>
  <si>
    <t>L06-1000463</t>
  </si>
  <si>
    <t>L07-983488</t>
  </si>
  <si>
    <t>L07-983493</t>
  </si>
  <si>
    <t>L07-983515</t>
  </si>
  <si>
    <t>M00-1005251</t>
  </si>
  <si>
    <t>M00-1005261</t>
  </si>
  <si>
    <t>M11-924901</t>
  </si>
  <si>
    <t>M17-587854</t>
  </si>
  <si>
    <t>MC1-998776</t>
  </si>
  <si>
    <t>P00-1001463</t>
  </si>
  <si>
    <t>P01-1003787</t>
  </si>
  <si>
    <t>P01-1003788</t>
  </si>
  <si>
    <t>P06-1002602</t>
  </si>
  <si>
    <t>Q02-935819</t>
  </si>
  <si>
    <t>Q02-935825</t>
  </si>
  <si>
    <t>T02-1003400</t>
  </si>
  <si>
    <t>Y00-1007549</t>
  </si>
  <si>
    <t>Y00-1008113</t>
  </si>
  <si>
    <t>Y00-1008114</t>
  </si>
  <si>
    <t>Y17-867850</t>
  </si>
  <si>
    <t>C00-1004516</t>
  </si>
  <si>
    <t>D00-1011465</t>
  </si>
  <si>
    <t>D00-1016541</t>
  </si>
  <si>
    <t>D00-1016551</t>
  </si>
  <si>
    <t>D00-1016553</t>
  </si>
  <si>
    <t>D00-1016590</t>
  </si>
  <si>
    <t>D00-1016601</t>
  </si>
  <si>
    <t>D00-1016603</t>
  </si>
  <si>
    <t>D00-1016618</t>
  </si>
  <si>
    <t>D00-1016622</t>
  </si>
  <si>
    <t>D00-1017175</t>
  </si>
  <si>
    <t>D00-1017507</t>
  </si>
  <si>
    <t>D00-1017510</t>
  </si>
  <si>
    <t>D00-1017627</t>
  </si>
  <si>
    <t>D00-1017628</t>
  </si>
  <si>
    <t>D70-1010098</t>
  </si>
  <si>
    <t>D70-1010137</t>
  </si>
  <si>
    <t>D70-1010164</t>
  </si>
  <si>
    <t>D70-1010177</t>
  </si>
  <si>
    <t>D70-1010721</t>
  </si>
  <si>
    <t>F02-1001637</t>
  </si>
  <si>
    <t>F04-976074</t>
  </si>
  <si>
    <t>F04-981091</t>
  </si>
  <si>
    <t>F04-981092</t>
  </si>
  <si>
    <t>F10-1001403</t>
  </si>
  <si>
    <t>G05-964117</t>
  </si>
  <si>
    <t>G05-964123</t>
  </si>
  <si>
    <t>G05-969734</t>
  </si>
  <si>
    <t>G05-969737</t>
  </si>
  <si>
    <t>H00-1006369</t>
  </si>
  <si>
    <t>H00-1006373</t>
  </si>
  <si>
    <t>H00-1006396</t>
  </si>
  <si>
    <t>H01-998467</t>
  </si>
  <si>
    <t>L00-1023748</t>
  </si>
  <si>
    <t>L00-1023760</t>
  </si>
  <si>
    <t>L00-1023772</t>
  </si>
  <si>
    <t>L00-1023855</t>
  </si>
  <si>
    <t>L00-1023864</t>
  </si>
  <si>
    <t>L00-1023897</t>
  </si>
  <si>
    <t>L00-1023920</t>
  </si>
  <si>
    <t>L00-1023932</t>
  </si>
  <si>
    <t>L00-1023946</t>
  </si>
  <si>
    <t>L00-1023949</t>
  </si>
  <si>
    <t>L00-1023966</t>
  </si>
  <si>
    <t>L00-1023985</t>
  </si>
  <si>
    <t>L00-1024003</t>
  </si>
  <si>
    <t>L00-1024635</t>
  </si>
  <si>
    <t>L00-1024641</t>
  </si>
  <si>
    <t>L00-1024665</t>
  </si>
  <si>
    <t>L00-1024689</t>
  </si>
  <si>
    <t>L00-1024728</t>
  </si>
  <si>
    <t>L00-1024729</t>
  </si>
  <si>
    <t>L00-1024755</t>
  </si>
  <si>
    <t>L00-1025204</t>
  </si>
  <si>
    <t>L00-1025213</t>
  </si>
  <si>
    <t>L00-1025214</t>
  </si>
  <si>
    <t>L00-1025215</t>
  </si>
  <si>
    <t>L00-1025239</t>
  </si>
  <si>
    <t>L00-1025240</t>
  </si>
  <si>
    <t>L00-1025247</t>
  </si>
  <si>
    <t>L00-1025272</t>
  </si>
  <si>
    <t>L00-1025411</t>
  </si>
  <si>
    <t>L00-1025422</t>
  </si>
  <si>
    <t>L01-1004592</t>
  </si>
  <si>
    <t>L06-999785</t>
  </si>
  <si>
    <t>L06-999790</t>
  </si>
  <si>
    <t>L06-999818</t>
  </si>
  <si>
    <t>L06-999827</t>
  </si>
  <si>
    <t>L06-1000336</t>
  </si>
  <si>
    <t>L06-1000337</t>
  </si>
  <si>
    <t>L06-1000464</t>
  </si>
  <si>
    <t>L07-983483</t>
  </si>
  <si>
    <t>L07-984019</t>
  </si>
  <si>
    <t>L07-984020</t>
  </si>
  <si>
    <t>M00-1005247</t>
  </si>
  <si>
    <t>M00-1005248</t>
  </si>
  <si>
    <t>M00-1005809</t>
  </si>
  <si>
    <t>M11-919396</t>
  </si>
  <si>
    <t>M14-980901</t>
  </si>
  <si>
    <t>M14-980913</t>
  </si>
  <si>
    <t>M14-986457</t>
  </si>
  <si>
    <t>M20-1002798</t>
  </si>
  <si>
    <t>M20-1008315</t>
  </si>
  <si>
    <t>MC1-998764</t>
  </si>
  <si>
    <t>MC1-1004337</t>
  </si>
  <si>
    <t>MH0-582260</t>
  </si>
  <si>
    <t>P00-1001466</t>
  </si>
  <si>
    <t>P00-1001484</t>
  </si>
  <si>
    <t>P00-1001996</t>
  </si>
  <si>
    <t>P00-1002083</t>
  </si>
  <si>
    <t>P01-998265</t>
  </si>
  <si>
    <t>P01-998275</t>
  </si>
  <si>
    <t>P01-998276</t>
  </si>
  <si>
    <t>P01-1003809</t>
  </si>
  <si>
    <t>P07-1000655</t>
  </si>
  <si>
    <t>P07-1000656</t>
  </si>
  <si>
    <t>T00-1004443</t>
  </si>
  <si>
    <t>T00-1004490</t>
  </si>
  <si>
    <t>T00-1005048</t>
  </si>
  <si>
    <t>T00-1005055</t>
  </si>
  <si>
    <t>T02-1003411</t>
  </si>
  <si>
    <t>Y00-1007569</t>
  </si>
  <si>
    <t>Y00-1007571</t>
  </si>
  <si>
    <t>Y01-816331</t>
  </si>
  <si>
    <t>Y01-816874</t>
  </si>
  <si>
    <t>Y11-988882</t>
  </si>
  <si>
    <t>C00-1004521</t>
  </si>
  <si>
    <t>C00-1005099</t>
  </si>
  <si>
    <t>C01-1001006</t>
  </si>
  <si>
    <t>C01-1001023</t>
  </si>
  <si>
    <t>C01-1001024</t>
  </si>
  <si>
    <t>D00-1011522</t>
  </si>
  <si>
    <t>D00-1011528</t>
  </si>
  <si>
    <t>D00-1011529</t>
  </si>
  <si>
    <t>D00-1016586</t>
  </si>
  <si>
    <t>D00-1017489</t>
  </si>
  <si>
    <t>D70-1010100</t>
  </si>
  <si>
    <t>D70-1010179</t>
  </si>
  <si>
    <t>E00-1001925</t>
  </si>
  <si>
    <t>F02-1001634</t>
  </si>
  <si>
    <t>G05-964119</t>
  </si>
  <si>
    <t>G05-964126</t>
  </si>
  <si>
    <t>G05-964129</t>
  </si>
  <si>
    <t>G11-999017</t>
  </si>
  <si>
    <t>L00-1023802</t>
  </si>
  <si>
    <t>L00-1023854</t>
  </si>
  <si>
    <t>L00-1023873</t>
  </si>
  <si>
    <t>L00-1023921</t>
  </si>
  <si>
    <t>L00-1023990</t>
  </si>
  <si>
    <t>L00-1023998</t>
  </si>
  <si>
    <t>L00-1024530</t>
  </si>
  <si>
    <t>L00-1024681</t>
  </si>
  <si>
    <t>L00-1025218</t>
  </si>
  <si>
    <t>L00-1025395</t>
  </si>
  <si>
    <t>L01-1004604</t>
  </si>
  <si>
    <t>L01-1005167</t>
  </si>
  <si>
    <t>L01-1005169</t>
  </si>
  <si>
    <t>L06-999777</t>
  </si>
  <si>
    <t>L07-983481</t>
  </si>
  <si>
    <t>L07-983507</t>
  </si>
  <si>
    <t>L07-983511</t>
  </si>
  <si>
    <t>P00-1001461</t>
  </si>
  <si>
    <t>P01-1003793</t>
  </si>
  <si>
    <t>P01-1003810</t>
  </si>
  <si>
    <t>Q02-935807</t>
  </si>
  <si>
    <t>Q02-935816</t>
  </si>
  <si>
    <t>Q02-936425</t>
  </si>
  <si>
    <t>T00-1004435</t>
  </si>
  <si>
    <t>T00-1004436</t>
  </si>
  <si>
    <t>T00-1004437</t>
  </si>
  <si>
    <t>T00-1005005</t>
  </si>
  <si>
    <t>T00-1005043</t>
  </si>
  <si>
    <t>T02-1003394</t>
  </si>
  <si>
    <t>Y00-1008108</t>
  </si>
  <si>
    <t>Y01-816326</t>
  </si>
  <si>
    <t>C00-1004512</t>
  </si>
  <si>
    <t>C00-1004514</t>
  </si>
  <si>
    <t>C00-1004519</t>
  </si>
  <si>
    <t>C00-1005107</t>
  </si>
  <si>
    <t>D00-1016569</t>
  </si>
  <si>
    <t>D00-1016609</t>
  </si>
  <si>
    <t>D00-1017522</t>
  </si>
  <si>
    <t>D70-1010109</t>
  </si>
  <si>
    <t>D70-1010130</t>
  </si>
  <si>
    <t>F02-1001648</t>
  </si>
  <si>
    <t>G00-996945</t>
  </si>
  <si>
    <t>G00-1002495</t>
  </si>
  <si>
    <t>G05-964127</t>
  </si>
  <si>
    <t>G05-964141</t>
  </si>
  <si>
    <t>G05-969732</t>
  </si>
  <si>
    <t>G11-999006</t>
  </si>
  <si>
    <t>H00-1006954</t>
  </si>
  <si>
    <t>L00-1023723</t>
  </si>
  <si>
    <t>L00-1023746</t>
  </si>
  <si>
    <t>L00-1023747</t>
  </si>
  <si>
    <t>L00-1023770</t>
  </si>
  <si>
    <t>L00-1023951</t>
  </si>
  <si>
    <t>L00-1023955</t>
  </si>
  <si>
    <t>L00-1024000</t>
  </si>
  <si>
    <t>L00-1024671</t>
  </si>
  <si>
    <t>L00-1025212</t>
  </si>
  <si>
    <t>L00-1025253</t>
  </si>
  <si>
    <t>L00-1025288</t>
  </si>
  <si>
    <t>L00-1025289</t>
  </si>
  <si>
    <t>L01-1004599</t>
  </si>
  <si>
    <t>L06-1000519</t>
  </si>
  <si>
    <t>L06-1000520</t>
  </si>
  <si>
    <t>L07-984097</t>
  </si>
  <si>
    <t>L07-984099</t>
  </si>
  <si>
    <t>M00-1005803</t>
  </si>
  <si>
    <t>M05-1006488</t>
  </si>
  <si>
    <t>M05-1006526</t>
  </si>
  <si>
    <t>M20-1002778</t>
  </si>
  <si>
    <t>M20-1002804</t>
  </si>
  <si>
    <t>M20-1008310</t>
  </si>
  <si>
    <t>M20-1008442</t>
  </si>
  <si>
    <t>MH0-587771</t>
  </si>
  <si>
    <t>ML0-226230</t>
  </si>
  <si>
    <t>MSJ-232206</t>
  </si>
  <si>
    <t>P00-1001479</t>
  </si>
  <si>
    <t>P00-1001480</t>
  </si>
  <si>
    <t>P00-1002090</t>
  </si>
  <si>
    <t>P07-1000120</t>
  </si>
  <si>
    <t>P08-361205</t>
  </si>
  <si>
    <t>Q02-936398</t>
  </si>
  <si>
    <t>T00-1004434</t>
  </si>
  <si>
    <t>Y00-1007554</t>
  </si>
  <si>
    <t>Y00-1007580</t>
  </si>
  <si>
    <t>Y00-1008212</t>
  </si>
  <si>
    <t>Y01-816330</t>
  </si>
  <si>
    <t>Y11-989393</t>
  </si>
  <si>
    <t>C00-1004517</t>
  </si>
  <si>
    <t>C00-1004518</t>
  </si>
  <si>
    <t>D00-1016552</t>
  </si>
  <si>
    <t>D00-1016561</t>
  </si>
  <si>
    <t>D00-1016583</t>
  </si>
  <si>
    <t>D00-1016604</t>
  </si>
  <si>
    <t>D70-1010097</t>
  </si>
  <si>
    <t>D70-1010114</t>
  </si>
  <si>
    <t>D70-1010128</t>
  </si>
  <si>
    <t>D70-1010134</t>
  </si>
  <si>
    <t>D70-1010159</t>
  </si>
  <si>
    <t>F02-1002153</t>
  </si>
  <si>
    <t>F04-976083</t>
  </si>
  <si>
    <t>F04-981089</t>
  </si>
  <si>
    <t>F10-1001408</t>
  </si>
  <si>
    <t>G00-996942</t>
  </si>
  <si>
    <t>G00-996955</t>
  </si>
  <si>
    <t>G05-964122</t>
  </si>
  <si>
    <t>G05-964148</t>
  </si>
  <si>
    <t>H01-998466</t>
  </si>
  <si>
    <t>H01-999003</t>
  </si>
  <si>
    <t>H02-350709</t>
  </si>
  <si>
    <t>L00-1023725</t>
  </si>
  <si>
    <t>L00-1023734</t>
  </si>
  <si>
    <t>L00-1023739</t>
  </si>
  <si>
    <t>L00-1023756</t>
  </si>
  <si>
    <t>L00-1023788</t>
  </si>
  <si>
    <t>L00-1023806</t>
  </si>
  <si>
    <t>L00-1023831</t>
  </si>
  <si>
    <t>L00-1023925</t>
  </si>
  <si>
    <t>L00-1023953</t>
  </si>
  <si>
    <t>L00-1023970</t>
  </si>
  <si>
    <t>L00-1023984</t>
  </si>
  <si>
    <t>L00-1024011</t>
  </si>
  <si>
    <t>L00-1024022</t>
  </si>
  <si>
    <t>L00-1024532</t>
  </si>
  <si>
    <t>L00-1024533</t>
  </si>
  <si>
    <t>L00-1025274</t>
  </si>
  <si>
    <t>L01-1004585</t>
  </si>
  <si>
    <t>L01-1004590</t>
  </si>
  <si>
    <t>L01-1004605</t>
  </si>
  <si>
    <t>L06-999776</t>
  </si>
  <si>
    <t>L06-999788</t>
  </si>
  <si>
    <t>L06-999795</t>
  </si>
  <si>
    <t>L06-1000333</t>
  </si>
  <si>
    <t>L06-1000335</t>
  </si>
  <si>
    <t>M00-1005249</t>
  </si>
  <si>
    <t>M00-1005252</t>
  </si>
  <si>
    <t>M00-1005264</t>
  </si>
  <si>
    <t>M00-1005778</t>
  </si>
  <si>
    <t>M00-1005779</t>
  </si>
  <si>
    <t>M00-1005782</t>
  </si>
  <si>
    <t>M11-919390</t>
  </si>
  <si>
    <t>M11-919393</t>
  </si>
  <si>
    <t>M11-924943</t>
  </si>
  <si>
    <t>M17-582345</t>
  </si>
  <si>
    <t>M20-1002775</t>
  </si>
  <si>
    <t>M20-1002802</t>
  </si>
  <si>
    <t>M20-1002803</t>
  </si>
  <si>
    <t>MS1-999241</t>
  </si>
  <si>
    <t>P00-1001462</t>
  </si>
  <si>
    <t>P07-1000114</t>
  </si>
  <si>
    <t>Q00-1004620</t>
  </si>
  <si>
    <t>Q02-935817</t>
  </si>
  <si>
    <t>T00-1004433</t>
  </si>
  <si>
    <t>T00-1004482</t>
  </si>
  <si>
    <t>T00-1004493</t>
  </si>
  <si>
    <t>T02-1003914</t>
  </si>
  <si>
    <t>Y00-1008112</t>
  </si>
  <si>
    <t>Y00-1008210</t>
  </si>
  <si>
    <t>C00-1004505</t>
  </si>
  <si>
    <t>C01-1001015</t>
  </si>
  <si>
    <t>D00-1016606</t>
  </si>
  <si>
    <t>D00-1017151</t>
  </si>
  <si>
    <t>G05-964138</t>
  </si>
  <si>
    <t>G11-999003</t>
  </si>
  <si>
    <t>H00-1006380</t>
  </si>
  <si>
    <t>H00-1006386</t>
  </si>
  <si>
    <t>L00-1023724</t>
  </si>
  <si>
    <t>L00-1023742</t>
  </si>
  <si>
    <t>L00-1023765</t>
  </si>
  <si>
    <t>L00-1023767</t>
  </si>
  <si>
    <t>L00-1023795</t>
  </si>
  <si>
    <t>L00-1023812</t>
  </si>
  <si>
    <t>L00-1023858</t>
  </si>
  <si>
    <t>L00-1023865</t>
  </si>
  <si>
    <t>L00-1023866</t>
  </si>
  <si>
    <t>L00-1023899</t>
  </si>
  <si>
    <t>L00-1023923</t>
  </si>
  <si>
    <t>L00-1024016</t>
  </si>
  <si>
    <t>L00-1024021</t>
  </si>
  <si>
    <t>L00-1024535</t>
  </si>
  <si>
    <t>L00-1024573</t>
  </si>
  <si>
    <t>L00-1025405</t>
  </si>
  <si>
    <t>L00-1025406</t>
  </si>
  <si>
    <t>L00-1025419</t>
  </si>
  <si>
    <t>L01-1004607</t>
  </si>
  <si>
    <t>L01-1005128</t>
  </si>
  <si>
    <t>L07-984035</t>
  </si>
  <si>
    <t>L07-984114</t>
  </si>
  <si>
    <t>M00-1005239</t>
  </si>
  <si>
    <t>M00-1005242</t>
  </si>
  <si>
    <t>M00-1005243</t>
  </si>
  <si>
    <t>M00-1005244</t>
  </si>
  <si>
    <t>M00-1005813</t>
  </si>
  <si>
    <t>M20-1002771</t>
  </si>
  <si>
    <t>M20-1002782</t>
  </si>
  <si>
    <t>M20-1002790</t>
  </si>
  <si>
    <t>MC1-998781</t>
  </si>
  <si>
    <t>P00-1001477</t>
  </si>
  <si>
    <t>P00-1001485</t>
  </si>
  <si>
    <t>P01-1003789</t>
  </si>
  <si>
    <t>P07-1000112</t>
  </si>
  <si>
    <t>Q00-1004612</t>
  </si>
  <si>
    <t>Q00-1004614</t>
  </si>
  <si>
    <t>Q02-936400</t>
  </si>
  <si>
    <t>T00-1004442</t>
  </si>
  <si>
    <t>T00-1004448</t>
  </si>
  <si>
    <t>T00-1004450</t>
  </si>
  <si>
    <t>T00-1004451</t>
  </si>
  <si>
    <t>T00-1004452</t>
  </si>
  <si>
    <t>T00-1004453</t>
  </si>
  <si>
    <t>T00-1004454</t>
  </si>
  <si>
    <t>T00-1004455</t>
  </si>
  <si>
    <t>T00-1004456</t>
  </si>
  <si>
    <t>T00-1004457</t>
  </si>
  <si>
    <t>T00-1004458</t>
  </si>
  <si>
    <t>T00-1004459</t>
  </si>
  <si>
    <t>T00-1004460</t>
  </si>
  <si>
    <t>T00-1004461</t>
  </si>
  <si>
    <t>T00-1004462</t>
  </si>
  <si>
    <t>T00-1004463</t>
  </si>
  <si>
    <t>T00-1004464</t>
  </si>
  <si>
    <t>T00-1004465</t>
  </si>
  <si>
    <t>T00-1004466</t>
  </si>
  <si>
    <t>T00-1004467</t>
  </si>
  <si>
    <t>T00-1004468</t>
  </si>
  <si>
    <t>T00-1004469</t>
  </si>
  <si>
    <t>T00-1004470</t>
  </si>
  <si>
    <t>T00-1004471</t>
  </si>
  <si>
    <t>T00-1004472</t>
  </si>
  <si>
    <t>T00-1004473</t>
  </si>
  <si>
    <t>T00-1004474</t>
  </si>
  <si>
    <t>T00-1004475</t>
  </si>
  <si>
    <t>T00-1004476</t>
  </si>
  <si>
    <t>T00-1004477</t>
  </si>
  <si>
    <t>T00-1004478</t>
  </si>
  <si>
    <t>T00-1004479</t>
  </si>
  <si>
    <t>T00-1004480</t>
  </si>
  <si>
    <t>T00-1004481</t>
  </si>
  <si>
    <t>T00-1004484</t>
  </si>
  <si>
    <t>T00-1004485</t>
  </si>
  <si>
    <t>T00-1004486</t>
  </si>
  <si>
    <t>T00-1004487</t>
  </si>
  <si>
    <t>T00-1004488</t>
  </si>
  <si>
    <t>T00-1004495</t>
  </si>
  <si>
    <t>T00-1004496</t>
  </si>
  <si>
    <t>T00-1005054</t>
  </si>
  <si>
    <t>T00-1005056</t>
  </si>
  <si>
    <t>T00-1005065</t>
  </si>
  <si>
    <t>T00-1005066</t>
  </si>
  <si>
    <t>T02-1003397</t>
  </si>
  <si>
    <t>Y00-1007572</t>
  </si>
  <si>
    <t>Y00-1007578</t>
  </si>
  <si>
    <t>Y00-1007583</t>
  </si>
  <si>
    <t>Y00-1008109</t>
  </si>
  <si>
    <t>Y11-988888</t>
  </si>
  <si>
    <t>Y17-867853</t>
  </si>
  <si>
    <t>C01-1001005</t>
  </si>
  <si>
    <t>C01-1001007</t>
  </si>
  <si>
    <t>C01-1001008</t>
  </si>
  <si>
    <t>C16-811666</t>
  </si>
  <si>
    <t>D00-1011523</t>
  </si>
  <si>
    <t>D00-1016544</t>
  </si>
  <si>
    <t>D00-1016548</t>
  </si>
  <si>
    <t>D00-1016594</t>
  </si>
  <si>
    <t>D00-1016596</t>
  </si>
  <si>
    <t>D70-1010091</t>
  </si>
  <si>
    <t>D70-1010117</t>
  </si>
  <si>
    <t>D70-1010150</t>
  </si>
  <si>
    <t>D70-1010687</t>
  </si>
  <si>
    <t>D70-1010843</t>
  </si>
  <si>
    <t>F02-1001643</t>
  </si>
  <si>
    <t>F02-1001646</t>
  </si>
  <si>
    <t>F04-976075</t>
  </si>
  <si>
    <t>G00-996941</t>
  </si>
  <si>
    <t>G00-1002498</t>
  </si>
  <si>
    <t>G00-1002499</t>
  </si>
  <si>
    <t>G05-964149</t>
  </si>
  <si>
    <t>G11-999560</t>
  </si>
  <si>
    <t>G11-999561</t>
  </si>
  <si>
    <t>H01-998465</t>
  </si>
  <si>
    <t>L00-1023762</t>
  </si>
  <si>
    <t>L00-1023798</t>
  </si>
  <si>
    <t>L00-1023869</t>
  </si>
  <si>
    <t>L00-1023895</t>
  </si>
  <si>
    <t>L00-1023917</t>
  </si>
  <si>
    <t>L00-1023948</t>
  </si>
  <si>
    <t>L00-1023996</t>
  </si>
  <si>
    <t>L00-1024705</t>
  </si>
  <si>
    <t>L01-1005184</t>
  </si>
  <si>
    <t>L06-1000474</t>
  </si>
  <si>
    <t>L07-983486</t>
  </si>
  <si>
    <t>L07-983487</t>
  </si>
  <si>
    <t>L07-984018</t>
  </si>
  <si>
    <t>L07-984101</t>
  </si>
  <si>
    <t>L07-984102</t>
  </si>
  <si>
    <t>L07-984103</t>
  </si>
  <si>
    <t>L07-984115</t>
  </si>
  <si>
    <t>M00-1005780</t>
  </si>
  <si>
    <t>M05-1006489</t>
  </si>
  <si>
    <t>M14-980896</t>
  </si>
  <si>
    <t>M14-980899</t>
  </si>
  <si>
    <t>MC1-998768</t>
  </si>
  <si>
    <t>MC1-998770</t>
  </si>
  <si>
    <t>MC1-998778</t>
  </si>
  <si>
    <t>P00-1001464</t>
  </si>
  <si>
    <t>P00-1001995</t>
  </si>
  <si>
    <t>P00-1002082</t>
  </si>
  <si>
    <t>P00-1002086</t>
  </si>
  <si>
    <t>P00-1002093</t>
  </si>
  <si>
    <t>P01-998266</t>
  </si>
  <si>
    <t>Q00-1005187</t>
  </si>
  <si>
    <t>Q00-1005201</t>
  </si>
  <si>
    <t>Q02-935803</t>
  </si>
  <si>
    <t>Q02-936423</t>
  </si>
  <si>
    <t>T00-1005051</t>
  </si>
  <si>
    <t>T02-1003389</t>
  </si>
  <si>
    <t>Y00-1007551</t>
  </si>
  <si>
    <t>Y00-1007558</t>
  </si>
  <si>
    <t>Y00-1007576</t>
  </si>
  <si>
    <t>Y00-1007581</t>
  </si>
  <si>
    <t>Y00-1007586</t>
  </si>
  <si>
    <t>Y00-1008110</t>
  </si>
  <si>
    <t>Y00-1008213</t>
  </si>
  <si>
    <t>Y01-816324</t>
  </si>
  <si>
    <t>Y01-816873</t>
  </si>
  <si>
    <t>Y11-988885</t>
  </si>
  <si>
    <t>Y11-988886</t>
  </si>
  <si>
    <t>Y11-989413</t>
  </si>
  <si>
    <t>Y11-989426</t>
  </si>
  <si>
    <t>Y17-867854</t>
  </si>
  <si>
    <t>C00-1005033</t>
  </si>
  <si>
    <t>C01-1001013</t>
  </si>
  <si>
    <t>D00-1016568</t>
  </si>
  <si>
    <t>D00-1016608</t>
  </si>
  <si>
    <t>D00-1017152</t>
  </si>
  <si>
    <t>D70-1010136</t>
  </si>
  <si>
    <t>D70-1010720</t>
  </si>
  <si>
    <t>G05-964121</t>
  </si>
  <si>
    <t>G05-964132</t>
  </si>
  <si>
    <t>G05-964144</t>
  </si>
  <si>
    <t>G05-964145</t>
  </si>
  <si>
    <t>G11-999007</t>
  </si>
  <si>
    <t>G11-999008</t>
  </si>
  <si>
    <t>G11-999009</t>
  </si>
  <si>
    <t>G11-999012</t>
  </si>
  <si>
    <t>G11-999558</t>
  </si>
  <si>
    <t>H00-1006388</t>
  </si>
  <si>
    <t>H00-1006394</t>
  </si>
  <si>
    <t>L00-1023749</t>
  </si>
  <si>
    <t>L00-1023761</t>
  </si>
  <si>
    <t>L00-1023763</t>
  </si>
  <si>
    <t>L00-1023794</t>
  </si>
  <si>
    <t>L00-1023821</t>
  </si>
  <si>
    <t>L00-1023890</t>
  </si>
  <si>
    <t>L00-1023916</t>
  </si>
  <si>
    <t>L00-1023926</t>
  </si>
  <si>
    <t>L00-1023997</t>
  </si>
  <si>
    <t>L00-1024688</t>
  </si>
  <si>
    <t>L00-1025420</t>
  </si>
  <si>
    <t>L06-999792</t>
  </si>
  <si>
    <t>L06-999797</t>
  </si>
  <si>
    <t>L06-1000361</t>
  </si>
  <si>
    <t>L07-983485</t>
  </si>
  <si>
    <t>L07-984036</t>
  </si>
  <si>
    <t>M05-1006486</t>
  </si>
  <si>
    <t>M05-1006521</t>
  </si>
  <si>
    <t>M20-1002773</t>
  </si>
  <si>
    <t>M20-1002774</t>
  </si>
  <si>
    <t>MC1-998774</t>
  </si>
  <si>
    <t>P01-998270</t>
  </si>
  <si>
    <t>Q00-1004618</t>
  </si>
  <si>
    <t>Q00-1004619</t>
  </si>
  <si>
    <t>Q02-935794</t>
  </si>
  <si>
    <t>Q02-936416</t>
  </si>
  <si>
    <t>T00-1004446</t>
  </si>
  <si>
    <t>T00-1004447</t>
  </si>
  <si>
    <t>T00-1004449</t>
  </si>
  <si>
    <t>T02-1003396</t>
  </si>
  <si>
    <t>T03-1005370</t>
  </si>
  <si>
    <t>T03-1005373</t>
  </si>
  <si>
    <t>T03-1005374</t>
  </si>
  <si>
    <t>Y00-1007555</t>
  </si>
  <si>
    <t>Y00-1007568</t>
  </si>
  <si>
    <t>Y10-921217</t>
  </si>
  <si>
    <t>Y11-989398</t>
  </si>
  <si>
    <t>C01-1001017</t>
  </si>
  <si>
    <t>C01-1001019</t>
  </si>
  <si>
    <t>C01-1001032</t>
  </si>
  <si>
    <t>D00-1016547</t>
  </si>
  <si>
    <t>D00-1016584</t>
  </si>
  <si>
    <t>D70-1010144</t>
  </si>
  <si>
    <t>D70-1010713</t>
  </si>
  <si>
    <t>D70-1010845</t>
  </si>
  <si>
    <t>D70-1010864</t>
  </si>
  <si>
    <t>F10-1001401</t>
  </si>
  <si>
    <t>G05-964142</t>
  </si>
  <si>
    <t>G11-999021</t>
  </si>
  <si>
    <t>G11-999022</t>
  </si>
  <si>
    <t>H00-1006395</t>
  </si>
  <si>
    <t>H01-998464</t>
  </si>
  <si>
    <t>H01-998980</t>
  </si>
  <si>
    <t>L00-1023727</t>
  </si>
  <si>
    <t>L00-1023735</t>
  </si>
  <si>
    <t>L00-1023789</t>
  </si>
  <si>
    <t>L00-1023874</t>
  </si>
  <si>
    <t>L00-1023883</t>
  </si>
  <si>
    <t>L00-1023894</t>
  </si>
  <si>
    <t>L00-1023910</t>
  </si>
  <si>
    <t>L00-1023947</t>
  </si>
  <si>
    <t>L00-1023952</t>
  </si>
  <si>
    <t>L00-1024639</t>
  </si>
  <si>
    <t>L00-1024649</t>
  </si>
  <si>
    <t>L00-1024691</t>
  </si>
  <si>
    <t>L00-1024704</t>
  </si>
  <si>
    <t>L00-1025267</t>
  </si>
  <si>
    <t>L00-1025298</t>
  </si>
  <si>
    <t>L00-1025300</t>
  </si>
  <si>
    <t>L00-1025316</t>
  </si>
  <si>
    <t>L01-1005164</t>
  </si>
  <si>
    <t>L01-1005190</t>
  </si>
  <si>
    <t>L06-999779</t>
  </si>
  <si>
    <t>L06-999799</t>
  </si>
  <si>
    <t>L06-999806</t>
  </si>
  <si>
    <t>L06-999824</t>
  </si>
  <si>
    <t>L06-999828</t>
  </si>
  <si>
    <t>L06-1000504</t>
  </si>
  <si>
    <t>L07-984100</t>
  </si>
  <si>
    <t>M14-980900</t>
  </si>
  <si>
    <t>M14-980905</t>
  </si>
  <si>
    <t>M14-980914</t>
  </si>
  <si>
    <t>M20-1002784</t>
  </si>
  <si>
    <t>M20-1002794</t>
  </si>
  <si>
    <t>MC1-998766</t>
  </si>
  <si>
    <t>MC1-998780</t>
  </si>
  <si>
    <t>MC1-998782</t>
  </si>
  <si>
    <t>MC1-1004327</t>
  </si>
  <si>
    <t>MC1-1004332</t>
  </si>
  <si>
    <t>MSJ-232205</t>
  </si>
  <si>
    <t>P00-1001478</t>
  </si>
  <si>
    <t>P00-1002084</t>
  </si>
  <si>
    <t>P07-1000111</t>
  </si>
  <si>
    <t>Q02-935801</t>
  </si>
  <si>
    <t>Q02-935802</t>
  </si>
  <si>
    <t>Q02-935818</t>
  </si>
  <si>
    <t>T02-1003390</t>
  </si>
  <si>
    <t>T02-1003391</t>
  </si>
  <si>
    <t>Y00-1007591</t>
  </si>
  <si>
    <t>Y00-1008206</t>
  </si>
  <si>
    <t>Y00-1008208</t>
  </si>
  <si>
    <t>Y01-816333</t>
  </si>
  <si>
    <t>C00-1004509</t>
  </si>
  <si>
    <t>C01-1001011</t>
  </si>
  <si>
    <t>C01-1001014</t>
  </si>
  <si>
    <t>C01-1001552</t>
  </si>
  <si>
    <t>D00-1016556</t>
  </si>
  <si>
    <t>D00-1016560</t>
  </si>
  <si>
    <t>D00-1016572</t>
  </si>
  <si>
    <t>D70-1010143</t>
  </si>
  <si>
    <t>F02-1001639</t>
  </si>
  <si>
    <t>F04-981648</t>
  </si>
  <si>
    <t>F04-981650</t>
  </si>
  <si>
    <t>G05-969736</t>
  </si>
  <si>
    <t>G22-161739</t>
  </si>
  <si>
    <t>H00-1006376</t>
  </si>
  <si>
    <t>H01-998462</t>
  </si>
  <si>
    <t>H01-999006</t>
  </si>
  <si>
    <t>L00-1023745</t>
  </si>
  <si>
    <t>L00-1023758</t>
  </si>
  <si>
    <t>L00-1023838</t>
  </si>
  <si>
    <t>L00-1023850</t>
  </si>
  <si>
    <t>L00-1023893</t>
  </si>
  <si>
    <t>L00-1023900</t>
  </si>
  <si>
    <t>L00-1023901</t>
  </si>
  <si>
    <t>L00-1023903</t>
  </si>
  <si>
    <t>L00-1023906</t>
  </si>
  <si>
    <t>L00-1023912</t>
  </si>
  <si>
    <t>L00-1023919</t>
  </si>
  <si>
    <t>L00-1023992</t>
  </si>
  <si>
    <t>L00-1023993</t>
  </si>
  <si>
    <t>L00-1024024</t>
  </si>
  <si>
    <t>L00-1024025</t>
  </si>
  <si>
    <t>L00-1024027</t>
  </si>
  <si>
    <t>L00-1024692</t>
  </si>
  <si>
    <t>L00-1024698</t>
  </si>
  <si>
    <t>L00-1024740</t>
  </si>
  <si>
    <t>L00-1025221</t>
  </si>
  <si>
    <t>L00-1025254</t>
  </si>
  <si>
    <t>L00-1025278</t>
  </si>
  <si>
    <t>L00-1025364</t>
  </si>
  <si>
    <t>L00-1025370</t>
  </si>
  <si>
    <t>L00-1025403</t>
  </si>
  <si>
    <t>L01-1004582</t>
  </si>
  <si>
    <t>L01-1004595</t>
  </si>
  <si>
    <t>L01-1005113</t>
  </si>
  <si>
    <t>L01-1005127</t>
  </si>
  <si>
    <t>L06-999798</t>
  </si>
  <si>
    <t>L06-999810</t>
  </si>
  <si>
    <t>L06-999815</t>
  </si>
  <si>
    <t>L06-999825</t>
  </si>
  <si>
    <t>L06-1000470</t>
  </si>
  <si>
    <t>L07-983479</t>
  </si>
  <si>
    <t>M00-1005245</t>
  </si>
  <si>
    <t>M00-1005263</t>
  </si>
  <si>
    <t>M00-1005771</t>
  </si>
  <si>
    <t>M05-1006477</t>
  </si>
  <si>
    <t>M11-919379</t>
  </si>
  <si>
    <t>M14-980911</t>
  </si>
  <si>
    <t>M14-980916</t>
  </si>
  <si>
    <t>M14-980917</t>
  </si>
  <si>
    <t>M17-582343</t>
  </si>
  <si>
    <t>M20-1002786</t>
  </si>
  <si>
    <t>M20-1002799</t>
  </si>
  <si>
    <t>M25-848874</t>
  </si>
  <si>
    <t>MC1-1004288</t>
  </si>
  <si>
    <t>MS1-1004758</t>
  </si>
  <si>
    <t>P00-1001465</t>
  </si>
  <si>
    <t>P00-1002094</t>
  </si>
  <si>
    <t>P00-1002112</t>
  </si>
  <si>
    <t>Q00-1004621</t>
  </si>
  <si>
    <t>C00-1004513</t>
  </si>
  <si>
    <t>C00-1004529</t>
  </si>
  <si>
    <t>D00-1016575</t>
  </si>
  <si>
    <t>D00-1016627</t>
  </si>
  <si>
    <t>D00-1016629</t>
  </si>
  <si>
    <t>D00-1017162</t>
  </si>
  <si>
    <t>D00-1017176</t>
  </si>
  <si>
    <t>D00-1017542</t>
  </si>
  <si>
    <t>D00-1017622</t>
  </si>
  <si>
    <t>D70-1010127</t>
  </si>
  <si>
    <t>D70-1010719</t>
  </si>
  <si>
    <t>E00-1001915</t>
  </si>
  <si>
    <t>E00-1001926</t>
  </si>
  <si>
    <t>G00-996957</t>
  </si>
  <si>
    <t>G05-969665</t>
  </si>
  <si>
    <t>G05-969735</t>
  </si>
  <si>
    <t>H00-1006381</t>
  </si>
  <si>
    <t>L00-1023732</t>
  </si>
  <si>
    <t>L00-1023759</t>
  </si>
  <si>
    <t>L00-1023819</t>
  </si>
  <si>
    <t>L00-1023827</t>
  </si>
  <si>
    <t>L00-1023836</t>
  </si>
  <si>
    <t>L00-1023851</t>
  </si>
  <si>
    <t>L00-1023877</t>
  </si>
  <si>
    <t>L00-1023884</t>
  </si>
  <si>
    <t>L00-1023909</t>
  </si>
  <si>
    <t>L00-1023961</t>
  </si>
  <si>
    <t>L00-1023963</t>
  </si>
  <si>
    <t>L00-1023973</t>
  </si>
  <si>
    <t>L00-1023974</t>
  </si>
  <si>
    <t>L00-1023975</t>
  </si>
  <si>
    <t>L00-1023978</t>
  </si>
  <si>
    <t>L00-1023991</t>
  </si>
  <si>
    <t>L00-1024693</t>
  </si>
  <si>
    <t>L00-1024694</t>
  </si>
  <si>
    <t>L00-1025230</t>
  </si>
  <si>
    <t>L00-1025236</t>
  </si>
  <si>
    <t>L00-1025280</t>
  </si>
  <si>
    <t>L00-1025315</t>
  </si>
  <si>
    <t>L00-1025317</t>
  </si>
  <si>
    <t>L00-1025386</t>
  </si>
  <si>
    <t>L00-1025398</t>
  </si>
  <si>
    <t>L01-1004597</t>
  </si>
  <si>
    <t>L06-999778</t>
  </si>
  <si>
    <t>L06-999783</t>
  </si>
  <si>
    <t>L06-999793</t>
  </si>
  <si>
    <t>L06-999794</t>
  </si>
  <si>
    <t>L06-999826</t>
  </si>
  <si>
    <t>L07-983482</t>
  </si>
  <si>
    <t>L07-983495</t>
  </si>
  <si>
    <t>L07-983496</t>
  </si>
  <si>
    <t>M00-1005238</t>
  </si>
  <si>
    <t>M00-1005267</t>
  </si>
  <si>
    <t>M05-1006485</t>
  </si>
  <si>
    <t>M05-1006493</t>
  </si>
  <si>
    <t>M11-919398</t>
  </si>
  <si>
    <t>M20-1002772</t>
  </si>
  <si>
    <t>M20-1002783</t>
  </si>
  <si>
    <t>M20-1002788</t>
  </si>
  <si>
    <t>MCC-5533</t>
  </si>
  <si>
    <t>ML0-226233</t>
  </si>
  <si>
    <t>P00-1001460</t>
  </si>
  <si>
    <t>P00-1001469</t>
  </si>
  <si>
    <t>P00-1002100</t>
  </si>
  <si>
    <t>P00-1002101</t>
  </si>
  <si>
    <t>P06-1002076</t>
  </si>
  <si>
    <t>P08-361204</t>
  </si>
  <si>
    <t>Q00-1004627</t>
  </si>
  <si>
    <t>Q02-936407</t>
  </si>
  <si>
    <t>Q02-936413</t>
  </si>
  <si>
    <t>Y00-1007575</t>
  </si>
  <si>
    <t>Y00-1007577</t>
  </si>
  <si>
    <t>Y00-1008238</t>
  </si>
  <si>
    <t>Y00-1008239</t>
  </si>
  <si>
    <t>C00-1004511</t>
  </si>
  <si>
    <t>C01-1001020</t>
  </si>
  <si>
    <t>C01-1001604</t>
  </si>
  <si>
    <t>D00-1016564</t>
  </si>
  <si>
    <t>D00-1016613</t>
  </si>
  <si>
    <t>D00-1016615</t>
  </si>
  <si>
    <t>D00-1016626</t>
  </si>
  <si>
    <t>D00-1017608</t>
  </si>
  <si>
    <t>D70-1010113</t>
  </si>
  <si>
    <t>D70-1010116</t>
  </si>
  <si>
    <t>D70-1010138</t>
  </si>
  <si>
    <t>D70-1010139</t>
  </si>
  <si>
    <t>D70-1010140</t>
  </si>
  <si>
    <t>D70-1010166</t>
  </si>
  <si>
    <t>D70-1010176</t>
  </si>
  <si>
    <t>D70-1010714</t>
  </si>
  <si>
    <t>D70-1010722</t>
  </si>
  <si>
    <t>E00-996406</t>
  </si>
  <si>
    <t>E00-996408</t>
  </si>
  <si>
    <t>E00-1001912</t>
  </si>
  <si>
    <t>F02-1001641</t>
  </si>
  <si>
    <t>F04-976084</t>
  </si>
  <si>
    <t>F04-981086</t>
  </si>
  <si>
    <t>F04-981607</t>
  </si>
  <si>
    <t>F04-981645</t>
  </si>
  <si>
    <t>F10-1001409</t>
  </si>
  <si>
    <t>G05-964131</t>
  </si>
  <si>
    <t>H00-1006371</t>
  </si>
  <si>
    <t>H00-1006383</t>
  </si>
  <si>
    <t>H00-1006399</t>
  </si>
  <si>
    <t>H01-998463</t>
  </si>
  <si>
    <t>H01-998469</t>
  </si>
  <si>
    <t>L00-1023728</t>
  </si>
  <si>
    <t>L00-1023729</t>
  </si>
  <si>
    <t>L00-1023841</t>
  </si>
  <si>
    <t>L00-1023843</t>
  </si>
  <si>
    <t>L00-1023852</t>
  </si>
  <si>
    <t>L00-1023857</t>
  </si>
  <si>
    <t>L00-1023904</t>
  </si>
  <si>
    <t>L00-1023905</t>
  </si>
  <si>
    <t>L00-1023914</t>
  </si>
  <si>
    <t>L00-1023958</t>
  </si>
  <si>
    <t>L00-1023964</t>
  </si>
  <si>
    <t>L00-1023965</t>
  </si>
  <si>
    <t>L00-1023989</t>
  </si>
  <si>
    <t>L00-1024713</t>
  </si>
  <si>
    <t>L00-1024734</t>
  </si>
  <si>
    <t>L00-1024752</t>
  </si>
  <si>
    <t>L00-1025303</t>
  </si>
  <si>
    <t>L01-1004586</t>
  </si>
  <si>
    <t>L01-1004593</t>
  </si>
  <si>
    <t>L01-1005168</t>
  </si>
  <si>
    <t>L06-999786</t>
  </si>
  <si>
    <t>L06-999789</t>
  </si>
  <si>
    <t>L06-999802</t>
  </si>
  <si>
    <t>L06-999805</t>
  </si>
  <si>
    <t>L06-999809</t>
  </si>
  <si>
    <t>L06-1000478</t>
  </si>
  <si>
    <t>L06-1000479</t>
  </si>
  <si>
    <t>L06-1000480</t>
  </si>
  <si>
    <t>L06-1000517</t>
  </si>
  <si>
    <t>M00-1005770</t>
  </si>
  <si>
    <t>M05-1006481</t>
  </si>
  <si>
    <t>M05-1006482</t>
  </si>
  <si>
    <t>M14-986450</t>
  </si>
  <si>
    <t>M20-1002770</t>
  </si>
  <si>
    <t>M20-1002779</t>
  </si>
  <si>
    <t>M20-1002805</t>
  </si>
  <si>
    <t>M20-1008324</t>
  </si>
  <si>
    <t>ML0-226232</t>
  </si>
  <si>
    <t>P00-1001457</t>
  </si>
  <si>
    <t>P12-5768</t>
  </si>
  <si>
    <t>P12-6270</t>
  </si>
  <si>
    <t>Q00-1004626</t>
  </si>
  <si>
    <t>Q02-935798</t>
  </si>
  <si>
    <t>Q02-935810</t>
  </si>
  <si>
    <t>T00-1005057</t>
  </si>
  <si>
    <t>T02-1003928</t>
  </si>
  <si>
    <t>Y00-1007564</t>
  </si>
  <si>
    <t>Y00-1007594</t>
  </si>
  <si>
    <t>Y00-1008135</t>
  </si>
  <si>
    <t>Y00-1008137</t>
  </si>
  <si>
    <t>Y00-1008138</t>
  </si>
  <si>
    <t>Y00-1008139</t>
  </si>
  <si>
    <t>Y00-1008233</t>
  </si>
  <si>
    <t>Y01-816878</t>
  </si>
  <si>
    <t>Y02-998473</t>
  </si>
  <si>
    <t>Y17-867348</t>
  </si>
  <si>
    <t>C00-1004506</t>
  </si>
  <si>
    <t>C00-1004520</t>
  </si>
  <si>
    <t>C01-1001016</t>
  </si>
  <si>
    <t>C01-1001028</t>
  </si>
  <si>
    <t>D00-1016549</t>
  </si>
  <si>
    <t>D00-1016570</t>
  </si>
  <si>
    <t>D00-1016574</t>
  </si>
  <si>
    <t>D00-1016585</t>
  </si>
  <si>
    <t>D00-1016591</t>
  </si>
  <si>
    <t>D00-1016595</t>
  </si>
  <si>
    <t>D00-1016597</t>
  </si>
  <si>
    <t>D00-1016625</t>
  </si>
  <si>
    <t>D00-1016628</t>
  </si>
  <si>
    <t>D00-1017177</t>
  </si>
  <si>
    <t>D00-1017613</t>
  </si>
  <si>
    <t>D70-1010119</t>
  </si>
  <si>
    <t>D70-1010141</t>
  </si>
  <si>
    <t>F02-1001644</t>
  </si>
  <si>
    <t>F04-976076</t>
  </si>
  <si>
    <t>G00-996943</t>
  </si>
  <si>
    <t>G00-996944</t>
  </si>
  <si>
    <t>G11-999019</t>
  </si>
  <si>
    <t>G15-248307</t>
  </si>
  <si>
    <t>H01-998461</t>
  </si>
  <si>
    <t>L00-1023766</t>
  </si>
  <si>
    <t>L00-1023773</t>
  </si>
  <si>
    <t>L00-1023816</t>
  </si>
  <si>
    <t>L00-1023822</t>
  </si>
  <si>
    <t>L00-1023918</t>
  </si>
  <si>
    <t>L00-1023937</t>
  </si>
  <si>
    <t>L00-1024002</t>
  </si>
  <si>
    <t>L00-1024638</t>
  </si>
  <si>
    <t>L00-1024695</t>
  </si>
  <si>
    <t>L00-1024724</t>
  </si>
  <si>
    <t>L00-1024739</t>
  </si>
  <si>
    <t>L00-1024923</t>
  </si>
  <si>
    <t>L00-1025302</t>
  </si>
  <si>
    <t>L01-1004601</t>
  </si>
  <si>
    <t>L06-999812</t>
  </si>
  <si>
    <t>L07-983499</t>
  </si>
  <si>
    <t>L07-983508</t>
  </si>
  <si>
    <t>L07-984098</t>
  </si>
  <si>
    <t>M05-1006487</t>
  </si>
  <si>
    <t>MS5-913896</t>
  </si>
  <si>
    <t>P00-1001470</t>
  </si>
  <si>
    <t>P00-1002085</t>
  </si>
  <si>
    <t>P08-361206</t>
  </si>
  <si>
    <t>Q00-1004622</t>
  </si>
  <si>
    <t>Q02-936401</t>
  </si>
  <si>
    <t>Q02-936402</t>
  </si>
  <si>
    <t>Q02-936404</t>
  </si>
  <si>
    <t>T00-1004445</t>
  </si>
  <si>
    <t>T02-1003392</t>
  </si>
  <si>
    <t>T02-1003393</t>
  </si>
  <si>
    <t>Y00-1007562</t>
  </si>
  <si>
    <t>Y00-1007570</t>
  </si>
  <si>
    <t>Y00-1007598</t>
  </si>
  <si>
    <t>Y00-1007599</t>
  </si>
  <si>
    <t>C00-1005102</t>
  </si>
  <si>
    <t>C01-1001018</t>
  </si>
  <si>
    <t>C01-1001030</t>
  </si>
  <si>
    <t>C01-1001622</t>
  </si>
  <si>
    <t>D00-1011530</t>
  </si>
  <si>
    <t>D00-1016600</t>
  </si>
  <si>
    <t>D00-1016620</t>
  </si>
  <si>
    <t>D00-1017535</t>
  </si>
  <si>
    <t>D70-1005083</t>
  </si>
  <si>
    <t>D70-1010092</t>
  </si>
  <si>
    <t>D70-1010161</t>
  </si>
  <si>
    <t>D70-1010171</t>
  </si>
  <si>
    <t>D70-1010688</t>
  </si>
  <si>
    <t>G00-996958</t>
  </si>
  <si>
    <t>G05-964150</t>
  </si>
  <si>
    <t>G11-999002</t>
  </si>
  <si>
    <t>G11-999015</t>
  </si>
  <si>
    <t>H00-1006375</t>
  </si>
  <si>
    <t>H00-1006385</t>
  </si>
  <si>
    <t>L00-1023785</t>
  </si>
  <si>
    <t>L00-1023823</t>
  </si>
  <si>
    <t>L00-1023859</t>
  </si>
  <si>
    <t>L00-1023867</t>
  </si>
  <si>
    <t>L00-1023977</t>
  </si>
  <si>
    <t>L00-1023995</t>
  </si>
  <si>
    <t>L00-1024012</t>
  </si>
  <si>
    <t>L00-1024023</t>
  </si>
  <si>
    <t>L00-1024643</t>
  </si>
  <si>
    <t>L00-1024699</t>
  </si>
  <si>
    <t>L00-1025290</t>
  </si>
  <si>
    <t>L00-1025292</t>
  </si>
  <si>
    <t>L00-1025308</t>
  </si>
  <si>
    <t>L00-1025327</t>
  </si>
  <si>
    <t>L00-1025359</t>
  </si>
  <si>
    <t>L01-1004589</t>
  </si>
  <si>
    <t>L06-999787</t>
  </si>
  <si>
    <t>L06-999823</t>
  </si>
  <si>
    <t>L06-1000516</t>
  </si>
  <si>
    <t>M00-1005801</t>
  </si>
  <si>
    <t>M05-1006480</t>
  </si>
  <si>
    <t>M11-919382</t>
  </si>
  <si>
    <t>M14-980912</t>
  </si>
  <si>
    <t>M17-582342</t>
  </si>
  <si>
    <t>M20-1002797</t>
  </si>
  <si>
    <t>MC1-998771</t>
  </si>
  <si>
    <t>MC1-998775</t>
  </si>
  <si>
    <t>MC1-1004333</t>
  </si>
  <si>
    <t>MS5-913906</t>
  </si>
  <si>
    <t>P00-1001468</t>
  </si>
  <si>
    <t>P00-1002087</t>
  </si>
  <si>
    <t>P01-998272</t>
  </si>
  <si>
    <t>P06-1002077</t>
  </si>
  <si>
    <t>P07-1000118</t>
  </si>
  <si>
    <t>Q02-935821</t>
  </si>
  <si>
    <t>Q02-935824</t>
  </si>
  <si>
    <t>S00-998928</t>
  </si>
  <si>
    <t>T00-1004438</t>
  </si>
  <si>
    <t>Y00-1007582</t>
  </si>
  <si>
    <t>Y01-816332</t>
  </si>
  <si>
    <t>Y01-816876</t>
  </si>
  <si>
    <t>Y02-998470</t>
  </si>
  <si>
    <t>Y10-921219</t>
  </si>
  <si>
    <t>Y10-921724</t>
  </si>
  <si>
    <t>C00-1005103</t>
  </si>
  <si>
    <t>C01-1001003</t>
  </si>
  <si>
    <t>C01-1001034</t>
  </si>
  <si>
    <t>C01-1001611</t>
  </si>
  <si>
    <t>C01-1001612</t>
  </si>
  <si>
    <t>D00-1016542</t>
  </si>
  <si>
    <t>D00-1016555</t>
  </si>
  <si>
    <t>D00-1016580</t>
  </si>
  <si>
    <t>D00-1016589</t>
  </si>
  <si>
    <t>D00-1016598</t>
  </si>
  <si>
    <t>D00-1017156</t>
  </si>
  <si>
    <t>D00-1017555</t>
  </si>
  <si>
    <t>D70-1010099</t>
  </si>
  <si>
    <t>F02-1002186</t>
  </si>
  <si>
    <t>G05-964124</t>
  </si>
  <si>
    <t>G05-964128</t>
  </si>
  <si>
    <t>G05-964139</t>
  </si>
  <si>
    <t>G05-969742</t>
  </si>
  <si>
    <t>L00-1023716</t>
  </si>
  <si>
    <t>L00-1023733</t>
  </si>
  <si>
    <t>L00-1023771</t>
  </si>
  <si>
    <t>L00-1023930</t>
  </si>
  <si>
    <t>L00-1025291</t>
  </si>
  <si>
    <t>L00-1025299</t>
  </si>
  <si>
    <t>L00-1025311</t>
  </si>
  <si>
    <t>L00-1025348</t>
  </si>
  <si>
    <t>L00-1025389</t>
  </si>
  <si>
    <t>L06-1000501</t>
  </si>
  <si>
    <t>L07-984111</t>
  </si>
  <si>
    <t>L07-984112</t>
  </si>
  <si>
    <t>L07-984113</t>
  </si>
  <si>
    <t>M00-1005246</t>
  </si>
  <si>
    <t>M00-1005265</t>
  </si>
  <si>
    <t>M00-1005269</t>
  </si>
  <si>
    <t>M00-1005807</t>
  </si>
  <si>
    <t>M11-919378</t>
  </si>
  <si>
    <t>M11-919389</t>
  </si>
  <si>
    <t>M11-919394</t>
  </si>
  <si>
    <t>M11-924952</t>
  </si>
  <si>
    <t>M20-1002787</t>
  </si>
  <si>
    <t>M20-1002800</t>
  </si>
  <si>
    <t>M20-1008416</t>
  </si>
  <si>
    <t>P01-998279</t>
  </si>
  <si>
    <t>P06-1002078</t>
  </si>
  <si>
    <t>P06-1002600</t>
  </si>
  <si>
    <t>Q02-935804</t>
  </si>
  <si>
    <t>Q02-935822</t>
  </si>
  <si>
    <t>T00-1004494</t>
  </si>
  <si>
    <t>Y00-1007553</t>
  </si>
  <si>
    <t>Y00-1007563</t>
  </si>
  <si>
    <t>Y00-1008128</t>
  </si>
  <si>
    <t>Y00-1008136</t>
  </si>
  <si>
    <t>Y00-1008245</t>
  </si>
  <si>
    <t>Y01-816328</t>
  </si>
  <si>
    <t>Y02-998471</t>
  </si>
  <si>
    <t>D00-1011516</t>
  </si>
  <si>
    <t>D00-1011524</t>
  </si>
  <si>
    <t>D00-1016599</t>
  </si>
  <si>
    <t>D00-1017588</t>
  </si>
  <si>
    <t>D70-1010120</t>
  </si>
  <si>
    <t>D70-1010690</t>
  </si>
  <si>
    <t>D70-1010866</t>
  </si>
  <si>
    <t>F02-1001650</t>
  </si>
  <si>
    <t>G00-996947</t>
  </si>
  <si>
    <t>G05-964143</t>
  </si>
  <si>
    <t>G11-999565</t>
  </si>
  <si>
    <t>G11-999568</t>
  </si>
  <si>
    <t>G22-156232</t>
  </si>
  <si>
    <t>H00-1006384</t>
  </si>
  <si>
    <t>H00-1006387</t>
  </si>
  <si>
    <t>H00-1006968</t>
  </si>
  <si>
    <t>L00-1023730</t>
  </si>
  <si>
    <t>L00-1023750</t>
  </si>
  <si>
    <t>L00-1023751</t>
  </si>
  <si>
    <t>L00-1023752</t>
  </si>
  <si>
    <t>L00-1023753</t>
  </si>
  <si>
    <t>L00-1023791</t>
  </si>
  <si>
    <t>L00-1023818</t>
  </si>
  <si>
    <t>L00-1023839</t>
  </si>
  <si>
    <t>L00-1023876</t>
  </si>
  <si>
    <t>L00-1023924</t>
  </si>
  <si>
    <t>L00-1023968</t>
  </si>
  <si>
    <t>L00-1024018</t>
  </si>
  <si>
    <t>L00-1024684</t>
  </si>
  <si>
    <t>L00-1024685</t>
  </si>
  <si>
    <t>L00-1025277</t>
  </si>
  <si>
    <t>L00-1025306</t>
  </si>
  <si>
    <t>L00-1025347</t>
  </si>
  <si>
    <t>L00-1025349</t>
  </si>
  <si>
    <t>L01-1004591</t>
  </si>
  <si>
    <t>L01-1004603</t>
  </si>
  <si>
    <t>M00-1005268</t>
  </si>
  <si>
    <t>M05-1006476</t>
  </si>
  <si>
    <t>M11-924916</t>
  </si>
  <si>
    <t>M11-924937</t>
  </si>
  <si>
    <t>M20-1002781</t>
  </si>
  <si>
    <t>M20-1002801</t>
  </si>
  <si>
    <t>M20-1008332</t>
  </si>
  <si>
    <t>M20-1008432</t>
  </si>
  <si>
    <t>M25-848872</t>
  </si>
  <si>
    <t>MC1-998779</t>
  </si>
  <si>
    <t>MS1-1004759</t>
  </si>
  <si>
    <t>MS5-913897</t>
  </si>
  <si>
    <t>P00-1001486</t>
  </si>
  <si>
    <t>P07-1000113</t>
  </si>
  <si>
    <t>P07-1000121</t>
  </si>
  <si>
    <t>P07-1000122</t>
  </si>
  <si>
    <t>P07-1000123</t>
  </si>
  <si>
    <t>P07-1000124</t>
  </si>
  <si>
    <t>P07-1000125</t>
  </si>
  <si>
    <t>P07-1000126</t>
  </si>
  <si>
    <t>P07-1000127</t>
  </si>
  <si>
    <t>P07-1000128</t>
  </si>
  <si>
    <t>P07-1000129</t>
  </si>
  <si>
    <t>P07-1000130</t>
  </si>
  <si>
    <t>P07-1000131</t>
  </si>
  <si>
    <t>P07-1000132</t>
  </si>
  <si>
    <t>P07-1000133</t>
  </si>
  <si>
    <t>P07-1000134</t>
  </si>
  <si>
    <t>P07-1000636</t>
  </si>
  <si>
    <t>P07-1000637</t>
  </si>
  <si>
    <t>P07-1000638</t>
  </si>
  <si>
    <t>P07-1000639</t>
  </si>
  <si>
    <t>P07-1000640</t>
  </si>
  <si>
    <t>P07-1000641</t>
  </si>
  <si>
    <t>P07-1000642</t>
  </si>
  <si>
    <t>T02-1003395</t>
  </si>
  <si>
    <t>T02-1003406</t>
  </si>
  <si>
    <t>T03-1005375</t>
  </si>
  <si>
    <t>Y00-1008216</t>
  </si>
  <si>
    <t>Y00-1008217</t>
  </si>
  <si>
    <t>Y00-1008218</t>
  </si>
  <si>
    <t>Y00-1008219</t>
  </si>
  <si>
    <t>Y01-816845</t>
  </si>
  <si>
    <t>Y01-816880</t>
  </si>
  <si>
    <t>Y01-816881</t>
  </si>
  <si>
    <t>Y11-988887</t>
  </si>
  <si>
    <t>C01-1001617</t>
  </si>
  <si>
    <t>D00-1011531</t>
  </si>
  <si>
    <t>D00-1016623</t>
  </si>
  <si>
    <t>D00-1017206</t>
  </si>
  <si>
    <t>D70-1010093</t>
  </si>
  <si>
    <t>D70-1010094</t>
  </si>
  <si>
    <t>D70-1010095</t>
  </si>
  <si>
    <t>D70-1010101</t>
  </si>
  <si>
    <t>D70-1010102</t>
  </si>
  <si>
    <t>D70-1010103</t>
  </si>
  <si>
    <t>D70-1010104</t>
  </si>
  <si>
    <t>D70-1010112</t>
  </si>
  <si>
    <t>D70-1010115</t>
  </si>
  <si>
    <t>D70-1010121</t>
  </si>
  <si>
    <t>D70-1010131</t>
  </si>
  <si>
    <t>D70-1010132</t>
  </si>
  <si>
    <t>D70-1010142</t>
  </si>
  <si>
    <t>D70-1010145</t>
  </si>
  <si>
    <t>D70-1010149</t>
  </si>
  <si>
    <t>D70-1010152</t>
  </si>
  <si>
    <t>D70-1010153</t>
  </si>
  <si>
    <t>D70-1010154</t>
  </si>
  <si>
    <t>D70-1010155</t>
  </si>
  <si>
    <t>D70-1010156</t>
  </si>
  <si>
    <t>D70-1010157</t>
  </si>
  <si>
    <t>D70-1010158</t>
  </si>
  <si>
    <t>D70-1010160</t>
  </si>
  <si>
    <t>D70-1010162</t>
  </si>
  <si>
    <t>D70-1010163</t>
  </si>
  <si>
    <t>D70-1010165</t>
  </si>
  <si>
    <t>D70-1010167</t>
  </si>
  <si>
    <t>D70-1010168</t>
  </si>
  <si>
    <t>D70-1010691</t>
  </si>
  <si>
    <t>D70-1010701</t>
  </si>
  <si>
    <t>D70-1010849</t>
  </si>
  <si>
    <t>D70-1010889</t>
  </si>
  <si>
    <t>D70-1010891</t>
  </si>
  <si>
    <t>D70-1010906</t>
  </si>
  <si>
    <t>G11-999528</t>
  </si>
  <si>
    <t>H00-1006370</t>
  </si>
  <si>
    <t>H00-1006374</t>
  </si>
  <si>
    <t>H00-1006902</t>
  </si>
  <si>
    <t>L00-1023736</t>
  </si>
  <si>
    <t>L00-1023835</t>
  </si>
  <si>
    <t>L00-1023868</t>
  </si>
  <si>
    <t>L00-1023971</t>
  </si>
  <si>
    <t>L00-1024017</t>
  </si>
  <si>
    <t>L00-1024697</t>
  </si>
  <si>
    <t>L00-1025235</t>
  </si>
  <si>
    <t>L00-1025271</t>
  </si>
  <si>
    <t>L00-1025309</t>
  </si>
  <si>
    <t>L00-1025325</t>
  </si>
  <si>
    <t>L00-1025383</t>
  </si>
  <si>
    <t>L01-1004600</t>
  </si>
  <si>
    <t>L06-999784</t>
  </si>
  <si>
    <t>L06-999817</t>
  </si>
  <si>
    <t>L06-999821</t>
  </si>
  <si>
    <t>L06-999822</t>
  </si>
  <si>
    <t>M00-1005240</t>
  </si>
  <si>
    <t>M00-1005250</t>
  </si>
  <si>
    <t>M05-1006479</t>
  </si>
  <si>
    <t>M14-980902</t>
  </si>
  <si>
    <t>M14-980903</t>
  </si>
  <si>
    <t>M17-587857</t>
  </si>
  <si>
    <t>M20-1002785</t>
  </si>
  <si>
    <t>M20-1008415</t>
  </si>
  <si>
    <t>M25-848873</t>
  </si>
  <si>
    <t>MS1-1004757</t>
  </si>
  <si>
    <t>MS5-913898</t>
  </si>
  <si>
    <t>MS5-913899</t>
  </si>
  <si>
    <t>MS5-913900</t>
  </si>
  <si>
    <t>MS5-913907</t>
  </si>
  <si>
    <t>MS5-913908</t>
  </si>
  <si>
    <t>P00-1001488</t>
  </si>
  <si>
    <t>P00-1002099</t>
  </si>
  <si>
    <t>P01-998269</t>
  </si>
  <si>
    <t>P01-998278</t>
  </si>
  <si>
    <t>P01-1003794</t>
  </si>
  <si>
    <t>P07-1000635</t>
  </si>
  <si>
    <t>Q00-1004613</t>
  </si>
  <si>
    <t>Q00-1004616</t>
  </si>
  <si>
    <t>Q02-935805</t>
  </si>
  <si>
    <t>Q02-935820</t>
  </si>
  <si>
    <t>T02-1003412</t>
  </si>
  <si>
    <t>Y00-1007557</t>
  </si>
  <si>
    <t>Y00-1007579</t>
  </si>
  <si>
    <t>C00-1004507</t>
  </si>
  <si>
    <t>C00-1004508</t>
  </si>
  <si>
    <t>C00-1004526</t>
  </si>
  <si>
    <t>C00-1005104</t>
  </si>
  <si>
    <t>C01-1001000</t>
  </si>
  <si>
    <t>C01-1001625</t>
  </si>
  <si>
    <t>C16-811667</t>
  </si>
  <si>
    <t>C18-9</t>
  </si>
  <si>
    <t>D00-1016562</t>
  </si>
  <si>
    <t>D00-1016566</t>
  </si>
  <si>
    <t>D00-1016576</t>
  </si>
  <si>
    <t>D00-1016577</t>
  </si>
  <si>
    <t>D00-1016592</t>
  </si>
  <si>
    <t>D00-1016605</t>
  </si>
  <si>
    <t>D00-1016607</t>
  </si>
  <si>
    <t>D00-1016621</t>
  </si>
  <si>
    <t>D00-1017268</t>
  </si>
  <si>
    <t>D00-1017278</t>
  </si>
  <si>
    <t>D00-1017305</t>
  </si>
  <si>
    <t>D00-1017514</t>
  </si>
  <si>
    <t>D00-1017548</t>
  </si>
  <si>
    <t>D00-1017650</t>
  </si>
  <si>
    <t>D70-1010122</t>
  </si>
  <si>
    <t>D70-1010148</t>
  </si>
  <si>
    <t>D70-1010170</t>
  </si>
  <si>
    <t>D70-1010180</t>
  </si>
  <si>
    <t>D70-1010692</t>
  </si>
  <si>
    <t>D70-1010859</t>
  </si>
  <si>
    <t>D70-1010887</t>
  </si>
  <si>
    <t>D70-1010897</t>
  </si>
  <si>
    <t>D70-1010900</t>
  </si>
  <si>
    <t>E00-996409</t>
  </si>
  <si>
    <t>E00-996410</t>
  </si>
  <si>
    <t>F02-1001635</t>
  </si>
  <si>
    <t>F02-1001647</t>
  </si>
  <si>
    <t>F04-981649</t>
  </si>
  <si>
    <t>F04-981654</t>
  </si>
  <si>
    <t>G00-996948</t>
  </si>
  <si>
    <t>G00-1002496</t>
  </si>
  <si>
    <t>G05-964140</t>
  </si>
  <si>
    <t>G05-964151</t>
  </si>
  <si>
    <t>G05-969745</t>
  </si>
  <si>
    <t>G05-969746</t>
  </si>
  <si>
    <t>G11-999005</t>
  </si>
  <si>
    <t>G11-999010</t>
  </si>
  <si>
    <t>G11-999020</t>
  </si>
  <si>
    <t>H00-1006365</t>
  </si>
  <si>
    <t>H01-998470</t>
  </si>
  <si>
    <t>L00-1023754</t>
  </si>
  <si>
    <t>L00-1023757</t>
  </si>
  <si>
    <t>L00-1023764</t>
  </si>
  <si>
    <t>L00-1023769</t>
  </si>
  <si>
    <t>L00-1023813</t>
  </si>
  <si>
    <t>L00-1023830</t>
  </si>
  <si>
    <t>L00-1023849</t>
  </si>
  <si>
    <t>L00-1023860</t>
  </si>
  <si>
    <t>L00-1023878</t>
  </si>
  <si>
    <t>L00-1023879</t>
  </si>
  <si>
    <t>L00-1023902</t>
  </si>
  <si>
    <t>L00-1023987</t>
  </si>
  <si>
    <t>L00-1023988</t>
  </si>
  <si>
    <t>L00-1024013</t>
  </si>
  <si>
    <t>L00-1024020</t>
  </si>
  <si>
    <t>L00-1024653</t>
  </si>
  <si>
    <t>L00-1024658</t>
  </si>
  <si>
    <t>L00-1024659</t>
  </si>
  <si>
    <t>L01-1004602</t>
  </si>
  <si>
    <t>L07-983480</t>
  </si>
  <si>
    <t>L07-983489</t>
  </si>
  <si>
    <t>L07-983512</t>
  </si>
  <si>
    <t>L12-375248</t>
  </si>
  <si>
    <t>M00-1005255</t>
  </si>
  <si>
    <t>M00-1005257</t>
  </si>
  <si>
    <t>M00-1005258</t>
  </si>
  <si>
    <t>M00-1005811</t>
  </si>
  <si>
    <t>M17-582341</t>
  </si>
  <si>
    <t>M17-582344</t>
  </si>
  <si>
    <t>M20-1002789</t>
  </si>
  <si>
    <t>M20-1002791</t>
  </si>
  <si>
    <t>M20-1002793</t>
  </si>
  <si>
    <t>M20-1008417</t>
  </si>
  <si>
    <t>MS1-999242</t>
  </si>
  <si>
    <t>P00-1001471</t>
  </si>
  <si>
    <t>P00-1002106</t>
  </si>
  <si>
    <t>P01-998271</t>
  </si>
  <si>
    <t>P01-998280</t>
  </si>
  <si>
    <t>P07-1000116</t>
  </si>
  <si>
    <t>Q02-935793</t>
  </si>
  <si>
    <t>Q02-935797</t>
  </si>
  <si>
    <t>Q02-936397</t>
  </si>
  <si>
    <t>Q02-936403</t>
  </si>
  <si>
    <t>T00-1005059</t>
  </si>
  <si>
    <t>Y00-1007559</t>
  </si>
  <si>
    <t>Y00-1007560</t>
  </si>
  <si>
    <t>Y00-1007595</t>
  </si>
  <si>
    <t>Y00-1007597</t>
  </si>
  <si>
    <t>Y00-1008132</t>
  </si>
  <si>
    <t>Y00-1008134</t>
  </si>
  <si>
    <t>Y00-1008222</t>
  </si>
  <si>
    <t>Y00-1008232</t>
  </si>
  <si>
    <t>Y01-816839</t>
  </si>
  <si>
    <t>C00-1005070</t>
  </si>
  <si>
    <t>C01-1001578</t>
  </si>
  <si>
    <t>C01-1001579</t>
  </si>
  <si>
    <t>D00-1017235</t>
  </si>
  <si>
    <t>D00-1017241</t>
  </si>
  <si>
    <t>D00-1017242</t>
  </si>
  <si>
    <t>D00-1017243</t>
  </si>
  <si>
    <t>D00-1017271</t>
  </si>
  <si>
    <t>D00-1017279</t>
  </si>
  <si>
    <t>D00-1017286</t>
  </si>
  <si>
    <t>D00-1017287</t>
  </si>
  <si>
    <t>D00-1017320</t>
  </si>
  <si>
    <t>D00-1017330</t>
  </si>
  <si>
    <t>D00-1017331</t>
  </si>
  <si>
    <t>D00-1017334</t>
  </si>
  <si>
    <t>D00-1017342</t>
  </si>
  <si>
    <t>D00-1017343</t>
  </si>
  <si>
    <t>D00-1017350</t>
  </si>
  <si>
    <t>D00-1017354</t>
  </si>
  <si>
    <t>D00-1017363</t>
  </si>
  <si>
    <t>D00-1017364</t>
  </si>
  <si>
    <t>D00-1017369</t>
  </si>
  <si>
    <t>D00-1017372</t>
  </si>
  <si>
    <t>D00-1017373</t>
  </si>
  <si>
    <t>D00-1017382</t>
  </si>
  <si>
    <t>D00-1017395</t>
  </si>
  <si>
    <t>D00-1017396</t>
  </si>
  <si>
    <t>D00-1017404</t>
  </si>
  <si>
    <t>D00-1017420</t>
  </si>
  <si>
    <t>D00-1017422</t>
  </si>
  <si>
    <t>D00-1017432</t>
  </si>
  <si>
    <t>D00-1017433</t>
  </si>
  <si>
    <t>D00-1017440</t>
  </si>
  <si>
    <t>D00-1017442</t>
  </si>
  <si>
    <t>D00-1017460</t>
  </si>
  <si>
    <t>D00-1017461</t>
  </si>
  <si>
    <t>D00-1017466</t>
  </si>
  <si>
    <t>D00-1017467</t>
  </si>
  <si>
    <t>D00-1017468</t>
  </si>
  <si>
    <t>D00-1017469</t>
  </si>
  <si>
    <t>D00-1017475</t>
  </si>
  <si>
    <t>D00-1017524</t>
  </si>
  <si>
    <t>D00-1017551</t>
  </si>
  <si>
    <t>D00-1017587</t>
  </si>
  <si>
    <t>D00-1017634</t>
  </si>
  <si>
    <t>D70-1010730</t>
  </si>
  <si>
    <t>D70-1010732</t>
  </si>
  <si>
    <t>D70-1010736</t>
  </si>
  <si>
    <t>D70-1010737</t>
  </si>
  <si>
    <t>D70-1010791</t>
  </si>
  <si>
    <t>D70-1010792</t>
  </si>
  <si>
    <t>D70-1010803</t>
  </si>
  <si>
    <t>D70-1010805</t>
  </si>
  <si>
    <t>D70-1010806</t>
  </si>
  <si>
    <t>D70-1010837</t>
  </si>
  <si>
    <t>D70-1010875</t>
  </si>
  <si>
    <t>E00-1001924</t>
  </si>
  <si>
    <t>F02-1002156</t>
  </si>
  <si>
    <t>F02-1002170</t>
  </si>
  <si>
    <t>F02-1002171</t>
  </si>
  <si>
    <t>F02-1002172</t>
  </si>
  <si>
    <t>F04-981616</t>
  </si>
  <si>
    <t>F04-981626</t>
  </si>
  <si>
    <t>F04-981631</t>
  </si>
  <si>
    <t>F04-981636</t>
  </si>
  <si>
    <t>F04-981638</t>
  </si>
  <si>
    <t>F10-1001913</t>
  </si>
  <si>
    <t>F10-1001914</t>
  </si>
  <si>
    <t>F10-1001927</t>
  </si>
  <si>
    <t>G00-1002467</t>
  </si>
  <si>
    <t>G00-1002474</t>
  </si>
  <si>
    <t>G00-1002485</t>
  </si>
  <si>
    <t>G05-969685</t>
  </si>
  <si>
    <t>G11-999542</t>
  </si>
  <si>
    <t>G11-999550</t>
  </si>
  <si>
    <t>G11-999559</t>
  </si>
  <si>
    <t>G11-999562</t>
  </si>
  <si>
    <t>G11-999563</t>
  </si>
  <si>
    <t>G15-253810</t>
  </si>
  <si>
    <t>H00-1006912</t>
  </si>
  <si>
    <t>H00-1006924</t>
  </si>
  <si>
    <t>H00-1006946</t>
  </si>
  <si>
    <t>H00-1006947</t>
  </si>
  <si>
    <t>H00-1006948</t>
  </si>
  <si>
    <t>H01-998981</t>
  </si>
  <si>
    <t>H01-998993</t>
  </si>
  <si>
    <t>H01-999000</t>
  </si>
  <si>
    <t>L00-1024766</t>
  </si>
  <si>
    <t>L00-1024780</t>
  </si>
  <si>
    <t>L00-1024781</t>
  </si>
  <si>
    <t>L00-1024821</t>
  </si>
  <si>
    <t>L00-1024837</t>
  </si>
  <si>
    <t>L00-1024851</t>
  </si>
  <si>
    <t>L00-1024852</t>
  </si>
  <si>
    <t>L00-1024863</t>
  </si>
  <si>
    <t>L00-1024868</t>
  </si>
  <si>
    <t>L00-1024955</t>
  </si>
  <si>
    <t>L00-1024960</t>
  </si>
  <si>
    <t>L00-1025006</t>
  </si>
  <si>
    <t>L00-1025007</t>
  </si>
  <si>
    <t>L00-1025020</t>
  </si>
  <si>
    <t>L00-1025021</t>
  </si>
  <si>
    <t>L00-1025022</t>
  </si>
  <si>
    <t>L00-1025045</t>
  </si>
  <si>
    <t>L00-1025082</t>
  </si>
  <si>
    <t>L00-1025085</t>
  </si>
  <si>
    <t>L00-1025097</t>
  </si>
  <si>
    <t>L00-1025141</t>
  </si>
  <si>
    <t>L00-1025175</t>
  </si>
  <si>
    <t>L00-1025191</t>
  </si>
  <si>
    <t>L00-1025264</t>
  </si>
  <si>
    <t>L00-1025265</t>
  </si>
  <si>
    <t>L00-1025320</t>
  </si>
  <si>
    <t>L00-1025321</t>
  </si>
  <si>
    <t>L00-1025322</t>
  </si>
  <si>
    <t>L00-1025332</t>
  </si>
  <si>
    <t>L00-1025396</t>
  </si>
  <si>
    <t>L00-1025416</t>
  </si>
  <si>
    <t>L01-1005137</t>
  </si>
  <si>
    <t>L06-1000397</t>
  </si>
  <si>
    <t>L06-1000398</t>
  </si>
  <si>
    <t>L06-1000404</t>
  </si>
  <si>
    <t>L06-1000405</t>
  </si>
  <si>
    <t>L06-1000417</t>
  </si>
  <si>
    <t>L06-1000420</t>
  </si>
  <si>
    <t>L06-1000426</t>
  </si>
  <si>
    <t>L06-1000431</t>
  </si>
  <si>
    <t>L06-1000521</t>
  </si>
  <si>
    <t>L06-1000524</t>
  </si>
  <si>
    <t>L07-984038</t>
  </si>
  <si>
    <t>L07-984040</t>
  </si>
  <si>
    <t>L07-984051</t>
  </si>
  <si>
    <t>L07-984116</t>
  </si>
  <si>
    <t>L07-984117</t>
  </si>
  <si>
    <t>L12-375751</t>
  </si>
  <si>
    <t>M00-1005798</t>
  </si>
  <si>
    <t>M11-924926</t>
  </si>
  <si>
    <t>M11-924927</t>
  </si>
  <si>
    <t>M14-986439</t>
  </si>
  <si>
    <t>M20-1008346</t>
  </si>
  <si>
    <t>M20-1008357</t>
  </si>
  <si>
    <t>M20-1008447</t>
  </si>
  <si>
    <t>MC1-1004299</t>
  </si>
  <si>
    <t>MC1-1004301</t>
  </si>
  <si>
    <t>MC1-1004315</t>
  </si>
  <si>
    <t>MC1-1004316</t>
  </si>
  <si>
    <t>MC1-1004334</t>
  </si>
  <si>
    <t>MC1-1004335</t>
  </si>
  <si>
    <t>MC7-17667</t>
  </si>
  <si>
    <t>MH0-587762</t>
  </si>
  <si>
    <t>MH0-587763</t>
  </si>
  <si>
    <t>MH0-587768</t>
  </si>
  <si>
    <t>MH0-587769</t>
  </si>
  <si>
    <t>P00-1002029</t>
  </si>
  <si>
    <t>P00-1002031</t>
  </si>
  <si>
    <t>P00-1002042</t>
  </si>
  <si>
    <t>P00-1002047</t>
  </si>
  <si>
    <t>P00-1002062</t>
  </si>
  <si>
    <t>P00-1002065</t>
  </si>
  <si>
    <t>P00-1002081</t>
  </si>
  <si>
    <t>P00-1002095</t>
  </si>
  <si>
    <t>P00-1002097</t>
  </si>
  <si>
    <t>P00-1002102</t>
  </si>
  <si>
    <t>P00-1002105</t>
  </si>
  <si>
    <t>P01-1003799</t>
  </si>
  <si>
    <t>P07-1000654</t>
  </si>
  <si>
    <t>Q00-1005148</t>
  </si>
  <si>
    <t>Q00-1005149</t>
  </si>
  <si>
    <t>Q00-1005170</t>
  </si>
  <si>
    <t>Q00-1005171</t>
  </si>
  <si>
    <t>Q00-1005190</t>
  </si>
  <si>
    <t>Q00-1005194</t>
  </si>
  <si>
    <t>Q00-1005199</t>
  </si>
  <si>
    <t>Q00-1005202</t>
  </si>
  <si>
    <t>Q00-1005203</t>
  </si>
  <si>
    <t>Q00-1005204</t>
  </si>
  <si>
    <t>Q00-1005208</t>
  </si>
  <si>
    <t>Q02-936369</t>
  </si>
  <si>
    <t>Q02-936372</t>
  </si>
  <si>
    <t>Q02-936374</t>
  </si>
  <si>
    <t>Q02-936375</t>
  </si>
  <si>
    <t>Q02-936384</t>
  </si>
  <si>
    <t>Q02-936411</t>
  </si>
  <si>
    <t>T00-1005025</t>
  </si>
  <si>
    <t>T00-1005027</t>
  </si>
  <si>
    <t>T00-1005028</t>
  </si>
  <si>
    <t>T02-1003923</t>
  </si>
  <si>
    <t>Y00-1008162</t>
  </si>
  <si>
    <t>Y00-1008176</t>
  </si>
  <si>
    <t>Y00-1008179</t>
  </si>
  <si>
    <t>Y00-1008207</t>
  </si>
  <si>
    <t>Y00-1008214</t>
  </si>
  <si>
    <t>Y00-1008215</t>
  </si>
  <si>
    <t>Y00-1008220</t>
  </si>
  <si>
    <t>Y00-1008235</t>
  </si>
  <si>
    <t>Y01-816857</t>
  </si>
  <si>
    <t>Y01-816860</t>
  </si>
  <si>
    <t>Y17-867861</t>
  </si>
  <si>
    <t>D00-1017319</t>
  </si>
  <si>
    <t>D00-1017356</t>
  </si>
  <si>
    <t>D00-1017394</t>
  </si>
  <si>
    <t>D00-1017399</t>
  </si>
  <si>
    <t>D70-1010784</t>
  </si>
  <si>
    <t>D70-1010785</t>
  </si>
  <si>
    <t>D70-1010788</t>
  </si>
  <si>
    <t>D70-1010813</t>
  </si>
  <si>
    <t>D70-1010827</t>
  </si>
  <si>
    <t>F02-1002167</t>
  </si>
  <si>
    <t>F10-1001919</t>
  </si>
  <si>
    <t>G00-1002482</t>
  </si>
  <si>
    <t>G00-1002483</t>
  </si>
  <si>
    <t>G00-1002497</t>
  </si>
  <si>
    <t>G00-1002503</t>
  </si>
  <si>
    <t>G00-1002504</t>
  </si>
  <si>
    <t>G05-969691</t>
  </si>
  <si>
    <t>L00-1024757</t>
  </si>
  <si>
    <t>L00-1024784</t>
  </si>
  <si>
    <t>L00-1024785</t>
  </si>
  <si>
    <t>L00-1024830</t>
  </si>
  <si>
    <t>L00-1024848</t>
  </si>
  <si>
    <t>L00-1024856</t>
  </si>
  <si>
    <t>L00-1024860</t>
  </si>
  <si>
    <t>L00-1024892</t>
  </si>
  <si>
    <t>L00-1024893</t>
  </si>
  <si>
    <t>L00-1024907</t>
  </si>
  <si>
    <t>L00-1024911</t>
  </si>
  <si>
    <t>L00-1024942</t>
  </si>
  <si>
    <t>L00-1024962</t>
  </si>
  <si>
    <t>L00-1024967</t>
  </si>
  <si>
    <t>L00-1025010</t>
  </si>
  <si>
    <t>L00-1025125</t>
  </si>
  <si>
    <t>L00-1025173</t>
  </si>
  <si>
    <t>L00-1025192</t>
  </si>
  <si>
    <t>L00-1025266</t>
  </si>
  <si>
    <t>L00-1025312</t>
  </si>
  <si>
    <t>L00-1025313</t>
  </si>
  <si>
    <t>L00-1025314</t>
  </si>
  <si>
    <t>L00-1025391</t>
  </si>
  <si>
    <t>L00-1025442</t>
  </si>
  <si>
    <t>L01-1005132</t>
  </si>
  <si>
    <t>L01-1005170</t>
  </si>
  <si>
    <t>L06-1000365</t>
  </si>
  <si>
    <t>L06-1000368</t>
  </si>
  <si>
    <t>L06-1000370</t>
  </si>
  <si>
    <t>L06-1000439</t>
  </si>
  <si>
    <t>L06-1000473</t>
  </si>
  <si>
    <t>L07-984041</t>
  </si>
  <si>
    <t>L07-984068</t>
  </si>
  <si>
    <t>M14-986441</t>
  </si>
  <si>
    <t>M20-1008358</t>
  </si>
  <si>
    <t>M20-1008370</t>
  </si>
  <si>
    <t>M25-854377</t>
  </si>
  <si>
    <t>MCC-5532</t>
  </si>
  <si>
    <t>P00-1002030</t>
  </si>
  <si>
    <t>P01-1003802</t>
  </si>
  <si>
    <t>Q00-1005152</t>
  </si>
  <si>
    <t>Y00-1008148</t>
  </si>
  <si>
    <t>Y00-1008153</t>
  </si>
  <si>
    <t>Y00-1008183</t>
  </si>
  <si>
    <t>Y00-1008187</t>
  </si>
  <si>
    <t>Y00-1008196</t>
  </si>
  <si>
    <t>Y10-921722</t>
  </si>
  <si>
    <t>Y10-921723</t>
  </si>
  <si>
    <t>C01-1001559</t>
  </si>
  <si>
    <t>C01-1001580</t>
  </si>
  <si>
    <t>C01-1001581</t>
  </si>
  <si>
    <t>C01-1001582</t>
  </si>
  <si>
    <t>D00-1017361</t>
  </si>
  <si>
    <t>D00-1017529</t>
  </si>
  <si>
    <t>D00-1017557</t>
  </si>
  <si>
    <t>D70-1010758</t>
  </si>
  <si>
    <t>D70-1010873</t>
  </si>
  <si>
    <t>F02-1002159</t>
  </si>
  <si>
    <t>G05-969710</t>
  </si>
  <si>
    <t>G05-969716</t>
  </si>
  <si>
    <t>H00-1006916</t>
  </si>
  <si>
    <t>H00-1006923</t>
  </si>
  <si>
    <t>H00-1006930</t>
  </si>
  <si>
    <t>H00-1006933</t>
  </si>
  <si>
    <t>H00-1006939</t>
  </si>
  <si>
    <t>H00-1006958</t>
  </si>
  <si>
    <t>H01-998990</t>
  </si>
  <si>
    <t>L00-1024815</t>
  </si>
  <si>
    <t>L00-1024818</t>
  </si>
  <si>
    <t>L00-1024823</t>
  </si>
  <si>
    <t>L00-1024844</t>
  </si>
  <si>
    <t>L00-1024850</t>
  </si>
  <si>
    <t>L00-1024854</t>
  </si>
  <si>
    <t>L00-1024865</t>
  </si>
  <si>
    <t>L00-1024899</t>
  </si>
  <si>
    <t>L00-1024928</t>
  </si>
  <si>
    <t>L00-1024929</t>
  </si>
  <si>
    <t>L00-1024991</t>
  </si>
  <si>
    <t>L00-1025015</t>
  </si>
  <si>
    <t>L00-1025220</t>
  </si>
  <si>
    <t>L00-1025296</t>
  </si>
  <si>
    <t>L00-1025304</t>
  </si>
  <si>
    <t>L00-1025326</t>
  </si>
  <si>
    <t>L00-1025432</t>
  </si>
  <si>
    <t>L00-1025444</t>
  </si>
  <si>
    <t>L01-1005141</t>
  </si>
  <si>
    <t>L01-1005181</t>
  </si>
  <si>
    <t>L07-984079</t>
  </si>
  <si>
    <t>M11-924932</t>
  </si>
  <si>
    <t>M11-924951</t>
  </si>
  <si>
    <t>M14-986426</t>
  </si>
  <si>
    <t>M14-986428</t>
  </si>
  <si>
    <t>M14-986429</t>
  </si>
  <si>
    <t>M20-1008343</t>
  </si>
  <si>
    <t>M20-1008366</t>
  </si>
  <si>
    <t>M20-1008382</t>
  </si>
  <si>
    <t>M20-1008401</t>
  </si>
  <si>
    <t>MC1-1004290</t>
  </si>
  <si>
    <t>MC1-1004303</t>
  </si>
  <si>
    <t>MC1-1004306</t>
  </si>
  <si>
    <t>P00-1002027</t>
  </si>
  <si>
    <t>P00-1002049</t>
  </si>
  <si>
    <t>P00-1002107</t>
  </si>
  <si>
    <t>P01-1003795</t>
  </si>
  <si>
    <t>P06-1002586</t>
  </si>
  <si>
    <t>Q00-1005196</t>
  </si>
  <si>
    <t>Q02-936351</t>
  </si>
  <si>
    <t>Q02-936353</t>
  </si>
  <si>
    <t>Q02-936370</t>
  </si>
  <si>
    <t>Q02-936382</t>
  </si>
  <si>
    <t>T00-1005040</t>
  </si>
  <si>
    <t>T03-1005371</t>
  </si>
  <si>
    <t>Y00-1008158</t>
  </si>
  <si>
    <t>Y00-1008184</t>
  </si>
  <si>
    <t>Y00-1008243</t>
  </si>
  <si>
    <t>Y11-989422</t>
  </si>
  <si>
    <t>C00-1005068</t>
  </si>
  <si>
    <t>D00-1017344</t>
  </si>
  <si>
    <t>D00-1017365</t>
  </si>
  <si>
    <t>D00-1017371</t>
  </si>
  <si>
    <t>D00-1017387</t>
  </si>
  <si>
    <t>D70-1010740</t>
  </si>
  <si>
    <t>D70-1010765</t>
  </si>
  <si>
    <t>D70-1010809</t>
  </si>
  <si>
    <t>D70-1010851</t>
  </si>
  <si>
    <t>D70-1010852</t>
  </si>
  <si>
    <t>F02-1002177</t>
  </si>
  <si>
    <t>F04-981617</t>
  </si>
  <si>
    <t>F04-981639</t>
  </si>
  <si>
    <t>G00-1002502</t>
  </si>
  <si>
    <t>G05-969673</t>
  </si>
  <si>
    <t>G05-969680</t>
  </si>
  <si>
    <t>G05-969749</t>
  </si>
  <si>
    <t>L00-1024853</t>
  </si>
  <si>
    <t>L00-1025046</t>
  </si>
  <si>
    <t>L00-1025163</t>
  </si>
  <si>
    <t>L00-1025346</t>
  </si>
  <si>
    <t>L00-1025361</t>
  </si>
  <si>
    <t>L00-1025404</t>
  </si>
  <si>
    <t>L01-1005134</t>
  </si>
  <si>
    <t>L01-1005144</t>
  </si>
  <si>
    <t>L06-1000377</t>
  </si>
  <si>
    <t>L06-1000395</t>
  </si>
  <si>
    <t>L06-1000399</t>
  </si>
  <si>
    <t>L06-1000409</t>
  </si>
  <si>
    <t>L06-1000510</t>
  </si>
  <si>
    <t>L07-984080</t>
  </si>
  <si>
    <t>M00-1005787</t>
  </si>
  <si>
    <t>M11-924920</t>
  </si>
  <si>
    <t>M11-924941</t>
  </si>
  <si>
    <t>M14-986432</t>
  </si>
  <si>
    <t>M20-1008345</t>
  </si>
  <si>
    <t>M20-1008362</t>
  </si>
  <si>
    <t>M20-1008410</t>
  </si>
  <si>
    <t>MH0-587764</t>
  </si>
  <si>
    <t>P00-1002026</t>
  </si>
  <si>
    <t>P00-1002077</t>
  </si>
  <si>
    <t>P00-1002108</t>
  </si>
  <si>
    <t>P01-1003807</t>
  </si>
  <si>
    <t>Q00-1005143</t>
  </si>
  <si>
    <t>Q00-1005160</t>
  </si>
  <si>
    <t>Q02-936360</t>
  </si>
  <si>
    <t>Q02-936363</t>
  </si>
  <si>
    <t>Q02-936414</t>
  </si>
  <si>
    <t>T00-1005029</t>
  </si>
  <si>
    <t>T00-1005060</t>
  </si>
  <si>
    <t>Y01-816865</t>
  </si>
  <si>
    <t>C00-1005065</t>
  </si>
  <si>
    <t>C00-1005093</t>
  </si>
  <si>
    <t>C01-1001570</t>
  </si>
  <si>
    <t>C01-1001606</t>
  </si>
  <si>
    <t>C01-1001627</t>
  </si>
  <si>
    <t>C01-1001629</t>
  </si>
  <si>
    <t>D00-1017245</t>
  </si>
  <si>
    <t>D00-1017332</t>
  </si>
  <si>
    <t>D00-1017377</t>
  </si>
  <si>
    <t>D00-1017386</t>
  </si>
  <si>
    <t>D70-1010748</t>
  </si>
  <si>
    <t>D70-1010751</t>
  </si>
  <si>
    <t>D70-1010764</t>
  </si>
  <si>
    <t>D70-1010799</t>
  </si>
  <si>
    <t>D70-1010850</t>
  </si>
  <si>
    <t>F04-981608</t>
  </si>
  <si>
    <t>F10-1001920</t>
  </si>
  <si>
    <t>F10-1001926</t>
  </si>
  <si>
    <t>G05-969684</t>
  </si>
  <si>
    <t>G11-999532</t>
  </si>
  <si>
    <t>G11-999569</t>
  </si>
  <si>
    <t>G15-253809</t>
  </si>
  <si>
    <t>H00-1006919</t>
  </si>
  <si>
    <t>H00-1006925</t>
  </si>
  <si>
    <t>H00-1006932</t>
  </si>
  <si>
    <t>L00-1024796</t>
  </si>
  <si>
    <t>L00-1024931</t>
  </si>
  <si>
    <t>L00-1024982</t>
  </si>
  <si>
    <t>L00-1025031</t>
  </si>
  <si>
    <t>L00-1025086</t>
  </si>
  <si>
    <t>L00-1025124</t>
  </si>
  <si>
    <t>L00-1025350</t>
  </si>
  <si>
    <t>L00-1025352</t>
  </si>
  <si>
    <t>L00-1025354</t>
  </si>
  <si>
    <t>L00-1025360</t>
  </si>
  <si>
    <t>L01-1005136</t>
  </si>
  <si>
    <t>L06-1000373</t>
  </si>
  <si>
    <t>L06-1000380</t>
  </si>
  <si>
    <t>L06-1000385</t>
  </si>
  <si>
    <t>L06-1000475</t>
  </si>
  <si>
    <t>L06-1000512</t>
  </si>
  <si>
    <t>L07-984044</t>
  </si>
  <si>
    <t>M11-924917</t>
  </si>
  <si>
    <t>M11-924918</t>
  </si>
  <si>
    <t>M11-924946</t>
  </si>
  <si>
    <t>M14-986442</t>
  </si>
  <si>
    <t>M20-1008363</t>
  </si>
  <si>
    <t>M20-1008371</t>
  </si>
  <si>
    <t>M20-1008445</t>
  </si>
  <si>
    <t>MC1-1004329</t>
  </si>
  <si>
    <t>MC7-17665</t>
  </si>
  <si>
    <t>P00-1002032</t>
  </si>
  <si>
    <t>P00-1002051</t>
  </si>
  <si>
    <t>Q00-1005172</t>
  </si>
  <si>
    <t>Q00-1005186</t>
  </si>
  <si>
    <t>Q02-936357</t>
  </si>
  <si>
    <t>Q02-936361</t>
  </si>
  <si>
    <t>Q02-936406</t>
  </si>
  <si>
    <t>Y01-816858</t>
  </si>
  <si>
    <t>Y01-816879</t>
  </si>
  <si>
    <t>Y01-816884</t>
  </si>
  <si>
    <t>Y11-989400</t>
  </si>
  <si>
    <t>C00-1005062</t>
  </si>
  <si>
    <t>C01-1001554</t>
  </si>
  <si>
    <t>C01-1001593</t>
  </si>
  <si>
    <t>D70-1010747</t>
  </si>
  <si>
    <t>D70-1010798</t>
  </si>
  <si>
    <t>F02-1002169</t>
  </si>
  <si>
    <t>G00-1002468</t>
  </si>
  <si>
    <t>G00-1002471</t>
  </si>
  <si>
    <t>G00-1002472</t>
  </si>
  <si>
    <t>G00-1002484</t>
  </si>
  <si>
    <t>G05-969667</t>
  </si>
  <si>
    <t>H00-1006911</t>
  </si>
  <si>
    <t>L00-1024762</t>
  </si>
  <si>
    <t>L00-1024769</t>
  </si>
  <si>
    <t>L00-1024944</t>
  </si>
  <si>
    <t>L00-1024964</t>
  </si>
  <si>
    <t>L00-1024984</t>
  </si>
  <si>
    <t>L00-1025013</t>
  </si>
  <si>
    <t>L00-1025023</t>
  </si>
  <si>
    <t>L00-1025108</t>
  </si>
  <si>
    <t>L00-1025275</t>
  </si>
  <si>
    <t>L00-1025318</t>
  </si>
  <si>
    <t>L00-1025353</t>
  </si>
  <si>
    <t>L00-1025355</t>
  </si>
  <si>
    <t>L00-1025366</t>
  </si>
  <si>
    <t>L00-1025378</t>
  </si>
  <si>
    <t>L00-1025387</t>
  </si>
  <si>
    <t>L06-1000388</t>
  </si>
  <si>
    <t>L06-1000430</t>
  </si>
  <si>
    <t>L06-1000441</t>
  </si>
  <si>
    <t>L07-984104</t>
  </si>
  <si>
    <t>M05-1006507</t>
  </si>
  <si>
    <t>M14-986459</t>
  </si>
  <si>
    <t>M20-1008349</t>
  </si>
  <si>
    <t>M20-1008359</t>
  </si>
  <si>
    <t>M20-1008383</t>
  </si>
  <si>
    <t>M20-1008393</t>
  </si>
  <si>
    <t>M20-1008394</t>
  </si>
  <si>
    <t>M20-1008398</t>
  </si>
  <si>
    <t>M20-1008413</t>
  </si>
  <si>
    <t>M20-1008428</t>
  </si>
  <si>
    <t>M20-1008449</t>
  </si>
  <si>
    <t>MS1-1004756</t>
  </si>
  <si>
    <t>P00-1002050</t>
  </si>
  <si>
    <t>P01-1003796</t>
  </si>
  <si>
    <t>P09-157174</t>
  </si>
  <si>
    <t>Q02-936367</t>
  </si>
  <si>
    <t>T00-1005014</t>
  </si>
  <si>
    <t>T00-1005017</t>
  </si>
  <si>
    <t>T00-1005020</t>
  </si>
  <si>
    <t>T00-1005033</t>
  </si>
  <si>
    <t>T00-1005061</t>
  </si>
  <si>
    <t>Y01-816849</t>
  </si>
  <si>
    <t>Y02-998979</t>
  </si>
  <si>
    <t>C01-1001560</t>
  </si>
  <si>
    <t>C01-1001590</t>
  </si>
  <si>
    <t>D00-1017244</t>
  </si>
  <si>
    <t>D00-1017248</t>
  </si>
  <si>
    <t>D00-1017333</t>
  </si>
  <si>
    <t>D00-1017335</t>
  </si>
  <si>
    <t>D00-1017340</t>
  </si>
  <si>
    <t>D00-1017383</t>
  </si>
  <si>
    <t>D00-1017384</t>
  </si>
  <si>
    <t>D00-1017390</t>
  </si>
  <si>
    <t>D00-1017421</t>
  </si>
  <si>
    <t>D70-1010731</t>
  </si>
  <si>
    <t>D70-1010800</t>
  </si>
  <si>
    <t>D70-1010802</t>
  </si>
  <si>
    <t>D70-1010894</t>
  </si>
  <si>
    <t>D70-1010895</t>
  </si>
  <si>
    <t>F02-1002175</t>
  </si>
  <si>
    <t>G05-969696</t>
  </si>
  <si>
    <t>G05-969701</t>
  </si>
  <si>
    <t>G05-969722</t>
  </si>
  <si>
    <t>L00-1024782</t>
  </si>
  <si>
    <t>L00-1024795</t>
  </si>
  <si>
    <t>L00-1024825</t>
  </si>
  <si>
    <t>L00-1024894</t>
  </si>
  <si>
    <t>L00-1024945</t>
  </si>
  <si>
    <t>L00-1024956</t>
  </si>
  <si>
    <t>L00-1025089</t>
  </si>
  <si>
    <t>L00-1025090</t>
  </si>
  <si>
    <t>L00-1025160</t>
  </si>
  <si>
    <t>L00-1025195</t>
  </si>
  <si>
    <t>L00-1025211</t>
  </si>
  <si>
    <t>L00-1025362</t>
  </si>
  <si>
    <t>L01-1005150</t>
  </si>
  <si>
    <t>L01-1005185</t>
  </si>
  <si>
    <t>L06-1000506</t>
  </si>
  <si>
    <t>L07-984053</t>
  </si>
  <si>
    <t>M14-986434</t>
  </si>
  <si>
    <t>M20-1008338</t>
  </si>
  <si>
    <t>M20-1008361</t>
  </si>
  <si>
    <t>M20-1008375</t>
  </si>
  <si>
    <t>MS5-919417</t>
  </si>
  <si>
    <t>P00-1002109</t>
  </si>
  <si>
    <t>P09-157173</t>
  </si>
  <si>
    <t>T02-1003932</t>
  </si>
  <si>
    <t>Y00-1008151</t>
  </si>
  <si>
    <t>Y00-1008171</t>
  </si>
  <si>
    <t>Y00-1008195</t>
  </si>
  <si>
    <t>Y00-1008225</t>
  </si>
  <si>
    <t>Y02-998978</t>
  </si>
  <si>
    <t>Y17-867862</t>
  </si>
  <si>
    <t>C00-1005059</t>
  </si>
  <si>
    <t>C00-1005075</t>
  </si>
  <si>
    <t>C00-1005085</t>
  </si>
  <si>
    <t>C00-1005091</t>
  </si>
  <si>
    <t>C00-1005105</t>
  </si>
  <si>
    <t>D00-1017218</t>
  </si>
  <si>
    <t>D00-1017249</t>
  </si>
  <si>
    <t>D00-1017307</t>
  </si>
  <si>
    <t>D00-1017341</t>
  </si>
  <si>
    <t>D00-1017357</t>
  </si>
  <si>
    <t>D00-1017425</t>
  </si>
  <si>
    <t>D00-1017643</t>
  </si>
  <si>
    <t>D70-1010728</t>
  </si>
  <si>
    <t>D70-1010789</t>
  </si>
  <si>
    <t>D70-1010797</t>
  </si>
  <si>
    <t>F02-1002183</t>
  </si>
  <si>
    <t>F02-1002184</t>
  </si>
  <si>
    <t>F04-981610</t>
  </si>
  <si>
    <t>F04-981640</t>
  </si>
  <si>
    <t>G00-1002487</t>
  </si>
  <si>
    <t>G00-1002490</t>
  </si>
  <si>
    <t>G05-969706</t>
  </si>
  <si>
    <t>H00-1006942</t>
  </si>
  <si>
    <t>L00-1024758</t>
  </si>
  <si>
    <t>L00-1024817</t>
  </si>
  <si>
    <t>L00-1024861</t>
  </si>
  <si>
    <t>L00-1024881</t>
  </si>
  <si>
    <t>L00-1024992</t>
  </si>
  <si>
    <t>L00-1025016</t>
  </si>
  <si>
    <t>L00-1025019</t>
  </si>
  <si>
    <t>L00-1025078</t>
  </si>
  <si>
    <t>L00-1025095</t>
  </si>
  <si>
    <t>L00-1025166</t>
  </si>
  <si>
    <t>L00-1025255</t>
  </si>
  <si>
    <t>L06-1000383</t>
  </si>
  <si>
    <t>L06-1000429</t>
  </si>
  <si>
    <t>L06-1000432</t>
  </si>
  <si>
    <t>L07-984065</t>
  </si>
  <si>
    <t>L07-984067</t>
  </si>
  <si>
    <t>M05-1006514</t>
  </si>
  <si>
    <t>M14-986433</t>
  </si>
  <si>
    <t>M14-986447</t>
  </si>
  <si>
    <t>M20-1008344</t>
  </si>
  <si>
    <t>M20-1008360</t>
  </si>
  <si>
    <t>M20-1008379</t>
  </si>
  <si>
    <t>MC1-1004317</t>
  </si>
  <si>
    <t>MH0-587765</t>
  </si>
  <si>
    <t>MS1-1004751</t>
  </si>
  <si>
    <t>MS1-1004760</t>
  </si>
  <si>
    <t>P00-1002035</t>
  </si>
  <si>
    <t>P00-1002059</t>
  </si>
  <si>
    <t>P00-1002060</t>
  </si>
  <si>
    <t>P07-1000652</t>
  </si>
  <si>
    <t>T00-1005015</t>
  </si>
  <si>
    <t>Y00-1008182</t>
  </si>
  <si>
    <t>Y00-1008185</t>
  </si>
  <si>
    <t>Y01-816861</t>
  </si>
  <si>
    <t>Y02-998980</t>
  </si>
  <si>
    <t>C01-1001583</t>
  </si>
  <si>
    <t>D00-1017246</t>
  </si>
  <si>
    <t>D00-1017250</t>
  </si>
  <si>
    <t>D00-1017251</t>
  </si>
  <si>
    <t>D00-1017355</t>
  </si>
  <si>
    <t>D00-1017405</t>
  </si>
  <si>
    <t>D00-1017430</t>
  </si>
  <si>
    <t>D00-1017431</t>
  </si>
  <si>
    <t>D00-1017447</t>
  </si>
  <si>
    <t>D00-1017457</t>
  </si>
  <si>
    <t>D00-1017591</t>
  </si>
  <si>
    <t>D70-1010779</t>
  </si>
  <si>
    <t>F02-1002178</t>
  </si>
  <si>
    <t>F04-981618</t>
  </si>
  <si>
    <t>F10-1001923</t>
  </si>
  <si>
    <t>G05-969738</t>
  </si>
  <si>
    <t>G05-969741</t>
  </si>
  <si>
    <t>G05-969754</t>
  </si>
  <si>
    <t>H00-1006915</t>
  </si>
  <si>
    <t>H01-998986</t>
  </si>
  <si>
    <t>H01-998988</t>
  </si>
  <si>
    <t>H01-999004</t>
  </si>
  <si>
    <t>L00-1024822</t>
  </si>
  <si>
    <t>L00-1024824</t>
  </si>
  <si>
    <t>L00-1024829</t>
  </si>
  <si>
    <t>L00-1024872</t>
  </si>
  <si>
    <t>L00-1024900</t>
  </si>
  <si>
    <t>L00-1024902</t>
  </si>
  <si>
    <t>L00-1024903</t>
  </si>
  <si>
    <t>L00-1024904</t>
  </si>
  <si>
    <t>L00-1024947</t>
  </si>
  <si>
    <t>L00-1025053</t>
  </si>
  <si>
    <t>L00-1025102</t>
  </si>
  <si>
    <t>L00-1025104</t>
  </si>
  <si>
    <t>L00-1025109</t>
  </si>
  <si>
    <t>L00-1025187</t>
  </si>
  <si>
    <t>L00-1025256</t>
  </si>
  <si>
    <t>L00-1025333</t>
  </si>
  <si>
    <t>L00-1025356</t>
  </si>
  <si>
    <t>L00-1025390</t>
  </si>
  <si>
    <t>L00-1025414</t>
  </si>
  <si>
    <t>L00-1025437</t>
  </si>
  <si>
    <t>L01-1005189</t>
  </si>
  <si>
    <t>L06-1000394</t>
  </si>
  <si>
    <t>L06-1000413</t>
  </si>
  <si>
    <t>L06-1000418</t>
  </si>
  <si>
    <t>L06-1000440</t>
  </si>
  <si>
    <t>L06-1000451</t>
  </si>
  <si>
    <t>M05-1006523</t>
  </si>
  <si>
    <t>M20-1008336</t>
  </si>
  <si>
    <t>M20-1008347</t>
  </si>
  <si>
    <t>M20-1008368</t>
  </si>
  <si>
    <t>Q00-1005147</t>
  </si>
  <si>
    <t>Q00-1005165</t>
  </si>
  <si>
    <t>Q00-1005177</t>
  </si>
  <si>
    <t>Q00-1005207</t>
  </si>
  <si>
    <t>T00-1005030</t>
  </si>
  <si>
    <t>T00-1005039</t>
  </si>
  <si>
    <t>T00-1005058</t>
  </si>
  <si>
    <t>T00-1005063</t>
  </si>
  <si>
    <t>T02-1003916</t>
  </si>
  <si>
    <t>Y00-1008149</t>
  </si>
  <si>
    <t>Y00-1008190</t>
  </si>
  <si>
    <t>Y00-1008204</t>
  </si>
  <si>
    <t>Y00-1008205</t>
  </si>
  <si>
    <t>Y00-1008236</t>
  </si>
  <si>
    <t>Y11-989407</t>
  </si>
  <si>
    <t>C00-1005052</t>
  </si>
  <si>
    <t>C00-1005080</t>
  </si>
  <si>
    <t>C00-1005089</t>
  </si>
  <si>
    <t>C01-1001571</t>
  </si>
  <si>
    <t>C01-1001589</t>
  </si>
  <si>
    <t>C01-1001630</t>
  </si>
  <si>
    <t>D00-1017252</t>
  </si>
  <si>
    <t>D00-1017317</t>
  </si>
  <si>
    <t>D00-1017326</t>
  </si>
  <si>
    <t>D00-1017349</t>
  </si>
  <si>
    <t>D70-1010742</t>
  </si>
  <si>
    <t>D70-1010775</t>
  </si>
  <si>
    <t>F02-1002181</t>
  </si>
  <si>
    <t>F04-981623</t>
  </si>
  <si>
    <t>F04-981642</t>
  </si>
  <si>
    <t>F10-1001917</t>
  </si>
  <si>
    <t>F10-1001918</t>
  </si>
  <si>
    <t>G05-969681</t>
  </si>
  <si>
    <t>G22-161738</t>
  </si>
  <si>
    <t>H00-1006917</t>
  </si>
  <si>
    <t>H00-1006934</t>
  </si>
  <si>
    <t>H00-1006953</t>
  </si>
  <si>
    <t>H00-1006957</t>
  </si>
  <si>
    <t>H00-1006966</t>
  </si>
  <si>
    <t>H01-999002</t>
  </si>
  <si>
    <t>L00-1024783</t>
  </si>
  <si>
    <t>L00-1024826</t>
  </si>
  <si>
    <t>L00-1024859</t>
  </si>
  <si>
    <t>L00-1024906</t>
  </si>
  <si>
    <t>L00-1024949</t>
  </si>
  <si>
    <t>L00-1024971</t>
  </si>
  <si>
    <t>L00-1025005</t>
  </si>
  <si>
    <t>L00-1025051</t>
  </si>
  <si>
    <t>L00-1025164</t>
  </si>
  <si>
    <t>L00-1025171</t>
  </si>
  <si>
    <t>L00-1025183</t>
  </si>
  <si>
    <t>L00-1025232</t>
  </si>
  <si>
    <t>L00-1025262</t>
  </si>
  <si>
    <t>L00-1025263</t>
  </si>
  <si>
    <t>L00-1025376</t>
  </si>
  <si>
    <t>L00-1025379</t>
  </si>
  <si>
    <t>L00-1025423</t>
  </si>
  <si>
    <t>L00-1025424</t>
  </si>
  <si>
    <t>L01-1005152</t>
  </si>
  <si>
    <t>L01-1005186</t>
  </si>
  <si>
    <t>L01-1005188</t>
  </si>
  <si>
    <t>L06-1000371</t>
  </si>
  <si>
    <t>L06-1000406</t>
  </si>
  <si>
    <t>L06-1000408</t>
  </si>
  <si>
    <t>L06-1000419</t>
  </si>
  <si>
    <t>L06-1000444</t>
  </si>
  <si>
    <t>L06-1000522</t>
  </si>
  <si>
    <t>M00-1005812</t>
  </si>
  <si>
    <t>M14-986427</t>
  </si>
  <si>
    <t>M20-1008377</t>
  </si>
  <si>
    <t>Q00-1005189</t>
  </si>
  <si>
    <t>Q00-1005192</t>
  </si>
  <si>
    <t>Q02-936345</t>
  </si>
  <si>
    <t>Q02-936352</t>
  </si>
  <si>
    <t>Q02-936354</t>
  </si>
  <si>
    <t>Q02-936355</t>
  </si>
  <si>
    <t>Q02-936373</t>
  </si>
  <si>
    <t>Q02-936376</t>
  </si>
  <si>
    <t>Q02-936380</t>
  </si>
  <si>
    <t>Q02-936395</t>
  </si>
  <si>
    <t>T02-1003926</t>
  </si>
  <si>
    <t>Y00-1008240</t>
  </si>
  <si>
    <t>Y01-816852</t>
  </si>
  <si>
    <t>Y01-816854</t>
  </si>
  <si>
    <t>Y11-989406</t>
  </si>
  <si>
    <t>C00-1005086</t>
  </si>
  <si>
    <t>D00-1017418</t>
  </si>
  <si>
    <t>D00-1017620</t>
  </si>
  <si>
    <t>D00-1017621</t>
  </si>
  <si>
    <t>F02-1002157</t>
  </si>
  <si>
    <t>F10-1001912</t>
  </si>
  <si>
    <t>G05-969682</t>
  </si>
  <si>
    <t>G05-969692</t>
  </si>
  <si>
    <t>H00-1006920</t>
  </si>
  <si>
    <t>H00-1006965</t>
  </si>
  <si>
    <t>H01-998994</t>
  </si>
  <si>
    <t>H01-999005</t>
  </si>
  <si>
    <t>H01-999007</t>
  </si>
  <si>
    <t>L00-1024858</t>
  </si>
  <si>
    <t>L00-1024898</t>
  </si>
  <si>
    <t>L00-1024901</t>
  </si>
  <si>
    <t>L00-1024922</t>
  </si>
  <si>
    <t>L00-1024932</t>
  </si>
  <si>
    <t>L00-1024936</t>
  </si>
  <si>
    <t>L00-1024948</t>
  </si>
  <si>
    <t>L00-1025017</t>
  </si>
  <si>
    <t>L00-1025024</t>
  </si>
  <si>
    <t>L00-1025025</t>
  </si>
  <si>
    <t>L00-1025047</t>
  </si>
  <si>
    <t>L00-1025048</t>
  </si>
  <si>
    <t>L00-1025083</t>
  </si>
  <si>
    <t>L00-1025180</t>
  </si>
  <si>
    <t>L00-1025219</t>
  </si>
  <si>
    <t>L00-1025381</t>
  </si>
  <si>
    <t>L00-1025436</t>
  </si>
  <si>
    <t>L06-1000379</t>
  </si>
  <si>
    <t>L06-1000425</t>
  </si>
  <si>
    <t>L06-1000490</t>
  </si>
  <si>
    <t>L07-984058</t>
  </si>
  <si>
    <t>M00-1005804</t>
  </si>
  <si>
    <t>M05-1006499</t>
  </si>
  <si>
    <t>M05-1006513</t>
  </si>
  <si>
    <t>M11-924930</t>
  </si>
  <si>
    <t>M11-924942</t>
  </si>
  <si>
    <t>M20-1008339</t>
  </si>
  <si>
    <t>M20-1008348</t>
  </si>
  <si>
    <t>M20-1008352</t>
  </si>
  <si>
    <t>M25-854375</t>
  </si>
  <si>
    <t>M25-854378</t>
  </si>
  <si>
    <t>MC1-1004293</t>
  </si>
  <si>
    <t>MC1-1004319</t>
  </si>
  <si>
    <t>P00-1002037</t>
  </si>
  <si>
    <t>P00-1002039</t>
  </si>
  <si>
    <t>P06-1002588</t>
  </si>
  <si>
    <t>Q02-936348</t>
  </si>
  <si>
    <t>Q02-936388</t>
  </si>
  <si>
    <t>T00-1005023</t>
  </si>
  <si>
    <t>Y00-1008221</t>
  </si>
  <si>
    <t>Y00-1008237</t>
  </si>
  <si>
    <t>C00-1005058</t>
  </si>
  <si>
    <t>C00-1005064</t>
  </si>
  <si>
    <t>C01-1001561</t>
  </si>
  <si>
    <t>C01-1001573</t>
  </si>
  <si>
    <t>C01-1001591</t>
  </si>
  <si>
    <t>C01-1001592</t>
  </si>
  <si>
    <t>C01-1001610</t>
  </si>
  <si>
    <t>D00-1017367</t>
  </si>
  <si>
    <t>D00-1017368</t>
  </si>
  <si>
    <t>D00-1017389</t>
  </si>
  <si>
    <t>D00-1017408</t>
  </si>
  <si>
    <t>D00-1017531</t>
  </si>
  <si>
    <t>D70-1010744</t>
  </si>
  <si>
    <t>D70-1010804</t>
  </si>
  <si>
    <t>D70-1010854</t>
  </si>
  <si>
    <t>D70-1010869</t>
  </si>
  <si>
    <t>E00-1001916</t>
  </si>
  <si>
    <t>F02-1002154</t>
  </si>
  <si>
    <t>F02-1002158</t>
  </si>
  <si>
    <t>F04-981641</t>
  </si>
  <si>
    <t>G05-969675</t>
  </si>
  <si>
    <t>G05-969712</t>
  </si>
  <si>
    <t>G05-969713</t>
  </si>
  <si>
    <t>G05-969750</t>
  </si>
  <si>
    <t>G05-969751</t>
  </si>
  <si>
    <t>G05-969752</t>
  </si>
  <si>
    <t>G05-969755</t>
  </si>
  <si>
    <t>G11-999540</t>
  </si>
  <si>
    <t>H00-1006928</t>
  </si>
  <si>
    <t>H00-1006931</t>
  </si>
  <si>
    <t>H00-1006938</t>
  </si>
  <si>
    <t>H00-1006959</t>
  </si>
  <si>
    <t>L00-1024787</t>
  </si>
  <si>
    <t>L00-1024790</t>
  </si>
  <si>
    <t>L00-1024791</t>
  </si>
  <si>
    <t>L00-1024816</t>
  </si>
  <si>
    <t>L00-1024834</t>
  </si>
  <si>
    <t>L00-1024864</t>
  </si>
  <si>
    <t>L00-1024957</t>
  </si>
  <si>
    <t>L00-1024981</t>
  </si>
  <si>
    <t>L00-1024993</t>
  </si>
  <si>
    <t>L00-1025076</t>
  </si>
  <si>
    <t>L00-1025079</t>
  </si>
  <si>
    <t>L00-1025096</t>
  </si>
  <si>
    <t>L00-1025100</t>
  </si>
  <si>
    <t>L00-1025177</t>
  </si>
  <si>
    <t>L00-1025234</t>
  </si>
  <si>
    <t>L00-1025282</t>
  </si>
  <si>
    <t>L00-1025399</t>
  </si>
  <si>
    <t>L01-1005131</t>
  </si>
  <si>
    <t>L06-1000396</t>
  </si>
  <si>
    <t>L06-1000407</t>
  </si>
  <si>
    <t>L06-1000498</t>
  </si>
  <si>
    <t>M05-1006501</t>
  </si>
  <si>
    <t>M05-1006502</t>
  </si>
  <si>
    <t>M05-1006517</t>
  </si>
  <si>
    <t>M11-924948</t>
  </si>
  <si>
    <t>M20-1008350</t>
  </si>
  <si>
    <t>M20-1008374</t>
  </si>
  <si>
    <t>MC1-1004331</t>
  </si>
  <si>
    <t>P00-1002066</t>
  </si>
  <si>
    <t>P00-1002075</t>
  </si>
  <si>
    <t>P01-1003806</t>
  </si>
  <si>
    <t>Q00-1005150</t>
  </si>
  <si>
    <t>Q02-936362</t>
  </si>
  <si>
    <t>Q02-936383</t>
  </si>
  <si>
    <t>Q02-936412</t>
  </si>
  <si>
    <t>T02-1003925</t>
  </si>
  <si>
    <t>T02-1003929</t>
  </si>
  <si>
    <t>Y00-1008143</t>
  </si>
  <si>
    <t>Y00-1008163</t>
  </si>
  <si>
    <t>Y00-1008209</t>
  </si>
  <si>
    <t>Y00-1008223</t>
  </si>
  <si>
    <t>Y00-1008226</t>
  </si>
  <si>
    <t>Y01-816862</t>
  </si>
  <si>
    <t>Y11-989427</t>
  </si>
  <si>
    <t>Y17-867857</t>
  </si>
  <si>
    <t>Y17-867858</t>
  </si>
  <si>
    <t>C00-1005055</t>
  </si>
  <si>
    <t>C00-1005056</t>
  </si>
  <si>
    <t>C00-1005108</t>
  </si>
  <si>
    <t>C01-1001633</t>
  </si>
  <si>
    <t>D00-1017312</t>
  </si>
  <si>
    <t>D00-1017352</t>
  </si>
  <si>
    <t>D00-1017353</t>
  </si>
  <si>
    <t>D00-1017378</t>
  </si>
  <si>
    <t>D00-1017397</t>
  </si>
  <si>
    <t>D00-1017398</t>
  </si>
  <si>
    <t>D00-1017563</t>
  </si>
  <si>
    <t>D00-1017609</t>
  </si>
  <si>
    <t>D70-1010756</t>
  </si>
  <si>
    <t>D70-1010786</t>
  </si>
  <si>
    <t>D70-1010855</t>
  </si>
  <si>
    <t>D70-1010874</t>
  </si>
  <si>
    <t>G05-969698</t>
  </si>
  <si>
    <t>G05-969699</t>
  </si>
  <si>
    <t>G05-969740</t>
  </si>
  <si>
    <t>G11-999543</t>
  </si>
  <si>
    <t>G11-999571</t>
  </si>
  <si>
    <t>H00-1006945</t>
  </si>
  <si>
    <t>L00-1024786</t>
  </si>
  <si>
    <t>L00-1024788</t>
  </si>
  <si>
    <t>L00-1024831</t>
  </si>
  <si>
    <t>L00-1024845</t>
  </si>
  <si>
    <t>L00-1024918</t>
  </si>
  <si>
    <t>L00-1024924</t>
  </si>
  <si>
    <t>L00-1024965</t>
  </si>
  <si>
    <t>L00-1024969</t>
  </si>
  <si>
    <t>L00-1024983</t>
  </si>
  <si>
    <t>L00-1025018</t>
  </si>
  <si>
    <t>L00-1025033</t>
  </si>
  <si>
    <t>L00-1025098</t>
  </si>
  <si>
    <t>L00-1025115</t>
  </si>
  <si>
    <t>L00-1025130</t>
  </si>
  <si>
    <t>L00-1025131</t>
  </si>
  <si>
    <t>L00-1025200</t>
  </si>
  <si>
    <t>L00-1025375</t>
  </si>
  <si>
    <t>L00-1025393</t>
  </si>
  <si>
    <t>L00-1025400</t>
  </si>
  <si>
    <t>L00-1025409</t>
  </si>
  <si>
    <t>L00-1025418</t>
  </si>
  <si>
    <t>L06-1000392</t>
  </si>
  <si>
    <t>L06-1000442</t>
  </si>
  <si>
    <t>L07-984106</t>
  </si>
  <si>
    <t>L07-984108</t>
  </si>
  <si>
    <t>M00-1005797</t>
  </si>
  <si>
    <t>M20-1008337</t>
  </si>
  <si>
    <t>M20-1008351</t>
  </si>
  <si>
    <t>M20-1008390</t>
  </si>
  <si>
    <t>M20-1008391</t>
  </si>
  <si>
    <t>M20-1008427</t>
  </si>
  <si>
    <t>P00-1002055</t>
  </si>
  <si>
    <t>P00-1002057</t>
  </si>
  <si>
    <t>P00-1002064</t>
  </si>
  <si>
    <t>P00-1002067</t>
  </si>
  <si>
    <t>P00-1002068</t>
  </si>
  <si>
    <t>P01-1003791</t>
  </si>
  <si>
    <t>P06-1002601</t>
  </si>
  <si>
    <t>P06-1002607</t>
  </si>
  <si>
    <t>P07-1000646</t>
  </si>
  <si>
    <t>P07-1000647</t>
  </si>
  <si>
    <t>Q00-1005156</t>
  </si>
  <si>
    <t>Q00-1005205</t>
  </si>
  <si>
    <t>S00-999433</t>
  </si>
  <si>
    <t>S00-999437</t>
  </si>
  <si>
    <t>T00-1005018</t>
  </si>
  <si>
    <t>T00-1005032</t>
  </si>
  <si>
    <t>T02-1003918</t>
  </si>
  <si>
    <t>T02-1003922</t>
  </si>
  <si>
    <t>Y00-1008150</t>
  </si>
  <si>
    <t>Y10-921721</t>
  </si>
  <si>
    <t>Y11-989404</t>
  </si>
  <si>
    <t>Y11-989405</t>
  </si>
  <si>
    <t>Y11-989408</t>
  </si>
  <si>
    <t>D00-1017238</t>
  </si>
  <si>
    <t>D00-1017336</t>
  </si>
  <si>
    <t>D00-1017362</t>
  </si>
  <si>
    <t>D00-1017562</t>
  </si>
  <si>
    <t>D00-1017638</t>
  </si>
  <si>
    <t>D70-1010817</t>
  </si>
  <si>
    <t>D70-1010893</t>
  </si>
  <si>
    <t>E00-1001921</t>
  </si>
  <si>
    <t>F04-981611</t>
  </si>
  <si>
    <t>F04-981612</t>
  </si>
  <si>
    <t>F04-981619</t>
  </si>
  <si>
    <t>F04-981621</t>
  </si>
  <si>
    <t>F04-981632</t>
  </si>
  <si>
    <t>G00-1002465</t>
  </si>
  <si>
    <t>G05-969679</t>
  </si>
  <si>
    <t>G05-969697</t>
  </si>
  <si>
    <t>G05-969725</t>
  </si>
  <si>
    <t>G05-969728</t>
  </si>
  <si>
    <t>G11-999539</t>
  </si>
  <si>
    <t>H00-1006967</t>
  </si>
  <si>
    <t>H01-998982</t>
  </si>
  <si>
    <t>L00-1024759</t>
  </si>
  <si>
    <t>L00-1024777</t>
  </si>
  <si>
    <t>L00-1024905</t>
  </si>
  <si>
    <t>L00-1024963</t>
  </si>
  <si>
    <t>L00-1024976</t>
  </si>
  <si>
    <t>L00-1024985</t>
  </si>
  <si>
    <t>L00-1024999</t>
  </si>
  <si>
    <t>L00-1025026</t>
  </si>
  <si>
    <t>L00-1025054</t>
  </si>
  <si>
    <t>L00-1025088</t>
  </si>
  <si>
    <t>L00-1025107</t>
  </si>
  <si>
    <t>L00-1025170</t>
  </si>
  <si>
    <t>L00-1025407</t>
  </si>
  <si>
    <t>L00-1025413</t>
  </si>
  <si>
    <t>L00-1025429</t>
  </si>
  <si>
    <t>L01-1005149</t>
  </si>
  <si>
    <t>L01-1005173</t>
  </si>
  <si>
    <t>L06-1000378</t>
  </si>
  <si>
    <t>L06-1000382</t>
  </si>
  <si>
    <t>L06-1000433</t>
  </si>
  <si>
    <t>L06-1000447</t>
  </si>
  <si>
    <t>L06-1000491</t>
  </si>
  <si>
    <t>M00-1005788</t>
  </si>
  <si>
    <t>M00-1005789</t>
  </si>
  <si>
    <t>M11-924919</t>
  </si>
  <si>
    <t>M11-924947</t>
  </si>
  <si>
    <t>M20-1008372</t>
  </si>
  <si>
    <t>M20-1008373</t>
  </si>
  <si>
    <t>M20-1008376</t>
  </si>
  <si>
    <t>M20-1008419</t>
  </si>
  <si>
    <t>M20-1008436</t>
  </si>
  <si>
    <t>MC1-1004310</t>
  </si>
  <si>
    <t>P00-1002025</t>
  </si>
  <si>
    <t>P00-1002054</t>
  </si>
  <si>
    <t>P12-6272</t>
  </si>
  <si>
    <t>Q00-1005157</t>
  </si>
  <si>
    <t>Q00-1005174</t>
  </si>
  <si>
    <t>Q00-1005193</t>
  </si>
  <si>
    <t>Q00-1005206</t>
  </si>
  <si>
    <t>Q02-936385</t>
  </si>
  <si>
    <t>Q02-936387</t>
  </si>
  <si>
    <t>Q02-936408</t>
  </si>
  <si>
    <t>T00-1005062</t>
  </si>
  <si>
    <t>Y00-1008248</t>
  </si>
  <si>
    <t>Y11-989423</t>
  </si>
  <si>
    <t>Y11-989425</t>
  </si>
  <si>
    <t>C00-1005079</t>
  </si>
  <si>
    <t>C00-1005081</t>
  </si>
  <si>
    <t>C01-1001564</t>
  </si>
  <si>
    <t>C01-1001569</t>
  </si>
  <si>
    <t>C01-1001584</t>
  </si>
  <si>
    <t>C01-1001599</t>
  </si>
  <si>
    <t>D00-1017219</t>
  </si>
  <si>
    <t>D00-1017280</t>
  </si>
  <si>
    <t>D00-1017338</t>
  </si>
  <si>
    <t>D00-1017339</t>
  </si>
  <si>
    <t>D00-1017347</t>
  </si>
  <si>
    <t>D00-1017409</t>
  </si>
  <si>
    <t>D00-1017438</t>
  </si>
  <si>
    <t>D00-1017565</t>
  </si>
  <si>
    <t>D00-1017569</t>
  </si>
  <si>
    <t>D70-1010746</t>
  </si>
  <si>
    <t>D70-1010757</t>
  </si>
  <si>
    <t>D70-1010795</t>
  </si>
  <si>
    <t>D70-1010856</t>
  </si>
  <si>
    <t>D70-1010886</t>
  </si>
  <si>
    <t>F02-1002160</t>
  </si>
  <si>
    <t>F02-1002161</t>
  </si>
  <si>
    <t>F02-1002163</t>
  </si>
  <si>
    <t>F02-1002180</t>
  </si>
  <si>
    <t>F04-981601</t>
  </si>
  <si>
    <t>F04-981602</t>
  </si>
  <si>
    <t>F04-981637</t>
  </si>
  <si>
    <t>F04-981647</t>
  </si>
  <si>
    <t>F04-981655</t>
  </si>
  <si>
    <t>G00-1002481</t>
  </si>
  <si>
    <t>G05-969678</t>
  </si>
  <si>
    <t>G05-969700</t>
  </si>
  <si>
    <t>G05-969739</t>
  </si>
  <si>
    <t>G11-999541</t>
  </si>
  <si>
    <t>G22-161737</t>
  </si>
  <si>
    <t>H00-1006922</t>
  </si>
  <si>
    <t>H00-1006941</t>
  </si>
  <si>
    <t>H01-998998</t>
  </si>
  <si>
    <t>L00-1024772</t>
  </si>
  <si>
    <t>L00-1024792</t>
  </si>
  <si>
    <t>L00-1024800</t>
  </si>
  <si>
    <t>L00-1024801</t>
  </si>
  <si>
    <t>L00-1024802</t>
  </si>
  <si>
    <t>L00-1024803</t>
  </si>
  <si>
    <t>L00-1024804</t>
  </si>
  <si>
    <t>L00-1024805</t>
  </si>
  <si>
    <t>L00-1024806</t>
  </si>
  <si>
    <t>L00-1024807</t>
  </si>
  <si>
    <t>L00-1024808</t>
  </si>
  <si>
    <t>L00-1024810</t>
  </si>
  <si>
    <t>L00-1024811</t>
  </si>
  <si>
    <t>L00-1024812</t>
  </si>
  <si>
    <t>L00-1024813</t>
  </si>
  <si>
    <t>L00-1024814</t>
  </si>
  <si>
    <t>L00-1024828</t>
  </si>
  <si>
    <t>L00-1024857</t>
  </si>
  <si>
    <t>L00-1024866</t>
  </si>
  <si>
    <t>L00-1024946</t>
  </si>
  <si>
    <t>L00-1024959</t>
  </si>
  <si>
    <t>L00-1025011</t>
  </si>
  <si>
    <t>L00-1025044</t>
  </si>
  <si>
    <t>L00-1025062</t>
  </si>
  <si>
    <t>L00-1025063</t>
  </si>
  <si>
    <t>L00-1025077</t>
  </si>
  <si>
    <t>L00-1025081</t>
  </si>
  <si>
    <t>L00-1025093</t>
  </si>
  <si>
    <t>L00-1025105</t>
  </si>
  <si>
    <t>L00-1025113</t>
  </si>
  <si>
    <t>L00-1025118</t>
  </si>
  <si>
    <t>L00-1025133</t>
  </si>
  <si>
    <t>L00-1025135</t>
  </si>
  <si>
    <t>L00-1025158</t>
  </si>
  <si>
    <t>L00-1025161</t>
  </si>
  <si>
    <t>L00-1025162</t>
  </si>
  <si>
    <t>L00-1025181</t>
  </si>
  <si>
    <t>L00-1025188</t>
  </si>
  <si>
    <t>L00-1025246</t>
  </si>
  <si>
    <t>L00-1025279</t>
  </si>
  <si>
    <t>L00-1025283</t>
  </si>
  <si>
    <t>L00-1025323</t>
  </si>
  <si>
    <t>L00-1025330</t>
  </si>
  <si>
    <t>L00-1025344</t>
  </si>
  <si>
    <t>L00-1025373</t>
  </si>
  <si>
    <t>L00-1025415</t>
  </si>
  <si>
    <t>L01-1005146</t>
  </si>
  <si>
    <t>L01-1005151</t>
  </si>
  <si>
    <t>L06-1000372</t>
  </si>
  <si>
    <t>L06-1000487</t>
  </si>
  <si>
    <t>L06-1000489</t>
  </si>
  <si>
    <t>L06-1000492</t>
  </si>
  <si>
    <t>L06-1000496</t>
  </si>
  <si>
    <t>L06-1000503</t>
  </si>
  <si>
    <t>L07-984042</t>
  </si>
  <si>
    <t>L07-984043</t>
  </si>
  <si>
    <t>L07-984054</t>
  </si>
  <si>
    <t>M00-1005792</t>
  </si>
  <si>
    <t>M00-1005793</t>
  </si>
  <si>
    <t>M00-1005794</t>
  </si>
  <si>
    <t>M00-1005795</t>
  </si>
  <si>
    <t>M05-1006510</t>
  </si>
  <si>
    <t>M11-924950</t>
  </si>
  <si>
    <t>M14-986425</t>
  </si>
  <si>
    <t>M14-986443</t>
  </si>
  <si>
    <t>M20-1008355</t>
  </si>
  <si>
    <t>M20-1008378</t>
  </si>
  <si>
    <t>M20-1008392</t>
  </si>
  <si>
    <t>M20-1008396</t>
  </si>
  <si>
    <t>M20-1008407</t>
  </si>
  <si>
    <t>M20-1008437</t>
  </si>
  <si>
    <t>M20-1008438</t>
  </si>
  <si>
    <t>M20-1008444</t>
  </si>
  <si>
    <t>MC1-1004311</t>
  </si>
  <si>
    <t>MH0-587766</t>
  </si>
  <si>
    <t>MS5-919413</t>
  </si>
  <si>
    <t>MS5-919422</t>
  </si>
  <si>
    <t>MSJ-237709</t>
  </si>
  <si>
    <t>P00-1002033</t>
  </si>
  <si>
    <t>P00-1002038</t>
  </si>
  <si>
    <t>P00-1002040</t>
  </si>
  <si>
    <t>P00-1002078</t>
  </si>
  <si>
    <t>P01-1003800</t>
  </si>
  <si>
    <t>P01-1003811</t>
  </si>
  <si>
    <t>P12-6271</t>
  </si>
  <si>
    <t>Q00-1005158</t>
  </si>
  <si>
    <t>Q00-1005175</t>
  </si>
  <si>
    <t>Q00-1005197</t>
  </si>
  <si>
    <t>Q02-936415</t>
  </si>
  <si>
    <t>T00-1005035</t>
  </si>
  <si>
    <t>T00-1005036</t>
  </si>
  <si>
    <t>T00-1005037</t>
  </si>
  <si>
    <t>T02-1003933</t>
  </si>
  <si>
    <t>Y00-1008145</t>
  </si>
  <si>
    <t>Y00-1008194</t>
  </si>
  <si>
    <t>Y00-1008242</t>
  </si>
  <si>
    <t>Y01-816850</t>
  </si>
  <si>
    <t>Y01-816868</t>
  </si>
  <si>
    <t>Y01-816877</t>
  </si>
  <si>
    <t>Y10-921725</t>
  </si>
  <si>
    <t>Y11-989411</t>
  </si>
  <si>
    <t>Y11-989418</t>
  </si>
  <si>
    <t>Y11-989419</t>
  </si>
  <si>
    <t>Y17-867855</t>
  </si>
  <si>
    <t>C00-1005061</t>
  </si>
  <si>
    <t>C00-1005067</t>
  </si>
  <si>
    <t>C00-1005071</t>
  </si>
  <si>
    <t>C00-1005074</t>
  </si>
  <si>
    <t>C00-1005092</t>
  </si>
  <si>
    <t>C01-1001585</t>
  </si>
  <si>
    <t>D00-1017247</t>
  </si>
  <si>
    <t>D00-1017253</t>
  </si>
  <si>
    <t>D00-1017327</t>
  </si>
  <si>
    <t>D00-1017434</t>
  </si>
  <si>
    <t>D00-1017437</t>
  </si>
  <si>
    <t>D00-1017441</t>
  </si>
  <si>
    <t>D00-1017511</t>
  </si>
  <si>
    <t>D00-1017597</t>
  </si>
  <si>
    <t>D70-1010733</t>
  </si>
  <si>
    <t>D70-1010739</t>
  </si>
  <si>
    <t>D70-1010754</t>
  </si>
  <si>
    <t>D70-1010861</t>
  </si>
  <si>
    <t>E00-1001920</t>
  </si>
  <si>
    <t>F04-981603</t>
  </si>
  <si>
    <t>G05-969670</t>
  </si>
  <si>
    <t>G05-969715</t>
  </si>
  <si>
    <t>G11-999545</t>
  </si>
  <si>
    <t>H01-998983</t>
  </si>
  <si>
    <t>L00-1024968</t>
  </si>
  <si>
    <t>L00-1024979</t>
  </si>
  <si>
    <t>L00-1025012</t>
  </si>
  <si>
    <t>L00-1025070</t>
  </si>
  <si>
    <t>L00-1025106</t>
  </si>
  <si>
    <t>L00-1025143</t>
  </si>
  <si>
    <t>L00-1025174</t>
  </si>
  <si>
    <t>L00-1025439</t>
  </si>
  <si>
    <t>L06-1000366</t>
  </si>
  <si>
    <t>L06-1000449</t>
  </si>
  <si>
    <t>L07-984066</t>
  </si>
  <si>
    <t>L07-984077</t>
  </si>
  <si>
    <t>L07-984078</t>
  </si>
  <si>
    <t>M00-1005806</t>
  </si>
  <si>
    <t>M14-986437</t>
  </si>
  <si>
    <t>M20-1008340</t>
  </si>
  <si>
    <t>M20-1008397</t>
  </si>
  <si>
    <t>M20-1008448</t>
  </si>
  <si>
    <t>MC1-1004314</t>
  </si>
  <si>
    <t>MC1-1004323</t>
  </si>
  <si>
    <t>MS5-919414</t>
  </si>
  <si>
    <t>P00-1002091</t>
  </si>
  <si>
    <t>P00-1002110</t>
  </si>
  <si>
    <t>Q02-936350</t>
  </si>
  <si>
    <t>Q02-936366</t>
  </si>
  <si>
    <t>Q02-936368</t>
  </si>
  <si>
    <t>Q02-936418</t>
  </si>
  <si>
    <t>T00-1005024</t>
  </si>
  <si>
    <t>Y01-816864</t>
  </si>
  <si>
    <t>Y01-816866</t>
  </si>
  <si>
    <t>Y11-989414</t>
  </si>
  <si>
    <t>Y11-989424</t>
  </si>
  <si>
    <t>C00-1005057</t>
  </si>
  <si>
    <t>C00-1005082</t>
  </si>
  <si>
    <t>D00-1017232</t>
  </si>
  <si>
    <t>D00-1017414</t>
  </si>
  <si>
    <t>D70-1010773</t>
  </si>
  <si>
    <t>D70-1010787</t>
  </si>
  <si>
    <t>D70-1010872</t>
  </si>
  <si>
    <t>D70-1010881</t>
  </si>
  <si>
    <t>G00-1002480</t>
  </si>
  <si>
    <t>G05-969668</t>
  </si>
  <si>
    <t>G11-999547</t>
  </si>
  <si>
    <t>H00-1006935</t>
  </si>
  <si>
    <t>L00-1024768</t>
  </si>
  <si>
    <t>L00-1024770</t>
  </si>
  <si>
    <t>L00-1024867</t>
  </si>
  <si>
    <t>L00-1024919</t>
  </si>
  <si>
    <t>L00-1024938</t>
  </si>
  <si>
    <t>L00-1024939</t>
  </si>
  <si>
    <t>L00-1025193</t>
  </si>
  <si>
    <t>L00-1025339</t>
  </si>
  <si>
    <t>L00-1025438</t>
  </si>
  <si>
    <t>L06-1000367</t>
  </si>
  <si>
    <t>L06-1000400</t>
  </si>
  <si>
    <t>L06-1000401</t>
  </si>
  <si>
    <t>L07-984081</t>
  </si>
  <si>
    <t>M05-1006504</t>
  </si>
  <si>
    <t>M14-986430</t>
  </si>
  <si>
    <t>M14-986438</t>
  </si>
  <si>
    <t>M14-986445</t>
  </si>
  <si>
    <t>M20-1008367</t>
  </si>
  <si>
    <t>M20-1008387</t>
  </si>
  <si>
    <t>M20-1008435</t>
  </si>
  <si>
    <t>MC1-1004292</t>
  </si>
  <si>
    <t>MC1-1004302</t>
  </si>
  <si>
    <t>MC1-1004330</t>
  </si>
  <si>
    <t>MH0-587770</t>
  </si>
  <si>
    <t>MS1-1004761</t>
  </si>
  <si>
    <t>MS5-919418</t>
  </si>
  <si>
    <t>P00-1002046</t>
  </si>
  <si>
    <t>P00-1002056</t>
  </si>
  <si>
    <t>P00-1002058</t>
  </si>
  <si>
    <t>P01-1003813</t>
  </si>
  <si>
    <t>Q00-1005153</t>
  </si>
  <si>
    <t>Q02-936426</t>
  </si>
  <si>
    <t>T00-1005013</t>
  </si>
  <si>
    <t>T00-1005019</t>
  </si>
  <si>
    <t>T00-1005049</t>
  </si>
  <si>
    <t>Y11-989401</t>
  </si>
  <si>
    <t>Y11-989416</t>
  </si>
  <si>
    <t>Y11-989417</t>
  </si>
  <si>
    <t>Y11-989420</t>
  </si>
  <si>
    <t>D00-1017313</t>
  </si>
  <si>
    <t>D00-1017359</t>
  </si>
  <si>
    <t>D00-1017370</t>
  </si>
  <si>
    <t>D00-1017513</t>
  </si>
  <si>
    <t>D70-1010766</t>
  </si>
  <si>
    <t>D70-1010772</t>
  </si>
  <si>
    <t>D70-1010825</t>
  </si>
  <si>
    <t>D70-1010871</t>
  </si>
  <si>
    <t>D70-1010905</t>
  </si>
  <si>
    <t>G00-1002475</t>
  </si>
  <si>
    <t>G05-969683</t>
  </si>
  <si>
    <t>G05-969714</t>
  </si>
  <si>
    <t>G11-999534</t>
  </si>
  <si>
    <t>G11-999570</t>
  </si>
  <si>
    <t>H00-1006927</t>
  </si>
  <si>
    <t>L00-1024763</t>
  </si>
  <si>
    <t>L00-1024789</t>
  </si>
  <si>
    <t>L00-1024793</t>
  </si>
  <si>
    <t>L00-1024832</t>
  </si>
  <si>
    <t>L00-1024897</t>
  </si>
  <si>
    <t>L00-1024912</t>
  </si>
  <si>
    <t>L00-1024958</t>
  </si>
  <si>
    <t>L00-1025004</t>
  </si>
  <si>
    <t>L00-1025184</t>
  </si>
  <si>
    <t>L06-1000410</t>
  </si>
  <si>
    <t>L06-1000412</t>
  </si>
  <si>
    <t>L06-1000446</t>
  </si>
  <si>
    <t>L06-1000502</t>
  </si>
  <si>
    <t>M05-1006505</t>
  </si>
  <si>
    <t>M11-924921</t>
  </si>
  <si>
    <t>M11-924934</t>
  </si>
  <si>
    <t>M20-1008353</t>
  </si>
  <si>
    <t>M20-1008365</t>
  </si>
  <si>
    <t>MS1-1004749</t>
  </si>
  <si>
    <t>P00-1002063</t>
  </si>
  <si>
    <t>P06-1002590</t>
  </si>
  <si>
    <t>T00-1005026</t>
  </si>
  <si>
    <t>T02-1003920</t>
  </si>
  <si>
    <t>Y00-1008172</t>
  </si>
  <si>
    <t>Y01-816863</t>
  </si>
  <si>
    <t>Y17-867856</t>
  </si>
  <si>
    <t>C00-1005090</t>
  </si>
  <si>
    <t>C01-1001567</t>
  </si>
  <si>
    <t>D00-1017637</t>
  </si>
  <si>
    <t>D70-1010811</t>
  </si>
  <si>
    <t>D70-1010816</t>
  </si>
  <si>
    <t>G00-1002469</t>
  </si>
  <si>
    <t>G00-1002476</t>
  </si>
  <si>
    <t>G00-1002489</t>
  </si>
  <si>
    <t>G00-1002506</t>
  </si>
  <si>
    <t>G00-1002507</t>
  </si>
  <si>
    <t>G05-969674</t>
  </si>
  <si>
    <t>G05-969686</t>
  </si>
  <si>
    <t>G11-999535</t>
  </si>
  <si>
    <t>G11-999544</t>
  </si>
  <si>
    <t>G11-999551</t>
  </si>
  <si>
    <t>H00-1006913</t>
  </si>
  <si>
    <t>H01-998997</t>
  </si>
  <si>
    <t>L00-1024764</t>
  </si>
  <si>
    <t>L00-1024771</t>
  </si>
  <si>
    <t>L00-1024819</t>
  </si>
  <si>
    <t>L00-1024913</t>
  </si>
  <si>
    <t>L00-1024914</t>
  </si>
  <si>
    <t>L00-1025001</t>
  </si>
  <si>
    <t>L00-1025092</t>
  </si>
  <si>
    <t>L00-1025127</t>
  </si>
  <si>
    <t>L00-1025150</t>
  </si>
  <si>
    <t>L00-1025186</t>
  </si>
  <si>
    <t>L00-1025189</t>
  </si>
  <si>
    <t>L00-1025310</t>
  </si>
  <si>
    <t>L00-1025331</t>
  </si>
  <si>
    <t>L06-1000389</t>
  </si>
  <si>
    <t>L06-1000390</t>
  </si>
  <si>
    <t>L06-1000445</t>
  </si>
  <si>
    <t>L07-984055</t>
  </si>
  <si>
    <t>M05-1006503</t>
  </si>
  <si>
    <t>M11-924935</t>
  </si>
  <si>
    <t>M20-1008381</t>
  </si>
  <si>
    <t>M20-1008426</t>
  </si>
  <si>
    <t>MC1-1004297</t>
  </si>
  <si>
    <t>MC1-1004309</t>
  </si>
  <si>
    <t>MC1-1004321</t>
  </si>
  <si>
    <t>MS1-1004755</t>
  </si>
  <si>
    <t>MS5-919410</t>
  </si>
  <si>
    <t>P00-1002024</t>
  </si>
  <si>
    <t>P00-1002028</t>
  </si>
  <si>
    <t>P00-1002045</t>
  </si>
  <si>
    <t>P00-1002104</t>
  </si>
  <si>
    <t>P01-1003797</t>
  </si>
  <si>
    <t>P06-1002587</t>
  </si>
  <si>
    <t>Q00-1005154</t>
  </si>
  <si>
    <t>Q00-1005183</t>
  </si>
  <si>
    <t>Q02-936358</t>
  </si>
  <si>
    <t>Q02-936364</t>
  </si>
  <si>
    <t>T00-1005011</t>
  </si>
  <si>
    <t>T00-1005012</t>
  </si>
  <si>
    <t>T00-1005038</t>
  </si>
  <si>
    <t>Y00-1008147</t>
  </si>
  <si>
    <t>Y00-1008157</t>
  </si>
  <si>
    <t>Y00-1008169</t>
  </si>
  <si>
    <t>Y00-1008175</t>
  </si>
  <si>
    <t>Y00-1008177</t>
  </si>
  <si>
    <t>Y00-1008186</t>
  </si>
  <si>
    <t>Y17-867859</t>
  </si>
  <si>
    <t>C00-1005109</t>
  </si>
  <si>
    <t>C01-1001607</t>
  </si>
  <si>
    <t>C01-1001634</t>
  </si>
  <si>
    <t>D00-1017254</t>
  </si>
  <si>
    <t>D00-1017314</t>
  </si>
  <si>
    <t>D00-1017328</t>
  </si>
  <si>
    <t>D00-1017348</t>
  </si>
  <si>
    <t>D00-1017463</t>
  </si>
  <si>
    <t>D00-1017464</t>
  </si>
  <si>
    <t>D00-1017516</t>
  </si>
  <si>
    <t>D70-1010741</t>
  </si>
  <si>
    <t>D70-1010745</t>
  </si>
  <si>
    <t>D70-1010762</t>
  </si>
  <si>
    <t>D70-1010793</t>
  </si>
  <si>
    <t>E00-1001919</t>
  </si>
  <si>
    <t>G05-969690</t>
  </si>
  <si>
    <t>G05-969753</t>
  </si>
  <si>
    <t>G11-999533</t>
  </si>
  <si>
    <t>G11-999546</t>
  </si>
  <si>
    <t>G11-999549</t>
  </si>
  <si>
    <t>H00-1006943</t>
  </si>
  <si>
    <t>H00-1006949</t>
  </si>
  <si>
    <t>H01-998995</t>
  </si>
  <si>
    <t>L00-1024794</t>
  </si>
  <si>
    <t>L00-1024840</t>
  </si>
  <si>
    <t>L00-1024925</t>
  </si>
  <si>
    <t>L00-1024934</t>
  </si>
  <si>
    <t>L00-1024950</t>
  </si>
  <si>
    <t>L00-1024988</t>
  </si>
  <si>
    <t>L00-1025014</t>
  </si>
  <si>
    <t>L00-1025027</t>
  </si>
  <si>
    <t>L00-1025029</t>
  </si>
  <si>
    <t>L00-1025030</t>
  </si>
  <si>
    <t>L00-1025060</t>
  </si>
  <si>
    <t>L00-1025101</t>
  </si>
  <si>
    <t>L00-1025117</t>
  </si>
  <si>
    <t>L00-1025159</t>
  </si>
  <si>
    <t>L00-1025196</t>
  </si>
  <si>
    <t>L00-1025273</t>
  </si>
  <si>
    <t>L00-1025335</t>
  </si>
  <si>
    <t>L01-1005135</t>
  </si>
  <si>
    <t>L06-1000374</t>
  </si>
  <si>
    <t>L06-1000443</t>
  </si>
  <si>
    <t>L06-1000505</t>
  </si>
  <si>
    <t>L06-1000523</t>
  </si>
  <si>
    <t>L07-984076</t>
  </si>
  <si>
    <t>M05-1006515</t>
  </si>
  <si>
    <t>M14-986460</t>
  </si>
  <si>
    <t>M20-1008434</t>
  </si>
  <si>
    <t>MC1-1004294</t>
  </si>
  <si>
    <t>MS5-919411</t>
  </si>
  <si>
    <t>MS5-919412</t>
  </si>
  <si>
    <t>P00-1002041</t>
  </si>
  <si>
    <t>P01-1003792</t>
  </si>
  <si>
    <t>P06-1002589</t>
  </si>
  <si>
    <t>Q00-1005198</t>
  </si>
  <si>
    <t>Q02-936379</t>
  </si>
  <si>
    <t>T02-1003917</t>
  </si>
  <si>
    <t>Y00-1008152</t>
  </si>
  <si>
    <t>Y00-1008156</t>
  </si>
  <si>
    <t>Y00-1008227</t>
  </si>
  <si>
    <t>Y00-1008228</t>
  </si>
  <si>
    <t>Y00-1008229</t>
  </si>
  <si>
    <t>Y00-1008244</t>
  </si>
  <si>
    <t>Y17-867867</t>
  </si>
  <si>
    <t>C00-1005063</t>
  </si>
  <si>
    <t>C00-1005073</t>
  </si>
  <si>
    <t>C01-1001555</t>
  </si>
  <si>
    <t>C01-1001556</t>
  </si>
  <si>
    <t>C01-1001594</t>
  </si>
  <si>
    <t>C01-1001616</t>
  </si>
  <si>
    <t>D00-1017393</t>
  </si>
  <si>
    <t>D00-1017417</t>
  </si>
  <si>
    <t>D00-1017423</t>
  </si>
  <si>
    <t>F02-1002179</t>
  </si>
  <si>
    <t>G00-1002479</t>
  </si>
  <si>
    <t>G05-969695</t>
  </si>
  <si>
    <t>G05-969711</t>
  </si>
  <si>
    <t>G05-969718</t>
  </si>
  <si>
    <t>G05-969727</t>
  </si>
  <si>
    <t>G11-999531</t>
  </si>
  <si>
    <t>H00-1006940</t>
  </si>
  <si>
    <t>H00-1006944</t>
  </si>
  <si>
    <t>L00-1024765</t>
  </si>
  <si>
    <t>L00-1024773</t>
  </si>
  <si>
    <t>L00-1024833</t>
  </si>
  <si>
    <t>L00-1024835</t>
  </si>
  <si>
    <t>L00-1024877</t>
  </si>
  <si>
    <t>L00-1024921</t>
  </si>
  <si>
    <t>L00-1025028</t>
  </si>
  <si>
    <t>L00-1025059</t>
  </si>
  <si>
    <t>L00-1025110</t>
  </si>
  <si>
    <t>L00-1025111</t>
  </si>
  <si>
    <t>L00-1025120</t>
  </si>
  <si>
    <t>L00-1025201</t>
  </si>
  <si>
    <t>L00-1025334</t>
  </si>
  <si>
    <t>L00-1025342</t>
  </si>
  <si>
    <t>L00-1025368</t>
  </si>
  <si>
    <t>L00-1025441</t>
  </si>
  <si>
    <t>L01-1005162</t>
  </si>
  <si>
    <t>L06-1000403</t>
  </si>
  <si>
    <t>L06-1000453</t>
  </si>
  <si>
    <t>L06-1000486</t>
  </si>
  <si>
    <t>L07-984084</t>
  </si>
  <si>
    <t>M05-1006497</t>
  </si>
  <si>
    <t>M05-1006508</t>
  </si>
  <si>
    <t>M05-1006511</t>
  </si>
  <si>
    <t>M14-986444</t>
  </si>
  <si>
    <t>M14-986448</t>
  </si>
  <si>
    <t>MC1-1004295</t>
  </si>
  <si>
    <t>MS1-1004753</t>
  </si>
  <si>
    <t>P01-1003808</t>
  </si>
  <si>
    <t>Q00-1005145</t>
  </si>
  <si>
    <t>Q00-1005178</t>
  </si>
  <si>
    <t>Q02-936386</t>
  </si>
  <si>
    <t>Q02-936409</t>
  </si>
  <si>
    <t>S00-999434</t>
  </si>
  <si>
    <t>T00-1005021</t>
  </si>
  <si>
    <t>Y00-1008167</t>
  </si>
  <si>
    <t>Y00-1008178</t>
  </si>
  <si>
    <t>Y00-1008246</t>
  </si>
  <si>
    <t>Y01-816847</t>
  </si>
  <si>
    <t>Y02-998983</t>
  </si>
  <si>
    <t>Y11-989415</t>
  </si>
  <si>
    <t>C00-1005094</t>
  </si>
  <si>
    <t>C01-1001563</t>
  </si>
  <si>
    <t>C01-1001565</t>
  </si>
  <si>
    <t>C01-1001566</t>
  </si>
  <si>
    <t>C01-1001577</t>
  </si>
  <si>
    <t>C01-1001601</t>
  </si>
  <si>
    <t>C01-1001615</t>
  </si>
  <si>
    <t>C01-1001618</t>
  </si>
  <si>
    <t>D00-1017220</t>
  </si>
  <si>
    <t>D00-1017412</t>
  </si>
  <si>
    <t>D00-1017462</t>
  </si>
  <si>
    <t>D00-1017566</t>
  </si>
  <si>
    <t>D70-1010763</t>
  </si>
  <si>
    <t>D70-1010776</t>
  </si>
  <si>
    <t>D70-1010807</t>
  </si>
  <si>
    <t>D70-1010835</t>
  </si>
  <si>
    <t>D70-1010896</t>
  </si>
  <si>
    <t>F02-1002162</t>
  </si>
  <si>
    <t>F02-1002173</t>
  </si>
  <si>
    <t>F04-981633</t>
  </si>
  <si>
    <t>F04-981643</t>
  </si>
  <si>
    <t>G05-969709</t>
  </si>
  <si>
    <t>G05-969743</t>
  </si>
  <si>
    <t>H00-1006950</t>
  </si>
  <si>
    <t>H01-998985</t>
  </si>
  <si>
    <t>L00-1024760</t>
  </si>
  <si>
    <t>L00-1024915</t>
  </si>
  <si>
    <t>L00-1024927</t>
  </si>
  <si>
    <t>L00-1024930</t>
  </si>
  <si>
    <t>L00-1024954</t>
  </si>
  <si>
    <t>L00-1025038</t>
  </si>
  <si>
    <t>L00-1025039</t>
  </si>
  <si>
    <t>L00-1025056</t>
  </si>
  <si>
    <t>L00-1025058</t>
  </si>
  <si>
    <t>L00-1025065</t>
  </si>
  <si>
    <t>L00-1025066</t>
  </si>
  <si>
    <t>L00-1025073</t>
  </si>
  <si>
    <t>L00-1025075</t>
  </si>
  <si>
    <t>L00-1025112</t>
  </si>
  <si>
    <t>L00-1025114</t>
  </si>
  <si>
    <t>L00-1025128</t>
  </si>
  <si>
    <t>L00-1025392</t>
  </si>
  <si>
    <t>L01-1005153</t>
  </si>
  <si>
    <t>L01-1005154</t>
  </si>
  <si>
    <t>L01-1005163</t>
  </si>
  <si>
    <t>L01-1005172</t>
  </si>
  <si>
    <t>L01-1005187</t>
  </si>
  <si>
    <t>L06-1000381</t>
  </si>
  <si>
    <t>L06-1000497</t>
  </si>
  <si>
    <t>L07-984046</t>
  </si>
  <si>
    <t>L07-984047</t>
  </si>
  <si>
    <t>L07-984048</t>
  </si>
  <si>
    <t>L07-984049</t>
  </si>
  <si>
    <t>L07-984050</t>
  </si>
  <si>
    <t>L07-984056</t>
  </si>
  <si>
    <t>L07-984057</t>
  </si>
  <si>
    <t>L07-984062</t>
  </si>
  <si>
    <t>L07-984070</t>
  </si>
  <si>
    <t>L07-984096</t>
  </si>
  <si>
    <t>L07-984109</t>
  </si>
  <si>
    <t>L07-984110</t>
  </si>
  <si>
    <t>M00-1005790</t>
  </si>
  <si>
    <t>M11-924922</t>
  </si>
  <si>
    <t>M14-986440</t>
  </si>
  <si>
    <t>M14-986461</t>
  </si>
  <si>
    <t>M14-986462</t>
  </si>
  <si>
    <t>MC1-1004313</t>
  </si>
  <si>
    <t>P00-1002034</t>
  </si>
  <si>
    <t>P00-1002036</t>
  </si>
  <si>
    <t>P00-1002069</t>
  </si>
  <si>
    <t>P00-1002073</t>
  </si>
  <si>
    <t>P07-1000645</t>
  </si>
  <si>
    <t>Q00-1005182</t>
  </si>
  <si>
    <t>T03-1005376</t>
  </si>
  <si>
    <t>T03-1005377</t>
  </si>
  <si>
    <t>Y00-1008164</t>
  </si>
  <si>
    <t>Y00-1008173</t>
  </si>
  <si>
    <t>Y00-1008211</t>
  </si>
  <si>
    <t>Y01-816851</t>
  </si>
  <si>
    <t>Y02-998977</t>
  </si>
  <si>
    <t>Y11-989430</t>
  </si>
  <si>
    <t>C01-1001602</t>
  </si>
  <si>
    <t>D00-1017345</t>
  </si>
  <si>
    <t>D00-1017351</t>
  </si>
  <si>
    <t>D00-1017380</t>
  </si>
  <si>
    <t>D00-1017424</t>
  </si>
  <si>
    <t>D00-1017451</t>
  </si>
  <si>
    <t>D70-1010729</t>
  </si>
  <si>
    <t>D70-1010734</t>
  </si>
  <si>
    <t>D70-1010749</t>
  </si>
  <si>
    <t>D70-1010750</t>
  </si>
  <si>
    <t>D70-1010755</t>
  </si>
  <si>
    <t>D70-1010778</t>
  </si>
  <si>
    <t>D70-1010818</t>
  </si>
  <si>
    <t>D70-1010819</t>
  </si>
  <si>
    <t>D70-1010820</t>
  </si>
  <si>
    <t>D70-1010824</t>
  </si>
  <si>
    <t>D70-1010826</t>
  </si>
  <si>
    <t>D70-1010829</t>
  </si>
  <si>
    <t>D70-1010833</t>
  </si>
  <si>
    <t>D70-1010834</t>
  </si>
  <si>
    <t>D70-1010867</t>
  </si>
  <si>
    <t>D70-1010880</t>
  </si>
  <si>
    <t>D70-1010882</t>
  </si>
  <si>
    <t>D70-1010890</t>
  </si>
  <si>
    <t>D70-1010902</t>
  </si>
  <si>
    <t>D70-1010903</t>
  </si>
  <si>
    <t>F04-981604</t>
  </si>
  <si>
    <t>G00-1002466</t>
  </si>
  <si>
    <t>G00-1002505</t>
  </si>
  <si>
    <t>G00-1002509</t>
  </si>
  <si>
    <t>G05-969693</t>
  </si>
  <si>
    <t>G05-969704</t>
  </si>
  <si>
    <t>G05-969729</t>
  </si>
  <si>
    <t>G11-999537</t>
  </si>
  <si>
    <t>G22-161735</t>
  </si>
  <si>
    <t>H01-998989</t>
  </si>
  <si>
    <t>H01-998999</t>
  </si>
  <si>
    <t>L00-1024836</t>
  </si>
  <si>
    <t>L00-1024846</t>
  </si>
  <si>
    <t>L00-1024869</t>
  </si>
  <si>
    <t>L00-1024874</t>
  </si>
  <si>
    <t>L00-1024889</t>
  </si>
  <si>
    <t>L00-1024973</t>
  </si>
  <si>
    <t>L00-1024977</t>
  </si>
  <si>
    <t>L00-1024980</t>
  </si>
  <si>
    <t>L00-1025034</t>
  </si>
  <si>
    <t>L00-1025043</t>
  </si>
  <si>
    <t>L00-1025122</t>
  </si>
  <si>
    <t>L00-1025123</t>
  </si>
  <si>
    <t>L00-1025126</t>
  </si>
  <si>
    <t>L00-1025148</t>
  </si>
  <si>
    <t>L00-1025182</t>
  </si>
  <si>
    <t>L00-1025194</t>
  </si>
  <si>
    <t>L00-1025294</t>
  </si>
  <si>
    <t>L00-1025428</t>
  </si>
  <si>
    <t>L06-1000477</t>
  </si>
  <si>
    <t>L06-1000484</t>
  </si>
  <si>
    <t>L06-1000485</t>
  </si>
  <si>
    <t>L07-984045</t>
  </si>
  <si>
    <t>L07-984085</t>
  </si>
  <si>
    <t>L07-984105</t>
  </si>
  <si>
    <t>M00-1005786</t>
  </si>
  <si>
    <t>M00-1005799</t>
  </si>
  <si>
    <t>M11-924931</t>
  </si>
  <si>
    <t>M14-986431</t>
  </si>
  <si>
    <t>M20-1008385</t>
  </si>
  <si>
    <t>M20-1008402</t>
  </si>
  <si>
    <t>M20-1008409</t>
  </si>
  <si>
    <t>MC1-1004308</t>
  </si>
  <si>
    <t>P00-1002052</t>
  </si>
  <si>
    <t>P00-1002080</t>
  </si>
  <si>
    <t>P06-1002591</t>
  </si>
  <si>
    <t>P06-1002592</t>
  </si>
  <si>
    <t>P06-1002604</t>
  </si>
  <si>
    <t>P06-1002605</t>
  </si>
  <si>
    <t>Q00-1005166</t>
  </si>
  <si>
    <t>Q00-1005167</t>
  </si>
  <si>
    <t>Q00-1005168</t>
  </si>
  <si>
    <t>Q00-1005169</t>
  </si>
  <si>
    <t>T02-1003921</t>
  </si>
  <si>
    <t>Y00-1008165</t>
  </si>
  <si>
    <t>Y00-1008166</t>
  </si>
  <si>
    <t>Y00-1008241</t>
  </si>
  <si>
    <t>Y01-816848</t>
  </si>
  <si>
    <t>Y01-816856</t>
  </si>
  <si>
    <t>Y02-998975</t>
  </si>
  <si>
    <t>D00-1017406</t>
  </si>
  <si>
    <t>D00-1017459</t>
  </si>
  <si>
    <t>D70-1010738</t>
  </si>
  <si>
    <t>D70-1010796</t>
  </si>
  <si>
    <t>D70-1010815</t>
  </si>
  <si>
    <t>D70-1010868</t>
  </si>
  <si>
    <t>G00-1002477</t>
  </si>
  <si>
    <t>G00-1002500</t>
  </si>
  <si>
    <t>G05-969702</t>
  </si>
  <si>
    <t>L00-1024842</t>
  </si>
  <si>
    <t>L00-1024870</t>
  </si>
  <si>
    <t>L00-1024871</t>
  </si>
  <si>
    <t>L00-1024873</t>
  </si>
  <si>
    <t>L00-1024887</t>
  </si>
  <si>
    <t>L00-1024888</t>
  </si>
  <si>
    <t>L00-1024926</t>
  </si>
  <si>
    <t>L00-1024935</t>
  </si>
  <si>
    <t>L00-1024940</t>
  </si>
  <si>
    <t>L00-1024952</t>
  </si>
  <si>
    <t>L00-1024953</t>
  </si>
  <si>
    <t>L00-1024961</t>
  </si>
  <si>
    <t>L00-1024987</t>
  </si>
  <si>
    <t>L00-1024990</t>
  </si>
  <si>
    <t>L00-1025008</t>
  </si>
  <si>
    <t>L00-1025042</t>
  </si>
  <si>
    <t>L00-1025055</t>
  </si>
  <si>
    <t>L00-1025061</t>
  </si>
  <si>
    <t>L00-1025154</t>
  </si>
  <si>
    <t>L00-1025295</t>
  </si>
  <si>
    <t>L00-1025324</t>
  </si>
  <si>
    <t>L00-1025443</t>
  </si>
  <si>
    <t>L01-1005133</t>
  </si>
  <si>
    <t>L01-1005147</t>
  </si>
  <si>
    <t>L01-1005174</t>
  </si>
  <si>
    <t>L07-984037</t>
  </si>
  <si>
    <t>L07-984074</t>
  </si>
  <si>
    <t>L07-984075</t>
  </si>
  <si>
    <t>M14-986449</t>
  </si>
  <si>
    <t>M20-1008369</t>
  </si>
  <si>
    <t>MC1-1004304</t>
  </si>
  <si>
    <t>MC1-1004305</t>
  </si>
  <si>
    <t>P01-1003801</t>
  </si>
  <si>
    <t>P01-1003804</t>
  </si>
  <si>
    <t>Y00-1008168</t>
  </si>
  <si>
    <t>Y01-816882</t>
  </si>
  <si>
    <t>C01-1001603</t>
  </si>
  <si>
    <t>C16-812171</t>
  </si>
  <si>
    <t>D00-1017449</t>
  </si>
  <si>
    <t>D70-1010752</t>
  </si>
  <si>
    <t>F02-1002168</t>
  </si>
  <si>
    <t>F04-981630</t>
  </si>
  <si>
    <t>G00-1002478</t>
  </si>
  <si>
    <t>G00-1002486</t>
  </si>
  <si>
    <t>G05-969720</t>
  </si>
  <si>
    <t>H00-1006926</t>
  </si>
  <si>
    <t>L00-1024774</t>
  </si>
  <si>
    <t>L00-1024775</t>
  </si>
  <si>
    <t>L00-1024820</t>
  </si>
  <si>
    <t>L00-1024838</t>
  </si>
  <si>
    <t>L00-1024862</t>
  </si>
  <si>
    <t>L00-1024989</t>
  </si>
  <si>
    <t>L00-1025032</t>
  </si>
  <si>
    <t>L00-1025052</t>
  </si>
  <si>
    <t>L00-1025301</t>
  </si>
  <si>
    <t>L00-1025336</t>
  </si>
  <si>
    <t>L00-1025430</t>
  </si>
  <si>
    <t>L06-1000411</t>
  </si>
  <si>
    <t>L06-1000421</t>
  </si>
  <si>
    <t>L06-1000422</t>
  </si>
  <si>
    <t>L06-1000427</t>
  </si>
  <si>
    <t>L06-1000450</t>
  </si>
  <si>
    <t>L06-1000459</t>
  </si>
  <si>
    <t>L06-1000499</t>
  </si>
  <si>
    <t>L06-1000513</t>
  </si>
  <si>
    <t>L07-984072</t>
  </si>
  <si>
    <t>L07-984073</t>
  </si>
  <si>
    <t>L07-984118</t>
  </si>
  <si>
    <t>L12-375750</t>
  </si>
  <si>
    <t>M00-1005808</t>
  </si>
  <si>
    <t>M20-1008354</t>
  </si>
  <si>
    <t>M20-1008364</t>
  </si>
  <si>
    <t>M20-1008395</t>
  </si>
  <si>
    <t>M20-1008406</t>
  </si>
  <si>
    <t>M20-1008443</t>
  </si>
  <si>
    <t>MS5-919415</t>
  </si>
  <si>
    <t>P00-1002070</t>
  </si>
  <si>
    <t>Q00-1005151</t>
  </si>
  <si>
    <t>Q00-1005176</t>
  </si>
  <si>
    <t>Q00-1005200</t>
  </si>
  <si>
    <t>Q02-936377</t>
  </si>
  <si>
    <t>Q02-936410</t>
  </si>
  <si>
    <t>Y00-1008154</t>
  </si>
  <si>
    <t>Y00-1008174</t>
  </si>
  <si>
    <t>Y00-1008247</t>
  </si>
  <si>
    <t>Y02-998976</t>
  </si>
  <si>
    <t>Y17-867860</t>
  </si>
  <si>
    <t>C00-1005054</t>
  </si>
  <si>
    <t>C00-1005076</t>
  </si>
  <si>
    <t>C01-1001619</t>
  </si>
  <si>
    <t>D00-1017293</t>
  </si>
  <si>
    <t>D00-1017375</t>
  </si>
  <si>
    <t>D00-1017428</t>
  </si>
  <si>
    <t>D00-1017439</t>
  </si>
  <si>
    <t>D00-1017452</t>
  </si>
  <si>
    <t>D00-1017454</t>
  </si>
  <si>
    <t>D00-1017560</t>
  </si>
  <si>
    <t>D00-1017567</t>
  </si>
  <si>
    <t>D70-1010753</t>
  </si>
  <si>
    <t>D70-1010777</t>
  </si>
  <si>
    <t>D70-1010790</t>
  </si>
  <si>
    <t>D70-1010812</t>
  </si>
  <si>
    <t>D70-1010821</t>
  </si>
  <si>
    <t>D70-1010822</t>
  </si>
  <si>
    <t>D70-1010828</t>
  </si>
  <si>
    <t>D70-1010831</t>
  </si>
  <si>
    <t>F02-1002182</t>
  </si>
  <si>
    <t>F10-1001915</t>
  </si>
  <si>
    <t>G00-1002501</t>
  </si>
  <si>
    <t>G05-969676</t>
  </si>
  <si>
    <t>G05-969677</t>
  </si>
  <si>
    <t>G05-969687</t>
  </si>
  <si>
    <t>G05-969688</t>
  </si>
  <si>
    <t>G05-969719</t>
  </si>
  <si>
    <t>G05-969724</t>
  </si>
  <si>
    <t>L00-1024778</t>
  </si>
  <si>
    <t>L00-1024779</t>
  </si>
  <si>
    <t>L00-1024875</t>
  </si>
  <si>
    <t>L00-1024878</t>
  </si>
  <si>
    <t>L00-1024895</t>
  </si>
  <si>
    <t>L00-1024943</t>
  </si>
  <si>
    <t>L00-1024972</t>
  </si>
  <si>
    <t>L00-1024986</t>
  </si>
  <si>
    <t>L00-1025003</t>
  </si>
  <si>
    <t>L00-1025071</t>
  </si>
  <si>
    <t>L00-1025152</t>
  </si>
  <si>
    <t>L00-1025172</t>
  </si>
  <si>
    <t>L00-1025176</t>
  </si>
  <si>
    <t>L00-1025185</t>
  </si>
  <si>
    <t>L01-1005161</t>
  </si>
  <si>
    <t>L01-1005177</t>
  </si>
  <si>
    <t>L06-1000375</t>
  </si>
  <si>
    <t>L06-1000494</t>
  </si>
  <si>
    <t>L06-1000495</t>
  </si>
  <si>
    <t>L06-1000511</t>
  </si>
  <si>
    <t>M00-1005791</t>
  </si>
  <si>
    <t>M00-1005800</t>
  </si>
  <si>
    <t>M14-986458</t>
  </si>
  <si>
    <t>M20-1008356</t>
  </si>
  <si>
    <t>MC1-1004300</t>
  </si>
  <si>
    <t>MC1-1004312</t>
  </si>
  <si>
    <t>MS5-919419</t>
  </si>
  <si>
    <t>P00-1002061</t>
  </si>
  <si>
    <t>P00-1002071</t>
  </si>
  <si>
    <t>P12-6269</t>
  </si>
  <si>
    <t>Q00-1005144</t>
  </si>
  <si>
    <t>Q00-1005146</t>
  </si>
  <si>
    <t>Q00-1005161</t>
  </si>
  <si>
    <t>Q00-1005195</t>
  </si>
  <si>
    <t>Q02-936349</t>
  </si>
  <si>
    <t>Q02-936393</t>
  </si>
  <si>
    <t>Q02-936396</t>
  </si>
  <si>
    <t>Q02-936420</t>
  </si>
  <si>
    <t>Q02-936422</t>
  </si>
  <si>
    <t>T00-1005016</t>
  </si>
  <si>
    <t>Y00-1008146</t>
  </si>
  <si>
    <t>Y00-1008159</t>
  </si>
  <si>
    <t>Y00-1008161</t>
  </si>
  <si>
    <t>Y00-1008191</t>
  </si>
  <si>
    <t>Y00-1008197</t>
  </si>
  <si>
    <t>Y00-1008234</t>
  </si>
  <si>
    <t>Y01-816867</t>
  </si>
  <si>
    <t>Y02-998985</t>
  </si>
  <si>
    <t>C00-1005066</t>
  </si>
  <si>
    <t>C00-1005078</t>
  </si>
  <si>
    <t>C01-1001572</t>
  </si>
  <si>
    <t>C01-1001586</t>
  </si>
  <si>
    <t>C01-1001628</t>
  </si>
  <si>
    <t>D00-1017374</t>
  </si>
  <si>
    <t>D00-1017388</t>
  </si>
  <si>
    <t>D00-1017419</t>
  </si>
  <si>
    <t>D00-1017435</t>
  </si>
  <si>
    <t>D00-1017443</t>
  </si>
  <si>
    <t>D00-1017558</t>
  </si>
  <si>
    <t>D70-1010760</t>
  </si>
  <si>
    <t>D70-1010771</t>
  </si>
  <si>
    <t>D70-1010814</t>
  </si>
  <si>
    <t>D70-1010899</t>
  </si>
  <si>
    <t>F04-981605</t>
  </si>
  <si>
    <t>F10-1001925</t>
  </si>
  <si>
    <t>G05-969669</t>
  </si>
  <si>
    <t>G05-969689</t>
  </si>
  <si>
    <t>H00-1006914</t>
  </si>
  <si>
    <t>H00-1006918</t>
  </si>
  <si>
    <t>H00-1006960</t>
  </si>
  <si>
    <t>H01-998991</t>
  </si>
  <si>
    <t>L00-1024776</t>
  </si>
  <si>
    <t>L00-1024920</t>
  </si>
  <si>
    <t>L00-1024951</t>
  </si>
  <si>
    <t>L00-1024975</t>
  </si>
  <si>
    <t>L00-1024978</t>
  </si>
  <si>
    <t>L00-1025036</t>
  </si>
  <si>
    <t>L00-1025144</t>
  </si>
  <si>
    <t>L00-1025198</t>
  </si>
  <si>
    <t>L00-1025261</t>
  </si>
  <si>
    <t>L01-1005130</t>
  </si>
  <si>
    <t>L01-1005148</t>
  </si>
  <si>
    <t>L01-1005155</t>
  </si>
  <si>
    <t>L01-1005158</t>
  </si>
  <si>
    <t>L01-1005159</t>
  </si>
  <si>
    <t>L01-1005160</t>
  </si>
  <si>
    <t>L06-1000369</t>
  </si>
  <si>
    <t>L06-1000384</t>
  </si>
  <si>
    <t>L06-1000391</t>
  </si>
  <si>
    <t>L06-1000481</t>
  </si>
  <si>
    <t>L06-1000488</t>
  </si>
  <si>
    <t>L06-1000500</t>
  </si>
  <si>
    <t>M11-924928</t>
  </si>
  <si>
    <t>M11-924933</t>
  </si>
  <si>
    <t>M11-924936</t>
  </si>
  <si>
    <t>M20-1008412</t>
  </si>
  <si>
    <t>M20-1008440</t>
  </si>
  <si>
    <t>MC1-1004336</t>
  </si>
  <si>
    <t>MS1-1004747</t>
  </si>
  <si>
    <t>P01-1003798</t>
  </si>
  <si>
    <t>P06-1002584</t>
  </si>
  <si>
    <t>P06-1002585</t>
  </si>
  <si>
    <t>T00-1005031</t>
  </si>
  <si>
    <t>T02-1003919</t>
  </si>
  <si>
    <t>T02-1003924</t>
  </si>
  <si>
    <t>C00-1005053</t>
  </si>
  <si>
    <t>C00-1005060</t>
  </si>
  <si>
    <t>C00-1005077</t>
  </si>
  <si>
    <t>C01-1001568</t>
  </si>
  <si>
    <t>C01-1001575</t>
  </si>
  <si>
    <t>C01-1001576</t>
  </si>
  <si>
    <t>C01-1001596</t>
  </si>
  <si>
    <t>C01-1001597</t>
  </si>
  <si>
    <t>C01-1001609</t>
  </si>
  <si>
    <t>C16-812172</t>
  </si>
  <si>
    <t>D00-1017255</t>
  </si>
  <si>
    <t>D00-1017329</t>
  </si>
  <si>
    <t>D00-1017385</t>
  </si>
  <si>
    <t>D00-1017561</t>
  </si>
  <si>
    <t>D70-1010808</t>
  </si>
  <si>
    <t>E00-1001917</t>
  </si>
  <si>
    <t>F02-1002185</t>
  </si>
  <si>
    <t>G00-1002470</t>
  </si>
  <si>
    <t>G00-1002473</t>
  </si>
  <si>
    <t>G05-969708</t>
  </si>
  <si>
    <t>G05-969717</t>
  </si>
  <si>
    <t>G05-969721</t>
  </si>
  <si>
    <t>G11-999553</t>
  </si>
  <si>
    <t>H00-1006921</t>
  </si>
  <si>
    <t>H00-1006952</t>
  </si>
  <si>
    <t>H00-1006961</t>
  </si>
  <si>
    <t>H00-1006962</t>
  </si>
  <si>
    <t>H01-998996</t>
  </si>
  <si>
    <t>L00-1024797</t>
  </si>
  <si>
    <t>L00-1024799</t>
  </si>
  <si>
    <t>L00-1024809</t>
  </si>
  <si>
    <t>L00-1024827</t>
  </si>
  <si>
    <t>L00-1024908</t>
  </si>
  <si>
    <t>L00-1024910</t>
  </si>
  <si>
    <t>L00-1024996</t>
  </si>
  <si>
    <t>L00-1025000</t>
  </si>
  <si>
    <t>L00-1025041</t>
  </si>
  <si>
    <t>L00-1025103</t>
  </si>
  <si>
    <t>L00-1025129</t>
  </si>
  <si>
    <t>L00-1025132</t>
  </si>
  <si>
    <t>L00-1025134</t>
  </si>
  <si>
    <t>L00-1025146</t>
  </si>
  <si>
    <t>L00-1025147</t>
  </si>
  <si>
    <t>L00-1025157</t>
  </si>
  <si>
    <t>L00-1025165</t>
  </si>
  <si>
    <t>L00-1025197</t>
  </si>
  <si>
    <t>L01-1005175</t>
  </si>
  <si>
    <t>L06-1000402</t>
  </si>
  <si>
    <t>L06-1000448</t>
  </si>
  <si>
    <t>L06-1000482</t>
  </si>
  <si>
    <t>L07-984064</t>
  </si>
  <si>
    <t>M05-1006498</t>
  </si>
  <si>
    <t>M05-1006506</t>
  </si>
  <si>
    <t>M05-1006509</t>
  </si>
  <si>
    <t>M20-1008384</t>
  </si>
  <si>
    <t>M20-1008408</t>
  </si>
  <si>
    <t>M25-854376</t>
  </si>
  <si>
    <t>P01-1003803</t>
  </si>
  <si>
    <t>P07-1000650</t>
  </si>
  <si>
    <t>P08-361707</t>
  </si>
  <si>
    <t>Q00-1005180</t>
  </si>
  <si>
    <t>Q02-936346</t>
  </si>
  <si>
    <t>Q02-936347</t>
  </si>
  <si>
    <t>Q02-936356</t>
  </si>
  <si>
    <t>Q02-936390</t>
  </si>
  <si>
    <t>Q02-936391</t>
  </si>
  <si>
    <t>Q02-936421</t>
  </si>
  <si>
    <t>Y01-816853</t>
  </si>
  <si>
    <t>Y01-816869</t>
  </si>
  <si>
    <t>Y02-998981</t>
  </si>
  <si>
    <t>Y11-989399</t>
  </si>
  <si>
    <t>Y11-989429</t>
  </si>
  <si>
    <t>C00-1005072</t>
  </si>
  <si>
    <t>C01-1001557</t>
  </si>
  <si>
    <t>C01-1001558</t>
  </si>
  <si>
    <t>C01-1001574</t>
  </si>
  <si>
    <t>C01-1001598</t>
  </si>
  <si>
    <t>C01-1001608</t>
  </si>
  <si>
    <t>C01-1001620</t>
  </si>
  <si>
    <t>D00-1017294</t>
  </si>
  <si>
    <t>D00-1017444</t>
  </si>
  <si>
    <t>D00-1017448</t>
  </si>
  <si>
    <t>D00-1017450</t>
  </si>
  <si>
    <t>D00-1017544</t>
  </si>
  <si>
    <t>D00-1017568</t>
  </si>
  <si>
    <t>D70-1010735</t>
  </si>
  <si>
    <t>D70-1010743</t>
  </si>
  <si>
    <t>D70-1010767</t>
  </si>
  <si>
    <t>D70-1010774</t>
  </si>
  <si>
    <t>D70-1010780</t>
  </si>
  <si>
    <t>D70-1010781</t>
  </si>
  <si>
    <t>D70-1010782</t>
  </si>
  <si>
    <t>D70-1010870</t>
  </si>
  <si>
    <t>D70-1010883</t>
  </si>
  <si>
    <t>F02-1002166</t>
  </si>
  <si>
    <t>F02-1002174</t>
  </si>
  <si>
    <t>F10-1001916</t>
  </si>
  <si>
    <t>G00-1002488</t>
  </si>
  <si>
    <t>G05-969671</t>
  </si>
  <si>
    <t>G05-969694</t>
  </si>
  <si>
    <t>G05-969723</t>
  </si>
  <si>
    <t>G05-969726</t>
  </si>
  <si>
    <t>G22-161736</t>
  </si>
  <si>
    <t>H00-1006936</t>
  </si>
  <si>
    <t>H00-1006937</t>
  </si>
  <si>
    <t>H00-1006956</t>
  </si>
  <si>
    <t>H01-998984</t>
  </si>
  <si>
    <t>L00-1024798</t>
  </si>
  <si>
    <t>L00-1024847</t>
  </si>
  <si>
    <t>L00-1024849</t>
  </si>
  <si>
    <t>L00-1024876</t>
  </si>
  <si>
    <t>L00-1024896</t>
  </si>
  <si>
    <t>L00-1024916</t>
  </si>
  <si>
    <t>L00-1024917</t>
  </si>
  <si>
    <t>L00-1024933</t>
  </si>
  <si>
    <t>L00-1024937</t>
  </si>
  <si>
    <t>L00-1024974</t>
  </si>
  <si>
    <t>L00-1024994</t>
  </si>
  <si>
    <t>L00-1024998</t>
  </si>
  <si>
    <t>L00-1025009</t>
  </si>
  <si>
    <t>L00-1025035</t>
  </si>
  <si>
    <t>L00-1025037</t>
  </si>
  <si>
    <t>L00-1025040</t>
  </si>
  <si>
    <t>L00-1025080</t>
  </si>
  <si>
    <t>L00-1025140</t>
  </si>
  <si>
    <t>L00-1025145</t>
  </si>
  <si>
    <t>L00-1025179</t>
  </si>
  <si>
    <t>L00-1025199</t>
  </si>
  <si>
    <t>L00-1025258</t>
  </si>
  <si>
    <t>L00-1025328</t>
  </si>
  <si>
    <t>L00-1025329</t>
  </si>
  <si>
    <t>L00-1025337</t>
  </si>
  <si>
    <t>L00-1025338</t>
  </si>
  <si>
    <t>L00-1025340</t>
  </si>
  <si>
    <t>L00-1025417</t>
  </si>
  <si>
    <t>L00-1025440</t>
  </si>
  <si>
    <t>L01-1005138</t>
  </si>
  <si>
    <t>L01-1005139</t>
  </si>
  <si>
    <t>L01-1005142</t>
  </si>
  <si>
    <t>L01-1005145</t>
  </si>
  <si>
    <t>L01-1005176</t>
  </si>
  <si>
    <t>L01-1005183</t>
  </si>
  <si>
    <t>L06-1000376</t>
  </si>
  <si>
    <t>L06-1000435</t>
  </si>
  <si>
    <t>L06-1000436</t>
  </si>
  <si>
    <t>L06-1000483</t>
  </si>
  <si>
    <t>L07-984052</t>
  </si>
  <si>
    <t>L07-984087</t>
  </si>
  <si>
    <t>L07-984107</t>
  </si>
  <si>
    <t>M05-1006524</t>
  </si>
  <si>
    <t>M11-924923</t>
  </si>
  <si>
    <t>M11-924925</t>
  </si>
  <si>
    <t>M14-986436</t>
  </si>
  <si>
    <t>M20-1008341</t>
  </si>
  <si>
    <t>M20-1008441</t>
  </si>
  <si>
    <t>M20-1008450</t>
  </si>
  <si>
    <t>MS1-1004750</t>
  </si>
  <si>
    <t>P00-1002043</t>
  </si>
  <si>
    <t>P00-1002044</t>
  </si>
  <si>
    <t>P00-1002053</t>
  </si>
  <si>
    <t>P00-1002074</t>
  </si>
  <si>
    <t>P00-1002098</t>
  </si>
  <si>
    <t>P06-1002593</t>
  </si>
  <si>
    <t>P06-1002606</t>
  </si>
  <si>
    <t>P07-1000644</t>
  </si>
  <si>
    <t>P07-1000649</t>
  </si>
  <si>
    <t>Q02-936344</t>
  </si>
  <si>
    <t>Q02-936365</t>
  </si>
  <si>
    <t>Q02-936392</t>
  </si>
  <si>
    <t>Q02-936394</t>
  </si>
  <si>
    <t>Q02-936399</t>
  </si>
  <si>
    <t>Q02-936419</t>
  </si>
  <si>
    <t>T00-1005022</t>
  </si>
  <si>
    <t>Y00-1008155</t>
  </si>
  <si>
    <t>Y00-1008193</t>
  </si>
  <si>
    <t>Y01-816859</t>
  </si>
  <si>
    <t>Y11-989402</t>
  </si>
  <si>
    <t>C00-1005069</t>
  </si>
  <si>
    <t>C01-1001562</t>
  </si>
  <si>
    <t>C01-1001587</t>
  </si>
  <si>
    <t>C01-1001588</t>
  </si>
  <si>
    <t>C01-1001595</t>
  </si>
  <si>
    <t>C01-1001621</t>
  </si>
  <si>
    <t>C01-1001624</t>
  </si>
  <si>
    <t>C01-1001626</t>
  </si>
  <si>
    <t>C01-1001631</t>
  </si>
  <si>
    <t>C01-1001632</t>
  </si>
  <si>
    <t>C16-812170</t>
  </si>
  <si>
    <t>D00-1017315</t>
  </si>
  <si>
    <t>D00-1017316</t>
  </si>
  <si>
    <t>D00-1017337</t>
  </si>
  <si>
    <t>D00-1017346</t>
  </si>
  <si>
    <t>D00-1017358</t>
  </si>
  <si>
    <t>D00-1017360</t>
  </si>
  <si>
    <t>D00-1017366</t>
  </si>
  <si>
    <t>D00-1017376</t>
  </si>
  <si>
    <t>D00-1017379</t>
  </si>
  <si>
    <t>D00-1017381</t>
  </si>
  <si>
    <t>D00-1017391</t>
  </si>
  <si>
    <t>D00-1017392</t>
  </si>
  <si>
    <t>D00-1017400</t>
  </si>
  <si>
    <t>D00-1017401</t>
  </si>
  <si>
    <t>D00-1017402</t>
  </si>
  <si>
    <t>D00-1017403</t>
  </si>
  <si>
    <t>D00-1017407</t>
  </si>
  <si>
    <t>D00-1017410</t>
  </si>
  <si>
    <t>D00-1017411</t>
  </si>
  <si>
    <t>D00-1017413</t>
  </si>
  <si>
    <t>D00-1017415</t>
  </si>
  <si>
    <t>D00-1017416</t>
  </si>
  <si>
    <t>D00-1017426</t>
  </si>
  <si>
    <t>D00-1017427</t>
  </si>
  <si>
    <t>D00-1017429</t>
  </si>
  <si>
    <t>D00-1017436</t>
  </si>
  <si>
    <t>D00-1017445</t>
  </si>
  <si>
    <t>D00-1017446</t>
  </si>
  <si>
    <t>D00-1017453</t>
  </si>
  <si>
    <t>D00-1017455</t>
  </si>
  <si>
    <t>D00-1017465</t>
  </si>
  <si>
    <t>D00-1017543</t>
  </si>
  <si>
    <t>D00-1017552</t>
  </si>
  <si>
    <t>D00-1017564</t>
  </si>
  <si>
    <t>D00-1017574</t>
  </si>
  <si>
    <t>D00-1017583</t>
  </si>
  <si>
    <t>D00-1017584</t>
  </si>
  <si>
    <t>D70-1010759</t>
  </si>
  <si>
    <t>D70-1010761</t>
  </si>
  <si>
    <t>D70-1010768</t>
  </si>
  <si>
    <t>D70-1010769</t>
  </si>
  <si>
    <t>D70-1010770</t>
  </si>
  <si>
    <t>D70-1010783</t>
  </si>
  <si>
    <t>D70-1010794</t>
  </si>
  <si>
    <t>D70-1010801</t>
  </si>
  <si>
    <t>D70-1010810</t>
  </si>
  <si>
    <t>D70-1010823</t>
  </si>
  <si>
    <t>D70-1010830</t>
  </si>
  <si>
    <t>D70-1010832</t>
  </si>
  <si>
    <t>D70-1010836</t>
  </si>
  <si>
    <t>D70-1010838</t>
  </si>
  <si>
    <t>D70-1010860</t>
  </si>
  <si>
    <t>D70-1010863</t>
  </si>
  <si>
    <t>D70-1010877</t>
  </si>
  <si>
    <t>D70-1010879</t>
  </si>
  <si>
    <t>D70-1010885</t>
  </si>
  <si>
    <t>D70-1010892</t>
  </si>
  <si>
    <t>D70-1010898</t>
  </si>
  <si>
    <t>D70-1010907</t>
  </si>
  <si>
    <t>E00-1001918</t>
  </si>
  <si>
    <t>E00-1001922</t>
  </si>
  <si>
    <t>E00-1001927</t>
  </si>
  <si>
    <t>F02-1002164</t>
  </si>
  <si>
    <t>F02-1002165</t>
  </si>
  <si>
    <t>F02-1002176</t>
  </si>
  <si>
    <t>F02-1002188</t>
  </si>
  <si>
    <t>F02-1002189</t>
  </si>
  <si>
    <t>F04-981600</t>
  </si>
  <si>
    <t>F04-981606</t>
  </si>
  <si>
    <t>F04-981609</t>
  </si>
  <si>
    <t>F04-981620</t>
  </si>
  <si>
    <t>F04-981622</t>
  </si>
  <si>
    <t>F04-981624</t>
  </si>
  <si>
    <t>F04-981625</t>
  </si>
  <si>
    <t>F04-981627</t>
  </si>
  <si>
    <t>F04-981628</t>
  </si>
  <si>
    <t>F04-981629</t>
  </si>
  <si>
    <t>F04-981653</t>
  </si>
  <si>
    <t>F10-1001924</t>
  </si>
  <si>
    <t>G00-1002491</t>
  </si>
  <si>
    <t>G00-1002508</t>
  </si>
  <si>
    <t>G05-969672</t>
  </si>
  <si>
    <t>G05-969703</t>
  </si>
  <si>
    <t>G05-969705</t>
  </si>
  <si>
    <t>G05-969707</t>
  </si>
  <si>
    <t>G05-969744</t>
  </si>
  <si>
    <t>G05-969747</t>
  </si>
  <si>
    <t>G05-969748</t>
  </si>
  <si>
    <t>G11-999536</t>
  </si>
  <si>
    <t>G11-999538</t>
  </si>
  <si>
    <t>G11-999548</t>
  </si>
  <si>
    <t>G11-999552</t>
  </si>
  <si>
    <t>G11-999554</t>
  </si>
  <si>
    <t>G11-999564</t>
  </si>
  <si>
    <t>G11-999572</t>
  </si>
  <si>
    <t>H00-1006929</t>
  </si>
  <si>
    <t>H00-1006951</t>
  </si>
  <si>
    <t>H01-998987</t>
  </si>
  <si>
    <t>H01-998992</t>
  </si>
  <si>
    <t>H01-999001</t>
  </si>
  <si>
    <t>L00-1024761</t>
  </si>
  <si>
    <t>L00-1024767</t>
  </si>
  <si>
    <t>L00-1024839</t>
  </si>
  <si>
    <t>L00-1024841</t>
  </si>
  <si>
    <t>L00-1024843</t>
  </si>
  <si>
    <t>L00-1024855</t>
  </si>
  <si>
    <t>L00-1024879</t>
  </si>
  <si>
    <t>L00-1024880</t>
  </si>
  <si>
    <t>L00-1024882</t>
  </si>
  <si>
    <t>L00-1024883</t>
  </si>
  <si>
    <t>L00-1024884</t>
  </si>
  <si>
    <t>L00-1024885</t>
  </si>
  <si>
    <t>L00-1024886</t>
  </si>
  <si>
    <t>L00-1024890</t>
  </si>
  <si>
    <t>L00-1024891</t>
  </si>
  <si>
    <t>L00-1024909</t>
  </si>
  <si>
    <t>L00-1024941</t>
  </si>
  <si>
    <t>L00-1024966</t>
  </si>
  <si>
    <t>L00-1024970</t>
  </si>
  <si>
    <t>L00-1024995</t>
  </si>
  <si>
    <t>L00-1024997</t>
  </si>
  <si>
    <t>L00-1025002</t>
  </si>
  <si>
    <t>L00-1025049</t>
  </si>
  <si>
    <t>L00-1025050</t>
  </si>
  <si>
    <t>L00-1025057</t>
  </si>
  <si>
    <t>L00-1025064</t>
  </si>
  <si>
    <t>L00-1025067</t>
  </si>
  <si>
    <t>L00-1025068</t>
  </si>
  <si>
    <t>L00-1025069</t>
  </si>
  <si>
    <t>L00-1025072</t>
  </si>
  <si>
    <t>L00-1025074</t>
  </si>
  <si>
    <t>L00-1025084</t>
  </si>
  <si>
    <t>L00-1025087</t>
  </si>
  <si>
    <t>L00-1025091</t>
  </si>
  <si>
    <t>L00-1025094</t>
  </si>
  <si>
    <t>L00-1025099</t>
  </si>
  <si>
    <t>L00-1025116</t>
  </si>
  <si>
    <t>L00-1025119</t>
  </si>
  <si>
    <t>L00-1025121</t>
  </si>
  <si>
    <t>L00-1025136</t>
  </si>
  <si>
    <t>L00-1025137</t>
  </si>
  <si>
    <t>L00-1025138</t>
  </si>
  <si>
    <t>L00-1025139</t>
  </si>
  <si>
    <t>L00-1025142</t>
  </si>
  <si>
    <t>L00-1025149</t>
  </si>
  <si>
    <t>L00-1025151</t>
  </si>
  <si>
    <t>L00-1025153</t>
  </si>
  <si>
    <t>L00-1025155</t>
  </si>
  <si>
    <t>L00-1025156</t>
  </si>
  <si>
    <t>L00-1025167</t>
  </si>
  <si>
    <t>L00-1025168</t>
  </si>
  <si>
    <t>L00-1025169</t>
  </si>
  <si>
    <t>L00-1025178</t>
  </si>
  <si>
    <t>L00-1025190</t>
  </si>
  <si>
    <t>L00-1025260</t>
  </si>
  <si>
    <t>L00-1025341</t>
  </si>
  <si>
    <t>L00-1025358</t>
  </si>
  <si>
    <t>L00-1025394</t>
  </si>
  <si>
    <t>L00-1025431</t>
  </si>
  <si>
    <t>L01-1005140</t>
  </si>
  <si>
    <t>L01-1005143</t>
  </si>
  <si>
    <t>L01-1005156</t>
  </si>
  <si>
    <t>L01-1005157</t>
  </si>
  <si>
    <t>L01-1005171</t>
  </si>
  <si>
    <t>L01-1005178</t>
  </si>
  <si>
    <t>L01-1005179</t>
  </si>
  <si>
    <t>L01-1005180</t>
  </si>
  <si>
    <t>L01-1005182</t>
  </si>
  <si>
    <t>L06-1000386</t>
  </si>
  <si>
    <t>L06-1000387</t>
  </si>
  <si>
    <t>L06-1000393</t>
  </si>
  <si>
    <t>L06-1000414</t>
  </si>
  <si>
    <t>L06-1000415</t>
  </si>
  <si>
    <t>L06-1000416</t>
  </si>
  <si>
    <t>L06-1000423</t>
  </si>
  <si>
    <t>L06-1000424</t>
  </si>
  <si>
    <t>L06-1000428</t>
  </si>
  <si>
    <t>L06-1000434</t>
  </si>
  <si>
    <t>L06-1000437</t>
  </si>
  <si>
    <t>L06-1000438</t>
  </si>
  <si>
    <t>L06-1000452</t>
  </si>
  <si>
    <t>L06-1000454</t>
  </si>
  <si>
    <t>L06-1000468</t>
  </si>
  <si>
    <t>L06-1000493</t>
  </si>
  <si>
    <t>L06-1000507</t>
  </si>
  <si>
    <t>L06-1000508</t>
  </si>
  <si>
    <t>L06-1000514</t>
  </si>
  <si>
    <t>L06-1000515</t>
  </si>
  <si>
    <t>L06-1000518</t>
  </si>
  <si>
    <t>L07-984039</t>
  </si>
  <si>
    <t>L07-984059</t>
  </si>
  <si>
    <t>L07-984060</t>
  </si>
  <si>
    <t>L07-984061</t>
  </si>
  <si>
    <t>L07-984063</t>
  </si>
  <si>
    <t>L07-984069</t>
  </si>
  <si>
    <t>L07-984071</t>
  </si>
  <si>
    <t>L07-984082</t>
  </si>
  <si>
    <t>L07-984083</t>
  </si>
  <si>
    <t>L07-984086</t>
  </si>
  <si>
    <t>L07-984088</t>
  </si>
  <si>
    <t>L07-984089</t>
  </si>
  <si>
    <t>L12-375752</t>
  </si>
  <si>
    <t>M00-1005796</t>
  </si>
  <si>
    <t>M00-1005802</t>
  </si>
  <si>
    <t>M05-1006496</t>
  </si>
  <si>
    <t>M05-1006500</t>
  </si>
  <si>
    <t>M05-1006512</t>
  </si>
  <si>
    <t>M05-1006516</t>
  </si>
  <si>
    <t>M11-924924</t>
  </si>
  <si>
    <t>M11-924929</t>
  </si>
  <si>
    <t>M11-924949</t>
  </si>
  <si>
    <t>M14-986435</t>
  </si>
  <si>
    <t>M14-986446</t>
  </si>
  <si>
    <t>M17-587852</t>
  </si>
  <si>
    <t>M20-1008342</t>
  </si>
  <si>
    <t>M20-1008380</t>
  </si>
  <si>
    <t>M20-1008386</t>
  </si>
  <si>
    <t>M20-1008388</t>
  </si>
  <si>
    <t>M20-1008389</t>
  </si>
  <si>
    <t>M20-1008399</t>
  </si>
  <si>
    <t>M20-1008400</t>
  </si>
  <si>
    <t>M20-1008403</t>
  </si>
  <si>
    <t>M20-1008404</t>
  </si>
  <si>
    <t>M20-1008405</t>
  </si>
  <si>
    <t>M20-1008411</t>
  </si>
  <si>
    <t>M20-1008451</t>
  </si>
  <si>
    <t>MC1-1004296</t>
  </si>
  <si>
    <t>MC1-1004298</t>
  </si>
  <si>
    <t>MC1-1004307</t>
  </si>
  <si>
    <t>MC1-1004318</t>
  </si>
  <si>
    <t>MC1-1004320</t>
  </si>
  <si>
    <t>MC1-1004322</t>
  </si>
  <si>
    <t>MC1-1004324</t>
  </si>
  <si>
    <t>MC1-1004325</t>
  </si>
  <si>
    <t>MC1-1004326</t>
  </si>
  <si>
    <t>MH0-587767</t>
  </si>
  <si>
    <t>ML0-231736</t>
  </si>
  <si>
    <t>MS1-1004748</t>
  </si>
  <si>
    <t>MS1-1004752</t>
  </si>
  <si>
    <t>MS5-919416</t>
  </si>
  <si>
    <t>P00-1002048</t>
  </si>
  <si>
    <t>P00-1002072</t>
  </si>
  <si>
    <t>P00-1002079</t>
  </si>
  <si>
    <t>P01-1003805</t>
  </si>
  <si>
    <t>P06-1002594</t>
  </si>
  <si>
    <t>P06-1002595</t>
  </si>
  <si>
    <t>P06-1002603</t>
  </si>
  <si>
    <t>P07-1000648</t>
  </si>
  <si>
    <t>P07-1000653</t>
  </si>
  <si>
    <t>Q00-1005155</t>
  </si>
  <si>
    <t>Q00-1005159</t>
  </si>
  <si>
    <t>Q00-1005162</t>
  </si>
  <si>
    <t>Q00-1005163</t>
  </si>
  <si>
    <t>Q00-1005164</t>
  </si>
  <si>
    <t>Q00-1005173</t>
  </si>
  <si>
    <t>Q00-1005179</t>
  </si>
  <si>
    <t>Q02-936359</t>
  </si>
  <si>
    <t>Q02-936371</t>
  </si>
  <si>
    <t>Q02-936378</t>
  </si>
  <si>
    <t>Q02-936381</t>
  </si>
  <si>
    <t>Q02-936389</t>
  </si>
  <si>
    <t>T00-1005034</t>
  </si>
  <si>
    <t>T03-1005378</t>
  </si>
  <si>
    <t>T03-1005379</t>
  </si>
  <si>
    <t>Y00-1008160</t>
  </si>
  <si>
    <t>Y00-1008170</t>
  </si>
  <si>
    <t>Y00-1008180</t>
  </si>
  <si>
    <t>Y00-1008181</t>
  </si>
  <si>
    <t>Y00-1008188</t>
  </si>
  <si>
    <t>Y00-1008189</t>
  </si>
  <si>
    <t>Y00-1008192</t>
  </si>
  <si>
    <t>Y00-1008224</t>
  </si>
  <si>
    <t>Y00-1008230</t>
  </si>
  <si>
    <t>Y00-1008231</t>
  </si>
  <si>
    <t>Y01-816855</t>
  </si>
  <si>
    <t>Y01-816883</t>
  </si>
  <si>
    <t>Y02-998982</t>
  </si>
  <si>
    <t>Y02-998984</t>
  </si>
  <si>
    <t>Y11-989403</t>
  </si>
  <si>
    <t>Y11-989409</t>
  </si>
  <si>
    <t>Y11-989410</t>
  </si>
  <si>
    <t>Y11-989421</t>
  </si>
  <si>
    <t>Y11-989428</t>
  </si>
  <si>
    <t>Y17-867863</t>
  </si>
  <si>
    <t>Y17-867864</t>
  </si>
  <si>
    <t>182-190</t>
  </si>
  <si>
    <r>
      <t xml:space="preserve">Cotizador de Gastos Médicos Mayores Individual
</t>
    </r>
    <r>
      <rPr>
        <b/>
        <sz val="14"/>
        <color rgb="FF00B050"/>
        <rFont val="Calibri"/>
        <family val="2"/>
      </rPr>
      <t>Hacer uso de esta herramienta en los siguientes casos: 
-Cotizaciones de pólizas de renovación
-Cotizaciones para ejercer el derecho de conversión
-Asegurados que ya cuenten con cobertura en Seguros Atlas en póliza colectiva o individual</t>
    </r>
  </si>
  <si>
    <t>Nueva</t>
  </si>
  <si>
    <t xml:space="preserve">Las PRIMAS antes indicadas están expresadas en Moneda Nacional.
Los recargos por pago fraccionado son: semestral 5%, trimestral 7.50% y mensual 9%. En caso de optar por la forma de pago mensual solo será a través de cargo automático a tarjeta de crédito por lo que deberán proporcionar el formato correspondiente para realizar el cargo. </t>
  </si>
  <si>
    <t>Masculino</t>
  </si>
  <si>
    <t>No aparece</t>
  </si>
  <si>
    <t xml:space="preserve">Si aparece </t>
  </si>
  <si>
    <t>Deducible por familia</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</si>
</sst>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6" formatCode="&quot;$&quot;#,##0;[Red]\-&quot;$&quot;#,##0"/>
    <numFmt numFmtId="43" formatCode="_-* #,##0.00_-;\-* #,##0.00_-;_-* &quot;-&quot;??_-;_-@_-"/>
    <numFmt numFmtId="164" formatCode="_(* #,##0_);_(* \(#,##0\);_(* &quot;-&quot;_);_(@_)"/>
    <numFmt numFmtId="165" formatCode="_(* #,##0.00_);_(* \(#,##0.00\);_(* &quot;-&quot;??_);_(@_)"/>
    <numFmt numFmtId="166" formatCode="_(* #,##0_);_(* \(#,##0\);_(* &quot;-&quot;??_);_(@_)"/>
    <numFmt numFmtId="167" formatCode="_(* #,##0.00_);_(* \(#,##0.00\);_(* &quot;-&quot;_);_(@_)"/>
    <numFmt numFmtId="168" formatCode="#,##0&quot; F&quot;_);[Red]\(#,##0&quot; F&quot;\)"/>
    <numFmt numFmtId="169" formatCode="0.0000"/>
    <numFmt numFmtId="170" formatCode="0.0000000000"/>
    <numFmt numFmtId="171" formatCode="&quot;$&quot;#,##0.00"/>
    <numFmt numFmtId="172" formatCode="[$-80A]d&quot; de &quot;mmmm&quot; de &quot;yyyy;@"/>
    <numFmt numFmtId="173" formatCode="#,##0.0000"/>
    <numFmt numFmtId="174" formatCode="0.000000"/>
    <numFmt numFmtId="175" formatCode="#,##0.000000"/>
    <numFmt numFmtId="176" formatCode="0.0000000"/>
    <numFmt numFmtId="177" formatCode="#,##0.0"/>
    <numFmt numFmtId="178" formatCode="0.00000"/>
    <numFmt numFmtId="179" formatCode="0.000"/>
    <numFmt numFmtId="180" formatCode="_(* #,##0.000000_);_(* \(#,##0.000000\);_(* &quot;-&quot;??_);_(@_)"/>
  </numFmts>
  <fonts count="96">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name val="Arial"/>
      <family val="2"/>
    </font>
    <font>
      <sz val="10"/>
      <name val="Helv"/>
    </font>
    <font>
      <sz val="8"/>
      <name val="Arial"/>
      <family val="2"/>
    </font>
    <font>
      <b/>
      <sz val="18"/>
      <name val="Calibri"/>
      <family val="2"/>
    </font>
    <font>
      <sz val="11"/>
      <color theme="1"/>
      <name val="Calibri"/>
      <family val="2"/>
    </font>
    <font>
      <sz val="9"/>
      <name val="Calibri"/>
      <family val="2"/>
      <scheme val="minor"/>
    </font>
    <font>
      <b/>
      <sz val="9"/>
      <name val="Calibri"/>
      <family val="2"/>
      <scheme val="minor"/>
    </font>
    <font>
      <b/>
      <sz val="11"/>
      <name val="Calibri"/>
      <family val="2"/>
      <scheme val="minor"/>
    </font>
    <font>
      <sz val="10"/>
      <name val="Calibri"/>
      <family val="2"/>
      <scheme val="minor"/>
    </font>
    <font>
      <sz val="11"/>
      <name val="Calibri"/>
      <family val="2"/>
      <scheme val="minor"/>
    </font>
    <font>
      <b/>
      <sz val="10"/>
      <name val="Calibri"/>
      <family val="2"/>
      <scheme val="minor"/>
    </font>
    <font>
      <b/>
      <sz val="10"/>
      <color indexed="10"/>
      <name val="Calibri"/>
      <family val="2"/>
      <scheme val="minor"/>
    </font>
    <font>
      <b/>
      <sz val="9"/>
      <color theme="3" tint="-0.249977111117893"/>
      <name val="Calibri"/>
      <family val="2"/>
      <scheme val="minor"/>
    </font>
    <font>
      <b/>
      <sz val="9"/>
      <color theme="0" tint="-0.14996795556505021"/>
      <name val="Calibri"/>
      <family val="2"/>
      <scheme val="minor"/>
    </font>
    <font>
      <b/>
      <sz val="9"/>
      <color theme="3"/>
      <name val="Calibri"/>
      <family val="2"/>
      <scheme val="minor"/>
    </font>
    <font>
      <sz val="9"/>
      <color theme="0" tint="-0.14996795556505021"/>
      <name val="Calibri"/>
      <family val="2"/>
      <scheme val="minor"/>
    </font>
    <font>
      <b/>
      <sz val="24"/>
      <name val="Calibri"/>
      <family val="2"/>
      <scheme val="minor"/>
    </font>
    <font>
      <sz val="9"/>
      <color indexed="10"/>
      <name val="Calibri"/>
      <family val="2"/>
      <scheme val="minor"/>
    </font>
    <font>
      <sz val="9"/>
      <color indexed="9"/>
      <name val="Calibri"/>
      <family val="2"/>
      <scheme val="minor"/>
    </font>
    <font>
      <b/>
      <sz val="9"/>
      <color indexed="9"/>
      <name val="Calibri"/>
      <family val="2"/>
      <scheme val="minor"/>
    </font>
    <font>
      <b/>
      <sz val="7"/>
      <color indexed="9"/>
      <name val="Calibri"/>
      <family val="2"/>
      <scheme val="minor"/>
    </font>
    <font>
      <sz val="12"/>
      <color theme="0"/>
      <name val="Calibri"/>
      <family val="2"/>
      <scheme val="minor"/>
    </font>
    <font>
      <b/>
      <sz val="14"/>
      <color theme="0"/>
      <name val="Calibri"/>
      <family val="2"/>
      <scheme val="minor"/>
    </font>
    <font>
      <b/>
      <sz val="11"/>
      <color rgb="FFFF0000"/>
      <name val="Calibri"/>
      <family val="2"/>
      <scheme val="minor"/>
    </font>
    <font>
      <b/>
      <sz val="14"/>
      <name val="Calibri"/>
      <family val="2"/>
      <scheme val="minor"/>
    </font>
    <font>
      <sz val="12"/>
      <name val="Calibri"/>
      <family val="2"/>
      <scheme val="minor"/>
    </font>
    <font>
      <sz val="11"/>
      <color theme="0"/>
      <name val="Calibri"/>
      <family val="2"/>
      <scheme val="minor"/>
    </font>
    <font>
      <b/>
      <sz val="11"/>
      <color theme="8" tint="0.59999389629810485"/>
      <name val="Calibri"/>
      <family val="2"/>
    </font>
    <font>
      <b/>
      <sz val="11"/>
      <color indexed="10"/>
      <name val="Calibri"/>
      <family val="2"/>
      <scheme val="minor"/>
    </font>
    <font>
      <sz val="11"/>
      <color theme="0"/>
      <name val="Calibri"/>
      <family val="2"/>
    </font>
    <font>
      <b/>
      <sz val="12"/>
      <name val="Calibri"/>
      <family val="2"/>
      <scheme val="minor"/>
    </font>
    <font>
      <b/>
      <sz val="12"/>
      <color indexed="9"/>
      <name val="Calibri"/>
      <family val="2"/>
      <scheme val="minor"/>
    </font>
    <font>
      <b/>
      <sz val="12"/>
      <color theme="0"/>
      <name val="Calibri"/>
      <family val="2"/>
      <scheme val="minor"/>
    </font>
    <font>
      <b/>
      <sz val="12"/>
      <color theme="1"/>
      <name val="Calibri"/>
      <family val="2"/>
      <scheme val="minor"/>
    </font>
    <font>
      <b/>
      <sz val="10"/>
      <color indexed="9"/>
      <name val="Calibri"/>
      <family val="2"/>
      <scheme val="minor"/>
    </font>
    <font>
      <sz val="11"/>
      <color rgb="FF9C0006"/>
      <name val="Calibri"/>
      <family val="2"/>
    </font>
    <font>
      <sz val="10"/>
      <name val="Arial"/>
      <family val="2"/>
    </font>
    <font>
      <sz val="11"/>
      <name val="Arial"/>
      <family val="2"/>
    </font>
    <font>
      <sz val="12"/>
      <name val="Arial"/>
      <family val="2"/>
    </font>
    <font>
      <b/>
      <sz val="11"/>
      <name val="Arial"/>
      <family val="2"/>
    </font>
    <font>
      <b/>
      <sz val="12"/>
      <color indexed="9"/>
      <name val="Arial"/>
      <family val="2"/>
    </font>
    <font>
      <sz val="10"/>
      <color theme="0"/>
      <name val="Arial"/>
      <family val="2"/>
    </font>
    <font>
      <sz val="11"/>
      <color theme="1"/>
      <name val="Calibri"/>
      <family val="2"/>
      <scheme val="minor"/>
    </font>
    <font>
      <u/>
      <sz val="10"/>
      <color indexed="12"/>
      <name val="Arial"/>
      <family val="2"/>
    </font>
    <font>
      <sz val="11.5"/>
      <name val="Arial"/>
      <family val="2"/>
    </font>
    <font>
      <u/>
      <sz val="10"/>
      <color theme="10"/>
      <name val="Arial"/>
      <family val="2"/>
    </font>
    <font>
      <sz val="11"/>
      <color theme="4" tint="-0.249977111117893"/>
      <name val="Calibri"/>
      <family val="2"/>
      <scheme val="minor"/>
    </font>
    <font>
      <sz val="11"/>
      <color rgb="FF006100"/>
      <name val="Calibri"/>
      <family val="2"/>
      <scheme val="minor"/>
    </font>
    <font>
      <sz val="10"/>
      <name val="Arial"/>
      <family val="2"/>
    </font>
    <font>
      <b/>
      <sz val="10"/>
      <color rgb="FFFF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9C0006"/>
      <name val="Calibri"/>
      <family val="2"/>
      <scheme val="minor"/>
    </font>
    <font>
      <b/>
      <sz val="11"/>
      <color theme="3" tint="0.39997558519241921"/>
      <name val="Arial"/>
      <family val="2"/>
    </font>
    <font>
      <b/>
      <sz val="14"/>
      <color theme="3" tint="0.39997558519241921"/>
      <name val="Arial"/>
      <family val="2"/>
    </font>
    <font>
      <b/>
      <sz val="12"/>
      <color theme="3" tint="0.39997558519241921"/>
      <name val="Arial"/>
      <family val="2"/>
    </font>
    <font>
      <sz val="14"/>
      <color theme="3" tint="0.39997558519241921"/>
      <name val="Arial"/>
      <family val="2"/>
    </font>
    <font>
      <sz val="13"/>
      <name val="Arial"/>
      <family val="2"/>
    </font>
    <font>
      <b/>
      <u/>
      <sz val="12"/>
      <name val="Arial"/>
      <family val="2"/>
    </font>
    <font>
      <sz val="13"/>
      <name val="Calibri"/>
      <family val="2"/>
      <scheme val="minor"/>
    </font>
    <font>
      <b/>
      <sz val="13"/>
      <name val="Arial"/>
      <family val="2"/>
    </font>
    <font>
      <b/>
      <sz val="13"/>
      <name val="Arial"/>
      <family val="2"/>
      <charset val="2"/>
    </font>
    <font>
      <b/>
      <sz val="13"/>
      <color theme="3" tint="0.59999389629810485"/>
      <name val="Bookshelf Symbol 7"/>
      <charset val="2"/>
    </font>
    <font>
      <b/>
      <sz val="13"/>
      <color theme="3" tint="0.59999389629810485"/>
      <name val="Arial"/>
      <family val="2"/>
    </font>
    <font>
      <sz val="13"/>
      <name val="Arial"/>
      <family val="2"/>
      <charset val="2"/>
    </font>
    <font>
      <sz val="13"/>
      <color theme="3" tint="0.59999389629810485"/>
      <name val="Arial"/>
      <family val="2"/>
    </font>
    <font>
      <b/>
      <sz val="13"/>
      <color theme="0"/>
      <name val="Arial"/>
      <family val="2"/>
    </font>
    <font>
      <sz val="13"/>
      <color rgb="FFFF0000"/>
      <name val="Arial"/>
      <family val="2"/>
    </font>
    <font>
      <b/>
      <sz val="13"/>
      <color indexed="9"/>
      <name val="Arial"/>
      <family val="2"/>
    </font>
    <font>
      <b/>
      <sz val="13"/>
      <color theme="3" tint="0.39997558519241921"/>
      <name val="Arial"/>
      <family val="2"/>
    </font>
    <font>
      <b/>
      <sz val="20"/>
      <name val="Arial"/>
      <family val="2"/>
    </font>
    <font>
      <sz val="13.5"/>
      <name val="Arial"/>
      <family val="2"/>
    </font>
    <font>
      <b/>
      <sz val="22"/>
      <color theme="3" tint="0.39997558519241921"/>
      <name val="Arial"/>
      <family val="2"/>
    </font>
    <font>
      <b/>
      <sz val="20"/>
      <color theme="0"/>
      <name val="Arial"/>
      <family val="2"/>
    </font>
    <font>
      <sz val="9"/>
      <name val="Arial"/>
      <family val="2"/>
    </font>
    <font>
      <b/>
      <sz val="9"/>
      <name val="Arial"/>
      <family val="2"/>
    </font>
    <font>
      <b/>
      <sz val="14"/>
      <color rgb="FF00B050"/>
      <name val="Calibri"/>
      <family val="2"/>
    </font>
    <font>
      <sz val="12"/>
      <color rgb="FFFF0000"/>
      <name val="Arial"/>
      <family val="2"/>
    </font>
  </fonts>
  <fills count="6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
      <patternFill patternType="solid">
        <fgColor indexed="62"/>
        <bgColor indexed="64"/>
      </patternFill>
    </fill>
    <fill>
      <patternFill patternType="solid">
        <fgColor indexed="26"/>
        <bgColor indexed="26"/>
      </patternFill>
    </fill>
    <fill>
      <patternFill patternType="solid">
        <fgColor indexed="13"/>
        <bgColor indexed="26"/>
      </patternFill>
    </fill>
    <fill>
      <patternFill patternType="solid">
        <fgColor indexed="41"/>
        <bgColor indexed="64"/>
      </patternFill>
    </fill>
    <fill>
      <patternFill patternType="solid">
        <fgColor indexed="41"/>
        <bgColor indexed="26"/>
      </patternFill>
    </fill>
    <fill>
      <patternFill patternType="solid">
        <fgColor rgb="FFFF0000"/>
        <bgColor indexed="64"/>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C5D9F1"/>
        <bgColor rgb="FF000000"/>
      </patternFill>
    </fill>
    <fill>
      <patternFill patternType="solid">
        <fgColor theme="7"/>
      </patternFill>
    </fill>
    <fill>
      <patternFill patternType="solid">
        <fgColor theme="9" tint="-0.249977111117893"/>
        <bgColor indexed="64"/>
      </patternFill>
    </fill>
    <fill>
      <patternFill patternType="solid">
        <fgColor theme="4"/>
      </patternFill>
    </fill>
    <fill>
      <patternFill patternType="solid">
        <fgColor theme="6"/>
      </patternFill>
    </fill>
    <fill>
      <patternFill patternType="solid">
        <fgColor theme="7" tint="0.79998168889431442"/>
        <bgColor indexed="64"/>
      </patternFill>
    </fill>
    <fill>
      <patternFill patternType="solid">
        <fgColor theme="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7CE"/>
      </patternFill>
    </fill>
    <fill>
      <patternFill patternType="solid">
        <fgColor rgb="FFFFFF00"/>
        <bgColor indexed="64"/>
      </patternFill>
    </fill>
    <fill>
      <patternFill patternType="solid">
        <fgColor theme="1"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rgb="FFC6EFCE"/>
      </patternFill>
    </fill>
    <fill>
      <patternFill patternType="solid">
        <fgColor theme="6" tint="-0.249977111117893"/>
        <bgColor indexed="64"/>
      </patternFill>
    </fill>
    <fill>
      <patternFill patternType="solid">
        <fgColor theme="2" tint="-9.9978637043366805E-2"/>
        <bgColor indexed="64"/>
      </patternFill>
    </fill>
    <fill>
      <patternFill patternType="solid">
        <fgColor rgb="FFFC9EFC"/>
        <bgColor indexed="64"/>
      </patternFill>
    </fill>
    <fill>
      <patternFill patternType="solid">
        <fgColor rgb="FFFFCCFF"/>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s>
  <borders count="135">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top/>
      <bottom style="double">
        <color indexed="64"/>
      </bottom>
      <diagonal/>
    </border>
    <border>
      <left/>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medium">
        <color indexed="64"/>
      </right>
      <top style="medium">
        <color indexed="64"/>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9"/>
      </bottom>
      <diagonal/>
    </border>
    <border>
      <left style="thin">
        <color theme="0"/>
      </left>
      <right style="thin">
        <color theme="0"/>
      </right>
      <top style="thin">
        <color theme="9"/>
      </top>
      <bottom style="thin">
        <color theme="9"/>
      </bottom>
      <diagonal/>
    </border>
    <border>
      <left style="thin">
        <color theme="0"/>
      </left>
      <right style="thin">
        <color theme="0"/>
      </right>
      <top style="thin">
        <color theme="9"/>
      </top>
      <bottom style="thin">
        <color theme="0"/>
      </bottom>
      <diagonal/>
    </border>
    <border>
      <left style="thin">
        <color theme="0"/>
      </left>
      <right style="thin">
        <color theme="0"/>
      </right>
      <top/>
      <bottom style="thin">
        <color theme="0"/>
      </bottom>
      <diagonal/>
    </border>
    <border>
      <left style="thin">
        <color theme="0"/>
      </left>
      <right/>
      <top/>
      <bottom style="thin">
        <color theme="9"/>
      </bottom>
      <diagonal/>
    </border>
    <border>
      <left style="medium">
        <color indexed="64"/>
      </left>
      <right/>
      <top style="hair">
        <color indexed="64"/>
      </top>
      <bottom style="hair">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top style="medium">
        <color theme="0"/>
      </top>
      <bottom/>
      <diagonal/>
    </border>
    <border>
      <left/>
      <right/>
      <top style="medium">
        <color theme="0"/>
      </top>
      <bottom/>
      <diagonal/>
    </border>
    <border>
      <left style="medium">
        <color theme="0"/>
      </left>
      <right/>
      <top style="medium">
        <color theme="0"/>
      </top>
      <bottom style="medium">
        <color theme="0" tint="-0.499984740745262"/>
      </bottom>
      <diagonal/>
    </border>
    <border>
      <left/>
      <right style="medium">
        <color theme="0" tint="-0.499984740745262"/>
      </right>
      <top style="medium">
        <color theme="0"/>
      </top>
      <bottom style="medium">
        <color theme="0" tint="-0.499984740745262"/>
      </bottom>
      <diagonal/>
    </border>
    <border>
      <left style="medium">
        <color theme="0"/>
      </left>
      <right/>
      <top/>
      <bottom style="medium">
        <color theme="0" tint="-0.499984740745262"/>
      </bottom>
      <diagonal/>
    </border>
    <border>
      <left/>
      <right style="medium">
        <color theme="0" tint="-0.499984740745262"/>
      </right>
      <top/>
      <bottom style="medium">
        <color theme="0" tint="-0.499984740745262"/>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theme="0" tint="-0.499984740745262"/>
      </left>
      <right/>
      <top/>
      <bottom/>
      <diagonal/>
    </border>
    <border>
      <left/>
      <right/>
      <top style="medium">
        <color theme="0" tint="-0.499984740745262"/>
      </top>
      <bottom/>
      <diagonal/>
    </border>
    <border>
      <left style="hair">
        <color indexed="64"/>
      </left>
      <right style="hair">
        <color indexed="64"/>
      </right>
      <top style="hair">
        <color indexed="64"/>
      </top>
      <bottom style="medium">
        <color indexed="64"/>
      </bottom>
      <diagonal/>
    </border>
    <border>
      <left style="thin">
        <color auto="1"/>
      </left>
      <right style="thin">
        <color auto="1"/>
      </right>
      <top/>
      <bottom/>
      <diagonal/>
    </border>
    <border>
      <left/>
      <right/>
      <top style="thin">
        <color theme="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right/>
      <top style="medium">
        <color theme="0"/>
      </top>
      <bottom style="medium">
        <color theme="0" tint="-0.499984740745262"/>
      </bottom>
      <diagonal/>
    </border>
    <border>
      <left style="medium">
        <color indexed="64"/>
      </left>
      <right style="hair">
        <color indexed="64"/>
      </right>
      <top style="hair">
        <color indexed="64"/>
      </top>
      <bottom style="medium">
        <color indexed="64"/>
      </bottom>
      <diagonal/>
    </border>
    <border>
      <left style="thin">
        <color indexed="64"/>
      </left>
      <right style="medium">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0"/>
      </left>
      <right/>
      <top style="medium">
        <color theme="0"/>
      </top>
      <bottom style="thin">
        <color indexed="64"/>
      </bottom>
      <diagonal/>
    </border>
    <border>
      <left/>
      <right/>
      <top style="medium">
        <color theme="0"/>
      </top>
      <bottom style="thin">
        <color indexed="64"/>
      </bottom>
      <diagonal/>
    </border>
    <border>
      <left style="medium">
        <color theme="0"/>
      </left>
      <right style="medium">
        <color theme="0" tint="-0.499984740745262"/>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right/>
      <top style="thin">
        <color theme="0"/>
      </top>
      <bottom/>
      <diagonal/>
    </border>
    <border>
      <left style="thin">
        <color theme="3" tint="0.39997558519241921"/>
      </left>
      <right style="thin">
        <color theme="3" tint="0.39997558519241921"/>
      </right>
      <top/>
      <bottom style="thin">
        <color theme="3" tint="0.39997558519241921"/>
      </bottom>
      <diagonal/>
    </border>
    <border>
      <left style="thin">
        <color theme="3" tint="0.39997558519241921"/>
      </left>
      <right style="thin">
        <color theme="3" tint="0.39997558519241921"/>
      </right>
      <top style="thin">
        <color theme="3" tint="0.39997558519241921"/>
      </top>
      <bottom/>
      <diagonal/>
    </border>
    <border>
      <left style="thin">
        <color theme="3" tint="0.39997558519241921"/>
      </left>
      <right style="thin">
        <color theme="3" tint="0.39997558519241921"/>
      </right>
      <top/>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thin">
        <color theme="0"/>
      </left>
      <right/>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medium">
        <color theme="0"/>
      </right>
      <top style="medium">
        <color theme="0"/>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right/>
      <top/>
      <bottom style="medium">
        <color indexed="64"/>
      </bottom>
      <diagonal/>
    </border>
    <border>
      <left/>
      <right style="medium">
        <color theme="0"/>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ck">
        <color theme="3" tint="0.39994506668294322"/>
      </left>
      <right/>
      <top style="thick">
        <color theme="3" tint="0.39994506668294322"/>
      </top>
      <bottom/>
      <diagonal/>
    </border>
    <border>
      <left/>
      <right/>
      <top style="thick">
        <color theme="3" tint="0.39994506668294322"/>
      </top>
      <bottom/>
      <diagonal/>
    </border>
    <border>
      <left/>
      <right style="thick">
        <color theme="3" tint="0.39994506668294322"/>
      </right>
      <top style="thick">
        <color theme="3" tint="0.39994506668294322"/>
      </top>
      <bottom/>
      <diagonal/>
    </border>
    <border>
      <left style="thick">
        <color theme="3" tint="0.39994506668294322"/>
      </left>
      <right/>
      <top/>
      <bottom style="thick">
        <color theme="3" tint="0.39994506668294322"/>
      </bottom>
      <diagonal/>
    </border>
    <border>
      <left/>
      <right/>
      <top/>
      <bottom style="thick">
        <color theme="3" tint="0.39994506668294322"/>
      </bottom>
      <diagonal/>
    </border>
    <border>
      <left/>
      <right style="thick">
        <color theme="3" tint="0.39994506668294322"/>
      </right>
      <top/>
      <bottom style="thick">
        <color theme="3" tint="0.39994506668294322"/>
      </bottom>
      <diagonal/>
    </border>
    <border>
      <left style="thick">
        <color theme="3" tint="0.39994506668294322"/>
      </left>
      <right/>
      <top/>
      <bottom/>
      <diagonal/>
    </border>
    <border>
      <left/>
      <right style="thick">
        <color theme="3" tint="0.39994506668294322"/>
      </right>
      <top/>
      <bottom/>
      <diagonal/>
    </border>
    <border>
      <left style="thick">
        <color theme="3" tint="0.39994506668294322"/>
      </left>
      <right/>
      <top/>
      <bottom style="thick">
        <color theme="3" tint="0.39991454817346722"/>
      </bottom>
      <diagonal/>
    </border>
    <border>
      <left/>
      <right/>
      <top/>
      <bottom style="thick">
        <color theme="3" tint="0.39991454817346722"/>
      </bottom>
      <diagonal/>
    </border>
    <border>
      <left/>
      <right style="thick">
        <color theme="3" tint="0.39994506668294322"/>
      </right>
      <top/>
      <bottom style="thick">
        <color theme="3" tint="0.39991454817346722"/>
      </bottom>
      <diagonal/>
    </border>
    <border>
      <left style="thick">
        <color theme="3" tint="0.39994506668294322"/>
      </left>
      <right/>
      <top style="thick">
        <color theme="3" tint="0.39991454817346722"/>
      </top>
      <bottom/>
      <diagonal/>
    </border>
    <border>
      <left/>
      <right/>
      <top style="thick">
        <color theme="3" tint="0.39991454817346722"/>
      </top>
      <bottom/>
      <diagonal/>
    </border>
    <border>
      <left/>
      <right style="thick">
        <color theme="3" tint="0.39994506668294322"/>
      </right>
      <top style="thick">
        <color theme="3" tint="0.39991454817346722"/>
      </top>
      <bottom/>
      <diagonal/>
    </border>
    <border>
      <left/>
      <right style="thick">
        <color theme="3" tint="0.39991454817346722"/>
      </right>
      <top style="thick">
        <color theme="3" tint="0.39991454817346722"/>
      </top>
      <bottom/>
      <diagonal/>
    </border>
    <border>
      <left/>
      <right style="thick">
        <color theme="3" tint="0.39991454817346722"/>
      </right>
      <top/>
      <bottom style="thick">
        <color theme="3" tint="0.39991454817346722"/>
      </bottom>
      <diagonal/>
    </border>
    <border>
      <left/>
      <right style="thick">
        <color theme="3" tint="0.3999145481734672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3" tint="0.39994506668294322"/>
      </left>
      <right style="thin">
        <color theme="0" tint="-0.499984740745262"/>
      </right>
      <top style="thin">
        <color theme="0" tint="-0.499984740745262"/>
      </top>
      <bottom style="thin">
        <color theme="0" tint="-0.499984740745262"/>
      </bottom>
      <diagonal/>
    </border>
  </borders>
  <cellStyleXfs count="114">
    <xf numFmtId="0" fontId="0" fillId="0" borderId="0"/>
    <xf numFmtId="38" fontId="5" fillId="2" borderId="0" applyNumberFormat="0" applyBorder="0" applyAlignment="0" applyProtection="0"/>
    <xf numFmtId="0" fontId="6" fillId="0" borderId="1" applyNumberFormat="0" applyAlignment="0" applyProtection="0">
      <alignment horizontal="left" vertical="center"/>
    </xf>
    <xf numFmtId="0" fontId="6" fillId="0" borderId="2">
      <alignment horizontal="left" vertical="center"/>
    </xf>
    <xf numFmtId="10" fontId="5" fillId="3" borderId="3" applyNumberFormat="0" applyBorder="0" applyAlignment="0" applyProtection="0"/>
    <xf numFmtId="165" fontId="7" fillId="0" borderId="0" applyFont="0" applyFill="0" applyBorder="0" applyAlignment="0" applyProtection="0"/>
    <xf numFmtId="164" fontId="7" fillId="0" borderId="0" applyFont="0" applyFill="0" applyBorder="0" applyAlignment="0" applyProtection="0"/>
    <xf numFmtId="168" fontId="8" fillId="0" borderId="0"/>
    <xf numFmtId="0" fontId="11" fillId="0" borderId="0"/>
    <xf numFmtId="0" fontId="11" fillId="0" borderId="0"/>
    <xf numFmtId="0" fontId="11" fillId="0" borderId="0"/>
    <xf numFmtId="0" fontId="11" fillId="0" borderId="0"/>
    <xf numFmtId="0" fontId="11" fillId="0" borderId="0"/>
    <xf numFmtId="10" fontId="7" fillId="0" borderId="0" applyFont="0" applyFill="0" applyBorder="0" applyAlignment="0" applyProtection="0"/>
    <xf numFmtId="9" fontId="7" fillId="0" borderId="0" applyFont="0" applyFill="0" applyBorder="0" applyAlignment="0" applyProtection="0"/>
    <xf numFmtId="0" fontId="33" fillId="21" borderId="0" applyNumberFormat="0" applyBorder="0" applyAlignment="0" applyProtection="0"/>
    <xf numFmtId="0" fontId="36" fillId="23" borderId="0" applyNumberFormat="0" applyBorder="0" applyAlignment="0" applyProtection="0"/>
    <xf numFmtId="0" fontId="36" fillId="24"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36" fillId="29" borderId="0" applyNumberFormat="0" applyBorder="0" applyAlignment="0" applyProtection="0"/>
    <xf numFmtId="0" fontId="42" fillId="32" borderId="0" applyNumberFormat="0" applyBorder="0" applyAlignment="0" applyProtection="0"/>
    <xf numFmtId="43" fontId="43" fillId="0" borderId="0" applyFont="0" applyFill="0" applyBorder="0" applyAlignment="0" applyProtection="0"/>
    <xf numFmtId="0" fontId="7" fillId="0" borderId="0"/>
    <xf numFmtId="43" fontId="7" fillId="0" borderId="0" applyFont="0" applyFill="0" applyBorder="0" applyAlignment="0" applyProtection="0"/>
    <xf numFmtId="0" fontId="49" fillId="0" borderId="0"/>
    <xf numFmtId="0" fontId="50" fillId="0" borderId="0" applyNumberFormat="0" applyFill="0" applyBorder="0" applyAlignment="0" applyProtection="0">
      <alignment vertical="top"/>
      <protection locked="0"/>
    </xf>
    <xf numFmtId="0" fontId="52" fillId="0" borderId="0" applyNumberFormat="0" applyFill="0" applyBorder="0" applyAlignment="0" applyProtection="0"/>
    <xf numFmtId="0" fontId="54" fillId="37" borderId="0" applyNumberFormat="0" applyBorder="0" applyAlignment="0" applyProtection="0"/>
    <xf numFmtId="0" fontId="3" fillId="0" borderId="0"/>
    <xf numFmtId="0" fontId="55"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36" fillId="23" borderId="0" applyNumberFormat="0" applyBorder="0" applyAlignment="0" applyProtection="0"/>
    <xf numFmtId="0" fontId="36" fillId="24"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36" fillId="29" borderId="0" applyNumberFormat="0" applyBorder="0" applyAlignment="0" applyProtection="0"/>
    <xf numFmtId="0" fontId="42" fillId="32" borderId="0" applyNumberFormat="0" applyBorder="0" applyAlignment="0" applyProtection="0"/>
    <xf numFmtId="0" fontId="3" fillId="0" borderId="0"/>
    <xf numFmtId="0" fontId="2" fillId="0" borderId="0"/>
    <xf numFmtId="0" fontId="55"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55" fillId="0" borderId="0"/>
    <xf numFmtId="0" fontId="36" fillId="23" borderId="0" applyNumberFormat="0" applyBorder="0" applyAlignment="0" applyProtection="0"/>
    <xf numFmtId="0" fontId="36" fillId="24"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36" fillId="29" borderId="0" applyNumberFormat="0" applyBorder="0" applyAlignment="0" applyProtection="0"/>
    <xf numFmtId="0" fontId="42" fillId="32" borderId="0" applyNumberFormat="0" applyBorder="0" applyAlignment="0" applyProtection="0"/>
    <xf numFmtId="0" fontId="2" fillId="0" borderId="0"/>
    <xf numFmtId="165" fontId="7" fillId="0" borderId="0" applyFont="0" applyFill="0" applyBorder="0" applyAlignment="0" applyProtection="0"/>
    <xf numFmtId="0" fontId="2" fillId="0" borderId="0"/>
    <xf numFmtId="0" fontId="2" fillId="0" borderId="0"/>
    <xf numFmtId="0" fontId="2" fillId="0" borderId="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7" fillId="0" borderId="0"/>
    <xf numFmtId="0" fontId="55" fillId="0" borderId="0"/>
    <xf numFmtId="165" fontId="7" fillId="0" borderId="0" applyFont="0" applyFill="0" applyBorder="0" applyAlignment="0" applyProtection="0"/>
    <xf numFmtId="165" fontId="7" fillId="0" borderId="0" applyFont="0" applyFill="0" applyBorder="0" applyAlignment="0" applyProtection="0"/>
    <xf numFmtId="0" fontId="55" fillId="0" borderId="0"/>
    <xf numFmtId="0" fontId="55" fillId="0" borderId="0"/>
    <xf numFmtId="0" fontId="55" fillId="0" borderId="0"/>
    <xf numFmtId="0" fontId="55" fillId="0" borderId="0"/>
    <xf numFmtId="0" fontId="55" fillId="0" borderId="0"/>
    <xf numFmtId="165" fontId="7" fillId="0" borderId="0" applyFont="0" applyFill="0" applyBorder="0" applyAlignment="0" applyProtection="0"/>
    <xf numFmtId="0" fontId="57" fillId="0" borderId="0" applyNumberFormat="0" applyFill="0" applyBorder="0" applyAlignment="0" applyProtection="0"/>
    <xf numFmtId="0" fontId="58" fillId="0" borderId="81" applyNumberFormat="0" applyFill="0" applyAlignment="0" applyProtection="0"/>
    <xf numFmtId="0" fontId="59" fillId="0" borderId="82" applyNumberFormat="0" applyFill="0" applyAlignment="0" applyProtection="0"/>
    <xf numFmtId="0" fontId="60" fillId="0" borderId="83" applyNumberFormat="0" applyFill="0" applyAlignment="0" applyProtection="0"/>
    <xf numFmtId="0" fontId="60" fillId="0" borderId="0" applyNumberFormat="0" applyFill="0" applyBorder="0" applyAlignment="0" applyProtection="0"/>
    <xf numFmtId="0" fontId="61" fillId="42" borderId="0" applyNumberFormat="0" applyBorder="0" applyAlignment="0" applyProtection="0"/>
    <xf numFmtId="0" fontId="62" fillId="43" borderId="84" applyNumberFormat="0" applyAlignment="0" applyProtection="0"/>
    <xf numFmtId="0" fontId="63" fillId="44" borderId="85" applyNumberFormat="0" applyAlignment="0" applyProtection="0"/>
    <xf numFmtId="0" fontId="64" fillId="44" borderId="84" applyNumberFormat="0" applyAlignment="0" applyProtection="0"/>
    <xf numFmtId="0" fontId="65" fillId="0" borderId="86" applyNumberFormat="0" applyFill="0" applyAlignment="0" applyProtection="0"/>
    <xf numFmtId="0" fontId="66" fillId="45" borderId="87" applyNumberFormat="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0" borderId="89" applyNumberFormat="0" applyFill="0" applyAlignment="0" applyProtection="0"/>
    <xf numFmtId="0" fontId="1" fillId="47" borderId="0" applyNumberFormat="0" applyBorder="0" applyAlignment="0" applyProtection="0"/>
    <xf numFmtId="0" fontId="1" fillId="48" borderId="0" applyNumberFormat="0" applyBorder="0" applyAlignment="0" applyProtection="0"/>
    <xf numFmtId="0" fontId="33"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33" fillId="52" borderId="0" applyNumberFormat="0" applyBorder="0" applyAlignment="0" applyProtection="0"/>
    <xf numFmtId="0" fontId="1" fillId="53" borderId="0" applyNumberFormat="0" applyBorder="0" applyAlignment="0" applyProtection="0"/>
    <xf numFmtId="0" fontId="1" fillId="54" borderId="0" applyNumberFormat="0" applyBorder="0" applyAlignment="0" applyProtection="0"/>
    <xf numFmtId="0" fontId="33"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33"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33" fillId="63" borderId="0" applyNumberFormat="0" applyBorder="0" applyAlignment="0" applyProtection="0"/>
    <xf numFmtId="0" fontId="1" fillId="0" borderId="0"/>
    <xf numFmtId="0" fontId="70" fillId="32" borderId="0" applyNumberFormat="0" applyBorder="0" applyAlignment="0" applyProtection="0"/>
    <xf numFmtId="0" fontId="1" fillId="46" borderId="88" applyNumberFormat="0" applyFont="0" applyAlignment="0" applyProtection="0"/>
    <xf numFmtId="0" fontId="33" fillId="23" borderId="0" applyNumberFormat="0" applyBorder="0" applyAlignment="0" applyProtection="0"/>
    <xf numFmtId="0" fontId="33" fillId="26" borderId="0" applyNumberFormat="0" applyBorder="0" applyAlignment="0" applyProtection="0"/>
    <xf numFmtId="0" fontId="33" fillId="24" borderId="0" applyNumberFormat="0" applyBorder="0" applyAlignment="0" applyProtection="0"/>
    <xf numFmtId="0" fontId="33" fillId="27" borderId="0" applyNumberFormat="0" applyBorder="0" applyAlignment="0" applyProtection="0"/>
    <xf numFmtId="0" fontId="33" fillId="28" borderId="0" applyNumberFormat="0" applyBorder="0" applyAlignment="0" applyProtection="0"/>
    <xf numFmtId="0" fontId="33" fillId="29" borderId="0" applyNumberFormat="0" applyBorder="0" applyAlignment="0" applyProtection="0"/>
  </cellStyleXfs>
  <cellXfs count="659">
    <xf numFmtId="0" fontId="0" fillId="0" borderId="0" xfId="0"/>
    <xf numFmtId="0" fontId="0" fillId="0" borderId="0" xfId="0" applyAlignment="1">
      <alignment horizontal="center"/>
    </xf>
    <xf numFmtId="0" fontId="4" fillId="2" borderId="4" xfId="0" applyFont="1" applyFill="1" applyBorder="1" applyAlignment="1">
      <alignment horizontal="centerContinuous"/>
    </xf>
    <xf numFmtId="0" fontId="4" fillId="2" borderId="1" xfId="0" applyFont="1" applyFill="1" applyBorder="1" applyAlignment="1">
      <alignment horizontal="centerContinuous"/>
    </xf>
    <xf numFmtId="0" fontId="4" fillId="2" borderId="5" xfId="0" applyFont="1" applyFill="1" applyBorder="1" applyAlignment="1">
      <alignment horizontal="centerContinuous"/>
    </xf>
    <xf numFmtId="166" fontId="4" fillId="0" borderId="0" xfId="5" applyNumberFormat="1" applyFont="1" applyBorder="1"/>
    <xf numFmtId="0" fontId="4" fillId="2" borderId="6" xfId="0" applyFont="1" applyFill="1" applyBorder="1" applyAlignment="1">
      <alignment horizontal="center"/>
    </xf>
    <xf numFmtId="0" fontId="4" fillId="2" borderId="7" xfId="0" applyFont="1" applyFill="1" applyBorder="1"/>
    <xf numFmtId="0" fontId="4" fillId="2" borderId="8" xfId="0" applyFont="1" applyFill="1" applyBorder="1"/>
    <xf numFmtId="0" fontId="0" fillId="0" borderId="9" xfId="0" applyBorder="1" applyAlignment="1">
      <alignment horizontal="center"/>
    </xf>
    <xf numFmtId="166" fontId="4" fillId="0" borderId="10" xfId="5" applyNumberFormat="1" applyFont="1" applyBorder="1"/>
    <xf numFmtId="0" fontId="0" fillId="0" borderId="11" xfId="0" applyBorder="1" applyAlignment="1">
      <alignment horizontal="center"/>
    </xf>
    <xf numFmtId="0" fontId="0" fillId="2" borderId="12" xfId="0" applyFill="1" applyBorder="1" applyAlignment="1">
      <alignment horizontal="center"/>
    </xf>
    <xf numFmtId="166" fontId="4" fillId="2" borderId="13" xfId="5" applyNumberFormat="1" applyFont="1" applyFill="1" applyBorder="1"/>
    <xf numFmtId="166" fontId="4" fillId="2" borderId="14" xfId="5" applyNumberFormat="1" applyFont="1" applyFill="1" applyBorder="1"/>
    <xf numFmtId="0" fontId="4" fillId="2" borderId="0" xfId="0" applyFont="1" applyFill="1" applyAlignment="1">
      <alignment horizontal="centerContinuous"/>
    </xf>
    <xf numFmtId="0" fontId="4" fillId="2" borderId="0" xfId="0" applyFont="1" applyFill="1"/>
    <xf numFmtId="166" fontId="4" fillId="2" borderId="0" xfId="5" applyNumberFormat="1" applyFont="1" applyFill="1" applyBorder="1"/>
    <xf numFmtId="166" fontId="0" fillId="0" borderId="0" xfId="0" applyNumberFormat="1"/>
    <xf numFmtId="0" fontId="0" fillId="0" borderId="22" xfId="0" applyBorder="1" applyAlignment="1">
      <alignment horizontal="center"/>
    </xf>
    <xf numFmtId="0" fontId="12" fillId="0" borderId="0" xfId="0" applyFont="1" applyProtection="1">
      <protection locked="0"/>
    </xf>
    <xf numFmtId="0" fontId="15" fillId="0" borderId="0" xfId="0" applyFont="1" applyAlignment="1">
      <alignment horizontal="left" vertical="center"/>
    </xf>
    <xf numFmtId="0" fontId="15" fillId="0" borderId="0" xfId="0" applyFont="1" applyAlignment="1">
      <alignment horizontal="left"/>
    </xf>
    <xf numFmtId="0" fontId="16" fillId="0" borderId="0" xfId="0" applyFont="1"/>
    <xf numFmtId="0" fontId="17" fillId="0" borderId="0" xfId="0" applyFont="1" applyAlignment="1" applyProtection="1">
      <alignment horizontal="center" vertical="center"/>
      <protection locked="0"/>
    </xf>
    <xf numFmtId="0" fontId="18" fillId="0" borderId="0" xfId="0" applyFont="1" applyAlignment="1" applyProtection="1">
      <alignment vertical="center"/>
      <protection locked="0"/>
    </xf>
    <xf numFmtId="0" fontId="13" fillId="0" borderId="0" xfId="0" applyFont="1" applyAlignment="1" applyProtection="1">
      <alignment horizontal="center"/>
      <protection locked="0"/>
    </xf>
    <xf numFmtId="0" fontId="20" fillId="0" borderId="0" xfId="0" applyFont="1" applyAlignment="1">
      <alignment horizontal="center"/>
    </xf>
    <xf numFmtId="0" fontId="12" fillId="0" borderId="0" xfId="0" applyFont="1"/>
    <xf numFmtId="10" fontId="13" fillId="0" borderId="0" xfId="0" applyNumberFormat="1" applyFont="1" applyAlignment="1">
      <alignment horizontal="center"/>
    </xf>
    <xf numFmtId="173" fontId="12" fillId="0" borderId="0" xfId="0" applyNumberFormat="1" applyFont="1"/>
    <xf numFmtId="4" fontId="13" fillId="0" borderId="0" xfId="0" applyNumberFormat="1" applyFont="1" applyAlignment="1">
      <alignment horizontal="center"/>
    </xf>
    <xf numFmtId="4" fontId="20" fillId="0" borderId="0" xfId="0" applyNumberFormat="1" applyFont="1" applyAlignment="1">
      <alignment horizontal="center"/>
    </xf>
    <xf numFmtId="4" fontId="12" fillId="0" borderId="0" xfId="0" applyNumberFormat="1" applyFont="1" applyAlignment="1">
      <alignment horizontal="center"/>
    </xf>
    <xf numFmtId="173" fontId="12" fillId="0" borderId="0" xfId="0" applyNumberFormat="1" applyFont="1" applyProtection="1">
      <protection locked="0"/>
    </xf>
    <xf numFmtId="4" fontId="22" fillId="0" borderId="0" xfId="0" applyNumberFormat="1" applyFont="1" applyAlignment="1">
      <alignment horizontal="center"/>
    </xf>
    <xf numFmtId="173" fontId="12" fillId="0" borderId="0" xfId="0" applyNumberFormat="1" applyFont="1" applyAlignment="1">
      <alignment horizontal="center"/>
    </xf>
    <xf numFmtId="0" fontId="22" fillId="0" borderId="0" xfId="0" applyFont="1"/>
    <xf numFmtId="0" fontId="15" fillId="0" borderId="0" xfId="0" applyFont="1"/>
    <xf numFmtId="10" fontId="15" fillId="0" borderId="0" xfId="0" applyNumberFormat="1" applyFont="1"/>
    <xf numFmtId="165" fontId="12" fillId="0" borderId="0" xfId="5" applyFont="1" applyFill="1" applyBorder="1" applyProtection="1"/>
    <xf numFmtId="4" fontId="12" fillId="0" borderId="0" xfId="0" applyNumberFormat="1" applyFont="1"/>
    <xf numFmtId="0" fontId="12" fillId="0" borderId="0" xfId="0" applyFont="1" applyAlignment="1">
      <alignment vertical="center"/>
    </xf>
    <xf numFmtId="0" fontId="12" fillId="0" borderId="37" xfId="0" applyFont="1" applyBorder="1" applyAlignment="1">
      <alignment vertical="center"/>
    </xf>
    <xf numFmtId="166" fontId="12" fillId="0" borderId="0" xfId="5" applyNumberFormat="1" applyFont="1" applyFill="1" applyBorder="1" applyAlignment="1" applyProtection="1">
      <alignment horizontal="center" vertical="center"/>
    </xf>
    <xf numFmtId="0" fontId="28" fillId="0" borderId="33" xfId="0" applyFont="1" applyBorder="1" applyAlignment="1" applyProtection="1">
      <alignment horizontal="center" vertical="center"/>
      <protection locked="0" hidden="1"/>
    </xf>
    <xf numFmtId="0" fontId="28" fillId="0" borderId="21" xfId="0" applyFont="1" applyBorder="1" applyAlignment="1" applyProtection="1">
      <alignment horizontal="center" vertical="center"/>
      <protection locked="0" hidden="1"/>
    </xf>
    <xf numFmtId="0" fontId="29" fillId="0" borderId="34" xfId="0" applyFont="1" applyBorder="1" applyAlignment="1" applyProtection="1">
      <alignment horizontal="center" vertical="center"/>
      <protection hidden="1"/>
    </xf>
    <xf numFmtId="0" fontId="29" fillId="0" borderId="31" xfId="0" applyFont="1" applyBorder="1" applyAlignment="1" applyProtection="1">
      <alignment horizontal="center" vertical="center"/>
      <protection hidden="1"/>
    </xf>
    <xf numFmtId="14" fontId="13" fillId="0" borderId="54" xfId="0" applyNumberFormat="1" applyFont="1" applyBorder="1" applyAlignment="1" applyProtection="1">
      <alignment horizontal="center" vertical="center"/>
      <protection locked="0" hidden="1"/>
    </xf>
    <xf numFmtId="166" fontId="13" fillId="0" borderId="0" xfId="5" applyNumberFormat="1" applyFont="1" applyFill="1" applyBorder="1" applyAlignment="1" applyProtection="1">
      <alignment horizontal="center" vertical="center"/>
      <protection locked="0" hidden="1"/>
    </xf>
    <xf numFmtId="0" fontId="13" fillId="0" borderId="0" xfId="0" applyFont="1" applyAlignment="1" applyProtection="1">
      <alignment horizontal="center" vertical="center"/>
      <protection locked="0" hidden="1"/>
    </xf>
    <xf numFmtId="0" fontId="13" fillId="0" borderId="0" xfId="0" applyFont="1" applyAlignment="1" applyProtection="1">
      <alignment horizontal="center" vertical="center"/>
      <protection hidden="1"/>
    </xf>
    <xf numFmtId="0" fontId="12" fillId="0" borderId="0" xfId="0" applyFont="1" applyAlignment="1">
      <alignment horizontal="center" vertical="center"/>
    </xf>
    <xf numFmtId="0" fontId="16" fillId="0" borderId="0" xfId="0" applyFont="1" applyProtection="1">
      <protection locked="0"/>
    </xf>
    <xf numFmtId="9" fontId="16" fillId="0" borderId="0" xfId="0" applyNumberFormat="1" applyFont="1" applyProtection="1">
      <protection locked="0"/>
    </xf>
    <xf numFmtId="4" fontId="16" fillId="0" borderId="0" xfId="0" applyNumberFormat="1" applyFont="1"/>
    <xf numFmtId="169" fontId="16" fillId="0" borderId="0" xfId="0" applyNumberFormat="1" applyFont="1"/>
    <xf numFmtId="0" fontId="32" fillId="0" borderId="0" xfId="0" applyFont="1" applyProtection="1">
      <protection locked="0"/>
    </xf>
    <xf numFmtId="165" fontId="32" fillId="10" borderId="21" xfId="5" applyFont="1" applyFill="1" applyBorder="1" applyAlignment="1" applyProtection="1">
      <alignment horizontal="center" vertical="center"/>
      <protection hidden="1"/>
    </xf>
    <xf numFmtId="0" fontId="32" fillId="0" borderId="0" xfId="0" applyFont="1"/>
    <xf numFmtId="0" fontId="33" fillId="26" borderId="3" xfId="18" applyFont="1" applyBorder="1"/>
    <xf numFmtId="0" fontId="33" fillId="24" borderId="3" xfId="17" applyFont="1" applyBorder="1"/>
    <xf numFmtId="0" fontId="33" fillId="27" borderId="3" xfId="19" applyFont="1" applyBorder="1"/>
    <xf numFmtId="165" fontId="33" fillId="29" borderId="3" xfId="21" applyNumberFormat="1" applyFont="1" applyBorder="1" applyProtection="1">
      <protection locked="0"/>
    </xf>
    <xf numFmtId="10" fontId="33" fillId="29" borderId="3" xfId="21" applyNumberFormat="1" applyFont="1" applyBorder="1" applyProtection="1">
      <protection locked="0"/>
    </xf>
    <xf numFmtId="171" fontId="33" fillId="29" borderId="3" xfId="21" applyNumberFormat="1" applyFont="1" applyBorder="1" applyProtection="1">
      <protection locked="0"/>
    </xf>
    <xf numFmtId="0" fontId="16" fillId="30" borderId="3" xfId="0" applyFont="1" applyFill="1" applyBorder="1" applyProtection="1">
      <protection locked="0"/>
    </xf>
    <xf numFmtId="166" fontId="16" fillId="17" borderId="3" xfId="5" applyNumberFormat="1" applyFont="1" applyFill="1" applyBorder="1" applyAlignment="1" applyProtection="1">
      <alignment vertical="center"/>
      <protection locked="0"/>
    </xf>
    <xf numFmtId="165" fontId="16" fillId="17" borderId="3" xfId="5" applyFont="1" applyFill="1" applyBorder="1" applyProtection="1">
      <protection locked="0"/>
    </xf>
    <xf numFmtId="0" fontId="0" fillId="25" borderId="58" xfId="0" applyFill="1" applyBorder="1" applyAlignment="1">
      <alignment horizontal="center"/>
    </xf>
    <xf numFmtId="0" fontId="0" fillId="25" borderId="59" xfId="0" applyFill="1" applyBorder="1" applyAlignment="1">
      <alignment horizontal="center"/>
    </xf>
    <xf numFmtId="0" fontId="4" fillId="2" borderId="1" xfId="0" applyFont="1" applyFill="1" applyBorder="1" applyAlignment="1">
      <alignment horizontal="left"/>
    </xf>
    <xf numFmtId="0" fontId="4" fillId="2" borderId="66" xfId="0" applyFont="1" applyFill="1" applyBorder="1" applyAlignment="1">
      <alignment horizontal="center"/>
    </xf>
    <xf numFmtId="0" fontId="0" fillId="0" borderId="67" xfId="0" applyBorder="1" applyAlignment="1">
      <alignment horizontal="center"/>
    </xf>
    <xf numFmtId="0" fontId="0" fillId="0" borderId="26" xfId="0" applyBorder="1" applyAlignment="1">
      <alignment horizontal="center"/>
    </xf>
    <xf numFmtId="0" fontId="0" fillId="31" borderId="3" xfId="0" applyFill="1" applyBorder="1" applyAlignment="1">
      <alignment horizontal="center"/>
    </xf>
    <xf numFmtId="0" fontId="0" fillId="31" borderId="3" xfId="0" applyFill="1" applyBorder="1"/>
    <xf numFmtId="0" fontId="28" fillId="0" borderId="32" xfId="5" applyNumberFormat="1" applyFont="1" applyFill="1" applyBorder="1" applyAlignment="1" applyProtection="1">
      <alignment horizontal="center" vertical="center"/>
      <protection locked="0" hidden="1"/>
    </xf>
    <xf numFmtId="0" fontId="28" fillId="0" borderId="30" xfId="5" applyNumberFormat="1" applyFont="1" applyFill="1" applyBorder="1" applyAlignment="1" applyProtection="1">
      <alignment horizontal="center" vertical="center"/>
      <protection locked="0" hidden="1"/>
    </xf>
    <xf numFmtId="0" fontId="29" fillId="0" borderId="69" xfId="0" applyFont="1" applyBorder="1" applyAlignment="1" applyProtection="1">
      <alignment horizontal="center" vertical="center"/>
      <protection hidden="1"/>
    </xf>
    <xf numFmtId="0" fontId="41" fillId="0" borderId="0" xfId="0" applyFont="1" applyProtection="1">
      <protection hidden="1"/>
    </xf>
    <xf numFmtId="166" fontId="4" fillId="2" borderId="14" xfId="5" applyNumberFormat="1" applyFont="1" applyFill="1" applyBorder="1" applyAlignment="1">
      <alignment horizontal="center" vertical="center"/>
    </xf>
    <xf numFmtId="0" fontId="36" fillId="23" borderId="3" xfId="16" applyBorder="1"/>
    <xf numFmtId="14" fontId="36" fillId="23" borderId="3" xfId="16" applyNumberFormat="1" applyBorder="1"/>
    <xf numFmtId="0" fontId="41" fillId="0" borderId="0" xfId="0" applyFont="1" applyAlignment="1" applyProtection="1">
      <alignment horizontal="left"/>
      <protection hidden="1"/>
    </xf>
    <xf numFmtId="0" fontId="14" fillId="14" borderId="0" xfId="0" applyFont="1" applyFill="1" applyAlignment="1">
      <alignment horizontal="center" vertical="center"/>
    </xf>
    <xf numFmtId="174" fontId="14" fillId="13" borderId="0" xfId="5" applyNumberFormat="1" applyFont="1" applyFill="1" applyBorder="1" applyAlignment="1" applyProtection="1">
      <alignment horizontal="center" vertical="center"/>
      <protection locked="0" hidden="1"/>
    </xf>
    <xf numFmtId="0" fontId="37" fillId="2" borderId="9" xfId="0" applyFont="1" applyFill="1" applyBorder="1" applyAlignment="1" applyProtection="1">
      <alignment horizontal="centerContinuous"/>
      <protection locked="0" hidden="1"/>
    </xf>
    <xf numFmtId="0" fontId="37" fillId="2" borderId="10" xfId="0" applyFont="1" applyFill="1" applyBorder="1" applyAlignment="1" applyProtection="1">
      <alignment horizontal="centerContinuous"/>
      <protection locked="0" hidden="1"/>
    </xf>
    <xf numFmtId="0" fontId="37" fillId="2" borderId="18" xfId="0" applyFont="1" applyFill="1" applyBorder="1" applyAlignment="1" applyProtection="1">
      <alignment horizontal="centerContinuous"/>
      <protection locked="0" hidden="1"/>
    </xf>
    <xf numFmtId="0" fontId="32" fillId="0" borderId="0" xfId="0" applyFont="1" applyProtection="1">
      <protection hidden="1"/>
    </xf>
    <xf numFmtId="0" fontId="32" fillId="0" borderId="0" xfId="0" applyFont="1" applyProtection="1">
      <protection locked="0" hidden="1"/>
    </xf>
    <xf numFmtId="1" fontId="32" fillId="14" borderId="16" xfId="0" applyNumberFormat="1" applyFont="1" applyFill="1" applyBorder="1" applyAlignment="1" applyProtection="1">
      <alignment horizontal="center"/>
      <protection locked="0" hidden="1"/>
    </xf>
    <xf numFmtId="173" fontId="32" fillId="14" borderId="16" xfId="0" applyNumberFormat="1" applyFont="1" applyFill="1" applyBorder="1" applyAlignment="1" applyProtection="1">
      <alignment horizontal="centerContinuous"/>
      <protection locked="0" hidden="1"/>
    </xf>
    <xf numFmtId="165" fontId="32" fillId="17" borderId="3" xfId="5" applyFont="1" applyFill="1" applyBorder="1" applyProtection="1">
      <protection locked="0" hidden="1"/>
    </xf>
    <xf numFmtId="173" fontId="32" fillId="17" borderId="16" xfId="0" applyNumberFormat="1" applyFont="1" applyFill="1" applyBorder="1" applyAlignment="1" applyProtection="1">
      <alignment horizontal="centerContinuous"/>
      <protection locked="0" hidden="1"/>
    </xf>
    <xf numFmtId="0" fontId="32" fillId="17" borderId="16" xfId="0" applyFont="1" applyFill="1" applyBorder="1" applyAlignment="1" applyProtection="1">
      <alignment horizontal="centerContinuous"/>
      <protection locked="0" hidden="1"/>
    </xf>
    <xf numFmtId="0" fontId="32" fillId="17" borderId="17" xfId="0" applyFont="1" applyFill="1" applyBorder="1" applyAlignment="1" applyProtection="1">
      <alignment horizontal="centerContinuous"/>
      <protection locked="0" hidden="1"/>
    </xf>
    <xf numFmtId="173" fontId="32" fillId="16" borderId="16" xfId="0" applyNumberFormat="1" applyFont="1" applyFill="1" applyBorder="1" applyAlignment="1" applyProtection="1">
      <alignment horizontal="center"/>
      <protection locked="0" hidden="1"/>
    </xf>
    <xf numFmtId="0" fontId="32" fillId="16" borderId="16" xfId="0" applyFont="1" applyFill="1" applyBorder="1" applyAlignment="1" applyProtection="1">
      <alignment horizontal="centerContinuous"/>
      <protection locked="0" hidden="1"/>
    </xf>
    <xf numFmtId="0" fontId="32" fillId="16" borderId="17" xfId="0" applyFont="1" applyFill="1" applyBorder="1" applyAlignment="1" applyProtection="1">
      <alignment horizontal="centerContinuous"/>
      <protection locked="0" hidden="1"/>
    </xf>
    <xf numFmtId="0" fontId="32" fillId="18" borderId="16" xfId="0" applyFont="1" applyFill="1" applyBorder="1" applyAlignment="1" applyProtection="1">
      <alignment horizontal="centerContinuous"/>
      <protection locked="0" hidden="1"/>
    </xf>
    <xf numFmtId="0" fontId="32" fillId="18" borderId="17" xfId="0" applyFont="1" applyFill="1" applyBorder="1" applyAlignment="1" applyProtection="1">
      <alignment horizontal="centerContinuous"/>
      <protection locked="0" hidden="1"/>
    </xf>
    <xf numFmtId="0" fontId="32" fillId="19" borderId="16" xfId="0" applyFont="1" applyFill="1" applyBorder="1" applyAlignment="1" applyProtection="1">
      <alignment horizontal="centerContinuous"/>
      <protection locked="0" hidden="1"/>
    </xf>
    <xf numFmtId="0" fontId="32" fillId="19" borderId="17" xfId="0" applyFont="1" applyFill="1" applyBorder="1" applyAlignment="1" applyProtection="1">
      <alignment horizontal="centerContinuous"/>
      <protection locked="0" hidden="1"/>
    </xf>
    <xf numFmtId="0" fontId="32" fillId="15" borderId="16" xfId="0" applyFont="1" applyFill="1" applyBorder="1" applyAlignment="1" applyProtection="1">
      <alignment horizontal="centerContinuous"/>
      <protection locked="0" hidden="1"/>
    </xf>
    <xf numFmtId="0" fontId="32" fillId="15" borderId="17" xfId="0" applyFont="1" applyFill="1" applyBorder="1" applyAlignment="1" applyProtection="1">
      <alignment horizontal="centerContinuous"/>
      <protection locked="0" hidden="1"/>
    </xf>
    <xf numFmtId="0" fontId="32" fillId="0" borderId="3" xfId="0" applyFont="1" applyBorder="1" applyAlignment="1" applyProtection="1">
      <alignment horizontal="right"/>
      <protection locked="0" hidden="1"/>
    </xf>
    <xf numFmtId="169" fontId="38" fillId="6" borderId="35" xfId="0" applyNumberFormat="1" applyFont="1" applyFill="1" applyBorder="1" applyAlignment="1" applyProtection="1">
      <alignment horizontal="center"/>
      <protection locked="0" hidden="1"/>
    </xf>
    <xf numFmtId="0" fontId="38" fillId="6" borderId="33" xfId="0" applyFont="1" applyFill="1" applyBorder="1" applyAlignment="1" applyProtection="1">
      <alignment horizontal="centerContinuous"/>
      <protection locked="0" hidden="1"/>
    </xf>
    <xf numFmtId="0" fontId="38" fillId="6" borderId="34" xfId="0" applyFont="1" applyFill="1" applyBorder="1" applyAlignment="1" applyProtection="1">
      <alignment horizontal="centerContinuous"/>
      <protection locked="0" hidden="1"/>
    </xf>
    <xf numFmtId="0" fontId="37" fillId="8" borderId="35" xfId="0" applyFont="1" applyFill="1" applyBorder="1" applyAlignment="1" applyProtection="1">
      <alignment horizontal="centerContinuous"/>
      <protection locked="0" hidden="1"/>
    </xf>
    <xf numFmtId="0" fontId="37" fillId="8" borderId="33" xfId="0" applyFont="1" applyFill="1" applyBorder="1" applyAlignment="1" applyProtection="1">
      <alignment horizontal="centerContinuous"/>
      <protection locked="0" hidden="1"/>
    </xf>
    <xf numFmtId="0" fontId="37" fillId="8" borderId="34" xfId="0" applyFont="1" applyFill="1" applyBorder="1" applyAlignment="1" applyProtection="1">
      <alignment horizontal="centerContinuous"/>
      <protection locked="0" hidden="1"/>
    </xf>
    <xf numFmtId="0" fontId="32" fillId="0" borderId="9" xfId="0" applyFont="1" applyBorder="1" applyAlignment="1" applyProtection="1">
      <alignment horizontal="center"/>
      <protection locked="0" hidden="1"/>
    </xf>
    <xf numFmtId="0" fontId="32" fillId="0" borderId="3" xfId="0" applyFont="1" applyBorder="1" applyAlignment="1" applyProtection="1">
      <alignment horizontal="centerContinuous"/>
      <protection locked="0" hidden="1"/>
    </xf>
    <xf numFmtId="0" fontId="32" fillId="0" borderId="3" xfId="0" applyFont="1" applyBorder="1" applyAlignment="1" applyProtection="1">
      <alignment horizontal="center"/>
      <protection locked="0" hidden="1"/>
    </xf>
    <xf numFmtId="0" fontId="32" fillId="14" borderId="3" xfId="0" applyFont="1" applyFill="1" applyBorder="1" applyAlignment="1" applyProtection="1">
      <alignment horizontal="center"/>
      <protection locked="0" hidden="1"/>
    </xf>
    <xf numFmtId="0" fontId="32" fillId="14" borderId="3" xfId="0" applyFont="1" applyFill="1" applyBorder="1" applyAlignment="1" applyProtection="1">
      <alignment horizontal="centerContinuous"/>
      <protection locked="0" hidden="1"/>
    </xf>
    <xf numFmtId="0" fontId="32" fillId="14" borderId="20" xfId="0" applyFont="1" applyFill="1" applyBorder="1" applyAlignment="1" applyProtection="1">
      <alignment horizontal="center"/>
      <protection locked="0" hidden="1"/>
    </xf>
    <xf numFmtId="0" fontId="32" fillId="17" borderId="3" xfId="0" applyFont="1" applyFill="1" applyBorder="1" applyAlignment="1" applyProtection="1">
      <alignment horizontal="center"/>
      <protection locked="0" hidden="1"/>
    </xf>
    <xf numFmtId="0" fontId="32" fillId="17" borderId="3" xfId="0" applyFont="1" applyFill="1" applyBorder="1" applyAlignment="1" applyProtection="1">
      <alignment horizontal="centerContinuous"/>
      <protection locked="0" hidden="1"/>
    </xf>
    <xf numFmtId="0" fontId="32" fillId="17" borderId="20" xfId="0" applyFont="1" applyFill="1" applyBorder="1" applyAlignment="1" applyProtection="1">
      <alignment horizontal="center"/>
      <protection locked="0" hidden="1"/>
    </xf>
    <xf numFmtId="0" fontId="32" fillId="16" borderId="3" xfId="0" applyFont="1" applyFill="1" applyBorder="1" applyAlignment="1" applyProtection="1">
      <alignment horizontal="center"/>
      <protection locked="0" hidden="1"/>
    </xf>
    <xf numFmtId="0" fontId="32" fillId="16" borderId="3" xfId="0" applyFont="1" applyFill="1" applyBorder="1" applyAlignment="1" applyProtection="1">
      <alignment horizontal="centerContinuous"/>
      <protection locked="0" hidden="1"/>
    </xf>
    <xf numFmtId="0" fontId="32" fillId="16" borderId="20" xfId="0" applyFont="1" applyFill="1" applyBorder="1" applyAlignment="1" applyProtection="1">
      <alignment horizontal="center"/>
      <protection locked="0" hidden="1"/>
    </xf>
    <xf numFmtId="0" fontId="32" fillId="18" borderId="3" xfId="0" applyFont="1" applyFill="1" applyBorder="1" applyAlignment="1" applyProtection="1">
      <alignment horizontal="center"/>
      <protection locked="0" hidden="1"/>
    </xf>
    <xf numFmtId="0" fontId="32" fillId="18" borderId="3" xfId="0" applyFont="1" applyFill="1" applyBorder="1" applyAlignment="1" applyProtection="1">
      <alignment horizontal="centerContinuous"/>
      <protection locked="0" hidden="1"/>
    </xf>
    <xf numFmtId="0" fontId="32" fillId="18" borderId="20" xfId="0" applyFont="1" applyFill="1" applyBorder="1" applyAlignment="1" applyProtection="1">
      <alignment horizontal="center"/>
      <protection locked="0" hidden="1"/>
    </xf>
    <xf numFmtId="0" fontId="32" fillId="19" borderId="3" xfId="0" applyFont="1" applyFill="1" applyBorder="1" applyAlignment="1" applyProtection="1">
      <alignment horizontal="center"/>
      <protection locked="0" hidden="1"/>
    </xf>
    <xf numFmtId="0" fontId="32" fillId="19" borderId="3" xfId="0" applyFont="1" applyFill="1" applyBorder="1" applyAlignment="1" applyProtection="1">
      <alignment horizontal="centerContinuous"/>
      <protection locked="0" hidden="1"/>
    </xf>
    <xf numFmtId="0" fontId="32" fillId="19" borderId="20" xfId="0" applyFont="1" applyFill="1" applyBorder="1" applyAlignment="1" applyProtection="1">
      <alignment horizontal="center"/>
      <protection locked="0" hidden="1"/>
    </xf>
    <xf numFmtId="0" fontId="32" fillId="15" borderId="3" xfId="0" applyFont="1" applyFill="1" applyBorder="1" applyAlignment="1" applyProtection="1">
      <alignment horizontal="center"/>
      <protection locked="0" hidden="1"/>
    </xf>
    <xf numFmtId="0" fontId="32" fillId="15" borderId="3" xfId="0" applyFont="1" applyFill="1" applyBorder="1" applyAlignment="1" applyProtection="1">
      <alignment horizontal="centerContinuous"/>
      <protection locked="0" hidden="1"/>
    </xf>
    <xf numFmtId="0" fontId="32" fillId="15" borderId="20" xfId="0" applyFont="1" applyFill="1" applyBorder="1" applyAlignment="1" applyProtection="1">
      <alignment horizontal="center"/>
      <protection locked="0" hidden="1"/>
    </xf>
    <xf numFmtId="165" fontId="32" fillId="7" borderId="21" xfId="5" applyFont="1" applyFill="1" applyBorder="1" applyProtection="1">
      <protection hidden="1"/>
    </xf>
    <xf numFmtId="165" fontId="32" fillId="10" borderId="21" xfId="5" applyFont="1" applyFill="1" applyBorder="1" applyProtection="1">
      <protection hidden="1"/>
    </xf>
    <xf numFmtId="165" fontId="32" fillId="9" borderId="21" xfId="5" applyFont="1" applyFill="1" applyBorder="1" applyProtection="1">
      <protection hidden="1"/>
    </xf>
    <xf numFmtId="165" fontId="32" fillId="10" borderId="31" xfId="5" applyFont="1" applyFill="1" applyBorder="1" applyProtection="1">
      <protection hidden="1"/>
    </xf>
    <xf numFmtId="0" fontId="32" fillId="0" borderId="11" xfId="0" applyFont="1" applyBorder="1" applyAlignment="1" applyProtection="1">
      <alignment horizontal="center"/>
      <protection locked="0" hidden="1"/>
    </xf>
    <xf numFmtId="166" fontId="32" fillId="5" borderId="3" xfId="5" applyNumberFormat="1" applyFont="1" applyFill="1" applyBorder="1" applyProtection="1">
      <protection locked="0" hidden="1"/>
    </xf>
    <xf numFmtId="166" fontId="32" fillId="0" borderId="3" xfId="5" applyNumberFormat="1" applyFont="1" applyBorder="1" applyProtection="1">
      <protection locked="0" hidden="1"/>
    </xf>
    <xf numFmtId="165" fontId="32" fillId="14" borderId="3" xfId="5" applyFont="1" applyFill="1" applyBorder="1" applyProtection="1">
      <protection locked="0" hidden="1"/>
    </xf>
    <xf numFmtId="165" fontId="32" fillId="0" borderId="3" xfId="5" applyFont="1" applyFill="1" applyBorder="1" applyProtection="1">
      <protection locked="0" hidden="1"/>
    </xf>
    <xf numFmtId="165" fontId="32" fillId="14" borderId="3" xfId="5" applyFont="1" applyFill="1" applyBorder="1" applyAlignment="1" applyProtection="1">
      <protection locked="0" hidden="1"/>
    </xf>
    <xf numFmtId="165" fontId="32" fillId="14" borderId="20" xfId="5" applyFont="1" applyFill="1" applyBorder="1" applyAlignment="1" applyProtection="1">
      <protection locked="0" hidden="1"/>
    </xf>
    <xf numFmtId="165" fontId="32" fillId="17" borderId="3" xfId="5" applyFont="1" applyFill="1" applyBorder="1" applyAlignment="1" applyProtection="1">
      <protection locked="0" hidden="1"/>
    </xf>
    <xf numFmtId="165" fontId="32" fillId="17" borderId="20" xfId="5" applyFont="1" applyFill="1" applyBorder="1" applyAlignment="1" applyProtection="1">
      <protection locked="0" hidden="1"/>
    </xf>
    <xf numFmtId="165" fontId="32" fillId="16" borderId="3" xfId="5" applyFont="1" applyFill="1" applyBorder="1" applyProtection="1">
      <protection locked="0" hidden="1"/>
    </xf>
    <xf numFmtId="165" fontId="32" fillId="16" borderId="3" xfId="5" applyFont="1" applyFill="1" applyBorder="1" applyAlignment="1" applyProtection="1">
      <protection locked="0" hidden="1"/>
    </xf>
    <xf numFmtId="165" fontId="32" fillId="16" borderId="20" xfId="5" applyFont="1" applyFill="1" applyBorder="1" applyAlignment="1" applyProtection="1">
      <protection locked="0" hidden="1"/>
    </xf>
    <xf numFmtId="165" fontId="32" fillId="18" borderId="3" xfId="5" applyFont="1" applyFill="1" applyBorder="1" applyProtection="1">
      <protection locked="0" hidden="1"/>
    </xf>
    <xf numFmtId="165" fontId="32" fillId="18" borderId="3" xfId="5" applyFont="1" applyFill="1" applyBorder="1" applyAlignment="1" applyProtection="1">
      <protection locked="0" hidden="1"/>
    </xf>
    <xf numFmtId="165" fontId="32" fillId="18" borderId="20" xfId="5" applyFont="1" applyFill="1" applyBorder="1" applyAlignment="1" applyProtection="1">
      <protection locked="0" hidden="1"/>
    </xf>
    <xf numFmtId="165" fontId="32" fillId="19" borderId="3" xfId="5" applyFont="1" applyFill="1" applyBorder="1" applyProtection="1">
      <protection locked="0" hidden="1"/>
    </xf>
    <xf numFmtId="165" fontId="32" fillId="19" borderId="3" xfId="5" applyFont="1" applyFill="1" applyBorder="1" applyAlignment="1" applyProtection="1">
      <protection locked="0" hidden="1"/>
    </xf>
    <xf numFmtId="165" fontId="32" fillId="19" borderId="20" xfId="5" applyFont="1" applyFill="1" applyBorder="1" applyAlignment="1" applyProtection="1">
      <protection locked="0" hidden="1"/>
    </xf>
    <xf numFmtId="165" fontId="32" fillId="15" borderId="3" xfId="5" applyFont="1" applyFill="1" applyBorder="1" applyProtection="1">
      <protection locked="0" hidden="1"/>
    </xf>
    <xf numFmtId="165" fontId="32" fillId="15" borderId="3" xfId="5" applyFont="1" applyFill="1" applyBorder="1" applyAlignment="1" applyProtection="1">
      <protection locked="0" hidden="1"/>
    </xf>
    <xf numFmtId="165" fontId="32" fillId="15" borderId="20" xfId="5" applyFont="1" applyFill="1" applyBorder="1" applyAlignment="1" applyProtection="1">
      <protection locked="0" hidden="1"/>
    </xf>
    <xf numFmtId="0" fontId="32" fillId="4" borderId="3" xfId="0" applyFont="1" applyFill="1" applyBorder="1" applyAlignment="1" applyProtection="1">
      <alignment horizontal="right"/>
      <protection locked="0" hidden="1"/>
    </xf>
    <xf numFmtId="0" fontId="32" fillId="0" borderId="3" xfId="0" applyFont="1" applyBorder="1" applyProtection="1">
      <protection locked="0" hidden="1"/>
    </xf>
    <xf numFmtId="0" fontId="32" fillId="0" borderId="0" xfId="0" applyFont="1" applyAlignment="1" applyProtection="1">
      <alignment horizontal="right"/>
      <protection locked="0" hidden="1"/>
    </xf>
    <xf numFmtId="166" fontId="32" fillId="0" borderId="30" xfId="5" applyNumberFormat="1" applyFont="1" applyFill="1" applyBorder="1" applyAlignment="1" applyProtection="1">
      <protection locked="0" hidden="1"/>
    </xf>
    <xf numFmtId="0" fontId="0" fillId="0" borderId="0" xfId="0" applyProtection="1">
      <protection hidden="1"/>
    </xf>
    <xf numFmtId="0" fontId="32" fillId="0" borderId="55" xfId="0" applyFont="1" applyBorder="1" applyAlignment="1" applyProtection="1">
      <alignment horizontal="center" vertical="center"/>
      <protection hidden="1"/>
    </xf>
    <xf numFmtId="0" fontId="32" fillId="0" borderId="10" xfId="0" applyFont="1" applyBorder="1" applyAlignment="1" applyProtection="1">
      <alignment horizontal="centerContinuous"/>
      <protection hidden="1"/>
    </xf>
    <xf numFmtId="0" fontId="32" fillId="0" borderId="18" xfId="0" applyFont="1" applyBorder="1" applyAlignment="1" applyProtection="1">
      <alignment horizontal="centerContinuous"/>
      <protection hidden="1"/>
    </xf>
    <xf numFmtId="0" fontId="32" fillId="0" borderId="22" xfId="0" applyFont="1" applyBorder="1" applyAlignment="1" applyProtection="1">
      <alignment horizontal="center" vertical="center"/>
      <protection hidden="1"/>
    </xf>
    <xf numFmtId="0" fontId="32" fillId="0" borderId="3" xfId="0" applyFont="1" applyBorder="1" applyAlignment="1" applyProtection="1">
      <alignment horizontal="centerContinuous"/>
      <protection hidden="1"/>
    </xf>
    <xf numFmtId="0" fontId="32" fillId="0" borderId="29" xfId="0" applyFont="1" applyBorder="1" applyAlignment="1" applyProtection="1">
      <alignment horizontal="center"/>
      <protection hidden="1"/>
    </xf>
    <xf numFmtId="0" fontId="32" fillId="0" borderId="22" xfId="0" applyFont="1" applyBorder="1" applyAlignment="1" applyProtection="1">
      <alignment horizontal="center"/>
      <protection hidden="1"/>
    </xf>
    <xf numFmtId="166" fontId="32" fillId="5" borderId="3" xfId="5" applyNumberFormat="1" applyFont="1" applyFill="1" applyBorder="1" applyProtection="1">
      <protection hidden="1"/>
    </xf>
    <xf numFmtId="166" fontId="32" fillId="0" borderId="29" xfId="5" applyNumberFormat="1" applyFont="1" applyBorder="1" applyProtection="1">
      <protection hidden="1"/>
    </xf>
    <xf numFmtId="0" fontId="32" fillId="0" borderId="9" xfId="0" applyFont="1" applyBorder="1" applyAlignment="1" applyProtection="1">
      <alignment horizontal="centerContinuous"/>
      <protection hidden="1"/>
    </xf>
    <xf numFmtId="0" fontId="32" fillId="0" borderId="11" xfId="0" applyFont="1" applyBorder="1" applyAlignment="1" applyProtection="1">
      <alignment horizontal="centerContinuous"/>
      <protection hidden="1"/>
    </xf>
    <xf numFmtId="166" fontId="32" fillId="5" borderId="11" xfId="5" applyNumberFormat="1" applyFont="1" applyFill="1" applyBorder="1" applyProtection="1">
      <protection hidden="1"/>
    </xf>
    <xf numFmtId="0" fontId="32" fillId="0" borderId="11" xfId="0" applyFont="1" applyBorder="1" applyAlignment="1" applyProtection="1">
      <alignment horizontal="center"/>
      <protection hidden="1"/>
    </xf>
    <xf numFmtId="166" fontId="32" fillId="2" borderId="12" xfId="0" applyNumberFormat="1" applyFont="1" applyFill="1" applyBorder="1" applyAlignment="1" applyProtection="1">
      <alignment horizontal="center"/>
      <protection hidden="1"/>
    </xf>
    <xf numFmtId="166" fontId="32" fillId="2" borderId="57" xfId="0" applyNumberFormat="1" applyFont="1" applyFill="1" applyBorder="1" applyAlignment="1" applyProtection="1">
      <alignment horizontal="center"/>
      <protection hidden="1"/>
    </xf>
    <xf numFmtId="4" fontId="32" fillId="0" borderId="0" xfId="5" applyNumberFormat="1" applyFont="1" applyAlignment="1" applyProtection="1">
      <protection locked="0" hidden="1"/>
    </xf>
    <xf numFmtId="0" fontId="32" fillId="0" borderId="0" xfId="0" applyFont="1" applyAlignment="1" applyProtection="1">
      <alignment horizontal="centerContinuous"/>
      <protection locked="0" hidden="1"/>
    </xf>
    <xf numFmtId="0" fontId="32" fillId="2" borderId="12" xfId="0" applyFont="1" applyFill="1" applyBorder="1" applyAlignment="1" applyProtection="1">
      <alignment horizontal="center"/>
      <protection hidden="1"/>
    </xf>
    <xf numFmtId="166" fontId="32" fillId="14" borderId="12" xfId="0" applyNumberFormat="1" applyFont="1" applyFill="1" applyBorder="1" applyAlignment="1" applyProtection="1">
      <alignment horizontal="center"/>
      <protection hidden="1"/>
    </xf>
    <xf numFmtId="166" fontId="32" fillId="17" borderId="12" xfId="0" applyNumberFormat="1" applyFont="1" applyFill="1" applyBorder="1" applyAlignment="1" applyProtection="1">
      <alignment horizontal="center"/>
      <protection hidden="1"/>
    </xf>
    <xf numFmtId="166" fontId="32" fillId="16" borderId="12" xfId="0" applyNumberFormat="1" applyFont="1" applyFill="1" applyBorder="1" applyAlignment="1" applyProtection="1">
      <alignment horizontal="center"/>
      <protection hidden="1"/>
    </xf>
    <xf numFmtId="166" fontId="32" fillId="18" borderId="12" xfId="0" applyNumberFormat="1" applyFont="1" applyFill="1" applyBorder="1" applyAlignment="1" applyProtection="1">
      <alignment horizontal="center"/>
      <protection hidden="1"/>
    </xf>
    <xf numFmtId="166" fontId="32" fillId="19" borderId="12" xfId="0" applyNumberFormat="1" applyFont="1" applyFill="1" applyBorder="1" applyAlignment="1" applyProtection="1">
      <alignment horizontal="center"/>
      <protection hidden="1"/>
    </xf>
    <xf numFmtId="166" fontId="32" fillId="15" borderId="12" xfId="0" applyNumberFormat="1" applyFont="1" applyFill="1" applyBorder="1" applyAlignment="1" applyProtection="1">
      <alignment horizontal="center"/>
      <protection hidden="1"/>
    </xf>
    <xf numFmtId="0" fontId="39" fillId="11" borderId="46" xfId="0" applyFont="1" applyFill="1" applyBorder="1" applyAlignment="1" applyProtection="1">
      <alignment horizontal="center" vertical="center" wrapText="1"/>
      <protection hidden="1"/>
    </xf>
    <xf numFmtId="0" fontId="39" fillId="11" borderId="46" xfId="0" applyFont="1" applyFill="1" applyBorder="1" applyAlignment="1" applyProtection="1">
      <alignment horizontal="center" vertical="center"/>
      <protection hidden="1"/>
    </xf>
    <xf numFmtId="3" fontId="39" fillId="11" borderId="47" xfId="0" applyNumberFormat="1" applyFont="1" applyFill="1" applyBorder="1" applyAlignment="1" applyProtection="1">
      <alignment horizontal="center" vertical="center"/>
      <protection hidden="1"/>
    </xf>
    <xf numFmtId="3" fontId="39" fillId="11" borderId="47" xfId="0" applyNumberFormat="1" applyFont="1" applyFill="1" applyBorder="1" applyAlignment="1" applyProtection="1">
      <alignment horizontal="center" vertical="center" wrapText="1"/>
      <protection hidden="1"/>
    </xf>
    <xf numFmtId="0" fontId="32" fillId="0" borderId="0" xfId="0" applyFont="1" applyAlignment="1" applyProtection="1">
      <alignment horizontal="center"/>
      <protection locked="0" hidden="1"/>
    </xf>
    <xf numFmtId="0" fontId="40" fillId="12" borderId="52" xfId="0" applyFont="1" applyFill="1" applyBorder="1" applyAlignment="1" applyProtection="1">
      <alignment horizontal="center" vertical="center"/>
      <protection hidden="1"/>
    </xf>
    <xf numFmtId="4" fontId="32" fillId="0" borderId="53" xfId="0" applyNumberFormat="1" applyFont="1" applyBorder="1" applyAlignment="1" applyProtection="1">
      <alignment horizontal="center" vertical="center"/>
      <protection hidden="1"/>
    </xf>
    <xf numFmtId="166" fontId="40" fillId="12" borderId="52" xfId="5" applyNumberFormat="1" applyFont="1" applyFill="1" applyBorder="1" applyAlignment="1" applyProtection="1">
      <alignment horizontal="center" vertical="center"/>
      <protection hidden="1"/>
    </xf>
    <xf numFmtId="173" fontId="32" fillId="0" borderId="53" xfId="0" applyNumberFormat="1" applyFont="1" applyBorder="1" applyAlignment="1" applyProtection="1">
      <alignment horizontal="center" vertical="center"/>
      <protection hidden="1"/>
    </xf>
    <xf numFmtId="3" fontId="37" fillId="0" borderId="53" xfId="0" applyNumberFormat="1" applyFont="1" applyBorder="1" applyAlignment="1" applyProtection="1">
      <alignment horizontal="center" vertical="center"/>
      <protection hidden="1"/>
    </xf>
    <xf numFmtId="0" fontId="40" fillId="12" borderId="48" xfId="0" applyFont="1" applyFill="1" applyBorder="1" applyAlignment="1" applyProtection="1">
      <alignment horizontal="center"/>
      <protection hidden="1"/>
    </xf>
    <xf numFmtId="4" fontId="32" fillId="0" borderId="49" xfId="0" applyNumberFormat="1" applyFont="1" applyBorder="1" applyAlignment="1" applyProtection="1">
      <alignment horizontal="center"/>
      <protection hidden="1"/>
    </xf>
    <xf numFmtId="6" fontId="40" fillId="12" borderId="48" xfId="0" quotePrefix="1" applyNumberFormat="1" applyFont="1" applyFill="1" applyBorder="1" applyAlignment="1" applyProtection="1">
      <alignment horizontal="center"/>
      <protection hidden="1"/>
    </xf>
    <xf numFmtId="173" fontId="32" fillId="0" borderId="49" xfId="0" applyNumberFormat="1" applyFont="1" applyBorder="1" applyAlignment="1" applyProtection="1">
      <alignment horizontal="center"/>
      <protection hidden="1"/>
    </xf>
    <xf numFmtId="0" fontId="40" fillId="12" borderId="48" xfId="0" applyFont="1" applyFill="1" applyBorder="1" applyAlignment="1" applyProtection="1">
      <alignment horizontal="center" vertical="center"/>
      <protection hidden="1"/>
    </xf>
    <xf numFmtId="166" fontId="40" fillId="12" borderId="48" xfId="5" applyNumberFormat="1" applyFont="1" applyFill="1" applyBorder="1" applyAlignment="1" applyProtection="1">
      <alignment horizontal="center" vertical="center"/>
      <protection hidden="1"/>
    </xf>
    <xf numFmtId="170" fontId="32" fillId="0" borderId="0" xfId="0" applyNumberFormat="1" applyFont="1" applyProtection="1">
      <protection locked="0" hidden="1"/>
    </xf>
    <xf numFmtId="167" fontId="32" fillId="0" borderId="0" xfId="6" applyNumberFormat="1" applyFont="1" applyProtection="1">
      <protection locked="0" hidden="1"/>
    </xf>
    <xf numFmtId="165" fontId="32" fillId="0" borderId="0" xfId="5" applyFont="1" applyFill="1" applyBorder="1" applyProtection="1">
      <protection locked="0" hidden="1"/>
    </xf>
    <xf numFmtId="165" fontId="32" fillId="0" borderId="0" xfId="0" applyNumberFormat="1" applyFont="1" applyProtection="1">
      <protection locked="0" hidden="1"/>
    </xf>
    <xf numFmtId="166" fontId="32" fillId="0" borderId="0" xfId="5" applyNumberFormat="1" applyFont="1" applyProtection="1">
      <protection locked="0" hidden="1"/>
    </xf>
    <xf numFmtId="173" fontId="32" fillId="0" borderId="51" xfId="0" applyNumberFormat="1" applyFont="1" applyBorder="1" applyAlignment="1" applyProtection="1">
      <alignment horizontal="center"/>
      <protection hidden="1"/>
    </xf>
    <xf numFmtId="4" fontId="32" fillId="0" borderId="50" xfId="0" applyNumberFormat="1" applyFont="1" applyBorder="1" applyAlignment="1" applyProtection="1">
      <alignment horizontal="center"/>
      <protection hidden="1"/>
    </xf>
    <xf numFmtId="0" fontId="32" fillId="0" borderId="12" xfId="0" applyFont="1" applyBorder="1" applyAlignment="1" applyProtection="1">
      <alignment horizontal="center"/>
      <protection hidden="1"/>
    </xf>
    <xf numFmtId="166" fontId="32" fillId="0" borderId="14" xfId="5" applyNumberFormat="1" applyFont="1" applyBorder="1" applyProtection="1">
      <protection hidden="1"/>
    </xf>
    <xf numFmtId="0" fontId="32" fillId="2" borderId="56" xfId="0" applyFont="1" applyFill="1" applyBorder="1" applyAlignment="1" applyProtection="1">
      <alignment horizontal="center"/>
      <protection hidden="1"/>
    </xf>
    <xf numFmtId="4" fontId="32" fillId="0" borderId="51" xfId="0" applyNumberFormat="1" applyFont="1" applyBorder="1" applyAlignment="1" applyProtection="1">
      <alignment horizontal="center"/>
      <protection hidden="1"/>
    </xf>
    <xf numFmtId="0" fontId="15" fillId="0" borderId="0" xfId="0" applyFont="1" applyProtection="1">
      <protection hidden="1"/>
    </xf>
    <xf numFmtId="14" fontId="12" fillId="0" borderId="30" xfId="0" applyNumberFormat="1" applyFont="1" applyBorder="1" applyAlignment="1" applyProtection="1">
      <alignment horizontal="center" vertical="center"/>
      <protection hidden="1"/>
    </xf>
    <xf numFmtId="0" fontId="12" fillId="0" borderId="0" xfId="0" applyFont="1" applyAlignment="1" applyProtection="1">
      <alignment vertical="center"/>
      <protection hidden="1"/>
    </xf>
    <xf numFmtId="14" fontId="12" fillId="0" borderId="0" xfId="0" applyNumberFormat="1" applyFont="1" applyAlignment="1" applyProtection="1">
      <alignment horizontal="center" vertical="center"/>
      <protection hidden="1"/>
    </xf>
    <xf numFmtId="166" fontId="12" fillId="0" borderId="0" xfId="5" applyNumberFormat="1" applyFont="1" applyFill="1" applyBorder="1" applyAlignment="1" applyProtection="1">
      <alignment horizontal="center" vertical="center"/>
      <protection hidden="1"/>
    </xf>
    <xf numFmtId="166" fontId="25" fillId="0" borderId="0" xfId="5" applyNumberFormat="1" applyFont="1" applyFill="1" applyBorder="1" applyAlignment="1" applyProtection="1">
      <alignment horizontal="center" vertical="center"/>
      <protection hidden="1"/>
    </xf>
    <xf numFmtId="0" fontId="25" fillId="0" borderId="0" xfId="0" applyFont="1" applyAlignment="1" applyProtection="1">
      <alignment vertical="center"/>
      <protection hidden="1"/>
    </xf>
    <xf numFmtId="14" fontId="26" fillId="0" borderId="38" xfId="0" applyNumberFormat="1" applyFont="1" applyBorder="1" applyAlignment="1" applyProtection="1">
      <alignment horizontal="center" vertical="center"/>
      <protection hidden="1"/>
    </xf>
    <xf numFmtId="0" fontId="12" fillId="0" borderId="37" xfId="0" applyFont="1" applyBorder="1" applyAlignment="1" applyProtection="1">
      <alignment vertical="center"/>
      <protection hidden="1"/>
    </xf>
    <xf numFmtId="14" fontId="26" fillId="0" borderId="39" xfId="0" applyNumberFormat="1" applyFont="1" applyBorder="1" applyAlignment="1" applyProtection="1">
      <alignment horizontal="center" vertical="center"/>
      <protection hidden="1"/>
    </xf>
    <xf numFmtId="14" fontId="27" fillId="0" borderId="40" xfId="0" applyNumberFormat="1" applyFont="1" applyBorder="1" applyAlignment="1" applyProtection="1">
      <alignment horizontal="center" vertical="center"/>
      <protection hidden="1"/>
    </xf>
    <xf numFmtId="0" fontId="24" fillId="0" borderId="0" xfId="0" applyFont="1" applyAlignment="1" applyProtection="1">
      <alignment vertical="center"/>
      <protection hidden="1"/>
    </xf>
    <xf numFmtId="0" fontId="42" fillId="32" borderId="0" xfId="22"/>
    <xf numFmtId="3" fontId="36" fillId="23" borderId="3" xfId="16" applyNumberFormat="1" applyBorder="1"/>
    <xf numFmtId="0" fontId="14" fillId="0" borderId="0" xfId="0" applyFont="1" applyAlignment="1" applyProtection="1">
      <alignment horizontal="center"/>
      <protection locked="0"/>
    </xf>
    <xf numFmtId="165" fontId="15" fillId="0" borderId="0" xfId="5" applyFont="1" applyProtection="1">
      <protection hidden="1"/>
    </xf>
    <xf numFmtId="4" fontId="15" fillId="0" borderId="0" xfId="0" applyNumberFormat="1" applyFont="1" applyProtection="1">
      <protection hidden="1"/>
    </xf>
    <xf numFmtId="9" fontId="16" fillId="0" borderId="0" xfId="0" applyNumberFormat="1" applyFont="1"/>
    <xf numFmtId="3" fontId="16" fillId="0" borderId="0" xfId="0" applyNumberFormat="1" applyFont="1"/>
    <xf numFmtId="165" fontId="13" fillId="0" borderId="0" xfId="5" applyFont="1" applyFill="1" applyBorder="1" applyAlignment="1" applyProtection="1">
      <alignment horizontal="center"/>
    </xf>
    <xf numFmtId="0" fontId="14" fillId="0" borderId="0" xfId="0" applyFont="1" applyAlignment="1" applyProtection="1">
      <alignment vertical="center" wrapText="1"/>
      <protection hidden="1"/>
    </xf>
    <xf numFmtId="165" fontId="32" fillId="0" borderId="0" xfId="5" applyFont="1" applyFill="1" applyProtection="1">
      <protection locked="0" hidden="1"/>
    </xf>
    <xf numFmtId="43" fontId="32" fillId="0" borderId="0" xfId="0" applyNumberFormat="1" applyFont="1" applyProtection="1">
      <protection locked="0" hidden="1"/>
    </xf>
    <xf numFmtId="4" fontId="32" fillId="0" borderId="0" xfId="0" applyNumberFormat="1" applyFont="1" applyProtection="1">
      <protection locked="0" hidden="1"/>
    </xf>
    <xf numFmtId="165" fontId="0" fillId="0" borderId="0" xfId="5" applyFont="1"/>
    <xf numFmtId="0" fontId="4" fillId="0" borderId="0" xfId="0" applyFont="1" applyProtection="1">
      <protection hidden="1"/>
    </xf>
    <xf numFmtId="0" fontId="7" fillId="0" borderId="0" xfId="0" applyFont="1" applyProtection="1">
      <protection hidden="1"/>
    </xf>
    <xf numFmtId="166" fontId="7" fillId="0" borderId="0" xfId="5" applyNumberFormat="1" applyFont="1" applyFill="1" applyBorder="1" applyProtection="1">
      <protection hidden="1"/>
    </xf>
    <xf numFmtId="0" fontId="4" fillId="0" borderId="0" xfId="0" applyFont="1" applyAlignment="1" applyProtection="1">
      <alignment horizontal="center"/>
      <protection hidden="1"/>
    </xf>
    <xf numFmtId="0" fontId="7" fillId="0" borderId="0" xfId="0" applyFont="1" applyAlignment="1" applyProtection="1">
      <alignment horizontal="justify" vertical="center"/>
      <protection hidden="1"/>
    </xf>
    <xf numFmtId="0" fontId="7" fillId="0" borderId="0" xfId="0" applyFont="1" applyAlignment="1" applyProtection="1">
      <alignment horizontal="center" vertical="top" wrapText="1"/>
      <protection hidden="1"/>
    </xf>
    <xf numFmtId="0" fontId="44" fillId="0" borderId="0" xfId="0" applyFont="1" applyProtection="1">
      <protection hidden="1"/>
    </xf>
    <xf numFmtId="0" fontId="33" fillId="27" borderId="3" xfId="19" applyFont="1" applyBorder="1" applyAlignment="1">
      <alignment horizontal="center"/>
    </xf>
    <xf numFmtId="0" fontId="14" fillId="0" borderId="0" xfId="0" applyFont="1" applyAlignment="1" applyProtection="1">
      <alignment vertical="center"/>
      <protection hidden="1"/>
    </xf>
    <xf numFmtId="0" fontId="14" fillId="0" borderId="0" xfId="0" applyFont="1" applyAlignment="1" applyProtection="1">
      <alignment horizontal="center" vertical="center"/>
      <protection hidden="1"/>
    </xf>
    <xf numFmtId="3" fontId="16" fillId="0" borderId="0" xfId="0" applyNumberFormat="1" applyFont="1" applyAlignment="1" applyProtection="1">
      <alignment horizontal="center" vertical="center"/>
      <protection hidden="1"/>
    </xf>
    <xf numFmtId="0" fontId="28" fillId="0" borderId="72" xfId="0" applyFont="1" applyBorder="1" applyAlignment="1" applyProtection="1">
      <alignment horizontal="center" vertical="center"/>
      <protection locked="0" hidden="1"/>
    </xf>
    <xf numFmtId="0" fontId="13" fillId="0" borderId="37" xfId="0" applyFont="1" applyBorder="1" applyAlignment="1" applyProtection="1">
      <alignment horizontal="center" vertical="center"/>
      <protection hidden="1"/>
    </xf>
    <xf numFmtId="14" fontId="13" fillId="0" borderId="68" xfId="0" applyNumberFormat="1" applyFont="1" applyBorder="1" applyAlignment="1" applyProtection="1">
      <alignment horizontal="center" vertical="center"/>
      <protection hidden="1"/>
    </xf>
    <xf numFmtId="14" fontId="13" fillId="0" borderId="54" xfId="0" applyNumberFormat="1" applyFont="1" applyBorder="1" applyAlignment="1" applyProtection="1">
      <alignment horizontal="center" vertical="center"/>
      <protection hidden="1"/>
    </xf>
    <xf numFmtId="14" fontId="13" fillId="0" borderId="30" xfId="0" applyNumberFormat="1" applyFont="1" applyBorder="1" applyAlignment="1" applyProtection="1">
      <alignment horizontal="center" vertical="center"/>
      <protection hidden="1"/>
    </xf>
    <xf numFmtId="0" fontId="12" fillId="0" borderId="73" xfId="0" applyFont="1" applyBorder="1" applyAlignment="1">
      <alignment vertical="center"/>
    </xf>
    <xf numFmtId="0" fontId="13" fillId="0" borderId="3" xfId="0" applyFont="1" applyBorder="1" applyAlignment="1">
      <alignment vertical="center"/>
    </xf>
    <xf numFmtId="0" fontId="12" fillId="0" borderId="3" xfId="0" applyFont="1" applyBorder="1" applyAlignment="1">
      <alignment vertical="center"/>
    </xf>
    <xf numFmtId="0" fontId="48" fillId="34" borderId="0" xfId="0" applyFont="1" applyFill="1"/>
    <xf numFmtId="0" fontId="33" fillId="34" borderId="0" xfId="0" applyFont="1" applyFill="1"/>
    <xf numFmtId="0" fontId="16" fillId="0" borderId="0" xfId="0" applyFont="1" applyAlignment="1" applyProtection="1">
      <alignment horizontal="center" vertical="center"/>
      <protection locked="0"/>
    </xf>
    <xf numFmtId="0" fontId="32" fillId="13" borderId="3" xfId="0" applyFont="1" applyFill="1" applyBorder="1" applyAlignment="1">
      <alignment horizontal="center"/>
    </xf>
    <xf numFmtId="4" fontId="32" fillId="13" borderId="3" xfId="0" quotePrefix="1" applyNumberFormat="1" applyFont="1" applyFill="1" applyBorder="1" applyAlignment="1">
      <alignment horizontal="center"/>
    </xf>
    <xf numFmtId="0" fontId="32" fillId="0" borderId="24" xfId="0" applyFont="1" applyBorder="1" applyProtection="1">
      <protection locked="0" hidden="1"/>
    </xf>
    <xf numFmtId="174" fontId="33" fillId="26" borderId="3" xfId="18" applyNumberFormat="1" applyFont="1" applyBorder="1"/>
    <xf numFmtId="0" fontId="51" fillId="0" borderId="0" xfId="0" applyFont="1" applyProtection="1">
      <protection hidden="1"/>
    </xf>
    <xf numFmtId="0" fontId="52" fillId="0" borderId="0" xfId="28" applyProtection="1">
      <protection hidden="1"/>
    </xf>
    <xf numFmtId="0" fontId="14" fillId="0" borderId="0" xfId="0" applyFont="1"/>
    <xf numFmtId="165" fontId="16" fillId="0" borderId="0" xfId="5" applyFont="1"/>
    <xf numFmtId="165" fontId="16" fillId="0" borderId="0" xfId="0" applyNumberFormat="1" applyFont="1"/>
    <xf numFmtId="14" fontId="16" fillId="0" borderId="0" xfId="0" applyNumberFormat="1" applyFont="1"/>
    <xf numFmtId="3" fontId="33" fillId="26" borderId="3" xfId="18" applyNumberFormat="1" applyFont="1" applyBorder="1"/>
    <xf numFmtId="4" fontId="53" fillId="0" borderId="74" xfId="0" applyNumberFormat="1" applyFont="1" applyBorder="1" applyAlignment="1">
      <alignment horizontal="left"/>
    </xf>
    <xf numFmtId="169" fontId="33" fillId="27" borderId="3" xfId="19" applyNumberFormat="1" applyFont="1" applyBorder="1"/>
    <xf numFmtId="176" fontId="16" fillId="0" borderId="0" xfId="0" applyNumberFormat="1" applyFont="1"/>
    <xf numFmtId="0" fontId="16" fillId="17" borderId="3" xfId="0" applyFont="1" applyFill="1" applyBorder="1" applyAlignment="1" applyProtection="1">
      <alignment horizontal="center" vertical="center"/>
      <protection locked="0"/>
    </xf>
    <xf numFmtId="0" fontId="32" fillId="0" borderId="0" xfId="0" applyFont="1" applyAlignment="1">
      <alignment horizontal="center" vertical="center" wrapText="1"/>
    </xf>
    <xf numFmtId="0" fontId="28" fillId="26" borderId="3" xfId="18" applyFont="1" applyBorder="1" applyAlignment="1">
      <alignment horizontal="center" vertical="center" wrapText="1"/>
    </xf>
    <xf numFmtId="0" fontId="28" fillId="24" borderId="3" xfId="17" applyFont="1" applyBorder="1" applyAlignment="1">
      <alignment horizontal="center" vertical="center" wrapText="1"/>
    </xf>
    <xf numFmtId="0" fontId="28" fillId="21" borderId="3" xfId="15" applyFont="1" applyBorder="1" applyAlignment="1">
      <alignment horizontal="center" vertical="center" wrapText="1"/>
    </xf>
    <xf numFmtId="0" fontId="28" fillId="27" borderId="3" xfId="19" applyFont="1" applyBorder="1" applyAlignment="1">
      <alignment horizontal="center" vertical="center" wrapText="1"/>
    </xf>
    <xf numFmtId="165" fontId="28" fillId="29" borderId="3" xfId="21" applyNumberFormat="1" applyFont="1" applyBorder="1" applyAlignment="1" applyProtection="1">
      <alignment horizontal="center" vertical="center" wrapText="1"/>
      <protection locked="0"/>
    </xf>
    <xf numFmtId="0" fontId="32" fillId="30" borderId="3" xfId="0" applyFont="1" applyFill="1" applyBorder="1" applyAlignment="1" applyProtection="1">
      <alignment horizontal="center" vertical="center" wrapText="1"/>
      <protection locked="0"/>
    </xf>
    <xf numFmtId="0" fontId="28" fillId="22" borderId="3" xfId="20" applyFont="1" applyFill="1" applyBorder="1" applyAlignment="1">
      <alignment horizontal="center" vertical="center" wrapText="1"/>
    </xf>
    <xf numFmtId="0" fontId="33" fillId="22" borderId="3" xfId="20" applyFont="1" applyFill="1" applyBorder="1"/>
    <xf numFmtId="0" fontId="16" fillId="35" borderId="3" xfId="0" applyFont="1" applyFill="1" applyBorder="1"/>
    <xf numFmtId="0" fontId="7" fillId="35" borderId="3" xfId="0" applyFont="1" applyFill="1" applyBorder="1"/>
    <xf numFmtId="0" fontId="33" fillId="21" borderId="3" xfId="15" applyBorder="1"/>
    <xf numFmtId="14" fontId="33" fillId="21" borderId="3" xfId="15" applyNumberFormat="1" applyBorder="1"/>
    <xf numFmtId="0" fontId="36" fillId="24" borderId="3" xfId="17" applyBorder="1" applyAlignment="1">
      <alignment horizontal="center" vertical="center" wrapText="1"/>
    </xf>
    <xf numFmtId="0" fontId="36" fillId="24" borderId="3" xfId="17" applyBorder="1"/>
    <xf numFmtId="9" fontId="36" fillId="24" borderId="3" xfId="14" applyFont="1" applyFill="1" applyBorder="1"/>
    <xf numFmtId="0" fontId="32" fillId="0" borderId="19" xfId="0" applyFont="1" applyBorder="1" applyProtection="1">
      <protection locked="0" hidden="1"/>
    </xf>
    <xf numFmtId="0" fontId="32" fillId="0" borderId="3" xfId="0" applyFont="1" applyBorder="1"/>
    <xf numFmtId="0" fontId="32" fillId="0" borderId="3" xfId="0" applyFont="1" applyBorder="1" applyAlignment="1" applyProtection="1">
      <alignment horizontal="left"/>
      <protection locked="0" hidden="1"/>
    </xf>
    <xf numFmtId="0" fontId="37" fillId="0" borderId="23" xfId="0" applyFont="1" applyBorder="1" applyAlignment="1" applyProtection="1">
      <alignment horizontal="centerContinuous"/>
      <protection locked="0" hidden="1"/>
    </xf>
    <xf numFmtId="0" fontId="32" fillId="0" borderId="15" xfId="0" applyFont="1" applyBorder="1" applyProtection="1">
      <protection locked="0" hidden="1"/>
    </xf>
    <xf numFmtId="1" fontId="32" fillId="0" borderId="3" xfId="0" applyNumberFormat="1" applyFont="1" applyBorder="1" applyAlignment="1" applyProtection="1">
      <alignment horizontal="right"/>
      <protection locked="0" hidden="1"/>
    </xf>
    <xf numFmtId="166" fontId="32" fillId="4" borderId="3" xfId="5" applyNumberFormat="1" applyFont="1" applyFill="1" applyBorder="1" applyProtection="1">
      <protection hidden="1"/>
    </xf>
    <xf numFmtId="166" fontId="32" fillId="4" borderId="3" xfId="5" applyNumberFormat="1" applyFont="1" applyFill="1" applyBorder="1" applyAlignment="1" applyProtection="1">
      <alignment horizontal="left"/>
      <protection hidden="1"/>
    </xf>
    <xf numFmtId="9" fontId="32" fillId="4" borderId="3" xfId="14" applyFont="1" applyFill="1" applyBorder="1" applyProtection="1">
      <protection hidden="1"/>
    </xf>
    <xf numFmtId="9" fontId="32" fillId="4" borderId="3" xfId="14" applyFont="1" applyFill="1" applyBorder="1" applyAlignment="1" applyProtection="1">
      <alignment horizontal="right"/>
      <protection hidden="1"/>
    </xf>
    <xf numFmtId="0" fontId="32" fillId="4" borderId="3" xfId="0" applyFont="1" applyFill="1" applyBorder="1" applyAlignment="1" applyProtection="1">
      <alignment horizontal="right"/>
      <protection hidden="1"/>
    </xf>
    <xf numFmtId="0" fontId="32" fillId="0" borderId="3" xfId="0" applyFont="1" applyBorder="1" applyAlignment="1">
      <alignment horizontal="right"/>
    </xf>
    <xf numFmtId="9" fontId="32" fillId="0" borderId="2" xfId="0" applyNumberFormat="1" applyFont="1" applyBorder="1" applyProtection="1">
      <protection locked="0" hidden="1"/>
    </xf>
    <xf numFmtId="10" fontId="32" fillId="4" borderId="3" xfId="14" applyNumberFormat="1" applyFont="1" applyFill="1" applyBorder="1" applyProtection="1">
      <protection locked="0" hidden="1"/>
    </xf>
    <xf numFmtId="173" fontId="32" fillId="4" borderId="3" xfId="0" applyNumberFormat="1" applyFont="1" applyFill="1" applyBorder="1" applyAlignment="1" applyProtection="1">
      <alignment horizontal="right"/>
      <protection hidden="1"/>
    </xf>
    <xf numFmtId="175" fontId="32" fillId="4" borderId="3" xfId="0" applyNumberFormat="1" applyFont="1" applyFill="1" applyBorder="1" applyAlignment="1" applyProtection="1">
      <alignment horizontal="right"/>
      <protection hidden="1"/>
    </xf>
    <xf numFmtId="175" fontId="32" fillId="36" borderId="3" xfId="0" applyNumberFormat="1" applyFont="1" applyFill="1" applyBorder="1" applyAlignment="1" applyProtection="1">
      <alignment horizontal="right"/>
      <protection hidden="1"/>
    </xf>
    <xf numFmtId="169" fontId="37" fillId="33" borderId="35" xfId="0" applyNumberFormat="1" applyFont="1" applyFill="1" applyBorder="1" applyAlignment="1" applyProtection="1">
      <alignment horizontal="center"/>
      <protection locked="0" hidden="1"/>
    </xf>
    <xf numFmtId="0" fontId="4" fillId="0" borderId="0" xfId="0" applyFont="1" applyAlignment="1" applyProtection="1">
      <alignment horizontal="left" vertical="center"/>
      <protection hidden="1"/>
    </xf>
    <xf numFmtId="165" fontId="32" fillId="0" borderId="0" xfId="5" applyFont="1" applyAlignment="1" applyProtection="1">
      <alignment horizontal="centerContinuous"/>
      <protection locked="0" hidden="1"/>
    </xf>
    <xf numFmtId="0" fontId="32" fillId="0" borderId="17" xfId="0" applyFont="1" applyBorder="1" applyAlignment="1" applyProtection="1">
      <alignment horizontal="centerContinuous"/>
      <protection locked="0" hidden="1"/>
    </xf>
    <xf numFmtId="165" fontId="32" fillId="0" borderId="0" xfId="5" applyFont="1" applyAlignment="1" applyProtection="1">
      <alignment horizontal="right"/>
      <protection locked="0" hidden="1"/>
    </xf>
    <xf numFmtId="173" fontId="32" fillId="0" borderId="0" xfId="0" applyNumberFormat="1" applyFont="1" applyProtection="1">
      <protection locked="0" hidden="1"/>
    </xf>
    <xf numFmtId="166" fontId="33" fillId="27" borderId="3" xfId="5" applyNumberFormat="1" applyFont="1" applyFill="1" applyBorder="1"/>
    <xf numFmtId="0" fontId="54" fillId="37" borderId="11" xfId="29" applyBorder="1"/>
    <xf numFmtId="0" fontId="54" fillId="37" borderId="18" xfId="29" applyBorder="1"/>
    <xf numFmtId="0" fontId="54" fillId="37" borderId="29" xfId="29" applyBorder="1"/>
    <xf numFmtId="0" fontId="54" fillId="37" borderId="77" xfId="29" applyBorder="1" applyAlignment="1">
      <alignment horizontal="center" vertical="center"/>
    </xf>
    <xf numFmtId="178" fontId="33" fillId="26" borderId="3" xfId="18" applyNumberFormat="1" applyFont="1" applyBorder="1"/>
    <xf numFmtId="0" fontId="7" fillId="0" borderId="0" xfId="0" applyFont="1"/>
    <xf numFmtId="43" fontId="15" fillId="0" borderId="0" xfId="0" applyNumberFormat="1" applyFont="1" applyProtection="1">
      <protection hidden="1"/>
    </xf>
    <xf numFmtId="165" fontId="15" fillId="0" borderId="0" xfId="0" applyNumberFormat="1" applyFont="1" applyProtection="1">
      <protection hidden="1"/>
    </xf>
    <xf numFmtId="0" fontId="16" fillId="31" borderId="0" xfId="0" applyFont="1" applyFill="1"/>
    <xf numFmtId="165" fontId="16" fillId="31" borderId="0" xfId="5" applyFont="1" applyFill="1"/>
    <xf numFmtId="165" fontId="0" fillId="13" borderId="3" xfId="5" applyFont="1" applyFill="1" applyBorder="1"/>
    <xf numFmtId="9" fontId="32" fillId="15" borderId="20" xfId="14" applyFont="1" applyFill="1" applyBorder="1" applyAlignment="1" applyProtection="1">
      <protection locked="0" hidden="1"/>
    </xf>
    <xf numFmtId="9" fontId="15" fillId="0" borderId="0" xfId="0" applyNumberFormat="1" applyFont="1" applyProtection="1">
      <protection hidden="1"/>
    </xf>
    <xf numFmtId="9" fontId="32" fillId="0" borderId="0" xfId="14" applyFont="1" applyProtection="1">
      <protection hidden="1"/>
    </xf>
    <xf numFmtId="9" fontId="32" fillId="0" borderId="0" xfId="0" applyNumberFormat="1" applyFont="1" applyProtection="1">
      <protection hidden="1"/>
    </xf>
    <xf numFmtId="43" fontId="32" fillId="0" borderId="0" xfId="0" applyNumberFormat="1" applyFont="1" applyProtection="1">
      <protection hidden="1"/>
    </xf>
    <xf numFmtId="10" fontId="32" fillId="0" borderId="0" xfId="0" applyNumberFormat="1" applyFont="1" applyProtection="1">
      <protection locked="0" hidden="1"/>
    </xf>
    <xf numFmtId="9" fontId="32" fillId="0" borderId="3" xfId="14" applyFont="1" applyBorder="1" applyAlignment="1" applyProtection="1">
      <alignment horizontal="center"/>
      <protection hidden="1"/>
    </xf>
    <xf numFmtId="165" fontId="32" fillId="0" borderId="0" xfId="5" applyFont="1" applyProtection="1">
      <protection locked="0" hidden="1"/>
    </xf>
    <xf numFmtId="3" fontId="32" fillId="0" borderId="3" xfId="0" applyNumberFormat="1" applyFont="1" applyBorder="1" applyProtection="1">
      <protection locked="0" hidden="1"/>
    </xf>
    <xf numFmtId="0" fontId="33" fillId="38" borderId="3" xfId="0" applyFont="1" applyFill="1" applyBorder="1"/>
    <xf numFmtId="10" fontId="33" fillId="38" borderId="3" xfId="0" applyNumberFormat="1" applyFont="1" applyFill="1" applyBorder="1"/>
    <xf numFmtId="14" fontId="13" fillId="0" borderId="0" xfId="0" applyNumberFormat="1" applyFont="1" applyAlignment="1">
      <alignment horizontal="center"/>
    </xf>
    <xf numFmtId="0" fontId="16" fillId="39" borderId="0" xfId="0" applyFont="1" applyFill="1"/>
    <xf numFmtId="9" fontId="16" fillId="0" borderId="0" xfId="14" applyFont="1"/>
    <xf numFmtId="0" fontId="36" fillId="23" borderId="20" xfId="16" applyBorder="1"/>
    <xf numFmtId="177" fontId="32" fillId="0" borderId="0" xfId="0" applyNumberFormat="1" applyFont="1" applyAlignment="1" applyProtection="1">
      <alignment horizontal="center"/>
      <protection locked="0" hidden="1"/>
    </xf>
    <xf numFmtId="172" fontId="14" fillId="13" borderId="0" xfId="0" applyNumberFormat="1" applyFont="1" applyFill="1" applyAlignment="1" applyProtection="1">
      <alignment vertical="center"/>
      <protection locked="0"/>
    </xf>
    <xf numFmtId="172" fontId="14" fillId="13" borderId="3" xfId="0" applyNumberFormat="1" applyFont="1" applyFill="1" applyBorder="1" applyAlignment="1" applyProtection="1">
      <alignment horizontal="left" vertical="center"/>
      <protection locked="0"/>
    </xf>
    <xf numFmtId="179" fontId="32" fillId="0" borderId="0" xfId="0" applyNumberFormat="1" applyFont="1" applyProtection="1">
      <protection locked="0" hidden="1"/>
    </xf>
    <xf numFmtId="0" fontId="36" fillId="23" borderId="20" xfId="16" applyBorder="1" applyAlignment="1">
      <alignment horizontal="center"/>
    </xf>
    <xf numFmtId="0" fontId="36" fillId="23" borderId="2" xfId="16" applyBorder="1" applyAlignment="1">
      <alignment horizontal="center"/>
    </xf>
    <xf numFmtId="0" fontId="36" fillId="23" borderId="19" xfId="16" applyBorder="1" applyAlignment="1">
      <alignment horizontal="center"/>
    </xf>
    <xf numFmtId="0" fontId="36" fillId="23" borderId="20" xfId="16" applyBorder="1" applyAlignment="1">
      <alignment horizontal="left"/>
    </xf>
    <xf numFmtId="43" fontId="0" fillId="0" borderId="0" xfId="0" applyNumberFormat="1" applyProtection="1">
      <protection hidden="1"/>
    </xf>
    <xf numFmtId="174" fontId="16" fillId="0" borderId="0" xfId="0" applyNumberFormat="1" applyFont="1"/>
    <xf numFmtId="169" fontId="33" fillId="24" borderId="3" xfId="17" applyNumberFormat="1" applyFont="1" applyBorder="1"/>
    <xf numFmtId="0" fontId="32" fillId="40" borderId="3" xfId="0" applyFont="1" applyFill="1" applyBorder="1" applyAlignment="1" applyProtection="1">
      <alignment horizontal="center" vertical="center" wrapText="1"/>
      <protection locked="0"/>
    </xf>
    <xf numFmtId="0" fontId="16" fillId="40" borderId="3" xfId="0" applyFont="1" applyFill="1" applyBorder="1" applyProtection="1">
      <protection locked="0"/>
    </xf>
    <xf numFmtId="0" fontId="14" fillId="40" borderId="3" xfId="0" applyFont="1" applyFill="1" applyBorder="1" applyProtection="1">
      <protection locked="0"/>
    </xf>
    <xf numFmtId="0" fontId="28" fillId="0" borderId="79" xfId="5" applyNumberFormat="1" applyFont="1" applyFill="1" applyBorder="1" applyAlignment="1" applyProtection="1">
      <alignment horizontal="center" vertical="center"/>
      <protection locked="0" hidden="1"/>
    </xf>
    <xf numFmtId="0" fontId="0" fillId="13" borderId="0" xfId="0" applyFill="1"/>
    <xf numFmtId="3" fontId="33" fillId="24" borderId="3" xfId="17" applyNumberFormat="1" applyFont="1" applyBorder="1"/>
    <xf numFmtId="174" fontId="33" fillId="24" borderId="3" xfId="17" applyNumberFormat="1" applyFont="1" applyBorder="1"/>
    <xf numFmtId="178" fontId="33" fillId="24" borderId="3" xfId="17" applyNumberFormat="1" applyFont="1" applyBorder="1"/>
    <xf numFmtId="1" fontId="33" fillId="24" borderId="3" xfId="17" applyNumberFormat="1" applyFont="1" applyBorder="1"/>
    <xf numFmtId="166" fontId="36" fillId="24" borderId="3" xfId="5" applyNumberFormat="1" applyFont="1" applyFill="1" applyBorder="1"/>
    <xf numFmtId="0" fontId="32" fillId="41" borderId="3" xfId="0" applyFont="1" applyFill="1" applyBorder="1" applyAlignment="1" applyProtection="1">
      <alignment horizontal="center"/>
      <protection locked="0" hidden="1"/>
    </xf>
    <xf numFmtId="165" fontId="32" fillId="41" borderId="3" xfId="5" applyFont="1" applyFill="1" applyBorder="1" applyProtection="1">
      <protection locked="0"/>
    </xf>
    <xf numFmtId="165" fontId="32" fillId="4" borderId="3" xfId="5" applyFont="1" applyFill="1" applyBorder="1" applyAlignment="1" applyProtection="1">
      <alignment horizontal="left"/>
      <protection hidden="1"/>
    </xf>
    <xf numFmtId="9" fontId="33" fillId="26" borderId="3" xfId="14" applyFont="1" applyFill="1" applyBorder="1"/>
    <xf numFmtId="0" fontId="54" fillId="37" borderId="80" xfId="29" applyBorder="1"/>
    <xf numFmtId="0" fontId="16" fillId="40" borderId="0" xfId="0" applyFont="1" applyFill="1" applyProtection="1">
      <protection locked="0"/>
    </xf>
    <xf numFmtId="3" fontId="16" fillId="40" borderId="0" xfId="0" applyNumberFormat="1" applyFont="1" applyFill="1" applyProtection="1">
      <protection locked="0"/>
    </xf>
    <xf numFmtId="4" fontId="14" fillId="0" borderId="0" xfId="0" applyNumberFormat="1" applyFont="1" applyAlignment="1">
      <alignment horizontal="center"/>
    </xf>
    <xf numFmtId="9" fontId="33" fillId="29" borderId="3" xfId="14" applyFont="1" applyFill="1" applyBorder="1" applyProtection="1">
      <protection locked="0"/>
    </xf>
    <xf numFmtId="0" fontId="34" fillId="20" borderId="92" xfId="0" applyFont="1" applyFill="1" applyBorder="1" applyAlignment="1" applyProtection="1">
      <alignment horizontal="center" vertical="center"/>
      <protection locked="0" hidden="1"/>
    </xf>
    <xf numFmtId="3" fontId="12" fillId="13" borderId="93" xfId="5" applyNumberFormat="1" applyFont="1" applyFill="1" applyBorder="1" applyAlignment="1" applyProtection="1">
      <alignment horizontal="center" vertical="center"/>
      <protection locked="0" hidden="1"/>
    </xf>
    <xf numFmtId="0" fontId="32" fillId="0" borderId="15" xfId="0" applyFont="1" applyBorder="1" applyAlignment="1" applyProtection="1">
      <alignment horizontal="center"/>
      <protection locked="0" hidden="1"/>
    </xf>
    <xf numFmtId="0" fontId="32" fillId="0" borderId="22" xfId="0" applyFont="1" applyBorder="1" applyAlignment="1" applyProtection="1">
      <alignment horizontal="center"/>
      <protection locked="0" hidden="1"/>
    </xf>
    <xf numFmtId="9" fontId="32" fillId="15" borderId="17" xfId="14" applyFont="1" applyFill="1" applyBorder="1" applyAlignment="1" applyProtection="1">
      <protection locked="0" hidden="1"/>
    </xf>
    <xf numFmtId="165" fontId="32" fillId="41" borderId="16" xfId="5" applyFont="1" applyFill="1" applyBorder="1" applyProtection="1">
      <protection locked="0"/>
    </xf>
    <xf numFmtId="0" fontId="32" fillId="0" borderId="3" xfId="0" applyFont="1" applyBorder="1" applyProtection="1">
      <protection locked="0"/>
    </xf>
    <xf numFmtId="2" fontId="33" fillId="21" borderId="3" xfId="15" applyNumberFormat="1" applyBorder="1"/>
    <xf numFmtId="0" fontId="39" fillId="64" borderId="46" xfId="0" applyFont="1" applyFill="1" applyBorder="1" applyAlignment="1" applyProtection="1">
      <alignment horizontal="center" vertical="center" wrapText="1"/>
      <protection hidden="1"/>
    </xf>
    <xf numFmtId="0" fontId="39" fillId="64" borderId="46" xfId="0" applyFont="1" applyFill="1" applyBorder="1" applyAlignment="1" applyProtection="1">
      <alignment horizontal="center"/>
      <protection hidden="1"/>
    </xf>
    <xf numFmtId="3" fontId="39" fillId="64" borderId="95" xfId="0" applyNumberFormat="1" applyFont="1" applyFill="1" applyBorder="1" applyAlignment="1" applyProtection="1">
      <alignment horizontal="center" vertical="center" wrapText="1"/>
      <protection hidden="1"/>
    </xf>
    <xf numFmtId="4" fontId="32" fillId="0" borderId="96" xfId="0" applyNumberFormat="1" applyFont="1" applyBorder="1" applyAlignment="1" applyProtection="1">
      <alignment horizontal="center"/>
      <protection hidden="1"/>
    </xf>
    <xf numFmtId="4" fontId="32" fillId="0" borderId="94" xfId="0" applyNumberFormat="1" applyFont="1" applyBorder="1" applyAlignment="1" applyProtection="1">
      <alignment horizontal="center"/>
      <protection hidden="1"/>
    </xf>
    <xf numFmtId="4" fontId="32" fillId="0" borderId="97" xfId="0" applyNumberFormat="1" applyFont="1" applyBorder="1" applyAlignment="1" applyProtection="1">
      <alignment horizontal="center"/>
      <protection hidden="1"/>
    </xf>
    <xf numFmtId="4" fontId="32" fillId="0" borderId="98" xfId="0" applyNumberFormat="1" applyFont="1" applyBorder="1" applyAlignment="1" applyProtection="1">
      <alignment horizontal="center"/>
      <protection hidden="1"/>
    </xf>
    <xf numFmtId="3" fontId="39" fillId="64" borderId="46" xfId="5" applyNumberFormat="1" applyFont="1" applyFill="1" applyBorder="1" applyAlignment="1" applyProtection="1">
      <alignment horizontal="center"/>
      <protection hidden="1"/>
    </xf>
    <xf numFmtId="1" fontId="32" fillId="10" borderId="21" xfId="5" applyNumberFormat="1" applyFont="1" applyFill="1" applyBorder="1" applyAlignment="1" applyProtection="1">
      <alignment horizontal="center" vertical="center"/>
      <protection hidden="1"/>
    </xf>
    <xf numFmtId="0" fontId="14" fillId="14" borderId="90" xfId="0" applyFont="1" applyFill="1" applyBorder="1" applyAlignment="1">
      <alignment vertical="center"/>
    </xf>
    <xf numFmtId="0" fontId="14" fillId="14" borderId="91" xfId="0" applyFont="1" applyFill="1" applyBorder="1" applyAlignment="1">
      <alignment vertical="center"/>
    </xf>
    <xf numFmtId="0" fontId="0" fillId="0" borderId="0" xfId="0" applyAlignment="1">
      <alignment vertical="center"/>
    </xf>
    <xf numFmtId="0" fontId="14" fillId="14" borderId="102" xfId="0" applyFont="1" applyFill="1" applyBorder="1" applyAlignment="1">
      <alignment vertical="center"/>
    </xf>
    <xf numFmtId="0" fontId="14" fillId="14" borderId="103" xfId="0" applyFont="1" applyFill="1" applyBorder="1" applyAlignment="1">
      <alignment vertical="center"/>
    </xf>
    <xf numFmtId="0" fontId="14" fillId="14" borderId="104" xfId="0" applyFont="1" applyFill="1" applyBorder="1" applyAlignment="1">
      <alignment vertical="center"/>
    </xf>
    <xf numFmtId="0" fontId="14" fillId="14" borderId="60" xfId="0" applyFont="1" applyFill="1" applyBorder="1" applyAlignment="1">
      <alignment vertical="center"/>
    </xf>
    <xf numFmtId="0" fontId="14" fillId="14" borderId="61" xfId="0" applyFont="1" applyFill="1" applyBorder="1" applyAlignment="1">
      <alignment vertical="center"/>
    </xf>
    <xf numFmtId="0" fontId="14" fillId="14" borderId="105" xfId="0" applyFont="1" applyFill="1" applyBorder="1" applyAlignment="1">
      <alignment vertical="center"/>
    </xf>
    <xf numFmtId="0" fontId="14" fillId="14" borderId="106" xfId="0" applyFont="1" applyFill="1" applyBorder="1" applyAlignment="1">
      <alignment vertical="center"/>
    </xf>
    <xf numFmtId="0" fontId="14" fillId="14" borderId="107" xfId="0" applyFont="1" applyFill="1" applyBorder="1" applyAlignment="1">
      <alignment vertical="center"/>
    </xf>
    <xf numFmtId="0" fontId="14" fillId="14" borderId="108" xfId="0" applyFont="1" applyFill="1" applyBorder="1" applyAlignment="1">
      <alignment vertical="center"/>
    </xf>
    <xf numFmtId="0" fontId="14" fillId="0" borderId="0" xfId="0" applyFont="1" applyProtection="1">
      <protection hidden="1"/>
    </xf>
    <xf numFmtId="0" fontId="16" fillId="0" borderId="0" xfId="0" applyFont="1" applyProtection="1">
      <protection hidden="1"/>
    </xf>
    <xf numFmtId="0" fontId="12" fillId="0" borderId="0" xfId="0" applyFont="1" applyProtection="1">
      <protection hidden="1"/>
    </xf>
    <xf numFmtId="2" fontId="12" fillId="0" borderId="0" xfId="0" applyNumberFormat="1" applyFont="1" applyProtection="1">
      <protection hidden="1"/>
    </xf>
    <xf numFmtId="14" fontId="13" fillId="0" borderId="0" xfId="0" applyNumberFormat="1" applyFont="1" applyAlignment="1" applyProtection="1">
      <alignment horizontal="center"/>
      <protection hidden="1"/>
    </xf>
    <xf numFmtId="14" fontId="12" fillId="0" borderId="0" xfId="0" applyNumberFormat="1" applyFont="1" applyProtection="1">
      <protection hidden="1"/>
    </xf>
    <xf numFmtId="0" fontId="21" fillId="0" borderId="0" xfId="0" applyFont="1" applyAlignment="1" applyProtection="1">
      <alignment horizontal="center"/>
      <protection hidden="1"/>
    </xf>
    <xf numFmtId="9" fontId="12" fillId="0" borderId="0" xfId="0" applyNumberFormat="1" applyFont="1" applyProtection="1">
      <protection hidden="1"/>
    </xf>
    <xf numFmtId="3" fontId="12" fillId="0" borderId="0" xfId="0" applyNumberFormat="1" applyFont="1" applyProtection="1">
      <protection hidden="1"/>
    </xf>
    <xf numFmtId="0" fontId="32" fillId="0" borderId="109" xfId="0" applyFont="1" applyBorder="1" applyAlignment="1" applyProtection="1">
      <alignment horizontal="center"/>
      <protection locked="0" hidden="1"/>
    </xf>
    <xf numFmtId="9" fontId="32" fillId="15" borderId="110" xfId="14" applyFont="1" applyFill="1" applyBorder="1" applyAlignment="1" applyProtection="1">
      <protection locked="0" hidden="1"/>
    </xf>
    <xf numFmtId="9" fontId="32" fillId="15" borderId="75" xfId="14" applyFont="1" applyFill="1" applyBorder="1" applyAlignment="1" applyProtection="1">
      <protection locked="0" hidden="1"/>
    </xf>
    <xf numFmtId="0" fontId="32" fillId="0" borderId="37" xfId="0" applyFont="1" applyBorder="1" applyProtection="1">
      <protection locked="0" hidden="1"/>
    </xf>
    <xf numFmtId="10" fontId="32" fillId="0" borderId="37" xfId="0" applyNumberFormat="1" applyFont="1" applyBorder="1" applyProtection="1">
      <protection locked="0" hidden="1"/>
    </xf>
    <xf numFmtId="179" fontId="32" fillId="0" borderId="37" xfId="0" applyNumberFormat="1" applyFont="1" applyBorder="1" applyProtection="1">
      <protection locked="0" hidden="1"/>
    </xf>
    <xf numFmtId="0" fontId="32" fillId="0" borderId="12" xfId="0" applyFont="1" applyBorder="1" applyAlignment="1" applyProtection="1">
      <alignment horizontal="center"/>
      <protection locked="0" hidden="1"/>
    </xf>
    <xf numFmtId="9" fontId="32" fillId="15" borderId="111" xfId="14" applyFont="1" applyFill="1" applyBorder="1" applyAlignment="1" applyProtection="1">
      <protection locked="0" hidden="1"/>
    </xf>
    <xf numFmtId="0" fontId="32" fillId="0" borderId="112" xfId="0" applyFont="1" applyBorder="1" applyProtection="1">
      <protection locked="0" hidden="1"/>
    </xf>
    <xf numFmtId="10" fontId="32" fillId="0" borderId="112" xfId="0" applyNumberFormat="1" applyFont="1" applyBorder="1" applyProtection="1">
      <protection locked="0" hidden="1"/>
    </xf>
    <xf numFmtId="179" fontId="32" fillId="0" borderId="112" xfId="0" applyNumberFormat="1" applyFont="1" applyBorder="1" applyProtection="1">
      <protection locked="0" hidden="1"/>
    </xf>
    <xf numFmtId="0" fontId="71" fillId="0" borderId="0" xfId="0" applyFont="1" applyAlignment="1" applyProtection="1">
      <alignment horizontal="left" vertical="center" indent="3"/>
      <protection hidden="1"/>
    </xf>
    <xf numFmtId="0" fontId="0" fillId="33" borderId="0" xfId="0" applyFill="1"/>
    <xf numFmtId="172" fontId="46" fillId="0" borderId="0" xfId="0" applyNumberFormat="1" applyFont="1" applyAlignment="1" applyProtection="1">
      <alignment vertical="center"/>
      <protection hidden="1"/>
    </xf>
    <xf numFmtId="0" fontId="46" fillId="0" borderId="0" xfId="0" applyFont="1" applyAlignment="1" applyProtection="1">
      <alignment vertical="center"/>
      <protection hidden="1"/>
    </xf>
    <xf numFmtId="0" fontId="71" fillId="0" borderId="0" xfId="0" applyFont="1" applyAlignment="1" applyProtection="1">
      <alignment horizontal="left" vertical="center" wrapText="1" indent="3"/>
      <protection hidden="1"/>
    </xf>
    <xf numFmtId="0" fontId="46" fillId="0" borderId="0" xfId="0" applyFont="1" applyAlignment="1" applyProtection="1">
      <alignment horizontal="left" vertical="center"/>
      <protection hidden="1"/>
    </xf>
    <xf numFmtId="0" fontId="14" fillId="14" borderId="62" xfId="0" applyFont="1" applyFill="1" applyBorder="1" applyAlignment="1">
      <alignment horizontal="center" vertical="center"/>
    </xf>
    <xf numFmtId="0" fontId="14" fillId="13" borderId="0" xfId="0" applyFont="1" applyFill="1" applyAlignment="1" applyProtection="1">
      <alignment horizontal="left"/>
      <protection locked="0"/>
    </xf>
    <xf numFmtId="0" fontId="71" fillId="0" borderId="0" xfId="0" applyFont="1" applyAlignment="1" applyProtection="1">
      <alignment vertical="center" wrapText="1"/>
      <protection hidden="1"/>
    </xf>
    <xf numFmtId="0" fontId="46" fillId="0" borderId="0" xfId="0" applyFont="1" applyAlignment="1" applyProtection="1">
      <alignment vertical="center" wrapText="1"/>
      <protection hidden="1"/>
    </xf>
    <xf numFmtId="0" fontId="7" fillId="0" borderId="0" xfId="0" applyFont="1" applyAlignment="1" applyProtection="1">
      <alignment vertical="center"/>
      <protection hidden="1"/>
    </xf>
    <xf numFmtId="0" fontId="72" fillId="0" borderId="0" xfId="0" applyFont="1" applyAlignment="1" applyProtection="1">
      <alignment vertical="center"/>
      <protection hidden="1"/>
    </xf>
    <xf numFmtId="0" fontId="14" fillId="13" borderId="0" xfId="0" applyFont="1" applyFill="1" applyProtection="1">
      <protection locked="0"/>
    </xf>
    <xf numFmtId="0" fontId="14" fillId="14" borderId="62" xfId="0" applyFont="1" applyFill="1" applyBorder="1" applyAlignment="1">
      <alignment vertical="center"/>
    </xf>
    <xf numFmtId="165" fontId="75" fillId="0" borderId="0" xfId="5" applyFont="1" applyFill="1" applyBorder="1" applyAlignment="1" applyProtection="1">
      <alignment vertical="center"/>
      <protection hidden="1"/>
    </xf>
    <xf numFmtId="165" fontId="75" fillId="0" borderId="0" xfId="5" applyFont="1" applyFill="1" applyBorder="1" applyAlignment="1" applyProtection="1">
      <alignment horizontal="center"/>
      <protection hidden="1"/>
    </xf>
    <xf numFmtId="0" fontId="88" fillId="0" borderId="0" xfId="0" applyFont="1" applyAlignment="1" applyProtection="1">
      <alignment horizontal="left" vertical="center"/>
      <protection hidden="1"/>
    </xf>
    <xf numFmtId="180" fontId="32" fillId="4" borderId="3" xfId="5" applyNumberFormat="1" applyFont="1" applyFill="1" applyBorder="1" applyAlignment="1" applyProtection="1">
      <alignment horizontal="left"/>
      <protection hidden="1"/>
    </xf>
    <xf numFmtId="3" fontId="19" fillId="19" borderId="0" xfId="0" applyNumberFormat="1" applyFont="1" applyFill="1" applyAlignment="1">
      <alignment horizontal="center"/>
    </xf>
    <xf numFmtId="173" fontId="19" fillId="19" borderId="0" xfId="0" applyNumberFormat="1" applyFont="1" applyFill="1" applyAlignment="1">
      <alignment horizontal="center"/>
    </xf>
    <xf numFmtId="175" fontId="19" fillId="19" borderId="0" xfId="0" applyNumberFormat="1" applyFont="1" applyFill="1" applyAlignment="1">
      <alignment horizontal="center"/>
    </xf>
    <xf numFmtId="0" fontId="72" fillId="0" borderId="0" xfId="0" applyFont="1" applyAlignment="1" applyProtection="1">
      <alignment horizontal="center" vertical="center"/>
      <protection hidden="1"/>
    </xf>
    <xf numFmtId="0" fontId="74" fillId="0" borderId="0" xfId="0" applyFont="1" applyAlignment="1" applyProtection="1">
      <alignment horizontal="left" vertical="center" wrapText="1" indent="1"/>
      <protection hidden="1"/>
    </xf>
    <xf numFmtId="0" fontId="15" fillId="0" borderId="116" xfId="0" applyFont="1" applyBorder="1" applyProtection="1">
      <protection hidden="1"/>
    </xf>
    <xf numFmtId="172" fontId="75" fillId="0" borderId="116" xfId="0" applyNumberFormat="1" applyFont="1" applyBorder="1" applyAlignment="1" applyProtection="1">
      <alignment vertical="center"/>
      <protection hidden="1"/>
    </xf>
    <xf numFmtId="0" fontId="74" fillId="0" borderId="116" xfId="0" applyFont="1" applyBorder="1" applyAlignment="1" applyProtection="1">
      <alignment horizontal="right" vertical="center"/>
      <protection hidden="1"/>
    </xf>
    <xf numFmtId="172" fontId="75" fillId="0" borderId="116" xfId="0" applyNumberFormat="1" applyFont="1" applyBorder="1" applyAlignment="1" applyProtection="1">
      <alignment horizontal="center" vertical="center"/>
      <protection hidden="1"/>
    </xf>
    <xf numFmtId="172" fontId="46" fillId="0" borderId="117" xfId="0" applyNumberFormat="1" applyFont="1" applyBorder="1" applyAlignment="1" applyProtection="1">
      <alignment vertical="center"/>
      <protection hidden="1"/>
    </xf>
    <xf numFmtId="0" fontId="46" fillId="0" borderId="119" xfId="0" applyFont="1" applyBorder="1" applyAlignment="1" applyProtection="1">
      <alignment vertical="center"/>
      <protection hidden="1"/>
    </xf>
    <xf numFmtId="0" fontId="15" fillId="0" borderId="120" xfId="0" applyFont="1" applyBorder="1" applyProtection="1">
      <protection hidden="1"/>
    </xf>
    <xf numFmtId="0" fontId="15" fillId="0" borderId="117" xfId="0" applyFont="1" applyBorder="1" applyProtection="1">
      <protection hidden="1"/>
    </xf>
    <xf numFmtId="0" fontId="15" fillId="0" borderId="122" xfId="0" applyFont="1" applyBorder="1" applyProtection="1">
      <protection hidden="1"/>
    </xf>
    <xf numFmtId="0" fontId="75" fillId="0" borderId="116" xfId="0" applyFont="1" applyBorder="1" applyAlignment="1" applyProtection="1">
      <alignment horizontal="left" vertical="center" indent="1"/>
      <protection hidden="1"/>
    </xf>
    <xf numFmtId="0" fontId="77" fillId="0" borderId="116" xfId="0" applyFont="1" applyBorder="1" applyProtection="1">
      <protection hidden="1"/>
    </xf>
    <xf numFmtId="0" fontId="78" fillId="0" borderId="116" xfId="0" applyFont="1" applyBorder="1" applyAlignment="1" applyProtection="1">
      <alignment vertical="center"/>
      <protection hidden="1"/>
    </xf>
    <xf numFmtId="0" fontId="74" fillId="0" borderId="116" xfId="0" applyFont="1" applyBorder="1" applyAlignment="1" applyProtection="1">
      <alignment horizontal="left" vertical="center" indent="4"/>
      <protection hidden="1"/>
    </xf>
    <xf numFmtId="0" fontId="75" fillId="0" borderId="116" xfId="0" applyFont="1" applyBorder="1" applyAlignment="1" applyProtection="1">
      <alignment vertical="center"/>
      <protection hidden="1"/>
    </xf>
    <xf numFmtId="0" fontId="75" fillId="0" borderId="119" xfId="0" applyFont="1" applyBorder="1" applyAlignment="1" applyProtection="1">
      <alignment horizontal="left" vertical="center" indent="1"/>
      <protection hidden="1"/>
    </xf>
    <xf numFmtId="0" fontId="77" fillId="0" borderId="119" xfId="0" applyFont="1" applyBorder="1" applyProtection="1">
      <protection hidden="1"/>
    </xf>
    <xf numFmtId="0" fontId="78" fillId="0" borderId="119" xfId="0" applyFont="1" applyBorder="1" applyAlignment="1" applyProtection="1">
      <alignment vertical="center"/>
      <protection hidden="1"/>
    </xf>
    <xf numFmtId="0" fontId="74" fillId="0" borderId="119" xfId="0" applyFont="1" applyBorder="1" applyAlignment="1" applyProtection="1">
      <alignment horizontal="left" vertical="center" indent="4"/>
      <protection hidden="1"/>
    </xf>
    <xf numFmtId="0" fontId="75" fillId="0" borderId="0" xfId="0" applyFont="1" applyAlignment="1" applyProtection="1">
      <alignment horizontal="left" vertical="center" wrapText="1"/>
      <protection hidden="1"/>
    </xf>
    <xf numFmtId="0" fontId="6" fillId="0" borderId="115" xfId="0" applyFont="1" applyBorder="1" applyProtection="1">
      <protection hidden="1"/>
    </xf>
    <xf numFmtId="0" fontId="73" fillId="0" borderId="116" xfId="0" applyFont="1" applyBorder="1" applyAlignment="1" applyProtection="1">
      <alignment horizontal="center" vertical="center"/>
      <protection hidden="1"/>
    </xf>
    <xf numFmtId="0" fontId="45" fillId="0" borderId="116" xfId="0" applyFont="1" applyBorder="1" applyProtection="1">
      <protection hidden="1"/>
    </xf>
    <xf numFmtId="0" fontId="84" fillId="0" borderId="121" xfId="0" applyFont="1" applyBorder="1" applyAlignment="1" applyProtection="1">
      <alignment horizontal="right"/>
      <protection hidden="1"/>
    </xf>
    <xf numFmtId="0" fontId="75" fillId="0" borderId="0" xfId="0" applyFont="1" applyAlignment="1" applyProtection="1">
      <alignment horizontal="center"/>
      <protection hidden="1"/>
    </xf>
    <xf numFmtId="0" fontId="77" fillId="0" borderId="0" xfId="0" applyFont="1" applyProtection="1">
      <protection hidden="1"/>
    </xf>
    <xf numFmtId="0" fontId="6" fillId="0" borderId="121" xfId="0" applyFont="1" applyBorder="1" applyProtection="1">
      <protection hidden="1"/>
    </xf>
    <xf numFmtId="0" fontId="78" fillId="0" borderId="0" xfId="0" applyFont="1" applyProtection="1">
      <protection hidden="1"/>
    </xf>
    <xf numFmtId="0" fontId="75" fillId="0" borderId="0" xfId="0" applyFont="1" applyProtection="1">
      <protection hidden="1"/>
    </xf>
    <xf numFmtId="0" fontId="47" fillId="0" borderId="121" xfId="0" applyFont="1" applyBorder="1" applyAlignment="1" applyProtection="1">
      <alignment horizontal="right"/>
      <protection hidden="1"/>
    </xf>
    <xf numFmtId="0" fontId="86" fillId="0" borderId="0" xfId="0" applyFont="1" applyProtection="1">
      <protection hidden="1"/>
    </xf>
    <xf numFmtId="0" fontId="41" fillId="0" borderId="122" xfId="0" applyFont="1" applyBorder="1" applyProtection="1">
      <protection hidden="1"/>
    </xf>
    <xf numFmtId="0" fontId="37" fillId="0" borderId="121" xfId="0" applyFont="1" applyBorder="1" applyProtection="1">
      <protection hidden="1"/>
    </xf>
    <xf numFmtId="0" fontId="6" fillId="0" borderId="121" xfId="0" applyFont="1" applyBorder="1" applyAlignment="1" applyProtection="1">
      <alignment horizontal="right"/>
      <protection hidden="1"/>
    </xf>
    <xf numFmtId="165" fontId="15" fillId="0" borderId="122" xfId="5" applyFont="1" applyBorder="1" applyProtection="1">
      <protection hidden="1"/>
    </xf>
    <xf numFmtId="0" fontId="78" fillId="0" borderId="0" xfId="0" applyFont="1" applyAlignment="1" applyProtection="1">
      <alignment horizontal="right"/>
      <protection hidden="1"/>
    </xf>
    <xf numFmtId="0" fontId="78" fillId="0" borderId="0" xfId="0" applyFont="1" applyAlignment="1" applyProtection="1">
      <alignment horizontal="left"/>
      <protection hidden="1"/>
    </xf>
    <xf numFmtId="4" fontId="15" fillId="0" borderId="122" xfId="0" applyNumberFormat="1" applyFont="1" applyBorder="1" applyProtection="1">
      <protection hidden="1"/>
    </xf>
    <xf numFmtId="0" fontId="0" fillId="0" borderId="0" xfId="0" applyAlignment="1">
      <alignment horizontal="left" vertical="center" wrapText="1"/>
    </xf>
    <xf numFmtId="0" fontId="4" fillId="0" borderId="123" xfId="0" applyFont="1" applyBorder="1" applyProtection="1">
      <protection hidden="1"/>
    </xf>
    <xf numFmtId="0" fontId="4" fillId="0" borderId="124" xfId="0" applyFont="1" applyBorder="1" applyProtection="1">
      <protection hidden="1"/>
    </xf>
    <xf numFmtId="0" fontId="4" fillId="0" borderId="130" xfId="0" applyFont="1" applyBorder="1" applyProtection="1">
      <protection hidden="1"/>
    </xf>
    <xf numFmtId="4" fontId="78" fillId="0" borderId="114" xfId="0" applyNumberFormat="1" applyFont="1" applyBorder="1" applyAlignment="1" applyProtection="1">
      <alignment vertical="center"/>
      <protection hidden="1"/>
    </xf>
    <xf numFmtId="4" fontId="75" fillId="0" borderId="114" xfId="0" applyNumberFormat="1" applyFont="1" applyBorder="1" applyAlignment="1" applyProtection="1">
      <alignment vertical="center"/>
      <protection hidden="1"/>
    </xf>
    <xf numFmtId="0" fontId="73" fillId="0" borderId="134" xfId="0" applyFont="1" applyBorder="1" applyAlignment="1" applyProtection="1">
      <alignment horizontal="center" vertical="center"/>
      <protection hidden="1"/>
    </xf>
    <xf numFmtId="0" fontId="92" fillId="0" borderId="0" xfId="0" applyFont="1" applyAlignment="1" applyProtection="1">
      <alignment horizontal="center" vertical="center" wrapText="1"/>
      <protection hidden="1"/>
    </xf>
    <xf numFmtId="0" fontId="93" fillId="0" borderId="0" xfId="0" applyFont="1" applyAlignment="1" applyProtection="1">
      <alignment horizontal="center" vertical="center" wrapText="1"/>
      <protection hidden="1"/>
    </xf>
    <xf numFmtId="0" fontId="92" fillId="0" borderId="0" xfId="0" applyFont="1" applyAlignment="1" applyProtection="1">
      <alignment vertical="center" wrapText="1"/>
      <protection hidden="1"/>
    </xf>
    <xf numFmtId="0" fontId="92" fillId="0" borderId="0" xfId="0" applyFont="1" applyAlignment="1" applyProtection="1">
      <alignment horizontal="left" vertical="center" wrapText="1"/>
      <protection hidden="1"/>
    </xf>
    <xf numFmtId="0" fontId="26" fillId="0" borderId="0" xfId="0" applyFont="1" applyAlignment="1" applyProtection="1">
      <alignment horizontal="justify" vertical="center" wrapText="1"/>
      <protection hidden="1"/>
    </xf>
    <xf numFmtId="0" fontId="12" fillId="0" borderId="15" xfId="0" applyFont="1" applyBorder="1" applyAlignment="1">
      <alignment vertical="center"/>
    </xf>
    <xf numFmtId="0" fontId="10" fillId="15" borderId="0" xfId="0" applyFont="1" applyFill="1" applyAlignment="1">
      <alignment horizontal="center" vertical="center" wrapText="1"/>
    </xf>
    <xf numFmtId="0" fontId="23" fillId="15" borderId="0" xfId="0" applyFont="1" applyFill="1" applyAlignment="1">
      <alignment horizontal="center" vertical="center" wrapText="1"/>
    </xf>
    <xf numFmtId="0" fontId="14" fillId="14" borderId="62" xfId="0" applyFont="1" applyFill="1" applyBorder="1" applyAlignment="1">
      <alignment horizontal="left" vertical="center"/>
    </xf>
    <xf numFmtId="0" fontId="14" fillId="14" borderId="78" xfId="0" applyFont="1" applyFill="1" applyBorder="1" applyAlignment="1">
      <alignment horizontal="left" vertical="center"/>
    </xf>
    <xf numFmtId="0" fontId="14" fillId="14" borderId="63" xfId="0" applyFont="1" applyFill="1" applyBorder="1" applyAlignment="1">
      <alignment horizontal="left" vertical="center"/>
    </xf>
    <xf numFmtId="0" fontId="14" fillId="0" borderId="0" xfId="0" applyFont="1" applyAlignment="1">
      <alignment horizontal="center" vertical="center"/>
    </xf>
    <xf numFmtId="0" fontId="14" fillId="0" borderId="36" xfId="0" applyFont="1" applyBorder="1" applyAlignment="1">
      <alignment horizontal="center" vertical="center"/>
    </xf>
    <xf numFmtId="0" fontId="30" fillId="0" borderId="0" xfId="0" applyFont="1" applyAlignment="1" applyProtection="1">
      <alignment horizontal="left" vertical="center"/>
      <protection hidden="1"/>
    </xf>
    <xf numFmtId="0" fontId="14" fillId="13" borderId="3" xfId="0" applyFont="1" applyFill="1" applyBorder="1" applyAlignment="1" applyProtection="1">
      <alignment horizontal="left" vertical="center"/>
      <protection locked="0"/>
    </xf>
    <xf numFmtId="0" fontId="16" fillId="0" borderId="71" xfId="0" applyFont="1" applyBorder="1" applyAlignment="1" applyProtection="1">
      <alignment horizontal="left" vertical="center"/>
      <protection hidden="1"/>
    </xf>
    <xf numFmtId="0" fontId="14" fillId="14" borderId="64" xfId="0" applyFont="1" applyFill="1" applyBorder="1" applyAlignment="1" applyProtection="1">
      <alignment horizontal="left" vertical="center"/>
      <protection hidden="1"/>
    </xf>
    <xf numFmtId="0" fontId="14" fillId="14" borderId="65" xfId="0" applyFont="1" applyFill="1" applyBorder="1" applyAlignment="1" applyProtection="1">
      <alignment horizontal="left" vertical="center"/>
      <protection hidden="1"/>
    </xf>
    <xf numFmtId="3" fontId="35" fillId="0" borderId="0" xfId="0" applyNumberFormat="1" applyFont="1" applyAlignment="1" applyProtection="1">
      <alignment horizontal="left" vertical="top" wrapText="1"/>
      <protection hidden="1"/>
    </xf>
    <xf numFmtId="0" fontId="35" fillId="0" borderId="0" xfId="0" applyFont="1" applyAlignment="1" applyProtection="1">
      <alignment horizontal="left" vertical="center" wrapText="1"/>
      <protection hidden="1"/>
    </xf>
    <xf numFmtId="0" fontId="14" fillId="14" borderId="60" xfId="0" applyFont="1" applyFill="1" applyBorder="1" applyAlignment="1">
      <alignment horizontal="left" vertical="center"/>
    </xf>
    <xf numFmtId="0" fontId="14" fillId="14" borderId="61" xfId="0" applyFont="1" applyFill="1" applyBorder="1" applyAlignment="1">
      <alignment horizontal="left" vertical="center"/>
    </xf>
    <xf numFmtId="0" fontId="14" fillId="13" borderId="70" xfId="0" applyFont="1" applyFill="1" applyBorder="1" applyAlignment="1" applyProtection="1">
      <alignment horizontal="left"/>
      <protection locked="0"/>
    </xf>
    <xf numFmtId="0" fontId="14" fillId="13" borderId="0" xfId="0" applyFont="1" applyFill="1" applyAlignment="1" applyProtection="1">
      <alignment horizontal="left"/>
      <protection locked="0"/>
    </xf>
    <xf numFmtId="0" fontId="52" fillId="13" borderId="0" xfId="28" applyFill="1" applyAlignment="1" applyProtection="1">
      <alignment horizontal="left"/>
      <protection locked="0"/>
    </xf>
    <xf numFmtId="0" fontId="30" fillId="14" borderId="103" xfId="0" applyFont="1" applyFill="1" applyBorder="1" applyAlignment="1" applyProtection="1">
      <alignment horizontal="left" vertical="center"/>
      <protection hidden="1"/>
    </xf>
    <xf numFmtId="0" fontId="30" fillId="14" borderId="104" xfId="0" applyFont="1" applyFill="1" applyBorder="1" applyAlignment="1" applyProtection="1">
      <alignment horizontal="left" vertical="center"/>
      <protection hidden="1"/>
    </xf>
    <xf numFmtId="0" fontId="14" fillId="14" borderId="102" xfId="0" applyFont="1" applyFill="1" applyBorder="1" applyAlignment="1">
      <alignment vertical="center"/>
    </xf>
    <xf numFmtId="0" fontId="14" fillId="14" borderId="104" xfId="0" applyFont="1" applyFill="1" applyBorder="1" applyAlignment="1">
      <alignment vertical="center"/>
    </xf>
    <xf numFmtId="0" fontId="14" fillId="0" borderId="0" xfId="0" applyFont="1" applyAlignment="1" applyProtection="1">
      <alignment horizontal="center" vertical="center" wrapText="1"/>
      <protection hidden="1"/>
    </xf>
    <xf numFmtId="9" fontId="30" fillId="0" borderId="0" xfId="14" applyFont="1" applyFill="1" applyBorder="1" applyAlignment="1" applyProtection="1">
      <alignment horizontal="center" vertical="center"/>
      <protection locked="0"/>
    </xf>
    <xf numFmtId="0" fontId="14" fillId="0" borderId="0" xfId="0" applyFont="1" applyAlignment="1" applyProtection="1">
      <alignment vertical="center" wrapText="1"/>
      <protection hidden="1"/>
    </xf>
    <xf numFmtId="9" fontId="56" fillId="0" borderId="0" xfId="14" applyFont="1" applyBorder="1" applyAlignment="1" applyProtection="1">
      <alignment horizontal="center" vertical="center"/>
      <protection locked="0"/>
    </xf>
    <xf numFmtId="0" fontId="35" fillId="0" borderId="0" xfId="0" applyFont="1" applyAlignment="1" applyProtection="1">
      <alignment horizontal="left" vertical="center"/>
      <protection hidden="1"/>
    </xf>
    <xf numFmtId="0" fontId="35" fillId="0" borderId="113" xfId="0" applyFont="1" applyBorder="1" applyAlignment="1" applyProtection="1">
      <alignment horizontal="left" vertical="center"/>
      <protection hidden="1"/>
    </xf>
    <xf numFmtId="0" fontId="31" fillId="0" borderId="0" xfId="0" applyFont="1" applyAlignment="1" applyProtection="1">
      <alignment horizontal="center" vertical="center"/>
      <protection hidden="1"/>
    </xf>
    <xf numFmtId="0" fontId="32" fillId="0" borderId="0" xfId="0" applyFont="1" applyAlignment="1" applyProtection="1">
      <alignment horizontal="center"/>
      <protection locked="0" hidden="1"/>
    </xf>
    <xf numFmtId="0" fontId="32" fillId="14" borderId="17" xfId="0" applyFont="1" applyFill="1" applyBorder="1" applyAlignment="1" applyProtection="1">
      <alignment horizontal="center"/>
      <protection locked="0" hidden="1"/>
    </xf>
    <xf numFmtId="0" fontId="32" fillId="14" borderId="26" xfId="0" applyFont="1" applyFill="1" applyBorder="1" applyAlignment="1" applyProtection="1">
      <alignment horizontal="center"/>
      <protection locked="0" hidden="1"/>
    </xf>
    <xf numFmtId="0" fontId="32" fillId="14" borderId="25" xfId="0" applyFont="1" applyFill="1" applyBorder="1" applyAlignment="1" applyProtection="1">
      <alignment horizontal="center"/>
      <protection locked="0" hidden="1"/>
    </xf>
    <xf numFmtId="0" fontId="32" fillId="17" borderId="17" xfId="0" applyFont="1" applyFill="1" applyBorder="1" applyAlignment="1" applyProtection="1">
      <alignment horizontal="center"/>
      <protection locked="0" hidden="1"/>
    </xf>
    <xf numFmtId="0" fontId="32" fillId="17" borderId="26" xfId="0" applyFont="1" applyFill="1" applyBorder="1" applyAlignment="1" applyProtection="1">
      <alignment horizontal="center"/>
      <protection locked="0" hidden="1"/>
    </xf>
    <xf numFmtId="0" fontId="32" fillId="16" borderId="17" xfId="0" applyFont="1" applyFill="1" applyBorder="1" applyAlignment="1" applyProtection="1">
      <alignment horizontal="center"/>
      <protection locked="0" hidden="1"/>
    </xf>
    <xf numFmtId="0" fontId="32" fillId="16" borderId="26" xfId="0" applyFont="1" applyFill="1" applyBorder="1" applyAlignment="1" applyProtection="1">
      <alignment horizontal="center"/>
      <protection locked="0" hidden="1"/>
    </xf>
    <xf numFmtId="0" fontId="39" fillId="64" borderId="101" xfId="0" applyFont="1" applyFill="1" applyBorder="1" applyAlignment="1" applyProtection="1">
      <alignment horizontal="center" vertical="center"/>
      <protection hidden="1"/>
    </xf>
    <xf numFmtId="0" fontId="39" fillId="64" borderId="0" xfId="0" applyFont="1" applyFill="1" applyAlignment="1" applyProtection="1">
      <alignment horizontal="center" vertical="center"/>
      <protection hidden="1"/>
    </xf>
    <xf numFmtId="0" fontId="39" fillId="11" borderId="46" xfId="0" applyFont="1" applyFill="1" applyBorder="1" applyAlignment="1" applyProtection="1">
      <alignment horizontal="center" vertical="center"/>
      <protection hidden="1"/>
    </xf>
    <xf numFmtId="0" fontId="39" fillId="11" borderId="47" xfId="0" applyFont="1" applyFill="1" applyBorder="1" applyAlignment="1" applyProtection="1">
      <alignment horizontal="center" vertical="center"/>
      <protection hidden="1"/>
    </xf>
    <xf numFmtId="0" fontId="39" fillId="64" borderId="46" xfId="0" applyFont="1" applyFill="1" applyBorder="1" applyAlignment="1" applyProtection="1">
      <alignment horizontal="center" vertical="center"/>
      <protection hidden="1"/>
    </xf>
    <xf numFmtId="0" fontId="39" fillId="64" borderId="47" xfId="0" applyFont="1" applyFill="1" applyBorder="1" applyAlignment="1" applyProtection="1">
      <alignment horizontal="center" vertical="center"/>
      <protection hidden="1"/>
    </xf>
    <xf numFmtId="0" fontId="38" fillId="6" borderId="99" xfId="0" applyFont="1" applyFill="1" applyBorder="1" applyAlignment="1" applyProtection="1">
      <alignment horizontal="center"/>
      <protection locked="0" hidden="1"/>
    </xf>
    <xf numFmtId="0" fontId="38" fillId="6" borderId="5" xfId="0" applyFont="1" applyFill="1" applyBorder="1" applyAlignment="1" applyProtection="1">
      <alignment horizontal="center"/>
      <protection locked="0" hidden="1"/>
    </xf>
    <xf numFmtId="0" fontId="37" fillId="8" borderId="4" xfId="0" applyFont="1" applyFill="1" applyBorder="1" applyAlignment="1" applyProtection="1">
      <alignment horizontal="center"/>
      <protection locked="0" hidden="1"/>
    </xf>
    <xf numFmtId="0" fontId="37" fillId="8" borderId="100" xfId="0" applyFont="1" applyFill="1" applyBorder="1" applyAlignment="1" applyProtection="1">
      <alignment horizontal="center"/>
      <protection locked="0" hidden="1"/>
    </xf>
    <xf numFmtId="0" fontId="32" fillId="0" borderId="75" xfId="0" applyFont="1" applyBorder="1" applyAlignment="1" applyProtection="1">
      <alignment horizontal="center"/>
      <protection locked="0" hidden="1"/>
    </xf>
    <xf numFmtId="0" fontId="32" fillId="0" borderId="76" xfId="0" applyFont="1" applyBorder="1" applyAlignment="1" applyProtection="1">
      <alignment horizontal="center"/>
      <protection locked="0" hidden="1"/>
    </xf>
    <xf numFmtId="0" fontId="32" fillId="0" borderId="67" xfId="0" applyFont="1" applyBorder="1" applyAlignment="1" applyProtection="1">
      <alignment horizontal="center"/>
      <protection locked="0" hidden="1"/>
    </xf>
    <xf numFmtId="0" fontId="32" fillId="19" borderId="17" xfId="0" applyFont="1" applyFill="1" applyBorder="1" applyAlignment="1" applyProtection="1">
      <alignment horizontal="center"/>
      <protection locked="0" hidden="1"/>
    </xf>
    <xf numFmtId="0" fontId="32" fillId="19" borderId="26" xfId="0" applyFont="1" applyFill="1" applyBorder="1" applyAlignment="1" applyProtection="1">
      <alignment horizontal="center"/>
      <protection locked="0" hidden="1"/>
    </xf>
    <xf numFmtId="0" fontId="37" fillId="8" borderId="5" xfId="0" applyFont="1" applyFill="1" applyBorder="1" applyAlignment="1" applyProtection="1">
      <alignment horizontal="center"/>
      <protection locked="0" hidden="1"/>
    </xf>
    <xf numFmtId="0" fontId="23" fillId="0" borderId="41" xfId="0" applyFont="1" applyBorder="1" applyAlignment="1" applyProtection="1">
      <alignment horizontal="center" wrapText="1"/>
      <protection hidden="1"/>
    </xf>
    <xf numFmtId="0" fontId="23" fillId="0" borderId="0" xfId="0" applyFont="1" applyAlignment="1" applyProtection="1">
      <alignment horizontal="center" wrapText="1"/>
      <protection hidden="1"/>
    </xf>
    <xf numFmtId="166" fontId="14" fillId="0" borderId="42" xfId="5" applyNumberFormat="1" applyFont="1" applyFill="1" applyBorder="1" applyAlignment="1" applyProtection="1">
      <alignment horizontal="center" vertical="center"/>
      <protection hidden="1"/>
    </xf>
    <xf numFmtId="166" fontId="14" fillId="0" borderId="43" xfId="5" applyNumberFormat="1" applyFont="1" applyFill="1" applyBorder="1" applyAlignment="1" applyProtection="1">
      <alignment horizontal="center" vertical="center"/>
      <protection hidden="1"/>
    </xf>
    <xf numFmtId="166" fontId="14" fillId="0" borderId="44" xfId="5" applyNumberFormat="1" applyFont="1" applyFill="1" applyBorder="1" applyAlignment="1" applyProtection="1">
      <alignment horizontal="center" vertical="center"/>
      <protection hidden="1"/>
    </xf>
    <xf numFmtId="0" fontId="14" fillId="0" borderId="45" xfId="0" applyFont="1" applyBorder="1" applyAlignment="1" applyProtection="1">
      <alignment horizontal="center" vertical="center" wrapText="1"/>
      <protection hidden="1"/>
    </xf>
    <xf numFmtId="0" fontId="14" fillId="0" borderId="27" xfId="0" applyFont="1" applyBorder="1" applyAlignment="1" applyProtection="1">
      <alignment horizontal="center" vertical="center"/>
      <protection hidden="1"/>
    </xf>
    <xf numFmtId="0" fontId="14" fillId="0" borderId="28" xfId="0" applyFont="1" applyBorder="1" applyAlignment="1" applyProtection="1">
      <alignment horizontal="center" vertical="center"/>
      <protection hidden="1"/>
    </xf>
    <xf numFmtId="14" fontId="31" fillId="0" borderId="0" xfId="0" applyNumberFormat="1" applyFont="1" applyAlignment="1" applyProtection="1">
      <alignment horizontal="center" vertical="center"/>
      <protection hidden="1"/>
    </xf>
    <xf numFmtId="166" fontId="14" fillId="0" borderId="42" xfId="5" applyNumberFormat="1" applyFont="1" applyFill="1" applyBorder="1" applyAlignment="1" applyProtection="1">
      <alignment horizontal="center" vertical="center" wrapText="1"/>
      <protection hidden="1"/>
    </xf>
    <xf numFmtId="166" fontId="14" fillId="0" borderId="43" xfId="5" applyNumberFormat="1" applyFont="1" applyFill="1" applyBorder="1" applyAlignment="1" applyProtection="1">
      <alignment horizontal="center" vertical="center" wrapText="1"/>
      <protection hidden="1"/>
    </xf>
    <xf numFmtId="166" fontId="14" fillId="0" borderId="44" xfId="5" applyNumberFormat="1" applyFont="1" applyFill="1" applyBorder="1" applyAlignment="1" applyProtection="1">
      <alignment horizontal="center" vertical="center" wrapText="1"/>
      <protection hidden="1"/>
    </xf>
    <xf numFmtId="0" fontId="14" fillId="0" borderId="42" xfId="0" applyFont="1" applyBorder="1" applyAlignment="1" applyProtection="1">
      <alignment horizontal="center" vertical="center" wrapText="1"/>
      <protection hidden="1"/>
    </xf>
    <xf numFmtId="0" fontId="14" fillId="0" borderId="43" xfId="0" applyFont="1" applyBorder="1" applyAlignment="1" applyProtection="1">
      <alignment horizontal="center" vertical="center"/>
      <protection hidden="1"/>
    </xf>
    <xf numFmtId="0" fontId="14" fillId="0" borderId="44" xfId="0" applyFont="1" applyBorder="1" applyAlignment="1" applyProtection="1">
      <alignment horizontal="center" vertical="center"/>
      <protection hidden="1"/>
    </xf>
    <xf numFmtId="0" fontId="75" fillId="0" borderId="116" xfId="0" quotePrefix="1" applyFont="1" applyBorder="1" applyAlignment="1" applyProtection="1">
      <alignment horizontal="left" vertical="center"/>
      <protection hidden="1"/>
    </xf>
    <xf numFmtId="0" fontId="91" fillId="64" borderId="0" xfId="0" applyFont="1" applyFill="1" applyAlignment="1" applyProtection="1">
      <alignment horizontal="left" vertical="center"/>
      <protection hidden="1"/>
    </xf>
    <xf numFmtId="0" fontId="72" fillId="0" borderId="126" xfId="0" quotePrefix="1" applyFont="1" applyBorder="1" applyAlignment="1" applyProtection="1">
      <alignment horizontal="center" vertical="center" wrapText="1"/>
      <protection hidden="1"/>
    </xf>
    <xf numFmtId="0" fontId="72" fillId="0" borderId="127" xfId="0" quotePrefix="1" applyFont="1" applyBorder="1" applyAlignment="1" applyProtection="1">
      <alignment horizontal="center" vertical="center" wrapText="1"/>
      <protection hidden="1"/>
    </xf>
    <xf numFmtId="0" fontId="72" fillId="0" borderId="129" xfId="0" quotePrefix="1" applyFont="1" applyBorder="1" applyAlignment="1" applyProtection="1">
      <alignment horizontal="center" vertical="center" wrapText="1"/>
      <protection hidden="1"/>
    </xf>
    <xf numFmtId="0" fontId="75" fillId="0" borderId="123" xfId="0" applyFont="1" applyBorder="1" applyAlignment="1" applyProtection="1">
      <alignment horizontal="center" vertical="center" wrapText="1"/>
      <protection hidden="1"/>
    </xf>
    <xf numFmtId="0" fontId="75" fillId="0" borderId="124" xfId="0" applyFont="1" applyBorder="1" applyAlignment="1" applyProtection="1">
      <alignment horizontal="center" vertical="center" wrapText="1"/>
      <protection hidden="1"/>
    </xf>
    <xf numFmtId="0" fontId="75" fillId="0" borderId="130" xfId="0" applyFont="1" applyBorder="1" applyAlignment="1" applyProtection="1">
      <alignment horizontal="center" vertical="center" wrapText="1"/>
      <protection hidden="1"/>
    </xf>
    <xf numFmtId="0" fontId="78" fillId="0" borderId="121" xfId="0" applyFont="1" applyBorder="1" applyAlignment="1" applyProtection="1">
      <alignment horizontal="center" vertical="center"/>
      <protection hidden="1"/>
    </xf>
    <xf numFmtId="0" fontId="78" fillId="0" borderId="0" xfId="0" applyFont="1" applyAlignment="1" applyProtection="1">
      <alignment horizontal="center" vertical="center"/>
      <protection hidden="1"/>
    </xf>
    <xf numFmtId="0" fontId="78" fillId="0" borderId="131" xfId="0" applyFont="1" applyBorder="1" applyAlignment="1" applyProtection="1">
      <alignment horizontal="center" vertical="center"/>
      <protection hidden="1"/>
    </xf>
    <xf numFmtId="0" fontId="75" fillId="0" borderId="121" xfId="0" applyFont="1" applyBorder="1" applyAlignment="1" applyProtection="1">
      <alignment horizontal="center" vertical="center"/>
      <protection hidden="1"/>
    </xf>
    <xf numFmtId="0" fontId="75" fillId="0" borderId="0" xfId="0" applyFont="1" applyAlignment="1" applyProtection="1">
      <alignment horizontal="center" vertical="center"/>
      <protection hidden="1"/>
    </xf>
    <xf numFmtId="0" fontId="75" fillId="0" borderId="131" xfId="0" applyFont="1" applyBorder="1" applyAlignment="1" applyProtection="1">
      <alignment horizontal="center" vertical="center"/>
      <protection hidden="1"/>
    </xf>
    <xf numFmtId="0" fontId="75" fillId="0" borderId="121" xfId="0" applyFont="1" applyBorder="1" applyAlignment="1" applyProtection="1">
      <alignment horizontal="center" vertical="center" wrapText="1"/>
      <protection hidden="1"/>
    </xf>
    <xf numFmtId="0" fontId="75" fillId="0" borderId="0" xfId="0" applyFont="1" applyAlignment="1" applyProtection="1">
      <alignment horizontal="center" vertical="center" wrapText="1"/>
      <protection hidden="1"/>
    </xf>
    <xf numFmtId="0" fontId="75" fillId="0" borderId="122" xfId="0" applyFont="1" applyBorder="1" applyAlignment="1" applyProtection="1">
      <alignment horizontal="center" vertical="center" wrapText="1"/>
      <protection hidden="1"/>
    </xf>
    <xf numFmtId="0" fontId="95" fillId="0" borderId="118" xfId="0" applyFont="1" applyBorder="1" applyAlignment="1" applyProtection="1">
      <alignment horizontal="center" vertical="top" wrapText="1"/>
      <protection hidden="1"/>
    </xf>
    <xf numFmtId="0" fontId="95" fillId="0" borderId="119" xfId="0" applyFont="1" applyBorder="1" applyAlignment="1" applyProtection="1">
      <alignment horizontal="center" vertical="top" wrapText="1"/>
      <protection hidden="1"/>
    </xf>
    <xf numFmtId="0" fontId="95" fillId="0" borderId="120" xfId="0" applyFont="1" applyBorder="1" applyAlignment="1" applyProtection="1">
      <alignment horizontal="center" vertical="top" wrapText="1"/>
      <protection hidden="1"/>
    </xf>
    <xf numFmtId="0" fontId="74" fillId="0" borderId="124" xfId="0" applyFont="1" applyBorder="1" applyAlignment="1" applyProtection="1">
      <alignment horizontal="left" vertical="center" wrapText="1" indent="2"/>
      <protection hidden="1"/>
    </xf>
    <xf numFmtId="0" fontId="74" fillId="0" borderId="124" xfId="0" applyFont="1" applyBorder="1" applyAlignment="1" applyProtection="1">
      <alignment horizontal="left" vertical="center" wrapText="1" indent="1"/>
      <protection hidden="1"/>
    </xf>
    <xf numFmtId="0" fontId="74" fillId="0" borderId="124" xfId="0" applyFont="1" applyBorder="1" applyAlignment="1" applyProtection="1">
      <alignment horizontal="left" vertical="center" wrapText="1"/>
      <protection hidden="1"/>
    </xf>
    <xf numFmtId="0" fontId="74" fillId="0" borderId="125" xfId="0" applyFont="1" applyBorder="1" applyAlignment="1" applyProtection="1">
      <alignment horizontal="left" vertical="center" wrapText="1"/>
      <protection hidden="1"/>
    </xf>
    <xf numFmtId="0" fontId="79" fillId="0" borderId="115" xfId="0" applyFont="1" applyBorder="1" applyAlignment="1" applyProtection="1">
      <alignment horizontal="left" vertical="center" wrapText="1" indent="2"/>
      <protection hidden="1"/>
    </xf>
    <xf numFmtId="0" fontId="79" fillId="0" borderId="116" xfId="0" applyFont="1" applyBorder="1" applyAlignment="1" applyProtection="1">
      <alignment horizontal="left" vertical="center" wrapText="1" indent="2"/>
      <protection hidden="1"/>
    </xf>
    <xf numFmtId="0" fontId="79" fillId="0" borderId="117" xfId="0" applyFont="1" applyBorder="1" applyAlignment="1" applyProtection="1">
      <alignment horizontal="left" vertical="center" wrapText="1" indent="2"/>
      <protection hidden="1"/>
    </xf>
    <xf numFmtId="0" fontId="82" fillId="0" borderId="121" xfId="0" applyFont="1" applyBorder="1" applyAlignment="1" applyProtection="1">
      <alignment horizontal="left" vertical="center" wrapText="1" indent="2"/>
      <protection hidden="1"/>
    </xf>
    <xf numFmtId="0" fontId="75" fillId="0" borderId="0" xfId="0" applyFont="1" applyAlignment="1" applyProtection="1">
      <alignment horizontal="left" vertical="center" wrapText="1" indent="2"/>
      <protection hidden="1"/>
    </xf>
    <xf numFmtId="0" fontId="0" fillId="0" borderId="122" xfId="0" applyBorder="1" applyAlignment="1">
      <alignment horizontal="left" vertical="center" wrapText="1" indent="2"/>
    </xf>
    <xf numFmtId="0" fontId="82" fillId="0" borderId="118" xfId="0" applyFont="1" applyBorder="1" applyAlignment="1" applyProtection="1">
      <alignment horizontal="left" vertical="center" wrapText="1" indent="2"/>
      <protection hidden="1"/>
    </xf>
    <xf numFmtId="0" fontId="75" fillId="0" borderId="119" xfId="0" applyFont="1" applyBorder="1" applyAlignment="1" applyProtection="1">
      <alignment horizontal="left" vertical="center" wrapText="1" indent="2"/>
      <protection hidden="1"/>
    </xf>
    <xf numFmtId="0" fontId="0" fillId="0" borderId="120" xfId="0" applyBorder="1" applyAlignment="1">
      <alignment horizontal="left" vertical="center" wrapText="1" indent="2"/>
    </xf>
    <xf numFmtId="0" fontId="74" fillId="0" borderId="127" xfId="0" applyFont="1" applyBorder="1" applyAlignment="1" applyProtection="1">
      <alignment horizontal="left" vertical="center" wrapText="1" indent="2"/>
      <protection hidden="1"/>
    </xf>
    <xf numFmtId="0" fontId="74" fillId="0" borderId="127" xfId="0" applyFont="1" applyBorder="1" applyAlignment="1" applyProtection="1">
      <alignment horizontal="left" vertical="center" wrapText="1" indent="1"/>
      <protection hidden="1"/>
    </xf>
    <xf numFmtId="0" fontId="74" fillId="0" borderId="127" xfId="0" applyFont="1" applyBorder="1" applyAlignment="1" applyProtection="1">
      <alignment horizontal="left" vertical="center" wrapText="1"/>
      <protection hidden="1"/>
    </xf>
    <xf numFmtId="0" fontId="74" fillId="0" borderId="128" xfId="0" applyFont="1" applyBorder="1" applyAlignment="1" applyProtection="1">
      <alignment horizontal="left" vertical="center" wrapText="1"/>
      <protection hidden="1"/>
    </xf>
    <xf numFmtId="0" fontId="74" fillId="0" borderId="0" xfId="0" applyFont="1" applyAlignment="1" applyProtection="1">
      <alignment horizontal="left" vertical="center" wrapText="1" indent="2"/>
      <protection hidden="1"/>
    </xf>
    <xf numFmtId="0" fontId="74" fillId="0" borderId="0" xfId="0" applyFont="1" applyAlignment="1" applyProtection="1">
      <alignment horizontal="left" vertical="center" wrapText="1" indent="1"/>
      <protection hidden="1"/>
    </xf>
    <xf numFmtId="0" fontId="74" fillId="0" borderId="0" xfId="0" applyFont="1" applyAlignment="1" applyProtection="1">
      <alignment horizontal="left" vertical="center" wrapText="1"/>
      <protection hidden="1"/>
    </xf>
    <xf numFmtId="0" fontId="74" fillId="0" borderId="122" xfId="0" applyFont="1" applyBorder="1" applyAlignment="1" applyProtection="1">
      <alignment horizontal="left" vertical="center" wrapText="1"/>
      <protection hidden="1"/>
    </xf>
    <xf numFmtId="0" fontId="75" fillId="0" borderId="124" xfId="0" applyFont="1" applyBorder="1" applyAlignment="1" applyProtection="1">
      <alignment horizontal="left" vertical="center" wrapText="1"/>
      <protection hidden="1"/>
    </xf>
    <xf numFmtId="0" fontId="0" fillId="0" borderId="125" xfId="0" applyBorder="1" applyAlignment="1">
      <alignment horizontal="left" vertical="center" wrapText="1"/>
    </xf>
    <xf numFmtId="0" fontId="75" fillId="0" borderId="116" xfId="0" applyFont="1" applyBorder="1" applyAlignment="1" applyProtection="1">
      <alignment horizontal="left" vertical="center" wrapText="1"/>
      <protection hidden="1"/>
    </xf>
    <xf numFmtId="0" fontId="75" fillId="0" borderId="117" xfId="0" applyFont="1" applyBorder="1" applyAlignment="1" applyProtection="1">
      <alignment horizontal="left" vertical="center" wrapText="1"/>
      <protection hidden="1"/>
    </xf>
    <xf numFmtId="0" fontId="75" fillId="0" borderId="0" xfId="0" applyFont="1" applyAlignment="1" applyProtection="1">
      <alignment horizontal="left" vertical="center" wrapText="1"/>
      <protection hidden="1"/>
    </xf>
    <xf numFmtId="0" fontId="0" fillId="0" borderId="0" xfId="0" applyAlignment="1">
      <alignment horizontal="left" vertical="center" wrapText="1"/>
    </xf>
    <xf numFmtId="0" fontId="0" fillId="0" borderId="122" xfId="0" applyBorder="1" applyAlignment="1">
      <alignment horizontal="left" vertical="center" wrapText="1"/>
    </xf>
    <xf numFmtId="0" fontId="74" fillId="0" borderId="121" xfId="0" applyFont="1" applyBorder="1" applyAlignment="1" applyProtection="1">
      <alignment horizontal="left" vertical="center" wrapText="1" indent="3"/>
      <protection hidden="1"/>
    </xf>
    <xf numFmtId="0" fontId="74" fillId="0" borderId="0" xfId="0" applyFont="1" applyAlignment="1" applyProtection="1">
      <alignment horizontal="left" vertical="center" wrapText="1" indent="3"/>
      <protection hidden="1"/>
    </xf>
    <xf numFmtId="0" fontId="74" fillId="0" borderId="126" xfId="0" applyFont="1" applyBorder="1" applyAlignment="1" applyProtection="1">
      <alignment horizontal="left" vertical="center" wrapText="1" indent="3"/>
      <protection hidden="1"/>
    </xf>
    <xf numFmtId="0" fontId="74" fillId="0" borderId="127" xfId="0" applyFont="1" applyBorder="1" applyAlignment="1" applyProtection="1">
      <alignment horizontal="left" vertical="center" wrapText="1" indent="3"/>
      <protection hidden="1"/>
    </xf>
    <xf numFmtId="0" fontId="71" fillId="0" borderId="118" xfId="0" applyFont="1" applyBorder="1" applyAlignment="1" applyProtection="1">
      <alignment horizontal="left" vertical="center" indent="3"/>
      <protection hidden="1"/>
    </xf>
    <xf numFmtId="0" fontId="71" fillId="0" borderId="119" xfId="0" applyFont="1" applyBorder="1" applyAlignment="1" applyProtection="1">
      <alignment horizontal="left" vertical="center" indent="3"/>
      <protection hidden="1"/>
    </xf>
    <xf numFmtId="0" fontId="74" fillId="0" borderId="123" xfId="0" applyFont="1" applyBorder="1" applyAlignment="1" applyProtection="1">
      <alignment horizontal="left" vertical="center" wrapText="1" indent="3"/>
      <protection hidden="1"/>
    </xf>
    <xf numFmtId="0" fontId="74" fillId="0" borderId="124" xfId="0" applyFont="1" applyBorder="1" applyAlignment="1" applyProtection="1">
      <alignment horizontal="left" vertical="center" wrapText="1" indent="3"/>
      <protection hidden="1"/>
    </xf>
    <xf numFmtId="0" fontId="74" fillId="0" borderId="115" xfId="0" applyFont="1" applyBorder="1" applyAlignment="1" applyProtection="1">
      <alignment horizontal="left" vertical="center" wrapText="1" indent="1"/>
      <protection hidden="1"/>
    </xf>
    <xf numFmtId="0" fontId="74" fillId="0" borderId="116" xfId="0" applyFont="1" applyBorder="1" applyAlignment="1" applyProtection="1">
      <alignment horizontal="left" vertical="center" wrapText="1" indent="1"/>
      <protection hidden="1"/>
    </xf>
    <xf numFmtId="0" fontId="74" fillId="0" borderId="121" xfId="0" applyFont="1" applyBorder="1" applyAlignment="1" applyProtection="1">
      <alignment horizontal="left" vertical="center" wrapText="1" indent="1"/>
      <protection hidden="1"/>
    </xf>
    <xf numFmtId="0" fontId="74" fillId="0" borderId="115" xfId="0" applyFont="1" applyBorder="1" applyAlignment="1" applyProtection="1">
      <alignment horizontal="left" vertical="center" wrapText="1" indent="2"/>
      <protection hidden="1"/>
    </xf>
    <xf numFmtId="0" fontId="74" fillId="0" borderId="116" xfId="0" applyFont="1" applyBorder="1" applyAlignment="1" applyProtection="1">
      <alignment horizontal="left" vertical="center" wrapText="1" indent="2"/>
      <protection hidden="1"/>
    </xf>
    <xf numFmtId="0" fontId="74" fillId="0" borderId="118" xfId="0" applyFont="1" applyBorder="1" applyAlignment="1" applyProtection="1">
      <alignment horizontal="left" vertical="center" wrapText="1" indent="2"/>
      <protection hidden="1"/>
    </xf>
    <xf numFmtId="0" fontId="74" fillId="0" borderId="119" xfId="0" applyFont="1" applyBorder="1" applyAlignment="1" applyProtection="1">
      <alignment horizontal="left" vertical="center" wrapText="1" indent="2"/>
      <protection hidden="1"/>
    </xf>
    <xf numFmtId="0" fontId="74" fillId="0" borderId="123" xfId="0" applyFont="1" applyBorder="1" applyAlignment="1" applyProtection="1">
      <alignment horizontal="left" vertical="center" wrapText="1" indent="1"/>
      <protection hidden="1"/>
    </xf>
    <xf numFmtId="0" fontId="75" fillId="0" borderId="119" xfId="0" applyFont="1" applyBorder="1" applyAlignment="1" applyProtection="1">
      <alignment horizontal="center" vertical="center"/>
      <protection hidden="1"/>
    </xf>
    <xf numFmtId="0" fontId="75" fillId="0" borderId="119" xfId="0" applyFont="1" applyBorder="1" applyAlignment="1" applyProtection="1">
      <alignment horizontal="left" vertical="center"/>
      <protection hidden="1"/>
    </xf>
    <xf numFmtId="165" fontId="85" fillId="0" borderId="121" xfId="5" applyFont="1" applyFill="1" applyBorder="1" applyAlignment="1" applyProtection="1">
      <alignment horizontal="center" vertical="center" wrapText="1"/>
      <protection hidden="1"/>
    </xf>
    <xf numFmtId="165" fontId="85" fillId="0" borderId="0" xfId="5" applyFont="1" applyFill="1" applyBorder="1" applyAlignment="1" applyProtection="1">
      <alignment horizontal="center" vertical="center" wrapText="1"/>
      <protection hidden="1"/>
    </xf>
    <xf numFmtId="0" fontId="75" fillId="0" borderId="132" xfId="0" applyFont="1" applyBorder="1" applyAlignment="1" applyProtection="1">
      <alignment horizontal="right" vertical="center"/>
      <protection hidden="1"/>
    </xf>
    <xf numFmtId="0" fontId="75" fillId="0" borderId="133" xfId="0" applyFont="1" applyBorder="1" applyAlignment="1" applyProtection="1">
      <alignment horizontal="right" vertical="center"/>
      <protection hidden="1"/>
    </xf>
    <xf numFmtId="0" fontId="87" fillId="0" borderId="132" xfId="0" applyFont="1" applyBorder="1" applyAlignment="1" applyProtection="1">
      <alignment horizontal="left" vertical="center"/>
      <protection hidden="1"/>
    </xf>
    <xf numFmtId="0" fontId="87" fillId="0" borderId="133" xfId="0" applyFont="1" applyBorder="1" applyAlignment="1" applyProtection="1">
      <alignment horizontal="left" vertical="center"/>
      <protection hidden="1"/>
    </xf>
    <xf numFmtId="0" fontId="74" fillId="0" borderId="121" xfId="0" applyFont="1" applyBorder="1" applyAlignment="1" applyProtection="1">
      <alignment horizontal="left" vertical="center" indent="3"/>
      <protection hidden="1"/>
    </xf>
    <xf numFmtId="0" fontId="74" fillId="0" borderId="0" xfId="0" applyFont="1" applyAlignment="1" applyProtection="1">
      <alignment horizontal="left" vertical="center" indent="3"/>
      <protection hidden="1"/>
    </xf>
    <xf numFmtId="0" fontId="87" fillId="0" borderId="132" xfId="0" applyFont="1" applyBorder="1" applyAlignment="1" applyProtection="1">
      <alignment horizontal="right" vertical="center"/>
      <protection hidden="1"/>
    </xf>
    <xf numFmtId="0" fontId="87" fillId="0" borderId="133" xfId="0" applyFont="1" applyBorder="1" applyAlignment="1" applyProtection="1">
      <alignment horizontal="right" vertical="center"/>
      <protection hidden="1"/>
    </xf>
    <xf numFmtId="0" fontId="90" fillId="0" borderId="0" xfId="0" applyFont="1" applyAlignment="1" applyProtection="1">
      <alignment horizontal="left" vertical="center"/>
      <protection hidden="1"/>
    </xf>
    <xf numFmtId="0" fontId="76" fillId="0" borderId="119" xfId="0" applyFont="1" applyBorder="1" applyAlignment="1" applyProtection="1">
      <alignment horizontal="left" vertical="center" wrapText="1"/>
      <protection hidden="1"/>
    </xf>
    <xf numFmtId="0" fontId="89" fillId="0" borderId="0" xfId="0" applyFont="1" applyAlignment="1" applyProtection="1">
      <alignment horizontal="left" vertical="center" wrapText="1"/>
      <protection hidden="1"/>
    </xf>
    <xf numFmtId="0" fontId="44" fillId="0" borderId="0" xfId="0" applyFont="1" applyAlignment="1" applyProtection="1">
      <alignment horizontal="left" vertical="top" wrapText="1"/>
      <protection hidden="1"/>
    </xf>
    <xf numFmtId="0" fontId="74" fillId="0" borderId="118" xfId="0" applyFont="1" applyBorder="1" applyAlignment="1" applyProtection="1">
      <alignment horizontal="left" vertical="center" indent="3"/>
      <protection hidden="1"/>
    </xf>
    <xf numFmtId="0" fontId="74" fillId="0" borderId="119" xfId="0" applyFont="1" applyBorder="1" applyAlignment="1" applyProtection="1">
      <alignment horizontal="left" vertical="center" indent="3"/>
      <protection hidden="1"/>
    </xf>
    <xf numFmtId="0" fontId="44" fillId="0" borderId="0" xfId="0" applyFont="1" applyAlignment="1" applyProtection="1">
      <alignment horizontal="justify" vertical="center"/>
      <protection hidden="1"/>
    </xf>
    <xf numFmtId="0" fontId="74" fillId="0" borderId="115" xfId="0" applyFont="1" applyBorder="1" applyAlignment="1" applyProtection="1">
      <alignment horizontal="left" vertical="center" indent="3"/>
      <protection hidden="1"/>
    </xf>
    <xf numFmtId="0" fontId="74" fillId="0" borderId="116" xfId="0" applyFont="1" applyBorder="1" applyAlignment="1" applyProtection="1">
      <alignment horizontal="left" vertical="center" indent="3"/>
      <protection hidden="1"/>
    </xf>
    <xf numFmtId="0" fontId="4" fillId="0" borderId="0" xfId="0" applyFont="1" applyAlignment="1" applyProtection="1">
      <alignment horizontal="left" vertical="center"/>
      <protection hidden="1"/>
    </xf>
    <xf numFmtId="0" fontId="72" fillId="0" borderId="0" xfId="0" applyFont="1" applyAlignment="1" applyProtection="1">
      <alignment horizontal="center" vertical="center"/>
      <protection hidden="1"/>
    </xf>
    <xf numFmtId="0" fontId="75" fillId="0" borderId="119" xfId="0" quotePrefix="1" applyFont="1" applyBorder="1" applyAlignment="1" applyProtection="1">
      <alignment horizontal="left" vertical="center"/>
      <protection hidden="1"/>
    </xf>
    <xf numFmtId="0" fontId="75" fillId="0" borderId="116" xfId="0" applyFont="1" applyBorder="1" applyAlignment="1" applyProtection="1">
      <alignment horizontal="center" vertical="center"/>
      <protection hidden="1"/>
    </xf>
    <xf numFmtId="3" fontId="75" fillId="0" borderId="116" xfId="0" applyNumberFormat="1" applyFont="1" applyBorder="1" applyAlignment="1" applyProtection="1">
      <alignment horizontal="center" vertical="center"/>
      <protection hidden="1"/>
    </xf>
    <xf numFmtId="165" fontId="32" fillId="17" borderId="3" xfId="5" applyFont="1" applyFill="1" applyBorder="1" applyAlignment="1" applyProtection="1">
      <alignment horizontal="center" vertical="center" wrapText="1"/>
      <protection locked="0"/>
    </xf>
    <xf numFmtId="0" fontId="16" fillId="17" borderId="3" xfId="0" applyFont="1" applyFill="1" applyBorder="1" applyAlignment="1" applyProtection="1">
      <alignment horizontal="center" vertical="center"/>
      <protection locked="0"/>
    </xf>
    <xf numFmtId="0" fontId="16" fillId="17" borderId="3" xfId="0" applyFont="1" applyFill="1" applyBorder="1" applyAlignment="1" applyProtection="1">
      <alignment horizontal="center" vertical="center" wrapText="1" shrinkToFit="1"/>
      <protection locked="0"/>
    </xf>
  </cellXfs>
  <cellStyles count="114">
    <cellStyle name="20% - Énfasis1" xfId="88" builtinId="30" customBuiltin="1"/>
    <cellStyle name="20% - Énfasis2" xfId="91" builtinId="34" customBuiltin="1"/>
    <cellStyle name="20% - Énfasis3" xfId="94" builtinId="38" customBuiltin="1"/>
    <cellStyle name="20% - Énfasis4" xfId="97" builtinId="42" customBuiltin="1"/>
    <cellStyle name="20% - Énfasis5" xfId="100" builtinId="46" customBuiltin="1"/>
    <cellStyle name="20% - Énfasis6" xfId="102" builtinId="50" customBuiltin="1"/>
    <cellStyle name="40% - Énfasis1" xfId="89" builtinId="31" customBuiltin="1"/>
    <cellStyle name="40% - Énfasis2" xfId="92" builtinId="35" customBuiltin="1"/>
    <cellStyle name="40% - Énfasis3" xfId="95" builtinId="39" customBuiltin="1"/>
    <cellStyle name="40% - Énfasis4" xfId="98" builtinId="43" customBuiltin="1"/>
    <cellStyle name="40% - Énfasis5" xfId="101" builtinId="47" customBuiltin="1"/>
    <cellStyle name="40% - Énfasis6" xfId="103" builtinId="51" customBuiltin="1"/>
    <cellStyle name="60% - Énfasis1" xfId="90" builtinId="32" customBuiltin="1"/>
    <cellStyle name="60% - Énfasis2" xfId="93" builtinId="36" customBuiltin="1"/>
    <cellStyle name="60% - Énfasis3" xfId="96" builtinId="40" customBuiltin="1"/>
    <cellStyle name="60% - Énfasis4" xfId="99" builtinId="44" customBuiltin="1"/>
    <cellStyle name="60% - Énfasis5" xfId="20" builtinId="48"/>
    <cellStyle name="60% - Énfasis5 2" xfId="39"/>
    <cellStyle name="60% - Énfasis5 3" xfId="53"/>
    <cellStyle name="60% - Énfasis5 4" xfId="112"/>
    <cellStyle name="60% - Énfasis6" xfId="104" builtinId="52" customBuiltin="1"/>
    <cellStyle name="Buena" xfId="29" builtinId="26" customBuiltin="1"/>
    <cellStyle name="Cálculo" xfId="82" builtinId="22" customBuiltin="1"/>
    <cellStyle name="Celda de comprobación" xfId="84" builtinId="23" customBuiltin="1"/>
    <cellStyle name="Celda vinculada" xfId="83" builtinId="24" customBuiltin="1"/>
    <cellStyle name="Encabezado 1" xfId="75" builtinId="16" customBuiltin="1"/>
    <cellStyle name="Encabezado 4" xfId="78" builtinId="19" customBuiltin="1"/>
    <cellStyle name="Énfasis1" xfId="16" builtinId="29"/>
    <cellStyle name="Énfasis1 2" xfId="35"/>
    <cellStyle name="Énfasis1 3" xfId="49"/>
    <cellStyle name="Énfasis1 4" xfId="108"/>
    <cellStyle name="Énfasis2" xfId="18" builtinId="33"/>
    <cellStyle name="Énfasis2 2" xfId="37"/>
    <cellStyle name="Énfasis2 3" xfId="51"/>
    <cellStyle name="Énfasis2 4" xfId="109"/>
    <cellStyle name="Énfasis3" xfId="17" builtinId="37"/>
    <cellStyle name="Énfasis3 2" xfId="36"/>
    <cellStyle name="Énfasis3 3" xfId="50"/>
    <cellStyle name="Énfasis3 4" xfId="110"/>
    <cellStyle name="Énfasis4" xfId="15" builtinId="41" customBuiltin="1"/>
    <cellStyle name="Énfasis5" xfId="19" builtinId="45"/>
    <cellStyle name="Énfasis5 2" xfId="38"/>
    <cellStyle name="Énfasis5 3" xfId="52"/>
    <cellStyle name="Énfasis5 4" xfId="111"/>
    <cellStyle name="Énfasis6" xfId="21" builtinId="49"/>
    <cellStyle name="Énfasis6 2" xfId="40"/>
    <cellStyle name="Énfasis6 3" xfId="54"/>
    <cellStyle name="Énfasis6 4" xfId="113"/>
    <cellStyle name="Entrada" xfId="80" builtinId="20" customBuiltin="1"/>
    <cellStyle name="Grey" xfId="1"/>
    <cellStyle name="Header1" xfId="2"/>
    <cellStyle name="Header2" xfId="3"/>
    <cellStyle name="Hipervínculo" xfId="28" builtinId="8"/>
    <cellStyle name="Hipervínculo 2" xfId="27"/>
    <cellStyle name="Incorrecto" xfId="22" builtinId="27"/>
    <cellStyle name="Incorrecto 2" xfId="41"/>
    <cellStyle name="Incorrecto 3" xfId="55"/>
    <cellStyle name="Incorrecto 4" xfId="106"/>
    <cellStyle name="Input [yellow]" xfId="4"/>
    <cellStyle name="Millares" xfId="5" builtinId="3"/>
    <cellStyle name="Millares [0]" xfId="6" builtinId="6"/>
    <cellStyle name="Millares [0] 2" xfId="33"/>
    <cellStyle name="Millares [0] 3" xfId="46"/>
    <cellStyle name="Millares 10" xfId="73"/>
    <cellStyle name="Millares 11" xfId="63"/>
    <cellStyle name="Millares 2" xfId="23"/>
    <cellStyle name="Millares 2 2" xfId="25"/>
    <cellStyle name="Millares 3" xfId="32"/>
    <cellStyle name="Millares 4" xfId="45"/>
    <cellStyle name="Millares 5" xfId="61"/>
    <cellStyle name="Millares 6" xfId="66"/>
    <cellStyle name="Millares 7" xfId="57"/>
    <cellStyle name="Millares 8" xfId="67"/>
    <cellStyle name="Millares 9" xfId="62"/>
    <cellStyle name="Neutral" xfId="79" builtinId="28" customBuiltin="1"/>
    <cellStyle name="Normal" xfId="0" builtinId="0"/>
    <cellStyle name="Normal - Style1" xfId="7"/>
    <cellStyle name="Normal 10" xfId="30"/>
    <cellStyle name="Normal 10 2" xfId="58"/>
    <cellStyle name="Normal 11" xfId="44"/>
    <cellStyle name="Normal 12" xfId="48"/>
    <cellStyle name="Normal 13" xfId="68"/>
    <cellStyle name="Normal 14" xfId="70"/>
    <cellStyle name="Normal 15" xfId="69"/>
    <cellStyle name="Normal 16" xfId="65"/>
    <cellStyle name="Normal 17" xfId="72"/>
    <cellStyle name="Normal 18" xfId="71"/>
    <cellStyle name="Normal 19" xfId="43"/>
    <cellStyle name="Normal 2" xfId="8"/>
    <cellStyle name="Normal 20" xfId="59"/>
    <cellStyle name="Normal 21" xfId="105"/>
    <cellStyle name="Normal 3" xfId="9"/>
    <cellStyle name="Normal 4" xfId="10"/>
    <cellStyle name="Normal 5" xfId="11"/>
    <cellStyle name="Normal 6" xfId="12"/>
    <cellStyle name="Normal 7" xfId="24"/>
    <cellStyle name="Normal 8" xfId="26"/>
    <cellStyle name="Normal 8 2" xfId="42"/>
    <cellStyle name="Normal 8 2 2" xfId="60"/>
    <cellStyle name="Normal 8 3" xfId="56"/>
    <cellStyle name="Normal 9" xfId="31"/>
    <cellStyle name="Normal 9 2" xfId="64"/>
    <cellStyle name="Notas 2" xfId="107"/>
    <cellStyle name="Percent [2]" xfId="13"/>
    <cellStyle name="Porcentaje" xfId="14" builtinId="5"/>
    <cellStyle name="Porcentaje 2" xfId="34"/>
    <cellStyle name="Porcentaje 3" xfId="47"/>
    <cellStyle name="Salida" xfId="81" builtinId="21" customBuiltin="1"/>
    <cellStyle name="Texto de advertencia" xfId="85" builtinId="11" customBuiltin="1"/>
    <cellStyle name="Texto explicativo" xfId="86" builtinId="53" customBuiltin="1"/>
    <cellStyle name="Título" xfId="74" builtinId="15" customBuiltin="1"/>
    <cellStyle name="Título 2" xfId="76" builtinId="17" customBuiltin="1"/>
    <cellStyle name="Título 3" xfId="77" builtinId="18" customBuiltin="1"/>
    <cellStyle name="Total" xfId="87" builtinId="25" customBuiltin="1"/>
  </cellStyles>
  <dxfs count="50">
    <dxf>
      <fill>
        <patternFill>
          <bgColor indexed="13"/>
        </patternFill>
      </fill>
      <border>
        <left style="thin">
          <color indexed="11"/>
        </left>
        <right style="thin">
          <color indexed="11"/>
        </right>
        <top style="thin">
          <color indexed="11"/>
        </top>
        <bottom style="thin">
          <color indexed="11"/>
        </bottom>
      </border>
    </dxf>
    <dxf>
      <font>
        <color theme="0"/>
      </font>
      <border>
        <left/>
        <right/>
        <top/>
        <bottom/>
        <vertical/>
        <horizontal/>
      </border>
    </dxf>
    <dxf>
      <font>
        <color theme="0"/>
      </font>
      <border>
        <left/>
        <right/>
        <top/>
        <bottom/>
        <vertical/>
        <horizontal/>
      </border>
    </dxf>
    <dxf>
      <font>
        <color theme="0"/>
      </font>
      <border>
        <left/>
        <right/>
        <top/>
        <bottom/>
        <vertical/>
        <horizontal/>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rgb="FFFF0000"/>
      </font>
    </dxf>
    <dxf>
      <font>
        <condense val="0"/>
        <extend val="0"/>
        <color indexed="9"/>
      </font>
      <fill>
        <patternFill patternType="none">
          <bgColor indexed="65"/>
        </patternFill>
      </fill>
      <border>
        <left/>
        <right/>
        <top/>
        <bottom/>
      </border>
    </dxf>
    <dxf>
      <fill>
        <patternFill>
          <bgColor indexed="13"/>
        </patternFill>
      </fill>
      <border>
        <left style="thin">
          <color indexed="11"/>
        </left>
        <right style="thin">
          <color indexed="11"/>
        </right>
        <top style="thin">
          <color indexed="11"/>
        </top>
        <bottom style="thin">
          <color indexed="11"/>
        </bottom>
      </border>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ill>
        <patternFill>
          <bgColor theme="0"/>
        </patternFill>
      </fill>
      <border>
        <left style="thin">
          <color theme="0"/>
        </left>
        <right style="thin">
          <color theme="0"/>
        </right>
        <top style="thin">
          <color theme="0"/>
        </top>
        <bottom style="thin">
          <color theme="0"/>
        </bottom>
        <vertical/>
        <horizontal/>
      </border>
    </dxf>
    <dxf>
      <fill>
        <patternFill>
          <bgColor theme="3" tint="0.79998168889431442"/>
        </patternFill>
      </fill>
      <border>
        <left style="thin">
          <color theme="0"/>
        </left>
        <right style="thin">
          <color theme="0"/>
        </right>
        <top style="thin">
          <color theme="0"/>
        </top>
        <bottom style="thin">
          <color theme="0"/>
        </bottom>
        <vertical/>
        <horizontal/>
      </border>
    </dxf>
    <dxf>
      <fill>
        <patternFill>
          <bgColor theme="0"/>
        </patternFill>
      </fill>
      <border>
        <left style="thin">
          <color theme="0"/>
        </left>
        <right style="thin">
          <color theme="0"/>
        </right>
        <top style="thin">
          <color theme="0"/>
        </top>
        <bottom style="thin">
          <color theme="0"/>
        </bottom>
        <vertical/>
        <horizontal/>
      </border>
    </dxf>
    <dxf>
      <fill>
        <patternFill>
          <bgColor theme="3" tint="0.79998168889431442"/>
        </patternFill>
      </fill>
      <border>
        <left style="thin">
          <color theme="0"/>
        </left>
        <right style="thin">
          <color theme="0"/>
        </right>
        <top style="thin">
          <color theme="0"/>
        </top>
        <bottom style="thin">
          <color theme="0"/>
        </bottom>
        <vertical/>
        <horizontal/>
      </border>
    </dxf>
    <dxf>
      <fill>
        <patternFill>
          <bgColor theme="0"/>
        </patternFill>
      </fill>
    </dxf>
    <dxf>
      <fill>
        <patternFill>
          <bgColor theme="0"/>
        </patternFill>
      </fill>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ont>
        <color theme="1"/>
      </font>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colors>
    <mruColors>
      <color rgb="FFFC9E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Style="combo" dx="16" fmlaLink="'CAPTURA DP'!$B$8" fmlaRange="DATOS!$AH$4:$AH$13" sel="2" val="0"/>
</file>

<file path=xl/ctrlProps/ctrlProp2.xml><?xml version="1.0" encoding="utf-8"?>
<formControlPr xmlns="http://schemas.microsoft.com/office/spreadsheetml/2009/9/main" objectType="CheckBox" fmlaLink="'CAPTURA DP'!$B$13"/>
</file>

<file path=xl/ctrlProps/ctrlProp3.xml><?xml version="1.0" encoding="utf-8"?>
<formControlPr xmlns="http://schemas.microsoft.com/office/spreadsheetml/2009/9/main" objectType="CheckBox" fmlaLink="'CAPTURA DP'!$F$9"/>
</file>

<file path=xl/ctrlProps/ctrlProp4.xml><?xml version="1.0" encoding="utf-8"?>
<formControlPr xmlns="http://schemas.microsoft.com/office/spreadsheetml/2009/9/main" objectType="Drop" dropLines="6" dropStyle="combo" dx="16" fmlaLink="'CAPTURA DP'!$B$4" fmlaRange="DATOS!$B$4:$B$9" sel="3" val="0"/>
</file>

<file path=xl/ctrlProps/ctrlProp5.xml><?xml version="1.0" encoding="utf-8"?>
<formControlPr xmlns="http://schemas.microsoft.com/office/spreadsheetml/2009/9/main" objectType="Drop" dropStyle="combo" dx="16" fmlaLink="'CAPTURA DP'!$B$10" fmlaRange="DATOS!$AV$4:$AV$7" sel="1" val="0"/>
</file>

<file path=xl/ctrlProps/ctrlProp6.xml><?xml version="1.0" encoding="utf-8"?>
<formControlPr xmlns="http://schemas.microsoft.com/office/spreadsheetml/2009/9/main" objectType="CheckBox" checked="Checked" fmlaLink="'CAPTURA DP'!B29"/>
</file>

<file path=xl/ctrlProps/ctrlProp7.xml><?xml version="1.0" encoding="utf-8"?>
<formControlPr xmlns="http://schemas.microsoft.com/office/spreadsheetml/2009/9/main" objectType="Drop" dropStyle="combo" dx="16" fmlaLink="'CAPTURA DP'!$B$5" fmlaRange="DATOS!$T$4:$T$51" sel="26" val="25"/>
</file>

<file path=xl/ctrlProps/ctrlProp8.xml><?xml version="1.0" encoding="utf-8"?>
<formControlPr xmlns="http://schemas.microsoft.com/office/spreadsheetml/2009/9/main" objectType="Drop" dropLines="5" dropStyle="combo" dx="16" fmlaLink="'CAPTURA DP'!$B$9" fmlaRange="DATOS!$AL$4:$AL$23" sel="14" val="0"/>
</file>

<file path=xl/ctrlProps/ctrlProp9.xml><?xml version="1.0" encoding="utf-8"?>
<formControlPr xmlns="http://schemas.microsoft.com/office/spreadsheetml/2009/9/main" objectType="Drop" dropStyle="combo" dx="16" fmlaLink="'CAPTURA DP'!$F$10" fmlaRange="'CAPTURA DP'!$M$107:$M$123" sel="1" val="9"/>
</file>

<file path=xl/ctrlProps/ctrlProp10.xml><?xml version="1.0" encoding="utf-8"?>
<formControlPr xmlns="http://schemas.microsoft.com/office/spreadsheetml/2009/9/main" objectType="Radio" checked="Checked" firstButton="1" fmlaLink="'CAPTURA DP'!F16"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16" fmlaLink="'CAPTURA DP'!$B$3" fmlaRange="DATOS!$B$11:$B$12" noThreeD="1" sel="1" val="0"/>
</file>

<file path=xl/ctrlProps/ctrlProp14.xml><?xml version="1.0" encoding="utf-8"?>
<formControlPr xmlns="http://schemas.microsoft.com/office/spreadsheetml/2009/9/main" objectType="Drop" dropStyle="combo" dx="16" fmlaLink="'CAPTURA DP'!$B$6" fmlaRange="DATOS!$AC$4:$AC$102" noThreeD="1" sel="61" val="0"/>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fmlaLink="'CAPTURA DP'!$F$12"/>
</file>

<file path=xl/ctrlProps/ctrlProp18.xml><?xml version="1.0" encoding="utf-8"?>
<formControlPr xmlns="http://schemas.microsoft.com/office/spreadsheetml/2009/9/main" objectType="Drop" dropStyle="combo" dx="16" fmlaLink="'CAPTURA DP'!$F$13" fmlaRange="'CAPTURA DP'!$M$107:$M$123" sel="1" val="0"/>
</file>

<file path=xl/ctrlProps/ctrlProp19.xml><?xml version="1.0" encoding="utf-8"?>
<formControlPr xmlns="http://schemas.microsoft.com/office/spreadsheetml/2009/9/main" objectType="Drop" dropStyle="combo" dx="16" fmlaLink="'CAPTURA DP'!$F$20" fmlaRange="DATOS!$A$41:$A$42" noThreeD="1" sel="1" val="0"/>
</file>

<file path=xl/ctrlProps/ctrlProp20.xml><?xml version="1.0" encoding="utf-8"?>
<formControlPr xmlns="http://schemas.microsoft.com/office/spreadsheetml/2009/9/main" objectType="CheckBox" fmlaLink="'CAPTURA DP'!$B$28"/>
</file>

<file path=xl/ctrlProps/ctrlProp21.xml><?xml version="1.0" encoding="utf-8"?>
<formControlPr xmlns="http://schemas.microsoft.com/office/spreadsheetml/2009/9/main" objectType="CheckBox" fmlaLink="'CAPTURA DP'!$F$26"/>
</file>

<file path=xl/ctrlProps/ctrlProp22.xml><?xml version="1.0" encoding="utf-8"?>
<formControlPr xmlns="http://schemas.microsoft.com/office/spreadsheetml/2009/9/main" objectType="Drop" dropStyle="combo" dx="16" fmlaLink="'CAPTURA DP'!$F$27" fmlaRange="'CAPTURA DP'!$G$95:$G$99" sel="1" val="0"/>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19050</xdr:colOff>
          <xdr:row>19</xdr:row>
          <xdr:rowOff>247650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xmlns=""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4</xdr:row>
          <xdr:rowOff>19050</xdr:rowOff>
        </xdr:from>
        <xdr:to>
          <xdr:col>7</xdr:col>
          <xdr:colOff>1524000</xdr:colOff>
          <xdr:row>5</xdr:row>
          <xdr:rowOff>19050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xmlns="" id="{00000000-0008-0000-00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5</xdr:row>
          <xdr:rowOff>152400</xdr:rowOff>
        </xdr:from>
        <xdr:to>
          <xdr:col>7</xdr:col>
          <xdr:colOff>1524000</xdr:colOff>
          <xdr:row>6</xdr:row>
          <xdr:rowOff>146050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xmlns="" id="{00000000-0008-0000-0000-000006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9</xdr:row>
          <xdr:rowOff>12700</xdr:rowOff>
        </xdr:from>
        <xdr:to>
          <xdr:col>4</xdr:col>
          <xdr:colOff>12700</xdr:colOff>
          <xdr:row>10</xdr:row>
          <xdr:rowOff>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xmlns=""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19050</xdr:colOff>
          <xdr:row>12</xdr:row>
          <xdr:rowOff>247650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xmlns=""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869950</xdr:colOff>
          <xdr:row>12</xdr:row>
          <xdr:rowOff>12700</xdr:rowOff>
        </xdr:from>
        <xdr:to>
          <xdr:col>7</xdr:col>
          <xdr:colOff>0</xdr:colOff>
          <xdr:row>13</xdr:row>
          <xdr:rowOff>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xmlns="" id="{00000000-0008-0000-0000-00000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12700</xdr:rowOff>
        </xdr:from>
        <xdr:to>
          <xdr:col>4</xdr:col>
          <xdr:colOff>19050</xdr:colOff>
          <xdr:row>9</xdr:row>
          <xdr:rowOff>12700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xmlns=""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21</xdr:row>
          <xdr:rowOff>0</xdr:rowOff>
        </xdr:from>
        <xdr:to>
          <xdr:col>4</xdr:col>
          <xdr:colOff>31750</xdr:colOff>
          <xdr:row>21</xdr:row>
          <xdr:rowOff>247650</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xmlns=""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6</xdr:row>
          <xdr:rowOff>0</xdr:rowOff>
        </xdr:from>
        <xdr:to>
          <xdr:col>6</xdr:col>
          <xdr:colOff>1117600</xdr:colOff>
          <xdr:row>6</xdr:row>
          <xdr:rowOff>209550</xdr:rowOff>
        </xdr:to>
        <xdr:sp macro="" textlink="">
          <xdr:nvSpPr>
            <xdr:cNvPr id="2111" name="Drop Down 63" hidden="1">
              <a:extLst>
                <a:ext uri="{63B3BB69-23CF-44E3-9099-C40C66FF867C}">
                  <a14:compatExt spid="_x0000_s2111"/>
                </a:ext>
                <a:ext uri="{FF2B5EF4-FFF2-40B4-BE49-F238E27FC236}">
                  <a16:creationId xmlns:a16="http://schemas.microsoft.com/office/drawing/2014/main" xmlns=""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12700</xdr:rowOff>
        </xdr:from>
        <xdr:to>
          <xdr:col>7</xdr:col>
          <xdr:colOff>0</xdr:colOff>
          <xdr:row>19</xdr:row>
          <xdr:rowOff>0</xdr:rowOff>
        </xdr:to>
        <xdr:sp macro="" textlink="">
          <xdr:nvSpPr>
            <xdr:cNvPr id="2114" name="boton3" hidden="1">
              <a:extLst>
                <a:ext uri="{63B3BB69-23CF-44E3-9099-C40C66FF867C}">
                  <a14:compatExt spid="_x0000_s2114"/>
                </a:ext>
                <a:ext uri="{FF2B5EF4-FFF2-40B4-BE49-F238E27FC236}">
                  <a16:creationId xmlns:a16="http://schemas.microsoft.com/office/drawing/2014/main" xmlns="" id="{00000000-0008-0000-00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7</xdr:col>
          <xdr:colOff>0</xdr:colOff>
          <xdr:row>20</xdr:row>
          <xdr:rowOff>0</xdr:rowOff>
        </xdr:to>
        <xdr:sp macro="" textlink="">
          <xdr:nvSpPr>
            <xdr:cNvPr id="2115" name="boton4" hidden="1">
              <a:extLst>
                <a:ext uri="{63B3BB69-23CF-44E3-9099-C40C66FF867C}">
                  <a14:compatExt spid="_x0000_s2115"/>
                </a:ext>
                <a:ext uri="{FF2B5EF4-FFF2-40B4-BE49-F238E27FC236}">
                  <a16:creationId xmlns:a16="http://schemas.microsoft.com/office/drawing/2014/main" xmlns="" id="{00000000-0008-0000-00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21</xdr:row>
          <xdr:rowOff>0</xdr:rowOff>
        </xdr:to>
        <xdr:sp macro="" textlink="">
          <xdr:nvSpPr>
            <xdr:cNvPr id="2116" name="boton5" hidden="1">
              <a:extLst>
                <a:ext uri="{63B3BB69-23CF-44E3-9099-C40C66FF867C}">
                  <a14:compatExt spid="_x0000_s2116"/>
                </a:ext>
                <a:ext uri="{FF2B5EF4-FFF2-40B4-BE49-F238E27FC236}">
                  <a16:creationId xmlns:a16="http://schemas.microsoft.com/office/drawing/2014/main" xmlns="" id="{00000000-0008-0000-00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5</xdr:row>
          <xdr:rowOff>241300</xdr:rowOff>
        </xdr:from>
        <xdr:to>
          <xdr:col>4</xdr:col>
          <xdr:colOff>31750</xdr:colOff>
          <xdr:row>6</xdr:row>
          <xdr:rowOff>241300</xdr:rowOff>
        </xdr:to>
        <xdr:sp macro="" textlink="">
          <xdr:nvSpPr>
            <xdr:cNvPr id="2117" name="Drop Down 69" hidden="1">
              <a:extLst>
                <a:ext uri="{63B3BB69-23CF-44E3-9099-C40C66FF867C}">
                  <a14:compatExt spid="_x0000_s2117"/>
                </a:ext>
                <a:ext uri="{FF2B5EF4-FFF2-40B4-BE49-F238E27FC236}">
                  <a16:creationId xmlns:a16="http://schemas.microsoft.com/office/drawing/2014/main" xmlns="" id="{00000000-0008-0000-0000-00004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31750</xdr:rowOff>
        </xdr:from>
        <xdr:to>
          <xdr:col>4</xdr:col>
          <xdr:colOff>19050</xdr:colOff>
          <xdr:row>15</xdr:row>
          <xdr:rowOff>31750</xdr:rowOff>
        </xdr:to>
        <xdr:sp macro="" textlink="">
          <xdr:nvSpPr>
            <xdr:cNvPr id="2118" name="Drop Down 70" hidden="1">
              <a:extLst>
                <a:ext uri="{63B3BB69-23CF-44E3-9099-C40C66FF867C}">
                  <a14:compatExt spid="_x0000_s2118"/>
                </a:ext>
                <a:ext uri="{FF2B5EF4-FFF2-40B4-BE49-F238E27FC236}">
                  <a16:creationId xmlns:a16="http://schemas.microsoft.com/office/drawing/2014/main" xmlns="" id="{00000000-0008-0000-0000-00004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7</xdr:col>
          <xdr:colOff>0</xdr:colOff>
          <xdr:row>22</xdr:row>
          <xdr:rowOff>0</xdr:rowOff>
        </xdr:to>
        <xdr:sp macro="" textlink="">
          <xdr:nvSpPr>
            <xdr:cNvPr id="2120" name="boton1" hidden="1">
              <a:extLst>
                <a:ext uri="{63B3BB69-23CF-44E3-9099-C40C66FF867C}">
                  <a14:compatExt spid="_x0000_s2120"/>
                </a:ext>
                <a:ext uri="{FF2B5EF4-FFF2-40B4-BE49-F238E27FC236}">
                  <a16:creationId xmlns:a16="http://schemas.microsoft.com/office/drawing/2014/main" xmlns="" id="{00000000-0008-0000-00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12700</xdr:rowOff>
        </xdr:from>
        <xdr:to>
          <xdr:col>7</xdr:col>
          <xdr:colOff>0</xdr:colOff>
          <xdr:row>23</xdr:row>
          <xdr:rowOff>0</xdr:rowOff>
        </xdr:to>
        <xdr:sp macro="" textlink="">
          <xdr:nvSpPr>
            <xdr:cNvPr id="2121" name="boton2" hidden="1">
              <a:extLst>
                <a:ext uri="{63B3BB69-23CF-44E3-9099-C40C66FF867C}">
                  <a14:compatExt spid="_x0000_s2121"/>
                </a:ext>
                <a:ext uri="{FF2B5EF4-FFF2-40B4-BE49-F238E27FC236}">
                  <a16:creationId xmlns:a16="http://schemas.microsoft.com/office/drawing/2014/main" xmlns="" id="{00000000-0008-0000-00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7</xdr:row>
          <xdr:rowOff>133350</xdr:rowOff>
        </xdr:from>
        <xdr:to>
          <xdr:col>7</xdr:col>
          <xdr:colOff>1524000</xdr:colOff>
          <xdr:row>8</xdr:row>
          <xdr:rowOff>127000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xmlns="" id="{00000000-0008-0000-0000-00004C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8</xdr:row>
          <xdr:rowOff>0</xdr:rowOff>
        </xdr:from>
        <xdr:to>
          <xdr:col>6</xdr:col>
          <xdr:colOff>1117600</xdr:colOff>
          <xdr:row>8</xdr:row>
          <xdr:rowOff>209550</xdr:rowOff>
        </xdr:to>
        <xdr:sp macro="" textlink="">
          <xdr:nvSpPr>
            <xdr:cNvPr id="2125" name="Drop Down 77" hidden="1">
              <a:extLst>
                <a:ext uri="{63B3BB69-23CF-44E3-9099-C40C66FF867C}">
                  <a14:compatExt spid="_x0000_s2125"/>
                </a:ext>
                <a:ext uri="{FF2B5EF4-FFF2-40B4-BE49-F238E27FC236}">
                  <a16:creationId xmlns:a16="http://schemas.microsoft.com/office/drawing/2014/main" xmlns="" id="{00000000-0008-0000-0000-00004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1162050</xdr:colOff>
          <xdr:row>13</xdr:row>
          <xdr:rowOff>12700</xdr:rowOff>
        </xdr:from>
        <xdr:to>
          <xdr:col>9</xdr:col>
          <xdr:colOff>19050</xdr:colOff>
          <xdr:row>13</xdr:row>
          <xdr:rowOff>247650</xdr:rowOff>
        </xdr:to>
        <xdr:sp macro="" textlink="">
          <xdr:nvSpPr>
            <xdr:cNvPr id="2132" name="Drop Down 84" hidden="1">
              <a:extLst>
                <a:ext uri="{63B3BB69-23CF-44E3-9099-C40C66FF867C}">
                  <a14:compatExt spid="_x0000_s2132"/>
                </a:ext>
                <a:ext uri="{FF2B5EF4-FFF2-40B4-BE49-F238E27FC236}">
                  <a16:creationId xmlns:a16="http://schemas.microsoft.com/office/drawing/2014/main" xmlns="" id="{00000000-0008-0000-0000-00005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869950</xdr:colOff>
          <xdr:row>11</xdr:row>
          <xdr:rowOff>0</xdr:rowOff>
        </xdr:from>
        <xdr:to>
          <xdr:col>7</xdr:col>
          <xdr:colOff>0</xdr:colOff>
          <xdr:row>11</xdr:row>
          <xdr:rowOff>247650</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xmlns="" id="{00000000-0008-0000-0000-00005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9</xdr:row>
          <xdr:rowOff>133350</xdr:rowOff>
        </xdr:from>
        <xdr:to>
          <xdr:col>7</xdr:col>
          <xdr:colOff>1524000</xdr:colOff>
          <xdr:row>10</xdr:row>
          <xdr:rowOff>127000</xdr:rowOff>
        </xdr:to>
        <xdr:sp macro="" textlink="">
          <xdr:nvSpPr>
            <xdr:cNvPr id="2134" name="Check Box 86" hidden="1">
              <a:extLst>
                <a:ext uri="{63B3BB69-23CF-44E3-9099-C40C66FF867C}">
                  <a14:compatExt spid="_x0000_s2134"/>
                </a:ext>
                <a:ext uri="{FF2B5EF4-FFF2-40B4-BE49-F238E27FC236}">
                  <a16:creationId xmlns:a16="http://schemas.microsoft.com/office/drawing/2014/main" xmlns="" id="{00000000-0008-0000-0000-000056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10</xdr:row>
          <xdr:rowOff>0</xdr:rowOff>
        </xdr:from>
        <xdr:to>
          <xdr:col>6</xdr:col>
          <xdr:colOff>1117600</xdr:colOff>
          <xdr:row>10</xdr:row>
          <xdr:rowOff>209550</xdr:rowOff>
        </xdr:to>
        <xdr:sp macro="" textlink="">
          <xdr:nvSpPr>
            <xdr:cNvPr id="2135" name="Drop Down 87" hidden="1">
              <a:extLst>
                <a:ext uri="{63B3BB69-23CF-44E3-9099-C40C66FF867C}">
                  <a14:compatExt spid="_x0000_s2135"/>
                </a:ext>
                <a:ext uri="{FF2B5EF4-FFF2-40B4-BE49-F238E27FC236}">
                  <a16:creationId xmlns:a16="http://schemas.microsoft.com/office/drawing/2014/main" xmlns="" id="{00000000-0008-0000-0000-00005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2233082</xdr:colOff>
      <xdr:row>0</xdr:row>
      <xdr:rowOff>0</xdr:rowOff>
    </xdr:from>
    <xdr:to>
      <xdr:col>12</xdr:col>
      <xdr:colOff>1987802</xdr:colOff>
      <xdr:row>1</xdr:row>
      <xdr:rowOff>470647</xdr:rowOff>
    </xdr:to>
    <xdr:pic>
      <xdr:nvPicPr>
        <xdr:cNvPr id="17" name="Picture 101" descr="C:\unzipped\bmp color\bmp color\OE logotipo SegA 200.bmp">
          <a:extLst>
            <a:ext uri="{FF2B5EF4-FFF2-40B4-BE49-F238E27FC236}">
              <a16:creationId xmlns:a16="http://schemas.microsoft.com/office/drawing/2014/main" xmlns="" id="{00000000-0008-0000-0300-00001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318499" y="0"/>
          <a:ext cx="2665136" cy="92573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vmlDrawing" Target="../drawings/vmlDrawing1.v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drawing" Target="../drawings/drawing1.xml"/><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segurosatlas.com.mx/OficinasAtencion.html" TargetMode="External"/><Relationship Id="rId1" Type="http://schemas.openxmlformats.org/officeDocument/2006/relationships/hyperlink" Target="https://www.inegi.org.mx/temas/uma/"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N68"/>
  <sheetViews>
    <sheetView showGridLines="0" tabSelected="1" zoomScaleNormal="100" workbookViewId="0">
      <selection activeCell="C3" sqref="C3:I3"/>
    </sheetView>
  </sheetViews>
  <sheetFormatPr baseColWidth="10" defaultColWidth="0" defaultRowHeight="12.5" zeroHeight="1"/>
  <cols>
    <col min="1" max="2" width="19.1796875" customWidth="1"/>
    <col min="3" max="3" width="29.7265625" customWidth="1"/>
    <col min="4" max="4" width="16" hidden="1" customWidth="1"/>
    <col min="5" max="5" width="13" customWidth="1"/>
    <col min="6" max="6" width="24.453125" customWidth="1"/>
    <col min="7" max="7" width="17" customWidth="1"/>
    <col min="8" max="8" width="24.453125" customWidth="1"/>
    <col min="9" max="9" width="17" customWidth="1"/>
    <col min="10" max="11" width="12.26953125" customWidth="1"/>
    <col min="12" max="13" width="12.26953125" hidden="1" customWidth="1"/>
    <col min="14" max="14" width="7.54296875" hidden="1" customWidth="1"/>
    <col min="15" max="16384" width="4.26953125" hidden="1"/>
  </cols>
  <sheetData>
    <row r="1" spans="1:12" ht="105" customHeight="1">
      <c r="A1" s="497" t="s">
        <v>28765</v>
      </c>
      <c r="B1" s="498"/>
      <c r="C1" s="498"/>
      <c r="D1" s="498"/>
      <c r="E1" s="498"/>
      <c r="F1" s="498"/>
      <c r="G1" s="498"/>
      <c r="H1" s="498"/>
      <c r="I1" s="498"/>
      <c r="J1" s="498"/>
      <c r="K1" s="498"/>
    </row>
    <row r="2" spans="1:12" ht="20.25" customHeight="1" thickBot="1">
      <c r="A2" s="502" t="s">
        <v>511</v>
      </c>
      <c r="B2" s="502"/>
      <c r="C2" s="502"/>
      <c r="D2" s="502"/>
      <c r="E2" s="502"/>
      <c r="F2" s="502"/>
      <c r="G2" s="502"/>
      <c r="H2" s="502"/>
      <c r="I2" s="502"/>
      <c r="J2" s="503"/>
      <c r="K2" s="503"/>
    </row>
    <row r="3" spans="1:12" ht="20.25" customHeight="1" thickTop="1" thickBot="1">
      <c r="A3" s="499" t="s">
        <v>450</v>
      </c>
      <c r="B3" s="500"/>
      <c r="C3" s="505"/>
      <c r="D3" s="505"/>
      <c r="E3" s="505"/>
      <c r="F3" s="505"/>
      <c r="G3" s="505"/>
      <c r="H3" s="505"/>
      <c r="I3" s="505"/>
      <c r="J3" s="250"/>
      <c r="K3" s="404"/>
      <c r="L3" s="270"/>
    </row>
    <row r="4" spans="1:12" ht="20.25" customHeight="1" thickBot="1">
      <c r="A4" s="21"/>
      <c r="B4" s="22"/>
      <c r="C4" s="504"/>
      <c r="D4" s="504"/>
      <c r="E4" s="504"/>
      <c r="F4" s="504"/>
      <c r="G4" s="504"/>
      <c r="H4" s="23"/>
      <c r="I4" s="23"/>
      <c r="J4" s="405"/>
      <c r="K4" s="406" t="s">
        <v>446</v>
      </c>
    </row>
    <row r="5" spans="1:12" ht="20.25" customHeight="1" thickBot="1">
      <c r="A5" s="499" t="s">
        <v>84</v>
      </c>
      <c r="B5" s="500"/>
      <c r="C5" s="347">
        <f ca="1">+TODAY()</f>
        <v>45478</v>
      </c>
      <c r="D5" s="346"/>
      <c r="F5" s="395" t="s">
        <v>87</v>
      </c>
      <c r="G5" s="396"/>
      <c r="H5" s="396"/>
      <c r="I5" s="397"/>
      <c r="J5" s="407"/>
      <c r="K5" s="407"/>
    </row>
    <row r="6" spans="1:12" ht="20.25" customHeight="1" thickBot="1">
      <c r="A6" s="504" t="str">
        <f ca="1">+IF(C5="","La cotización no será válida sin fecha de Inicio de Vigencia",IF((C5-1)&gt;=DATOS!B23,"Cambiar fecha de inicio de vigencia antes del "&amp;TEXT(DATOS!B23,"dd/mm/aaaa"),""))</f>
        <v/>
      </c>
      <c r="B6" s="504"/>
      <c r="C6" s="504"/>
      <c r="D6" s="341"/>
      <c r="E6" s="341"/>
      <c r="F6" s="398" t="s">
        <v>341</v>
      </c>
      <c r="G6" s="399"/>
      <c r="H6" s="399"/>
      <c r="I6" s="400"/>
      <c r="J6" s="408"/>
      <c r="K6" s="409"/>
    </row>
    <row r="7" spans="1:12" ht="20.25" customHeight="1" thickBot="1">
      <c r="A7" s="499" t="s">
        <v>449</v>
      </c>
      <c r="B7" s="501"/>
      <c r="C7" s="231"/>
      <c r="D7" s="442">
        <f>+b</f>
        <v>1</v>
      </c>
      <c r="E7" s="27"/>
      <c r="F7" s="401" t="s">
        <v>319</v>
      </c>
      <c r="G7" s="402"/>
      <c r="H7" s="402"/>
      <c r="I7" s="403"/>
      <c r="J7" s="165"/>
      <c r="K7" s="165"/>
    </row>
    <row r="8" spans="1:12" ht="20.25" customHeight="1" thickBot="1">
      <c r="A8" s="25"/>
      <c r="B8" s="24"/>
      <c r="C8" s="26"/>
      <c r="D8" s="28"/>
      <c r="E8" s="27"/>
      <c r="F8" s="398" t="s">
        <v>229</v>
      </c>
      <c r="G8" s="399"/>
      <c r="H8" s="399"/>
      <c r="I8" s="400"/>
      <c r="J8" s="165"/>
      <c r="K8" s="409"/>
    </row>
    <row r="9" spans="1:12" ht="20.25" customHeight="1" thickBot="1">
      <c r="A9" s="499" t="s">
        <v>451</v>
      </c>
      <c r="B9" s="501"/>
      <c r="C9" s="26"/>
      <c r="D9" s="443">
        <f>1-'CAPTURA DP'!B17</f>
        <v>0</v>
      </c>
      <c r="E9" s="29"/>
      <c r="F9" s="401" t="s">
        <v>319</v>
      </c>
      <c r="G9" s="402"/>
      <c r="H9" s="402"/>
      <c r="I9" s="403"/>
      <c r="J9" s="410"/>
      <c r="K9" s="409"/>
    </row>
    <row r="10" spans="1:12" ht="20.25" customHeight="1" thickBot="1">
      <c r="A10" s="499" t="s">
        <v>113</v>
      </c>
      <c r="B10" s="501"/>
      <c r="C10" s="27"/>
      <c r="D10" s="442">
        <f>VLOOKUP('CAPTURA DP'!B4,DATOS!$A$4:$D$9,4,0)</f>
        <v>184</v>
      </c>
      <c r="E10" s="29"/>
      <c r="F10" s="398" t="s">
        <v>461</v>
      </c>
      <c r="G10" s="399"/>
      <c r="H10" s="399"/>
      <c r="I10" s="400"/>
      <c r="J10" s="165"/>
      <c r="K10" s="409"/>
    </row>
    <row r="11" spans="1:12" ht="20.25" customHeight="1" thickBot="1">
      <c r="A11" s="506" t="str">
        <f>+IF('CAPTURA DP'!B3=1,"","Ingrese la oficina y número de póliza:")</f>
        <v/>
      </c>
      <c r="B11" s="506"/>
      <c r="C11" s="263"/>
      <c r="D11" s="443">
        <f>+C11</f>
        <v>0</v>
      </c>
      <c r="E11" s="236"/>
      <c r="F11" s="401" t="s">
        <v>319</v>
      </c>
      <c r="G11" s="402"/>
      <c r="H11" s="402"/>
      <c r="I11" s="403"/>
      <c r="J11" s="165"/>
      <c r="K11" s="409"/>
    </row>
    <row r="12" spans="1:12" ht="20.25" customHeight="1" thickBot="1">
      <c r="A12" s="524" t="str">
        <f>+IF('CAPTURA DP'!B3=1,"",(IF(ISERROR(VLOOKUP('CAPTURA DP'!D3,POLIZAS,1,0)),"Ingrese la póliza que esta terminando vigencia, el formato correcto es: ""D00-12345""","")))</f>
        <v/>
      </c>
      <c r="B12" s="524"/>
      <c r="C12" s="524"/>
      <c r="D12" s="524"/>
      <c r="E12" s="525"/>
      <c r="F12" s="392" t="s">
        <v>460</v>
      </c>
      <c r="G12" s="393"/>
      <c r="H12" s="516" t="str">
        <f>IF('CAPTURA DP'!C28="SI","Atencíon: está cotizando con IVA Fronterizo!","")</f>
        <v/>
      </c>
      <c r="I12" s="517"/>
      <c r="J12" s="165"/>
      <c r="K12" s="409"/>
    </row>
    <row r="13" spans="1:12" ht="20.25" customHeight="1" thickBot="1">
      <c r="A13" s="499" t="s">
        <v>119</v>
      </c>
      <c r="B13" s="501"/>
      <c r="C13" s="20"/>
      <c r="D13" s="443">
        <f>+'CAPTURA DP'!B18</f>
        <v>1</v>
      </c>
      <c r="E13" s="31"/>
      <c r="F13" s="392" t="s">
        <v>459</v>
      </c>
      <c r="G13" s="393"/>
      <c r="H13" s="394"/>
      <c r="I13" s="394"/>
      <c r="J13" s="165"/>
      <c r="K13" s="409"/>
    </row>
    <row r="14" spans="1:12" ht="20.25" customHeight="1" thickBot="1">
      <c r="A14" s="510" t="str">
        <f>+IF(AND('CAPTURA DP'!B10=4,DATOS!AV2=0,'CAPTURA DP'!F18="no"),"Seleccionar un CUA válido.","")</f>
        <v/>
      </c>
      <c r="B14" s="510"/>
      <c r="C14" s="510"/>
      <c r="D14" s="30"/>
      <c r="E14" s="32"/>
      <c r="F14" s="518" t="s">
        <v>472</v>
      </c>
      <c r="G14" s="519"/>
      <c r="H14" s="394"/>
      <c r="I14" s="394"/>
      <c r="J14" s="165"/>
      <c r="K14" s="409"/>
    </row>
    <row r="15" spans="1:12" ht="20.25" customHeight="1" thickBot="1">
      <c r="A15" s="499" t="s">
        <v>85</v>
      </c>
      <c r="B15" s="501">
        <v>9</v>
      </c>
      <c r="C15" s="165" t="e">
        <f>+VLOOKUP('CAPTURA DP'!D3,POLIZAS,5,0)</f>
        <v>#N/A</v>
      </c>
      <c r="D15" s="443">
        <f>+'CAPTURA DP'!B19</f>
        <v>1.2575000000000001</v>
      </c>
      <c r="E15" s="33"/>
      <c r="F15" s="520" t="str">
        <f>+IF('CAPTURA DP'!F20=1,"Del 100 % de comisión. ¿Qué porcentaje desea ceder?","")</f>
        <v>Del 100 % de comisión. ¿Qué porcentaje desea ceder?</v>
      </c>
      <c r="G15" s="521"/>
      <c r="H15" s="522" t="str">
        <f>+IF('CAPTURA DP'!F20=2,"De  18 %  de  comisión. ¿Cuántos puntos porcentuales desea ceder?","")</f>
        <v/>
      </c>
      <c r="I15" s="523"/>
      <c r="J15" s="406"/>
      <c r="K15" s="406"/>
    </row>
    <row r="16" spans="1:12" ht="20.25" customHeight="1" thickBot="1">
      <c r="A16" s="509" t="str">
        <f>+IF('CAPTURA DP'!B3=1,(IF(AND('CAPTURA DP'!B6&lt;4,'CAPTURA DP'!B4&lt;4),"La Suma Asegurada seleccionada solo aplica para plan Óptimo.",IF(AND('CAPTURA DP'!B6&gt;5,'CAPTURA DP'!B4&gt;4),"Seleccionar una Suma Asegurada válida.",""))),IF('CAPTURA DP'!B3=2,(IF(AND('CAPTURA DP'!B6&lt;4,'CAPTURA DP'!B4&lt;4),"",IF(AND('CAPTURA DP'!B6&gt;5,'CAPTURA DP'!B4&gt;=4),"Seleccionar una Suma Asegurada válida.",""))),""))</f>
        <v/>
      </c>
      <c r="B16" s="509"/>
      <c r="C16" s="509"/>
      <c r="D16" s="237"/>
      <c r="E16" s="35"/>
      <c r="F16" s="520"/>
      <c r="G16" s="521"/>
      <c r="H16" s="522"/>
      <c r="I16" s="523"/>
      <c r="J16" s="165"/>
      <c r="K16" s="406"/>
    </row>
    <row r="17" spans="1:11" ht="20.25" customHeight="1" thickBot="1">
      <c r="A17" s="511" t="s">
        <v>86</v>
      </c>
      <c r="B17" s="512"/>
      <c r="C17" s="376">
        <v>7</v>
      </c>
      <c r="D17" s="443">
        <f>+'CAPTURA DP'!B20</f>
        <v>0.91269999999999996</v>
      </c>
      <c r="E17" s="33"/>
      <c r="F17" s="526" t="str">
        <f>+IF('CAPTURA DP'!B3=2,"Incremento de Suma Asegurada Ayuda por Maternidad","")</f>
        <v/>
      </c>
      <c r="G17" s="526"/>
      <c r="H17" s="526"/>
      <c r="I17" s="526"/>
      <c r="J17" s="411"/>
      <c r="K17" s="406"/>
    </row>
    <row r="18" spans="1:11" ht="20.25" customHeight="1" thickBot="1">
      <c r="A18" s="507" t="str">
        <f>+IF(AND(C17&gt;=6,C17&lt;51,C35&lt;4),"¿El Deducible aplica en accidente? (S/N)","")</f>
        <v>¿El Deducible aplica en accidente? (S/N)</v>
      </c>
      <c r="B18" s="508"/>
      <c r="C18" s="375" t="s">
        <v>447</v>
      </c>
      <c r="D18" s="443">
        <f>+IF(A18="",1,2)</f>
        <v>2</v>
      </c>
      <c r="E18" s="33"/>
      <c r="F18" s="250"/>
      <c r="G18" s="251"/>
      <c r="H18" s="251" t="str">
        <f>IF('CAPTURA DP'!B3=2,(IF( ISERROR(C35:C35),"",VLOOKUP(C35,DATOS!$A$4:$B$9,2,0))),"")</f>
        <v/>
      </c>
      <c r="I18" s="251"/>
      <c r="J18" s="165"/>
      <c r="K18" s="406"/>
    </row>
    <row r="19" spans="1:11" ht="20.25" customHeight="1" thickBot="1">
      <c r="A19" s="510" t="str">
        <f>+IF('CAPTURA DP'!B3=1,(IF('CAPTURA DP'!B4&lt;=3,IF(OR(C17&lt;5,C17&gt;50),"El deducible mínimo es 5 y el máximo 50 UMAM",""),IF(ISERROR(D35),VLOOKUP('CAPTURA DP'!B4,$F$48:$G$53,2,0),""))),(IF('CAPTURA DP'!B4&lt;=3,IF(OR(C17&lt;1,C17&gt;50),"El deducible elegido debe ser el de la última vigencia.",""),IF(ISERROR(D35),VLOOKUP('CAPTURA DP'!B4,$F$48:$G$53,2,0),""))))</f>
        <v/>
      </c>
      <c r="B19" s="510"/>
      <c r="C19" s="510"/>
      <c r="D19" s="510"/>
      <c r="E19" s="510"/>
      <c r="F19" s="251" t="str">
        <f>+IF('CAPTURA DP'!B3=2,"Suma Básica","")</f>
        <v/>
      </c>
      <c r="G19" s="251"/>
      <c r="H19" s="252" t="str">
        <f>IF('CAPTURA DP'!B3=2,IF($C$35=1,'CAPTURA DP'!AB106,IF($C$35=2,'CAPTURA DP'!AC106,IF($C$35=3,'CAPTURA DP'!AD106,IF($C$35&gt;=4,'CAPTURA DP'!AE106,"")))),"")</f>
        <v/>
      </c>
      <c r="I19" s="252"/>
      <c r="J19" s="406"/>
      <c r="K19" s="406"/>
    </row>
    <row r="20" spans="1:11" ht="20.25" customHeight="1" thickBot="1">
      <c r="A20" s="499" t="s">
        <v>59</v>
      </c>
      <c r="B20" s="501"/>
      <c r="C20" s="20"/>
      <c r="D20" s="443">
        <f>+'CAPTURA DP'!B21</f>
        <v>1</v>
      </c>
      <c r="E20" s="373"/>
      <c r="F20" s="251" t="str">
        <f>+IF('CAPTURA DP'!B3=2,"Opción 1:","")</f>
        <v/>
      </c>
      <c r="G20" s="251"/>
      <c r="H20" s="252" t="str">
        <f>IF('CAPTURA DP'!B3=2,IF($C$35=1,'CAPTURA DP'!AB107,IF($C$35=2,'CAPTURA DP'!AC107,IF($C$35=3,'CAPTURA DP'!AD107,IF($C$35&gt;=4,'CAPTURA DP'!AE107,"")))),"")</f>
        <v/>
      </c>
      <c r="I20" s="252"/>
      <c r="J20" s="412"/>
      <c r="K20" s="406"/>
    </row>
    <row r="21" spans="1:11" ht="20.25" customHeight="1" thickBot="1">
      <c r="A21" s="524" t="str">
        <f>+IF(AND('CAPTURA DP'!B8&gt;1,C35&gt;=4),"El coaseguro debe ser 10%","")</f>
        <v/>
      </c>
      <c r="B21" s="524"/>
      <c r="C21" s="524"/>
      <c r="D21" s="34"/>
      <c r="E21" s="35"/>
      <c r="F21" s="251" t="str">
        <f>+IF('CAPTURA DP'!B3=2,"Opción 2:","")</f>
        <v/>
      </c>
      <c r="G21" s="251"/>
      <c r="H21" s="252" t="str">
        <f>IF('CAPTURA DP'!B3=2,IF($C$35=1,'CAPTURA DP'!AB108,IF($C$35=2,'CAPTURA DP'!AC108,IF($C$35=3,'CAPTURA DP'!AD108,IF($C$35&gt;=4,'CAPTURA DP'!AE108,"")))),"")</f>
        <v/>
      </c>
      <c r="I21" s="252"/>
      <c r="J21" s="406"/>
      <c r="K21" s="406"/>
    </row>
    <row r="22" spans="1:11" ht="20.25" customHeight="1" thickBot="1">
      <c r="A22" s="499" t="s">
        <v>88</v>
      </c>
      <c r="B22" s="501"/>
      <c r="C22" s="20"/>
      <c r="D22" s="444">
        <f>+'CAPTURA DP'!B22</f>
        <v>1.0159</v>
      </c>
      <c r="E22" s="36"/>
      <c r="F22" s="251" t="str">
        <f>+IF('CAPTURA DP'!B3=2,"Opción 3:","")</f>
        <v/>
      </c>
      <c r="G22" s="251"/>
      <c r="H22" s="252" t="str">
        <f>IF('CAPTURA DP'!B3=2,IF($C$35=1,'CAPTURA DP'!AB109,IF($C$35=2,'CAPTURA DP'!AC109,IF($C$35=3,'CAPTURA DP'!AD109,IF($C$35&gt;=4,'CAPTURA DP'!AE109,"")))),"")</f>
        <v/>
      </c>
      <c r="I22" s="252"/>
      <c r="J22" s="165"/>
      <c r="K22" s="406"/>
    </row>
    <row r="23" spans="1:11" ht="20.25" customHeight="1">
      <c r="A23" s="524" t="str">
        <f>IF(p&gt;=4,IF(AND(b=1,p&gt;4,'CAPTURA DP'!B9&lt;=2),"Tope de coaseguro no permitido para pólizas nuevas.",(IF('CAPTURA DP'!B9&gt;8,"Eliga un tope de coaseguro permitido.",IF(AND(b=2,p=4,'CAPTURA DP'!B9&gt;1),"El tope debe ser de 2,000 Dlls.","")))),IF((VLOOKUP('CAPTURA DP'!B8&amp;'CAPTURA DP'!B9,DATOS!I4:L203,4,0))=0,"Coaseguro o Tope de coaseguro no permitido.",""))</f>
        <v/>
      </c>
      <c r="B23" s="524"/>
      <c r="C23" s="524"/>
      <c r="D23" s="34"/>
      <c r="E23" s="37"/>
      <c r="F23" s="251" t="str">
        <f>+IF('CAPTURA DP'!B3=2,"Opción 4:","")</f>
        <v/>
      </c>
      <c r="G23" s="250"/>
      <c r="H23" s="252" t="str">
        <f>IF('CAPTURA DP'!B3=2,IF($C$35=1,'CAPTURA DP'!AB110,IF($C$35=2,'CAPTURA DP'!AC110,IF($C$35=3,'CAPTURA DP'!AD110,IF($C$35&gt;=4,'CAPTURA DP'!AE110,"")))),"")</f>
        <v/>
      </c>
      <c r="I23" s="252"/>
      <c r="J23" s="165"/>
      <c r="K23" s="406"/>
    </row>
    <row r="24" spans="1:11" ht="20.25" customHeight="1" thickBot="1">
      <c r="A24" s="504" t="str">
        <f>CONCATENATE((IF(AND(b=1,C17&lt;=5),"El deducible elegido es únicamente para plan Óptimo.",IF(AND(b=1,C17&lt;=6),"El deducible elegido es únicamente para plan Óptimo y Plus.",""))),(CONCATENATE((IF(AND(b=1,'CAPTURA DP'!B9=10)," El Tope de coaseguro elegido es únicamente para plan Óptimo.",IF(AND(b=1,'CAPTURA DP'!B9=12)," El Tope de Coaseguro elegido es únicamente para plan Óptimo y Plus.",""))),"")))</f>
        <v/>
      </c>
      <c r="B24" s="504"/>
      <c r="C24" s="504"/>
      <c r="D24" s="504"/>
      <c r="E24" s="504"/>
      <c r="F24" s="504"/>
      <c r="G24" s="504"/>
      <c r="H24" s="504"/>
      <c r="I24" s="504"/>
      <c r="J24" s="406"/>
      <c r="K24" s="406"/>
    </row>
    <row r="25" spans="1:11" ht="15" thickBot="1">
      <c r="A25" s="430" t="s">
        <v>497</v>
      </c>
      <c r="B25" s="513"/>
      <c r="C25" s="514"/>
      <c r="D25" s="436"/>
      <c r="E25" s="430" t="s">
        <v>498</v>
      </c>
      <c r="F25" s="431"/>
      <c r="G25" s="437" t="s">
        <v>499</v>
      </c>
      <c r="H25" s="515"/>
      <c r="I25" s="514"/>
      <c r="J25" s="165"/>
      <c r="K25" s="406"/>
    </row>
    <row r="26" spans="1:11" ht="15.5" hidden="1">
      <c r="A26" s="21"/>
      <c r="C26" s="264" t="str">
        <f ca="1">+'CARTA-COTIZACION'!G49</f>
        <v/>
      </c>
      <c r="D26" s="265" t="str">
        <f ca="1">+'CARTA-COTIZACION'!J49</f>
        <v/>
      </c>
      <c r="E26" s="264" t="str">
        <f ca="1">+'CARTA-COTIZACION'!M49</f>
        <v/>
      </c>
      <c r="F26" s="86" t="s">
        <v>122</v>
      </c>
      <c r="G26" s="87">
        <v>1</v>
      </c>
      <c r="H26" s="39"/>
      <c r="I26" s="39"/>
      <c r="J26" s="38"/>
      <c r="K26" s="28"/>
    </row>
    <row r="27" spans="1:11" ht="14.5" hidden="1">
      <c r="A27" s="28"/>
      <c r="B27" s="86" t="s">
        <v>117</v>
      </c>
      <c r="C27" s="329">
        <f ca="1">+'CARTA-COTIZACION'!G60</f>
        <v>0</v>
      </c>
      <c r="D27" s="329">
        <f ca="1">+'CARTA-COTIZACION'!J60</f>
        <v>0</v>
      </c>
      <c r="E27" s="329">
        <f ca="1">+'CARTA-COTIZACION'!M60</f>
        <v>0</v>
      </c>
      <c r="I27" s="28"/>
      <c r="J27" s="28"/>
      <c r="K27" s="28"/>
    </row>
    <row r="28" spans="1:11" ht="13" hidden="1">
      <c r="A28" s="28"/>
      <c r="I28" s="28"/>
      <c r="J28" s="28"/>
      <c r="K28" s="28"/>
    </row>
    <row r="29" spans="1:11" ht="13" hidden="1">
      <c r="A29" s="28"/>
      <c r="B29" s="28"/>
      <c r="I29" s="28"/>
      <c r="J29" s="28"/>
      <c r="K29" s="28"/>
    </row>
    <row r="30" spans="1:11" ht="13" hidden="1">
      <c r="A30" s="28"/>
      <c r="B30" s="28"/>
      <c r="C30" s="41"/>
      <c r="D30" s="40"/>
      <c r="E30" s="40"/>
      <c r="F30" s="28"/>
      <c r="G30" s="28"/>
      <c r="H30" s="28"/>
      <c r="I30" s="28"/>
      <c r="J30" s="28"/>
      <c r="K30" s="28"/>
    </row>
    <row r="31" spans="1:11" ht="13" hidden="1">
      <c r="A31" s="28"/>
      <c r="B31" s="28"/>
      <c r="C31" s="28"/>
      <c r="D31" s="40"/>
      <c r="E31" s="28"/>
      <c r="F31" s="28"/>
      <c r="G31" s="28"/>
      <c r="H31" s="28"/>
      <c r="I31" s="28"/>
      <c r="J31" s="28"/>
      <c r="K31" s="28"/>
    </row>
    <row r="32" spans="1:11" ht="13" hidden="1">
      <c r="A32" s="28"/>
      <c r="B32" s="28"/>
      <c r="C32" s="28"/>
      <c r="D32" s="28"/>
      <c r="E32" s="28"/>
      <c r="F32" s="28"/>
      <c r="G32" s="28"/>
      <c r="H32" s="28"/>
      <c r="I32" s="28"/>
      <c r="J32" s="28"/>
      <c r="K32" s="28"/>
    </row>
    <row r="33" spans="1:11" ht="13.5" hidden="1" thickBot="1">
      <c r="C33" s="28"/>
      <c r="D33" s="28"/>
      <c r="E33" s="28"/>
      <c r="F33" s="28"/>
      <c r="G33" s="28"/>
      <c r="H33" s="28"/>
      <c r="I33" s="28"/>
      <c r="J33" s="28"/>
      <c r="K33" s="28"/>
    </row>
    <row r="34" spans="1:11" ht="14.5" hidden="1">
      <c r="A34" s="319">
        <f>+IF($C$35&gt;3,"",B34)</f>
        <v>1</v>
      </c>
      <c r="B34" s="320">
        <v>1</v>
      </c>
      <c r="C34" s="70" t="s">
        <v>264</v>
      </c>
      <c r="D34" s="322" t="s">
        <v>387</v>
      </c>
    </row>
    <row r="35" spans="1:11" ht="15" hidden="1" thickBot="1">
      <c r="A35" s="319">
        <f>+IF($C$35&gt;3,"",B35)</f>
        <v>2</v>
      </c>
      <c r="B35" s="321">
        <v>2</v>
      </c>
      <c r="C35" s="71">
        <f>p</f>
        <v>3</v>
      </c>
      <c r="D35" s="322">
        <f>+VLOOKUP(C17,$A$34:$A$67,1,0)</f>
        <v>7</v>
      </c>
    </row>
    <row r="36" spans="1:11" ht="14.5" hidden="1">
      <c r="A36" s="319">
        <f>+IF($C$35&gt;3,"",B36)</f>
        <v>3</v>
      </c>
      <c r="B36" s="321">
        <v>3</v>
      </c>
      <c r="F36" s="349" t="s">
        <v>114</v>
      </c>
      <c r="G36" s="350"/>
      <c r="H36" s="351"/>
    </row>
    <row r="37" spans="1:11" ht="14.5" hidden="1">
      <c r="A37" s="319">
        <f>+IF($C$35&gt;3,"",B37)</f>
        <v>4</v>
      </c>
      <c r="B37" s="321">
        <v>4</v>
      </c>
      <c r="F37" s="230">
        <f>+IF(OR(A16="La Suma Asegurada seleccionada solo aplica para plan Óptimo.",A16=""),0,1)</f>
        <v>0</v>
      </c>
      <c r="G37" s="352" t="s">
        <v>85</v>
      </c>
      <c r="H37" s="230">
        <f>+F37</f>
        <v>0</v>
      </c>
    </row>
    <row r="38" spans="1:11" ht="14.5" hidden="1">
      <c r="A38" s="319">
        <f t="shared" ref="A38:A58" si="0">+IF($C$35&gt;3,"",B38)</f>
        <v>5</v>
      </c>
      <c r="B38" s="321">
        <v>5</v>
      </c>
      <c r="F38" s="230" t="str">
        <f>+A14</f>
        <v/>
      </c>
      <c r="G38" s="352" t="s">
        <v>268</v>
      </c>
      <c r="H38" s="83">
        <f>+IF(F38="",0,1)</f>
        <v>0</v>
      </c>
    </row>
    <row r="39" spans="1:11" ht="14.5" hidden="1">
      <c r="A39" s="319">
        <f t="shared" si="0"/>
        <v>6</v>
      </c>
      <c r="B39" s="321">
        <v>6</v>
      </c>
      <c r="F39" s="83" t="str">
        <f>+A19</f>
        <v/>
      </c>
      <c r="G39" s="352" t="s">
        <v>115</v>
      </c>
      <c r="H39" s="83">
        <f>+IF(F39="",0,1)</f>
        <v>0</v>
      </c>
    </row>
    <row r="40" spans="1:11" ht="14.5" hidden="1">
      <c r="A40" s="319">
        <f t="shared" si="0"/>
        <v>7</v>
      </c>
      <c r="B40" s="321">
        <v>7</v>
      </c>
      <c r="F40" s="83" t="str">
        <f>+A21</f>
        <v/>
      </c>
      <c r="G40" s="352" t="s">
        <v>59</v>
      </c>
      <c r="H40" s="83">
        <f>+IF(F40="",0,1)</f>
        <v>0</v>
      </c>
    </row>
    <row r="41" spans="1:11" ht="14.5" hidden="1">
      <c r="A41" s="319">
        <f t="shared" si="0"/>
        <v>8</v>
      </c>
      <c r="B41" s="321">
        <v>8</v>
      </c>
      <c r="F41" s="83" t="str">
        <f>+A23</f>
        <v/>
      </c>
      <c r="G41" s="352" t="s">
        <v>116</v>
      </c>
      <c r="H41" s="83">
        <f>+IF(F41="",0,1)</f>
        <v>0</v>
      </c>
    </row>
    <row r="42" spans="1:11" ht="14.5" hidden="1">
      <c r="A42" s="319">
        <f t="shared" si="0"/>
        <v>9</v>
      </c>
      <c r="B42" s="321">
        <v>9</v>
      </c>
      <c r="F42" s="84" t="str">
        <f ca="1">+A6</f>
        <v/>
      </c>
      <c r="G42" s="352" t="s">
        <v>292</v>
      </c>
      <c r="H42" s="83">
        <f ca="1">+IF(F42="",0,1)</f>
        <v>0</v>
      </c>
    </row>
    <row r="43" spans="1:11" ht="14.5" hidden="1">
      <c r="A43" s="319">
        <f t="shared" si="0"/>
        <v>10</v>
      </c>
      <c r="B43" s="321">
        <v>10</v>
      </c>
      <c r="F43" s="83">
        <f ca="1">IF(+'CAPTURA DP'!B3=2,0,'CAPTURA LISTADO'!K16)</f>
        <v>1</v>
      </c>
      <c r="G43" s="352" t="s">
        <v>263</v>
      </c>
      <c r="H43" s="83">
        <f ca="1">+IF(F43&gt;=1,1,0)</f>
        <v>1</v>
      </c>
    </row>
    <row r="44" spans="1:11" ht="14.5" hidden="1">
      <c r="A44" s="319">
        <f t="shared" si="0"/>
        <v>11</v>
      </c>
      <c r="B44" s="321">
        <v>11</v>
      </c>
      <c r="F44" s="83"/>
      <c r="G44" s="352" t="s">
        <v>303</v>
      </c>
      <c r="H44" s="83">
        <f>+IF(F44="",0,1)</f>
        <v>0</v>
      </c>
    </row>
    <row r="45" spans="1:11" ht="14.5" hidden="1">
      <c r="A45" s="319">
        <f t="shared" si="0"/>
        <v>12</v>
      </c>
      <c r="B45" s="321">
        <v>12</v>
      </c>
      <c r="F45" s="83" t="str">
        <f>+A12</f>
        <v/>
      </c>
      <c r="G45" s="352" t="s">
        <v>320</v>
      </c>
      <c r="H45" s="83">
        <f>+IF(F45="",0,1)</f>
        <v>0</v>
      </c>
    </row>
    <row r="46" spans="1:11" ht="14.5" hidden="1">
      <c r="A46" s="319">
        <f t="shared" si="0"/>
        <v>13</v>
      </c>
      <c r="B46" s="321">
        <v>13</v>
      </c>
      <c r="F46" s="344"/>
      <c r="G46" s="352" t="s">
        <v>405</v>
      </c>
      <c r="H46" s="83">
        <f>+IF(F46="",0,1)</f>
        <v>0</v>
      </c>
    </row>
    <row r="47" spans="1:11" ht="14.5" hidden="1">
      <c r="A47" s="319">
        <f t="shared" si="0"/>
        <v>14</v>
      </c>
      <c r="B47" s="321">
        <v>14</v>
      </c>
      <c r="F47" s="349" t="s">
        <v>36</v>
      </c>
      <c r="G47" s="350"/>
      <c r="H47" s="230">
        <f ca="1">SUM(H37:H46)</f>
        <v>1</v>
      </c>
    </row>
    <row r="48" spans="1:11" ht="14.5" hidden="1">
      <c r="A48" s="319">
        <f t="shared" si="0"/>
        <v>15</v>
      </c>
      <c r="B48" s="321">
        <v>15</v>
      </c>
      <c r="F48" s="229">
        <v>1</v>
      </c>
      <c r="G48" s="229" t="s">
        <v>407</v>
      </c>
      <c r="H48" s="229"/>
      <c r="I48" s="229"/>
    </row>
    <row r="49" spans="1:9" ht="14.5" hidden="1">
      <c r="A49" s="319">
        <f t="shared" si="0"/>
        <v>16</v>
      </c>
      <c r="B49" s="321">
        <v>16</v>
      </c>
      <c r="F49" s="229">
        <v>2</v>
      </c>
      <c r="G49" s="229" t="s">
        <v>406</v>
      </c>
      <c r="H49" s="229"/>
      <c r="I49" s="229"/>
    </row>
    <row r="50" spans="1:9" ht="14.5" hidden="1">
      <c r="A50" s="319">
        <f t="shared" si="0"/>
        <v>17</v>
      </c>
      <c r="B50" s="321">
        <v>17</v>
      </c>
      <c r="F50" s="229">
        <v>3</v>
      </c>
      <c r="G50" s="229" t="s">
        <v>408</v>
      </c>
      <c r="H50" s="229"/>
      <c r="I50" s="229"/>
    </row>
    <row r="51" spans="1:9" ht="14.5" hidden="1">
      <c r="A51" s="319">
        <f t="shared" si="0"/>
        <v>18</v>
      </c>
      <c r="B51" s="321">
        <v>18</v>
      </c>
      <c r="F51" s="229">
        <v>4</v>
      </c>
      <c r="G51" s="229" t="s">
        <v>301</v>
      </c>
      <c r="H51" s="229"/>
      <c r="I51" s="229"/>
    </row>
    <row r="52" spans="1:9" ht="14.5" hidden="1">
      <c r="A52" s="319">
        <f t="shared" si="0"/>
        <v>19</v>
      </c>
      <c r="B52" s="321">
        <v>19</v>
      </c>
      <c r="F52" s="229">
        <v>5</v>
      </c>
      <c r="G52" s="229" t="s">
        <v>302</v>
      </c>
      <c r="H52" s="229"/>
      <c r="I52" s="229"/>
    </row>
    <row r="53" spans="1:9" ht="14.5" hidden="1">
      <c r="A53" s="319">
        <f t="shared" si="0"/>
        <v>20</v>
      </c>
      <c r="B53" s="321">
        <v>20</v>
      </c>
      <c r="F53" s="229">
        <v>6</v>
      </c>
      <c r="G53" s="229" t="s">
        <v>441</v>
      </c>
      <c r="H53" s="229"/>
      <c r="I53" s="229"/>
    </row>
    <row r="54" spans="1:9" ht="14.5" hidden="1">
      <c r="A54" s="319">
        <f t="shared" si="0"/>
        <v>21</v>
      </c>
      <c r="B54" s="321">
        <v>21</v>
      </c>
      <c r="F54" s="360" t="str">
        <f>IF(AND(b=1,C17&lt;=5),"a",IF(AND(b=1,C17&lt;=6),"b",""))</f>
        <v/>
      </c>
    </row>
    <row r="55" spans="1:9" ht="14.5" hidden="1">
      <c r="A55" s="319">
        <f t="shared" si="0"/>
        <v>22</v>
      </c>
      <c r="B55" s="321">
        <v>22</v>
      </c>
      <c r="F55" s="360" t="str">
        <f>IF(AND(b=1,'CAPTURA DP'!B9=6),"a",IF(AND(b=1,'CAPTURA DP'!B9=8),"b",""))</f>
        <v/>
      </c>
    </row>
    <row r="56" spans="1:9" ht="14.5" hidden="1">
      <c r="A56" s="319">
        <f t="shared" si="0"/>
        <v>23</v>
      </c>
      <c r="B56" s="321">
        <v>23</v>
      </c>
    </row>
    <row r="57" spans="1:9" ht="14.5" hidden="1">
      <c r="A57" s="319">
        <f t="shared" si="0"/>
        <v>24</v>
      </c>
      <c r="B57" s="321">
        <v>24</v>
      </c>
    </row>
    <row r="58" spans="1:9" ht="14.5" hidden="1">
      <c r="A58" s="319">
        <f t="shared" si="0"/>
        <v>25</v>
      </c>
      <c r="B58" s="321">
        <v>25</v>
      </c>
    </row>
    <row r="59" spans="1:9" ht="14.5" hidden="1">
      <c r="A59" s="319" t="str">
        <f>+IF($C$35&lt;&gt;4,"",B59)</f>
        <v/>
      </c>
      <c r="B59" s="321">
        <v>500</v>
      </c>
    </row>
    <row r="60" spans="1:9" ht="14.5" hidden="1">
      <c r="A60" s="319" t="str">
        <f>+IF($C$35&lt;&gt;5,"",B60)</f>
        <v/>
      </c>
      <c r="B60" s="321">
        <v>1000</v>
      </c>
    </row>
    <row r="61" spans="1:9" ht="14.5" hidden="1">
      <c r="A61" s="319" t="str">
        <f>+IF($C$35&lt;&gt;6,"",B61)</f>
        <v/>
      </c>
      <c r="B61" s="370">
        <v>2000</v>
      </c>
    </row>
    <row r="62" spans="1:9" ht="14.5" hidden="1">
      <c r="A62" s="319" t="str">
        <f t="shared" ref="A62:A67" si="1">+IF($C$35&lt;&gt;6,"",B62)</f>
        <v/>
      </c>
      <c r="B62" s="370">
        <v>2500</v>
      </c>
    </row>
    <row r="63" spans="1:9" ht="14.5" hidden="1">
      <c r="A63" s="319" t="str">
        <f t="shared" si="1"/>
        <v/>
      </c>
      <c r="B63" s="370">
        <v>3000</v>
      </c>
    </row>
    <row r="64" spans="1:9" ht="14.5" hidden="1">
      <c r="A64" s="319" t="str">
        <f t="shared" si="1"/>
        <v/>
      </c>
      <c r="B64" s="370">
        <v>3500</v>
      </c>
    </row>
    <row r="65" spans="1:2" ht="14.5" hidden="1">
      <c r="A65" s="319" t="str">
        <f t="shared" si="1"/>
        <v/>
      </c>
      <c r="B65" s="370">
        <v>4000</v>
      </c>
    </row>
    <row r="66" spans="1:2" ht="14.5" hidden="1">
      <c r="A66" s="319" t="str">
        <f t="shared" si="1"/>
        <v/>
      </c>
      <c r="B66" s="370">
        <v>4500</v>
      </c>
    </row>
    <row r="67" spans="1:2" ht="14.5" hidden="1">
      <c r="A67" s="319" t="str">
        <f t="shared" si="1"/>
        <v/>
      </c>
      <c r="B67" s="370">
        <v>5000</v>
      </c>
    </row>
    <row r="68" spans="1:2"/>
  </sheetData>
  <sheetProtection algorithmName="SHA-512" hashValue="4LZcci9Xo9vyRnNUnPU5Tza/eZlT2AgKJPvgjiFueUK/AvZgMf4OM5BuMG7Qyc+kUnb+WcegBmQd+kgiRWMsZA==" saltValue="v+/IYV/RHbq8cB4hEfY1lA==" spinCount="100000" sheet="1" objects="1" scenarios="1"/>
  <mergeCells count="33">
    <mergeCell ref="B25:C25"/>
    <mergeCell ref="H25:I25"/>
    <mergeCell ref="H12:I12"/>
    <mergeCell ref="F14:G14"/>
    <mergeCell ref="F15:F16"/>
    <mergeCell ref="G15:G16"/>
    <mergeCell ref="H15:H16"/>
    <mergeCell ref="I15:I16"/>
    <mergeCell ref="A12:E12"/>
    <mergeCell ref="A21:C21"/>
    <mergeCell ref="A23:C23"/>
    <mergeCell ref="A22:B22"/>
    <mergeCell ref="F17:I17"/>
    <mergeCell ref="A24:I24"/>
    <mergeCell ref="A11:B11"/>
    <mergeCell ref="A20:B20"/>
    <mergeCell ref="A9:B9"/>
    <mergeCell ref="A18:B18"/>
    <mergeCell ref="A13:B13"/>
    <mergeCell ref="A15:B15"/>
    <mergeCell ref="A16:C16"/>
    <mergeCell ref="A14:C14"/>
    <mergeCell ref="A17:B17"/>
    <mergeCell ref="A10:B10"/>
    <mergeCell ref="A19:E19"/>
    <mergeCell ref="A1:K1"/>
    <mergeCell ref="A3:B3"/>
    <mergeCell ref="A5:B5"/>
    <mergeCell ref="A7:B7"/>
    <mergeCell ref="A2:K2"/>
    <mergeCell ref="C4:G4"/>
    <mergeCell ref="A6:C6"/>
    <mergeCell ref="C3:I3"/>
  </mergeCells>
  <phoneticPr fontId="9" type="noConversion"/>
  <conditionalFormatting sqref="A16">
    <cfRule type="expression" dxfId="49" priority="44">
      <formula>$A$16&lt;&gt;""</formula>
    </cfRule>
  </conditionalFormatting>
  <conditionalFormatting sqref="A19">
    <cfRule type="expression" dxfId="48" priority="43">
      <formula>$A$19&lt;&gt;""</formula>
    </cfRule>
  </conditionalFormatting>
  <conditionalFormatting sqref="C4">
    <cfRule type="expression" dxfId="47" priority="42">
      <formula>$C$4&lt;&gt;""</formula>
    </cfRule>
  </conditionalFormatting>
  <conditionalFormatting sqref="A21:C21">
    <cfRule type="expression" dxfId="46" priority="41">
      <formula>$A$21&lt;&gt;""</formula>
    </cfRule>
  </conditionalFormatting>
  <conditionalFormatting sqref="A23:C23">
    <cfRule type="expression" dxfId="45" priority="40">
      <formula>$A$23&lt;&gt;""</formula>
    </cfRule>
  </conditionalFormatting>
  <conditionalFormatting sqref="A14:C14">
    <cfRule type="expression" dxfId="44" priority="37">
      <formula>$A$14&lt;&gt;""</formula>
    </cfRule>
  </conditionalFormatting>
  <conditionalFormatting sqref="A12">
    <cfRule type="expression" dxfId="43" priority="34">
      <formula>$A$12&lt;&gt;""</formula>
    </cfRule>
  </conditionalFormatting>
  <conditionalFormatting sqref="C18">
    <cfRule type="expression" dxfId="42" priority="148" stopIfTrue="1">
      <formula>AND($C$17&gt;=6,$C$17&lt;=50,$C$35&lt;4)</formula>
    </cfRule>
  </conditionalFormatting>
  <conditionalFormatting sqref="A11:B11">
    <cfRule type="expression" dxfId="41" priority="8">
      <formula>$A$11&lt;&gt;""</formula>
    </cfRule>
  </conditionalFormatting>
  <conditionalFormatting sqref="C11">
    <cfRule type="expression" dxfId="40" priority="7">
      <formula>$A$11&lt;&gt;""</formula>
    </cfRule>
  </conditionalFormatting>
  <conditionalFormatting sqref="F17:I23">
    <cfRule type="expression" dxfId="39" priority="6">
      <formula>$A$11&lt;&gt;""</formula>
    </cfRule>
  </conditionalFormatting>
  <conditionalFormatting sqref="A24">
    <cfRule type="expression" dxfId="38" priority="5">
      <formula>$A$24&lt;&gt;""</formula>
    </cfRule>
  </conditionalFormatting>
  <conditionalFormatting sqref="A6:C6">
    <cfRule type="expression" dxfId="37" priority="4">
      <formula>$A$6&lt;&gt;""</formula>
    </cfRule>
  </conditionalFormatting>
  <conditionalFormatting sqref="F15:F16">
    <cfRule type="expression" dxfId="36" priority="149">
      <formula>$F$15&lt;&gt;""</formula>
    </cfRule>
  </conditionalFormatting>
  <conditionalFormatting sqref="G15">
    <cfRule type="expression" dxfId="35" priority="150">
      <formula>$F$15&lt;&gt;""</formula>
    </cfRule>
  </conditionalFormatting>
  <conditionalFormatting sqref="H15:H16">
    <cfRule type="expression" dxfId="34" priority="151">
      <formula>$H$15&lt;&gt;""</formula>
    </cfRule>
  </conditionalFormatting>
  <conditionalFormatting sqref="I15:I16">
    <cfRule type="expression" dxfId="33" priority="152">
      <formula>$H$15&lt;&gt;""</formula>
    </cfRule>
  </conditionalFormatting>
  <dataValidations xWindow="1058" yWindow="683" count="4">
    <dataValidation type="date" allowBlank="1" showInputMessage="1" showErrorMessage="1" errorTitle="FECHA DE INICIO DE VIGENCIA" error="La fecha de inicio de vigencia debe ser a partir del 01/05/2013 y hasta el 30/04/2014." promptTitle="FECHA DE INICIO DE VIGENCIA" sqref="J5">
      <formula1>R3</formula1>
      <formula2>S3</formula2>
    </dataValidation>
    <dataValidation type="custom" allowBlank="1" showInputMessage="1" showErrorMessage="1" error="Introducir &quot;S&quot; si se requiere que el deducible aplique en Accidente._x000a_Introducir &quot;N&quot; si se requiere que el deducible NO aplique en Accidente." sqref="C18">
      <formula1>OR(C18="N",C18="S")</formula1>
    </dataValidation>
    <dataValidation type="date" allowBlank="1" showInputMessage="1" showErrorMessage="1" error="LA FECHA DE INICIO DE VIGENCIA DEBE ESTAR ENTRE EL 01/05/2007 Y EL 30/04/2008" sqref="J6 D6:E6">
      <formula1>#REF!</formula1>
      <formula2>M6</formula2>
    </dataValidation>
    <dataValidation type="decimal" allowBlank="1" showInputMessage="1" showErrorMessage="1" errorTitle="Cesión de comisión no permitida." error="Elija valores que van de 0% en dado caso de no querer ceder comisión hasta 100% en dado caso de querer ceder toda la comisión._x000a_" promptTitle="Diferenciado por rangos de edad" prompt="La comisión será diferenciada por rangos de edad:_x000a_- Edad de  0- 49 Comisión del 18%_x000a_- Edad de 50-59 Comisión del 15%_x000a_- Edad de 60 en adelante Comisión del 12%_x000a_En caso de ceder comisión, tendrá que elegir del 100% el porcentaje que desea ceder." sqref="G15">
      <formula1>0</formula1>
      <formula2>1</formula2>
    </dataValidation>
  </dataValidations>
  <pageMargins left="0.75" right="0.75" top="1" bottom="1" header="0" footer="0"/>
  <pageSetup orientation="portrait" r:id="rId1"/>
  <headerFooter alignWithMargins="0"/>
  <cellWatches>
    <cellWatch r="C18"/>
  </cellWatches>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Drop Down 1">
              <controlPr defaultSize="0" autoLine="0" autoPict="0">
                <anchor moveWithCells="1">
                  <from>
                    <xdr:col>2</xdr:col>
                    <xdr:colOff>0</xdr:colOff>
                    <xdr:row>19</xdr:row>
                    <xdr:rowOff>0</xdr:rowOff>
                  </from>
                  <to>
                    <xdr:col>4</xdr:col>
                    <xdr:colOff>19050</xdr:colOff>
                    <xdr:row>19</xdr:row>
                    <xdr:rowOff>247650</xdr:rowOff>
                  </to>
                </anchor>
              </controlPr>
            </control>
          </mc:Choice>
        </mc:AlternateContent>
        <mc:AlternateContent xmlns:mc="http://schemas.openxmlformats.org/markup-compatibility/2006">
          <mc:Choice Requires="x14">
            <control shapeId="2053" r:id="rId6" name="Check Box 5">
              <controlPr locked="0" defaultSize="0" autoFill="0" autoLine="0" autoPict="0">
                <anchor moveWithCells="1">
                  <from>
                    <xdr:col>7</xdr:col>
                    <xdr:colOff>1276350</xdr:colOff>
                    <xdr:row>4</xdr:row>
                    <xdr:rowOff>19050</xdr:rowOff>
                  </from>
                  <to>
                    <xdr:col>7</xdr:col>
                    <xdr:colOff>1524000</xdr:colOff>
                    <xdr:row>5</xdr:row>
                    <xdr:rowOff>19050</xdr:rowOff>
                  </to>
                </anchor>
              </controlPr>
            </control>
          </mc:Choice>
        </mc:AlternateContent>
        <mc:AlternateContent xmlns:mc="http://schemas.openxmlformats.org/markup-compatibility/2006">
          <mc:Choice Requires="x14">
            <control shapeId="2054" r:id="rId7" name="Check Box 6">
              <controlPr locked="0" defaultSize="0" autoFill="0" autoLine="0" autoPict="0">
                <anchor moveWithCells="1">
                  <from>
                    <xdr:col>7</xdr:col>
                    <xdr:colOff>1276350</xdr:colOff>
                    <xdr:row>5</xdr:row>
                    <xdr:rowOff>152400</xdr:rowOff>
                  </from>
                  <to>
                    <xdr:col>7</xdr:col>
                    <xdr:colOff>1524000</xdr:colOff>
                    <xdr:row>6</xdr:row>
                    <xdr:rowOff>146050</xdr:rowOff>
                  </to>
                </anchor>
              </controlPr>
            </control>
          </mc:Choice>
        </mc:AlternateContent>
        <mc:AlternateContent xmlns:mc="http://schemas.openxmlformats.org/markup-compatibility/2006">
          <mc:Choice Requires="x14">
            <control shapeId="2056" r:id="rId8" name="Drop Down 8">
              <controlPr defaultSize="0" autoLine="0" autoPict="0" macro="[0]!Mundial">
                <anchor moveWithCells="1">
                  <from>
                    <xdr:col>1</xdr:col>
                    <xdr:colOff>1270000</xdr:colOff>
                    <xdr:row>9</xdr:row>
                    <xdr:rowOff>12700</xdr:rowOff>
                  </from>
                  <to>
                    <xdr:col>4</xdr:col>
                    <xdr:colOff>12700</xdr:colOff>
                    <xdr:row>10</xdr:row>
                    <xdr:rowOff>0</xdr:rowOff>
                  </to>
                </anchor>
              </controlPr>
            </control>
          </mc:Choice>
        </mc:AlternateContent>
        <mc:AlternateContent xmlns:mc="http://schemas.openxmlformats.org/markup-compatibility/2006">
          <mc:Choice Requires="x14">
            <control shapeId="2058" r:id="rId9" name="Drop Down 10">
              <controlPr defaultSize="0" autoLine="0" autoPict="0">
                <anchor moveWithCells="1">
                  <from>
                    <xdr:col>2</xdr:col>
                    <xdr:colOff>0</xdr:colOff>
                    <xdr:row>12</xdr:row>
                    <xdr:rowOff>0</xdr:rowOff>
                  </from>
                  <to>
                    <xdr:col>4</xdr:col>
                    <xdr:colOff>19050</xdr:colOff>
                    <xdr:row>12</xdr:row>
                    <xdr:rowOff>247650</xdr:rowOff>
                  </to>
                </anchor>
              </controlPr>
            </control>
          </mc:Choice>
        </mc:AlternateContent>
        <mc:AlternateContent xmlns:mc="http://schemas.openxmlformats.org/markup-compatibility/2006">
          <mc:Choice Requires="x14">
            <control shapeId="2059" r:id="rId10" name="Check Box 11">
              <controlPr locked="0" defaultSize="0" autoFill="0" autoLine="0" autoPict="0">
                <anchor moveWithCells="1">
                  <from>
                    <xdr:col>6</xdr:col>
                    <xdr:colOff>869950</xdr:colOff>
                    <xdr:row>12</xdr:row>
                    <xdr:rowOff>12700</xdr:rowOff>
                  </from>
                  <to>
                    <xdr:col>7</xdr:col>
                    <xdr:colOff>0</xdr:colOff>
                    <xdr:row>13</xdr:row>
                    <xdr:rowOff>0</xdr:rowOff>
                  </to>
                </anchor>
              </controlPr>
            </control>
          </mc:Choice>
        </mc:AlternateContent>
        <mc:AlternateContent xmlns:mc="http://schemas.openxmlformats.org/markup-compatibility/2006">
          <mc:Choice Requires="x14">
            <control shapeId="2060" r:id="rId11" name="Drop Down 12">
              <controlPr defaultSize="0" autoLine="0" autoPict="0">
                <anchor moveWithCells="1">
                  <from>
                    <xdr:col>2</xdr:col>
                    <xdr:colOff>0</xdr:colOff>
                    <xdr:row>8</xdr:row>
                    <xdr:rowOff>12700</xdr:rowOff>
                  </from>
                  <to>
                    <xdr:col>4</xdr:col>
                    <xdr:colOff>19050</xdr:colOff>
                    <xdr:row>9</xdr:row>
                    <xdr:rowOff>12700</xdr:rowOff>
                  </to>
                </anchor>
              </controlPr>
            </control>
          </mc:Choice>
        </mc:AlternateContent>
        <mc:AlternateContent xmlns:mc="http://schemas.openxmlformats.org/markup-compatibility/2006">
          <mc:Choice Requires="x14">
            <control shapeId="2088" r:id="rId12" name="Drop Down 40">
              <controlPr defaultSize="0" autoLine="0" autoPict="0">
                <anchor moveWithCells="1">
                  <from>
                    <xdr:col>1</xdr:col>
                    <xdr:colOff>1270000</xdr:colOff>
                    <xdr:row>21</xdr:row>
                    <xdr:rowOff>0</xdr:rowOff>
                  </from>
                  <to>
                    <xdr:col>4</xdr:col>
                    <xdr:colOff>31750</xdr:colOff>
                    <xdr:row>21</xdr:row>
                    <xdr:rowOff>247650</xdr:rowOff>
                  </to>
                </anchor>
              </controlPr>
            </control>
          </mc:Choice>
        </mc:AlternateContent>
        <mc:AlternateContent xmlns:mc="http://schemas.openxmlformats.org/markup-compatibility/2006">
          <mc:Choice Requires="x14">
            <control shapeId="2111" r:id="rId13" name="Drop Down 63">
              <controlPr defaultSize="0" autoLine="0" autoPict="0">
                <anchor moveWithCells="1">
                  <from>
                    <xdr:col>5</xdr:col>
                    <xdr:colOff>1219200</xdr:colOff>
                    <xdr:row>6</xdr:row>
                    <xdr:rowOff>0</xdr:rowOff>
                  </from>
                  <to>
                    <xdr:col>6</xdr:col>
                    <xdr:colOff>1117600</xdr:colOff>
                    <xdr:row>6</xdr:row>
                    <xdr:rowOff>209550</xdr:rowOff>
                  </to>
                </anchor>
              </controlPr>
            </control>
          </mc:Choice>
        </mc:AlternateContent>
        <mc:AlternateContent xmlns:mc="http://schemas.openxmlformats.org/markup-compatibility/2006">
          <mc:Choice Requires="x14">
            <control shapeId="2114" r:id="rId14" name="boton3">
              <controlPr defaultSize="0" autoFill="0" autoLine="0" autoPict="0">
                <anchor moveWithCells="1">
                  <from>
                    <xdr:col>6</xdr:col>
                    <xdr:colOff>0</xdr:colOff>
                    <xdr:row>18</xdr:row>
                    <xdr:rowOff>12700</xdr:rowOff>
                  </from>
                  <to>
                    <xdr:col>7</xdr:col>
                    <xdr:colOff>0</xdr:colOff>
                    <xdr:row>19</xdr:row>
                    <xdr:rowOff>0</xdr:rowOff>
                  </to>
                </anchor>
              </controlPr>
            </control>
          </mc:Choice>
        </mc:AlternateContent>
        <mc:AlternateContent xmlns:mc="http://schemas.openxmlformats.org/markup-compatibility/2006">
          <mc:Choice Requires="x14">
            <control shapeId="2115" r:id="rId15" name="boton4">
              <controlPr defaultSize="0" autoFill="0" autoLine="0" autoPict="0">
                <anchor moveWithCells="1">
                  <from>
                    <xdr:col>6</xdr:col>
                    <xdr:colOff>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2116" r:id="rId16" name="boton5">
              <controlPr defaultSize="0" autoFill="0" autoLine="0" autoPict="0">
                <anchor moveWithCells="1">
                  <from>
                    <xdr:col>6</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2117" r:id="rId17" name="Drop Down 69">
              <controlPr defaultSize="0" autoLine="0" autoPict="0" macro="[0]!Borrar">
                <anchor moveWithCells="1">
                  <from>
                    <xdr:col>2</xdr:col>
                    <xdr:colOff>12700</xdr:colOff>
                    <xdr:row>5</xdr:row>
                    <xdr:rowOff>241300</xdr:rowOff>
                  </from>
                  <to>
                    <xdr:col>4</xdr:col>
                    <xdr:colOff>31750</xdr:colOff>
                    <xdr:row>6</xdr:row>
                    <xdr:rowOff>241300</xdr:rowOff>
                  </to>
                </anchor>
              </controlPr>
            </control>
          </mc:Choice>
        </mc:AlternateContent>
        <mc:AlternateContent xmlns:mc="http://schemas.openxmlformats.org/markup-compatibility/2006">
          <mc:Choice Requires="x14">
            <control shapeId="2118" r:id="rId18" name="Drop Down 70">
              <controlPr defaultSize="0" autoLine="0" autoPict="0" macro="[0]!Sinlimite">
                <anchor moveWithCells="1">
                  <from>
                    <xdr:col>2</xdr:col>
                    <xdr:colOff>0</xdr:colOff>
                    <xdr:row>14</xdr:row>
                    <xdr:rowOff>31750</xdr:rowOff>
                  </from>
                  <to>
                    <xdr:col>4</xdr:col>
                    <xdr:colOff>19050</xdr:colOff>
                    <xdr:row>15</xdr:row>
                    <xdr:rowOff>31750</xdr:rowOff>
                  </to>
                </anchor>
              </controlPr>
            </control>
          </mc:Choice>
        </mc:AlternateContent>
        <mc:AlternateContent xmlns:mc="http://schemas.openxmlformats.org/markup-compatibility/2006">
          <mc:Choice Requires="x14">
            <control shapeId="2120" r:id="rId19" name="boton1">
              <controlPr defaultSize="0" autoFill="0" autoLine="0" autoPict="0">
                <anchor moveWithCells="1">
                  <from>
                    <xdr:col>6</xdr:col>
                    <xdr:colOff>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2121" r:id="rId20" name="boton2">
              <controlPr defaultSize="0" autoFill="0" autoLine="0" autoPict="0">
                <anchor moveWithCells="1">
                  <from>
                    <xdr:col>6</xdr:col>
                    <xdr:colOff>0</xdr:colOff>
                    <xdr:row>22</xdr:row>
                    <xdr:rowOff>12700</xdr:rowOff>
                  </from>
                  <to>
                    <xdr:col>7</xdr:col>
                    <xdr:colOff>0</xdr:colOff>
                    <xdr:row>23</xdr:row>
                    <xdr:rowOff>0</xdr:rowOff>
                  </to>
                </anchor>
              </controlPr>
            </control>
          </mc:Choice>
        </mc:AlternateContent>
        <mc:AlternateContent xmlns:mc="http://schemas.openxmlformats.org/markup-compatibility/2006">
          <mc:Choice Requires="x14">
            <control shapeId="2124" r:id="rId21" name="Check Box 76">
              <controlPr locked="0" defaultSize="0" autoFill="0" autoLine="0" autoPict="0">
                <anchor moveWithCells="1">
                  <from>
                    <xdr:col>7</xdr:col>
                    <xdr:colOff>1276350</xdr:colOff>
                    <xdr:row>7</xdr:row>
                    <xdr:rowOff>133350</xdr:rowOff>
                  </from>
                  <to>
                    <xdr:col>7</xdr:col>
                    <xdr:colOff>1524000</xdr:colOff>
                    <xdr:row>8</xdr:row>
                    <xdr:rowOff>127000</xdr:rowOff>
                  </to>
                </anchor>
              </controlPr>
            </control>
          </mc:Choice>
        </mc:AlternateContent>
        <mc:AlternateContent xmlns:mc="http://schemas.openxmlformats.org/markup-compatibility/2006">
          <mc:Choice Requires="x14">
            <control shapeId="2125" r:id="rId22" name="Drop Down 77">
              <controlPr defaultSize="0" autoLine="0" autoPict="0">
                <anchor moveWithCells="1">
                  <from>
                    <xdr:col>5</xdr:col>
                    <xdr:colOff>1219200</xdr:colOff>
                    <xdr:row>8</xdr:row>
                    <xdr:rowOff>0</xdr:rowOff>
                  </from>
                  <to>
                    <xdr:col>6</xdr:col>
                    <xdr:colOff>1117600</xdr:colOff>
                    <xdr:row>8</xdr:row>
                    <xdr:rowOff>209550</xdr:rowOff>
                  </to>
                </anchor>
              </controlPr>
            </control>
          </mc:Choice>
        </mc:AlternateContent>
        <mc:AlternateContent xmlns:mc="http://schemas.openxmlformats.org/markup-compatibility/2006">
          <mc:Choice Requires="x14">
            <control shapeId="2132" r:id="rId23" name="Drop Down 84">
              <controlPr defaultSize="0" autoLine="0" autoPict="0" macro="[0]!Cesion">
                <anchor moveWithCells="1">
                  <from>
                    <xdr:col>6</xdr:col>
                    <xdr:colOff>1162050</xdr:colOff>
                    <xdr:row>13</xdr:row>
                    <xdr:rowOff>12700</xdr:rowOff>
                  </from>
                  <to>
                    <xdr:col>9</xdr:col>
                    <xdr:colOff>19050</xdr:colOff>
                    <xdr:row>13</xdr:row>
                    <xdr:rowOff>247650</xdr:rowOff>
                  </to>
                </anchor>
              </controlPr>
            </control>
          </mc:Choice>
        </mc:AlternateContent>
        <mc:AlternateContent xmlns:mc="http://schemas.openxmlformats.org/markup-compatibility/2006">
          <mc:Choice Requires="x14">
            <control shapeId="2133" r:id="rId24" name="Check Box 85">
              <controlPr locked="0" defaultSize="0" autoFill="0" autoLine="0" autoPict="0">
                <anchor moveWithCells="1">
                  <from>
                    <xdr:col>6</xdr:col>
                    <xdr:colOff>869950</xdr:colOff>
                    <xdr:row>11</xdr:row>
                    <xdr:rowOff>0</xdr:rowOff>
                  </from>
                  <to>
                    <xdr:col>7</xdr:col>
                    <xdr:colOff>0</xdr:colOff>
                    <xdr:row>11</xdr:row>
                    <xdr:rowOff>247650</xdr:rowOff>
                  </to>
                </anchor>
              </controlPr>
            </control>
          </mc:Choice>
        </mc:AlternateContent>
        <mc:AlternateContent xmlns:mc="http://schemas.openxmlformats.org/markup-compatibility/2006">
          <mc:Choice Requires="x14">
            <control shapeId="2134" r:id="rId25" name="Check Box 86">
              <controlPr locked="0" defaultSize="0" autoFill="0" autoLine="0" autoPict="0">
                <anchor moveWithCells="1">
                  <from>
                    <xdr:col>7</xdr:col>
                    <xdr:colOff>1276350</xdr:colOff>
                    <xdr:row>9</xdr:row>
                    <xdr:rowOff>133350</xdr:rowOff>
                  </from>
                  <to>
                    <xdr:col>7</xdr:col>
                    <xdr:colOff>1524000</xdr:colOff>
                    <xdr:row>10</xdr:row>
                    <xdr:rowOff>127000</xdr:rowOff>
                  </to>
                </anchor>
              </controlPr>
            </control>
          </mc:Choice>
        </mc:AlternateContent>
        <mc:AlternateContent xmlns:mc="http://schemas.openxmlformats.org/markup-compatibility/2006">
          <mc:Choice Requires="x14">
            <control shapeId="2135" r:id="rId26" name="Drop Down 87">
              <controlPr defaultSize="0" autoLine="0" autoPict="0">
                <anchor moveWithCells="1">
                  <from>
                    <xdr:col>5</xdr:col>
                    <xdr:colOff>1219200</xdr:colOff>
                    <xdr:row>10</xdr:row>
                    <xdr:rowOff>0</xdr:rowOff>
                  </from>
                  <to>
                    <xdr:col>6</xdr:col>
                    <xdr:colOff>1117600</xdr:colOff>
                    <xdr:row>10</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58" yWindow="683" count="3">
        <x14:dataValidation type="list" showDropDown="1" showInputMessage="1" showErrorMessage="1">
          <x14:formula1>
            <xm:f>DATOS!$N$4:$N$62</xm:f>
          </x14:formula1>
          <xm:sqref>C17</xm:sqref>
        </x14:dataValidation>
        <x14:dataValidation type="list" allowBlank="1" showDropDown="1" showInputMessage="1" showErrorMessage="1" errorTitle="Cesión de comisión incorrecta" error="Sólo puede introducir datos que van del 0% al 18%._x000a_" promptTitle="Esquema de comision del 18% " prompt="Si elige este esquema, la comisión será del 18% para todas las edades. En caso de ceder comisión, tendrá que indicar los puntos porcentuales a ceder._x000a_Ejemplo: _x000a_-18% (Cesión del total de la comisión)_x000a_-10% (Cesión de 10 puntos porcentuales de comisión)">
          <x14:formula1>
            <xm:f>DATOS!$A$46:$A$64</xm:f>
          </x14:formula1>
          <xm:sqref>I15:I16</xm:sqref>
        </x14:dataValidation>
        <x14:dataValidation type="date" allowBlank="1" showInputMessage="1" showErrorMessage="1" errorTitle="FECHA DE INICIO DE VIGENCIA" error="La fecha de inicio de vigencia debe ser a partir del 01/07/2024 y hasta el 30/06/2025." promptTitle="FECHA DE INICIO DE VIGENCIA">
          <x14:formula1>
            <xm:f>DATOS!A23</xm:f>
          </x14:formula1>
          <x14:formula2>
            <xm:f>DATOS!B23</xm:f>
          </x14:formula2>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R271"/>
  <sheetViews>
    <sheetView topLeftCell="AS1" zoomScale="85" zoomScaleNormal="85" workbookViewId="0">
      <pane ySplit="2" topLeftCell="A68" activePane="bottomLeft" state="frozen"/>
      <selection pane="bottomLeft" activeCell="B28" sqref="B28"/>
    </sheetView>
  </sheetViews>
  <sheetFormatPr baseColWidth="10" defaultColWidth="11.453125" defaultRowHeight="15.5"/>
  <cols>
    <col min="1" max="1" width="36.1796875" style="58" bestFit="1" customWidth="1"/>
    <col min="2" max="2" width="14.7265625" style="60" customWidth="1"/>
    <col min="3" max="4" width="24.54296875" style="60" bestFit="1" customWidth="1"/>
    <col min="5" max="6" width="35.1796875" style="60" bestFit="1" customWidth="1"/>
    <col min="7" max="7" width="20.54296875" style="60" customWidth="1"/>
    <col min="8" max="8" width="19.453125" style="60" customWidth="1"/>
    <col min="9" max="9" width="14.453125" style="60" customWidth="1"/>
    <col min="10" max="10" width="18.81640625" style="60" customWidth="1"/>
    <col min="11" max="41" width="19.81640625" style="58" customWidth="1"/>
    <col min="42" max="46" width="15.7265625" style="58" customWidth="1"/>
    <col min="47" max="47" width="25" style="58" bestFit="1" customWidth="1"/>
    <col min="48" max="48" width="32.26953125" style="58" bestFit="1" customWidth="1"/>
    <col min="49" max="50" width="32.26953125" style="58" customWidth="1"/>
    <col min="51" max="51" width="29.81640625" style="58" bestFit="1" customWidth="1"/>
    <col min="52" max="54" width="15.7265625" style="58" customWidth="1"/>
    <col min="55" max="55" width="18.7265625" style="58" customWidth="1"/>
    <col min="56" max="59" width="15.7265625" style="58" customWidth="1"/>
    <col min="60" max="65" width="20" style="58" customWidth="1"/>
    <col min="66" max="66" width="15.7265625" style="58" customWidth="1"/>
    <col min="67" max="72" width="17.7265625" style="58" customWidth="1"/>
    <col min="73" max="73" width="15.7265625" style="58" customWidth="1"/>
    <col min="74" max="79" width="20.453125" style="58" customWidth="1"/>
    <col min="80" max="80" width="13.453125" style="58"/>
    <col min="81" max="86" width="17.26953125" style="58" customWidth="1"/>
    <col min="87" max="87" width="13.453125" style="58"/>
    <col min="88" max="93" width="17.54296875" style="58" customWidth="1"/>
    <col min="94" max="94" width="13.54296875" style="58" bestFit="1" customWidth="1"/>
    <col min="95" max="103" width="15.7265625" style="58" customWidth="1"/>
    <col min="104" max="104" width="28.453125" style="58" bestFit="1" customWidth="1"/>
    <col min="105" max="106" width="11.81640625" style="58" customWidth="1"/>
    <col min="107" max="108" width="13.453125" style="58"/>
    <col min="109" max="112" width="13.54296875" style="58" bestFit="1" customWidth="1"/>
    <col min="113" max="114" width="15.1796875" style="58" bestFit="1" customWidth="1"/>
    <col min="115" max="117" width="13.54296875" style="58" bestFit="1" customWidth="1"/>
    <col min="118" max="118" width="13.453125" style="58"/>
    <col min="119" max="123" width="13.54296875" style="58" bestFit="1" customWidth="1"/>
    <col min="124" max="124" width="13.453125" style="58"/>
    <col min="125" max="129" width="13.54296875" style="58" bestFit="1" customWidth="1"/>
    <col min="130" max="130" width="13.453125" style="58"/>
    <col min="131" max="135" width="13.54296875" style="58" bestFit="1" customWidth="1"/>
    <col min="136" max="136" width="13.453125" style="58"/>
    <col min="137" max="141" width="13.54296875" style="58" bestFit="1" customWidth="1"/>
    <col min="142" max="142" width="13.453125" style="58"/>
    <col min="143" max="147" width="13.54296875" style="58" bestFit="1" customWidth="1"/>
    <col min="148" max="16384" width="11.453125" style="58"/>
  </cols>
  <sheetData>
    <row r="1" spans="1:122" ht="16" thickBot="1">
      <c r="A1" s="88" t="s">
        <v>0</v>
      </c>
      <c r="B1" s="89"/>
      <c r="C1" s="89"/>
      <c r="D1" s="89"/>
      <c r="E1" s="89"/>
      <c r="F1" s="89"/>
      <c r="G1" s="89"/>
      <c r="H1" s="89"/>
      <c r="I1" s="90"/>
      <c r="K1" s="110" t="s">
        <v>109</v>
      </c>
      <c r="L1" s="111"/>
      <c r="M1" s="112" t="s">
        <v>110</v>
      </c>
      <c r="N1" s="113"/>
      <c r="O1" s="110" t="s">
        <v>111</v>
      </c>
      <c r="P1" s="111"/>
      <c r="Q1" s="112" t="s">
        <v>1</v>
      </c>
      <c r="R1" s="113"/>
      <c r="S1" s="110" t="s">
        <v>2</v>
      </c>
      <c r="T1" s="111"/>
      <c r="U1" s="112" t="s">
        <v>3</v>
      </c>
      <c r="V1" s="114"/>
      <c r="W1" s="92"/>
      <c r="X1" s="112" t="s">
        <v>96</v>
      </c>
      <c r="Y1" s="113"/>
      <c r="Z1" s="112" t="s">
        <v>97</v>
      </c>
      <c r="AA1" s="113"/>
      <c r="AB1" s="112" t="s">
        <v>98</v>
      </c>
      <c r="AC1" s="113"/>
      <c r="AD1" s="110" t="s">
        <v>99</v>
      </c>
      <c r="AE1" s="111"/>
      <c r="AF1" s="110" t="s">
        <v>100</v>
      </c>
      <c r="AG1" s="111"/>
      <c r="AH1" s="110" t="s">
        <v>101</v>
      </c>
      <c r="AI1" s="111"/>
      <c r="AJ1" s="112" t="s">
        <v>102</v>
      </c>
      <c r="AK1" s="114"/>
      <c r="AL1" s="112" t="s">
        <v>103</v>
      </c>
      <c r="AM1" s="114"/>
      <c r="AN1" s="112" t="s">
        <v>104</v>
      </c>
      <c r="AO1" s="114"/>
      <c r="AP1" s="92"/>
      <c r="AQ1" s="92"/>
      <c r="AR1" s="545" t="s">
        <v>23</v>
      </c>
      <c r="AS1" s="546"/>
      <c r="AT1" s="547"/>
      <c r="AU1" s="93"/>
      <c r="AV1" s="93">
        <f>+IF(F13&gt;7,7,F13)</f>
        <v>1</v>
      </c>
      <c r="AW1" s="93"/>
      <c r="AX1" s="93"/>
      <c r="AY1" s="93"/>
      <c r="AZ1" s="315"/>
      <c r="BA1" s="528" t="s">
        <v>253</v>
      </c>
      <c r="BB1" s="529"/>
      <c r="BC1" s="94">
        <f>IF(B3=1,0.0001,VLOOKUP($F$16,MATERNIDAD,2,0))</f>
        <v>1E-4</v>
      </c>
      <c r="BD1" s="528" t="s">
        <v>254</v>
      </c>
      <c r="BE1" s="530"/>
      <c r="BF1" s="530"/>
      <c r="BG1" s="92"/>
      <c r="BH1" s="531" t="s">
        <v>251</v>
      </c>
      <c r="BI1" s="532"/>
      <c r="BJ1" s="96">
        <f>IF(B3=1,0.0001,VLOOKUP(F16,MATERNIDAD,3,0))</f>
        <v>1E-4</v>
      </c>
      <c r="BK1" s="97" t="s">
        <v>252</v>
      </c>
      <c r="BL1" s="97"/>
      <c r="BM1" s="98"/>
      <c r="BN1" s="92"/>
      <c r="BO1" s="533" t="s">
        <v>255</v>
      </c>
      <c r="BP1" s="534"/>
      <c r="BQ1" s="99">
        <f>IF(B3=1,0.0001,VLOOKUP(F16,MATERNIDAD,4,0))</f>
        <v>1E-4</v>
      </c>
      <c r="BR1" s="100" t="s">
        <v>256</v>
      </c>
      <c r="BS1" s="100"/>
      <c r="BT1" s="101"/>
      <c r="BU1" s="92"/>
      <c r="BV1" s="102" t="s">
        <v>257</v>
      </c>
      <c r="BW1" s="102"/>
      <c r="BX1" s="102">
        <f>+IF(B3=1,0.0001,VLOOKUP(F16,MATERNIDAD,5,0))</f>
        <v>1E-4</v>
      </c>
      <c r="BY1" s="102" t="s">
        <v>258</v>
      </c>
      <c r="BZ1" s="102"/>
      <c r="CA1" s="103"/>
      <c r="CB1" s="92"/>
      <c r="CC1" s="548" t="s">
        <v>259</v>
      </c>
      <c r="CD1" s="549"/>
      <c r="CE1" s="104">
        <f>IF(B3=1,0.0001,VLOOKUP(F16,MATERNIDAD,5,0))</f>
        <v>1E-4</v>
      </c>
      <c r="CF1" s="104" t="s">
        <v>260</v>
      </c>
      <c r="CG1" s="104"/>
      <c r="CH1" s="105"/>
      <c r="CI1" s="92"/>
      <c r="CJ1" s="106" t="s">
        <v>261</v>
      </c>
      <c r="CK1" s="106"/>
      <c r="CL1" s="106">
        <f>IF(B3=1,0.0001,VLOOKUP(F16,MATERNIDAD,5,0))</f>
        <v>1E-4</v>
      </c>
      <c r="CM1" s="106" t="s">
        <v>262</v>
      </c>
      <c r="CN1" s="106"/>
      <c r="CO1" s="107"/>
      <c r="CP1" s="92"/>
      <c r="CQ1" s="92"/>
      <c r="CR1" s="92"/>
      <c r="CS1" s="377" t="s">
        <v>394</v>
      </c>
      <c r="CU1" s="92"/>
      <c r="CV1" s="92"/>
      <c r="CX1" s="58" t="s">
        <v>480</v>
      </c>
      <c r="CZ1" s="58" t="s">
        <v>481</v>
      </c>
      <c r="DC1" s="541" t="s">
        <v>109</v>
      </c>
      <c r="DD1" s="542"/>
      <c r="DE1" s="543" t="s">
        <v>110</v>
      </c>
      <c r="DF1" s="544"/>
      <c r="DG1" s="541" t="s">
        <v>111</v>
      </c>
      <c r="DH1" s="542"/>
      <c r="DI1" s="543" t="s">
        <v>456</v>
      </c>
      <c r="DJ1" s="544"/>
      <c r="DK1" s="541" t="s">
        <v>457</v>
      </c>
      <c r="DL1" s="542"/>
      <c r="DM1" s="543" t="s">
        <v>458</v>
      </c>
      <c r="DN1" s="550"/>
      <c r="DP1" s="535" t="s">
        <v>454</v>
      </c>
      <c r="DQ1" s="536"/>
      <c r="DR1" s="536"/>
    </row>
    <row r="2" spans="1:122">
      <c r="A2" s="298"/>
      <c r="B2" s="299"/>
      <c r="C2"/>
      <c r="D2"/>
      <c r="E2"/>
      <c r="F2"/>
      <c r="G2"/>
      <c r="H2"/>
      <c r="I2"/>
      <c r="J2" s="109" t="s">
        <v>17</v>
      </c>
      <c r="K2" s="109" t="s">
        <v>5</v>
      </c>
      <c r="L2" s="109" t="s">
        <v>6</v>
      </c>
      <c r="M2" s="312" t="s">
        <v>5</v>
      </c>
      <c r="N2" s="312" t="s">
        <v>6</v>
      </c>
      <c r="O2" s="109" t="s">
        <v>5</v>
      </c>
      <c r="P2" s="109" t="s">
        <v>6</v>
      </c>
      <c r="Q2" s="312" t="s">
        <v>5</v>
      </c>
      <c r="R2" s="312" t="s">
        <v>6</v>
      </c>
      <c r="S2" s="109" t="s">
        <v>5</v>
      </c>
      <c r="T2" s="109" t="s">
        <v>6</v>
      </c>
      <c r="U2" s="312" t="s">
        <v>5</v>
      </c>
      <c r="V2" s="312" t="s">
        <v>6</v>
      </c>
      <c r="X2" s="312" t="s">
        <v>5</v>
      </c>
      <c r="Y2" s="312" t="s">
        <v>6</v>
      </c>
      <c r="Z2" s="312" t="s">
        <v>5</v>
      </c>
      <c r="AA2" s="312" t="s">
        <v>6</v>
      </c>
      <c r="AB2" s="312" t="s">
        <v>5</v>
      </c>
      <c r="AC2" s="312" t="s">
        <v>6</v>
      </c>
      <c r="AD2" s="109" t="s">
        <v>5</v>
      </c>
      <c r="AE2" s="109" t="s">
        <v>6</v>
      </c>
      <c r="AF2" s="109" t="s">
        <v>5</v>
      </c>
      <c r="AG2" s="109" t="s">
        <v>6</v>
      </c>
      <c r="AH2" s="109" t="s">
        <v>5</v>
      </c>
      <c r="AI2" s="109" t="s">
        <v>6</v>
      </c>
      <c r="AJ2" s="312" t="s">
        <v>5</v>
      </c>
      <c r="AK2" s="312" t="s">
        <v>6</v>
      </c>
      <c r="AL2" s="312" t="s">
        <v>5</v>
      </c>
      <c r="AM2" s="312" t="s">
        <v>6</v>
      </c>
      <c r="AN2" s="312" t="s">
        <v>5</v>
      </c>
      <c r="AO2" s="312" t="s">
        <v>6</v>
      </c>
      <c r="AP2" s="92"/>
      <c r="AQ2" s="115" t="s">
        <v>266</v>
      </c>
      <c r="AR2" s="116" t="s">
        <v>5</v>
      </c>
      <c r="AS2" s="116" t="s">
        <v>6</v>
      </c>
      <c r="AT2" s="117" t="s">
        <v>36</v>
      </c>
      <c r="AU2" s="118" t="s">
        <v>342</v>
      </c>
      <c r="AV2" s="118" t="s">
        <v>377</v>
      </c>
      <c r="AW2" s="118" t="s">
        <v>470</v>
      </c>
      <c r="AX2" s="118" t="s">
        <v>471</v>
      </c>
      <c r="AY2" s="118" t="s">
        <v>434</v>
      </c>
      <c r="AZ2" s="117"/>
      <c r="BA2" s="118" t="s">
        <v>5</v>
      </c>
      <c r="BB2" s="118" t="s">
        <v>6</v>
      </c>
      <c r="BC2" s="118" t="s">
        <v>89</v>
      </c>
      <c r="BD2" s="119" t="s">
        <v>5</v>
      </c>
      <c r="BE2" s="118" t="s">
        <v>6</v>
      </c>
      <c r="BF2" s="120" t="s">
        <v>36</v>
      </c>
      <c r="BG2" s="92"/>
      <c r="BH2" s="121" t="s">
        <v>5</v>
      </c>
      <c r="BI2" s="121" t="s">
        <v>6</v>
      </c>
      <c r="BJ2" s="121" t="s">
        <v>89</v>
      </c>
      <c r="BK2" s="122" t="s">
        <v>5</v>
      </c>
      <c r="BL2" s="121" t="s">
        <v>6</v>
      </c>
      <c r="BM2" s="123" t="s">
        <v>36</v>
      </c>
      <c r="BN2" s="92"/>
      <c r="BO2" s="124" t="s">
        <v>5</v>
      </c>
      <c r="BP2" s="124" t="s">
        <v>6</v>
      </c>
      <c r="BQ2" s="124" t="s">
        <v>89</v>
      </c>
      <c r="BR2" s="125" t="s">
        <v>5</v>
      </c>
      <c r="BS2" s="124" t="s">
        <v>6</v>
      </c>
      <c r="BT2" s="126" t="s">
        <v>36</v>
      </c>
      <c r="BU2" s="92"/>
      <c r="BV2" s="127" t="s">
        <v>5</v>
      </c>
      <c r="BW2" s="127" t="s">
        <v>6</v>
      </c>
      <c r="BX2" s="127" t="s">
        <v>89</v>
      </c>
      <c r="BY2" s="128" t="s">
        <v>5</v>
      </c>
      <c r="BZ2" s="127" t="s">
        <v>6</v>
      </c>
      <c r="CA2" s="129" t="s">
        <v>36</v>
      </c>
      <c r="CB2" s="92"/>
      <c r="CC2" s="130" t="s">
        <v>5</v>
      </c>
      <c r="CD2" s="130" t="s">
        <v>6</v>
      </c>
      <c r="CE2" s="130" t="s">
        <v>89</v>
      </c>
      <c r="CF2" s="131" t="s">
        <v>5</v>
      </c>
      <c r="CG2" s="130" t="s">
        <v>6</v>
      </c>
      <c r="CH2" s="132" t="s">
        <v>36</v>
      </c>
      <c r="CI2" s="92"/>
      <c r="CJ2" s="133" t="s">
        <v>5</v>
      </c>
      <c r="CK2" s="133" t="s">
        <v>6</v>
      </c>
      <c r="CL2" s="133" t="s">
        <v>89</v>
      </c>
      <c r="CM2" s="134" t="s">
        <v>5</v>
      </c>
      <c r="CN2" s="133" t="s">
        <v>6</v>
      </c>
      <c r="CO2" s="135" t="s">
        <v>36</v>
      </c>
      <c r="CP2" s="92"/>
      <c r="CQ2" s="162" t="s">
        <v>17</v>
      </c>
      <c r="CR2" s="381" t="s">
        <v>392</v>
      </c>
      <c r="CS2" s="336">
        <f>IF(F20=2,0,'DATOS GENERALES'!G15)</f>
        <v>0</v>
      </c>
      <c r="CT2" s="162" t="s">
        <v>393</v>
      </c>
      <c r="CU2" s="162" t="s">
        <v>267</v>
      </c>
      <c r="CV2" s="117" t="s">
        <v>318</v>
      </c>
      <c r="CW2" s="366" t="s">
        <v>430</v>
      </c>
      <c r="CX2" s="366" t="s">
        <v>431</v>
      </c>
      <c r="CY2" s="366" t="s">
        <v>432</v>
      </c>
      <c r="CZ2" s="366" t="s">
        <v>433</v>
      </c>
      <c r="DA2"/>
      <c r="DB2" s="109" t="s">
        <v>17</v>
      </c>
      <c r="DC2" s="109" t="s">
        <v>5</v>
      </c>
      <c r="DD2" s="109" t="s">
        <v>6</v>
      </c>
      <c r="DE2" s="312" t="s">
        <v>5</v>
      </c>
      <c r="DF2" s="312" t="s">
        <v>6</v>
      </c>
      <c r="DG2" s="109" t="s">
        <v>5</v>
      </c>
      <c r="DH2" s="109" t="s">
        <v>6</v>
      </c>
      <c r="DI2" s="312" t="s">
        <v>5</v>
      </c>
      <c r="DJ2" s="312" t="s">
        <v>6</v>
      </c>
      <c r="DK2" s="109" t="s">
        <v>5</v>
      </c>
      <c r="DL2" s="109" t="s">
        <v>6</v>
      </c>
      <c r="DM2" s="312" t="s">
        <v>5</v>
      </c>
      <c r="DN2" s="312" t="s">
        <v>6</v>
      </c>
      <c r="DP2" s="383" t="s">
        <v>17</v>
      </c>
      <c r="DQ2" s="385" t="s">
        <v>5</v>
      </c>
      <c r="DR2" s="385" t="s">
        <v>6</v>
      </c>
    </row>
    <row r="3" spans="1:122">
      <c r="A3" s="296" t="s">
        <v>370</v>
      </c>
      <c r="B3" s="162">
        <v>1</v>
      </c>
      <c r="C3" s="301" t="str">
        <f>+VLOOKUP(b,DATOS!$A$11:$B$12,2,0)</f>
        <v>Nueva</v>
      </c>
      <c r="D3" s="162">
        <f>+'DATOS GENERALES'!D11</f>
        <v>0</v>
      </c>
      <c r="E3"/>
      <c r="F3"/>
      <c r="G3"/>
      <c r="H3"/>
      <c r="I3"/>
      <c r="J3" s="164">
        <v>0</v>
      </c>
      <c r="K3" s="59">
        <f>+DC3</f>
        <v>23215.7</v>
      </c>
      <c r="L3" s="59">
        <f t="shared" ref="L3:P18" si="0">+DD3</f>
        <v>21888.04</v>
      </c>
      <c r="M3" s="59">
        <f t="shared" si="0"/>
        <v>20607.560000000001</v>
      </c>
      <c r="N3" s="59">
        <f t="shared" si="0"/>
        <v>19429.05</v>
      </c>
      <c r="O3" s="59">
        <f t="shared" si="0"/>
        <v>18246.27</v>
      </c>
      <c r="P3" s="59">
        <f t="shared" si="0"/>
        <v>17202.810000000001</v>
      </c>
      <c r="Q3" s="136">
        <f t="shared" ref="Q3:Q34" si="1">(IF($C$11="A",AB3,IF($C$11="B",Z3,IF($C$11="C",X3," "))))</f>
        <v>85781.38</v>
      </c>
      <c r="R3" s="136">
        <f t="shared" ref="R3:R34" si="2">(IF($C$11="A",AC3,IF($C$11="B",AA3,IF($C$11="C",Y3," "))))</f>
        <v>70472.81</v>
      </c>
      <c r="S3" s="136">
        <f t="shared" ref="S3:S34" si="3">(IF($C$11="A",AH3,IF($C$11="B",AF3,IF($C$11="C",AD3," "))))</f>
        <v>63856.94</v>
      </c>
      <c r="T3" s="136">
        <f t="shared" ref="T3:T34" si="4">(IF($C$11="A",AI3,IF($C$11="B",AG3,IF($C$11="C",AE3," "))))</f>
        <v>52412.56</v>
      </c>
      <c r="U3" s="136">
        <f t="shared" ref="U3:U34" si="5">(IF($C$11="A",AN3,IF($C$11="B",AL3,IF($C$11="C",AJ3," "))))</f>
        <v>41362.28</v>
      </c>
      <c r="V3" s="136">
        <f t="shared" ref="V3:V34" si="6">(IF($C$11="A",AO3,IF($C$11="B",AM3,IF($C$11="C",AK3," "))))</f>
        <v>37702.1</v>
      </c>
      <c r="W3" s="92"/>
      <c r="X3" s="137">
        <f>+DI3</f>
        <v>85781.38</v>
      </c>
      <c r="Y3" s="137">
        <f>+DJ3</f>
        <v>70472.81</v>
      </c>
      <c r="Z3" s="136">
        <f>X3*1.043</f>
        <v>89469.979340000005</v>
      </c>
      <c r="AA3" s="136">
        <f>Y3*1.043</f>
        <v>73503.140829999989</v>
      </c>
      <c r="AB3" s="136">
        <f>X3*1.12</f>
        <v>96075.145600000018</v>
      </c>
      <c r="AC3" s="136">
        <f>Y3*1.12</f>
        <v>78929.547200000001</v>
      </c>
      <c r="AD3" s="138">
        <f>+DK3</f>
        <v>63856.94</v>
      </c>
      <c r="AE3" s="138">
        <f>+DL3</f>
        <v>52412.56</v>
      </c>
      <c r="AF3" s="136">
        <f>AD3*1.043</f>
        <v>66602.788419999997</v>
      </c>
      <c r="AG3" s="136">
        <f>AE3*1.043</f>
        <v>54666.300079999994</v>
      </c>
      <c r="AH3" s="136">
        <f>AD3*1.12</f>
        <v>71519.772800000006</v>
      </c>
      <c r="AI3" s="136">
        <f>AE3*1.12</f>
        <v>58702.067200000005</v>
      </c>
      <c r="AJ3" s="137">
        <f>+DM3</f>
        <v>41362.28</v>
      </c>
      <c r="AK3" s="137">
        <f>+DN3</f>
        <v>37702.1</v>
      </c>
      <c r="AL3" s="136">
        <f>AJ3*1.043</f>
        <v>43140.858039999999</v>
      </c>
      <c r="AM3" s="136">
        <f>AK3*1.043</f>
        <v>39323.290299999993</v>
      </c>
      <c r="AN3" s="136">
        <f>AJ3*1.12</f>
        <v>46325.753600000004</v>
      </c>
      <c r="AO3" s="136">
        <f>AK3*1.12</f>
        <v>42226.351999999999</v>
      </c>
      <c r="AP3" s="92"/>
      <c r="AQ3" s="140">
        <v>0</v>
      </c>
      <c r="AR3" s="141">
        <f ca="1">+RESUMEN!F3</f>
        <v>0</v>
      </c>
      <c r="AS3" s="141">
        <f ca="1">+RESUMEN!G3</f>
        <v>0</v>
      </c>
      <c r="AT3" s="142">
        <f t="shared" ref="AT3:AT34" ca="1" si="7">AR3+AS3</f>
        <v>0</v>
      </c>
      <c r="AU3" s="143">
        <f>+((IF($G$9="SI",$K107*$B$24,0))*(VLOOKUP($F$10,$L$107:$N$123,3,0)))*IF($F$20=1,1,$B$25)</f>
        <v>0</v>
      </c>
      <c r="AV3" s="143">
        <f>((IF($G$12="SI",$K107*$B$24,0))*(VLOOKUP($F$13,$L$107:$N$123,3,0)))*IF($F$20=1,1,$B$25)</f>
        <v>0</v>
      </c>
      <c r="AW3" s="143">
        <f>((IF($G$26="SI",$G107*$B$24,0))*(VLOOKUP($F$27,$F$95:$H$99,3,0)))*IF($F$20=1,1,$B$25)</f>
        <v>0</v>
      </c>
      <c r="AX3" s="143">
        <f>((IF($G$26="SI",$H107*$B$24,0))*(VLOOKUP($F$27,$F$95:$H$99,3,0)))*IF($F$20=1,1,$B$25)</f>
        <v>0</v>
      </c>
      <c r="AY3" s="143">
        <f ca="1">SUM(CW3:CZ3)*IF($F$20=1,1,$B$25)*$B$24</f>
        <v>0</v>
      </c>
      <c r="AZ3" s="142"/>
      <c r="BA3" s="143">
        <f t="shared" ref="BA3:BA34" ca="1" si="8">+O3*$B$26</f>
        <v>0</v>
      </c>
      <c r="BB3" s="143">
        <f t="shared" ref="BB3:BB34" ca="1" si="9">+P3*$B$26</f>
        <v>0</v>
      </c>
      <c r="BC3" s="144"/>
      <c r="BD3" s="145">
        <f ca="1">(($BA3*$AR3*CV3)+($AU3*$B142)+($AV3*$B36)+($AW3*$AR3)+($AR3*$AY3))*CU3</f>
        <v>0</v>
      </c>
      <c r="BE3" s="145">
        <f ca="1">(($BB3*$AS3*CV3)+($AU3*$C142)+($AV3*$C36)+($AX3*$AS3)+($AS3*$AY3))*CU3</f>
        <v>0</v>
      </c>
      <c r="BF3" s="146" t="str">
        <f t="shared" ref="BF3:BF34" ca="1" si="10">IF(BA3=0,"",(SUM(BD3:BE3)))</f>
        <v/>
      </c>
      <c r="BG3" s="239">
        <f ca="1">+AR3*BA3</f>
        <v>0</v>
      </c>
      <c r="BH3" s="95">
        <f t="shared" ref="BH3:BH34" ca="1" si="11">M3*$B$26</f>
        <v>0</v>
      </c>
      <c r="BI3" s="95">
        <f t="shared" ref="BI3:BI34" ca="1" si="12">N3*$B$26</f>
        <v>0</v>
      </c>
      <c r="BJ3" s="144"/>
      <c r="BK3" s="147">
        <f ca="1">(($BH3*$AR3*CV3)+($AU3*$B142)+($AV3*$B36)+($AW3*$AR3)+($AR3*$AY3))*CU3</f>
        <v>0</v>
      </c>
      <c r="BL3" s="147">
        <f ca="1">(($BI3*$AS3*CV3)+($AU3*$C142)+($AV3*$C36)+($AX3*$AS3)+($AS3*$AY3))*CU3</f>
        <v>0</v>
      </c>
      <c r="BM3" s="148" t="str">
        <f t="shared" ref="BM3:BM34" ca="1" si="13">IF(BH3=0,"",(SUM(BK3:BL3)))</f>
        <v/>
      </c>
      <c r="BN3" s="92"/>
      <c r="BO3" s="149">
        <f t="shared" ref="BO3:BO34" ca="1" si="14">K3*$B$26</f>
        <v>0</v>
      </c>
      <c r="BP3" s="149">
        <f t="shared" ref="BP3:BP34" ca="1" si="15">L3*$B$26</f>
        <v>0</v>
      </c>
      <c r="BQ3" s="144"/>
      <c r="BR3" s="150">
        <f ca="1">(($BO3*$AR3*CV3)+($AU3*$B142)+($AV3*$B36)+($AW3*$AR3)+($AR3*$AY3))*CU3</f>
        <v>0</v>
      </c>
      <c r="BS3" s="150">
        <f ca="1">(($BP3*$AS3*CV3)+($AU3*$C142)+($AV3*$C36)+($AX3*$AS3)+($AS3*$AY3))*CU3</f>
        <v>0</v>
      </c>
      <c r="BT3" s="151" t="str">
        <f t="shared" ref="BT3:BT34" ca="1" si="16">IF(BO3=0,"",(SUM(BR3:BS3)))</f>
        <v/>
      </c>
      <c r="BU3" s="92"/>
      <c r="BV3" s="152">
        <f t="shared" ref="BV3:BV34" ca="1" si="17">Q3*$B$26</f>
        <v>0</v>
      </c>
      <c r="BW3" s="152">
        <f t="shared" ref="BW3:BW34" ca="1" si="18">R3*$B$26</f>
        <v>0</v>
      </c>
      <c r="BX3" s="144"/>
      <c r="BY3" s="153">
        <f ca="1">(($BV3*$AR3*CV3)+($AU3*$B142)+($AV3*$B36)+($AR3*$AY3))*CU3</f>
        <v>0</v>
      </c>
      <c r="BZ3" s="153">
        <f ca="1">(($BW3*$AS3*CV3)+($AU3*$C142)+($AV3*$C36)+($AS3*$AY3))*CU3</f>
        <v>0</v>
      </c>
      <c r="CA3" s="154" t="str">
        <f t="shared" ref="CA3:CA34" ca="1" si="19">IF(BV3=0,"",(SUM(BY3:BZ3)))</f>
        <v/>
      </c>
      <c r="CB3" s="92"/>
      <c r="CC3" s="155">
        <f t="shared" ref="CC3:CC34" ca="1" si="20">S3*$B$26</f>
        <v>0</v>
      </c>
      <c r="CD3" s="155">
        <f t="shared" ref="CD3:CD34" ca="1" si="21">T3*$B$26</f>
        <v>0</v>
      </c>
      <c r="CE3" s="144"/>
      <c r="CF3" s="156">
        <f ca="1">(($CC3*$AR3*CV3)+($AU3*$B142)+($AV3*$B36)+($AR3*$AY3))*CU3</f>
        <v>0</v>
      </c>
      <c r="CG3" s="156">
        <f ca="1">(($CD3*$AS3*CV3)+($AU3*$C142)+($AV3*$C36)+($AS3*$AY3))*CU3</f>
        <v>0</v>
      </c>
      <c r="CH3" s="157" t="str">
        <f t="shared" ref="CH3:CH34" ca="1" si="22">IF(CC3=0,"",(SUM(CF3:CG3)))</f>
        <v/>
      </c>
      <c r="CI3" s="92"/>
      <c r="CJ3" s="158">
        <f t="shared" ref="CJ3:CJ34" ca="1" si="23">U3*$B$26</f>
        <v>0</v>
      </c>
      <c r="CK3" s="158">
        <f t="shared" ref="CK3:CK34" ca="1" si="24">V3*$B$26</f>
        <v>0</v>
      </c>
      <c r="CL3" s="144"/>
      <c r="CM3" s="159">
        <f ca="1">(($CJ3*$AR3*CV3)+($AU3*$B142)+($AV3*$B36)+($AR3*$AY3))*CU3</f>
        <v>0</v>
      </c>
      <c r="CN3" s="159">
        <f ca="1">(($CK3*$AS3*CV3)+($AU3*$C142)+($AV3*$C36)+($AS3*$AY3))*CU3</f>
        <v>0</v>
      </c>
      <c r="CO3" s="160" t="str">
        <f t="shared" ref="CO3:CO34" ca="1" si="25">IF(CJ3=0,"",(SUM(CM3:CN3)))</f>
        <v/>
      </c>
      <c r="CP3" s="92"/>
      <c r="CQ3" s="378">
        <v>0</v>
      </c>
      <c r="CR3" s="379">
        <v>0.18</v>
      </c>
      <c r="CS3" s="92">
        <f>+CR3*$CS$2</f>
        <v>0</v>
      </c>
      <c r="CT3" s="335">
        <f>ROUND(CR3-CS3,4)</f>
        <v>0.18</v>
      </c>
      <c r="CU3" s="92">
        <f>1-CS3</f>
        <v>1</v>
      </c>
      <c r="CV3" s="348">
        <f>+IF($C$13="NO",1,1.015)</f>
        <v>1</v>
      </c>
      <c r="CW3" s="380">
        <f>+IF(p&gt;3,154.53,139.81)</f>
        <v>139.81</v>
      </c>
      <c r="CX3" s="380">
        <f t="shared" ref="CX3:CX34" si="26">+IF(p&gt;3,75.79,68.57)</f>
        <v>68.569999999999993</v>
      </c>
      <c r="CY3" s="367">
        <f t="shared" ref="CY3:CY34" si="27">+IF(p&gt;3,306.81,276.83)</f>
        <v>276.83</v>
      </c>
      <c r="CZ3" s="380">
        <f t="shared" ref="CZ3:CZ52" si="28">+IF(p&gt;3,0,155.79)</f>
        <v>155.79</v>
      </c>
      <c r="DA3"/>
      <c r="DB3" s="391">
        <v>0</v>
      </c>
      <c r="DC3" s="59">
        <v>23215.7</v>
      </c>
      <c r="DD3" s="59">
        <v>21888.04</v>
      </c>
      <c r="DE3" s="59">
        <v>20607.560000000001</v>
      </c>
      <c r="DF3" s="59">
        <v>19429.05</v>
      </c>
      <c r="DG3" s="59">
        <v>18246.27</v>
      </c>
      <c r="DH3" s="59">
        <v>17202.810000000001</v>
      </c>
      <c r="DI3" s="137">
        <v>85781.38</v>
      </c>
      <c r="DJ3" s="137">
        <v>70472.81</v>
      </c>
      <c r="DK3" s="138">
        <v>63856.94</v>
      </c>
      <c r="DL3" s="138">
        <v>52412.56</v>
      </c>
      <c r="DM3" s="137">
        <v>41362.28</v>
      </c>
      <c r="DN3" s="137">
        <v>37702.1</v>
      </c>
      <c r="DP3" s="384" t="s">
        <v>128</v>
      </c>
      <c r="DQ3" s="387">
        <v>357.94</v>
      </c>
      <c r="DR3" s="387">
        <v>393.73</v>
      </c>
    </row>
    <row r="4" spans="1:122">
      <c r="A4" s="162" t="s">
        <v>369</v>
      </c>
      <c r="B4" s="162">
        <v>3</v>
      </c>
      <c r="C4" s="301" t="str">
        <f>+VLOOKUP(B4,DATOS!$A$4:$B$9,2,0)</f>
        <v>Elite</v>
      </c>
      <c r="D4" s="297" t="str">
        <f>+VLOOKUP(B4,DATOS!$A$4:$C$9,3,0)</f>
        <v>Plan Atlas Med Plus Elite</v>
      </c>
      <c r="G4"/>
      <c r="H4"/>
      <c r="I4"/>
      <c r="J4" s="164">
        <v>1</v>
      </c>
      <c r="K4" s="59">
        <f t="shared" ref="K4:P52" si="29">+DC4</f>
        <v>23215.7</v>
      </c>
      <c r="L4" s="59">
        <f t="shared" si="0"/>
        <v>21888.04</v>
      </c>
      <c r="M4" s="59">
        <f t="shared" si="0"/>
        <v>20607.560000000001</v>
      </c>
      <c r="N4" s="59">
        <f t="shared" si="0"/>
        <v>19429.05</v>
      </c>
      <c r="O4" s="59">
        <f t="shared" si="0"/>
        <v>18246.27</v>
      </c>
      <c r="P4" s="59">
        <f t="shared" si="0"/>
        <v>17202.810000000001</v>
      </c>
      <c r="Q4" s="136">
        <f t="shared" si="1"/>
        <v>85781.38</v>
      </c>
      <c r="R4" s="136">
        <f t="shared" si="2"/>
        <v>70472.81</v>
      </c>
      <c r="S4" s="136">
        <f t="shared" si="3"/>
        <v>63856.94</v>
      </c>
      <c r="T4" s="136">
        <f t="shared" si="4"/>
        <v>52412.56</v>
      </c>
      <c r="U4" s="136">
        <f t="shared" si="5"/>
        <v>41362.28</v>
      </c>
      <c r="V4" s="136">
        <f t="shared" si="6"/>
        <v>37702.1</v>
      </c>
      <c r="W4" s="92"/>
      <c r="X4" s="137">
        <f t="shared" ref="X4:Y52" si="30">+DI4</f>
        <v>85781.38</v>
      </c>
      <c r="Y4" s="137">
        <f t="shared" si="30"/>
        <v>70472.81</v>
      </c>
      <c r="Z4" s="136">
        <f t="shared" ref="Z4:Z67" si="31">X4*1.043</f>
        <v>89469.979340000005</v>
      </c>
      <c r="AA4" s="136">
        <f t="shared" ref="AA4:AA67" si="32">Y4*1.043</f>
        <v>73503.140829999989</v>
      </c>
      <c r="AB4" s="136">
        <f t="shared" ref="AB4:AB67" si="33">X4*1.12</f>
        <v>96075.145600000018</v>
      </c>
      <c r="AC4" s="136">
        <f t="shared" ref="AC4:AC67" si="34">Y4*1.12</f>
        <v>78929.547200000001</v>
      </c>
      <c r="AD4" s="138">
        <f t="shared" ref="AD4:AE52" si="35">+DK4</f>
        <v>63856.94</v>
      </c>
      <c r="AE4" s="138">
        <f t="shared" si="35"/>
        <v>52412.56</v>
      </c>
      <c r="AF4" s="136">
        <f t="shared" ref="AF4:AF67" si="36">AD4*1.043</f>
        <v>66602.788419999997</v>
      </c>
      <c r="AG4" s="136">
        <f t="shared" ref="AG4:AG67" si="37">AE4*1.043</f>
        <v>54666.300079999994</v>
      </c>
      <c r="AH4" s="136">
        <f t="shared" ref="AH4:AH67" si="38">AD4*1.12</f>
        <v>71519.772800000006</v>
      </c>
      <c r="AI4" s="136">
        <f t="shared" ref="AI4:AI67" si="39">AE4*1.12</f>
        <v>58702.067200000005</v>
      </c>
      <c r="AJ4" s="137">
        <f t="shared" ref="AJ4:AK52" si="40">+DM4</f>
        <v>41362.28</v>
      </c>
      <c r="AK4" s="137">
        <f t="shared" si="40"/>
        <v>37702.1</v>
      </c>
      <c r="AL4" s="136">
        <f t="shared" ref="AL4:AL67" si="41">AJ4*1.043</f>
        <v>43140.858039999999</v>
      </c>
      <c r="AM4" s="136">
        <f t="shared" ref="AM4:AM67" si="42">AK4*1.043</f>
        <v>39323.290299999993</v>
      </c>
      <c r="AN4" s="136">
        <f t="shared" ref="AN4:AN67" si="43">AJ4*1.12</f>
        <v>46325.753600000004</v>
      </c>
      <c r="AO4" s="136">
        <f t="shared" ref="AO4:AO67" si="44">AK4*1.12</f>
        <v>42226.351999999999</v>
      </c>
      <c r="AP4" s="92"/>
      <c r="AQ4" s="140">
        <v>1</v>
      </c>
      <c r="AR4" s="141">
        <f ca="1">+RESUMEN!F4</f>
        <v>0</v>
      </c>
      <c r="AS4" s="141">
        <f ca="1">+RESUMEN!G4</f>
        <v>0</v>
      </c>
      <c r="AT4" s="142">
        <f t="shared" ca="1" si="7"/>
        <v>0</v>
      </c>
      <c r="AU4" s="143">
        <f t="shared" ref="AU4:AU67" si="45">+((IF($G$9="SI",$K108*$B$24,0))*(VLOOKUP($F$10,$L$107:$N$123,3,0)))*IF($F$20=1,1,$B$25)</f>
        <v>0</v>
      </c>
      <c r="AV4" s="143">
        <f t="shared" ref="AV4:AV67" si="46">((IF($G$12="SI",$K108*$B$24,0))*(VLOOKUP($F$13,$L$107:$N$123,3,0)))*IF($F$20=1,1,$B$25)</f>
        <v>0</v>
      </c>
      <c r="AW4" s="143">
        <f t="shared" ref="AW4:AW67" si="47">((IF($G$26="SI",$G108*$B$24,0))*(VLOOKUP($F$27,$F$95:$H$99,3,0)))*IF($F$20=1,1,$B$25)</f>
        <v>0</v>
      </c>
      <c r="AX4" s="143">
        <f t="shared" ref="AX4:AX67" si="48">((IF($G$26="SI",$H108*$B$24,0))*(VLOOKUP($F$27,$F$95:$H$99,3,0)))*IF($F$20=1,1,$B$25)</f>
        <v>0</v>
      </c>
      <c r="AY4" s="143">
        <f t="shared" ref="AY4:AY67" ca="1" si="49">SUM(CW4:CZ4)*IF($F$20=1,1,$B$25)*$B$24</f>
        <v>0</v>
      </c>
      <c r="AZ4" s="142"/>
      <c r="BA4" s="143">
        <f t="shared" ca="1" si="8"/>
        <v>0</v>
      </c>
      <c r="BB4" s="143">
        <f t="shared" ca="1" si="9"/>
        <v>0</v>
      </c>
      <c r="BC4" s="144"/>
      <c r="BD4" s="145">
        <f t="shared" ref="BD4:BD67" ca="1" si="50">(($BA4*$AR4*CV4)+($AU4*$B143)+($AV4*$B37)+($AW4*$AR4)+($AR4*$AY4))*CU4</f>
        <v>0</v>
      </c>
      <c r="BE4" s="145">
        <f t="shared" ref="BE4:BE20" ca="1" si="51">(($BB4*$AS4*CV4)+($AU4*$C143)+($AV4*$C37)+($AX4*$AS4)+($AS4*$AY4))*CU4</f>
        <v>0</v>
      </c>
      <c r="BF4" s="146" t="str">
        <f t="shared" ca="1" si="10"/>
        <v/>
      </c>
      <c r="BG4" s="92"/>
      <c r="BH4" s="95">
        <f t="shared" ca="1" si="11"/>
        <v>0</v>
      </c>
      <c r="BI4" s="95">
        <f t="shared" ca="1" si="12"/>
        <v>0</v>
      </c>
      <c r="BJ4" s="144"/>
      <c r="BK4" s="147">
        <f t="shared" ref="BK4:BK67" ca="1" si="52">(($BH4*$AR4*CV4)+($AU4*$B143)+($AV4*$B37)+($AW4*$AR4)+($AR4*$AY4))*CU4</f>
        <v>0</v>
      </c>
      <c r="BL4" s="147">
        <f t="shared" ref="BL4:BL20" ca="1" si="53">(($BI4*$AS4*CV4)+($AU4*$C143)+($AV4*$C37)+($AX4*$AS4)+($AS4*$AY4))*CU4</f>
        <v>0</v>
      </c>
      <c r="BM4" s="148" t="str">
        <f t="shared" ca="1" si="13"/>
        <v/>
      </c>
      <c r="BN4" s="92"/>
      <c r="BO4" s="149">
        <f t="shared" ca="1" si="14"/>
        <v>0</v>
      </c>
      <c r="BP4" s="149">
        <f t="shared" ca="1" si="15"/>
        <v>0</v>
      </c>
      <c r="BQ4" s="144"/>
      <c r="BR4" s="150">
        <f t="shared" ref="BR4:BR67" ca="1" si="54">(($BO4*$AR4*CV4)+($AU4*$B143)+($AV4*$B37)+($AW4*$AR4)+($AR4*$AY4))*CU4</f>
        <v>0</v>
      </c>
      <c r="BS4" s="150">
        <f t="shared" ref="BS4:BS20" ca="1" si="55">(($BP4*$AS4*CV4)+($AU4*$C143)+($AV4*$C37)+($AX4*$AS4)+($AS4*$AY4))*CU4</f>
        <v>0</v>
      </c>
      <c r="BT4" s="151" t="str">
        <f t="shared" ca="1" si="16"/>
        <v/>
      </c>
      <c r="BU4" s="92"/>
      <c r="BV4" s="152">
        <f t="shared" ca="1" si="17"/>
        <v>0</v>
      </c>
      <c r="BW4" s="152">
        <f t="shared" ca="1" si="18"/>
        <v>0</v>
      </c>
      <c r="BX4" s="144"/>
      <c r="BY4" s="153">
        <f t="shared" ref="BY4:BY67" ca="1" si="56">(($BV4*$AR4*CV4)+($AU4*$B143)+($AV4*$B37)+($AR4*$AY4))*CU4</f>
        <v>0</v>
      </c>
      <c r="BZ4" s="153">
        <f t="shared" ref="BZ4:BZ20" ca="1" si="57">(($BW4*$AS4*CV4)+($AU4*$C143)+($AV4*$C37)+($AS4*$AY4))*CU4</f>
        <v>0</v>
      </c>
      <c r="CA4" s="154" t="str">
        <f t="shared" ca="1" si="19"/>
        <v/>
      </c>
      <c r="CB4" s="92"/>
      <c r="CC4" s="155">
        <f t="shared" ca="1" si="20"/>
        <v>0</v>
      </c>
      <c r="CD4" s="155">
        <f t="shared" ca="1" si="21"/>
        <v>0</v>
      </c>
      <c r="CE4" s="144"/>
      <c r="CF4" s="156">
        <f t="shared" ref="CF4:CF67" ca="1" si="58">(($CC4*$AR4*CV4)+($AU4*$B143)+($AV4*$B37)+($AR4*$AY4))*CU4</f>
        <v>0</v>
      </c>
      <c r="CG4" s="156">
        <f t="shared" ref="CG4:CG20" ca="1" si="59">(($CD4*$AS4*CV4)+($AU4*$C143)+($AV4*$C37)+($AS4*$AY4))*CU4</f>
        <v>0</v>
      </c>
      <c r="CH4" s="157" t="str">
        <f t="shared" ca="1" si="22"/>
        <v/>
      </c>
      <c r="CI4" s="92"/>
      <c r="CJ4" s="158">
        <f t="shared" ca="1" si="23"/>
        <v>0</v>
      </c>
      <c r="CK4" s="158">
        <f t="shared" ca="1" si="24"/>
        <v>0</v>
      </c>
      <c r="CL4" s="144"/>
      <c r="CM4" s="159">
        <f t="shared" ref="CM4:CM67" ca="1" si="60">(($CJ4*$AR4*CV4)+($AU4*$B143)+($AV4*$B37)+($AR4*$AY4))*CU4</f>
        <v>0</v>
      </c>
      <c r="CN4" s="159">
        <f t="shared" ref="CN4:CN20" ca="1" si="61">(($CK4*$AS4*CV4)+($AU4*$C143)+($AV4*$C37)+($AS4*$AY4))*CU4</f>
        <v>0</v>
      </c>
      <c r="CO4" s="160" t="str">
        <f t="shared" ca="1" si="25"/>
        <v/>
      </c>
      <c r="CP4" s="92"/>
      <c r="CQ4" s="140">
        <v>1</v>
      </c>
      <c r="CR4" s="330">
        <v>0.18</v>
      </c>
      <c r="CS4" s="92">
        <f t="shared" ref="CS4:CS67" si="62">+CR4*$CS$2</f>
        <v>0</v>
      </c>
      <c r="CT4" s="335">
        <f t="shared" ref="CT4:CT67" si="63">ROUND(CR4-CS4,4)</f>
        <v>0.18</v>
      </c>
      <c r="CU4" s="92">
        <f t="shared" ref="CU4:CU67" si="64">1-CS4</f>
        <v>1</v>
      </c>
      <c r="CV4" s="348">
        <f t="shared" ref="CV4:CV62" si="65">+IF($C$13="NO",1,1.015)</f>
        <v>1</v>
      </c>
      <c r="CW4" s="380">
        <f t="shared" ref="CW4:CW34" si="66">+IF(p&gt;3,154.53,139.81)</f>
        <v>139.81</v>
      </c>
      <c r="CX4" s="380">
        <f t="shared" si="26"/>
        <v>68.569999999999993</v>
      </c>
      <c r="CY4" s="367">
        <f t="shared" si="27"/>
        <v>276.83</v>
      </c>
      <c r="CZ4" s="380">
        <f t="shared" si="28"/>
        <v>155.79</v>
      </c>
      <c r="DA4"/>
      <c r="DB4" s="391">
        <v>1</v>
      </c>
      <c r="DC4" s="59">
        <v>23215.7</v>
      </c>
      <c r="DD4" s="59">
        <v>21888.04</v>
      </c>
      <c r="DE4" s="59">
        <v>20607.560000000001</v>
      </c>
      <c r="DF4" s="59">
        <v>19429.05</v>
      </c>
      <c r="DG4" s="59">
        <v>18246.27</v>
      </c>
      <c r="DH4" s="59">
        <v>17202.810000000001</v>
      </c>
      <c r="DI4" s="137">
        <v>85781.38</v>
      </c>
      <c r="DJ4" s="137">
        <v>70472.81</v>
      </c>
      <c r="DK4" s="138">
        <v>63856.94</v>
      </c>
      <c r="DL4" s="138">
        <v>52412.56</v>
      </c>
      <c r="DM4" s="137">
        <v>41362.28</v>
      </c>
      <c r="DN4" s="137">
        <v>37702.1</v>
      </c>
      <c r="DP4" s="384" t="s">
        <v>129</v>
      </c>
      <c r="DQ4" s="386">
        <v>366.96</v>
      </c>
      <c r="DR4" s="386">
        <v>380.75</v>
      </c>
    </row>
    <row r="5" spans="1:122">
      <c r="A5" s="162" t="s">
        <v>265</v>
      </c>
      <c r="B5" s="108">
        <v>26</v>
      </c>
      <c r="C5" s="301" t="str">
        <f>VLOOKUP(B5,DATOS!S3:Y51,3,0)</f>
        <v>D00</v>
      </c>
      <c r="D5" s="162" t="str">
        <f>VLOOKUP(B5,DATOS!S3:Y51,2,0)</f>
        <v>CDMX</v>
      </c>
      <c r="E5">
        <f>+VLOOKUP(B5,DATOS!$S$4:$Z$51,8,0)</f>
        <v>0</v>
      </c>
      <c r="F5"/>
      <c r="G5"/>
      <c r="H5"/>
      <c r="I5"/>
      <c r="J5" s="164">
        <v>2</v>
      </c>
      <c r="K5" s="59">
        <f t="shared" si="29"/>
        <v>23215.7</v>
      </c>
      <c r="L5" s="59">
        <f t="shared" si="0"/>
        <v>21753.16</v>
      </c>
      <c r="M5" s="59">
        <f t="shared" si="0"/>
        <v>20607.560000000001</v>
      </c>
      <c r="N5" s="59">
        <f t="shared" si="0"/>
        <v>19309.330000000002</v>
      </c>
      <c r="O5" s="59">
        <f t="shared" si="0"/>
        <v>18246.27</v>
      </c>
      <c r="P5" s="59">
        <f t="shared" si="0"/>
        <v>17096.8</v>
      </c>
      <c r="Q5" s="136">
        <f t="shared" si="1"/>
        <v>85781.38</v>
      </c>
      <c r="R5" s="136">
        <f t="shared" si="2"/>
        <v>70472.81</v>
      </c>
      <c r="S5" s="136">
        <f t="shared" si="3"/>
        <v>63856.94</v>
      </c>
      <c r="T5" s="136">
        <f t="shared" si="4"/>
        <v>52412.56</v>
      </c>
      <c r="U5" s="136">
        <f t="shared" si="5"/>
        <v>41362.28</v>
      </c>
      <c r="V5" s="136">
        <f t="shared" si="6"/>
        <v>37702.1</v>
      </c>
      <c r="W5" s="92"/>
      <c r="X5" s="137">
        <f t="shared" si="30"/>
        <v>85781.38</v>
      </c>
      <c r="Y5" s="137">
        <f t="shared" si="30"/>
        <v>70472.81</v>
      </c>
      <c r="Z5" s="136">
        <f t="shared" si="31"/>
        <v>89469.979340000005</v>
      </c>
      <c r="AA5" s="136">
        <f t="shared" si="32"/>
        <v>73503.140829999989</v>
      </c>
      <c r="AB5" s="136">
        <f t="shared" si="33"/>
        <v>96075.145600000018</v>
      </c>
      <c r="AC5" s="136">
        <f t="shared" si="34"/>
        <v>78929.547200000001</v>
      </c>
      <c r="AD5" s="138">
        <f t="shared" si="35"/>
        <v>63856.94</v>
      </c>
      <c r="AE5" s="138">
        <f t="shared" si="35"/>
        <v>52412.56</v>
      </c>
      <c r="AF5" s="136">
        <f t="shared" si="36"/>
        <v>66602.788419999997</v>
      </c>
      <c r="AG5" s="136">
        <f t="shared" si="37"/>
        <v>54666.300079999994</v>
      </c>
      <c r="AH5" s="136">
        <f t="shared" si="38"/>
        <v>71519.772800000006</v>
      </c>
      <c r="AI5" s="136">
        <f t="shared" si="39"/>
        <v>58702.067200000005</v>
      </c>
      <c r="AJ5" s="137">
        <f t="shared" si="40"/>
        <v>41362.28</v>
      </c>
      <c r="AK5" s="137">
        <f t="shared" si="40"/>
        <v>37702.1</v>
      </c>
      <c r="AL5" s="136">
        <f t="shared" si="41"/>
        <v>43140.858039999999</v>
      </c>
      <c r="AM5" s="136">
        <f t="shared" si="42"/>
        <v>39323.290299999993</v>
      </c>
      <c r="AN5" s="136">
        <f t="shared" si="43"/>
        <v>46325.753600000004</v>
      </c>
      <c r="AO5" s="136">
        <f t="shared" si="44"/>
        <v>42226.351999999999</v>
      </c>
      <c r="AP5" s="92"/>
      <c r="AQ5" s="140">
        <v>2</v>
      </c>
      <c r="AR5" s="141">
        <f ca="1">+RESUMEN!F5</f>
        <v>0</v>
      </c>
      <c r="AS5" s="141">
        <f ca="1">+RESUMEN!G5</f>
        <v>0</v>
      </c>
      <c r="AT5" s="142">
        <f t="shared" ca="1" si="7"/>
        <v>0</v>
      </c>
      <c r="AU5" s="143">
        <f t="shared" si="45"/>
        <v>0</v>
      </c>
      <c r="AV5" s="143">
        <f t="shared" si="46"/>
        <v>0</v>
      </c>
      <c r="AW5" s="143">
        <f t="shared" si="47"/>
        <v>0</v>
      </c>
      <c r="AX5" s="143">
        <f t="shared" si="48"/>
        <v>0</v>
      </c>
      <c r="AY5" s="143">
        <f t="shared" ca="1" si="49"/>
        <v>0</v>
      </c>
      <c r="AZ5" s="142"/>
      <c r="BA5" s="143">
        <f t="shared" ca="1" si="8"/>
        <v>0</v>
      </c>
      <c r="BB5" s="143">
        <f t="shared" ca="1" si="9"/>
        <v>0</v>
      </c>
      <c r="BC5" s="144"/>
      <c r="BD5" s="145">
        <f t="shared" ca="1" si="50"/>
        <v>0</v>
      </c>
      <c r="BE5" s="145">
        <f t="shared" ca="1" si="51"/>
        <v>0</v>
      </c>
      <c r="BF5" s="146" t="str">
        <f t="shared" ca="1" si="10"/>
        <v/>
      </c>
      <c r="BG5" s="92"/>
      <c r="BH5" s="95">
        <f t="shared" ca="1" si="11"/>
        <v>0</v>
      </c>
      <c r="BI5" s="95">
        <f t="shared" ca="1" si="12"/>
        <v>0</v>
      </c>
      <c r="BJ5" s="144"/>
      <c r="BK5" s="147">
        <f t="shared" ca="1" si="52"/>
        <v>0</v>
      </c>
      <c r="BL5" s="147">
        <f t="shared" ca="1" si="53"/>
        <v>0</v>
      </c>
      <c r="BM5" s="148" t="str">
        <f t="shared" ca="1" si="13"/>
        <v/>
      </c>
      <c r="BN5" s="92"/>
      <c r="BO5" s="149">
        <f t="shared" ca="1" si="14"/>
        <v>0</v>
      </c>
      <c r="BP5" s="149">
        <f t="shared" ca="1" si="15"/>
        <v>0</v>
      </c>
      <c r="BQ5" s="144"/>
      <c r="BR5" s="150">
        <f t="shared" ca="1" si="54"/>
        <v>0</v>
      </c>
      <c r="BS5" s="150">
        <f t="shared" ca="1" si="55"/>
        <v>0</v>
      </c>
      <c r="BT5" s="151" t="str">
        <f t="shared" ca="1" si="16"/>
        <v/>
      </c>
      <c r="BU5" s="92"/>
      <c r="BV5" s="152">
        <f t="shared" ca="1" si="17"/>
        <v>0</v>
      </c>
      <c r="BW5" s="152">
        <f t="shared" ca="1" si="18"/>
        <v>0</v>
      </c>
      <c r="BX5" s="144"/>
      <c r="BY5" s="153">
        <f t="shared" ca="1" si="56"/>
        <v>0</v>
      </c>
      <c r="BZ5" s="153">
        <f t="shared" ca="1" si="57"/>
        <v>0</v>
      </c>
      <c r="CA5" s="154" t="str">
        <f t="shared" ca="1" si="19"/>
        <v/>
      </c>
      <c r="CB5" s="92"/>
      <c r="CC5" s="155">
        <f t="shared" ca="1" si="20"/>
        <v>0</v>
      </c>
      <c r="CD5" s="155">
        <f t="shared" ca="1" si="21"/>
        <v>0</v>
      </c>
      <c r="CE5" s="144"/>
      <c r="CF5" s="156">
        <f t="shared" ca="1" si="58"/>
        <v>0</v>
      </c>
      <c r="CG5" s="156">
        <f t="shared" ca="1" si="59"/>
        <v>0</v>
      </c>
      <c r="CH5" s="157" t="str">
        <f t="shared" ca="1" si="22"/>
        <v/>
      </c>
      <c r="CI5" s="92"/>
      <c r="CJ5" s="158">
        <f t="shared" ca="1" si="23"/>
        <v>0</v>
      </c>
      <c r="CK5" s="158">
        <f t="shared" ca="1" si="24"/>
        <v>0</v>
      </c>
      <c r="CL5" s="144"/>
      <c r="CM5" s="159">
        <f t="shared" ca="1" si="60"/>
        <v>0</v>
      </c>
      <c r="CN5" s="159">
        <f t="shared" ca="1" si="61"/>
        <v>0</v>
      </c>
      <c r="CO5" s="160" t="str">
        <f t="shared" ca="1" si="25"/>
        <v/>
      </c>
      <c r="CP5" s="92"/>
      <c r="CQ5" s="140">
        <v>2</v>
      </c>
      <c r="CR5" s="330">
        <v>0.18</v>
      </c>
      <c r="CS5" s="92">
        <f t="shared" si="62"/>
        <v>0</v>
      </c>
      <c r="CT5" s="335">
        <f t="shared" si="63"/>
        <v>0.18</v>
      </c>
      <c r="CU5" s="92">
        <f t="shared" si="64"/>
        <v>1</v>
      </c>
      <c r="CV5" s="348">
        <f t="shared" si="65"/>
        <v>1</v>
      </c>
      <c r="CW5" s="380">
        <f t="shared" si="66"/>
        <v>139.81</v>
      </c>
      <c r="CX5" s="380">
        <f t="shared" si="26"/>
        <v>68.569999999999993</v>
      </c>
      <c r="CY5" s="367">
        <f t="shared" si="27"/>
        <v>276.83</v>
      </c>
      <c r="CZ5" s="380">
        <f t="shared" si="28"/>
        <v>155.79</v>
      </c>
      <c r="DA5"/>
      <c r="DB5" s="391">
        <v>2</v>
      </c>
      <c r="DC5" s="59">
        <v>23215.7</v>
      </c>
      <c r="DD5" s="59">
        <v>21753.16</v>
      </c>
      <c r="DE5" s="59">
        <v>20607.560000000001</v>
      </c>
      <c r="DF5" s="59">
        <v>19309.330000000002</v>
      </c>
      <c r="DG5" s="59">
        <v>18246.27</v>
      </c>
      <c r="DH5" s="59">
        <v>17096.8</v>
      </c>
      <c r="DI5" s="137">
        <v>85781.38</v>
      </c>
      <c r="DJ5" s="137">
        <v>70472.81</v>
      </c>
      <c r="DK5" s="138">
        <v>63856.94</v>
      </c>
      <c r="DL5" s="138">
        <v>52412.56</v>
      </c>
      <c r="DM5" s="137">
        <v>41362.28</v>
      </c>
      <c r="DN5" s="137">
        <v>37702.1</v>
      </c>
      <c r="DP5" s="384" t="s">
        <v>130</v>
      </c>
      <c r="DQ5" s="387">
        <v>375.98</v>
      </c>
      <c r="DR5" s="387">
        <v>367.77</v>
      </c>
    </row>
    <row r="6" spans="1:122">
      <c r="A6" s="162" t="s">
        <v>7</v>
      </c>
      <c r="B6" s="108">
        <v>61</v>
      </c>
      <c r="C6" s="302">
        <f>+VLOOKUP(B6,DATOS!$AA$4:$AD$102,2,0)</f>
        <v>6000</v>
      </c>
      <c r="D6" s="162" t="str">
        <f>+IF(B4&gt;=4," Dlls."," UMAM ")</f>
        <v xml:space="preserve"> UMAM </v>
      </c>
      <c r="E6"/>
      <c r="F6"/>
      <c r="G6"/>
      <c r="H6"/>
      <c r="I6"/>
      <c r="J6" s="164">
        <v>3</v>
      </c>
      <c r="K6" s="59">
        <f t="shared" si="29"/>
        <v>23215.7</v>
      </c>
      <c r="L6" s="59">
        <f t="shared" si="0"/>
        <v>21537.66</v>
      </c>
      <c r="M6" s="59">
        <f t="shared" si="0"/>
        <v>20607.560000000001</v>
      </c>
      <c r="N6" s="59">
        <f t="shared" si="0"/>
        <v>19118.03</v>
      </c>
      <c r="O6" s="59">
        <f t="shared" si="0"/>
        <v>18246.27</v>
      </c>
      <c r="P6" s="59">
        <f t="shared" si="0"/>
        <v>16927.419999999998</v>
      </c>
      <c r="Q6" s="136">
        <f t="shared" si="1"/>
        <v>85781.38</v>
      </c>
      <c r="R6" s="136">
        <f t="shared" si="2"/>
        <v>70472.81</v>
      </c>
      <c r="S6" s="136">
        <f t="shared" si="3"/>
        <v>63856.94</v>
      </c>
      <c r="T6" s="136">
        <f t="shared" si="4"/>
        <v>52412.56</v>
      </c>
      <c r="U6" s="136">
        <f t="shared" si="5"/>
        <v>41362.28</v>
      </c>
      <c r="V6" s="136">
        <f t="shared" si="6"/>
        <v>37702.1</v>
      </c>
      <c r="W6" s="92"/>
      <c r="X6" s="137">
        <f t="shared" si="30"/>
        <v>85781.38</v>
      </c>
      <c r="Y6" s="137">
        <f t="shared" si="30"/>
        <v>70472.81</v>
      </c>
      <c r="Z6" s="136">
        <f t="shared" si="31"/>
        <v>89469.979340000005</v>
      </c>
      <c r="AA6" s="136">
        <f t="shared" si="32"/>
        <v>73503.140829999989</v>
      </c>
      <c r="AB6" s="136">
        <f t="shared" si="33"/>
        <v>96075.145600000018</v>
      </c>
      <c r="AC6" s="136">
        <f t="shared" si="34"/>
        <v>78929.547200000001</v>
      </c>
      <c r="AD6" s="138">
        <f t="shared" si="35"/>
        <v>63856.94</v>
      </c>
      <c r="AE6" s="138">
        <f t="shared" si="35"/>
        <v>52412.56</v>
      </c>
      <c r="AF6" s="136">
        <f t="shared" si="36"/>
        <v>66602.788419999997</v>
      </c>
      <c r="AG6" s="136">
        <f t="shared" si="37"/>
        <v>54666.300079999994</v>
      </c>
      <c r="AH6" s="136">
        <f t="shared" si="38"/>
        <v>71519.772800000006</v>
      </c>
      <c r="AI6" s="136">
        <f t="shared" si="39"/>
        <v>58702.067200000005</v>
      </c>
      <c r="AJ6" s="137">
        <f t="shared" si="40"/>
        <v>41362.28</v>
      </c>
      <c r="AK6" s="137">
        <f t="shared" si="40"/>
        <v>37702.1</v>
      </c>
      <c r="AL6" s="136">
        <f t="shared" si="41"/>
        <v>43140.858039999999</v>
      </c>
      <c r="AM6" s="136">
        <f t="shared" si="42"/>
        <v>39323.290299999993</v>
      </c>
      <c r="AN6" s="136">
        <f t="shared" si="43"/>
        <v>46325.753600000004</v>
      </c>
      <c r="AO6" s="136">
        <f t="shared" si="44"/>
        <v>42226.351999999999</v>
      </c>
      <c r="AP6" s="92"/>
      <c r="AQ6" s="140">
        <v>3</v>
      </c>
      <c r="AR6" s="141">
        <f ca="1">+RESUMEN!F6</f>
        <v>0</v>
      </c>
      <c r="AS6" s="141">
        <f ca="1">+RESUMEN!G6</f>
        <v>0</v>
      </c>
      <c r="AT6" s="142">
        <f t="shared" ca="1" si="7"/>
        <v>0</v>
      </c>
      <c r="AU6" s="143">
        <f t="shared" si="45"/>
        <v>0</v>
      </c>
      <c r="AV6" s="143">
        <f t="shared" si="46"/>
        <v>0</v>
      </c>
      <c r="AW6" s="143">
        <f t="shared" si="47"/>
        <v>0</v>
      </c>
      <c r="AX6" s="143">
        <f t="shared" si="48"/>
        <v>0</v>
      </c>
      <c r="AY6" s="143">
        <f t="shared" ca="1" si="49"/>
        <v>0</v>
      </c>
      <c r="AZ6" s="142"/>
      <c r="BA6" s="143">
        <f t="shared" ca="1" si="8"/>
        <v>0</v>
      </c>
      <c r="BB6" s="143">
        <f t="shared" ca="1" si="9"/>
        <v>0</v>
      </c>
      <c r="BC6" s="144"/>
      <c r="BD6" s="145">
        <f t="shared" ca="1" si="50"/>
        <v>0</v>
      </c>
      <c r="BE6" s="145">
        <f t="shared" ca="1" si="51"/>
        <v>0</v>
      </c>
      <c r="BF6" s="146" t="str">
        <f t="shared" ca="1" si="10"/>
        <v/>
      </c>
      <c r="BG6" s="92"/>
      <c r="BH6" s="95">
        <f t="shared" ca="1" si="11"/>
        <v>0</v>
      </c>
      <c r="BI6" s="95">
        <f t="shared" ca="1" si="12"/>
        <v>0</v>
      </c>
      <c r="BJ6" s="144"/>
      <c r="BK6" s="147">
        <f t="shared" ca="1" si="52"/>
        <v>0</v>
      </c>
      <c r="BL6" s="147">
        <f t="shared" ca="1" si="53"/>
        <v>0</v>
      </c>
      <c r="BM6" s="148" t="str">
        <f t="shared" ca="1" si="13"/>
        <v/>
      </c>
      <c r="BN6" s="92"/>
      <c r="BO6" s="149">
        <f t="shared" ca="1" si="14"/>
        <v>0</v>
      </c>
      <c r="BP6" s="149">
        <f t="shared" ca="1" si="15"/>
        <v>0</v>
      </c>
      <c r="BQ6" s="144"/>
      <c r="BR6" s="150">
        <f t="shared" ca="1" si="54"/>
        <v>0</v>
      </c>
      <c r="BS6" s="150">
        <f t="shared" ca="1" si="55"/>
        <v>0</v>
      </c>
      <c r="BT6" s="151" t="str">
        <f t="shared" ca="1" si="16"/>
        <v/>
      </c>
      <c r="BU6" s="92"/>
      <c r="BV6" s="152">
        <f t="shared" ca="1" si="17"/>
        <v>0</v>
      </c>
      <c r="BW6" s="152">
        <f t="shared" ca="1" si="18"/>
        <v>0</v>
      </c>
      <c r="BX6" s="144"/>
      <c r="BY6" s="153">
        <f t="shared" ca="1" si="56"/>
        <v>0</v>
      </c>
      <c r="BZ6" s="153">
        <f t="shared" ca="1" si="57"/>
        <v>0</v>
      </c>
      <c r="CA6" s="154" t="str">
        <f t="shared" ca="1" si="19"/>
        <v/>
      </c>
      <c r="CB6" s="92"/>
      <c r="CC6" s="155">
        <f t="shared" ca="1" si="20"/>
        <v>0</v>
      </c>
      <c r="CD6" s="155">
        <f t="shared" ca="1" si="21"/>
        <v>0</v>
      </c>
      <c r="CE6" s="144"/>
      <c r="CF6" s="156">
        <f t="shared" ca="1" si="58"/>
        <v>0</v>
      </c>
      <c r="CG6" s="156">
        <f t="shared" ca="1" si="59"/>
        <v>0</v>
      </c>
      <c r="CH6" s="157" t="str">
        <f t="shared" ca="1" si="22"/>
        <v/>
      </c>
      <c r="CI6" s="92"/>
      <c r="CJ6" s="158">
        <f t="shared" ca="1" si="23"/>
        <v>0</v>
      </c>
      <c r="CK6" s="158">
        <f t="shared" ca="1" si="24"/>
        <v>0</v>
      </c>
      <c r="CL6" s="144"/>
      <c r="CM6" s="159">
        <f t="shared" ca="1" si="60"/>
        <v>0</v>
      </c>
      <c r="CN6" s="159">
        <f t="shared" ca="1" si="61"/>
        <v>0</v>
      </c>
      <c r="CO6" s="160" t="str">
        <f t="shared" ca="1" si="25"/>
        <v/>
      </c>
      <c r="CP6" s="92"/>
      <c r="CQ6" s="140">
        <v>3</v>
      </c>
      <c r="CR6" s="330">
        <v>0.18</v>
      </c>
      <c r="CS6" s="92">
        <f t="shared" si="62"/>
        <v>0</v>
      </c>
      <c r="CT6" s="335">
        <f t="shared" si="63"/>
        <v>0.18</v>
      </c>
      <c r="CU6" s="92">
        <f t="shared" si="64"/>
        <v>1</v>
      </c>
      <c r="CV6" s="348">
        <f t="shared" si="65"/>
        <v>1</v>
      </c>
      <c r="CW6" s="380">
        <f t="shared" si="66"/>
        <v>139.81</v>
      </c>
      <c r="CX6" s="380">
        <f t="shared" si="26"/>
        <v>68.569999999999993</v>
      </c>
      <c r="CY6" s="367">
        <f t="shared" si="27"/>
        <v>276.83</v>
      </c>
      <c r="CZ6" s="380">
        <f t="shared" si="28"/>
        <v>155.79</v>
      </c>
      <c r="DA6"/>
      <c r="DB6" s="391">
        <v>3</v>
      </c>
      <c r="DC6" s="59">
        <v>23215.7</v>
      </c>
      <c r="DD6" s="59">
        <v>21537.66</v>
      </c>
      <c r="DE6" s="59">
        <v>20607.560000000001</v>
      </c>
      <c r="DF6" s="59">
        <v>19118.03</v>
      </c>
      <c r="DG6" s="59">
        <v>18246.27</v>
      </c>
      <c r="DH6" s="59">
        <v>16927.419999999998</v>
      </c>
      <c r="DI6" s="137">
        <v>85781.38</v>
      </c>
      <c r="DJ6" s="137">
        <v>70472.81</v>
      </c>
      <c r="DK6" s="138">
        <v>63856.94</v>
      </c>
      <c r="DL6" s="138">
        <v>52412.56</v>
      </c>
      <c r="DM6" s="137">
        <v>41362.28</v>
      </c>
      <c r="DN6" s="137">
        <v>37702.1</v>
      </c>
      <c r="DP6" s="384" t="s">
        <v>131</v>
      </c>
      <c r="DQ6" s="386">
        <v>385</v>
      </c>
      <c r="DR6" s="386">
        <v>354.79</v>
      </c>
    </row>
    <row r="7" spans="1:122">
      <c r="A7" s="162" t="s">
        <v>8</v>
      </c>
      <c r="B7" s="338">
        <f>+'DATOS GENERALES'!C17</f>
        <v>7</v>
      </c>
      <c r="C7" s="302">
        <f>+'DATOS GENERALES'!C17</f>
        <v>7</v>
      </c>
      <c r="D7" s="162" t="str">
        <f>+IF(B4&gt;=4,"  Dlls."," UMAM")</f>
        <v xml:space="preserve"> UMAM</v>
      </c>
      <c r="E7" s="302">
        <f>+B7*2</f>
        <v>14</v>
      </c>
      <c r="F7"/>
      <c r="G7"/>
      <c r="H7"/>
      <c r="I7"/>
      <c r="J7" s="164">
        <v>4</v>
      </c>
      <c r="K7" s="59">
        <f t="shared" si="29"/>
        <v>23215.7</v>
      </c>
      <c r="L7" s="59">
        <f t="shared" si="0"/>
        <v>21419.07</v>
      </c>
      <c r="M7" s="59">
        <f t="shared" si="0"/>
        <v>20607.560000000001</v>
      </c>
      <c r="N7" s="59">
        <f t="shared" si="0"/>
        <v>19012.77</v>
      </c>
      <c r="O7" s="59">
        <f t="shared" si="0"/>
        <v>18246.27</v>
      </c>
      <c r="P7" s="59">
        <f t="shared" si="0"/>
        <v>16834.22</v>
      </c>
      <c r="Q7" s="136">
        <f t="shared" si="1"/>
        <v>85781.38</v>
      </c>
      <c r="R7" s="136">
        <f t="shared" si="2"/>
        <v>70472.81</v>
      </c>
      <c r="S7" s="136">
        <f t="shared" si="3"/>
        <v>63856.94</v>
      </c>
      <c r="T7" s="136">
        <f t="shared" si="4"/>
        <v>52412.56</v>
      </c>
      <c r="U7" s="136">
        <f t="shared" si="5"/>
        <v>41362.28</v>
      </c>
      <c r="V7" s="136">
        <f t="shared" si="6"/>
        <v>37702.1</v>
      </c>
      <c r="W7" s="92"/>
      <c r="X7" s="137">
        <f t="shared" si="30"/>
        <v>85781.38</v>
      </c>
      <c r="Y7" s="137">
        <f t="shared" si="30"/>
        <v>70472.81</v>
      </c>
      <c r="Z7" s="136">
        <f t="shared" si="31"/>
        <v>89469.979340000005</v>
      </c>
      <c r="AA7" s="136">
        <f t="shared" si="32"/>
        <v>73503.140829999989</v>
      </c>
      <c r="AB7" s="136">
        <f t="shared" si="33"/>
        <v>96075.145600000018</v>
      </c>
      <c r="AC7" s="136">
        <f t="shared" si="34"/>
        <v>78929.547200000001</v>
      </c>
      <c r="AD7" s="138">
        <f t="shared" si="35"/>
        <v>63856.94</v>
      </c>
      <c r="AE7" s="138">
        <f t="shared" si="35"/>
        <v>52412.56</v>
      </c>
      <c r="AF7" s="136">
        <f t="shared" si="36"/>
        <v>66602.788419999997</v>
      </c>
      <c r="AG7" s="136">
        <f t="shared" si="37"/>
        <v>54666.300079999994</v>
      </c>
      <c r="AH7" s="136">
        <f t="shared" si="38"/>
        <v>71519.772800000006</v>
      </c>
      <c r="AI7" s="136">
        <f t="shared" si="39"/>
        <v>58702.067200000005</v>
      </c>
      <c r="AJ7" s="137">
        <f t="shared" si="40"/>
        <v>41362.28</v>
      </c>
      <c r="AK7" s="137">
        <f t="shared" si="40"/>
        <v>37702.1</v>
      </c>
      <c r="AL7" s="136">
        <f t="shared" si="41"/>
        <v>43140.858039999999</v>
      </c>
      <c r="AM7" s="136">
        <f t="shared" si="42"/>
        <v>39323.290299999993</v>
      </c>
      <c r="AN7" s="136">
        <f t="shared" si="43"/>
        <v>46325.753600000004</v>
      </c>
      <c r="AO7" s="136">
        <f t="shared" si="44"/>
        <v>42226.351999999999</v>
      </c>
      <c r="AP7" s="92"/>
      <c r="AQ7" s="140">
        <v>4</v>
      </c>
      <c r="AR7" s="141">
        <f ca="1">+RESUMEN!F7</f>
        <v>0</v>
      </c>
      <c r="AS7" s="141">
        <f ca="1">+RESUMEN!G7</f>
        <v>0</v>
      </c>
      <c r="AT7" s="142">
        <f t="shared" ca="1" si="7"/>
        <v>0</v>
      </c>
      <c r="AU7" s="143">
        <f t="shared" si="45"/>
        <v>0</v>
      </c>
      <c r="AV7" s="143">
        <f t="shared" si="46"/>
        <v>0</v>
      </c>
      <c r="AW7" s="143">
        <f t="shared" si="47"/>
        <v>0</v>
      </c>
      <c r="AX7" s="143">
        <f t="shared" si="48"/>
        <v>0</v>
      </c>
      <c r="AY7" s="143">
        <f t="shared" ca="1" si="49"/>
        <v>0</v>
      </c>
      <c r="AZ7" s="142"/>
      <c r="BA7" s="143">
        <f t="shared" ca="1" si="8"/>
        <v>0</v>
      </c>
      <c r="BB7" s="143">
        <f t="shared" ca="1" si="9"/>
        <v>0</v>
      </c>
      <c r="BC7" s="144"/>
      <c r="BD7" s="145">
        <f t="shared" ca="1" si="50"/>
        <v>0</v>
      </c>
      <c r="BE7" s="145">
        <f t="shared" ca="1" si="51"/>
        <v>0</v>
      </c>
      <c r="BF7" s="146" t="str">
        <f t="shared" ca="1" si="10"/>
        <v/>
      </c>
      <c r="BG7" s="92"/>
      <c r="BH7" s="95">
        <f t="shared" ca="1" si="11"/>
        <v>0</v>
      </c>
      <c r="BI7" s="95">
        <f t="shared" ca="1" si="12"/>
        <v>0</v>
      </c>
      <c r="BJ7" s="144"/>
      <c r="BK7" s="147">
        <f t="shared" ca="1" si="52"/>
        <v>0</v>
      </c>
      <c r="BL7" s="147">
        <f t="shared" ca="1" si="53"/>
        <v>0</v>
      </c>
      <c r="BM7" s="148" t="str">
        <f t="shared" ca="1" si="13"/>
        <v/>
      </c>
      <c r="BN7" s="92"/>
      <c r="BO7" s="149">
        <f t="shared" ca="1" si="14"/>
        <v>0</v>
      </c>
      <c r="BP7" s="149">
        <f t="shared" ca="1" si="15"/>
        <v>0</v>
      </c>
      <c r="BQ7" s="144"/>
      <c r="BR7" s="150">
        <f t="shared" ca="1" si="54"/>
        <v>0</v>
      </c>
      <c r="BS7" s="150">
        <f t="shared" ca="1" si="55"/>
        <v>0</v>
      </c>
      <c r="BT7" s="151" t="str">
        <f t="shared" ca="1" si="16"/>
        <v/>
      </c>
      <c r="BU7" s="92"/>
      <c r="BV7" s="152">
        <f t="shared" ca="1" si="17"/>
        <v>0</v>
      </c>
      <c r="BW7" s="152">
        <f t="shared" ca="1" si="18"/>
        <v>0</v>
      </c>
      <c r="BX7" s="144"/>
      <c r="BY7" s="153">
        <f t="shared" ca="1" si="56"/>
        <v>0</v>
      </c>
      <c r="BZ7" s="153">
        <f t="shared" ca="1" si="57"/>
        <v>0</v>
      </c>
      <c r="CA7" s="154" t="str">
        <f t="shared" ca="1" si="19"/>
        <v/>
      </c>
      <c r="CB7" s="92"/>
      <c r="CC7" s="155">
        <f t="shared" ca="1" si="20"/>
        <v>0</v>
      </c>
      <c r="CD7" s="155">
        <f t="shared" ca="1" si="21"/>
        <v>0</v>
      </c>
      <c r="CE7" s="144"/>
      <c r="CF7" s="156">
        <f t="shared" ca="1" si="58"/>
        <v>0</v>
      </c>
      <c r="CG7" s="156">
        <f t="shared" ca="1" si="59"/>
        <v>0</v>
      </c>
      <c r="CH7" s="157" t="str">
        <f t="shared" ca="1" si="22"/>
        <v/>
      </c>
      <c r="CI7" s="92"/>
      <c r="CJ7" s="158">
        <f t="shared" ca="1" si="23"/>
        <v>0</v>
      </c>
      <c r="CK7" s="158">
        <f t="shared" ca="1" si="24"/>
        <v>0</v>
      </c>
      <c r="CL7" s="144"/>
      <c r="CM7" s="159">
        <f t="shared" ca="1" si="60"/>
        <v>0</v>
      </c>
      <c r="CN7" s="159">
        <f t="shared" ca="1" si="61"/>
        <v>0</v>
      </c>
      <c r="CO7" s="160" t="str">
        <f t="shared" ca="1" si="25"/>
        <v/>
      </c>
      <c r="CP7" s="92"/>
      <c r="CQ7" s="140">
        <v>4</v>
      </c>
      <c r="CR7" s="330">
        <v>0.18</v>
      </c>
      <c r="CS7" s="92">
        <f t="shared" si="62"/>
        <v>0</v>
      </c>
      <c r="CT7" s="335">
        <f t="shared" si="63"/>
        <v>0.18</v>
      </c>
      <c r="CU7" s="92">
        <f t="shared" si="64"/>
        <v>1</v>
      </c>
      <c r="CV7" s="348">
        <f t="shared" si="65"/>
        <v>1</v>
      </c>
      <c r="CW7" s="380">
        <f t="shared" si="66"/>
        <v>139.81</v>
      </c>
      <c r="CX7" s="380">
        <f t="shared" si="26"/>
        <v>68.569999999999993</v>
      </c>
      <c r="CY7" s="367">
        <f t="shared" si="27"/>
        <v>276.83</v>
      </c>
      <c r="CZ7" s="380">
        <f t="shared" si="28"/>
        <v>155.79</v>
      </c>
      <c r="DA7"/>
      <c r="DB7" s="391">
        <v>4</v>
      </c>
      <c r="DC7" s="59">
        <v>23215.7</v>
      </c>
      <c r="DD7" s="59">
        <v>21419.07</v>
      </c>
      <c r="DE7" s="59">
        <v>20607.560000000001</v>
      </c>
      <c r="DF7" s="59">
        <v>19012.77</v>
      </c>
      <c r="DG7" s="59">
        <v>18246.27</v>
      </c>
      <c r="DH7" s="59">
        <v>16834.22</v>
      </c>
      <c r="DI7" s="137">
        <v>85781.38</v>
      </c>
      <c r="DJ7" s="137">
        <v>70472.81</v>
      </c>
      <c r="DK7" s="138">
        <v>63856.94</v>
      </c>
      <c r="DL7" s="138">
        <v>52412.56</v>
      </c>
      <c r="DM7" s="137">
        <v>41362.28</v>
      </c>
      <c r="DN7" s="137">
        <v>37702.1</v>
      </c>
      <c r="DP7" s="384" t="s">
        <v>132</v>
      </c>
      <c r="DQ7" s="388">
        <v>394.02</v>
      </c>
      <c r="DR7" s="388">
        <v>341.81</v>
      </c>
    </row>
    <row r="8" spans="1:122">
      <c r="A8" s="162" t="s">
        <v>9</v>
      </c>
      <c r="B8" s="162">
        <v>2</v>
      </c>
      <c r="C8" s="303">
        <f>IF(F18="si",0.1,VLOOKUP(B8,DATOS!AF4:AG13,2,0))</f>
        <v>0.1</v>
      </c>
      <c r="D8"/>
      <c r="E8"/>
      <c r="F8"/>
      <c r="G8"/>
      <c r="H8"/>
      <c r="I8"/>
      <c r="J8" s="164">
        <v>5</v>
      </c>
      <c r="K8" s="59">
        <f t="shared" si="29"/>
        <v>23215.7</v>
      </c>
      <c r="L8" s="59">
        <f t="shared" si="0"/>
        <v>21219.38</v>
      </c>
      <c r="M8" s="59">
        <f t="shared" si="0"/>
        <v>20607.560000000001</v>
      </c>
      <c r="N8" s="59">
        <f t="shared" si="0"/>
        <v>18835.509999999998</v>
      </c>
      <c r="O8" s="59">
        <f t="shared" si="0"/>
        <v>18246.27</v>
      </c>
      <c r="P8" s="59">
        <f t="shared" si="0"/>
        <v>16677.27</v>
      </c>
      <c r="Q8" s="136">
        <f t="shared" si="1"/>
        <v>85781.38</v>
      </c>
      <c r="R8" s="136">
        <f t="shared" si="2"/>
        <v>70472.81</v>
      </c>
      <c r="S8" s="136">
        <f t="shared" si="3"/>
        <v>63856.94</v>
      </c>
      <c r="T8" s="136">
        <f t="shared" si="4"/>
        <v>52412.56</v>
      </c>
      <c r="U8" s="136">
        <f t="shared" si="5"/>
        <v>41362.28</v>
      </c>
      <c r="V8" s="136">
        <f t="shared" si="6"/>
        <v>37702.1</v>
      </c>
      <c r="W8" s="92"/>
      <c r="X8" s="137">
        <f t="shared" si="30"/>
        <v>85781.38</v>
      </c>
      <c r="Y8" s="137">
        <f t="shared" si="30"/>
        <v>70472.81</v>
      </c>
      <c r="Z8" s="136">
        <f t="shared" si="31"/>
        <v>89469.979340000005</v>
      </c>
      <c r="AA8" s="136">
        <f t="shared" si="32"/>
        <v>73503.140829999989</v>
      </c>
      <c r="AB8" s="136">
        <f t="shared" si="33"/>
        <v>96075.145600000018</v>
      </c>
      <c r="AC8" s="136">
        <f t="shared" si="34"/>
        <v>78929.547200000001</v>
      </c>
      <c r="AD8" s="138">
        <f t="shared" si="35"/>
        <v>63856.94</v>
      </c>
      <c r="AE8" s="138">
        <f t="shared" si="35"/>
        <v>52412.56</v>
      </c>
      <c r="AF8" s="136">
        <f t="shared" si="36"/>
        <v>66602.788419999997</v>
      </c>
      <c r="AG8" s="136">
        <f t="shared" si="37"/>
        <v>54666.300079999994</v>
      </c>
      <c r="AH8" s="136">
        <f t="shared" si="38"/>
        <v>71519.772800000006</v>
      </c>
      <c r="AI8" s="136">
        <f t="shared" si="39"/>
        <v>58702.067200000005</v>
      </c>
      <c r="AJ8" s="137">
        <f t="shared" si="40"/>
        <v>41362.28</v>
      </c>
      <c r="AK8" s="137">
        <f t="shared" si="40"/>
        <v>37702.1</v>
      </c>
      <c r="AL8" s="136">
        <f t="shared" si="41"/>
        <v>43140.858039999999</v>
      </c>
      <c r="AM8" s="136">
        <f t="shared" si="42"/>
        <v>39323.290299999993</v>
      </c>
      <c r="AN8" s="136">
        <f t="shared" si="43"/>
        <v>46325.753600000004</v>
      </c>
      <c r="AO8" s="136">
        <f t="shared" si="44"/>
        <v>42226.351999999999</v>
      </c>
      <c r="AP8" s="92"/>
      <c r="AQ8" s="140">
        <v>5</v>
      </c>
      <c r="AR8" s="141">
        <f ca="1">+RESUMEN!F8</f>
        <v>0</v>
      </c>
      <c r="AS8" s="141">
        <f ca="1">+RESUMEN!G8</f>
        <v>0</v>
      </c>
      <c r="AT8" s="142">
        <f t="shared" ca="1" si="7"/>
        <v>0</v>
      </c>
      <c r="AU8" s="143">
        <f t="shared" si="45"/>
        <v>0</v>
      </c>
      <c r="AV8" s="143">
        <f t="shared" si="46"/>
        <v>0</v>
      </c>
      <c r="AW8" s="143">
        <f t="shared" si="47"/>
        <v>0</v>
      </c>
      <c r="AX8" s="143">
        <f t="shared" si="48"/>
        <v>0</v>
      </c>
      <c r="AY8" s="143">
        <f t="shared" ca="1" si="49"/>
        <v>0</v>
      </c>
      <c r="AZ8" s="142"/>
      <c r="BA8" s="143">
        <f t="shared" ca="1" si="8"/>
        <v>0</v>
      </c>
      <c r="BB8" s="143">
        <f t="shared" ca="1" si="9"/>
        <v>0</v>
      </c>
      <c r="BC8" s="144"/>
      <c r="BD8" s="145">
        <f t="shared" ca="1" si="50"/>
        <v>0</v>
      </c>
      <c r="BE8" s="145">
        <f t="shared" ca="1" si="51"/>
        <v>0</v>
      </c>
      <c r="BF8" s="146" t="str">
        <f t="shared" ca="1" si="10"/>
        <v/>
      </c>
      <c r="BG8" s="92"/>
      <c r="BH8" s="95">
        <f t="shared" ca="1" si="11"/>
        <v>0</v>
      </c>
      <c r="BI8" s="95">
        <f t="shared" ca="1" si="12"/>
        <v>0</v>
      </c>
      <c r="BJ8" s="144"/>
      <c r="BK8" s="147">
        <f t="shared" ca="1" si="52"/>
        <v>0</v>
      </c>
      <c r="BL8" s="147">
        <f t="shared" ca="1" si="53"/>
        <v>0</v>
      </c>
      <c r="BM8" s="148" t="str">
        <f t="shared" ca="1" si="13"/>
        <v/>
      </c>
      <c r="BN8" s="92"/>
      <c r="BO8" s="149">
        <f t="shared" ca="1" si="14"/>
        <v>0</v>
      </c>
      <c r="BP8" s="149">
        <f t="shared" ca="1" si="15"/>
        <v>0</v>
      </c>
      <c r="BQ8" s="144"/>
      <c r="BR8" s="150">
        <f t="shared" ca="1" si="54"/>
        <v>0</v>
      </c>
      <c r="BS8" s="150">
        <f t="shared" ca="1" si="55"/>
        <v>0</v>
      </c>
      <c r="BT8" s="151" t="str">
        <f t="shared" ca="1" si="16"/>
        <v/>
      </c>
      <c r="BU8" s="92"/>
      <c r="BV8" s="152">
        <f t="shared" ca="1" si="17"/>
        <v>0</v>
      </c>
      <c r="BW8" s="152">
        <f t="shared" ca="1" si="18"/>
        <v>0</v>
      </c>
      <c r="BX8" s="144"/>
      <c r="BY8" s="153">
        <f t="shared" ca="1" si="56"/>
        <v>0</v>
      </c>
      <c r="BZ8" s="153">
        <f t="shared" ca="1" si="57"/>
        <v>0</v>
      </c>
      <c r="CA8" s="154" t="str">
        <f t="shared" ca="1" si="19"/>
        <v/>
      </c>
      <c r="CB8" s="92"/>
      <c r="CC8" s="155">
        <f t="shared" ca="1" si="20"/>
        <v>0</v>
      </c>
      <c r="CD8" s="155">
        <f t="shared" ca="1" si="21"/>
        <v>0</v>
      </c>
      <c r="CE8" s="144"/>
      <c r="CF8" s="156">
        <f t="shared" ca="1" si="58"/>
        <v>0</v>
      </c>
      <c r="CG8" s="156">
        <f t="shared" ca="1" si="59"/>
        <v>0</v>
      </c>
      <c r="CH8" s="157" t="str">
        <f t="shared" ca="1" si="22"/>
        <v/>
      </c>
      <c r="CI8" s="92"/>
      <c r="CJ8" s="158">
        <f t="shared" ca="1" si="23"/>
        <v>0</v>
      </c>
      <c r="CK8" s="158">
        <f t="shared" ca="1" si="24"/>
        <v>0</v>
      </c>
      <c r="CL8" s="144"/>
      <c r="CM8" s="159">
        <f t="shared" ca="1" si="60"/>
        <v>0</v>
      </c>
      <c r="CN8" s="159">
        <f t="shared" ca="1" si="61"/>
        <v>0</v>
      </c>
      <c r="CO8" s="160" t="str">
        <f t="shared" ca="1" si="25"/>
        <v/>
      </c>
      <c r="CP8" s="92"/>
      <c r="CQ8" s="140">
        <v>5</v>
      </c>
      <c r="CR8" s="330">
        <v>0.18</v>
      </c>
      <c r="CS8" s="92">
        <f t="shared" si="62"/>
        <v>0</v>
      </c>
      <c r="CT8" s="335">
        <f t="shared" si="63"/>
        <v>0.18</v>
      </c>
      <c r="CU8" s="92">
        <f t="shared" si="64"/>
        <v>1</v>
      </c>
      <c r="CV8" s="348">
        <f t="shared" si="65"/>
        <v>1</v>
      </c>
      <c r="CW8" s="380">
        <f t="shared" si="66"/>
        <v>139.81</v>
      </c>
      <c r="CX8" s="380">
        <f t="shared" si="26"/>
        <v>68.569999999999993</v>
      </c>
      <c r="CY8" s="367">
        <f t="shared" si="27"/>
        <v>276.83</v>
      </c>
      <c r="CZ8" s="380">
        <f t="shared" si="28"/>
        <v>155.79</v>
      </c>
      <c r="DA8"/>
      <c r="DB8" s="391">
        <v>5</v>
      </c>
      <c r="DC8" s="59">
        <v>23215.7</v>
      </c>
      <c r="DD8" s="59">
        <v>21219.38</v>
      </c>
      <c r="DE8" s="59">
        <v>20607.560000000001</v>
      </c>
      <c r="DF8" s="59">
        <v>18835.509999999998</v>
      </c>
      <c r="DG8" s="59">
        <v>18246.27</v>
      </c>
      <c r="DH8" s="59">
        <v>16677.27</v>
      </c>
      <c r="DI8" s="137">
        <v>85781.38</v>
      </c>
      <c r="DJ8" s="137">
        <v>70472.81</v>
      </c>
      <c r="DK8" s="138">
        <v>63856.94</v>
      </c>
      <c r="DL8" s="138">
        <v>52412.56</v>
      </c>
      <c r="DM8" s="137">
        <v>41362.28</v>
      </c>
      <c r="DN8" s="137">
        <v>37702.1</v>
      </c>
      <c r="DP8" s="384" t="s">
        <v>133</v>
      </c>
      <c r="DQ8" s="387">
        <v>414.9</v>
      </c>
      <c r="DR8" s="387">
        <v>358.41</v>
      </c>
    </row>
    <row r="9" spans="1:122">
      <c r="A9" s="162" t="s">
        <v>112</v>
      </c>
      <c r="B9" s="266">
        <v>14</v>
      </c>
      <c r="C9" s="301">
        <f>VLOOKUP(B9,DATOS!AJ4:AL23,2,0)</f>
        <v>70000</v>
      </c>
      <c r="D9"/>
      <c r="E9" s="162" t="s">
        <v>342</v>
      </c>
      <c r="F9" s="162"/>
      <c r="G9" s="305" t="str">
        <f>+IF(OR(LEFT(F9)="F",F9=""),"NO","SI")</f>
        <v>NO</v>
      </c>
      <c r="H9"/>
      <c r="J9" s="164">
        <v>6</v>
      </c>
      <c r="K9" s="59">
        <f t="shared" si="29"/>
        <v>23215.7</v>
      </c>
      <c r="L9" s="59">
        <f t="shared" si="0"/>
        <v>20661.12</v>
      </c>
      <c r="M9" s="59">
        <f t="shared" si="0"/>
        <v>20607.560000000001</v>
      </c>
      <c r="N9" s="59">
        <f t="shared" si="0"/>
        <v>18339.96</v>
      </c>
      <c r="O9" s="59">
        <f t="shared" si="0"/>
        <v>18246.27</v>
      </c>
      <c r="P9" s="59">
        <f t="shared" si="0"/>
        <v>16238.51</v>
      </c>
      <c r="Q9" s="136">
        <f t="shared" si="1"/>
        <v>85781.38</v>
      </c>
      <c r="R9" s="136">
        <f t="shared" si="2"/>
        <v>70472.81</v>
      </c>
      <c r="S9" s="136">
        <f t="shared" si="3"/>
        <v>63856.94</v>
      </c>
      <c r="T9" s="136">
        <f t="shared" si="4"/>
        <v>52412.56</v>
      </c>
      <c r="U9" s="136">
        <f t="shared" si="5"/>
        <v>41362.28</v>
      </c>
      <c r="V9" s="136">
        <f t="shared" si="6"/>
        <v>37702.1</v>
      </c>
      <c r="W9" s="92"/>
      <c r="X9" s="137">
        <f t="shared" si="30"/>
        <v>85781.38</v>
      </c>
      <c r="Y9" s="137">
        <f t="shared" si="30"/>
        <v>70472.81</v>
      </c>
      <c r="Z9" s="136">
        <f t="shared" si="31"/>
        <v>89469.979340000005</v>
      </c>
      <c r="AA9" s="136">
        <f t="shared" si="32"/>
        <v>73503.140829999989</v>
      </c>
      <c r="AB9" s="136">
        <f t="shared" si="33"/>
        <v>96075.145600000018</v>
      </c>
      <c r="AC9" s="136">
        <f t="shared" si="34"/>
        <v>78929.547200000001</v>
      </c>
      <c r="AD9" s="138">
        <f t="shared" si="35"/>
        <v>63856.94</v>
      </c>
      <c r="AE9" s="138">
        <f t="shared" si="35"/>
        <v>52412.56</v>
      </c>
      <c r="AF9" s="136">
        <f t="shared" si="36"/>
        <v>66602.788419999997</v>
      </c>
      <c r="AG9" s="136">
        <f t="shared" si="37"/>
        <v>54666.300079999994</v>
      </c>
      <c r="AH9" s="136">
        <f t="shared" si="38"/>
        <v>71519.772800000006</v>
      </c>
      <c r="AI9" s="136">
        <f t="shared" si="39"/>
        <v>58702.067200000005</v>
      </c>
      <c r="AJ9" s="137">
        <f t="shared" si="40"/>
        <v>41362.28</v>
      </c>
      <c r="AK9" s="137">
        <f t="shared" si="40"/>
        <v>37702.1</v>
      </c>
      <c r="AL9" s="136">
        <f t="shared" si="41"/>
        <v>43140.858039999999</v>
      </c>
      <c r="AM9" s="136">
        <f t="shared" si="42"/>
        <v>39323.290299999993</v>
      </c>
      <c r="AN9" s="136">
        <f t="shared" si="43"/>
        <v>46325.753600000004</v>
      </c>
      <c r="AO9" s="136">
        <f t="shared" si="44"/>
        <v>42226.351999999999</v>
      </c>
      <c r="AP9" s="92"/>
      <c r="AQ9" s="140">
        <v>6</v>
      </c>
      <c r="AR9" s="141">
        <f ca="1">+RESUMEN!F9</f>
        <v>0</v>
      </c>
      <c r="AS9" s="141">
        <f ca="1">+RESUMEN!G9</f>
        <v>0</v>
      </c>
      <c r="AT9" s="142">
        <f t="shared" ca="1" si="7"/>
        <v>0</v>
      </c>
      <c r="AU9" s="143">
        <f t="shared" si="45"/>
        <v>0</v>
      </c>
      <c r="AV9" s="143">
        <f t="shared" si="46"/>
        <v>0</v>
      </c>
      <c r="AW9" s="143">
        <f t="shared" si="47"/>
        <v>0</v>
      </c>
      <c r="AX9" s="143">
        <f t="shared" si="48"/>
        <v>0</v>
      </c>
      <c r="AY9" s="143">
        <f t="shared" ca="1" si="49"/>
        <v>0</v>
      </c>
      <c r="AZ9" s="142"/>
      <c r="BA9" s="143">
        <f t="shared" ca="1" si="8"/>
        <v>0</v>
      </c>
      <c r="BB9" s="143">
        <f t="shared" ca="1" si="9"/>
        <v>0</v>
      </c>
      <c r="BC9" s="144"/>
      <c r="BD9" s="145">
        <f t="shared" ca="1" si="50"/>
        <v>0</v>
      </c>
      <c r="BE9" s="145">
        <f t="shared" ca="1" si="51"/>
        <v>0</v>
      </c>
      <c r="BF9" s="146" t="str">
        <f t="shared" ca="1" si="10"/>
        <v/>
      </c>
      <c r="BG9" s="92"/>
      <c r="BH9" s="95">
        <f t="shared" ca="1" si="11"/>
        <v>0</v>
      </c>
      <c r="BI9" s="95">
        <f t="shared" ca="1" si="12"/>
        <v>0</v>
      </c>
      <c r="BJ9" s="144"/>
      <c r="BK9" s="147">
        <f t="shared" ca="1" si="52"/>
        <v>0</v>
      </c>
      <c r="BL9" s="147">
        <f t="shared" ca="1" si="53"/>
        <v>0</v>
      </c>
      <c r="BM9" s="148" t="str">
        <f t="shared" ca="1" si="13"/>
        <v/>
      </c>
      <c r="BN9" s="92"/>
      <c r="BO9" s="149">
        <f t="shared" ca="1" si="14"/>
        <v>0</v>
      </c>
      <c r="BP9" s="149">
        <f t="shared" ca="1" si="15"/>
        <v>0</v>
      </c>
      <c r="BQ9" s="144"/>
      <c r="BR9" s="150">
        <f t="shared" ca="1" si="54"/>
        <v>0</v>
      </c>
      <c r="BS9" s="150">
        <f t="shared" ca="1" si="55"/>
        <v>0</v>
      </c>
      <c r="BT9" s="151" t="str">
        <f t="shared" ca="1" si="16"/>
        <v/>
      </c>
      <c r="BU9" s="92"/>
      <c r="BV9" s="152">
        <f t="shared" ca="1" si="17"/>
        <v>0</v>
      </c>
      <c r="BW9" s="152">
        <f t="shared" ca="1" si="18"/>
        <v>0</v>
      </c>
      <c r="BX9" s="144"/>
      <c r="BY9" s="153">
        <f t="shared" ca="1" si="56"/>
        <v>0</v>
      </c>
      <c r="BZ9" s="153">
        <f t="shared" ca="1" si="57"/>
        <v>0</v>
      </c>
      <c r="CA9" s="154" t="str">
        <f t="shared" ca="1" si="19"/>
        <v/>
      </c>
      <c r="CB9" s="92"/>
      <c r="CC9" s="155">
        <f t="shared" ca="1" si="20"/>
        <v>0</v>
      </c>
      <c r="CD9" s="155">
        <f t="shared" ca="1" si="21"/>
        <v>0</v>
      </c>
      <c r="CE9" s="144"/>
      <c r="CF9" s="156">
        <f t="shared" ca="1" si="58"/>
        <v>0</v>
      </c>
      <c r="CG9" s="156">
        <f t="shared" ca="1" si="59"/>
        <v>0</v>
      </c>
      <c r="CH9" s="157" t="str">
        <f t="shared" ca="1" si="22"/>
        <v/>
      </c>
      <c r="CI9" s="92"/>
      <c r="CJ9" s="158">
        <f t="shared" ca="1" si="23"/>
        <v>0</v>
      </c>
      <c r="CK9" s="158">
        <f t="shared" ca="1" si="24"/>
        <v>0</v>
      </c>
      <c r="CL9" s="144"/>
      <c r="CM9" s="159">
        <f t="shared" ca="1" si="60"/>
        <v>0</v>
      </c>
      <c r="CN9" s="159">
        <f t="shared" ca="1" si="61"/>
        <v>0</v>
      </c>
      <c r="CO9" s="160" t="str">
        <f t="shared" ca="1" si="25"/>
        <v/>
      </c>
      <c r="CP9" s="92"/>
      <c r="CQ9" s="140">
        <v>6</v>
      </c>
      <c r="CR9" s="330">
        <v>0.18</v>
      </c>
      <c r="CS9" s="92">
        <f t="shared" si="62"/>
        <v>0</v>
      </c>
      <c r="CT9" s="335">
        <f t="shared" si="63"/>
        <v>0.18</v>
      </c>
      <c r="CU9" s="92">
        <f t="shared" si="64"/>
        <v>1</v>
      </c>
      <c r="CV9" s="348">
        <f t="shared" si="65"/>
        <v>1</v>
      </c>
      <c r="CW9" s="380">
        <f t="shared" si="66"/>
        <v>139.81</v>
      </c>
      <c r="CX9" s="380">
        <f t="shared" si="26"/>
        <v>68.569999999999993</v>
      </c>
      <c r="CY9" s="367">
        <f t="shared" si="27"/>
        <v>276.83</v>
      </c>
      <c r="CZ9" s="380">
        <f t="shared" si="28"/>
        <v>155.79</v>
      </c>
      <c r="DA9"/>
      <c r="DB9" s="391">
        <v>6</v>
      </c>
      <c r="DC9" s="59">
        <v>23215.7</v>
      </c>
      <c r="DD9" s="59">
        <v>20661.12</v>
      </c>
      <c r="DE9" s="59">
        <v>20607.560000000001</v>
      </c>
      <c r="DF9" s="59">
        <v>18339.96</v>
      </c>
      <c r="DG9" s="59">
        <v>18246.27</v>
      </c>
      <c r="DH9" s="59">
        <v>16238.51</v>
      </c>
      <c r="DI9" s="137">
        <v>85781.38</v>
      </c>
      <c r="DJ9" s="137">
        <v>70472.81</v>
      </c>
      <c r="DK9" s="138">
        <v>63856.94</v>
      </c>
      <c r="DL9" s="138">
        <v>52412.56</v>
      </c>
      <c r="DM9" s="137">
        <v>41362.28</v>
      </c>
      <c r="DN9" s="137">
        <v>37702.1</v>
      </c>
      <c r="DP9" s="384" t="s">
        <v>134</v>
      </c>
      <c r="DQ9" s="386">
        <v>435.77</v>
      </c>
      <c r="DR9" s="386">
        <v>375</v>
      </c>
    </row>
    <row r="10" spans="1:122">
      <c r="A10" s="162" t="s">
        <v>268</v>
      </c>
      <c r="B10" s="162">
        <v>1</v>
      </c>
      <c r="C10" s="304" t="str">
        <f>+VLOOKUP(B10,DATOS!$AU$4:$AV$7,2,0)</f>
        <v>Base</v>
      </c>
      <c r="D10"/>
      <c r="E10" s="162" t="s">
        <v>375</v>
      </c>
      <c r="F10" s="300">
        <v>1</v>
      </c>
      <c r="G10" s="305">
        <f>VALUE(VLOOKUP(F10,L107:M123,2,0))</f>
        <v>20000</v>
      </c>
      <c r="H10" s="162" t="s">
        <v>376</v>
      </c>
      <c r="J10" s="164">
        <v>7</v>
      </c>
      <c r="K10" s="59">
        <f t="shared" si="29"/>
        <v>22092.880000000001</v>
      </c>
      <c r="L10" s="59">
        <f t="shared" si="0"/>
        <v>20661.12</v>
      </c>
      <c r="M10" s="59">
        <f t="shared" si="0"/>
        <v>19610.88</v>
      </c>
      <c r="N10" s="59">
        <f t="shared" si="0"/>
        <v>18339.96</v>
      </c>
      <c r="O10" s="59">
        <f t="shared" si="0"/>
        <v>17363.8</v>
      </c>
      <c r="P10" s="59">
        <f t="shared" si="0"/>
        <v>16238.51</v>
      </c>
      <c r="Q10" s="136">
        <f t="shared" si="1"/>
        <v>85781.38</v>
      </c>
      <c r="R10" s="136">
        <f t="shared" si="2"/>
        <v>70472.81</v>
      </c>
      <c r="S10" s="136">
        <f t="shared" si="3"/>
        <v>63856.94</v>
      </c>
      <c r="T10" s="136">
        <f t="shared" si="4"/>
        <v>52412.56</v>
      </c>
      <c r="U10" s="136">
        <f t="shared" si="5"/>
        <v>41362.28</v>
      </c>
      <c r="V10" s="136">
        <f t="shared" si="6"/>
        <v>37702.1</v>
      </c>
      <c r="W10" s="92"/>
      <c r="X10" s="137">
        <f t="shared" si="30"/>
        <v>85781.38</v>
      </c>
      <c r="Y10" s="137">
        <f t="shared" si="30"/>
        <v>70472.81</v>
      </c>
      <c r="Z10" s="136">
        <f t="shared" si="31"/>
        <v>89469.979340000005</v>
      </c>
      <c r="AA10" s="136">
        <f t="shared" si="32"/>
        <v>73503.140829999989</v>
      </c>
      <c r="AB10" s="136">
        <f t="shared" si="33"/>
        <v>96075.145600000018</v>
      </c>
      <c r="AC10" s="136">
        <f t="shared" si="34"/>
        <v>78929.547200000001</v>
      </c>
      <c r="AD10" s="138">
        <f t="shared" si="35"/>
        <v>63856.94</v>
      </c>
      <c r="AE10" s="138">
        <f t="shared" si="35"/>
        <v>52412.56</v>
      </c>
      <c r="AF10" s="136">
        <f t="shared" si="36"/>
        <v>66602.788419999997</v>
      </c>
      <c r="AG10" s="136">
        <f t="shared" si="37"/>
        <v>54666.300079999994</v>
      </c>
      <c r="AH10" s="136">
        <f t="shared" si="38"/>
        <v>71519.772800000006</v>
      </c>
      <c r="AI10" s="136">
        <f t="shared" si="39"/>
        <v>58702.067200000005</v>
      </c>
      <c r="AJ10" s="137">
        <f t="shared" si="40"/>
        <v>41362.28</v>
      </c>
      <c r="AK10" s="137">
        <f t="shared" si="40"/>
        <v>37702.1</v>
      </c>
      <c r="AL10" s="136">
        <f t="shared" si="41"/>
        <v>43140.858039999999</v>
      </c>
      <c r="AM10" s="136">
        <f t="shared" si="42"/>
        <v>39323.290299999993</v>
      </c>
      <c r="AN10" s="136">
        <f t="shared" si="43"/>
        <v>46325.753600000004</v>
      </c>
      <c r="AO10" s="136">
        <f t="shared" si="44"/>
        <v>42226.351999999999</v>
      </c>
      <c r="AP10" s="92"/>
      <c r="AQ10" s="140">
        <v>7</v>
      </c>
      <c r="AR10" s="141">
        <f ca="1">+RESUMEN!F10</f>
        <v>0</v>
      </c>
      <c r="AS10" s="141">
        <f ca="1">+RESUMEN!G10</f>
        <v>0</v>
      </c>
      <c r="AT10" s="142">
        <f t="shared" ca="1" si="7"/>
        <v>0</v>
      </c>
      <c r="AU10" s="143">
        <f t="shared" si="45"/>
        <v>0</v>
      </c>
      <c r="AV10" s="143">
        <f t="shared" si="46"/>
        <v>0</v>
      </c>
      <c r="AW10" s="143">
        <f t="shared" si="47"/>
        <v>0</v>
      </c>
      <c r="AX10" s="143">
        <f t="shared" si="48"/>
        <v>0</v>
      </c>
      <c r="AY10" s="143">
        <f t="shared" ca="1" si="49"/>
        <v>0</v>
      </c>
      <c r="AZ10" s="142"/>
      <c r="BA10" s="143">
        <f t="shared" ca="1" si="8"/>
        <v>0</v>
      </c>
      <c r="BB10" s="143">
        <f t="shared" ca="1" si="9"/>
        <v>0</v>
      </c>
      <c r="BC10" s="144"/>
      <c r="BD10" s="145">
        <f t="shared" ca="1" si="50"/>
        <v>0</v>
      </c>
      <c r="BE10" s="145">
        <f t="shared" ca="1" si="51"/>
        <v>0</v>
      </c>
      <c r="BF10" s="146" t="str">
        <f t="shared" ca="1" si="10"/>
        <v/>
      </c>
      <c r="BG10" s="92"/>
      <c r="BH10" s="95">
        <f t="shared" ca="1" si="11"/>
        <v>0</v>
      </c>
      <c r="BI10" s="95">
        <f t="shared" ca="1" si="12"/>
        <v>0</v>
      </c>
      <c r="BJ10" s="144"/>
      <c r="BK10" s="147">
        <f t="shared" ca="1" si="52"/>
        <v>0</v>
      </c>
      <c r="BL10" s="147">
        <f t="shared" ca="1" si="53"/>
        <v>0</v>
      </c>
      <c r="BM10" s="148" t="str">
        <f t="shared" ca="1" si="13"/>
        <v/>
      </c>
      <c r="BN10" s="92"/>
      <c r="BO10" s="149">
        <f t="shared" ca="1" si="14"/>
        <v>0</v>
      </c>
      <c r="BP10" s="149">
        <f t="shared" ca="1" si="15"/>
        <v>0</v>
      </c>
      <c r="BQ10" s="144"/>
      <c r="BR10" s="150">
        <f t="shared" ca="1" si="54"/>
        <v>0</v>
      </c>
      <c r="BS10" s="150">
        <f t="shared" ca="1" si="55"/>
        <v>0</v>
      </c>
      <c r="BT10" s="151" t="str">
        <f t="shared" ca="1" si="16"/>
        <v/>
      </c>
      <c r="BU10" s="92"/>
      <c r="BV10" s="152">
        <f t="shared" ca="1" si="17"/>
        <v>0</v>
      </c>
      <c r="BW10" s="152">
        <f t="shared" ca="1" si="18"/>
        <v>0</v>
      </c>
      <c r="BX10" s="144"/>
      <c r="BY10" s="153">
        <f t="shared" ca="1" si="56"/>
        <v>0</v>
      </c>
      <c r="BZ10" s="153">
        <f t="shared" ca="1" si="57"/>
        <v>0</v>
      </c>
      <c r="CA10" s="154" t="str">
        <f t="shared" ca="1" si="19"/>
        <v/>
      </c>
      <c r="CB10" s="92"/>
      <c r="CC10" s="155">
        <f t="shared" ca="1" si="20"/>
        <v>0</v>
      </c>
      <c r="CD10" s="155">
        <f t="shared" ca="1" si="21"/>
        <v>0</v>
      </c>
      <c r="CE10" s="144"/>
      <c r="CF10" s="156">
        <f t="shared" ca="1" si="58"/>
        <v>0</v>
      </c>
      <c r="CG10" s="156">
        <f t="shared" ca="1" si="59"/>
        <v>0</v>
      </c>
      <c r="CH10" s="157" t="str">
        <f t="shared" ca="1" si="22"/>
        <v/>
      </c>
      <c r="CI10" s="92"/>
      <c r="CJ10" s="158">
        <f t="shared" ca="1" si="23"/>
        <v>0</v>
      </c>
      <c r="CK10" s="158">
        <f t="shared" ca="1" si="24"/>
        <v>0</v>
      </c>
      <c r="CL10" s="144"/>
      <c r="CM10" s="159">
        <f t="shared" ca="1" si="60"/>
        <v>0</v>
      </c>
      <c r="CN10" s="159">
        <f t="shared" ca="1" si="61"/>
        <v>0</v>
      </c>
      <c r="CO10" s="160" t="str">
        <f t="shared" ca="1" si="25"/>
        <v/>
      </c>
      <c r="CP10" s="92"/>
      <c r="CQ10" s="140">
        <v>7</v>
      </c>
      <c r="CR10" s="330">
        <v>0.18</v>
      </c>
      <c r="CS10" s="92">
        <f t="shared" si="62"/>
        <v>0</v>
      </c>
      <c r="CT10" s="335">
        <f t="shared" si="63"/>
        <v>0.18</v>
      </c>
      <c r="CU10" s="92">
        <f t="shared" si="64"/>
        <v>1</v>
      </c>
      <c r="CV10" s="348">
        <f t="shared" si="65"/>
        <v>1</v>
      </c>
      <c r="CW10" s="380">
        <f t="shared" si="66"/>
        <v>139.81</v>
      </c>
      <c r="CX10" s="380">
        <f t="shared" si="26"/>
        <v>68.569999999999993</v>
      </c>
      <c r="CY10" s="367">
        <f t="shared" si="27"/>
        <v>276.83</v>
      </c>
      <c r="CZ10" s="380">
        <f t="shared" si="28"/>
        <v>155.79</v>
      </c>
      <c r="DA10"/>
      <c r="DB10" s="391">
        <v>7</v>
      </c>
      <c r="DC10" s="59">
        <v>22092.880000000001</v>
      </c>
      <c r="DD10" s="59">
        <v>20661.12</v>
      </c>
      <c r="DE10" s="59">
        <v>19610.88</v>
      </c>
      <c r="DF10" s="59">
        <v>18339.96</v>
      </c>
      <c r="DG10" s="59">
        <v>17363.8</v>
      </c>
      <c r="DH10" s="59">
        <v>16238.51</v>
      </c>
      <c r="DI10" s="137">
        <v>85781.38</v>
      </c>
      <c r="DJ10" s="137">
        <v>70472.81</v>
      </c>
      <c r="DK10" s="138">
        <v>63856.94</v>
      </c>
      <c r="DL10" s="138">
        <v>52412.56</v>
      </c>
      <c r="DM10" s="137">
        <v>41362.28</v>
      </c>
      <c r="DN10" s="137">
        <v>37702.1</v>
      </c>
      <c r="DP10" s="384" t="s">
        <v>135</v>
      </c>
      <c r="DQ10" s="389">
        <v>456.64</v>
      </c>
      <c r="DR10" s="389">
        <v>391.6</v>
      </c>
    </row>
    <row r="11" spans="1:122">
      <c r="A11" s="162" t="s">
        <v>10</v>
      </c>
      <c r="B11" s="162"/>
      <c r="C11" s="304" t="str">
        <f>VLOOKUP(B5,DATOS!S3:Y51,4,0)</f>
        <v>C</v>
      </c>
      <c r="D11"/>
      <c r="E11"/>
      <c r="F11"/>
      <c r="G11"/>
      <c r="H11"/>
      <c r="J11" s="164">
        <v>8</v>
      </c>
      <c r="K11" s="59">
        <f t="shared" si="29"/>
        <v>21084.45</v>
      </c>
      <c r="L11" s="59">
        <f t="shared" si="0"/>
        <v>20661.12</v>
      </c>
      <c r="M11" s="59">
        <f t="shared" si="0"/>
        <v>18715.740000000002</v>
      </c>
      <c r="N11" s="59">
        <f t="shared" si="0"/>
        <v>18339.96</v>
      </c>
      <c r="O11" s="59">
        <f t="shared" si="0"/>
        <v>16571.22</v>
      </c>
      <c r="P11" s="59">
        <f t="shared" si="0"/>
        <v>16238.51</v>
      </c>
      <c r="Q11" s="136">
        <f t="shared" si="1"/>
        <v>85781.38</v>
      </c>
      <c r="R11" s="136">
        <f t="shared" si="2"/>
        <v>64857.86</v>
      </c>
      <c r="S11" s="136">
        <f t="shared" si="3"/>
        <v>63856.94</v>
      </c>
      <c r="T11" s="136">
        <f t="shared" si="4"/>
        <v>49796.81</v>
      </c>
      <c r="U11" s="136">
        <f t="shared" si="5"/>
        <v>41362.28</v>
      </c>
      <c r="V11" s="136">
        <f t="shared" si="6"/>
        <v>36578.57</v>
      </c>
      <c r="W11" s="92"/>
      <c r="X11" s="137">
        <f t="shared" si="30"/>
        <v>85781.38</v>
      </c>
      <c r="Y11" s="137">
        <f t="shared" si="30"/>
        <v>64857.86</v>
      </c>
      <c r="Z11" s="136">
        <f t="shared" si="31"/>
        <v>89469.979340000005</v>
      </c>
      <c r="AA11" s="136">
        <f t="shared" si="32"/>
        <v>67646.74798</v>
      </c>
      <c r="AB11" s="136">
        <f t="shared" si="33"/>
        <v>96075.145600000018</v>
      </c>
      <c r="AC11" s="136">
        <f t="shared" si="34"/>
        <v>72640.803200000009</v>
      </c>
      <c r="AD11" s="138">
        <f t="shared" si="35"/>
        <v>63856.94</v>
      </c>
      <c r="AE11" s="138">
        <f t="shared" si="35"/>
        <v>49796.81</v>
      </c>
      <c r="AF11" s="136">
        <f t="shared" si="36"/>
        <v>66602.788419999997</v>
      </c>
      <c r="AG11" s="136">
        <f t="shared" si="37"/>
        <v>51938.072829999997</v>
      </c>
      <c r="AH11" s="136">
        <f t="shared" si="38"/>
        <v>71519.772800000006</v>
      </c>
      <c r="AI11" s="136">
        <f t="shared" si="39"/>
        <v>55772.427200000006</v>
      </c>
      <c r="AJ11" s="137">
        <f t="shared" si="40"/>
        <v>41362.28</v>
      </c>
      <c r="AK11" s="137">
        <f t="shared" si="40"/>
        <v>36578.57</v>
      </c>
      <c r="AL11" s="136">
        <f t="shared" si="41"/>
        <v>43140.858039999999</v>
      </c>
      <c r="AM11" s="136">
        <f t="shared" si="42"/>
        <v>38151.448509999995</v>
      </c>
      <c r="AN11" s="136">
        <f t="shared" si="43"/>
        <v>46325.753600000004</v>
      </c>
      <c r="AO11" s="136">
        <f t="shared" si="44"/>
        <v>40967.998400000004</v>
      </c>
      <c r="AP11" s="92"/>
      <c r="AQ11" s="140">
        <v>8</v>
      </c>
      <c r="AR11" s="141">
        <f ca="1">+RESUMEN!F11</f>
        <v>0</v>
      </c>
      <c r="AS11" s="141">
        <f ca="1">+RESUMEN!G11</f>
        <v>0</v>
      </c>
      <c r="AT11" s="142">
        <f t="shared" ca="1" si="7"/>
        <v>0</v>
      </c>
      <c r="AU11" s="143">
        <f t="shared" si="45"/>
        <v>0</v>
      </c>
      <c r="AV11" s="143">
        <f t="shared" si="46"/>
        <v>0</v>
      </c>
      <c r="AW11" s="143">
        <f t="shared" si="47"/>
        <v>0</v>
      </c>
      <c r="AX11" s="143">
        <f t="shared" si="48"/>
        <v>0</v>
      </c>
      <c r="AY11" s="143">
        <f t="shared" ca="1" si="49"/>
        <v>0</v>
      </c>
      <c r="AZ11" s="142"/>
      <c r="BA11" s="143">
        <f t="shared" ca="1" si="8"/>
        <v>0</v>
      </c>
      <c r="BB11" s="143">
        <f t="shared" ca="1" si="9"/>
        <v>0</v>
      </c>
      <c r="BC11" s="144"/>
      <c r="BD11" s="145">
        <f t="shared" ca="1" si="50"/>
        <v>0</v>
      </c>
      <c r="BE11" s="145">
        <f t="shared" ca="1" si="51"/>
        <v>0</v>
      </c>
      <c r="BF11" s="146" t="str">
        <f t="shared" ca="1" si="10"/>
        <v/>
      </c>
      <c r="BG11" s="92"/>
      <c r="BH11" s="95">
        <f t="shared" ca="1" si="11"/>
        <v>0</v>
      </c>
      <c r="BI11" s="95">
        <f t="shared" ca="1" si="12"/>
        <v>0</v>
      </c>
      <c r="BJ11" s="144"/>
      <c r="BK11" s="147">
        <f t="shared" ca="1" si="52"/>
        <v>0</v>
      </c>
      <c r="BL11" s="147">
        <f t="shared" ca="1" si="53"/>
        <v>0</v>
      </c>
      <c r="BM11" s="148" t="str">
        <f t="shared" ca="1" si="13"/>
        <v/>
      </c>
      <c r="BN11" s="92"/>
      <c r="BO11" s="149">
        <f t="shared" ca="1" si="14"/>
        <v>0</v>
      </c>
      <c r="BP11" s="149">
        <f t="shared" ca="1" si="15"/>
        <v>0</v>
      </c>
      <c r="BQ11" s="144"/>
      <c r="BR11" s="150">
        <f t="shared" ca="1" si="54"/>
        <v>0</v>
      </c>
      <c r="BS11" s="150">
        <f t="shared" ca="1" si="55"/>
        <v>0</v>
      </c>
      <c r="BT11" s="151" t="str">
        <f t="shared" ca="1" si="16"/>
        <v/>
      </c>
      <c r="BU11" s="92"/>
      <c r="BV11" s="152">
        <f t="shared" ca="1" si="17"/>
        <v>0</v>
      </c>
      <c r="BW11" s="152">
        <f t="shared" ca="1" si="18"/>
        <v>0</v>
      </c>
      <c r="BX11" s="144"/>
      <c r="BY11" s="153">
        <f t="shared" ca="1" si="56"/>
        <v>0</v>
      </c>
      <c r="BZ11" s="153">
        <f t="shared" ca="1" si="57"/>
        <v>0</v>
      </c>
      <c r="CA11" s="154" t="str">
        <f t="shared" ca="1" si="19"/>
        <v/>
      </c>
      <c r="CB11" s="92"/>
      <c r="CC11" s="155">
        <f t="shared" ca="1" si="20"/>
        <v>0</v>
      </c>
      <c r="CD11" s="155">
        <f t="shared" ca="1" si="21"/>
        <v>0</v>
      </c>
      <c r="CE11" s="144"/>
      <c r="CF11" s="156">
        <f t="shared" ca="1" si="58"/>
        <v>0</v>
      </c>
      <c r="CG11" s="156">
        <f t="shared" ca="1" si="59"/>
        <v>0</v>
      </c>
      <c r="CH11" s="157" t="str">
        <f t="shared" ca="1" si="22"/>
        <v/>
      </c>
      <c r="CI11" s="92"/>
      <c r="CJ11" s="158">
        <f t="shared" ca="1" si="23"/>
        <v>0</v>
      </c>
      <c r="CK11" s="158">
        <f t="shared" ca="1" si="24"/>
        <v>0</v>
      </c>
      <c r="CL11" s="144"/>
      <c r="CM11" s="159">
        <f t="shared" ca="1" si="60"/>
        <v>0</v>
      </c>
      <c r="CN11" s="159">
        <f t="shared" ca="1" si="61"/>
        <v>0</v>
      </c>
      <c r="CO11" s="160" t="str">
        <f t="shared" ca="1" si="25"/>
        <v/>
      </c>
      <c r="CP11" s="92"/>
      <c r="CQ11" s="140">
        <v>8</v>
      </c>
      <c r="CR11" s="330">
        <v>0.18</v>
      </c>
      <c r="CS11" s="92">
        <f t="shared" si="62"/>
        <v>0</v>
      </c>
      <c r="CT11" s="335">
        <f t="shared" si="63"/>
        <v>0.18</v>
      </c>
      <c r="CU11" s="92">
        <f t="shared" si="64"/>
        <v>1</v>
      </c>
      <c r="CV11" s="348">
        <f t="shared" si="65"/>
        <v>1</v>
      </c>
      <c r="CW11" s="380">
        <f t="shared" si="66"/>
        <v>139.81</v>
      </c>
      <c r="CX11" s="380">
        <f t="shared" si="26"/>
        <v>68.569999999999993</v>
      </c>
      <c r="CY11" s="367">
        <f t="shared" si="27"/>
        <v>276.83</v>
      </c>
      <c r="CZ11" s="380">
        <f t="shared" si="28"/>
        <v>155.79</v>
      </c>
      <c r="DA11"/>
      <c r="DB11" s="391">
        <v>8</v>
      </c>
      <c r="DC11" s="59">
        <v>21084.45</v>
      </c>
      <c r="DD11" s="59">
        <v>20661.12</v>
      </c>
      <c r="DE11" s="59">
        <v>18715.740000000002</v>
      </c>
      <c r="DF11" s="59">
        <v>18339.96</v>
      </c>
      <c r="DG11" s="59">
        <v>16571.22</v>
      </c>
      <c r="DH11" s="59">
        <v>16238.51</v>
      </c>
      <c r="DI11" s="137">
        <v>85781.38</v>
      </c>
      <c r="DJ11" s="137">
        <v>64857.86</v>
      </c>
      <c r="DK11" s="138">
        <v>63856.94</v>
      </c>
      <c r="DL11" s="138">
        <v>49796.81</v>
      </c>
      <c r="DM11" s="137">
        <v>41362.28</v>
      </c>
      <c r="DN11" s="137">
        <v>36578.57</v>
      </c>
      <c r="DP11" s="384" t="s">
        <v>136</v>
      </c>
      <c r="DQ11" s="387">
        <v>477.51</v>
      </c>
      <c r="DR11" s="387">
        <v>408.19</v>
      </c>
    </row>
    <row r="12" spans="1:122">
      <c r="A12" s="162" t="s">
        <v>58</v>
      </c>
      <c r="B12" s="92"/>
      <c r="C12" s="305" t="str">
        <f>+IF(F18="SI","Excluida","Amparada")</f>
        <v>Amparada</v>
      </c>
      <c r="E12" s="162" t="s">
        <v>377</v>
      </c>
      <c r="F12" s="162"/>
      <c r="G12" s="161" t="str">
        <f>+IF(OR(LEFT(F12)="F",F12=""),"NO","SI")</f>
        <v>NO</v>
      </c>
      <c r="H12" s="162"/>
      <c r="J12" s="164">
        <v>9</v>
      </c>
      <c r="K12" s="59">
        <f t="shared" si="29"/>
        <v>20120.939999999999</v>
      </c>
      <c r="L12" s="59">
        <f t="shared" si="0"/>
        <v>20661.12</v>
      </c>
      <c r="M12" s="59">
        <f t="shared" si="0"/>
        <v>17860.48</v>
      </c>
      <c r="N12" s="59">
        <f t="shared" si="0"/>
        <v>18339.96</v>
      </c>
      <c r="O12" s="59">
        <f t="shared" si="0"/>
        <v>15813.96</v>
      </c>
      <c r="P12" s="59">
        <f t="shared" si="0"/>
        <v>16238.51</v>
      </c>
      <c r="Q12" s="136">
        <f t="shared" si="1"/>
        <v>85781.38</v>
      </c>
      <c r="R12" s="136">
        <f t="shared" si="2"/>
        <v>64115.01</v>
      </c>
      <c r="S12" s="136">
        <f t="shared" si="3"/>
        <v>63856.94</v>
      </c>
      <c r="T12" s="136">
        <f t="shared" si="4"/>
        <v>47721.95</v>
      </c>
      <c r="U12" s="136">
        <f t="shared" si="5"/>
        <v>41362.28</v>
      </c>
      <c r="V12" s="136">
        <f t="shared" si="6"/>
        <v>36225.39</v>
      </c>
      <c r="W12" s="92"/>
      <c r="X12" s="137">
        <f t="shared" si="30"/>
        <v>85781.38</v>
      </c>
      <c r="Y12" s="137">
        <f t="shared" si="30"/>
        <v>64115.01</v>
      </c>
      <c r="Z12" s="136">
        <f t="shared" si="31"/>
        <v>89469.979340000005</v>
      </c>
      <c r="AA12" s="136">
        <f t="shared" si="32"/>
        <v>66871.955430000002</v>
      </c>
      <c r="AB12" s="136">
        <f t="shared" si="33"/>
        <v>96075.145600000018</v>
      </c>
      <c r="AC12" s="136">
        <f t="shared" si="34"/>
        <v>71808.811200000011</v>
      </c>
      <c r="AD12" s="138">
        <f t="shared" si="35"/>
        <v>63856.94</v>
      </c>
      <c r="AE12" s="138">
        <f t="shared" si="35"/>
        <v>47721.95</v>
      </c>
      <c r="AF12" s="136">
        <f t="shared" si="36"/>
        <v>66602.788419999997</v>
      </c>
      <c r="AG12" s="136">
        <f t="shared" si="37"/>
        <v>49773.993849999992</v>
      </c>
      <c r="AH12" s="136">
        <f t="shared" si="38"/>
        <v>71519.772800000006</v>
      </c>
      <c r="AI12" s="136">
        <f t="shared" si="39"/>
        <v>53448.584000000003</v>
      </c>
      <c r="AJ12" s="137">
        <f t="shared" si="40"/>
        <v>41362.28</v>
      </c>
      <c r="AK12" s="137">
        <f t="shared" si="40"/>
        <v>36225.39</v>
      </c>
      <c r="AL12" s="136">
        <f t="shared" si="41"/>
        <v>43140.858039999999</v>
      </c>
      <c r="AM12" s="136">
        <f t="shared" si="42"/>
        <v>37783.081769999997</v>
      </c>
      <c r="AN12" s="136">
        <f t="shared" si="43"/>
        <v>46325.753600000004</v>
      </c>
      <c r="AO12" s="136">
        <f t="shared" si="44"/>
        <v>40572.436800000003</v>
      </c>
      <c r="AP12" s="92"/>
      <c r="AQ12" s="140">
        <v>9</v>
      </c>
      <c r="AR12" s="141">
        <f ca="1">+RESUMEN!F12</f>
        <v>0</v>
      </c>
      <c r="AS12" s="141">
        <f ca="1">+RESUMEN!G12</f>
        <v>0</v>
      </c>
      <c r="AT12" s="142">
        <f t="shared" ca="1" si="7"/>
        <v>0</v>
      </c>
      <c r="AU12" s="143">
        <f t="shared" si="45"/>
        <v>0</v>
      </c>
      <c r="AV12" s="143">
        <f t="shared" si="46"/>
        <v>0</v>
      </c>
      <c r="AW12" s="143">
        <f t="shared" si="47"/>
        <v>0</v>
      </c>
      <c r="AX12" s="143">
        <f t="shared" si="48"/>
        <v>0</v>
      </c>
      <c r="AY12" s="143">
        <f t="shared" ca="1" si="49"/>
        <v>0</v>
      </c>
      <c r="AZ12" s="142"/>
      <c r="BA12" s="143">
        <f t="shared" ca="1" si="8"/>
        <v>0</v>
      </c>
      <c r="BB12" s="143">
        <f t="shared" ca="1" si="9"/>
        <v>0</v>
      </c>
      <c r="BC12" s="144"/>
      <c r="BD12" s="145">
        <f t="shared" ca="1" si="50"/>
        <v>0</v>
      </c>
      <c r="BE12" s="145">
        <f t="shared" ca="1" si="51"/>
        <v>0</v>
      </c>
      <c r="BF12" s="146" t="str">
        <f t="shared" ca="1" si="10"/>
        <v/>
      </c>
      <c r="BG12" s="92"/>
      <c r="BH12" s="95">
        <f t="shared" ca="1" si="11"/>
        <v>0</v>
      </c>
      <c r="BI12" s="95">
        <f t="shared" ca="1" si="12"/>
        <v>0</v>
      </c>
      <c r="BJ12" s="144"/>
      <c r="BK12" s="147">
        <f t="shared" ca="1" si="52"/>
        <v>0</v>
      </c>
      <c r="BL12" s="147">
        <f t="shared" ca="1" si="53"/>
        <v>0</v>
      </c>
      <c r="BM12" s="148" t="str">
        <f t="shared" ca="1" si="13"/>
        <v/>
      </c>
      <c r="BN12" s="92"/>
      <c r="BO12" s="149">
        <f t="shared" ca="1" si="14"/>
        <v>0</v>
      </c>
      <c r="BP12" s="149">
        <f t="shared" ca="1" si="15"/>
        <v>0</v>
      </c>
      <c r="BQ12" s="144"/>
      <c r="BR12" s="150">
        <f t="shared" ca="1" si="54"/>
        <v>0</v>
      </c>
      <c r="BS12" s="150">
        <f t="shared" ca="1" si="55"/>
        <v>0</v>
      </c>
      <c r="BT12" s="151" t="str">
        <f t="shared" ca="1" si="16"/>
        <v/>
      </c>
      <c r="BU12" s="92"/>
      <c r="BV12" s="152">
        <f t="shared" ca="1" si="17"/>
        <v>0</v>
      </c>
      <c r="BW12" s="152">
        <f t="shared" ca="1" si="18"/>
        <v>0</v>
      </c>
      <c r="BX12" s="144"/>
      <c r="BY12" s="153">
        <f t="shared" ca="1" si="56"/>
        <v>0</v>
      </c>
      <c r="BZ12" s="153">
        <f t="shared" ca="1" si="57"/>
        <v>0</v>
      </c>
      <c r="CA12" s="154" t="str">
        <f t="shared" ca="1" si="19"/>
        <v/>
      </c>
      <c r="CB12" s="92"/>
      <c r="CC12" s="155">
        <f t="shared" ca="1" si="20"/>
        <v>0</v>
      </c>
      <c r="CD12" s="155">
        <f t="shared" ca="1" si="21"/>
        <v>0</v>
      </c>
      <c r="CE12" s="144"/>
      <c r="CF12" s="156">
        <f t="shared" ca="1" si="58"/>
        <v>0</v>
      </c>
      <c r="CG12" s="156">
        <f t="shared" ca="1" si="59"/>
        <v>0</v>
      </c>
      <c r="CH12" s="157" t="str">
        <f t="shared" ca="1" si="22"/>
        <v/>
      </c>
      <c r="CI12" s="92"/>
      <c r="CJ12" s="158">
        <f t="shared" ca="1" si="23"/>
        <v>0</v>
      </c>
      <c r="CK12" s="158">
        <f t="shared" ca="1" si="24"/>
        <v>0</v>
      </c>
      <c r="CL12" s="144"/>
      <c r="CM12" s="159">
        <f t="shared" ca="1" si="60"/>
        <v>0</v>
      </c>
      <c r="CN12" s="159">
        <f t="shared" ca="1" si="61"/>
        <v>0</v>
      </c>
      <c r="CO12" s="160" t="str">
        <f t="shared" ca="1" si="25"/>
        <v/>
      </c>
      <c r="CP12" s="92"/>
      <c r="CQ12" s="140">
        <v>9</v>
      </c>
      <c r="CR12" s="330">
        <v>0.18</v>
      </c>
      <c r="CS12" s="92">
        <f t="shared" si="62"/>
        <v>0</v>
      </c>
      <c r="CT12" s="335">
        <f t="shared" si="63"/>
        <v>0.18</v>
      </c>
      <c r="CU12" s="92">
        <f t="shared" si="64"/>
        <v>1</v>
      </c>
      <c r="CV12" s="348">
        <f t="shared" si="65"/>
        <v>1</v>
      </c>
      <c r="CW12" s="380">
        <f t="shared" si="66"/>
        <v>139.81</v>
      </c>
      <c r="CX12" s="380">
        <f t="shared" si="26"/>
        <v>68.569999999999993</v>
      </c>
      <c r="CY12" s="367">
        <f t="shared" si="27"/>
        <v>276.83</v>
      </c>
      <c r="CZ12" s="380">
        <f t="shared" si="28"/>
        <v>155.79</v>
      </c>
      <c r="DA12"/>
      <c r="DB12" s="391">
        <v>9</v>
      </c>
      <c r="DC12" s="59">
        <v>20120.939999999999</v>
      </c>
      <c r="DD12" s="59">
        <v>20661.12</v>
      </c>
      <c r="DE12" s="59">
        <v>17860.48</v>
      </c>
      <c r="DF12" s="59">
        <v>18339.96</v>
      </c>
      <c r="DG12" s="59">
        <v>15813.96</v>
      </c>
      <c r="DH12" s="59">
        <v>16238.51</v>
      </c>
      <c r="DI12" s="137">
        <v>85781.38</v>
      </c>
      <c r="DJ12" s="137">
        <v>64115.01</v>
      </c>
      <c r="DK12" s="138">
        <v>63856.94</v>
      </c>
      <c r="DL12" s="138">
        <v>47721.95</v>
      </c>
      <c r="DM12" s="137">
        <v>41362.28</v>
      </c>
      <c r="DN12" s="137">
        <v>36225.39</v>
      </c>
      <c r="DP12" s="384" t="s">
        <v>137</v>
      </c>
      <c r="DQ12" s="387">
        <v>498.38</v>
      </c>
      <c r="DR12" s="387">
        <v>424.78</v>
      </c>
    </row>
    <row r="13" spans="1:122">
      <c r="A13" s="162" t="s">
        <v>14</v>
      </c>
      <c r="B13" s="162"/>
      <c r="C13" s="305" t="str">
        <f>+IF(OR(LEFT(B13)="F",B13=""),"NO","SI")</f>
        <v>NO</v>
      </c>
      <c r="E13" s="162" t="s">
        <v>378</v>
      </c>
      <c r="F13" s="300">
        <v>1</v>
      </c>
      <c r="G13" s="161">
        <f>VALUE(VLOOKUP(F13,L107:M123,2,0))</f>
        <v>20000</v>
      </c>
      <c r="H13" s="162" t="s">
        <v>376</v>
      </c>
      <c r="J13" s="164">
        <v>10</v>
      </c>
      <c r="K13" s="59">
        <f t="shared" si="29"/>
        <v>20060.18</v>
      </c>
      <c r="L13" s="59">
        <f t="shared" si="0"/>
        <v>20661.12</v>
      </c>
      <c r="M13" s="59">
        <f t="shared" si="0"/>
        <v>17806.54</v>
      </c>
      <c r="N13" s="59">
        <f t="shared" si="0"/>
        <v>18339.96</v>
      </c>
      <c r="O13" s="59">
        <f t="shared" si="0"/>
        <v>15766.2</v>
      </c>
      <c r="P13" s="59">
        <f t="shared" si="0"/>
        <v>16238.51</v>
      </c>
      <c r="Q13" s="136">
        <f t="shared" si="1"/>
        <v>85781.38</v>
      </c>
      <c r="R13" s="136">
        <f t="shared" si="2"/>
        <v>57938.57</v>
      </c>
      <c r="S13" s="136">
        <f t="shared" si="3"/>
        <v>63856.94</v>
      </c>
      <c r="T13" s="136">
        <f t="shared" si="4"/>
        <v>40898.699999999997</v>
      </c>
      <c r="U13" s="136">
        <f t="shared" si="5"/>
        <v>41362.28</v>
      </c>
      <c r="V13" s="136">
        <f t="shared" si="6"/>
        <v>28186.89</v>
      </c>
      <c r="W13" s="92"/>
      <c r="X13" s="137">
        <f t="shared" si="30"/>
        <v>85781.38</v>
      </c>
      <c r="Y13" s="137">
        <f t="shared" si="30"/>
        <v>57938.57</v>
      </c>
      <c r="Z13" s="136">
        <f t="shared" si="31"/>
        <v>89469.979340000005</v>
      </c>
      <c r="AA13" s="136">
        <f t="shared" si="32"/>
        <v>60429.928509999998</v>
      </c>
      <c r="AB13" s="136">
        <f t="shared" si="33"/>
        <v>96075.145600000018</v>
      </c>
      <c r="AC13" s="136">
        <f t="shared" si="34"/>
        <v>64891.198400000008</v>
      </c>
      <c r="AD13" s="138">
        <f t="shared" si="35"/>
        <v>63856.94</v>
      </c>
      <c r="AE13" s="138">
        <f t="shared" si="35"/>
        <v>40898.699999999997</v>
      </c>
      <c r="AF13" s="136">
        <f t="shared" si="36"/>
        <v>66602.788419999997</v>
      </c>
      <c r="AG13" s="136">
        <f t="shared" si="37"/>
        <v>42657.344099999995</v>
      </c>
      <c r="AH13" s="136">
        <f t="shared" si="38"/>
        <v>71519.772800000006</v>
      </c>
      <c r="AI13" s="136">
        <f t="shared" si="39"/>
        <v>45806.544000000002</v>
      </c>
      <c r="AJ13" s="137">
        <f t="shared" si="40"/>
        <v>41362.28</v>
      </c>
      <c r="AK13" s="137">
        <f t="shared" si="40"/>
        <v>28186.89</v>
      </c>
      <c r="AL13" s="136">
        <f t="shared" si="41"/>
        <v>43140.858039999999</v>
      </c>
      <c r="AM13" s="136">
        <f t="shared" si="42"/>
        <v>29398.926269999996</v>
      </c>
      <c r="AN13" s="136">
        <f t="shared" si="43"/>
        <v>46325.753600000004</v>
      </c>
      <c r="AO13" s="136">
        <f t="shared" si="44"/>
        <v>31569.316800000004</v>
      </c>
      <c r="AP13" s="92"/>
      <c r="AQ13" s="140">
        <v>10</v>
      </c>
      <c r="AR13" s="141">
        <f ca="1">+RESUMEN!F13</f>
        <v>0</v>
      </c>
      <c r="AS13" s="141">
        <f ca="1">+RESUMEN!G13</f>
        <v>0</v>
      </c>
      <c r="AT13" s="142">
        <f t="shared" ca="1" si="7"/>
        <v>0</v>
      </c>
      <c r="AU13" s="143">
        <f t="shared" si="45"/>
        <v>0</v>
      </c>
      <c r="AV13" s="143">
        <f t="shared" si="46"/>
        <v>0</v>
      </c>
      <c r="AW13" s="143">
        <f t="shared" si="47"/>
        <v>0</v>
      </c>
      <c r="AX13" s="143">
        <f t="shared" si="48"/>
        <v>0</v>
      </c>
      <c r="AY13" s="143">
        <f t="shared" ca="1" si="49"/>
        <v>0</v>
      </c>
      <c r="AZ13" s="142"/>
      <c r="BA13" s="143">
        <f t="shared" ca="1" si="8"/>
        <v>0</v>
      </c>
      <c r="BB13" s="143">
        <f t="shared" ca="1" si="9"/>
        <v>0</v>
      </c>
      <c r="BC13" s="144"/>
      <c r="BD13" s="145">
        <f t="shared" ca="1" si="50"/>
        <v>0</v>
      </c>
      <c r="BE13" s="145">
        <f t="shared" ca="1" si="51"/>
        <v>0</v>
      </c>
      <c r="BF13" s="146" t="str">
        <f t="shared" ca="1" si="10"/>
        <v/>
      </c>
      <c r="BG13" s="92"/>
      <c r="BH13" s="95">
        <f t="shared" ca="1" si="11"/>
        <v>0</v>
      </c>
      <c r="BI13" s="95">
        <f t="shared" ca="1" si="12"/>
        <v>0</v>
      </c>
      <c r="BJ13" s="144"/>
      <c r="BK13" s="147">
        <f t="shared" ca="1" si="52"/>
        <v>0</v>
      </c>
      <c r="BL13" s="147">
        <f t="shared" ca="1" si="53"/>
        <v>0</v>
      </c>
      <c r="BM13" s="148" t="str">
        <f t="shared" ca="1" si="13"/>
        <v/>
      </c>
      <c r="BN13" s="92"/>
      <c r="BO13" s="149">
        <f t="shared" ca="1" si="14"/>
        <v>0</v>
      </c>
      <c r="BP13" s="149">
        <f t="shared" ca="1" si="15"/>
        <v>0</v>
      </c>
      <c r="BQ13" s="144"/>
      <c r="BR13" s="150">
        <f t="shared" ca="1" si="54"/>
        <v>0</v>
      </c>
      <c r="BS13" s="150">
        <f t="shared" ca="1" si="55"/>
        <v>0</v>
      </c>
      <c r="BT13" s="151" t="str">
        <f t="shared" ca="1" si="16"/>
        <v/>
      </c>
      <c r="BU13" s="92"/>
      <c r="BV13" s="152">
        <f t="shared" ca="1" si="17"/>
        <v>0</v>
      </c>
      <c r="BW13" s="152">
        <f t="shared" ca="1" si="18"/>
        <v>0</v>
      </c>
      <c r="BX13" s="144"/>
      <c r="BY13" s="153">
        <f t="shared" ca="1" si="56"/>
        <v>0</v>
      </c>
      <c r="BZ13" s="153">
        <f t="shared" ca="1" si="57"/>
        <v>0</v>
      </c>
      <c r="CA13" s="154" t="str">
        <f t="shared" ca="1" si="19"/>
        <v/>
      </c>
      <c r="CB13" s="92"/>
      <c r="CC13" s="155">
        <f t="shared" ca="1" si="20"/>
        <v>0</v>
      </c>
      <c r="CD13" s="155">
        <f t="shared" ca="1" si="21"/>
        <v>0</v>
      </c>
      <c r="CE13" s="144"/>
      <c r="CF13" s="156">
        <f t="shared" ca="1" si="58"/>
        <v>0</v>
      </c>
      <c r="CG13" s="156">
        <f t="shared" ca="1" si="59"/>
        <v>0</v>
      </c>
      <c r="CH13" s="157" t="str">
        <f t="shared" ca="1" si="22"/>
        <v/>
      </c>
      <c r="CI13" s="92"/>
      <c r="CJ13" s="158">
        <f t="shared" ca="1" si="23"/>
        <v>0</v>
      </c>
      <c r="CK13" s="158">
        <f t="shared" ca="1" si="24"/>
        <v>0</v>
      </c>
      <c r="CL13" s="144"/>
      <c r="CM13" s="159">
        <f t="shared" ca="1" si="60"/>
        <v>0</v>
      </c>
      <c r="CN13" s="159">
        <f t="shared" ca="1" si="61"/>
        <v>0</v>
      </c>
      <c r="CO13" s="160" t="str">
        <f t="shared" ca="1" si="25"/>
        <v/>
      </c>
      <c r="CP13" s="92"/>
      <c r="CQ13" s="140">
        <v>10</v>
      </c>
      <c r="CR13" s="330">
        <v>0.18</v>
      </c>
      <c r="CS13" s="92">
        <f t="shared" si="62"/>
        <v>0</v>
      </c>
      <c r="CT13" s="335">
        <f t="shared" si="63"/>
        <v>0.18</v>
      </c>
      <c r="CU13" s="92">
        <f t="shared" si="64"/>
        <v>1</v>
      </c>
      <c r="CV13" s="348">
        <f t="shared" si="65"/>
        <v>1</v>
      </c>
      <c r="CW13" s="380">
        <f t="shared" si="66"/>
        <v>139.81</v>
      </c>
      <c r="CX13" s="380">
        <f t="shared" si="26"/>
        <v>68.569999999999993</v>
      </c>
      <c r="CY13" s="367">
        <f t="shared" si="27"/>
        <v>276.83</v>
      </c>
      <c r="CZ13" s="380">
        <f t="shared" si="28"/>
        <v>155.79</v>
      </c>
      <c r="DA13"/>
      <c r="DB13" s="391">
        <v>10</v>
      </c>
      <c r="DC13" s="59">
        <v>20060.18</v>
      </c>
      <c r="DD13" s="59">
        <v>20661.12</v>
      </c>
      <c r="DE13" s="59">
        <v>17806.54</v>
      </c>
      <c r="DF13" s="59">
        <v>18339.96</v>
      </c>
      <c r="DG13" s="59">
        <v>15766.2</v>
      </c>
      <c r="DH13" s="59">
        <v>16238.51</v>
      </c>
      <c r="DI13" s="137">
        <v>85781.38</v>
      </c>
      <c r="DJ13" s="137">
        <v>57938.57</v>
      </c>
      <c r="DK13" s="138">
        <v>63856.94</v>
      </c>
      <c r="DL13" s="138">
        <v>40898.699999999997</v>
      </c>
      <c r="DM13" s="137">
        <v>41362.28</v>
      </c>
      <c r="DN13" s="137">
        <v>28186.89</v>
      </c>
      <c r="DP13" s="384" t="s">
        <v>138</v>
      </c>
      <c r="DQ13" s="387">
        <v>487.59</v>
      </c>
      <c r="DR13" s="387">
        <v>440.26</v>
      </c>
    </row>
    <row r="14" spans="1:122">
      <c r="A14" s="162" t="s">
        <v>35</v>
      </c>
      <c r="B14" s="307">
        <v>0.18</v>
      </c>
      <c r="C14" s="308">
        <f>+B14-(IF(F20=1,0,'DATOS GENERALES'!I15))</f>
        <v>0.18</v>
      </c>
      <c r="D14"/>
      <c r="E14"/>
      <c r="F14"/>
      <c r="G14"/>
      <c r="H14"/>
      <c r="I14"/>
      <c r="J14" s="164">
        <v>11</v>
      </c>
      <c r="K14" s="59">
        <f t="shared" si="29"/>
        <v>18363.72</v>
      </c>
      <c r="L14" s="59">
        <f t="shared" si="0"/>
        <v>20661.12</v>
      </c>
      <c r="M14" s="59">
        <f t="shared" si="0"/>
        <v>16300.67</v>
      </c>
      <c r="N14" s="59">
        <f t="shared" si="0"/>
        <v>18339.96</v>
      </c>
      <c r="O14" s="59">
        <f t="shared" si="0"/>
        <v>14432.88</v>
      </c>
      <c r="P14" s="59">
        <f t="shared" si="0"/>
        <v>16238.51</v>
      </c>
      <c r="Q14" s="136">
        <f t="shared" si="1"/>
        <v>85781.38</v>
      </c>
      <c r="R14" s="136">
        <f t="shared" si="2"/>
        <v>54967.19</v>
      </c>
      <c r="S14" s="136">
        <f t="shared" si="3"/>
        <v>63856.94</v>
      </c>
      <c r="T14" s="136">
        <f t="shared" si="4"/>
        <v>36966.199999999997</v>
      </c>
      <c r="U14" s="136">
        <f t="shared" si="5"/>
        <v>41362.28</v>
      </c>
      <c r="V14" s="136">
        <f t="shared" si="6"/>
        <v>25170.39</v>
      </c>
      <c r="W14" s="92"/>
      <c r="X14" s="137">
        <f t="shared" si="30"/>
        <v>85781.38</v>
      </c>
      <c r="Y14" s="137">
        <f t="shared" si="30"/>
        <v>54967.19</v>
      </c>
      <c r="Z14" s="136">
        <f t="shared" si="31"/>
        <v>89469.979340000005</v>
      </c>
      <c r="AA14" s="136">
        <f t="shared" si="32"/>
        <v>57330.779170000002</v>
      </c>
      <c r="AB14" s="136">
        <f t="shared" si="33"/>
        <v>96075.145600000018</v>
      </c>
      <c r="AC14" s="136">
        <f t="shared" si="34"/>
        <v>61563.252800000009</v>
      </c>
      <c r="AD14" s="138">
        <f t="shared" si="35"/>
        <v>63856.94</v>
      </c>
      <c r="AE14" s="138">
        <f t="shared" si="35"/>
        <v>36966.199999999997</v>
      </c>
      <c r="AF14" s="136">
        <f t="shared" si="36"/>
        <v>66602.788419999997</v>
      </c>
      <c r="AG14" s="136">
        <f t="shared" si="37"/>
        <v>38555.746599999991</v>
      </c>
      <c r="AH14" s="136">
        <f t="shared" si="38"/>
        <v>71519.772800000006</v>
      </c>
      <c r="AI14" s="136">
        <f t="shared" si="39"/>
        <v>41402.144</v>
      </c>
      <c r="AJ14" s="137">
        <f t="shared" si="40"/>
        <v>41362.28</v>
      </c>
      <c r="AK14" s="137">
        <f t="shared" si="40"/>
        <v>25170.39</v>
      </c>
      <c r="AL14" s="136">
        <f t="shared" si="41"/>
        <v>43140.858039999999</v>
      </c>
      <c r="AM14" s="136">
        <f t="shared" si="42"/>
        <v>26252.716769999999</v>
      </c>
      <c r="AN14" s="136">
        <f t="shared" si="43"/>
        <v>46325.753600000004</v>
      </c>
      <c r="AO14" s="136">
        <f t="shared" si="44"/>
        <v>28190.836800000001</v>
      </c>
      <c r="AP14" s="92"/>
      <c r="AQ14" s="140">
        <v>11</v>
      </c>
      <c r="AR14" s="141">
        <f ca="1">+RESUMEN!F14</f>
        <v>0</v>
      </c>
      <c r="AS14" s="141">
        <f ca="1">+RESUMEN!G14</f>
        <v>0</v>
      </c>
      <c r="AT14" s="142">
        <f t="shared" ca="1" si="7"/>
        <v>0</v>
      </c>
      <c r="AU14" s="143">
        <f t="shared" si="45"/>
        <v>0</v>
      </c>
      <c r="AV14" s="143">
        <f t="shared" si="46"/>
        <v>0</v>
      </c>
      <c r="AW14" s="143">
        <f t="shared" si="47"/>
        <v>0</v>
      </c>
      <c r="AX14" s="143">
        <f t="shared" si="48"/>
        <v>0</v>
      </c>
      <c r="AY14" s="143">
        <f t="shared" ca="1" si="49"/>
        <v>0</v>
      </c>
      <c r="AZ14" s="142"/>
      <c r="BA14" s="143">
        <f t="shared" ca="1" si="8"/>
        <v>0</v>
      </c>
      <c r="BB14" s="143">
        <f t="shared" ca="1" si="9"/>
        <v>0</v>
      </c>
      <c r="BC14" s="144"/>
      <c r="BD14" s="145">
        <f t="shared" ca="1" si="50"/>
        <v>0</v>
      </c>
      <c r="BE14" s="145">
        <f t="shared" ca="1" si="51"/>
        <v>0</v>
      </c>
      <c r="BF14" s="146" t="str">
        <f t="shared" ca="1" si="10"/>
        <v/>
      </c>
      <c r="BG14" s="92"/>
      <c r="BH14" s="95">
        <f t="shared" ca="1" si="11"/>
        <v>0</v>
      </c>
      <c r="BI14" s="95">
        <f t="shared" ca="1" si="12"/>
        <v>0</v>
      </c>
      <c r="BJ14" s="144"/>
      <c r="BK14" s="147">
        <f t="shared" ca="1" si="52"/>
        <v>0</v>
      </c>
      <c r="BL14" s="147">
        <f t="shared" ca="1" si="53"/>
        <v>0</v>
      </c>
      <c r="BM14" s="148" t="str">
        <f t="shared" ca="1" si="13"/>
        <v/>
      </c>
      <c r="BN14" s="92"/>
      <c r="BO14" s="149">
        <f t="shared" ca="1" si="14"/>
        <v>0</v>
      </c>
      <c r="BP14" s="149">
        <f t="shared" ca="1" si="15"/>
        <v>0</v>
      </c>
      <c r="BQ14" s="144"/>
      <c r="BR14" s="150">
        <f t="shared" ca="1" si="54"/>
        <v>0</v>
      </c>
      <c r="BS14" s="150">
        <f t="shared" ca="1" si="55"/>
        <v>0</v>
      </c>
      <c r="BT14" s="151" t="str">
        <f t="shared" ca="1" si="16"/>
        <v/>
      </c>
      <c r="BU14" s="92"/>
      <c r="BV14" s="152">
        <f t="shared" ca="1" si="17"/>
        <v>0</v>
      </c>
      <c r="BW14" s="152">
        <f t="shared" ca="1" si="18"/>
        <v>0</v>
      </c>
      <c r="BX14" s="144"/>
      <c r="BY14" s="153">
        <f t="shared" ca="1" si="56"/>
        <v>0</v>
      </c>
      <c r="BZ14" s="153">
        <f t="shared" ca="1" si="57"/>
        <v>0</v>
      </c>
      <c r="CA14" s="154" t="str">
        <f t="shared" ca="1" si="19"/>
        <v/>
      </c>
      <c r="CB14" s="92"/>
      <c r="CC14" s="155">
        <f t="shared" ca="1" si="20"/>
        <v>0</v>
      </c>
      <c r="CD14" s="155">
        <f t="shared" ca="1" si="21"/>
        <v>0</v>
      </c>
      <c r="CE14" s="144"/>
      <c r="CF14" s="156">
        <f t="shared" ca="1" si="58"/>
        <v>0</v>
      </c>
      <c r="CG14" s="156">
        <f t="shared" ca="1" si="59"/>
        <v>0</v>
      </c>
      <c r="CH14" s="157" t="str">
        <f t="shared" ca="1" si="22"/>
        <v/>
      </c>
      <c r="CI14" s="92"/>
      <c r="CJ14" s="158">
        <f t="shared" ca="1" si="23"/>
        <v>0</v>
      </c>
      <c r="CK14" s="158">
        <f t="shared" ca="1" si="24"/>
        <v>0</v>
      </c>
      <c r="CL14" s="144"/>
      <c r="CM14" s="159">
        <f t="shared" ca="1" si="60"/>
        <v>0</v>
      </c>
      <c r="CN14" s="159">
        <f t="shared" ca="1" si="61"/>
        <v>0</v>
      </c>
      <c r="CO14" s="160" t="str">
        <f t="shared" ca="1" si="25"/>
        <v/>
      </c>
      <c r="CP14" s="92"/>
      <c r="CQ14" s="140">
        <v>11</v>
      </c>
      <c r="CR14" s="330">
        <v>0.18</v>
      </c>
      <c r="CS14" s="92">
        <f t="shared" si="62"/>
        <v>0</v>
      </c>
      <c r="CT14" s="335">
        <f t="shared" si="63"/>
        <v>0.18</v>
      </c>
      <c r="CU14" s="92">
        <f t="shared" si="64"/>
        <v>1</v>
      </c>
      <c r="CV14" s="348">
        <f t="shared" si="65"/>
        <v>1</v>
      </c>
      <c r="CW14" s="380">
        <f t="shared" si="66"/>
        <v>139.81</v>
      </c>
      <c r="CX14" s="380">
        <f t="shared" si="26"/>
        <v>68.569999999999993</v>
      </c>
      <c r="CY14" s="367">
        <f t="shared" si="27"/>
        <v>276.83</v>
      </c>
      <c r="CZ14" s="380">
        <f t="shared" si="28"/>
        <v>155.79</v>
      </c>
      <c r="DA14"/>
      <c r="DB14" s="391">
        <v>11</v>
      </c>
      <c r="DC14" s="59">
        <v>18363.72</v>
      </c>
      <c r="DD14" s="59">
        <v>20661.12</v>
      </c>
      <c r="DE14" s="59">
        <v>16300.67</v>
      </c>
      <c r="DF14" s="59">
        <v>18339.96</v>
      </c>
      <c r="DG14" s="59">
        <v>14432.88</v>
      </c>
      <c r="DH14" s="59">
        <v>16238.51</v>
      </c>
      <c r="DI14" s="137">
        <v>85781.38</v>
      </c>
      <c r="DJ14" s="137">
        <v>54967.19</v>
      </c>
      <c r="DK14" s="138">
        <v>63856.94</v>
      </c>
      <c r="DL14" s="138">
        <v>36966.199999999997</v>
      </c>
      <c r="DM14" s="137">
        <v>41362.28</v>
      </c>
      <c r="DN14" s="137">
        <v>25170.39</v>
      </c>
      <c r="DP14" s="384" t="s">
        <v>139</v>
      </c>
      <c r="DQ14" s="387">
        <v>476.79</v>
      </c>
      <c r="DR14" s="387">
        <v>455.73</v>
      </c>
    </row>
    <row r="15" spans="1:122">
      <c r="A15" s="162" t="s">
        <v>384</v>
      </c>
      <c r="B15" s="296">
        <v>1</v>
      </c>
      <c r="C15" s="308">
        <f>+B15-'DATOS GENERALES'!G15</f>
        <v>1</v>
      </c>
      <c r="D15"/>
      <c r="E15" s="162" t="s">
        <v>385</v>
      </c>
      <c r="F15"/>
      <c r="G15"/>
      <c r="H15"/>
      <c r="I15"/>
      <c r="J15" s="164">
        <v>12</v>
      </c>
      <c r="K15" s="59">
        <f t="shared" si="29"/>
        <v>18046.77</v>
      </c>
      <c r="L15" s="59">
        <f t="shared" si="0"/>
        <v>20661.12</v>
      </c>
      <c r="M15" s="59">
        <f t="shared" si="0"/>
        <v>16019.33</v>
      </c>
      <c r="N15" s="59">
        <f t="shared" si="0"/>
        <v>18339.96</v>
      </c>
      <c r="O15" s="59">
        <f t="shared" si="0"/>
        <v>14183.78</v>
      </c>
      <c r="P15" s="59">
        <f t="shared" si="0"/>
        <v>16238.51</v>
      </c>
      <c r="Q15" s="136">
        <f t="shared" si="1"/>
        <v>85781.38</v>
      </c>
      <c r="R15" s="136">
        <f t="shared" si="2"/>
        <v>55200.1</v>
      </c>
      <c r="S15" s="136">
        <f t="shared" si="3"/>
        <v>63856.94</v>
      </c>
      <c r="T15" s="136">
        <f t="shared" si="4"/>
        <v>37145.480000000003</v>
      </c>
      <c r="U15" s="136">
        <f t="shared" si="5"/>
        <v>41362.28</v>
      </c>
      <c r="V15" s="136">
        <f t="shared" si="6"/>
        <v>25420.65</v>
      </c>
      <c r="W15" s="92"/>
      <c r="X15" s="137">
        <f t="shared" si="30"/>
        <v>85781.38</v>
      </c>
      <c r="Y15" s="137">
        <f t="shared" si="30"/>
        <v>55200.1</v>
      </c>
      <c r="Z15" s="136">
        <f t="shared" si="31"/>
        <v>89469.979340000005</v>
      </c>
      <c r="AA15" s="136">
        <f t="shared" si="32"/>
        <v>57573.704299999998</v>
      </c>
      <c r="AB15" s="136">
        <f t="shared" si="33"/>
        <v>96075.145600000018</v>
      </c>
      <c r="AC15" s="136">
        <f t="shared" si="34"/>
        <v>61824.112000000001</v>
      </c>
      <c r="AD15" s="138">
        <f t="shared" si="35"/>
        <v>63856.94</v>
      </c>
      <c r="AE15" s="138">
        <f t="shared" si="35"/>
        <v>37145.480000000003</v>
      </c>
      <c r="AF15" s="136">
        <f t="shared" si="36"/>
        <v>66602.788419999997</v>
      </c>
      <c r="AG15" s="136">
        <f t="shared" si="37"/>
        <v>38742.735639999999</v>
      </c>
      <c r="AH15" s="136">
        <f t="shared" si="38"/>
        <v>71519.772800000006</v>
      </c>
      <c r="AI15" s="136">
        <f t="shared" si="39"/>
        <v>41602.937600000005</v>
      </c>
      <c r="AJ15" s="137">
        <f t="shared" si="40"/>
        <v>41362.28</v>
      </c>
      <c r="AK15" s="137">
        <f t="shared" si="40"/>
        <v>25420.65</v>
      </c>
      <c r="AL15" s="136">
        <f t="shared" si="41"/>
        <v>43140.858039999999</v>
      </c>
      <c r="AM15" s="136">
        <f t="shared" si="42"/>
        <v>26513.737949999999</v>
      </c>
      <c r="AN15" s="136">
        <f t="shared" si="43"/>
        <v>46325.753600000004</v>
      </c>
      <c r="AO15" s="136">
        <f t="shared" si="44"/>
        <v>28471.128000000004</v>
      </c>
      <c r="AP15" s="92"/>
      <c r="AQ15" s="140">
        <v>12</v>
      </c>
      <c r="AR15" s="141">
        <f ca="1">+RESUMEN!F15</f>
        <v>0</v>
      </c>
      <c r="AS15" s="141">
        <f ca="1">+RESUMEN!G15</f>
        <v>0</v>
      </c>
      <c r="AT15" s="142">
        <f t="shared" ca="1" si="7"/>
        <v>0</v>
      </c>
      <c r="AU15" s="143">
        <f t="shared" si="45"/>
        <v>0</v>
      </c>
      <c r="AV15" s="143">
        <f t="shared" si="46"/>
        <v>0</v>
      </c>
      <c r="AW15" s="143">
        <f t="shared" si="47"/>
        <v>0</v>
      </c>
      <c r="AX15" s="143">
        <f t="shared" si="48"/>
        <v>0</v>
      </c>
      <c r="AY15" s="143">
        <f t="shared" ca="1" si="49"/>
        <v>0</v>
      </c>
      <c r="AZ15" s="142"/>
      <c r="BA15" s="143">
        <f t="shared" ca="1" si="8"/>
        <v>0</v>
      </c>
      <c r="BB15" s="143">
        <f t="shared" ca="1" si="9"/>
        <v>0</v>
      </c>
      <c r="BC15" s="144"/>
      <c r="BD15" s="145">
        <f t="shared" ca="1" si="50"/>
        <v>0</v>
      </c>
      <c r="BE15" s="145">
        <f t="shared" ca="1" si="51"/>
        <v>0</v>
      </c>
      <c r="BF15" s="146" t="str">
        <f t="shared" ca="1" si="10"/>
        <v/>
      </c>
      <c r="BG15" s="92"/>
      <c r="BH15" s="95">
        <f t="shared" ca="1" si="11"/>
        <v>0</v>
      </c>
      <c r="BI15" s="95">
        <f t="shared" ca="1" si="12"/>
        <v>0</v>
      </c>
      <c r="BJ15" s="144"/>
      <c r="BK15" s="147">
        <f t="shared" ca="1" si="52"/>
        <v>0</v>
      </c>
      <c r="BL15" s="147">
        <f t="shared" ca="1" si="53"/>
        <v>0</v>
      </c>
      <c r="BM15" s="148" t="str">
        <f t="shared" ca="1" si="13"/>
        <v/>
      </c>
      <c r="BN15" s="92"/>
      <c r="BO15" s="149">
        <f t="shared" ca="1" si="14"/>
        <v>0</v>
      </c>
      <c r="BP15" s="149">
        <f t="shared" ca="1" si="15"/>
        <v>0</v>
      </c>
      <c r="BQ15" s="144"/>
      <c r="BR15" s="150">
        <f t="shared" ca="1" si="54"/>
        <v>0</v>
      </c>
      <c r="BS15" s="150">
        <f t="shared" ca="1" si="55"/>
        <v>0</v>
      </c>
      <c r="BT15" s="151" t="str">
        <f t="shared" ca="1" si="16"/>
        <v/>
      </c>
      <c r="BU15" s="238"/>
      <c r="BV15" s="152">
        <f t="shared" ca="1" si="17"/>
        <v>0</v>
      </c>
      <c r="BW15" s="152">
        <f t="shared" ca="1" si="18"/>
        <v>0</v>
      </c>
      <c r="BX15" s="144"/>
      <c r="BY15" s="153">
        <f t="shared" ca="1" si="56"/>
        <v>0</v>
      </c>
      <c r="BZ15" s="153">
        <f t="shared" ca="1" si="57"/>
        <v>0</v>
      </c>
      <c r="CA15" s="154" t="str">
        <f t="shared" ca="1" si="19"/>
        <v/>
      </c>
      <c r="CB15" s="92"/>
      <c r="CC15" s="155">
        <f t="shared" ca="1" si="20"/>
        <v>0</v>
      </c>
      <c r="CD15" s="155">
        <f t="shared" ca="1" si="21"/>
        <v>0</v>
      </c>
      <c r="CE15" s="144"/>
      <c r="CF15" s="156">
        <f t="shared" ca="1" si="58"/>
        <v>0</v>
      </c>
      <c r="CG15" s="156">
        <f t="shared" ca="1" si="59"/>
        <v>0</v>
      </c>
      <c r="CH15" s="157" t="str">
        <f t="shared" ca="1" si="22"/>
        <v/>
      </c>
      <c r="CI15" s="92"/>
      <c r="CJ15" s="158">
        <f t="shared" ca="1" si="23"/>
        <v>0</v>
      </c>
      <c r="CK15" s="158">
        <f t="shared" ca="1" si="24"/>
        <v>0</v>
      </c>
      <c r="CL15" s="144"/>
      <c r="CM15" s="159">
        <f t="shared" ca="1" si="60"/>
        <v>0</v>
      </c>
      <c r="CN15" s="159">
        <f t="shared" ca="1" si="61"/>
        <v>0</v>
      </c>
      <c r="CO15" s="160" t="str">
        <f t="shared" ca="1" si="25"/>
        <v/>
      </c>
      <c r="CP15" s="92"/>
      <c r="CQ15" s="140">
        <v>12</v>
      </c>
      <c r="CR15" s="330">
        <v>0.18</v>
      </c>
      <c r="CS15" s="92">
        <f t="shared" si="62"/>
        <v>0</v>
      </c>
      <c r="CT15" s="335">
        <f t="shared" si="63"/>
        <v>0.18</v>
      </c>
      <c r="CU15" s="92">
        <f t="shared" si="64"/>
        <v>1</v>
      </c>
      <c r="CV15" s="348">
        <f t="shared" si="65"/>
        <v>1</v>
      </c>
      <c r="CW15" s="380">
        <f t="shared" si="66"/>
        <v>139.81</v>
      </c>
      <c r="CX15" s="380">
        <f t="shared" si="26"/>
        <v>68.569999999999993</v>
      </c>
      <c r="CY15" s="367">
        <f t="shared" si="27"/>
        <v>276.83</v>
      </c>
      <c r="CZ15" s="380">
        <f t="shared" si="28"/>
        <v>155.79</v>
      </c>
      <c r="DA15"/>
      <c r="DB15" s="391">
        <v>12</v>
      </c>
      <c r="DC15" s="59">
        <v>18046.77</v>
      </c>
      <c r="DD15" s="59">
        <v>20661.12</v>
      </c>
      <c r="DE15" s="59">
        <v>16019.33</v>
      </c>
      <c r="DF15" s="59">
        <v>18339.96</v>
      </c>
      <c r="DG15" s="59">
        <v>14183.78</v>
      </c>
      <c r="DH15" s="59">
        <v>16238.51</v>
      </c>
      <c r="DI15" s="137">
        <v>85781.38</v>
      </c>
      <c r="DJ15" s="137">
        <v>55200.1</v>
      </c>
      <c r="DK15" s="138">
        <v>63856.94</v>
      </c>
      <c r="DL15" s="138">
        <v>37145.480000000003</v>
      </c>
      <c r="DM15" s="137">
        <v>41362.28</v>
      </c>
      <c r="DN15" s="137">
        <v>25420.65</v>
      </c>
      <c r="DP15" s="384" t="s">
        <v>140</v>
      </c>
      <c r="DQ15" s="387">
        <v>466</v>
      </c>
      <c r="DR15" s="387">
        <v>471.21</v>
      </c>
    </row>
    <row r="16" spans="1:122">
      <c r="A16"/>
      <c r="B16"/>
      <c r="C16"/>
      <c r="D16" s="92"/>
      <c r="E16" s="162" t="s">
        <v>386</v>
      </c>
      <c r="F16" s="300">
        <v>1</v>
      </c>
      <c r="G16" s="161">
        <f>VALUE(VLOOKUP(F16,MATERNIDAD,IF(B4&gt;=4,4,B4+1),0))</f>
        <v>1E-4</v>
      </c>
      <c r="H16" s="162" t="s">
        <v>376</v>
      </c>
      <c r="I16" s="92"/>
      <c r="J16" s="164">
        <v>13</v>
      </c>
      <c r="K16" s="59">
        <f t="shared" si="29"/>
        <v>17187.400000000001</v>
      </c>
      <c r="L16" s="59">
        <f t="shared" si="0"/>
        <v>20882.759999999998</v>
      </c>
      <c r="M16" s="59">
        <f t="shared" si="0"/>
        <v>15256.5</v>
      </c>
      <c r="N16" s="59">
        <f t="shared" si="0"/>
        <v>18536.71</v>
      </c>
      <c r="O16" s="59">
        <f t="shared" si="0"/>
        <v>13508.36</v>
      </c>
      <c r="P16" s="59">
        <f t="shared" si="0"/>
        <v>16412.71</v>
      </c>
      <c r="Q16" s="136">
        <f t="shared" si="1"/>
        <v>85781.38</v>
      </c>
      <c r="R16" s="136">
        <f t="shared" si="2"/>
        <v>55282.81</v>
      </c>
      <c r="S16" s="136">
        <f t="shared" si="3"/>
        <v>63856.94</v>
      </c>
      <c r="T16" s="136">
        <f t="shared" si="4"/>
        <v>37325.64</v>
      </c>
      <c r="U16" s="136">
        <f t="shared" si="5"/>
        <v>41362.28</v>
      </c>
      <c r="V16" s="136">
        <f t="shared" si="6"/>
        <v>26667.51</v>
      </c>
      <c r="W16" s="92"/>
      <c r="X16" s="137">
        <f t="shared" si="30"/>
        <v>85781.38</v>
      </c>
      <c r="Y16" s="137">
        <f t="shared" si="30"/>
        <v>55282.81</v>
      </c>
      <c r="Z16" s="136">
        <f t="shared" si="31"/>
        <v>89469.979340000005</v>
      </c>
      <c r="AA16" s="136">
        <f t="shared" si="32"/>
        <v>57659.970829999991</v>
      </c>
      <c r="AB16" s="136">
        <f t="shared" si="33"/>
        <v>96075.145600000018</v>
      </c>
      <c r="AC16" s="136">
        <f t="shared" si="34"/>
        <v>61916.747200000005</v>
      </c>
      <c r="AD16" s="138">
        <f t="shared" si="35"/>
        <v>63856.94</v>
      </c>
      <c r="AE16" s="138">
        <f t="shared" si="35"/>
        <v>37325.64</v>
      </c>
      <c r="AF16" s="136">
        <f t="shared" si="36"/>
        <v>66602.788419999997</v>
      </c>
      <c r="AG16" s="136">
        <f t="shared" si="37"/>
        <v>38930.642519999994</v>
      </c>
      <c r="AH16" s="136">
        <f t="shared" si="38"/>
        <v>71519.772800000006</v>
      </c>
      <c r="AI16" s="136">
        <f t="shared" si="39"/>
        <v>41804.716800000002</v>
      </c>
      <c r="AJ16" s="137">
        <f t="shared" si="40"/>
        <v>41362.28</v>
      </c>
      <c r="AK16" s="137">
        <f t="shared" si="40"/>
        <v>26667.51</v>
      </c>
      <c r="AL16" s="136">
        <f t="shared" si="41"/>
        <v>43140.858039999999</v>
      </c>
      <c r="AM16" s="136">
        <f t="shared" si="42"/>
        <v>27814.212929999998</v>
      </c>
      <c r="AN16" s="136">
        <f t="shared" si="43"/>
        <v>46325.753600000004</v>
      </c>
      <c r="AO16" s="136">
        <f t="shared" si="44"/>
        <v>29867.611199999999</v>
      </c>
      <c r="AP16" s="92"/>
      <c r="AQ16" s="140">
        <v>13</v>
      </c>
      <c r="AR16" s="141">
        <f ca="1">+RESUMEN!F16</f>
        <v>0</v>
      </c>
      <c r="AS16" s="141">
        <f ca="1">+RESUMEN!G16</f>
        <v>0</v>
      </c>
      <c r="AT16" s="142">
        <f t="shared" ca="1" si="7"/>
        <v>0</v>
      </c>
      <c r="AU16" s="143">
        <f t="shared" si="45"/>
        <v>0</v>
      </c>
      <c r="AV16" s="143">
        <f t="shared" si="46"/>
        <v>0</v>
      </c>
      <c r="AW16" s="143">
        <f t="shared" si="47"/>
        <v>0</v>
      </c>
      <c r="AX16" s="143">
        <f t="shared" si="48"/>
        <v>0</v>
      </c>
      <c r="AY16" s="143">
        <f t="shared" ca="1" si="49"/>
        <v>0</v>
      </c>
      <c r="AZ16" s="142"/>
      <c r="BA16" s="143">
        <f t="shared" ca="1" si="8"/>
        <v>0</v>
      </c>
      <c r="BB16" s="143">
        <f t="shared" ca="1" si="9"/>
        <v>0</v>
      </c>
      <c r="BC16" s="144"/>
      <c r="BD16" s="145">
        <f t="shared" ca="1" si="50"/>
        <v>0</v>
      </c>
      <c r="BE16" s="145">
        <f t="shared" ca="1" si="51"/>
        <v>0</v>
      </c>
      <c r="BF16" s="146" t="str">
        <f t="shared" ca="1" si="10"/>
        <v/>
      </c>
      <c r="BG16" s="92"/>
      <c r="BH16" s="95">
        <f t="shared" ca="1" si="11"/>
        <v>0</v>
      </c>
      <c r="BI16" s="95">
        <f t="shared" ca="1" si="12"/>
        <v>0</v>
      </c>
      <c r="BJ16" s="144"/>
      <c r="BK16" s="147">
        <f t="shared" ca="1" si="52"/>
        <v>0</v>
      </c>
      <c r="BL16" s="147">
        <f t="shared" ca="1" si="53"/>
        <v>0</v>
      </c>
      <c r="BM16" s="148" t="str">
        <f t="shared" ca="1" si="13"/>
        <v/>
      </c>
      <c r="BN16" s="92"/>
      <c r="BO16" s="149">
        <f t="shared" ca="1" si="14"/>
        <v>0</v>
      </c>
      <c r="BP16" s="149">
        <f t="shared" ca="1" si="15"/>
        <v>0</v>
      </c>
      <c r="BQ16" s="144"/>
      <c r="BR16" s="150">
        <f t="shared" ca="1" si="54"/>
        <v>0</v>
      </c>
      <c r="BS16" s="150">
        <f t="shared" ca="1" si="55"/>
        <v>0</v>
      </c>
      <c r="BT16" s="151" t="str">
        <f t="shared" ca="1" si="16"/>
        <v/>
      </c>
      <c r="BU16" s="239"/>
      <c r="BV16" s="152">
        <f t="shared" ca="1" si="17"/>
        <v>0</v>
      </c>
      <c r="BW16" s="152">
        <f t="shared" ca="1" si="18"/>
        <v>0</v>
      </c>
      <c r="BX16" s="144"/>
      <c r="BY16" s="153">
        <f t="shared" ca="1" si="56"/>
        <v>0</v>
      </c>
      <c r="BZ16" s="153">
        <f t="shared" ca="1" si="57"/>
        <v>0</v>
      </c>
      <c r="CA16" s="154" t="str">
        <f t="shared" ca="1" si="19"/>
        <v/>
      </c>
      <c r="CB16" s="92"/>
      <c r="CC16" s="155">
        <f t="shared" ca="1" si="20"/>
        <v>0</v>
      </c>
      <c r="CD16" s="155">
        <f t="shared" ca="1" si="21"/>
        <v>0</v>
      </c>
      <c r="CE16" s="144"/>
      <c r="CF16" s="156">
        <f t="shared" ca="1" si="58"/>
        <v>0</v>
      </c>
      <c r="CG16" s="156">
        <f t="shared" ca="1" si="59"/>
        <v>0</v>
      </c>
      <c r="CH16" s="157" t="str">
        <f t="shared" ca="1" si="22"/>
        <v/>
      </c>
      <c r="CI16" s="92"/>
      <c r="CJ16" s="158">
        <f t="shared" ca="1" si="23"/>
        <v>0</v>
      </c>
      <c r="CK16" s="158">
        <f t="shared" ca="1" si="24"/>
        <v>0</v>
      </c>
      <c r="CL16" s="144"/>
      <c r="CM16" s="159">
        <f t="shared" ca="1" si="60"/>
        <v>0</v>
      </c>
      <c r="CN16" s="159">
        <f t="shared" ca="1" si="61"/>
        <v>0</v>
      </c>
      <c r="CO16" s="160" t="str">
        <f t="shared" ca="1" si="25"/>
        <v/>
      </c>
      <c r="CP16" s="92"/>
      <c r="CQ16" s="140">
        <v>13</v>
      </c>
      <c r="CR16" s="330">
        <v>0.18</v>
      </c>
      <c r="CS16" s="92">
        <f t="shared" si="62"/>
        <v>0</v>
      </c>
      <c r="CT16" s="335">
        <f t="shared" si="63"/>
        <v>0.18</v>
      </c>
      <c r="CU16" s="92">
        <f t="shared" si="64"/>
        <v>1</v>
      </c>
      <c r="CV16" s="348">
        <f t="shared" si="65"/>
        <v>1</v>
      </c>
      <c r="CW16" s="380">
        <f t="shared" si="66"/>
        <v>139.81</v>
      </c>
      <c r="CX16" s="380">
        <f t="shared" si="26"/>
        <v>68.569999999999993</v>
      </c>
      <c r="CY16" s="367">
        <f t="shared" si="27"/>
        <v>276.83</v>
      </c>
      <c r="CZ16" s="380">
        <f t="shared" si="28"/>
        <v>155.79</v>
      </c>
      <c r="DA16"/>
      <c r="DB16" s="391">
        <v>13</v>
      </c>
      <c r="DC16" s="59">
        <v>17187.400000000001</v>
      </c>
      <c r="DD16" s="59">
        <v>20882.759999999998</v>
      </c>
      <c r="DE16" s="59">
        <v>15256.5</v>
      </c>
      <c r="DF16" s="59">
        <v>18536.71</v>
      </c>
      <c r="DG16" s="59">
        <v>13508.36</v>
      </c>
      <c r="DH16" s="59">
        <v>16412.71</v>
      </c>
      <c r="DI16" s="137">
        <v>85781.38</v>
      </c>
      <c r="DJ16" s="137">
        <v>55282.81</v>
      </c>
      <c r="DK16" s="138">
        <v>63856.94</v>
      </c>
      <c r="DL16" s="138">
        <v>37325.64</v>
      </c>
      <c r="DM16" s="137">
        <v>41362.28</v>
      </c>
      <c r="DN16" s="137">
        <v>26667.51</v>
      </c>
      <c r="DP16" s="384" t="s">
        <v>141</v>
      </c>
      <c r="DQ16" s="386">
        <v>455.2</v>
      </c>
      <c r="DR16" s="386">
        <v>486.68</v>
      </c>
    </row>
    <row r="17" spans="1:122">
      <c r="A17" s="162" t="s">
        <v>47</v>
      </c>
      <c r="B17" s="309">
        <f>+VLOOKUP(B5,DATOS!S4:Y51,IF(F18="no",5,6),0)/100</f>
        <v>1</v>
      </c>
      <c r="C17"/>
      <c r="D17"/>
      <c r="G17"/>
      <c r="H17"/>
      <c r="I17"/>
      <c r="J17" s="164">
        <v>14</v>
      </c>
      <c r="K17" s="59">
        <f t="shared" si="29"/>
        <v>16822.259999999998</v>
      </c>
      <c r="L17" s="59">
        <f t="shared" si="0"/>
        <v>21358.76</v>
      </c>
      <c r="M17" s="59">
        <f t="shared" si="0"/>
        <v>14932.38</v>
      </c>
      <c r="N17" s="59">
        <f t="shared" si="0"/>
        <v>18959.240000000002</v>
      </c>
      <c r="O17" s="59">
        <f t="shared" si="0"/>
        <v>13221.38</v>
      </c>
      <c r="P17" s="59">
        <f t="shared" si="0"/>
        <v>16786.82</v>
      </c>
      <c r="Q17" s="136">
        <f t="shared" si="1"/>
        <v>85781.38</v>
      </c>
      <c r="R17" s="136">
        <f t="shared" si="2"/>
        <v>56935.9</v>
      </c>
      <c r="S17" s="136">
        <f t="shared" si="3"/>
        <v>63856.94</v>
      </c>
      <c r="T17" s="136">
        <f t="shared" si="4"/>
        <v>37506.67</v>
      </c>
      <c r="U17" s="136">
        <f t="shared" si="5"/>
        <v>41362.28</v>
      </c>
      <c r="V17" s="136">
        <f t="shared" si="6"/>
        <v>26667.51</v>
      </c>
      <c r="W17" s="92"/>
      <c r="X17" s="137">
        <f t="shared" si="30"/>
        <v>85781.38</v>
      </c>
      <c r="Y17" s="137">
        <f t="shared" si="30"/>
        <v>56935.9</v>
      </c>
      <c r="Z17" s="136">
        <f t="shared" si="31"/>
        <v>89469.979340000005</v>
      </c>
      <c r="AA17" s="136">
        <f t="shared" si="32"/>
        <v>59384.143700000001</v>
      </c>
      <c r="AB17" s="136">
        <f t="shared" si="33"/>
        <v>96075.145600000018</v>
      </c>
      <c r="AC17" s="136">
        <f t="shared" si="34"/>
        <v>63768.208000000006</v>
      </c>
      <c r="AD17" s="138">
        <f t="shared" si="35"/>
        <v>63856.94</v>
      </c>
      <c r="AE17" s="138">
        <f t="shared" si="35"/>
        <v>37506.67</v>
      </c>
      <c r="AF17" s="136">
        <f t="shared" si="36"/>
        <v>66602.788419999997</v>
      </c>
      <c r="AG17" s="136">
        <f t="shared" si="37"/>
        <v>39119.456809999996</v>
      </c>
      <c r="AH17" s="136">
        <f t="shared" si="38"/>
        <v>71519.772800000006</v>
      </c>
      <c r="AI17" s="136">
        <f t="shared" si="39"/>
        <v>42007.470400000006</v>
      </c>
      <c r="AJ17" s="137">
        <f t="shared" si="40"/>
        <v>41362.28</v>
      </c>
      <c r="AK17" s="137">
        <f t="shared" si="40"/>
        <v>26667.51</v>
      </c>
      <c r="AL17" s="136">
        <f t="shared" si="41"/>
        <v>43140.858039999999</v>
      </c>
      <c r="AM17" s="136">
        <f t="shared" si="42"/>
        <v>27814.212929999998</v>
      </c>
      <c r="AN17" s="136">
        <f t="shared" si="43"/>
        <v>46325.753600000004</v>
      </c>
      <c r="AO17" s="136">
        <f t="shared" si="44"/>
        <v>29867.611199999999</v>
      </c>
      <c r="AP17" s="92"/>
      <c r="AQ17" s="140">
        <v>14</v>
      </c>
      <c r="AR17" s="141">
        <f ca="1">+RESUMEN!F17</f>
        <v>0</v>
      </c>
      <c r="AS17" s="141">
        <f ca="1">+RESUMEN!G17</f>
        <v>0</v>
      </c>
      <c r="AT17" s="142">
        <f t="shared" ca="1" si="7"/>
        <v>0</v>
      </c>
      <c r="AU17" s="143">
        <f t="shared" si="45"/>
        <v>0</v>
      </c>
      <c r="AV17" s="143">
        <f t="shared" si="46"/>
        <v>0</v>
      </c>
      <c r="AW17" s="143">
        <f t="shared" si="47"/>
        <v>0</v>
      </c>
      <c r="AX17" s="143">
        <f t="shared" si="48"/>
        <v>0</v>
      </c>
      <c r="AY17" s="143">
        <f t="shared" ca="1" si="49"/>
        <v>0</v>
      </c>
      <c r="AZ17" s="142"/>
      <c r="BA17" s="143">
        <f t="shared" ca="1" si="8"/>
        <v>0</v>
      </c>
      <c r="BB17" s="143">
        <f t="shared" ca="1" si="9"/>
        <v>0</v>
      </c>
      <c r="BC17" s="144"/>
      <c r="BD17" s="145">
        <f t="shared" ca="1" si="50"/>
        <v>0</v>
      </c>
      <c r="BE17" s="145">
        <f t="shared" ca="1" si="51"/>
        <v>0</v>
      </c>
      <c r="BF17" s="146" t="str">
        <f t="shared" ca="1" si="10"/>
        <v/>
      </c>
      <c r="BG17" s="92"/>
      <c r="BH17" s="95">
        <f t="shared" ca="1" si="11"/>
        <v>0</v>
      </c>
      <c r="BI17" s="95">
        <f t="shared" ca="1" si="12"/>
        <v>0</v>
      </c>
      <c r="BJ17" s="144"/>
      <c r="BK17" s="147">
        <f t="shared" ca="1" si="52"/>
        <v>0</v>
      </c>
      <c r="BL17" s="147">
        <f t="shared" ca="1" si="53"/>
        <v>0</v>
      </c>
      <c r="BM17" s="148" t="str">
        <f t="shared" ca="1" si="13"/>
        <v/>
      </c>
      <c r="BN17" s="92"/>
      <c r="BO17" s="149">
        <f t="shared" ca="1" si="14"/>
        <v>0</v>
      </c>
      <c r="BP17" s="149">
        <f t="shared" ca="1" si="15"/>
        <v>0</v>
      </c>
      <c r="BQ17" s="144"/>
      <c r="BR17" s="150">
        <f t="shared" ca="1" si="54"/>
        <v>0</v>
      </c>
      <c r="BS17" s="150">
        <f t="shared" ca="1" si="55"/>
        <v>0</v>
      </c>
      <c r="BT17" s="151" t="str">
        <f t="shared" ca="1" si="16"/>
        <v/>
      </c>
      <c r="BU17" s="209"/>
      <c r="BV17" s="152">
        <f t="shared" ca="1" si="17"/>
        <v>0</v>
      </c>
      <c r="BW17" s="152">
        <f t="shared" ca="1" si="18"/>
        <v>0</v>
      </c>
      <c r="BX17" s="144"/>
      <c r="BY17" s="153">
        <f t="shared" ca="1" si="56"/>
        <v>0</v>
      </c>
      <c r="BZ17" s="153">
        <f t="shared" ca="1" si="57"/>
        <v>0</v>
      </c>
      <c r="CA17" s="154" t="str">
        <f t="shared" ca="1" si="19"/>
        <v/>
      </c>
      <c r="CB17" s="92"/>
      <c r="CC17" s="155">
        <f t="shared" ca="1" si="20"/>
        <v>0</v>
      </c>
      <c r="CD17" s="155">
        <f t="shared" ca="1" si="21"/>
        <v>0</v>
      </c>
      <c r="CE17" s="144"/>
      <c r="CF17" s="156">
        <f t="shared" ca="1" si="58"/>
        <v>0</v>
      </c>
      <c r="CG17" s="156">
        <f t="shared" ca="1" si="59"/>
        <v>0</v>
      </c>
      <c r="CH17" s="157" t="str">
        <f t="shared" ca="1" si="22"/>
        <v/>
      </c>
      <c r="CI17" s="92"/>
      <c r="CJ17" s="158">
        <f t="shared" ca="1" si="23"/>
        <v>0</v>
      </c>
      <c r="CK17" s="158">
        <f t="shared" ca="1" si="24"/>
        <v>0</v>
      </c>
      <c r="CL17" s="144"/>
      <c r="CM17" s="159">
        <f t="shared" ca="1" si="60"/>
        <v>0</v>
      </c>
      <c r="CN17" s="159">
        <f t="shared" ca="1" si="61"/>
        <v>0</v>
      </c>
      <c r="CO17" s="160" t="str">
        <f t="shared" ca="1" si="25"/>
        <v/>
      </c>
      <c r="CP17" s="92"/>
      <c r="CQ17" s="140">
        <v>14</v>
      </c>
      <c r="CR17" s="330">
        <v>0.18</v>
      </c>
      <c r="CS17" s="92">
        <f t="shared" si="62"/>
        <v>0</v>
      </c>
      <c r="CT17" s="335">
        <f t="shared" si="63"/>
        <v>0.18</v>
      </c>
      <c r="CU17" s="92">
        <f t="shared" si="64"/>
        <v>1</v>
      </c>
      <c r="CV17" s="348">
        <f t="shared" si="65"/>
        <v>1</v>
      </c>
      <c r="CW17" s="380">
        <f t="shared" si="66"/>
        <v>139.81</v>
      </c>
      <c r="CX17" s="380">
        <f t="shared" si="26"/>
        <v>68.569999999999993</v>
      </c>
      <c r="CY17" s="367">
        <f t="shared" si="27"/>
        <v>276.83</v>
      </c>
      <c r="CZ17" s="380">
        <f t="shared" si="28"/>
        <v>155.79</v>
      </c>
      <c r="DA17"/>
      <c r="DB17" s="391">
        <v>14</v>
      </c>
      <c r="DC17" s="59">
        <v>16822.259999999998</v>
      </c>
      <c r="DD17" s="59">
        <v>21358.76</v>
      </c>
      <c r="DE17" s="59">
        <v>14932.38</v>
      </c>
      <c r="DF17" s="59">
        <v>18959.240000000002</v>
      </c>
      <c r="DG17" s="59">
        <v>13221.38</v>
      </c>
      <c r="DH17" s="59">
        <v>16786.82</v>
      </c>
      <c r="DI17" s="137">
        <v>85781.38</v>
      </c>
      <c r="DJ17" s="137">
        <v>56935.9</v>
      </c>
      <c r="DK17" s="138">
        <v>63856.94</v>
      </c>
      <c r="DL17" s="138">
        <v>37506.67</v>
      </c>
      <c r="DM17" s="137">
        <v>41362.28</v>
      </c>
      <c r="DN17" s="137">
        <v>26667.51</v>
      </c>
      <c r="DP17" s="384" t="s">
        <v>142</v>
      </c>
      <c r="DQ17" s="389">
        <v>444.4</v>
      </c>
      <c r="DR17" s="389">
        <v>502.15</v>
      </c>
    </row>
    <row r="18" spans="1:122">
      <c r="A18" s="162" t="s">
        <v>268</v>
      </c>
      <c r="B18" s="310">
        <f>+VLOOKUP(B10,DATOS!AU4:AY7,(IF(F18="si",5,4)),0)</f>
        <v>1</v>
      </c>
      <c r="C18" s="324"/>
      <c r="E18" s="306" t="s">
        <v>379</v>
      </c>
      <c r="F18" s="302" t="str">
        <f>+IF(B4&gt;=4,"SI","NO")</f>
        <v>NO</v>
      </c>
      <c r="G18"/>
      <c r="H18" s="163"/>
      <c r="I18" s="92"/>
      <c r="J18" s="164">
        <v>15</v>
      </c>
      <c r="K18" s="59">
        <f t="shared" si="29"/>
        <v>18182.259999999998</v>
      </c>
      <c r="L18" s="59">
        <f t="shared" si="0"/>
        <v>21499.34</v>
      </c>
      <c r="M18" s="59">
        <f t="shared" si="0"/>
        <v>16139.59</v>
      </c>
      <c r="N18" s="59">
        <f t="shared" si="0"/>
        <v>19084.02</v>
      </c>
      <c r="O18" s="59">
        <f t="shared" si="0"/>
        <v>14290.26</v>
      </c>
      <c r="P18" s="59">
        <f t="shared" si="0"/>
        <v>16897.310000000001</v>
      </c>
      <c r="Q18" s="136">
        <f t="shared" si="1"/>
        <v>85781.38</v>
      </c>
      <c r="R18" s="136">
        <f t="shared" si="2"/>
        <v>58315.23</v>
      </c>
      <c r="S18" s="136">
        <f t="shared" si="3"/>
        <v>63856.94</v>
      </c>
      <c r="T18" s="136">
        <f t="shared" si="4"/>
        <v>37521.480000000003</v>
      </c>
      <c r="U18" s="136">
        <f t="shared" si="5"/>
        <v>41362.28</v>
      </c>
      <c r="V18" s="136">
        <f t="shared" si="6"/>
        <v>27438.25</v>
      </c>
      <c r="W18" s="92"/>
      <c r="X18" s="137">
        <f t="shared" si="30"/>
        <v>85781.38</v>
      </c>
      <c r="Y18" s="137">
        <f t="shared" si="30"/>
        <v>58315.23</v>
      </c>
      <c r="Z18" s="136">
        <f t="shared" si="31"/>
        <v>89469.979340000005</v>
      </c>
      <c r="AA18" s="136">
        <f t="shared" si="32"/>
        <v>60822.784890000003</v>
      </c>
      <c r="AB18" s="136">
        <f t="shared" si="33"/>
        <v>96075.145600000018</v>
      </c>
      <c r="AC18" s="136">
        <f t="shared" si="34"/>
        <v>65313.057600000007</v>
      </c>
      <c r="AD18" s="138">
        <f t="shared" si="35"/>
        <v>63856.94</v>
      </c>
      <c r="AE18" s="138">
        <f t="shared" si="35"/>
        <v>37521.480000000003</v>
      </c>
      <c r="AF18" s="136">
        <f t="shared" si="36"/>
        <v>66602.788419999997</v>
      </c>
      <c r="AG18" s="136">
        <f t="shared" si="37"/>
        <v>39134.903640000004</v>
      </c>
      <c r="AH18" s="136">
        <f t="shared" si="38"/>
        <v>71519.772800000006</v>
      </c>
      <c r="AI18" s="136">
        <f t="shared" si="39"/>
        <v>42024.057600000007</v>
      </c>
      <c r="AJ18" s="137">
        <f t="shared" si="40"/>
        <v>41362.28</v>
      </c>
      <c r="AK18" s="137">
        <f t="shared" si="40"/>
        <v>27438.25</v>
      </c>
      <c r="AL18" s="136">
        <f t="shared" si="41"/>
        <v>43140.858039999999</v>
      </c>
      <c r="AM18" s="136">
        <f t="shared" si="42"/>
        <v>28618.094749999997</v>
      </c>
      <c r="AN18" s="136">
        <f t="shared" si="43"/>
        <v>46325.753600000004</v>
      </c>
      <c r="AO18" s="136">
        <f t="shared" si="44"/>
        <v>30730.840000000004</v>
      </c>
      <c r="AP18" s="92"/>
      <c r="AQ18" s="140">
        <v>15</v>
      </c>
      <c r="AR18" s="141">
        <f ca="1">+RESUMEN!F18</f>
        <v>0</v>
      </c>
      <c r="AS18" s="141">
        <f ca="1">+RESUMEN!G18</f>
        <v>0</v>
      </c>
      <c r="AT18" s="142">
        <f t="shared" ca="1" si="7"/>
        <v>0</v>
      </c>
      <c r="AU18" s="143">
        <f t="shared" si="45"/>
        <v>0</v>
      </c>
      <c r="AV18" s="143">
        <f t="shared" si="46"/>
        <v>0</v>
      </c>
      <c r="AW18" s="143">
        <f t="shared" si="47"/>
        <v>0</v>
      </c>
      <c r="AX18" s="143">
        <f t="shared" si="48"/>
        <v>0</v>
      </c>
      <c r="AY18" s="143">
        <f t="shared" ca="1" si="49"/>
        <v>0</v>
      </c>
      <c r="AZ18" s="142"/>
      <c r="BA18" s="143">
        <f t="shared" ca="1" si="8"/>
        <v>0</v>
      </c>
      <c r="BB18" s="143">
        <f t="shared" ca="1" si="9"/>
        <v>0</v>
      </c>
      <c r="BC18" s="144"/>
      <c r="BD18" s="145">
        <f t="shared" ca="1" si="50"/>
        <v>0</v>
      </c>
      <c r="BE18" s="145">
        <f t="shared" ca="1" si="51"/>
        <v>0</v>
      </c>
      <c r="BF18" s="146" t="str">
        <f t="shared" ca="1" si="10"/>
        <v/>
      </c>
      <c r="BG18" s="92"/>
      <c r="BH18" s="95">
        <f t="shared" ca="1" si="11"/>
        <v>0</v>
      </c>
      <c r="BI18" s="95">
        <f t="shared" ca="1" si="12"/>
        <v>0</v>
      </c>
      <c r="BJ18" s="144"/>
      <c r="BK18" s="147">
        <f t="shared" ca="1" si="52"/>
        <v>0</v>
      </c>
      <c r="BL18" s="147">
        <f t="shared" ca="1" si="53"/>
        <v>0</v>
      </c>
      <c r="BM18" s="148" t="str">
        <f t="shared" ca="1" si="13"/>
        <v/>
      </c>
      <c r="BN18" s="92"/>
      <c r="BO18" s="149">
        <f t="shared" ca="1" si="14"/>
        <v>0</v>
      </c>
      <c r="BP18" s="149">
        <f t="shared" ca="1" si="15"/>
        <v>0</v>
      </c>
      <c r="BQ18" s="144"/>
      <c r="BR18" s="150">
        <f t="shared" ca="1" si="54"/>
        <v>0</v>
      </c>
      <c r="BS18" s="150">
        <f t="shared" ca="1" si="55"/>
        <v>0</v>
      </c>
      <c r="BT18" s="151" t="str">
        <f t="shared" ca="1" si="16"/>
        <v/>
      </c>
      <c r="BU18" s="92"/>
      <c r="BV18" s="152">
        <f t="shared" ca="1" si="17"/>
        <v>0</v>
      </c>
      <c r="BW18" s="152">
        <f t="shared" ca="1" si="18"/>
        <v>0</v>
      </c>
      <c r="BX18" s="144"/>
      <c r="BY18" s="153">
        <f t="shared" ca="1" si="56"/>
        <v>0</v>
      </c>
      <c r="BZ18" s="153">
        <f t="shared" ca="1" si="57"/>
        <v>0</v>
      </c>
      <c r="CA18" s="154" t="str">
        <f t="shared" ca="1" si="19"/>
        <v/>
      </c>
      <c r="CB18" s="92"/>
      <c r="CC18" s="155">
        <f t="shared" ca="1" si="20"/>
        <v>0</v>
      </c>
      <c r="CD18" s="155">
        <f t="shared" ca="1" si="21"/>
        <v>0</v>
      </c>
      <c r="CE18" s="144"/>
      <c r="CF18" s="156">
        <f t="shared" ca="1" si="58"/>
        <v>0</v>
      </c>
      <c r="CG18" s="156">
        <f t="shared" ca="1" si="59"/>
        <v>0</v>
      </c>
      <c r="CH18" s="157" t="str">
        <f t="shared" ca="1" si="22"/>
        <v/>
      </c>
      <c r="CI18" s="92"/>
      <c r="CJ18" s="158">
        <f t="shared" ca="1" si="23"/>
        <v>0</v>
      </c>
      <c r="CK18" s="158">
        <f t="shared" ca="1" si="24"/>
        <v>0</v>
      </c>
      <c r="CL18" s="144"/>
      <c r="CM18" s="159">
        <f t="shared" ca="1" si="60"/>
        <v>0</v>
      </c>
      <c r="CN18" s="159">
        <f t="shared" ca="1" si="61"/>
        <v>0</v>
      </c>
      <c r="CO18" s="160" t="str">
        <f t="shared" ca="1" si="25"/>
        <v/>
      </c>
      <c r="CP18" s="92"/>
      <c r="CQ18" s="140">
        <v>15</v>
      </c>
      <c r="CR18" s="330">
        <v>0.18</v>
      </c>
      <c r="CS18" s="92">
        <f t="shared" si="62"/>
        <v>0</v>
      </c>
      <c r="CT18" s="335">
        <f t="shared" si="63"/>
        <v>0.18</v>
      </c>
      <c r="CU18" s="92">
        <f t="shared" si="64"/>
        <v>1</v>
      </c>
      <c r="CV18" s="348">
        <f t="shared" si="65"/>
        <v>1</v>
      </c>
      <c r="CW18" s="380">
        <f t="shared" si="66"/>
        <v>139.81</v>
      </c>
      <c r="CX18" s="380">
        <f t="shared" si="26"/>
        <v>68.569999999999993</v>
      </c>
      <c r="CY18" s="367">
        <f t="shared" si="27"/>
        <v>276.83</v>
      </c>
      <c r="CZ18" s="380">
        <f t="shared" si="28"/>
        <v>155.79</v>
      </c>
      <c r="DA18"/>
      <c r="DB18" s="391">
        <v>15</v>
      </c>
      <c r="DC18" s="59">
        <v>18182.259999999998</v>
      </c>
      <c r="DD18" s="59">
        <v>21499.34</v>
      </c>
      <c r="DE18" s="59">
        <v>16139.59</v>
      </c>
      <c r="DF18" s="59">
        <v>19084.02</v>
      </c>
      <c r="DG18" s="59">
        <v>14290.26</v>
      </c>
      <c r="DH18" s="59">
        <v>16897.310000000001</v>
      </c>
      <c r="DI18" s="137">
        <v>85781.38</v>
      </c>
      <c r="DJ18" s="137">
        <v>58315.23</v>
      </c>
      <c r="DK18" s="138">
        <v>63856.94</v>
      </c>
      <c r="DL18" s="138">
        <v>37521.480000000003</v>
      </c>
      <c r="DM18" s="137">
        <v>41362.28</v>
      </c>
      <c r="DN18" s="137">
        <v>27438.25</v>
      </c>
      <c r="DP18" s="384" t="s">
        <v>143</v>
      </c>
      <c r="DQ18" s="387">
        <v>447.33</v>
      </c>
      <c r="DR18" s="387">
        <v>500.41</v>
      </c>
    </row>
    <row r="19" spans="1:122">
      <c r="A19" s="162" t="s">
        <v>85</v>
      </c>
      <c r="B19" s="310">
        <f>+VLOOKUP(B6,suma,4,0)</f>
        <v>1.2575000000000001</v>
      </c>
      <c r="C19"/>
      <c r="D19"/>
      <c r="E19"/>
      <c r="F19"/>
      <c r="G19"/>
      <c r="H19" s="163"/>
      <c r="I19" s="92"/>
      <c r="J19" s="164">
        <v>16</v>
      </c>
      <c r="K19" s="59">
        <f t="shared" si="29"/>
        <v>18364.080000000002</v>
      </c>
      <c r="L19" s="59">
        <f t="shared" si="29"/>
        <v>21502.3</v>
      </c>
      <c r="M19" s="59">
        <f t="shared" si="29"/>
        <v>16300.99</v>
      </c>
      <c r="N19" s="59">
        <f t="shared" si="29"/>
        <v>19086.650000000001</v>
      </c>
      <c r="O19" s="59">
        <f t="shared" si="29"/>
        <v>14433.17</v>
      </c>
      <c r="P19" s="59">
        <f t="shared" si="29"/>
        <v>16899.63</v>
      </c>
      <c r="Q19" s="136">
        <f t="shared" si="1"/>
        <v>85781.38</v>
      </c>
      <c r="R19" s="136">
        <f t="shared" si="2"/>
        <v>59703.27</v>
      </c>
      <c r="S19" s="136">
        <f t="shared" si="3"/>
        <v>63856.94</v>
      </c>
      <c r="T19" s="136">
        <f t="shared" si="4"/>
        <v>37536.300000000003</v>
      </c>
      <c r="U19" s="136">
        <f t="shared" si="5"/>
        <v>41362.28</v>
      </c>
      <c r="V19" s="136">
        <f t="shared" si="6"/>
        <v>28290.959999999999</v>
      </c>
      <c r="W19" s="92"/>
      <c r="X19" s="137">
        <f t="shared" si="30"/>
        <v>85781.38</v>
      </c>
      <c r="Y19" s="137">
        <f t="shared" si="30"/>
        <v>59703.27</v>
      </c>
      <c r="Z19" s="136">
        <f t="shared" si="31"/>
        <v>89469.979340000005</v>
      </c>
      <c r="AA19" s="136">
        <f t="shared" si="32"/>
        <v>62270.51060999999</v>
      </c>
      <c r="AB19" s="136">
        <f t="shared" si="33"/>
        <v>96075.145600000018</v>
      </c>
      <c r="AC19" s="136">
        <f t="shared" si="34"/>
        <v>66867.662400000001</v>
      </c>
      <c r="AD19" s="138">
        <f t="shared" si="35"/>
        <v>63856.94</v>
      </c>
      <c r="AE19" s="138">
        <f t="shared" si="35"/>
        <v>37536.300000000003</v>
      </c>
      <c r="AF19" s="136">
        <f t="shared" si="36"/>
        <v>66602.788419999997</v>
      </c>
      <c r="AG19" s="136">
        <f t="shared" si="37"/>
        <v>39150.3609</v>
      </c>
      <c r="AH19" s="136">
        <f t="shared" si="38"/>
        <v>71519.772800000006</v>
      </c>
      <c r="AI19" s="136">
        <f t="shared" si="39"/>
        <v>42040.65600000001</v>
      </c>
      <c r="AJ19" s="137">
        <f t="shared" si="40"/>
        <v>41362.28</v>
      </c>
      <c r="AK19" s="137">
        <f t="shared" si="40"/>
        <v>28290.959999999999</v>
      </c>
      <c r="AL19" s="136">
        <f t="shared" si="41"/>
        <v>43140.858039999999</v>
      </c>
      <c r="AM19" s="136">
        <f t="shared" si="42"/>
        <v>29507.471279999998</v>
      </c>
      <c r="AN19" s="136">
        <f t="shared" si="43"/>
        <v>46325.753600000004</v>
      </c>
      <c r="AO19" s="136">
        <f t="shared" si="44"/>
        <v>31685.875200000002</v>
      </c>
      <c r="AP19" s="92"/>
      <c r="AQ19" s="140">
        <v>16</v>
      </c>
      <c r="AR19" s="141">
        <f ca="1">+RESUMEN!F19</f>
        <v>0</v>
      </c>
      <c r="AS19" s="141">
        <f ca="1">+RESUMEN!G19</f>
        <v>0</v>
      </c>
      <c r="AT19" s="142">
        <f t="shared" ca="1" si="7"/>
        <v>0</v>
      </c>
      <c r="AU19" s="143">
        <f t="shared" si="45"/>
        <v>0</v>
      </c>
      <c r="AV19" s="143">
        <f t="shared" si="46"/>
        <v>0</v>
      </c>
      <c r="AW19" s="143">
        <f t="shared" si="47"/>
        <v>0</v>
      </c>
      <c r="AX19" s="143">
        <f t="shared" si="48"/>
        <v>0</v>
      </c>
      <c r="AY19" s="143">
        <f t="shared" ca="1" si="49"/>
        <v>0</v>
      </c>
      <c r="AZ19" s="142"/>
      <c r="BA19" s="143">
        <f t="shared" ca="1" si="8"/>
        <v>0</v>
      </c>
      <c r="BB19" s="143">
        <f t="shared" ca="1" si="9"/>
        <v>0</v>
      </c>
      <c r="BC19" s="144"/>
      <c r="BD19" s="145">
        <f t="shared" ca="1" si="50"/>
        <v>0</v>
      </c>
      <c r="BE19" s="145">
        <f t="shared" ca="1" si="51"/>
        <v>0</v>
      </c>
      <c r="BF19" s="146" t="str">
        <f t="shared" ca="1" si="10"/>
        <v/>
      </c>
      <c r="BG19" s="92"/>
      <c r="BH19" s="95">
        <f t="shared" ca="1" si="11"/>
        <v>0</v>
      </c>
      <c r="BI19" s="95">
        <f t="shared" ca="1" si="12"/>
        <v>0</v>
      </c>
      <c r="BJ19" s="144"/>
      <c r="BK19" s="147">
        <f t="shared" ca="1" si="52"/>
        <v>0</v>
      </c>
      <c r="BL19" s="147">
        <f t="shared" ca="1" si="53"/>
        <v>0</v>
      </c>
      <c r="BM19" s="148" t="str">
        <f t="shared" ca="1" si="13"/>
        <v/>
      </c>
      <c r="BN19" s="92"/>
      <c r="BO19" s="149">
        <f t="shared" ca="1" si="14"/>
        <v>0</v>
      </c>
      <c r="BP19" s="149">
        <f t="shared" ca="1" si="15"/>
        <v>0</v>
      </c>
      <c r="BQ19" s="144"/>
      <c r="BR19" s="150">
        <f t="shared" ca="1" si="54"/>
        <v>0</v>
      </c>
      <c r="BS19" s="150">
        <f t="shared" ca="1" si="55"/>
        <v>0</v>
      </c>
      <c r="BT19" s="151" t="str">
        <f t="shared" ca="1" si="16"/>
        <v/>
      </c>
      <c r="BU19" s="92"/>
      <c r="BV19" s="152">
        <f t="shared" ca="1" si="17"/>
        <v>0</v>
      </c>
      <c r="BW19" s="152">
        <f t="shared" ca="1" si="18"/>
        <v>0</v>
      </c>
      <c r="BX19" s="144"/>
      <c r="BY19" s="153">
        <f t="shared" ca="1" si="56"/>
        <v>0</v>
      </c>
      <c r="BZ19" s="153">
        <f t="shared" ca="1" si="57"/>
        <v>0</v>
      </c>
      <c r="CA19" s="154" t="str">
        <f t="shared" ca="1" si="19"/>
        <v/>
      </c>
      <c r="CB19" s="92"/>
      <c r="CC19" s="155">
        <f t="shared" ca="1" si="20"/>
        <v>0</v>
      </c>
      <c r="CD19" s="155">
        <f t="shared" ca="1" si="21"/>
        <v>0</v>
      </c>
      <c r="CE19" s="144"/>
      <c r="CF19" s="156">
        <f t="shared" ca="1" si="58"/>
        <v>0</v>
      </c>
      <c r="CG19" s="156">
        <f t="shared" ca="1" si="59"/>
        <v>0</v>
      </c>
      <c r="CH19" s="157" t="str">
        <f t="shared" ca="1" si="22"/>
        <v/>
      </c>
      <c r="CI19" s="92"/>
      <c r="CJ19" s="158">
        <f t="shared" ca="1" si="23"/>
        <v>0</v>
      </c>
      <c r="CK19" s="158">
        <f t="shared" ca="1" si="24"/>
        <v>0</v>
      </c>
      <c r="CL19" s="144"/>
      <c r="CM19" s="159">
        <f t="shared" ca="1" si="60"/>
        <v>0</v>
      </c>
      <c r="CN19" s="159">
        <f t="shared" ca="1" si="61"/>
        <v>0</v>
      </c>
      <c r="CO19" s="160" t="str">
        <f t="shared" ca="1" si="25"/>
        <v/>
      </c>
      <c r="CP19" s="92"/>
      <c r="CQ19" s="140">
        <v>16</v>
      </c>
      <c r="CR19" s="330">
        <v>0.18</v>
      </c>
      <c r="CS19" s="92">
        <f t="shared" si="62"/>
        <v>0</v>
      </c>
      <c r="CT19" s="335">
        <f t="shared" si="63"/>
        <v>0.18</v>
      </c>
      <c r="CU19" s="92">
        <f t="shared" si="64"/>
        <v>1</v>
      </c>
      <c r="CV19" s="348">
        <f t="shared" si="65"/>
        <v>1</v>
      </c>
      <c r="CW19" s="380">
        <f t="shared" si="66"/>
        <v>139.81</v>
      </c>
      <c r="CX19" s="380">
        <f t="shared" si="26"/>
        <v>68.569999999999993</v>
      </c>
      <c r="CY19" s="367">
        <f t="shared" si="27"/>
        <v>276.83</v>
      </c>
      <c r="CZ19" s="380">
        <f t="shared" si="28"/>
        <v>155.79</v>
      </c>
      <c r="DA19"/>
      <c r="DB19" s="391">
        <v>16</v>
      </c>
      <c r="DC19" s="59">
        <v>18364.080000000002</v>
      </c>
      <c r="DD19" s="59">
        <v>21502.3</v>
      </c>
      <c r="DE19" s="59">
        <v>16300.99</v>
      </c>
      <c r="DF19" s="59">
        <v>19086.650000000001</v>
      </c>
      <c r="DG19" s="59">
        <v>14433.17</v>
      </c>
      <c r="DH19" s="59">
        <v>16899.63</v>
      </c>
      <c r="DI19" s="137">
        <v>85781.38</v>
      </c>
      <c r="DJ19" s="137">
        <v>59703.27</v>
      </c>
      <c r="DK19" s="138">
        <v>63856.94</v>
      </c>
      <c r="DL19" s="138">
        <v>37536.300000000003</v>
      </c>
      <c r="DM19" s="137">
        <v>41362.28</v>
      </c>
      <c r="DN19" s="137">
        <v>28290.959999999999</v>
      </c>
      <c r="DP19" s="384" t="s">
        <v>144</v>
      </c>
      <c r="DQ19" s="387">
        <v>450.26</v>
      </c>
      <c r="DR19" s="387">
        <v>498.66</v>
      </c>
    </row>
    <row r="20" spans="1:122">
      <c r="A20" s="162" t="s">
        <v>86</v>
      </c>
      <c r="B20" s="310">
        <f>+IF(p&lt;4,IF(OR(C7&lt;1,C7&gt;50),0,(VLOOKUP(C7,DATOS!$N$4:$P$62,2,0))),IF(OR(C7&lt;500,C7&gt;5000),0,(VLOOKUP(C7,DATOS!$N$4:$P$72,2,0))))</f>
        <v>0.91269999999999996</v>
      </c>
      <c r="C20"/>
      <c r="D20"/>
      <c r="E20" s="306" t="s">
        <v>400</v>
      </c>
      <c r="F20" s="302">
        <v>1</v>
      </c>
      <c r="G20" s="302" t="s">
        <v>473</v>
      </c>
      <c r="H20" s="163"/>
      <c r="I20" s="92"/>
      <c r="J20" s="164">
        <v>17</v>
      </c>
      <c r="K20" s="59">
        <f t="shared" si="29"/>
        <v>18731.36</v>
      </c>
      <c r="L20" s="59">
        <f t="shared" si="29"/>
        <v>21773.94</v>
      </c>
      <c r="M20" s="59">
        <f t="shared" si="29"/>
        <v>16627.009999999998</v>
      </c>
      <c r="N20" s="59">
        <f t="shared" si="29"/>
        <v>19327.77</v>
      </c>
      <c r="O20" s="59">
        <f t="shared" si="29"/>
        <v>14721.83</v>
      </c>
      <c r="P20" s="59">
        <f t="shared" si="29"/>
        <v>17113.13</v>
      </c>
      <c r="Q20" s="136">
        <f t="shared" si="1"/>
        <v>85781.38</v>
      </c>
      <c r="R20" s="136">
        <f t="shared" si="2"/>
        <v>61365.09</v>
      </c>
      <c r="S20" s="136">
        <f t="shared" si="3"/>
        <v>63856.94</v>
      </c>
      <c r="T20" s="136">
        <f t="shared" si="4"/>
        <v>39254.050000000003</v>
      </c>
      <c r="U20" s="136">
        <f t="shared" si="5"/>
        <v>41362.28</v>
      </c>
      <c r="V20" s="136">
        <f t="shared" si="6"/>
        <v>29164.59</v>
      </c>
      <c r="W20" s="92"/>
      <c r="X20" s="137">
        <f t="shared" si="30"/>
        <v>85781.38</v>
      </c>
      <c r="Y20" s="137">
        <f t="shared" si="30"/>
        <v>61365.09</v>
      </c>
      <c r="Z20" s="136">
        <f t="shared" si="31"/>
        <v>89469.979340000005</v>
      </c>
      <c r="AA20" s="136">
        <f t="shared" si="32"/>
        <v>64003.788869999989</v>
      </c>
      <c r="AB20" s="136">
        <f t="shared" si="33"/>
        <v>96075.145600000018</v>
      </c>
      <c r="AC20" s="136">
        <f t="shared" si="34"/>
        <v>68728.900800000003</v>
      </c>
      <c r="AD20" s="138">
        <f t="shared" si="35"/>
        <v>63856.94</v>
      </c>
      <c r="AE20" s="138">
        <f t="shared" si="35"/>
        <v>39254.050000000003</v>
      </c>
      <c r="AF20" s="136">
        <f t="shared" si="36"/>
        <v>66602.788419999997</v>
      </c>
      <c r="AG20" s="136">
        <f t="shared" si="37"/>
        <v>40941.974150000002</v>
      </c>
      <c r="AH20" s="136">
        <f t="shared" si="38"/>
        <v>71519.772800000006</v>
      </c>
      <c r="AI20" s="136">
        <f t="shared" si="39"/>
        <v>43964.536000000007</v>
      </c>
      <c r="AJ20" s="137">
        <f t="shared" si="40"/>
        <v>41362.28</v>
      </c>
      <c r="AK20" s="137">
        <f t="shared" si="40"/>
        <v>29164.59</v>
      </c>
      <c r="AL20" s="136">
        <f t="shared" si="41"/>
        <v>43140.858039999999</v>
      </c>
      <c r="AM20" s="136">
        <f t="shared" si="42"/>
        <v>30418.667369999999</v>
      </c>
      <c r="AN20" s="136">
        <f t="shared" si="43"/>
        <v>46325.753600000004</v>
      </c>
      <c r="AO20" s="136">
        <f t="shared" si="44"/>
        <v>32664.340800000002</v>
      </c>
      <c r="AP20" s="92"/>
      <c r="AQ20" s="140">
        <v>17</v>
      </c>
      <c r="AR20" s="141">
        <f ca="1">+RESUMEN!F20</f>
        <v>0</v>
      </c>
      <c r="AS20" s="141">
        <f ca="1">+RESUMEN!G20</f>
        <v>0</v>
      </c>
      <c r="AT20" s="142">
        <f t="shared" ca="1" si="7"/>
        <v>0</v>
      </c>
      <c r="AU20" s="143">
        <f t="shared" si="45"/>
        <v>0</v>
      </c>
      <c r="AV20" s="143">
        <f t="shared" si="46"/>
        <v>0</v>
      </c>
      <c r="AW20" s="143">
        <f t="shared" si="47"/>
        <v>0</v>
      </c>
      <c r="AX20" s="143">
        <f t="shared" si="48"/>
        <v>0</v>
      </c>
      <c r="AY20" s="143">
        <f t="shared" ca="1" si="49"/>
        <v>0</v>
      </c>
      <c r="AZ20" s="142"/>
      <c r="BA20" s="143">
        <f t="shared" ca="1" si="8"/>
        <v>0</v>
      </c>
      <c r="BB20" s="143">
        <f t="shared" ca="1" si="9"/>
        <v>0</v>
      </c>
      <c r="BC20" s="144"/>
      <c r="BD20" s="145">
        <f t="shared" ca="1" si="50"/>
        <v>0</v>
      </c>
      <c r="BE20" s="145">
        <f t="shared" ca="1" si="51"/>
        <v>0</v>
      </c>
      <c r="BF20" s="146" t="str">
        <f t="shared" ca="1" si="10"/>
        <v/>
      </c>
      <c r="BG20" s="92"/>
      <c r="BH20" s="95">
        <f t="shared" ca="1" si="11"/>
        <v>0</v>
      </c>
      <c r="BI20" s="95">
        <f t="shared" ca="1" si="12"/>
        <v>0</v>
      </c>
      <c r="BJ20" s="144"/>
      <c r="BK20" s="147">
        <f t="shared" ca="1" si="52"/>
        <v>0</v>
      </c>
      <c r="BL20" s="147">
        <f t="shared" ca="1" si="53"/>
        <v>0</v>
      </c>
      <c r="BM20" s="148" t="str">
        <f t="shared" ca="1" si="13"/>
        <v/>
      </c>
      <c r="BN20" s="92"/>
      <c r="BO20" s="149">
        <f t="shared" ca="1" si="14"/>
        <v>0</v>
      </c>
      <c r="BP20" s="149">
        <f t="shared" ca="1" si="15"/>
        <v>0</v>
      </c>
      <c r="BQ20" s="144"/>
      <c r="BR20" s="150">
        <f t="shared" ca="1" si="54"/>
        <v>0</v>
      </c>
      <c r="BS20" s="150">
        <f t="shared" ca="1" si="55"/>
        <v>0</v>
      </c>
      <c r="BT20" s="151" t="str">
        <f t="shared" ca="1" si="16"/>
        <v/>
      </c>
      <c r="BU20" s="92"/>
      <c r="BV20" s="152">
        <f t="shared" ca="1" si="17"/>
        <v>0</v>
      </c>
      <c r="BW20" s="152">
        <f t="shared" ca="1" si="18"/>
        <v>0</v>
      </c>
      <c r="BX20" s="144"/>
      <c r="BY20" s="153">
        <f t="shared" ca="1" si="56"/>
        <v>0</v>
      </c>
      <c r="BZ20" s="153">
        <f t="shared" ca="1" si="57"/>
        <v>0</v>
      </c>
      <c r="CA20" s="154" t="str">
        <f t="shared" ca="1" si="19"/>
        <v/>
      </c>
      <c r="CB20" s="92"/>
      <c r="CC20" s="155">
        <f t="shared" ca="1" si="20"/>
        <v>0</v>
      </c>
      <c r="CD20" s="155">
        <f t="shared" ca="1" si="21"/>
        <v>0</v>
      </c>
      <c r="CE20" s="144"/>
      <c r="CF20" s="156">
        <f t="shared" ca="1" si="58"/>
        <v>0</v>
      </c>
      <c r="CG20" s="156">
        <f t="shared" ca="1" si="59"/>
        <v>0</v>
      </c>
      <c r="CH20" s="157" t="str">
        <f t="shared" ca="1" si="22"/>
        <v/>
      </c>
      <c r="CI20" s="92"/>
      <c r="CJ20" s="158">
        <f t="shared" ca="1" si="23"/>
        <v>0</v>
      </c>
      <c r="CK20" s="158">
        <f t="shared" ca="1" si="24"/>
        <v>0</v>
      </c>
      <c r="CL20" s="144"/>
      <c r="CM20" s="159">
        <f t="shared" ca="1" si="60"/>
        <v>0</v>
      </c>
      <c r="CN20" s="159">
        <f t="shared" ca="1" si="61"/>
        <v>0</v>
      </c>
      <c r="CO20" s="160" t="str">
        <f t="shared" ca="1" si="25"/>
        <v/>
      </c>
      <c r="CP20" s="92"/>
      <c r="CQ20" s="140">
        <v>17</v>
      </c>
      <c r="CR20" s="330">
        <v>0.18</v>
      </c>
      <c r="CS20" s="92">
        <f t="shared" si="62"/>
        <v>0</v>
      </c>
      <c r="CT20" s="335">
        <f t="shared" si="63"/>
        <v>0.18</v>
      </c>
      <c r="CU20" s="92">
        <f t="shared" si="64"/>
        <v>1</v>
      </c>
      <c r="CV20" s="348">
        <f t="shared" si="65"/>
        <v>1</v>
      </c>
      <c r="CW20" s="380">
        <f t="shared" si="66"/>
        <v>139.81</v>
      </c>
      <c r="CX20" s="380">
        <f t="shared" si="26"/>
        <v>68.569999999999993</v>
      </c>
      <c r="CY20" s="367">
        <f t="shared" si="27"/>
        <v>276.83</v>
      </c>
      <c r="CZ20" s="380">
        <f t="shared" si="28"/>
        <v>155.79</v>
      </c>
      <c r="DA20"/>
      <c r="DB20" s="391">
        <v>17</v>
      </c>
      <c r="DC20" s="59">
        <v>18731.36</v>
      </c>
      <c r="DD20" s="59">
        <v>21773.94</v>
      </c>
      <c r="DE20" s="59">
        <v>16627.009999999998</v>
      </c>
      <c r="DF20" s="59">
        <v>19327.77</v>
      </c>
      <c r="DG20" s="59">
        <v>14721.83</v>
      </c>
      <c r="DH20" s="59">
        <v>17113.13</v>
      </c>
      <c r="DI20" s="137">
        <v>85781.38</v>
      </c>
      <c r="DJ20" s="137">
        <v>61365.09</v>
      </c>
      <c r="DK20" s="138">
        <v>63856.94</v>
      </c>
      <c r="DL20" s="138">
        <v>39254.050000000003</v>
      </c>
      <c r="DM20" s="137">
        <v>41362.28</v>
      </c>
      <c r="DN20" s="137">
        <v>29164.59</v>
      </c>
      <c r="DP20" s="384" t="s">
        <v>145</v>
      </c>
      <c r="DQ20" s="389">
        <v>453.19</v>
      </c>
      <c r="DR20" s="389">
        <v>496.91</v>
      </c>
    </row>
    <row r="21" spans="1:122">
      <c r="A21" s="162" t="s">
        <v>59</v>
      </c>
      <c r="B21" s="310">
        <f>+VLOOKUP(B8,DATOS!$E$3:$L$203,3,0)</f>
        <v>1</v>
      </c>
      <c r="C21"/>
      <c r="D21"/>
      <c r="E21" s="306" t="s">
        <v>401</v>
      </c>
      <c r="F21" s="441">
        <f>+IF(F20=1,1,1.04761)</f>
        <v>1</v>
      </c>
      <c r="G21" s="368">
        <f>+IF(F20=1,1,1.05042)</f>
        <v>1</v>
      </c>
      <c r="H21" s="163"/>
      <c r="I21" s="92"/>
      <c r="J21" s="164">
        <v>18</v>
      </c>
      <c r="K21" s="59">
        <f t="shared" si="29"/>
        <v>18768.830000000002</v>
      </c>
      <c r="L21" s="59">
        <f t="shared" si="29"/>
        <v>22054.37</v>
      </c>
      <c r="M21" s="59">
        <f t="shared" si="29"/>
        <v>16660.259999999998</v>
      </c>
      <c r="N21" s="59">
        <f t="shared" si="29"/>
        <v>19576.7</v>
      </c>
      <c r="O21" s="59">
        <f t="shared" si="29"/>
        <v>14751.27</v>
      </c>
      <c r="P21" s="59">
        <f t="shared" si="29"/>
        <v>17333.53</v>
      </c>
      <c r="Q21" s="136">
        <f t="shared" si="1"/>
        <v>85781.38</v>
      </c>
      <c r="R21" s="136">
        <f t="shared" si="2"/>
        <v>63162.91</v>
      </c>
      <c r="S21" s="136">
        <f t="shared" si="3"/>
        <v>63856.94</v>
      </c>
      <c r="T21" s="136">
        <f t="shared" si="4"/>
        <v>40406.69</v>
      </c>
      <c r="U21" s="136">
        <f t="shared" si="5"/>
        <v>41362.28</v>
      </c>
      <c r="V21" s="136">
        <f t="shared" si="6"/>
        <v>30177.74</v>
      </c>
      <c r="W21" s="92"/>
      <c r="X21" s="137">
        <f t="shared" si="30"/>
        <v>85781.38</v>
      </c>
      <c r="Y21" s="137">
        <f t="shared" si="30"/>
        <v>63162.91</v>
      </c>
      <c r="Z21" s="136">
        <f t="shared" si="31"/>
        <v>89469.979340000005</v>
      </c>
      <c r="AA21" s="136">
        <f t="shared" si="32"/>
        <v>65878.915129999994</v>
      </c>
      <c r="AB21" s="136">
        <f t="shared" si="33"/>
        <v>96075.145600000018</v>
      </c>
      <c r="AC21" s="136">
        <f t="shared" si="34"/>
        <v>70742.459200000012</v>
      </c>
      <c r="AD21" s="138">
        <f t="shared" si="35"/>
        <v>63856.94</v>
      </c>
      <c r="AE21" s="138">
        <f t="shared" si="35"/>
        <v>40406.69</v>
      </c>
      <c r="AF21" s="136">
        <f t="shared" si="36"/>
        <v>66602.788419999997</v>
      </c>
      <c r="AG21" s="136">
        <f t="shared" si="37"/>
        <v>42144.177669999997</v>
      </c>
      <c r="AH21" s="136">
        <f t="shared" si="38"/>
        <v>71519.772800000006</v>
      </c>
      <c r="AI21" s="136">
        <f t="shared" si="39"/>
        <v>45255.492800000007</v>
      </c>
      <c r="AJ21" s="137">
        <f t="shared" si="40"/>
        <v>41362.28</v>
      </c>
      <c r="AK21" s="137">
        <f t="shared" si="40"/>
        <v>30177.74</v>
      </c>
      <c r="AL21" s="136">
        <f t="shared" si="41"/>
        <v>43140.858039999999</v>
      </c>
      <c r="AM21" s="136">
        <f t="shared" si="42"/>
        <v>31475.382819999999</v>
      </c>
      <c r="AN21" s="136">
        <f t="shared" si="43"/>
        <v>46325.753600000004</v>
      </c>
      <c r="AO21" s="136">
        <f t="shared" si="44"/>
        <v>33799.068800000008</v>
      </c>
      <c r="AP21" s="92"/>
      <c r="AQ21" s="140">
        <v>18</v>
      </c>
      <c r="AR21" s="141">
        <f ca="1">+RESUMEN!F21</f>
        <v>0</v>
      </c>
      <c r="AS21" s="141">
        <f ca="1">+RESUMEN!G21</f>
        <v>0</v>
      </c>
      <c r="AT21" s="142">
        <f t="shared" ca="1" si="7"/>
        <v>0</v>
      </c>
      <c r="AU21" s="143">
        <f t="shared" si="45"/>
        <v>0</v>
      </c>
      <c r="AV21" s="143">
        <f t="shared" si="46"/>
        <v>0</v>
      </c>
      <c r="AW21" s="143">
        <f t="shared" si="47"/>
        <v>0</v>
      </c>
      <c r="AX21" s="143">
        <f t="shared" si="48"/>
        <v>0</v>
      </c>
      <c r="AY21" s="143">
        <f t="shared" ca="1" si="49"/>
        <v>0</v>
      </c>
      <c r="AZ21" s="142"/>
      <c r="BA21" s="143">
        <f t="shared" ca="1" si="8"/>
        <v>0</v>
      </c>
      <c r="BB21" s="143">
        <f t="shared" ca="1" si="9"/>
        <v>0</v>
      </c>
      <c r="BC21" s="143">
        <f ca="1">+T106*$BC$1*$B$24*IF($F$20=1,1,$B$25)</f>
        <v>0</v>
      </c>
      <c r="BD21" s="145">
        <f t="shared" ca="1" si="50"/>
        <v>0</v>
      </c>
      <c r="BE21" s="145">
        <f ca="1">(($BB21*$AS21*CV21)+($AU21*$C160)+($AV21*$C54)+($AX21*$AS21)+($AS21*$AY21)+(G54*BC21))*CU21</f>
        <v>0</v>
      </c>
      <c r="BF21" s="146" t="str">
        <f t="shared" ca="1" si="10"/>
        <v/>
      </c>
      <c r="BG21" s="92"/>
      <c r="BH21" s="95">
        <f t="shared" ca="1" si="11"/>
        <v>0</v>
      </c>
      <c r="BI21" s="95">
        <f t="shared" ca="1" si="12"/>
        <v>0</v>
      </c>
      <c r="BJ21" s="95">
        <f ca="1">+S106*$BJ$1*$B$24*IF($F$20=1,1,$B$25)</f>
        <v>0</v>
      </c>
      <c r="BK21" s="147">
        <f ca="1">(($BH21*$AR21*CV21)+($AU21*$B160)+($AV21*$B54)+($AW21*$AR21)+($AR21*$AY21))*CU21</f>
        <v>0</v>
      </c>
      <c r="BL21" s="147">
        <f ca="1">(($BI21*$AS21*CV21)+($AU21*$C160)+($AV21*$C54)+($AX21*$AS21)+($AS21*$AY21)+(BJ21*G54))*CU21</f>
        <v>0</v>
      </c>
      <c r="BM21" s="148" t="str">
        <f t="shared" ca="1" si="13"/>
        <v/>
      </c>
      <c r="BN21" s="92"/>
      <c r="BO21" s="149">
        <f t="shared" ca="1" si="14"/>
        <v>0</v>
      </c>
      <c r="BP21" s="149">
        <f t="shared" ca="1" si="15"/>
        <v>0</v>
      </c>
      <c r="BQ21" s="149">
        <f ca="1">+R106*$BQ$1*$B$24*IF($F$20=1,1,$B$25)</f>
        <v>0</v>
      </c>
      <c r="BR21" s="150">
        <f t="shared" ca="1" si="54"/>
        <v>0</v>
      </c>
      <c r="BS21" s="150">
        <f ca="1">(($BP21*$AS21*CV21)+($AU21*$C160)+($AV21*$C54)+($AX21*$AS21)+($AS21*$AY21)+(BQ21*G54))*CU21</f>
        <v>0</v>
      </c>
      <c r="BT21" s="151" t="str">
        <f t="shared" ca="1" si="16"/>
        <v/>
      </c>
      <c r="BU21" s="238"/>
      <c r="BV21" s="152">
        <f t="shared" ca="1" si="17"/>
        <v>0</v>
      </c>
      <c r="BW21" s="152">
        <f t="shared" ca="1" si="18"/>
        <v>0</v>
      </c>
      <c r="BX21" s="152">
        <f ca="1">+U106*$BX$1*$B$24*IF($F$20=1,1,$B$25)</f>
        <v>0</v>
      </c>
      <c r="BY21" s="153">
        <f t="shared" ca="1" si="56"/>
        <v>0</v>
      </c>
      <c r="BZ21" s="153">
        <f ca="1">(($BW21*$AS21*CV21)+($AU21*$C160)+($AV21*$C54)+($AS21*$AY21)+(BX21*G54))*CU21</f>
        <v>0</v>
      </c>
      <c r="CA21" s="154" t="str">
        <f t="shared" ca="1" si="19"/>
        <v/>
      </c>
      <c r="CB21" s="92"/>
      <c r="CC21" s="155">
        <f t="shared" ca="1" si="20"/>
        <v>0</v>
      </c>
      <c r="CD21" s="155">
        <f t="shared" ca="1" si="21"/>
        <v>0</v>
      </c>
      <c r="CE21" s="155">
        <f ca="1">+U106*$CE$1*$B$24*IF($F$20=1,1,$B$25)</f>
        <v>0</v>
      </c>
      <c r="CF21" s="156">
        <f t="shared" ca="1" si="58"/>
        <v>0</v>
      </c>
      <c r="CG21" s="156">
        <f ca="1">(($CD21*$AS21*CV21)+($AU21*$C160)+($AV21*$C54)+($AS21*$AY21)+(CE21*G54))*CU21</f>
        <v>0</v>
      </c>
      <c r="CH21" s="157" t="str">
        <f t="shared" ca="1" si="22"/>
        <v/>
      </c>
      <c r="CI21" s="92"/>
      <c r="CJ21" s="158">
        <f t="shared" ca="1" si="23"/>
        <v>0</v>
      </c>
      <c r="CK21" s="158">
        <f t="shared" ca="1" si="24"/>
        <v>0</v>
      </c>
      <c r="CL21" s="158">
        <f ca="1">+U106*$CL$1*$B$24*IF($F$20=1,1,$B$25)</f>
        <v>0</v>
      </c>
      <c r="CM21" s="159">
        <f t="shared" ca="1" si="60"/>
        <v>0</v>
      </c>
      <c r="CN21" s="159">
        <f ca="1">(($CK21*$AS21*CV21)+($AU21*$C160)+($AV21*$C54)+($AS21*$AY21)+(CL21*G54))*CU21</f>
        <v>0</v>
      </c>
      <c r="CO21" s="160" t="str">
        <f t="shared" ca="1" si="25"/>
        <v/>
      </c>
      <c r="CP21" s="92"/>
      <c r="CQ21" s="140">
        <v>18</v>
      </c>
      <c r="CR21" s="330">
        <v>0.18</v>
      </c>
      <c r="CS21" s="92">
        <f t="shared" si="62"/>
        <v>0</v>
      </c>
      <c r="CT21" s="335">
        <f t="shared" si="63"/>
        <v>0.18</v>
      </c>
      <c r="CU21" s="92">
        <f t="shared" si="64"/>
        <v>1</v>
      </c>
      <c r="CV21" s="348">
        <f t="shared" si="65"/>
        <v>1</v>
      </c>
      <c r="CW21" s="380">
        <f t="shared" si="66"/>
        <v>139.81</v>
      </c>
      <c r="CX21" s="380">
        <f t="shared" si="26"/>
        <v>68.569999999999993</v>
      </c>
      <c r="CY21" s="367">
        <f t="shared" si="27"/>
        <v>276.83</v>
      </c>
      <c r="CZ21" s="380">
        <f t="shared" si="28"/>
        <v>155.79</v>
      </c>
      <c r="DA21"/>
      <c r="DB21" s="391">
        <v>18</v>
      </c>
      <c r="DC21" s="59">
        <v>18768.830000000002</v>
      </c>
      <c r="DD21" s="59">
        <v>22054.37</v>
      </c>
      <c r="DE21" s="59">
        <v>16660.259999999998</v>
      </c>
      <c r="DF21" s="59">
        <v>19576.7</v>
      </c>
      <c r="DG21" s="59">
        <v>14751.27</v>
      </c>
      <c r="DH21" s="59">
        <v>17333.53</v>
      </c>
      <c r="DI21" s="137">
        <v>85781.38</v>
      </c>
      <c r="DJ21" s="137">
        <v>63162.91</v>
      </c>
      <c r="DK21" s="138">
        <v>63856.94</v>
      </c>
      <c r="DL21" s="138">
        <v>40406.69</v>
      </c>
      <c r="DM21" s="137">
        <v>41362.28</v>
      </c>
      <c r="DN21" s="137">
        <v>30177.74</v>
      </c>
      <c r="DP21" s="384" t="s">
        <v>146</v>
      </c>
      <c r="DQ21" s="387">
        <v>456.12</v>
      </c>
      <c r="DR21" s="387">
        <v>495.17</v>
      </c>
    </row>
    <row r="22" spans="1:122">
      <c r="A22" s="162" t="s">
        <v>380</v>
      </c>
      <c r="B22" s="310">
        <f>ROUND(VLOOKUP(B8&amp;B9,DATOS!I3:L203,3,0),4)</f>
        <v>1.0159</v>
      </c>
      <c r="C22" s="324"/>
      <c r="D22"/>
      <c r="E22" s="306" t="s">
        <v>402</v>
      </c>
      <c r="F22" s="441">
        <f>+IF(F20=1,1,1.095238)</f>
        <v>1</v>
      </c>
      <c r="G22" s="368">
        <f>+IF(F20=1,1,1.1008399)</f>
        <v>1</v>
      </c>
      <c r="H22" s="91"/>
      <c r="I22" s="91"/>
      <c r="J22" s="164">
        <v>19</v>
      </c>
      <c r="K22" s="59">
        <f t="shared" si="29"/>
        <v>18806.36</v>
      </c>
      <c r="L22" s="59">
        <f t="shared" si="29"/>
        <v>22885.72</v>
      </c>
      <c r="M22" s="59">
        <f t="shared" si="29"/>
        <v>16693.580000000002</v>
      </c>
      <c r="N22" s="59">
        <f t="shared" si="29"/>
        <v>20314.650000000001</v>
      </c>
      <c r="O22" s="59">
        <f t="shared" si="29"/>
        <v>14780.78</v>
      </c>
      <c r="P22" s="59">
        <f t="shared" si="29"/>
        <v>17986.93</v>
      </c>
      <c r="Q22" s="136">
        <f t="shared" si="1"/>
        <v>85781.38</v>
      </c>
      <c r="R22" s="136">
        <f t="shared" si="2"/>
        <v>65187.43</v>
      </c>
      <c r="S22" s="136">
        <f t="shared" si="3"/>
        <v>63856.94</v>
      </c>
      <c r="T22" s="136">
        <f t="shared" si="4"/>
        <v>41458.18</v>
      </c>
      <c r="U22" s="136">
        <f t="shared" si="5"/>
        <v>41362.28</v>
      </c>
      <c r="V22" s="136">
        <f t="shared" si="6"/>
        <v>30751.49</v>
      </c>
      <c r="W22" s="92"/>
      <c r="X22" s="137">
        <f t="shared" si="30"/>
        <v>85781.38</v>
      </c>
      <c r="Y22" s="137">
        <f t="shared" si="30"/>
        <v>65187.43</v>
      </c>
      <c r="Z22" s="136">
        <f t="shared" si="31"/>
        <v>89469.979340000005</v>
      </c>
      <c r="AA22" s="136">
        <f t="shared" si="32"/>
        <v>67990.489489999993</v>
      </c>
      <c r="AB22" s="136">
        <f t="shared" si="33"/>
        <v>96075.145600000018</v>
      </c>
      <c r="AC22" s="136">
        <f t="shared" si="34"/>
        <v>73009.921600000001</v>
      </c>
      <c r="AD22" s="138">
        <f t="shared" si="35"/>
        <v>63856.94</v>
      </c>
      <c r="AE22" s="138">
        <f t="shared" si="35"/>
        <v>41458.18</v>
      </c>
      <c r="AF22" s="136">
        <f t="shared" si="36"/>
        <v>66602.788419999997</v>
      </c>
      <c r="AG22" s="136">
        <f t="shared" si="37"/>
        <v>43240.881739999997</v>
      </c>
      <c r="AH22" s="136">
        <f t="shared" si="38"/>
        <v>71519.772800000006</v>
      </c>
      <c r="AI22" s="136">
        <f t="shared" si="39"/>
        <v>46433.161600000007</v>
      </c>
      <c r="AJ22" s="137">
        <f t="shared" si="40"/>
        <v>41362.28</v>
      </c>
      <c r="AK22" s="137">
        <f t="shared" si="40"/>
        <v>30751.49</v>
      </c>
      <c r="AL22" s="136">
        <f t="shared" si="41"/>
        <v>43140.858039999999</v>
      </c>
      <c r="AM22" s="136">
        <f t="shared" si="42"/>
        <v>32073.804069999998</v>
      </c>
      <c r="AN22" s="136">
        <f t="shared" si="43"/>
        <v>46325.753600000004</v>
      </c>
      <c r="AO22" s="136">
        <f t="shared" si="44"/>
        <v>34441.668800000007</v>
      </c>
      <c r="AP22" s="92"/>
      <c r="AQ22" s="140">
        <v>19</v>
      </c>
      <c r="AR22" s="141">
        <f ca="1">+RESUMEN!F22</f>
        <v>0</v>
      </c>
      <c r="AS22" s="141">
        <f ca="1">+RESUMEN!G22</f>
        <v>0</v>
      </c>
      <c r="AT22" s="142">
        <f t="shared" ca="1" si="7"/>
        <v>0</v>
      </c>
      <c r="AU22" s="143">
        <f t="shared" si="45"/>
        <v>0</v>
      </c>
      <c r="AV22" s="143">
        <f t="shared" si="46"/>
        <v>0</v>
      </c>
      <c r="AW22" s="143">
        <f t="shared" si="47"/>
        <v>0</v>
      </c>
      <c r="AX22" s="143">
        <f t="shared" si="48"/>
        <v>0</v>
      </c>
      <c r="AY22" s="143">
        <f t="shared" ca="1" si="49"/>
        <v>0</v>
      </c>
      <c r="AZ22" s="142"/>
      <c r="BA22" s="143">
        <f t="shared" ca="1" si="8"/>
        <v>0</v>
      </c>
      <c r="BB22" s="143">
        <f t="shared" ca="1" si="9"/>
        <v>0</v>
      </c>
      <c r="BC22" s="143">
        <f t="shared" ref="BC22:BC47" ca="1" si="67">+T107*$BC$1*$B$24*IF($F$20=1,1,$B$25)</f>
        <v>0</v>
      </c>
      <c r="BD22" s="145">
        <f t="shared" ca="1" si="50"/>
        <v>0</v>
      </c>
      <c r="BE22" s="145">
        <f t="shared" ref="BE22:BE47" ca="1" si="68">(($BB22*$AS22*CV22)+($AU22*$C161)+($AV22*$C55)+($AX22*$AS22)+($AS22*$AY22)+(G55*BC22))*CU22</f>
        <v>0</v>
      </c>
      <c r="BF22" s="146" t="str">
        <f t="shared" ca="1" si="10"/>
        <v/>
      </c>
      <c r="BG22" s="92"/>
      <c r="BH22" s="95">
        <f t="shared" ca="1" si="11"/>
        <v>0</v>
      </c>
      <c r="BI22" s="95">
        <f t="shared" ca="1" si="12"/>
        <v>0</v>
      </c>
      <c r="BJ22" s="95">
        <f t="shared" ref="BJ22:BJ47" ca="1" si="69">+S107*$BJ$1*$B$24*IF($F$20=1,1,$B$25)</f>
        <v>0</v>
      </c>
      <c r="BK22" s="147">
        <f t="shared" ca="1" si="52"/>
        <v>0</v>
      </c>
      <c r="BL22" s="147">
        <f t="shared" ref="BL22:BL47" ca="1" si="70">(($BI22*$AS22*CV22)+($AU22*$C161)+($AV22*$C55)+($AX22*$AS22)+($AS22*$AY22)+(BJ22*G55))*CU22</f>
        <v>0</v>
      </c>
      <c r="BM22" s="148" t="str">
        <f t="shared" ca="1" si="13"/>
        <v/>
      </c>
      <c r="BN22" s="92"/>
      <c r="BO22" s="149">
        <f t="shared" ca="1" si="14"/>
        <v>0</v>
      </c>
      <c r="BP22" s="149">
        <f t="shared" ca="1" si="15"/>
        <v>0</v>
      </c>
      <c r="BQ22" s="149">
        <f t="shared" ref="BQ22:BQ47" ca="1" si="71">+R107*$BQ$1*$B$24*IF($F$20=1,1,$B$25)</f>
        <v>0</v>
      </c>
      <c r="BR22" s="150">
        <f t="shared" ca="1" si="54"/>
        <v>0</v>
      </c>
      <c r="BS22" s="150">
        <f t="shared" ref="BS22:BS47" ca="1" si="72">(($BP22*$AS22*CV22)+($AU22*$C161)+($AV22*$C55)+($AX22*$AS22)+($AS22*$AY22)+(BQ22*G55))*CU22</f>
        <v>0</v>
      </c>
      <c r="BT22" s="151" t="str">
        <f t="shared" ca="1" si="16"/>
        <v/>
      </c>
      <c r="BU22" s="238"/>
      <c r="BV22" s="152">
        <f t="shared" ca="1" si="17"/>
        <v>0</v>
      </c>
      <c r="BW22" s="152">
        <f t="shared" ca="1" si="18"/>
        <v>0</v>
      </c>
      <c r="BX22" s="152">
        <f t="shared" ref="BX22:BX47" ca="1" si="73">+U107*$BX$1*$B$24*IF($F$20=1,1,$B$25)</f>
        <v>0</v>
      </c>
      <c r="BY22" s="153">
        <f t="shared" ca="1" si="56"/>
        <v>0</v>
      </c>
      <c r="BZ22" s="153">
        <f t="shared" ref="BZ22:BZ47" ca="1" si="74">(($BW22*$AS22*CV22)+($AU22*$C161)+($AV22*$C55)+($AS22*$AY22)+(BX22*G55))*CU22</f>
        <v>0</v>
      </c>
      <c r="CA22" s="154" t="str">
        <f t="shared" ca="1" si="19"/>
        <v/>
      </c>
      <c r="CB22" s="92"/>
      <c r="CC22" s="155">
        <f t="shared" ca="1" si="20"/>
        <v>0</v>
      </c>
      <c r="CD22" s="155">
        <f t="shared" ca="1" si="21"/>
        <v>0</v>
      </c>
      <c r="CE22" s="155">
        <f t="shared" ref="CE22:CE47" ca="1" si="75">+U107*$CE$1*$B$24*IF($F$20=1,1,$B$25)</f>
        <v>0</v>
      </c>
      <c r="CF22" s="156">
        <f t="shared" ca="1" si="58"/>
        <v>0</v>
      </c>
      <c r="CG22" s="156">
        <f t="shared" ref="CG22:CG47" ca="1" si="76">(($CD22*$AS22*CV22)+($AU22*$C161)+($AV22*$C55)+($AS22*$AY22)+(CE22*G55))*CU22</f>
        <v>0</v>
      </c>
      <c r="CH22" s="157" t="str">
        <f t="shared" ca="1" si="22"/>
        <v/>
      </c>
      <c r="CI22" s="92"/>
      <c r="CJ22" s="158">
        <f t="shared" ca="1" si="23"/>
        <v>0</v>
      </c>
      <c r="CK22" s="158">
        <f t="shared" ca="1" si="24"/>
        <v>0</v>
      </c>
      <c r="CL22" s="158">
        <f t="shared" ref="CL22:CL47" ca="1" si="77">+U107*$CL$1*$B$24*IF($F$20=1,1,$B$25)</f>
        <v>0</v>
      </c>
      <c r="CM22" s="159">
        <f t="shared" ca="1" si="60"/>
        <v>0</v>
      </c>
      <c r="CN22" s="159">
        <f t="shared" ref="CN22:CN47" ca="1" si="78">(($CK22*$AS22*CV22)+($AU22*$C161)+($AV22*$C55)+($AS22*$AY22)+(CL22*G55))*CU22</f>
        <v>0</v>
      </c>
      <c r="CO22" s="160" t="str">
        <f t="shared" ca="1" si="25"/>
        <v/>
      </c>
      <c r="CP22" s="92"/>
      <c r="CQ22" s="140">
        <v>19</v>
      </c>
      <c r="CR22" s="330">
        <v>0.18</v>
      </c>
      <c r="CS22" s="92">
        <f t="shared" si="62"/>
        <v>0</v>
      </c>
      <c r="CT22" s="335">
        <f t="shared" si="63"/>
        <v>0.18</v>
      </c>
      <c r="CU22" s="92">
        <f t="shared" si="64"/>
        <v>1</v>
      </c>
      <c r="CV22" s="348">
        <f t="shared" si="65"/>
        <v>1</v>
      </c>
      <c r="CW22" s="380">
        <f t="shared" si="66"/>
        <v>139.81</v>
      </c>
      <c r="CX22" s="380">
        <f t="shared" si="26"/>
        <v>68.569999999999993</v>
      </c>
      <c r="CY22" s="367">
        <f t="shared" si="27"/>
        <v>276.83</v>
      </c>
      <c r="CZ22" s="380">
        <f t="shared" si="28"/>
        <v>155.79</v>
      </c>
      <c r="DA22"/>
      <c r="DB22" s="391">
        <v>19</v>
      </c>
      <c r="DC22" s="59">
        <v>18806.36</v>
      </c>
      <c r="DD22" s="59">
        <v>22885.72</v>
      </c>
      <c r="DE22" s="59">
        <v>16693.580000000002</v>
      </c>
      <c r="DF22" s="59">
        <v>20314.650000000001</v>
      </c>
      <c r="DG22" s="59">
        <v>14780.78</v>
      </c>
      <c r="DH22" s="59">
        <v>17986.93</v>
      </c>
      <c r="DI22" s="137">
        <v>85781.38</v>
      </c>
      <c r="DJ22" s="137">
        <v>65187.43</v>
      </c>
      <c r="DK22" s="138">
        <v>63856.94</v>
      </c>
      <c r="DL22" s="138">
        <v>41458.18</v>
      </c>
      <c r="DM22" s="137">
        <v>41362.28</v>
      </c>
      <c r="DN22" s="137">
        <v>30751.49</v>
      </c>
      <c r="DP22" s="384" t="s">
        <v>147</v>
      </c>
      <c r="DQ22" s="387">
        <v>459.05</v>
      </c>
      <c r="DR22" s="387">
        <v>493.42</v>
      </c>
    </row>
    <row r="23" spans="1:122">
      <c r="A23" s="295" t="s">
        <v>381</v>
      </c>
      <c r="B23" s="310">
        <f>+'DATOS GENERALES'!G26</f>
        <v>1</v>
      </c>
      <c r="C23" s="324"/>
      <c r="E23" s="306" t="s">
        <v>435</v>
      </c>
      <c r="F23" s="441">
        <f>+IF(F20=1,1,1.052632)</f>
        <v>1</v>
      </c>
      <c r="G23" s="91"/>
      <c r="H23" s="91"/>
      <c r="I23" s="91"/>
      <c r="J23" s="164">
        <v>20</v>
      </c>
      <c r="K23" s="59">
        <f t="shared" si="29"/>
        <v>19182.490000000002</v>
      </c>
      <c r="L23" s="59">
        <f t="shared" si="29"/>
        <v>22913.07</v>
      </c>
      <c r="M23" s="59">
        <f t="shared" si="29"/>
        <v>17027.45</v>
      </c>
      <c r="N23" s="59">
        <f t="shared" si="29"/>
        <v>20338.919999999998</v>
      </c>
      <c r="O23" s="59">
        <f t="shared" si="29"/>
        <v>15076.39</v>
      </c>
      <c r="P23" s="59">
        <f t="shared" si="29"/>
        <v>18008.419999999998</v>
      </c>
      <c r="Q23" s="136">
        <f t="shared" si="1"/>
        <v>85781.38</v>
      </c>
      <c r="R23" s="136">
        <f t="shared" si="2"/>
        <v>67429.919999999998</v>
      </c>
      <c r="S23" s="136">
        <f t="shared" si="3"/>
        <v>63856.94</v>
      </c>
      <c r="T23" s="136">
        <f t="shared" si="4"/>
        <v>42415.51</v>
      </c>
      <c r="U23" s="136">
        <f t="shared" si="5"/>
        <v>41362.28</v>
      </c>
      <c r="V23" s="136">
        <f t="shared" si="6"/>
        <v>32207.47</v>
      </c>
      <c r="W23" s="92"/>
      <c r="X23" s="137">
        <f t="shared" si="30"/>
        <v>85781.38</v>
      </c>
      <c r="Y23" s="137">
        <f t="shared" si="30"/>
        <v>67429.919999999998</v>
      </c>
      <c r="Z23" s="136">
        <f t="shared" si="31"/>
        <v>89469.979340000005</v>
      </c>
      <c r="AA23" s="136">
        <f t="shared" si="32"/>
        <v>70329.406559999989</v>
      </c>
      <c r="AB23" s="136">
        <f t="shared" si="33"/>
        <v>96075.145600000018</v>
      </c>
      <c r="AC23" s="136">
        <f t="shared" si="34"/>
        <v>75521.510399999999</v>
      </c>
      <c r="AD23" s="138">
        <f t="shared" si="35"/>
        <v>63856.94</v>
      </c>
      <c r="AE23" s="138">
        <f t="shared" si="35"/>
        <v>42415.51</v>
      </c>
      <c r="AF23" s="136">
        <f t="shared" si="36"/>
        <v>66602.788419999997</v>
      </c>
      <c r="AG23" s="136">
        <f t="shared" si="37"/>
        <v>44239.376929999999</v>
      </c>
      <c r="AH23" s="136">
        <f t="shared" si="38"/>
        <v>71519.772800000006</v>
      </c>
      <c r="AI23" s="136">
        <f t="shared" si="39"/>
        <v>47505.371200000009</v>
      </c>
      <c r="AJ23" s="137">
        <f t="shared" si="40"/>
        <v>41362.28</v>
      </c>
      <c r="AK23" s="137">
        <f t="shared" si="40"/>
        <v>32207.47</v>
      </c>
      <c r="AL23" s="136">
        <f t="shared" si="41"/>
        <v>43140.858039999999</v>
      </c>
      <c r="AM23" s="136">
        <f t="shared" si="42"/>
        <v>33592.391210000002</v>
      </c>
      <c r="AN23" s="136">
        <f t="shared" si="43"/>
        <v>46325.753600000004</v>
      </c>
      <c r="AO23" s="136">
        <f t="shared" si="44"/>
        <v>36072.366400000006</v>
      </c>
      <c r="AP23" s="92"/>
      <c r="AQ23" s="140">
        <v>20</v>
      </c>
      <c r="AR23" s="141">
        <f ca="1">+RESUMEN!F23</f>
        <v>0</v>
      </c>
      <c r="AS23" s="141">
        <f ca="1">+RESUMEN!G23</f>
        <v>0</v>
      </c>
      <c r="AT23" s="142">
        <f t="shared" ca="1" si="7"/>
        <v>0</v>
      </c>
      <c r="AU23" s="143">
        <f t="shared" si="45"/>
        <v>0</v>
      </c>
      <c r="AV23" s="143">
        <f t="shared" si="46"/>
        <v>0</v>
      </c>
      <c r="AW23" s="143">
        <f t="shared" si="47"/>
        <v>0</v>
      </c>
      <c r="AX23" s="143">
        <f t="shared" si="48"/>
        <v>0</v>
      </c>
      <c r="AY23" s="143">
        <f t="shared" ca="1" si="49"/>
        <v>0</v>
      </c>
      <c r="AZ23" s="142"/>
      <c r="BA23" s="143">
        <f t="shared" ca="1" si="8"/>
        <v>0</v>
      </c>
      <c r="BB23" s="143">
        <f t="shared" ca="1" si="9"/>
        <v>0</v>
      </c>
      <c r="BC23" s="143">
        <f t="shared" ca="1" si="67"/>
        <v>0</v>
      </c>
      <c r="BD23" s="145">
        <f t="shared" ca="1" si="50"/>
        <v>0</v>
      </c>
      <c r="BE23" s="145">
        <f t="shared" ca="1" si="68"/>
        <v>0</v>
      </c>
      <c r="BF23" s="146" t="str">
        <f t="shared" ca="1" si="10"/>
        <v/>
      </c>
      <c r="BG23" s="92"/>
      <c r="BH23" s="95">
        <f t="shared" ca="1" si="11"/>
        <v>0</v>
      </c>
      <c r="BI23" s="95">
        <f t="shared" ca="1" si="12"/>
        <v>0</v>
      </c>
      <c r="BJ23" s="95">
        <f t="shared" ca="1" si="69"/>
        <v>0</v>
      </c>
      <c r="BK23" s="147">
        <f t="shared" ca="1" si="52"/>
        <v>0</v>
      </c>
      <c r="BL23" s="147">
        <f t="shared" ca="1" si="70"/>
        <v>0</v>
      </c>
      <c r="BM23" s="148" t="str">
        <f t="shared" ca="1" si="13"/>
        <v/>
      </c>
      <c r="BN23" s="92"/>
      <c r="BO23" s="149">
        <f t="shared" ca="1" si="14"/>
        <v>0</v>
      </c>
      <c r="BP23" s="149">
        <f t="shared" ca="1" si="15"/>
        <v>0</v>
      </c>
      <c r="BQ23" s="149">
        <f t="shared" ca="1" si="71"/>
        <v>0</v>
      </c>
      <c r="BR23" s="150">
        <f t="shared" ca="1" si="54"/>
        <v>0</v>
      </c>
      <c r="BS23" s="150">
        <f t="shared" ca="1" si="72"/>
        <v>0</v>
      </c>
      <c r="BT23" s="151" t="str">
        <f t="shared" ca="1" si="16"/>
        <v/>
      </c>
      <c r="BU23" s="238"/>
      <c r="BV23" s="152">
        <f t="shared" ca="1" si="17"/>
        <v>0</v>
      </c>
      <c r="BW23" s="152">
        <f t="shared" ca="1" si="18"/>
        <v>0</v>
      </c>
      <c r="BX23" s="152">
        <f t="shared" ca="1" si="73"/>
        <v>0</v>
      </c>
      <c r="BY23" s="153">
        <f t="shared" ca="1" si="56"/>
        <v>0</v>
      </c>
      <c r="BZ23" s="153">
        <f t="shared" ca="1" si="74"/>
        <v>0</v>
      </c>
      <c r="CA23" s="154" t="str">
        <f t="shared" ca="1" si="19"/>
        <v/>
      </c>
      <c r="CB23" s="92"/>
      <c r="CC23" s="155">
        <f t="shared" ca="1" si="20"/>
        <v>0</v>
      </c>
      <c r="CD23" s="155">
        <f t="shared" ca="1" si="21"/>
        <v>0</v>
      </c>
      <c r="CE23" s="155">
        <f t="shared" ca="1" si="75"/>
        <v>0</v>
      </c>
      <c r="CF23" s="156">
        <f t="shared" ca="1" si="58"/>
        <v>0</v>
      </c>
      <c r="CG23" s="156">
        <f t="shared" ca="1" si="76"/>
        <v>0</v>
      </c>
      <c r="CH23" s="157" t="str">
        <f t="shared" ca="1" si="22"/>
        <v/>
      </c>
      <c r="CI23" s="92"/>
      <c r="CJ23" s="158">
        <f t="shared" ca="1" si="23"/>
        <v>0</v>
      </c>
      <c r="CK23" s="158">
        <f t="shared" ca="1" si="24"/>
        <v>0</v>
      </c>
      <c r="CL23" s="158">
        <f t="shared" ca="1" si="77"/>
        <v>0</v>
      </c>
      <c r="CM23" s="159">
        <f t="shared" ca="1" si="60"/>
        <v>0</v>
      </c>
      <c r="CN23" s="159">
        <f t="shared" ca="1" si="78"/>
        <v>0</v>
      </c>
      <c r="CO23" s="160" t="str">
        <f t="shared" ca="1" si="25"/>
        <v/>
      </c>
      <c r="CP23" s="92"/>
      <c r="CQ23" s="140">
        <v>20</v>
      </c>
      <c r="CR23" s="330">
        <v>0.18</v>
      </c>
      <c r="CS23" s="92">
        <f t="shared" si="62"/>
        <v>0</v>
      </c>
      <c r="CT23" s="335">
        <f t="shared" si="63"/>
        <v>0.18</v>
      </c>
      <c r="CU23" s="92">
        <f t="shared" si="64"/>
        <v>1</v>
      </c>
      <c r="CV23" s="348">
        <f t="shared" si="65"/>
        <v>1</v>
      </c>
      <c r="CW23" s="380">
        <f t="shared" si="66"/>
        <v>139.81</v>
      </c>
      <c r="CX23" s="380">
        <f t="shared" si="26"/>
        <v>68.569999999999993</v>
      </c>
      <c r="CY23" s="367">
        <f t="shared" si="27"/>
        <v>276.83</v>
      </c>
      <c r="CZ23" s="380">
        <f t="shared" si="28"/>
        <v>155.79</v>
      </c>
      <c r="DA23"/>
      <c r="DB23" s="391">
        <v>20</v>
      </c>
      <c r="DC23" s="59">
        <v>19182.490000000002</v>
      </c>
      <c r="DD23" s="59">
        <v>22913.07</v>
      </c>
      <c r="DE23" s="59">
        <v>17027.45</v>
      </c>
      <c r="DF23" s="59">
        <v>20338.919999999998</v>
      </c>
      <c r="DG23" s="59">
        <v>15076.39</v>
      </c>
      <c r="DH23" s="59">
        <v>18008.419999999998</v>
      </c>
      <c r="DI23" s="137">
        <v>85781.38</v>
      </c>
      <c r="DJ23" s="137">
        <v>67429.919999999998</v>
      </c>
      <c r="DK23" s="138">
        <v>63856.94</v>
      </c>
      <c r="DL23" s="138">
        <v>42415.51</v>
      </c>
      <c r="DM23" s="137">
        <v>41362.28</v>
      </c>
      <c r="DN23" s="137">
        <v>32207.47</v>
      </c>
      <c r="DP23" s="384" t="s">
        <v>148</v>
      </c>
      <c r="DQ23" s="387">
        <v>466.92</v>
      </c>
      <c r="DR23" s="387">
        <v>488.89</v>
      </c>
    </row>
    <row r="24" spans="1:122">
      <c r="A24" s="58" t="s">
        <v>382</v>
      </c>
      <c r="B24" s="310">
        <f ca="1">+IF('DATOS GENERALES'!H47&gt;0,0,1)</f>
        <v>0</v>
      </c>
      <c r="C24"/>
      <c r="E24" s="306" t="s">
        <v>436</v>
      </c>
      <c r="F24" s="441">
        <f>+IF(F20=1,1,1.10526)</f>
        <v>1</v>
      </c>
      <c r="G24" s="91"/>
      <c r="H24" s="91"/>
      <c r="I24" s="91"/>
      <c r="J24" s="164">
        <v>21</v>
      </c>
      <c r="K24" s="59">
        <f t="shared" si="29"/>
        <v>20228.25</v>
      </c>
      <c r="L24" s="59">
        <f t="shared" si="29"/>
        <v>22939.84</v>
      </c>
      <c r="M24" s="59">
        <f t="shared" si="29"/>
        <v>17955.73</v>
      </c>
      <c r="N24" s="59">
        <f t="shared" si="29"/>
        <v>20362.689999999999</v>
      </c>
      <c r="O24" s="59">
        <f t="shared" si="29"/>
        <v>15898.3</v>
      </c>
      <c r="P24" s="59">
        <f t="shared" si="29"/>
        <v>18029.46</v>
      </c>
      <c r="Q24" s="136">
        <f t="shared" si="1"/>
        <v>85781.38</v>
      </c>
      <c r="R24" s="136">
        <f t="shared" si="2"/>
        <v>70007.22</v>
      </c>
      <c r="S24" s="136">
        <f t="shared" si="3"/>
        <v>63856.94</v>
      </c>
      <c r="T24" s="136">
        <f t="shared" si="4"/>
        <v>46311.1</v>
      </c>
      <c r="U24" s="136">
        <f t="shared" si="5"/>
        <v>41362.28</v>
      </c>
      <c r="V24" s="136">
        <f t="shared" si="6"/>
        <v>34022.74</v>
      </c>
      <c r="W24" s="92"/>
      <c r="X24" s="137">
        <f t="shared" si="30"/>
        <v>85781.38</v>
      </c>
      <c r="Y24" s="137">
        <f t="shared" si="30"/>
        <v>70007.22</v>
      </c>
      <c r="Z24" s="136">
        <f t="shared" si="31"/>
        <v>89469.979340000005</v>
      </c>
      <c r="AA24" s="136">
        <f t="shared" si="32"/>
        <v>73017.530459999994</v>
      </c>
      <c r="AB24" s="136">
        <f t="shared" si="33"/>
        <v>96075.145600000018</v>
      </c>
      <c r="AC24" s="136">
        <f t="shared" si="34"/>
        <v>78408.086400000015</v>
      </c>
      <c r="AD24" s="138">
        <f t="shared" si="35"/>
        <v>63856.94</v>
      </c>
      <c r="AE24" s="138">
        <f t="shared" si="35"/>
        <v>46311.1</v>
      </c>
      <c r="AF24" s="136">
        <f t="shared" si="36"/>
        <v>66602.788419999997</v>
      </c>
      <c r="AG24" s="136">
        <f t="shared" si="37"/>
        <v>48302.477299999999</v>
      </c>
      <c r="AH24" s="136">
        <f t="shared" si="38"/>
        <v>71519.772800000006</v>
      </c>
      <c r="AI24" s="136">
        <f t="shared" si="39"/>
        <v>51868.432000000001</v>
      </c>
      <c r="AJ24" s="137">
        <f t="shared" si="40"/>
        <v>41362.28</v>
      </c>
      <c r="AK24" s="137">
        <f t="shared" si="40"/>
        <v>34022.74</v>
      </c>
      <c r="AL24" s="136">
        <f t="shared" si="41"/>
        <v>43140.858039999999</v>
      </c>
      <c r="AM24" s="136">
        <f t="shared" si="42"/>
        <v>35485.717819999998</v>
      </c>
      <c r="AN24" s="136">
        <f t="shared" si="43"/>
        <v>46325.753600000004</v>
      </c>
      <c r="AO24" s="136">
        <f t="shared" si="44"/>
        <v>38105.468800000002</v>
      </c>
      <c r="AP24" s="92"/>
      <c r="AQ24" s="140">
        <v>21</v>
      </c>
      <c r="AR24" s="141">
        <f ca="1">+RESUMEN!F24</f>
        <v>0</v>
      </c>
      <c r="AS24" s="141">
        <f ca="1">+RESUMEN!G24</f>
        <v>0</v>
      </c>
      <c r="AT24" s="142">
        <f t="shared" ca="1" si="7"/>
        <v>0</v>
      </c>
      <c r="AU24" s="143">
        <f t="shared" si="45"/>
        <v>0</v>
      </c>
      <c r="AV24" s="143">
        <f t="shared" si="46"/>
        <v>0</v>
      </c>
      <c r="AW24" s="143">
        <f t="shared" si="47"/>
        <v>0</v>
      </c>
      <c r="AX24" s="143">
        <f t="shared" si="48"/>
        <v>0</v>
      </c>
      <c r="AY24" s="143">
        <f t="shared" ca="1" si="49"/>
        <v>0</v>
      </c>
      <c r="AZ24" s="142"/>
      <c r="BA24" s="143">
        <f t="shared" ca="1" si="8"/>
        <v>0</v>
      </c>
      <c r="BB24" s="143">
        <f t="shared" ca="1" si="9"/>
        <v>0</v>
      </c>
      <c r="BC24" s="143">
        <f t="shared" ca="1" si="67"/>
        <v>0</v>
      </c>
      <c r="BD24" s="145">
        <f t="shared" ca="1" si="50"/>
        <v>0</v>
      </c>
      <c r="BE24" s="145">
        <f t="shared" ca="1" si="68"/>
        <v>0</v>
      </c>
      <c r="BF24" s="146" t="str">
        <f t="shared" ca="1" si="10"/>
        <v/>
      </c>
      <c r="BG24" s="92"/>
      <c r="BH24" s="95">
        <f t="shared" ca="1" si="11"/>
        <v>0</v>
      </c>
      <c r="BI24" s="95">
        <f t="shared" ca="1" si="12"/>
        <v>0</v>
      </c>
      <c r="BJ24" s="95">
        <f t="shared" ca="1" si="69"/>
        <v>0</v>
      </c>
      <c r="BK24" s="147">
        <f t="shared" ca="1" si="52"/>
        <v>0</v>
      </c>
      <c r="BL24" s="147">
        <f t="shared" ca="1" si="70"/>
        <v>0</v>
      </c>
      <c r="BM24" s="148" t="str">
        <f t="shared" ca="1" si="13"/>
        <v/>
      </c>
      <c r="BN24" s="92"/>
      <c r="BO24" s="149">
        <f t="shared" ca="1" si="14"/>
        <v>0</v>
      </c>
      <c r="BP24" s="149">
        <f t="shared" ca="1" si="15"/>
        <v>0</v>
      </c>
      <c r="BQ24" s="149">
        <f t="shared" ca="1" si="71"/>
        <v>0</v>
      </c>
      <c r="BR24" s="150">
        <f t="shared" ca="1" si="54"/>
        <v>0</v>
      </c>
      <c r="BS24" s="150">
        <f t="shared" ca="1" si="72"/>
        <v>0</v>
      </c>
      <c r="BT24" s="151" t="str">
        <f t="shared" ca="1" si="16"/>
        <v/>
      </c>
      <c r="BU24" s="209"/>
      <c r="BV24" s="152">
        <f t="shared" ca="1" si="17"/>
        <v>0</v>
      </c>
      <c r="BW24" s="152">
        <f t="shared" ca="1" si="18"/>
        <v>0</v>
      </c>
      <c r="BX24" s="152">
        <f t="shared" ca="1" si="73"/>
        <v>0</v>
      </c>
      <c r="BY24" s="153">
        <f t="shared" ca="1" si="56"/>
        <v>0</v>
      </c>
      <c r="BZ24" s="153">
        <f t="shared" ca="1" si="74"/>
        <v>0</v>
      </c>
      <c r="CA24" s="154" t="str">
        <f t="shared" ca="1" si="19"/>
        <v/>
      </c>
      <c r="CB24" s="92"/>
      <c r="CC24" s="155">
        <f t="shared" ca="1" si="20"/>
        <v>0</v>
      </c>
      <c r="CD24" s="155">
        <f t="shared" ca="1" si="21"/>
        <v>0</v>
      </c>
      <c r="CE24" s="155">
        <f t="shared" ca="1" si="75"/>
        <v>0</v>
      </c>
      <c r="CF24" s="156">
        <f t="shared" ca="1" si="58"/>
        <v>0</v>
      </c>
      <c r="CG24" s="156">
        <f t="shared" ca="1" si="76"/>
        <v>0</v>
      </c>
      <c r="CH24" s="157" t="str">
        <f t="shared" ca="1" si="22"/>
        <v/>
      </c>
      <c r="CI24" s="92"/>
      <c r="CJ24" s="158">
        <f t="shared" ca="1" si="23"/>
        <v>0</v>
      </c>
      <c r="CK24" s="158">
        <f t="shared" ca="1" si="24"/>
        <v>0</v>
      </c>
      <c r="CL24" s="158">
        <f t="shared" ca="1" si="77"/>
        <v>0</v>
      </c>
      <c r="CM24" s="159">
        <f t="shared" ca="1" si="60"/>
        <v>0</v>
      </c>
      <c r="CN24" s="159">
        <f t="shared" ca="1" si="78"/>
        <v>0</v>
      </c>
      <c r="CO24" s="160" t="str">
        <f t="shared" ca="1" si="25"/>
        <v/>
      </c>
      <c r="CP24" s="92"/>
      <c r="CQ24" s="140">
        <v>21</v>
      </c>
      <c r="CR24" s="330">
        <v>0.18</v>
      </c>
      <c r="CS24" s="92">
        <f t="shared" si="62"/>
        <v>0</v>
      </c>
      <c r="CT24" s="335">
        <f t="shared" si="63"/>
        <v>0.18</v>
      </c>
      <c r="CU24" s="92">
        <f t="shared" si="64"/>
        <v>1</v>
      </c>
      <c r="CV24" s="348">
        <f t="shared" si="65"/>
        <v>1</v>
      </c>
      <c r="CW24" s="380">
        <f t="shared" si="66"/>
        <v>139.81</v>
      </c>
      <c r="CX24" s="380">
        <f t="shared" si="26"/>
        <v>68.569999999999993</v>
      </c>
      <c r="CY24" s="367">
        <f t="shared" si="27"/>
        <v>276.83</v>
      </c>
      <c r="CZ24" s="380">
        <f t="shared" si="28"/>
        <v>155.79</v>
      </c>
      <c r="DA24"/>
      <c r="DB24" s="391">
        <v>21</v>
      </c>
      <c r="DC24" s="59">
        <v>20228.25</v>
      </c>
      <c r="DD24" s="59">
        <v>22939.84</v>
      </c>
      <c r="DE24" s="59">
        <v>17955.73</v>
      </c>
      <c r="DF24" s="59">
        <v>20362.689999999999</v>
      </c>
      <c r="DG24" s="59">
        <v>15898.3</v>
      </c>
      <c r="DH24" s="59">
        <v>18029.46</v>
      </c>
      <c r="DI24" s="137">
        <v>85781.38</v>
      </c>
      <c r="DJ24" s="137">
        <v>70007.22</v>
      </c>
      <c r="DK24" s="138">
        <v>63856.94</v>
      </c>
      <c r="DL24" s="138">
        <v>46311.1</v>
      </c>
      <c r="DM24" s="137">
        <v>41362.28</v>
      </c>
      <c r="DN24" s="137">
        <v>34022.74</v>
      </c>
      <c r="DP24" s="384" t="s">
        <v>149</v>
      </c>
      <c r="DQ24" s="389">
        <v>474.78</v>
      </c>
      <c r="DR24" s="389">
        <v>484.36</v>
      </c>
    </row>
    <row r="25" spans="1:122">
      <c r="A25" s="162" t="s">
        <v>383</v>
      </c>
      <c r="B25" s="310">
        <f>IF(C14=B14,1,(1-(B14-C14)))</f>
        <v>1</v>
      </c>
      <c r="C25"/>
      <c r="D25" s="241"/>
      <c r="E25" s="241"/>
      <c r="F25"/>
      <c r="G25" s="91"/>
      <c r="H25" s="91"/>
      <c r="I25" s="91"/>
      <c r="J25" s="164">
        <v>22</v>
      </c>
      <c r="K25" s="59">
        <f t="shared" si="29"/>
        <v>21115.86</v>
      </c>
      <c r="L25" s="59">
        <f t="shared" si="29"/>
        <v>22966.61</v>
      </c>
      <c r="M25" s="59">
        <f t="shared" si="29"/>
        <v>18743.62</v>
      </c>
      <c r="N25" s="59">
        <f t="shared" si="29"/>
        <v>20386.45</v>
      </c>
      <c r="O25" s="59">
        <f t="shared" si="29"/>
        <v>16595.919999999998</v>
      </c>
      <c r="P25" s="59">
        <f t="shared" si="29"/>
        <v>18050.5</v>
      </c>
      <c r="Q25" s="136">
        <f t="shared" si="1"/>
        <v>85781.38</v>
      </c>
      <c r="R25" s="136">
        <f t="shared" si="2"/>
        <v>70346.759999999995</v>
      </c>
      <c r="S25" s="136">
        <f t="shared" si="3"/>
        <v>63856.94</v>
      </c>
      <c r="T25" s="136">
        <f t="shared" si="4"/>
        <v>48377.47</v>
      </c>
      <c r="U25" s="136">
        <f t="shared" si="5"/>
        <v>41362.28</v>
      </c>
      <c r="V25" s="136">
        <f t="shared" si="6"/>
        <v>34356.160000000003</v>
      </c>
      <c r="W25" s="92"/>
      <c r="X25" s="137">
        <f t="shared" si="30"/>
        <v>85781.38</v>
      </c>
      <c r="Y25" s="137">
        <f t="shared" si="30"/>
        <v>70346.759999999995</v>
      </c>
      <c r="Z25" s="136">
        <f t="shared" si="31"/>
        <v>89469.979340000005</v>
      </c>
      <c r="AA25" s="136">
        <f t="shared" si="32"/>
        <v>73371.670679999996</v>
      </c>
      <c r="AB25" s="136">
        <f t="shared" si="33"/>
        <v>96075.145600000018</v>
      </c>
      <c r="AC25" s="136">
        <f t="shared" si="34"/>
        <v>78788.371200000009</v>
      </c>
      <c r="AD25" s="138">
        <f t="shared" si="35"/>
        <v>63856.94</v>
      </c>
      <c r="AE25" s="138">
        <f t="shared" si="35"/>
        <v>48377.47</v>
      </c>
      <c r="AF25" s="136">
        <f t="shared" si="36"/>
        <v>66602.788419999997</v>
      </c>
      <c r="AG25" s="136">
        <f t="shared" si="37"/>
        <v>50457.701209999999</v>
      </c>
      <c r="AH25" s="136">
        <f t="shared" si="38"/>
        <v>71519.772800000006</v>
      </c>
      <c r="AI25" s="136">
        <f t="shared" si="39"/>
        <v>54182.766400000008</v>
      </c>
      <c r="AJ25" s="137">
        <f t="shared" si="40"/>
        <v>41362.28</v>
      </c>
      <c r="AK25" s="137">
        <f t="shared" si="40"/>
        <v>34356.160000000003</v>
      </c>
      <c r="AL25" s="136">
        <f t="shared" si="41"/>
        <v>43140.858039999999</v>
      </c>
      <c r="AM25" s="136">
        <f t="shared" si="42"/>
        <v>35833.474880000002</v>
      </c>
      <c r="AN25" s="136">
        <f t="shared" si="43"/>
        <v>46325.753600000004</v>
      </c>
      <c r="AO25" s="136">
        <f t="shared" si="44"/>
        <v>38478.899200000007</v>
      </c>
      <c r="AP25" s="92"/>
      <c r="AQ25" s="140">
        <v>22</v>
      </c>
      <c r="AR25" s="141">
        <f ca="1">+RESUMEN!F25</f>
        <v>0</v>
      </c>
      <c r="AS25" s="141">
        <f ca="1">+RESUMEN!G25</f>
        <v>0</v>
      </c>
      <c r="AT25" s="142">
        <f t="shared" ca="1" si="7"/>
        <v>0</v>
      </c>
      <c r="AU25" s="143">
        <f t="shared" si="45"/>
        <v>0</v>
      </c>
      <c r="AV25" s="143">
        <f t="shared" si="46"/>
        <v>0</v>
      </c>
      <c r="AW25" s="143">
        <f t="shared" si="47"/>
        <v>0</v>
      </c>
      <c r="AX25" s="143">
        <f t="shared" si="48"/>
        <v>0</v>
      </c>
      <c r="AY25" s="143">
        <f t="shared" ca="1" si="49"/>
        <v>0</v>
      </c>
      <c r="AZ25" s="142"/>
      <c r="BA25" s="143">
        <f t="shared" ca="1" si="8"/>
        <v>0</v>
      </c>
      <c r="BB25" s="143">
        <f t="shared" ca="1" si="9"/>
        <v>0</v>
      </c>
      <c r="BC25" s="143">
        <f t="shared" ca="1" si="67"/>
        <v>0</v>
      </c>
      <c r="BD25" s="145">
        <f t="shared" ca="1" si="50"/>
        <v>0</v>
      </c>
      <c r="BE25" s="145">
        <f t="shared" ca="1" si="68"/>
        <v>0</v>
      </c>
      <c r="BF25" s="146" t="str">
        <f t="shared" ca="1" si="10"/>
        <v/>
      </c>
      <c r="BG25" s="92"/>
      <c r="BH25" s="95">
        <f t="shared" ca="1" si="11"/>
        <v>0</v>
      </c>
      <c r="BI25" s="95">
        <f t="shared" ca="1" si="12"/>
        <v>0</v>
      </c>
      <c r="BJ25" s="95">
        <f t="shared" ca="1" si="69"/>
        <v>0</v>
      </c>
      <c r="BK25" s="147">
        <f t="shared" ca="1" si="52"/>
        <v>0</v>
      </c>
      <c r="BL25" s="147">
        <f t="shared" ca="1" si="70"/>
        <v>0</v>
      </c>
      <c r="BM25" s="148" t="str">
        <f t="shared" ca="1" si="13"/>
        <v/>
      </c>
      <c r="BN25" s="92"/>
      <c r="BO25" s="149">
        <f t="shared" ca="1" si="14"/>
        <v>0</v>
      </c>
      <c r="BP25" s="149">
        <f t="shared" ca="1" si="15"/>
        <v>0</v>
      </c>
      <c r="BQ25" s="149">
        <f t="shared" ca="1" si="71"/>
        <v>0</v>
      </c>
      <c r="BR25" s="150">
        <f t="shared" ca="1" si="54"/>
        <v>0</v>
      </c>
      <c r="BS25" s="150">
        <f t="shared" ca="1" si="72"/>
        <v>0</v>
      </c>
      <c r="BT25" s="151" t="str">
        <f t="shared" ca="1" si="16"/>
        <v/>
      </c>
      <c r="BU25" s="239"/>
      <c r="BV25" s="152">
        <f t="shared" ca="1" si="17"/>
        <v>0</v>
      </c>
      <c r="BW25" s="152">
        <f t="shared" ca="1" si="18"/>
        <v>0</v>
      </c>
      <c r="BX25" s="152">
        <f t="shared" ca="1" si="73"/>
        <v>0</v>
      </c>
      <c r="BY25" s="153">
        <f t="shared" ca="1" si="56"/>
        <v>0</v>
      </c>
      <c r="BZ25" s="153">
        <f t="shared" ca="1" si="74"/>
        <v>0</v>
      </c>
      <c r="CA25" s="154" t="str">
        <f t="shared" ca="1" si="19"/>
        <v/>
      </c>
      <c r="CB25" s="92"/>
      <c r="CC25" s="155">
        <f t="shared" ca="1" si="20"/>
        <v>0</v>
      </c>
      <c r="CD25" s="155">
        <f t="shared" ca="1" si="21"/>
        <v>0</v>
      </c>
      <c r="CE25" s="155">
        <f t="shared" ca="1" si="75"/>
        <v>0</v>
      </c>
      <c r="CF25" s="156">
        <f t="shared" ca="1" si="58"/>
        <v>0</v>
      </c>
      <c r="CG25" s="156">
        <f t="shared" ca="1" si="76"/>
        <v>0</v>
      </c>
      <c r="CH25" s="157" t="str">
        <f t="shared" ca="1" si="22"/>
        <v/>
      </c>
      <c r="CI25" s="92"/>
      <c r="CJ25" s="158">
        <f t="shared" ca="1" si="23"/>
        <v>0</v>
      </c>
      <c r="CK25" s="158">
        <f t="shared" ca="1" si="24"/>
        <v>0</v>
      </c>
      <c r="CL25" s="158">
        <f t="shared" ca="1" si="77"/>
        <v>0</v>
      </c>
      <c r="CM25" s="159">
        <f t="shared" ca="1" si="60"/>
        <v>0</v>
      </c>
      <c r="CN25" s="159">
        <f t="shared" ca="1" si="78"/>
        <v>0</v>
      </c>
      <c r="CO25" s="160" t="str">
        <f t="shared" ca="1" si="25"/>
        <v/>
      </c>
      <c r="CP25" s="92"/>
      <c r="CQ25" s="140">
        <v>22</v>
      </c>
      <c r="CR25" s="330">
        <v>0.18</v>
      </c>
      <c r="CS25" s="92">
        <f t="shared" si="62"/>
        <v>0</v>
      </c>
      <c r="CT25" s="335">
        <f t="shared" si="63"/>
        <v>0.18</v>
      </c>
      <c r="CU25" s="92">
        <f t="shared" si="64"/>
        <v>1</v>
      </c>
      <c r="CV25" s="348">
        <f t="shared" si="65"/>
        <v>1</v>
      </c>
      <c r="CW25" s="380">
        <f t="shared" si="66"/>
        <v>139.81</v>
      </c>
      <c r="CX25" s="380">
        <f t="shared" si="26"/>
        <v>68.569999999999993</v>
      </c>
      <c r="CY25" s="367">
        <f t="shared" si="27"/>
        <v>276.83</v>
      </c>
      <c r="CZ25" s="380">
        <f t="shared" si="28"/>
        <v>155.79</v>
      </c>
      <c r="DA25"/>
      <c r="DB25" s="391">
        <v>22</v>
      </c>
      <c r="DC25" s="59">
        <v>21115.86</v>
      </c>
      <c r="DD25" s="59">
        <v>22966.61</v>
      </c>
      <c r="DE25" s="59">
        <v>18743.62</v>
      </c>
      <c r="DF25" s="59">
        <v>20386.45</v>
      </c>
      <c r="DG25" s="59">
        <v>16595.919999999998</v>
      </c>
      <c r="DH25" s="59">
        <v>18050.5</v>
      </c>
      <c r="DI25" s="137">
        <v>85781.38</v>
      </c>
      <c r="DJ25" s="137">
        <v>70346.759999999995</v>
      </c>
      <c r="DK25" s="138">
        <v>63856.94</v>
      </c>
      <c r="DL25" s="138">
        <v>48377.47</v>
      </c>
      <c r="DM25" s="137">
        <v>41362.28</v>
      </c>
      <c r="DN25" s="137">
        <v>34356.160000000003</v>
      </c>
      <c r="DP25" s="384" t="s">
        <v>150</v>
      </c>
      <c r="DQ25" s="387">
        <v>482.65</v>
      </c>
      <c r="DR25" s="387">
        <v>479.84</v>
      </c>
    </row>
    <row r="26" spans="1:122">
      <c r="A26" s="162" t="s">
        <v>81</v>
      </c>
      <c r="B26" s="311">
        <f ca="1">PRODUCT(B17:B25)</f>
        <v>0</v>
      </c>
      <c r="C26"/>
      <c r="D26" s="241"/>
      <c r="E26" s="162" t="s">
        <v>468</v>
      </c>
      <c r="F26" s="162"/>
      <c r="G26" s="161" t="str">
        <f>+IF(OR(LEFT(F26)="F",F26=""),"NO","SI")</f>
        <v>NO</v>
      </c>
      <c r="H26"/>
      <c r="I26" s="91"/>
      <c r="J26" s="164">
        <v>23</v>
      </c>
      <c r="K26" s="59">
        <f t="shared" si="29"/>
        <v>21834.67</v>
      </c>
      <c r="L26" s="59">
        <f t="shared" si="29"/>
        <v>22993.38</v>
      </c>
      <c r="M26" s="59">
        <f t="shared" si="29"/>
        <v>19381.669999999998</v>
      </c>
      <c r="N26" s="59">
        <f t="shared" si="29"/>
        <v>20410.22</v>
      </c>
      <c r="O26" s="59">
        <f t="shared" si="29"/>
        <v>17160.86</v>
      </c>
      <c r="P26" s="59">
        <f t="shared" si="29"/>
        <v>18071.55</v>
      </c>
      <c r="Q26" s="136">
        <f t="shared" si="1"/>
        <v>86197.42</v>
      </c>
      <c r="R26" s="136">
        <f t="shared" si="2"/>
        <v>71238.86</v>
      </c>
      <c r="S26" s="136">
        <f t="shared" si="3"/>
        <v>63856.94</v>
      </c>
      <c r="T26" s="136">
        <f t="shared" si="4"/>
        <v>50590.32</v>
      </c>
      <c r="U26" s="136">
        <f t="shared" si="5"/>
        <v>42419</v>
      </c>
      <c r="V26" s="136">
        <f t="shared" si="6"/>
        <v>35238.15</v>
      </c>
      <c r="W26" s="92"/>
      <c r="X26" s="137">
        <f t="shared" si="30"/>
        <v>86197.42</v>
      </c>
      <c r="Y26" s="137">
        <f t="shared" si="30"/>
        <v>71238.86</v>
      </c>
      <c r="Z26" s="136">
        <f t="shared" si="31"/>
        <v>89903.909059999991</v>
      </c>
      <c r="AA26" s="136">
        <f t="shared" si="32"/>
        <v>74302.130980000002</v>
      </c>
      <c r="AB26" s="136">
        <f t="shared" si="33"/>
        <v>96541.110400000005</v>
      </c>
      <c r="AC26" s="136">
        <f t="shared" si="34"/>
        <v>79787.523200000011</v>
      </c>
      <c r="AD26" s="138">
        <f t="shared" si="35"/>
        <v>63856.94</v>
      </c>
      <c r="AE26" s="138">
        <f t="shared" si="35"/>
        <v>50590.32</v>
      </c>
      <c r="AF26" s="136">
        <f t="shared" si="36"/>
        <v>66602.788419999997</v>
      </c>
      <c r="AG26" s="136">
        <f t="shared" si="37"/>
        <v>52765.703759999997</v>
      </c>
      <c r="AH26" s="136">
        <f t="shared" si="38"/>
        <v>71519.772800000006</v>
      </c>
      <c r="AI26" s="136">
        <f t="shared" si="39"/>
        <v>56661.158400000008</v>
      </c>
      <c r="AJ26" s="137">
        <f t="shared" si="40"/>
        <v>42419</v>
      </c>
      <c r="AK26" s="137">
        <f t="shared" si="40"/>
        <v>35238.15</v>
      </c>
      <c r="AL26" s="136">
        <f t="shared" si="41"/>
        <v>44243.017</v>
      </c>
      <c r="AM26" s="136">
        <f t="shared" si="42"/>
        <v>36753.390449999999</v>
      </c>
      <c r="AN26" s="136">
        <f t="shared" si="43"/>
        <v>47509.280000000006</v>
      </c>
      <c r="AO26" s="136">
        <f t="shared" si="44"/>
        <v>39466.728000000003</v>
      </c>
      <c r="AP26" s="92"/>
      <c r="AQ26" s="140">
        <v>23</v>
      </c>
      <c r="AR26" s="141">
        <f ca="1">+RESUMEN!F26</f>
        <v>0</v>
      </c>
      <c r="AS26" s="141">
        <f ca="1">+RESUMEN!G26</f>
        <v>0</v>
      </c>
      <c r="AT26" s="142">
        <f t="shared" ca="1" si="7"/>
        <v>0</v>
      </c>
      <c r="AU26" s="143">
        <f t="shared" si="45"/>
        <v>0</v>
      </c>
      <c r="AV26" s="143">
        <f t="shared" si="46"/>
        <v>0</v>
      </c>
      <c r="AW26" s="143">
        <f t="shared" si="47"/>
        <v>0</v>
      </c>
      <c r="AX26" s="143">
        <f t="shared" si="48"/>
        <v>0</v>
      </c>
      <c r="AY26" s="143">
        <f t="shared" ca="1" si="49"/>
        <v>0</v>
      </c>
      <c r="AZ26" s="142"/>
      <c r="BA26" s="143">
        <f t="shared" ca="1" si="8"/>
        <v>0</v>
      </c>
      <c r="BB26" s="143">
        <f t="shared" ca="1" si="9"/>
        <v>0</v>
      </c>
      <c r="BC26" s="143">
        <f t="shared" ca="1" si="67"/>
        <v>0</v>
      </c>
      <c r="BD26" s="145">
        <f t="shared" ca="1" si="50"/>
        <v>0</v>
      </c>
      <c r="BE26" s="145">
        <f t="shared" ca="1" si="68"/>
        <v>0</v>
      </c>
      <c r="BF26" s="146" t="str">
        <f t="shared" ca="1" si="10"/>
        <v/>
      </c>
      <c r="BG26" s="92"/>
      <c r="BH26" s="95">
        <f t="shared" ca="1" si="11"/>
        <v>0</v>
      </c>
      <c r="BI26" s="95">
        <f t="shared" ca="1" si="12"/>
        <v>0</v>
      </c>
      <c r="BJ26" s="95">
        <f t="shared" ca="1" si="69"/>
        <v>0</v>
      </c>
      <c r="BK26" s="147">
        <f t="shared" ca="1" si="52"/>
        <v>0</v>
      </c>
      <c r="BL26" s="147">
        <f t="shared" ca="1" si="70"/>
        <v>0</v>
      </c>
      <c r="BM26" s="148" t="str">
        <f t="shared" ca="1" si="13"/>
        <v/>
      </c>
      <c r="BN26" s="92"/>
      <c r="BO26" s="149">
        <f t="shared" ca="1" si="14"/>
        <v>0</v>
      </c>
      <c r="BP26" s="149">
        <f t="shared" ca="1" si="15"/>
        <v>0</v>
      </c>
      <c r="BQ26" s="149">
        <f t="shared" ca="1" si="71"/>
        <v>0</v>
      </c>
      <c r="BR26" s="150">
        <f t="shared" ca="1" si="54"/>
        <v>0</v>
      </c>
      <c r="BS26" s="150">
        <f t="shared" ca="1" si="72"/>
        <v>0</v>
      </c>
      <c r="BT26" s="151" t="str">
        <f t="shared" ca="1" si="16"/>
        <v/>
      </c>
      <c r="BU26" s="92"/>
      <c r="BV26" s="152">
        <f t="shared" ca="1" si="17"/>
        <v>0</v>
      </c>
      <c r="BW26" s="152">
        <f t="shared" ca="1" si="18"/>
        <v>0</v>
      </c>
      <c r="BX26" s="152">
        <f t="shared" ca="1" si="73"/>
        <v>0</v>
      </c>
      <c r="BY26" s="153">
        <f t="shared" ca="1" si="56"/>
        <v>0</v>
      </c>
      <c r="BZ26" s="153">
        <f t="shared" ca="1" si="74"/>
        <v>0</v>
      </c>
      <c r="CA26" s="154" t="str">
        <f t="shared" ca="1" si="19"/>
        <v/>
      </c>
      <c r="CB26" s="92"/>
      <c r="CC26" s="155">
        <f t="shared" ca="1" si="20"/>
        <v>0</v>
      </c>
      <c r="CD26" s="155">
        <f t="shared" ca="1" si="21"/>
        <v>0</v>
      </c>
      <c r="CE26" s="155">
        <f t="shared" ca="1" si="75"/>
        <v>0</v>
      </c>
      <c r="CF26" s="156">
        <f t="shared" ca="1" si="58"/>
        <v>0</v>
      </c>
      <c r="CG26" s="156">
        <f t="shared" ca="1" si="76"/>
        <v>0</v>
      </c>
      <c r="CH26" s="157" t="str">
        <f t="shared" ca="1" si="22"/>
        <v/>
      </c>
      <c r="CI26" s="92"/>
      <c r="CJ26" s="158">
        <f t="shared" ca="1" si="23"/>
        <v>0</v>
      </c>
      <c r="CK26" s="158">
        <f t="shared" ca="1" si="24"/>
        <v>0</v>
      </c>
      <c r="CL26" s="158">
        <f t="shared" ca="1" si="77"/>
        <v>0</v>
      </c>
      <c r="CM26" s="159">
        <f t="shared" ca="1" si="60"/>
        <v>0</v>
      </c>
      <c r="CN26" s="159">
        <f t="shared" ca="1" si="78"/>
        <v>0</v>
      </c>
      <c r="CO26" s="160" t="str">
        <f t="shared" ca="1" si="25"/>
        <v/>
      </c>
      <c r="CP26" s="92"/>
      <c r="CQ26" s="140">
        <v>23</v>
      </c>
      <c r="CR26" s="330">
        <v>0.18</v>
      </c>
      <c r="CS26" s="92">
        <f t="shared" si="62"/>
        <v>0</v>
      </c>
      <c r="CT26" s="335">
        <f t="shared" si="63"/>
        <v>0.18</v>
      </c>
      <c r="CU26" s="92">
        <f t="shared" si="64"/>
        <v>1</v>
      </c>
      <c r="CV26" s="348">
        <f t="shared" si="65"/>
        <v>1</v>
      </c>
      <c r="CW26" s="380">
        <f t="shared" si="66"/>
        <v>139.81</v>
      </c>
      <c r="CX26" s="380">
        <f t="shared" si="26"/>
        <v>68.569999999999993</v>
      </c>
      <c r="CY26" s="367">
        <f t="shared" si="27"/>
        <v>276.83</v>
      </c>
      <c r="CZ26" s="380">
        <f t="shared" si="28"/>
        <v>155.79</v>
      </c>
      <c r="DA26"/>
      <c r="DB26" s="391">
        <v>23</v>
      </c>
      <c r="DC26" s="59">
        <v>21834.67</v>
      </c>
      <c r="DD26" s="59">
        <v>22993.38</v>
      </c>
      <c r="DE26" s="59">
        <v>19381.669999999998</v>
      </c>
      <c r="DF26" s="59">
        <v>20410.22</v>
      </c>
      <c r="DG26" s="59">
        <v>17160.86</v>
      </c>
      <c r="DH26" s="59">
        <v>18071.55</v>
      </c>
      <c r="DI26" s="137">
        <v>86197.42</v>
      </c>
      <c r="DJ26" s="137">
        <v>71238.86</v>
      </c>
      <c r="DK26" s="138">
        <v>63856.94</v>
      </c>
      <c r="DL26" s="138">
        <v>50590.32</v>
      </c>
      <c r="DM26" s="137">
        <v>42419</v>
      </c>
      <c r="DN26" s="137">
        <v>35238.15</v>
      </c>
      <c r="DP26" s="384" t="s">
        <v>151</v>
      </c>
      <c r="DQ26" s="387">
        <v>490.52</v>
      </c>
      <c r="DR26" s="387">
        <v>475.31</v>
      </c>
    </row>
    <row r="27" spans="1:122">
      <c r="D27"/>
      <c r="E27" s="162" t="s">
        <v>469</v>
      </c>
      <c r="F27" s="300">
        <v>1</v>
      </c>
      <c r="G27" s="161" t="str">
        <f>+VLOOKUP(F27,$F$95:$G$99,2,0)</f>
        <v>100,000  M.N</v>
      </c>
      <c r="H27"/>
      <c r="I27" s="92"/>
      <c r="J27" s="164">
        <v>24</v>
      </c>
      <c r="K27" s="59">
        <f t="shared" si="29"/>
        <v>22799.26</v>
      </c>
      <c r="L27" s="59">
        <f t="shared" si="29"/>
        <v>23007.73</v>
      </c>
      <c r="M27" s="59">
        <f t="shared" si="29"/>
        <v>20237.900000000001</v>
      </c>
      <c r="N27" s="59">
        <f t="shared" si="29"/>
        <v>20422.95</v>
      </c>
      <c r="O27" s="59">
        <f t="shared" si="29"/>
        <v>17918.98</v>
      </c>
      <c r="P27" s="59">
        <f t="shared" si="29"/>
        <v>18082.82</v>
      </c>
      <c r="Q27" s="136">
        <f t="shared" si="1"/>
        <v>88170.35</v>
      </c>
      <c r="R27" s="136">
        <f t="shared" si="2"/>
        <v>71584.36</v>
      </c>
      <c r="S27" s="136">
        <f t="shared" si="3"/>
        <v>65642.559999999998</v>
      </c>
      <c r="T27" s="136">
        <f t="shared" si="4"/>
        <v>53396.05</v>
      </c>
      <c r="U27" s="136">
        <f t="shared" si="5"/>
        <v>43126.97</v>
      </c>
      <c r="V27" s="136">
        <f t="shared" si="6"/>
        <v>35783.949999999997</v>
      </c>
      <c r="W27" s="92"/>
      <c r="X27" s="137">
        <f t="shared" si="30"/>
        <v>88170.35</v>
      </c>
      <c r="Y27" s="137">
        <f t="shared" si="30"/>
        <v>71584.36</v>
      </c>
      <c r="Z27" s="136">
        <f t="shared" si="31"/>
        <v>91961.675050000005</v>
      </c>
      <c r="AA27" s="136">
        <f t="shared" si="32"/>
        <v>74662.487479999996</v>
      </c>
      <c r="AB27" s="136">
        <f t="shared" si="33"/>
        <v>98750.792000000016</v>
      </c>
      <c r="AC27" s="136">
        <f t="shared" si="34"/>
        <v>80174.483200000002</v>
      </c>
      <c r="AD27" s="138">
        <f t="shared" si="35"/>
        <v>65642.559999999998</v>
      </c>
      <c r="AE27" s="138">
        <f t="shared" si="35"/>
        <v>53396.05</v>
      </c>
      <c r="AF27" s="136">
        <f t="shared" si="36"/>
        <v>68465.190079999986</v>
      </c>
      <c r="AG27" s="136">
        <f t="shared" si="37"/>
        <v>55692.080150000002</v>
      </c>
      <c r="AH27" s="136">
        <f t="shared" si="38"/>
        <v>73519.667200000011</v>
      </c>
      <c r="AI27" s="136">
        <f t="shared" si="39"/>
        <v>59803.576000000008</v>
      </c>
      <c r="AJ27" s="137">
        <f t="shared" si="40"/>
        <v>43126.97</v>
      </c>
      <c r="AK27" s="137">
        <f t="shared" si="40"/>
        <v>35783.949999999997</v>
      </c>
      <c r="AL27" s="136">
        <f t="shared" si="41"/>
        <v>44981.429709999997</v>
      </c>
      <c r="AM27" s="136">
        <f t="shared" si="42"/>
        <v>37322.659849999996</v>
      </c>
      <c r="AN27" s="136">
        <f t="shared" si="43"/>
        <v>48302.206400000003</v>
      </c>
      <c r="AO27" s="136">
        <f t="shared" si="44"/>
        <v>40078.023999999998</v>
      </c>
      <c r="AP27" s="92"/>
      <c r="AQ27" s="140">
        <v>24</v>
      </c>
      <c r="AR27" s="141">
        <f ca="1">+RESUMEN!F27</f>
        <v>0</v>
      </c>
      <c r="AS27" s="141">
        <f ca="1">+RESUMEN!G27</f>
        <v>0</v>
      </c>
      <c r="AT27" s="142">
        <f t="shared" ca="1" si="7"/>
        <v>0</v>
      </c>
      <c r="AU27" s="143">
        <f t="shared" si="45"/>
        <v>0</v>
      </c>
      <c r="AV27" s="143">
        <f t="shared" si="46"/>
        <v>0</v>
      </c>
      <c r="AW27" s="143">
        <f t="shared" si="47"/>
        <v>0</v>
      </c>
      <c r="AX27" s="143">
        <f t="shared" si="48"/>
        <v>0</v>
      </c>
      <c r="AY27" s="143">
        <f t="shared" ca="1" si="49"/>
        <v>0</v>
      </c>
      <c r="AZ27" s="142"/>
      <c r="BA27" s="143">
        <f t="shared" ca="1" si="8"/>
        <v>0</v>
      </c>
      <c r="BB27" s="143">
        <f t="shared" ca="1" si="9"/>
        <v>0</v>
      </c>
      <c r="BC27" s="143">
        <f t="shared" ca="1" si="67"/>
        <v>0</v>
      </c>
      <c r="BD27" s="145">
        <f t="shared" ca="1" si="50"/>
        <v>0</v>
      </c>
      <c r="BE27" s="145">
        <f t="shared" ca="1" si="68"/>
        <v>0</v>
      </c>
      <c r="BF27" s="146" t="str">
        <f t="shared" ca="1" si="10"/>
        <v/>
      </c>
      <c r="BG27" s="92"/>
      <c r="BH27" s="95">
        <f t="shared" ca="1" si="11"/>
        <v>0</v>
      </c>
      <c r="BI27" s="95">
        <f t="shared" ca="1" si="12"/>
        <v>0</v>
      </c>
      <c r="BJ27" s="95">
        <f t="shared" ca="1" si="69"/>
        <v>0</v>
      </c>
      <c r="BK27" s="147">
        <f t="shared" ca="1" si="52"/>
        <v>0</v>
      </c>
      <c r="BL27" s="147">
        <f t="shared" ca="1" si="70"/>
        <v>0</v>
      </c>
      <c r="BM27" s="148" t="str">
        <f t="shared" ca="1" si="13"/>
        <v/>
      </c>
      <c r="BN27" s="92"/>
      <c r="BO27" s="149">
        <f t="shared" ca="1" si="14"/>
        <v>0</v>
      </c>
      <c r="BP27" s="149">
        <f t="shared" ca="1" si="15"/>
        <v>0</v>
      </c>
      <c r="BQ27" s="149">
        <f t="shared" ca="1" si="71"/>
        <v>0</v>
      </c>
      <c r="BR27" s="150">
        <f t="shared" ca="1" si="54"/>
        <v>0</v>
      </c>
      <c r="BS27" s="150">
        <f t="shared" ca="1" si="72"/>
        <v>0</v>
      </c>
      <c r="BT27" s="151" t="str">
        <f t="shared" ca="1" si="16"/>
        <v/>
      </c>
      <c r="BU27" s="92"/>
      <c r="BV27" s="152">
        <f t="shared" ca="1" si="17"/>
        <v>0</v>
      </c>
      <c r="BW27" s="152">
        <f t="shared" ca="1" si="18"/>
        <v>0</v>
      </c>
      <c r="BX27" s="152">
        <f t="shared" ca="1" si="73"/>
        <v>0</v>
      </c>
      <c r="BY27" s="153">
        <f t="shared" ca="1" si="56"/>
        <v>0</v>
      </c>
      <c r="BZ27" s="153">
        <f t="shared" ca="1" si="74"/>
        <v>0</v>
      </c>
      <c r="CA27" s="154" t="str">
        <f t="shared" ca="1" si="19"/>
        <v/>
      </c>
      <c r="CB27" s="92"/>
      <c r="CC27" s="155">
        <f t="shared" ca="1" si="20"/>
        <v>0</v>
      </c>
      <c r="CD27" s="155">
        <f t="shared" ca="1" si="21"/>
        <v>0</v>
      </c>
      <c r="CE27" s="155">
        <f t="shared" ca="1" si="75"/>
        <v>0</v>
      </c>
      <c r="CF27" s="156">
        <f t="shared" ca="1" si="58"/>
        <v>0</v>
      </c>
      <c r="CG27" s="156">
        <f t="shared" ca="1" si="76"/>
        <v>0</v>
      </c>
      <c r="CH27" s="157" t="str">
        <f t="shared" ca="1" si="22"/>
        <v/>
      </c>
      <c r="CI27" s="92"/>
      <c r="CJ27" s="158">
        <f t="shared" ca="1" si="23"/>
        <v>0</v>
      </c>
      <c r="CK27" s="158">
        <f t="shared" ca="1" si="24"/>
        <v>0</v>
      </c>
      <c r="CL27" s="158">
        <f t="shared" ca="1" si="77"/>
        <v>0</v>
      </c>
      <c r="CM27" s="159">
        <f t="shared" ca="1" si="60"/>
        <v>0</v>
      </c>
      <c r="CN27" s="159">
        <f t="shared" ca="1" si="78"/>
        <v>0</v>
      </c>
      <c r="CO27" s="160" t="str">
        <f t="shared" ca="1" si="25"/>
        <v/>
      </c>
      <c r="CP27" s="92"/>
      <c r="CQ27" s="140">
        <v>24</v>
      </c>
      <c r="CR27" s="330">
        <v>0.18</v>
      </c>
      <c r="CS27" s="92">
        <f t="shared" si="62"/>
        <v>0</v>
      </c>
      <c r="CT27" s="335">
        <f t="shared" si="63"/>
        <v>0.18</v>
      </c>
      <c r="CU27" s="92">
        <f t="shared" si="64"/>
        <v>1</v>
      </c>
      <c r="CV27" s="348">
        <f t="shared" si="65"/>
        <v>1</v>
      </c>
      <c r="CW27" s="380">
        <f t="shared" si="66"/>
        <v>139.81</v>
      </c>
      <c r="CX27" s="380">
        <f t="shared" si="26"/>
        <v>68.569999999999993</v>
      </c>
      <c r="CY27" s="367">
        <f t="shared" si="27"/>
        <v>276.83</v>
      </c>
      <c r="CZ27" s="380">
        <f t="shared" si="28"/>
        <v>155.79</v>
      </c>
      <c r="DA27"/>
      <c r="DB27" s="391">
        <v>24</v>
      </c>
      <c r="DC27" s="59">
        <v>22799.26</v>
      </c>
      <c r="DD27" s="59">
        <v>23007.73</v>
      </c>
      <c r="DE27" s="59">
        <v>20237.900000000001</v>
      </c>
      <c r="DF27" s="59">
        <v>20422.95</v>
      </c>
      <c r="DG27" s="59">
        <v>17918.98</v>
      </c>
      <c r="DH27" s="59">
        <v>18082.82</v>
      </c>
      <c r="DI27" s="137">
        <v>88170.35</v>
      </c>
      <c r="DJ27" s="137">
        <v>71584.36</v>
      </c>
      <c r="DK27" s="138">
        <v>65642.559999999998</v>
      </c>
      <c r="DL27" s="138">
        <v>53396.05</v>
      </c>
      <c r="DM27" s="137">
        <v>43126.97</v>
      </c>
      <c r="DN27" s="137">
        <v>35783.949999999997</v>
      </c>
      <c r="DP27" s="384" t="s">
        <v>152</v>
      </c>
      <c r="DQ27" s="387">
        <v>498.38</v>
      </c>
      <c r="DR27" s="387">
        <v>470.78</v>
      </c>
    </row>
    <row r="28" spans="1:122">
      <c r="A28" s="162" t="s">
        <v>448</v>
      </c>
      <c r="B28" s="381"/>
      <c r="C28" s="308" t="str">
        <f>+IF(OR(LEFT(B28)="F",B28=""),"NO","SI")</f>
        <v>NO</v>
      </c>
      <c r="D28"/>
      <c r="E28"/>
      <c r="F28"/>
      <c r="G28" s="165"/>
      <c r="H28" s="165"/>
      <c r="I28" s="165"/>
      <c r="J28" s="164">
        <v>25</v>
      </c>
      <c r="K28" s="59">
        <f t="shared" si="29"/>
        <v>23080.33</v>
      </c>
      <c r="L28" s="59">
        <f t="shared" si="29"/>
        <v>23022.49</v>
      </c>
      <c r="M28" s="59">
        <f t="shared" si="29"/>
        <v>20487.39</v>
      </c>
      <c r="N28" s="59">
        <f t="shared" si="29"/>
        <v>20436.05</v>
      </c>
      <c r="O28" s="59">
        <f t="shared" si="29"/>
        <v>18139.88</v>
      </c>
      <c r="P28" s="59">
        <f t="shared" si="29"/>
        <v>18094.419999999998</v>
      </c>
      <c r="Q28" s="136">
        <f t="shared" si="1"/>
        <v>88597.98</v>
      </c>
      <c r="R28" s="136">
        <f t="shared" si="2"/>
        <v>71931.55</v>
      </c>
      <c r="S28" s="136">
        <f t="shared" si="3"/>
        <v>66664.41</v>
      </c>
      <c r="T28" s="136">
        <f t="shared" si="4"/>
        <v>53884.3</v>
      </c>
      <c r="U28" s="136">
        <f t="shared" si="5"/>
        <v>43552.45</v>
      </c>
      <c r="V28" s="136">
        <f t="shared" si="6"/>
        <v>36301.85</v>
      </c>
      <c r="W28" s="92"/>
      <c r="X28" s="137">
        <f t="shared" si="30"/>
        <v>88597.98</v>
      </c>
      <c r="Y28" s="137">
        <f t="shared" si="30"/>
        <v>71931.55</v>
      </c>
      <c r="Z28" s="136">
        <f t="shared" si="31"/>
        <v>92407.693139999988</v>
      </c>
      <c r="AA28" s="136">
        <f t="shared" si="32"/>
        <v>75024.606650000002</v>
      </c>
      <c r="AB28" s="136">
        <f t="shared" si="33"/>
        <v>99229.737600000008</v>
      </c>
      <c r="AC28" s="136">
        <f t="shared" si="34"/>
        <v>80563.33600000001</v>
      </c>
      <c r="AD28" s="138">
        <f t="shared" si="35"/>
        <v>66664.41</v>
      </c>
      <c r="AE28" s="138">
        <f t="shared" si="35"/>
        <v>53884.3</v>
      </c>
      <c r="AF28" s="136">
        <f t="shared" si="36"/>
        <v>69530.979630000002</v>
      </c>
      <c r="AG28" s="136">
        <f t="shared" si="37"/>
        <v>56201.3249</v>
      </c>
      <c r="AH28" s="136">
        <f t="shared" si="38"/>
        <v>74664.139200000005</v>
      </c>
      <c r="AI28" s="136">
        <f t="shared" si="39"/>
        <v>60350.416000000012</v>
      </c>
      <c r="AJ28" s="137">
        <f t="shared" si="40"/>
        <v>43552.45</v>
      </c>
      <c r="AK28" s="137">
        <f t="shared" si="40"/>
        <v>36301.85</v>
      </c>
      <c r="AL28" s="136">
        <f t="shared" si="41"/>
        <v>45425.205349999997</v>
      </c>
      <c r="AM28" s="136">
        <f t="shared" si="42"/>
        <v>37862.829549999995</v>
      </c>
      <c r="AN28" s="136">
        <f t="shared" si="43"/>
        <v>48778.743999999999</v>
      </c>
      <c r="AO28" s="136">
        <f t="shared" si="44"/>
        <v>40658.072</v>
      </c>
      <c r="AP28" s="92"/>
      <c r="AQ28" s="140">
        <v>25</v>
      </c>
      <c r="AR28" s="141">
        <f ca="1">+RESUMEN!F28</f>
        <v>0</v>
      </c>
      <c r="AS28" s="141">
        <f ca="1">+RESUMEN!G28</f>
        <v>0</v>
      </c>
      <c r="AT28" s="142">
        <f t="shared" ca="1" si="7"/>
        <v>0</v>
      </c>
      <c r="AU28" s="143">
        <f t="shared" si="45"/>
        <v>0</v>
      </c>
      <c r="AV28" s="143">
        <f t="shared" si="46"/>
        <v>0</v>
      </c>
      <c r="AW28" s="143">
        <f t="shared" si="47"/>
        <v>0</v>
      </c>
      <c r="AX28" s="143">
        <f t="shared" si="48"/>
        <v>0</v>
      </c>
      <c r="AY28" s="143">
        <f t="shared" ca="1" si="49"/>
        <v>0</v>
      </c>
      <c r="AZ28" s="142"/>
      <c r="BA28" s="143">
        <f t="shared" ca="1" si="8"/>
        <v>0</v>
      </c>
      <c r="BB28" s="143">
        <f t="shared" ca="1" si="9"/>
        <v>0</v>
      </c>
      <c r="BC28" s="143">
        <f t="shared" ca="1" si="67"/>
        <v>0</v>
      </c>
      <c r="BD28" s="145">
        <f t="shared" ca="1" si="50"/>
        <v>0</v>
      </c>
      <c r="BE28" s="145">
        <f t="shared" ca="1" si="68"/>
        <v>0</v>
      </c>
      <c r="BF28" s="146" t="str">
        <f t="shared" ca="1" si="10"/>
        <v/>
      </c>
      <c r="BG28" s="92"/>
      <c r="BH28" s="95">
        <f t="shared" ca="1" si="11"/>
        <v>0</v>
      </c>
      <c r="BI28" s="95">
        <f t="shared" ca="1" si="12"/>
        <v>0</v>
      </c>
      <c r="BJ28" s="95">
        <f t="shared" ca="1" si="69"/>
        <v>0</v>
      </c>
      <c r="BK28" s="147">
        <f t="shared" ca="1" si="52"/>
        <v>0</v>
      </c>
      <c r="BL28" s="147">
        <f t="shared" ca="1" si="70"/>
        <v>0</v>
      </c>
      <c r="BM28" s="148" t="str">
        <f t="shared" ca="1" si="13"/>
        <v/>
      </c>
      <c r="BN28" s="92"/>
      <c r="BO28" s="149">
        <f t="shared" ca="1" si="14"/>
        <v>0</v>
      </c>
      <c r="BP28" s="149">
        <f t="shared" ca="1" si="15"/>
        <v>0</v>
      </c>
      <c r="BQ28" s="149">
        <f t="shared" ca="1" si="71"/>
        <v>0</v>
      </c>
      <c r="BR28" s="150">
        <f t="shared" ca="1" si="54"/>
        <v>0</v>
      </c>
      <c r="BS28" s="150">
        <f t="shared" ca="1" si="72"/>
        <v>0</v>
      </c>
      <c r="BT28" s="151" t="str">
        <f t="shared" ca="1" si="16"/>
        <v/>
      </c>
      <c r="BU28" s="92"/>
      <c r="BV28" s="152">
        <f t="shared" ca="1" si="17"/>
        <v>0</v>
      </c>
      <c r="BW28" s="152">
        <f t="shared" ca="1" si="18"/>
        <v>0</v>
      </c>
      <c r="BX28" s="152">
        <f t="shared" ca="1" si="73"/>
        <v>0</v>
      </c>
      <c r="BY28" s="153">
        <f t="shared" ca="1" si="56"/>
        <v>0</v>
      </c>
      <c r="BZ28" s="153">
        <f t="shared" ca="1" si="74"/>
        <v>0</v>
      </c>
      <c r="CA28" s="154" t="str">
        <f t="shared" ca="1" si="19"/>
        <v/>
      </c>
      <c r="CB28" s="92"/>
      <c r="CC28" s="155">
        <f t="shared" ca="1" si="20"/>
        <v>0</v>
      </c>
      <c r="CD28" s="155">
        <f t="shared" ca="1" si="21"/>
        <v>0</v>
      </c>
      <c r="CE28" s="155">
        <f t="shared" ca="1" si="75"/>
        <v>0</v>
      </c>
      <c r="CF28" s="156">
        <f t="shared" ca="1" si="58"/>
        <v>0</v>
      </c>
      <c r="CG28" s="156">
        <f t="shared" ca="1" si="76"/>
        <v>0</v>
      </c>
      <c r="CH28" s="157" t="str">
        <f t="shared" ca="1" si="22"/>
        <v/>
      </c>
      <c r="CI28" s="92"/>
      <c r="CJ28" s="158">
        <f t="shared" ca="1" si="23"/>
        <v>0</v>
      </c>
      <c r="CK28" s="158">
        <f t="shared" ca="1" si="24"/>
        <v>0</v>
      </c>
      <c r="CL28" s="158">
        <f t="shared" ca="1" si="77"/>
        <v>0</v>
      </c>
      <c r="CM28" s="159">
        <f t="shared" ca="1" si="60"/>
        <v>0</v>
      </c>
      <c r="CN28" s="159">
        <f t="shared" ca="1" si="78"/>
        <v>0</v>
      </c>
      <c r="CO28" s="160" t="str">
        <f t="shared" ca="1" si="25"/>
        <v/>
      </c>
      <c r="CP28" s="92"/>
      <c r="CQ28" s="140">
        <v>25</v>
      </c>
      <c r="CR28" s="330">
        <v>0.18</v>
      </c>
      <c r="CS28" s="92">
        <f t="shared" si="62"/>
        <v>0</v>
      </c>
      <c r="CT28" s="335">
        <f t="shared" si="63"/>
        <v>0.18</v>
      </c>
      <c r="CU28" s="92">
        <f t="shared" si="64"/>
        <v>1</v>
      </c>
      <c r="CV28" s="348">
        <f t="shared" si="65"/>
        <v>1</v>
      </c>
      <c r="CW28" s="380">
        <f t="shared" si="66"/>
        <v>139.81</v>
      </c>
      <c r="CX28" s="380">
        <f t="shared" si="26"/>
        <v>68.569999999999993</v>
      </c>
      <c r="CY28" s="367">
        <f t="shared" si="27"/>
        <v>276.83</v>
      </c>
      <c r="CZ28" s="380">
        <f t="shared" si="28"/>
        <v>155.79</v>
      </c>
      <c r="DA28"/>
      <c r="DB28" s="391">
        <v>25</v>
      </c>
      <c r="DC28" s="59">
        <v>23080.33</v>
      </c>
      <c r="DD28" s="59">
        <v>23022.49</v>
      </c>
      <c r="DE28" s="59">
        <v>20487.39</v>
      </c>
      <c r="DF28" s="59">
        <v>20436.05</v>
      </c>
      <c r="DG28" s="59">
        <v>18139.88</v>
      </c>
      <c r="DH28" s="59">
        <v>18094.419999999998</v>
      </c>
      <c r="DI28" s="137">
        <v>88597.98</v>
      </c>
      <c r="DJ28" s="137">
        <v>71931.55</v>
      </c>
      <c r="DK28" s="138">
        <v>66664.41</v>
      </c>
      <c r="DL28" s="138">
        <v>53884.3</v>
      </c>
      <c r="DM28" s="137">
        <v>43552.45</v>
      </c>
      <c r="DN28" s="137">
        <v>36301.85</v>
      </c>
      <c r="DP28" s="384" t="s">
        <v>153</v>
      </c>
      <c r="DQ28" s="386">
        <v>508.33</v>
      </c>
      <c r="DR28" s="386">
        <v>488.29</v>
      </c>
    </row>
    <row r="29" spans="1:122">
      <c r="A29" s="162" t="s">
        <v>462</v>
      </c>
      <c r="B29" s="381" t="b">
        <v>1</v>
      </c>
      <c r="C29"/>
      <c r="D29"/>
      <c r="E29"/>
      <c r="F29"/>
      <c r="G29" s="165"/>
      <c r="H29" s="165"/>
      <c r="I29" s="165"/>
      <c r="J29" s="164">
        <v>26</v>
      </c>
      <c r="K29" s="59">
        <f t="shared" si="29"/>
        <v>23081.94</v>
      </c>
      <c r="L29" s="59">
        <f t="shared" si="29"/>
        <v>23078.720000000001</v>
      </c>
      <c r="M29" s="59">
        <f t="shared" si="29"/>
        <v>20488.82</v>
      </c>
      <c r="N29" s="59">
        <f t="shared" si="29"/>
        <v>20485.97</v>
      </c>
      <c r="O29" s="59">
        <f t="shared" si="29"/>
        <v>18141.14</v>
      </c>
      <c r="P29" s="59">
        <f t="shared" si="29"/>
        <v>18138.62</v>
      </c>
      <c r="Q29" s="136">
        <f t="shared" si="1"/>
        <v>89027.68</v>
      </c>
      <c r="R29" s="136">
        <f t="shared" si="2"/>
        <v>72280.42</v>
      </c>
      <c r="S29" s="136">
        <f t="shared" si="3"/>
        <v>66664.41</v>
      </c>
      <c r="T29" s="136">
        <f t="shared" si="4"/>
        <v>55321.17</v>
      </c>
      <c r="U29" s="136">
        <f t="shared" si="5"/>
        <v>43552.45</v>
      </c>
      <c r="V29" s="136">
        <f t="shared" si="6"/>
        <v>36802.31</v>
      </c>
      <c r="W29" s="92"/>
      <c r="X29" s="137">
        <f t="shared" si="30"/>
        <v>89027.68</v>
      </c>
      <c r="Y29" s="137">
        <f t="shared" si="30"/>
        <v>72280.42</v>
      </c>
      <c r="Z29" s="136">
        <f t="shared" si="31"/>
        <v>92855.870239999989</v>
      </c>
      <c r="AA29" s="136">
        <f t="shared" si="32"/>
        <v>75388.478059999994</v>
      </c>
      <c r="AB29" s="136">
        <f t="shared" si="33"/>
        <v>99711.001600000003</v>
      </c>
      <c r="AC29" s="136">
        <f t="shared" si="34"/>
        <v>80954.070400000011</v>
      </c>
      <c r="AD29" s="138">
        <f t="shared" si="35"/>
        <v>66664.41</v>
      </c>
      <c r="AE29" s="138">
        <f t="shared" si="35"/>
        <v>55321.17</v>
      </c>
      <c r="AF29" s="136">
        <f t="shared" si="36"/>
        <v>69530.979630000002</v>
      </c>
      <c r="AG29" s="136">
        <f t="shared" si="37"/>
        <v>57699.980309999992</v>
      </c>
      <c r="AH29" s="136">
        <f t="shared" si="38"/>
        <v>74664.139200000005</v>
      </c>
      <c r="AI29" s="136">
        <f t="shared" si="39"/>
        <v>61959.710400000004</v>
      </c>
      <c r="AJ29" s="137">
        <f t="shared" si="40"/>
        <v>43552.45</v>
      </c>
      <c r="AK29" s="137">
        <f t="shared" si="40"/>
        <v>36802.31</v>
      </c>
      <c r="AL29" s="136">
        <f t="shared" si="41"/>
        <v>45425.205349999997</v>
      </c>
      <c r="AM29" s="136">
        <f t="shared" si="42"/>
        <v>38384.809329999996</v>
      </c>
      <c r="AN29" s="136">
        <f t="shared" si="43"/>
        <v>48778.743999999999</v>
      </c>
      <c r="AO29" s="136">
        <f t="shared" si="44"/>
        <v>41218.587200000002</v>
      </c>
      <c r="AP29" s="92"/>
      <c r="AQ29" s="140">
        <v>26</v>
      </c>
      <c r="AR29" s="141">
        <f ca="1">+RESUMEN!F29</f>
        <v>0</v>
      </c>
      <c r="AS29" s="141">
        <f ca="1">+RESUMEN!G29</f>
        <v>0</v>
      </c>
      <c r="AT29" s="142">
        <f t="shared" ca="1" si="7"/>
        <v>0</v>
      </c>
      <c r="AU29" s="143">
        <f t="shared" si="45"/>
        <v>0</v>
      </c>
      <c r="AV29" s="143">
        <f t="shared" si="46"/>
        <v>0</v>
      </c>
      <c r="AW29" s="143">
        <f t="shared" si="47"/>
        <v>0</v>
      </c>
      <c r="AX29" s="143">
        <f t="shared" si="48"/>
        <v>0</v>
      </c>
      <c r="AY29" s="143">
        <f t="shared" ca="1" si="49"/>
        <v>0</v>
      </c>
      <c r="AZ29" s="142"/>
      <c r="BA29" s="143">
        <f t="shared" ca="1" si="8"/>
        <v>0</v>
      </c>
      <c r="BB29" s="143">
        <f t="shared" ca="1" si="9"/>
        <v>0</v>
      </c>
      <c r="BC29" s="143">
        <f t="shared" ca="1" si="67"/>
        <v>0</v>
      </c>
      <c r="BD29" s="145">
        <f t="shared" ca="1" si="50"/>
        <v>0</v>
      </c>
      <c r="BE29" s="145">
        <f t="shared" ca="1" si="68"/>
        <v>0</v>
      </c>
      <c r="BF29" s="146" t="str">
        <f t="shared" ca="1" si="10"/>
        <v/>
      </c>
      <c r="BG29" s="92"/>
      <c r="BH29" s="95">
        <f t="shared" ca="1" si="11"/>
        <v>0</v>
      </c>
      <c r="BI29" s="95">
        <f t="shared" ca="1" si="12"/>
        <v>0</v>
      </c>
      <c r="BJ29" s="95">
        <f t="shared" ca="1" si="69"/>
        <v>0</v>
      </c>
      <c r="BK29" s="147">
        <f t="shared" ca="1" si="52"/>
        <v>0</v>
      </c>
      <c r="BL29" s="147">
        <f t="shared" ca="1" si="70"/>
        <v>0</v>
      </c>
      <c r="BM29" s="148" t="str">
        <f t="shared" ca="1" si="13"/>
        <v/>
      </c>
      <c r="BN29" s="92"/>
      <c r="BO29" s="149">
        <f t="shared" ca="1" si="14"/>
        <v>0</v>
      </c>
      <c r="BP29" s="149">
        <f t="shared" ca="1" si="15"/>
        <v>0</v>
      </c>
      <c r="BQ29" s="149">
        <f t="shared" ca="1" si="71"/>
        <v>0</v>
      </c>
      <c r="BR29" s="150">
        <f t="shared" ca="1" si="54"/>
        <v>0</v>
      </c>
      <c r="BS29" s="150">
        <f t="shared" ca="1" si="72"/>
        <v>0</v>
      </c>
      <c r="BT29" s="151" t="str">
        <f t="shared" ca="1" si="16"/>
        <v/>
      </c>
      <c r="BU29" s="92"/>
      <c r="BV29" s="152">
        <f t="shared" ca="1" si="17"/>
        <v>0</v>
      </c>
      <c r="BW29" s="152">
        <f t="shared" ca="1" si="18"/>
        <v>0</v>
      </c>
      <c r="BX29" s="152">
        <f t="shared" ca="1" si="73"/>
        <v>0</v>
      </c>
      <c r="BY29" s="153">
        <f t="shared" ca="1" si="56"/>
        <v>0</v>
      </c>
      <c r="BZ29" s="153">
        <f t="shared" ca="1" si="74"/>
        <v>0</v>
      </c>
      <c r="CA29" s="154" t="str">
        <f t="shared" ca="1" si="19"/>
        <v/>
      </c>
      <c r="CB29" s="92"/>
      <c r="CC29" s="155">
        <f t="shared" ca="1" si="20"/>
        <v>0</v>
      </c>
      <c r="CD29" s="155">
        <f t="shared" ca="1" si="21"/>
        <v>0</v>
      </c>
      <c r="CE29" s="155">
        <f t="shared" ca="1" si="75"/>
        <v>0</v>
      </c>
      <c r="CF29" s="156">
        <f t="shared" ca="1" si="58"/>
        <v>0</v>
      </c>
      <c r="CG29" s="156">
        <f t="shared" ca="1" si="76"/>
        <v>0</v>
      </c>
      <c r="CH29" s="157" t="str">
        <f t="shared" ca="1" si="22"/>
        <v/>
      </c>
      <c r="CI29" s="92"/>
      <c r="CJ29" s="158">
        <f t="shared" ca="1" si="23"/>
        <v>0</v>
      </c>
      <c r="CK29" s="158">
        <f t="shared" ca="1" si="24"/>
        <v>0</v>
      </c>
      <c r="CL29" s="158">
        <f t="shared" ca="1" si="77"/>
        <v>0</v>
      </c>
      <c r="CM29" s="159">
        <f t="shared" ca="1" si="60"/>
        <v>0</v>
      </c>
      <c r="CN29" s="159">
        <f t="shared" ca="1" si="78"/>
        <v>0</v>
      </c>
      <c r="CO29" s="160" t="str">
        <f t="shared" ca="1" si="25"/>
        <v/>
      </c>
      <c r="CP29" s="92"/>
      <c r="CQ29" s="140">
        <v>26</v>
      </c>
      <c r="CR29" s="330">
        <v>0.18</v>
      </c>
      <c r="CS29" s="92">
        <f t="shared" si="62"/>
        <v>0</v>
      </c>
      <c r="CT29" s="335">
        <f t="shared" si="63"/>
        <v>0.18</v>
      </c>
      <c r="CU29" s="92">
        <f t="shared" si="64"/>
        <v>1</v>
      </c>
      <c r="CV29" s="348">
        <f t="shared" si="65"/>
        <v>1</v>
      </c>
      <c r="CW29" s="380">
        <f t="shared" si="66"/>
        <v>139.81</v>
      </c>
      <c r="CX29" s="380">
        <f t="shared" si="26"/>
        <v>68.569999999999993</v>
      </c>
      <c r="CY29" s="367">
        <f t="shared" si="27"/>
        <v>276.83</v>
      </c>
      <c r="CZ29" s="380">
        <f t="shared" si="28"/>
        <v>155.79</v>
      </c>
      <c r="DA29"/>
      <c r="DB29" s="391">
        <v>26</v>
      </c>
      <c r="DC29" s="59">
        <v>23081.94</v>
      </c>
      <c r="DD29" s="59">
        <v>23078.720000000001</v>
      </c>
      <c r="DE29" s="59">
        <v>20488.82</v>
      </c>
      <c r="DF29" s="59">
        <v>20485.97</v>
      </c>
      <c r="DG29" s="59">
        <v>18141.14</v>
      </c>
      <c r="DH29" s="59">
        <v>18138.62</v>
      </c>
      <c r="DI29" s="137">
        <v>89027.68</v>
      </c>
      <c r="DJ29" s="137">
        <v>72280.42</v>
      </c>
      <c r="DK29" s="138">
        <v>66664.41</v>
      </c>
      <c r="DL29" s="138">
        <v>55321.17</v>
      </c>
      <c r="DM29" s="137">
        <v>43552.45</v>
      </c>
      <c r="DN29" s="137">
        <v>36802.31</v>
      </c>
      <c r="DP29" s="384" t="s">
        <v>154</v>
      </c>
      <c r="DQ29" s="389">
        <v>518.28</v>
      </c>
      <c r="DR29" s="389">
        <v>505.8</v>
      </c>
    </row>
    <row r="30" spans="1:122">
      <c r="A30"/>
      <c r="B30"/>
      <c r="C30" s="58"/>
      <c r="D30" s="58"/>
      <c r="E30"/>
      <c r="F30"/>
      <c r="G30" s="165"/>
      <c r="H30" s="165"/>
      <c r="I30" s="165"/>
      <c r="J30" s="164">
        <v>27</v>
      </c>
      <c r="K30" s="59">
        <f t="shared" si="29"/>
        <v>23112.81</v>
      </c>
      <c r="L30" s="59">
        <f t="shared" si="29"/>
        <v>23959.15</v>
      </c>
      <c r="M30" s="59">
        <f t="shared" si="29"/>
        <v>20516.22</v>
      </c>
      <c r="N30" s="59">
        <f t="shared" si="29"/>
        <v>21267.48</v>
      </c>
      <c r="O30" s="59">
        <f t="shared" si="29"/>
        <v>18165.41</v>
      </c>
      <c r="P30" s="59">
        <f t="shared" si="29"/>
        <v>18830.580000000002</v>
      </c>
      <c r="Q30" s="136">
        <f t="shared" si="1"/>
        <v>91830.53</v>
      </c>
      <c r="R30" s="136">
        <f t="shared" si="2"/>
        <v>75135.490000000005</v>
      </c>
      <c r="S30" s="136">
        <f t="shared" si="3"/>
        <v>68279.14</v>
      </c>
      <c r="T30" s="136">
        <f t="shared" si="4"/>
        <v>57842.67</v>
      </c>
      <c r="U30" s="136">
        <f t="shared" si="5"/>
        <v>44875.98</v>
      </c>
      <c r="V30" s="136">
        <f t="shared" si="6"/>
        <v>37297.54</v>
      </c>
      <c r="W30" s="92"/>
      <c r="X30" s="137">
        <f t="shared" si="30"/>
        <v>91830.53</v>
      </c>
      <c r="Y30" s="137">
        <f t="shared" si="30"/>
        <v>75135.490000000005</v>
      </c>
      <c r="Z30" s="136">
        <f t="shared" si="31"/>
        <v>95779.242789999989</v>
      </c>
      <c r="AA30" s="136">
        <f t="shared" si="32"/>
        <v>78366.316070000001</v>
      </c>
      <c r="AB30" s="136">
        <f t="shared" si="33"/>
        <v>102850.19360000001</v>
      </c>
      <c r="AC30" s="136">
        <f t="shared" si="34"/>
        <v>84151.748800000016</v>
      </c>
      <c r="AD30" s="138">
        <f t="shared" si="35"/>
        <v>68279.14</v>
      </c>
      <c r="AE30" s="138">
        <f t="shared" si="35"/>
        <v>57842.67</v>
      </c>
      <c r="AF30" s="136">
        <f t="shared" si="36"/>
        <v>71215.143019999989</v>
      </c>
      <c r="AG30" s="136">
        <f t="shared" si="37"/>
        <v>60329.904809999993</v>
      </c>
      <c r="AH30" s="136">
        <f t="shared" si="38"/>
        <v>76472.636800000007</v>
      </c>
      <c r="AI30" s="136">
        <f t="shared" si="39"/>
        <v>64783.790400000005</v>
      </c>
      <c r="AJ30" s="137">
        <f t="shared" si="40"/>
        <v>44875.98</v>
      </c>
      <c r="AK30" s="137">
        <f t="shared" si="40"/>
        <v>37297.54</v>
      </c>
      <c r="AL30" s="136">
        <f t="shared" si="41"/>
        <v>46805.647140000001</v>
      </c>
      <c r="AM30" s="136">
        <f t="shared" si="42"/>
        <v>38901.334219999997</v>
      </c>
      <c r="AN30" s="136">
        <f t="shared" si="43"/>
        <v>50261.097600000008</v>
      </c>
      <c r="AO30" s="136">
        <f t="shared" si="44"/>
        <v>41773.244800000008</v>
      </c>
      <c r="AP30" s="92"/>
      <c r="AQ30" s="140">
        <v>27</v>
      </c>
      <c r="AR30" s="141">
        <f ca="1">+RESUMEN!F30</f>
        <v>0</v>
      </c>
      <c r="AS30" s="141">
        <f ca="1">+RESUMEN!G30</f>
        <v>0</v>
      </c>
      <c r="AT30" s="142">
        <f t="shared" ca="1" si="7"/>
        <v>0</v>
      </c>
      <c r="AU30" s="143">
        <f t="shared" si="45"/>
        <v>0</v>
      </c>
      <c r="AV30" s="143">
        <f t="shared" si="46"/>
        <v>0</v>
      </c>
      <c r="AW30" s="143">
        <f t="shared" si="47"/>
        <v>0</v>
      </c>
      <c r="AX30" s="143">
        <f t="shared" si="48"/>
        <v>0</v>
      </c>
      <c r="AY30" s="143">
        <f t="shared" ca="1" si="49"/>
        <v>0</v>
      </c>
      <c r="AZ30" s="142"/>
      <c r="BA30" s="143">
        <f t="shared" ca="1" si="8"/>
        <v>0</v>
      </c>
      <c r="BB30" s="143">
        <f t="shared" ca="1" si="9"/>
        <v>0</v>
      </c>
      <c r="BC30" s="143">
        <f t="shared" ca="1" si="67"/>
        <v>0</v>
      </c>
      <c r="BD30" s="145">
        <f t="shared" ca="1" si="50"/>
        <v>0</v>
      </c>
      <c r="BE30" s="145">
        <f t="shared" ca="1" si="68"/>
        <v>0</v>
      </c>
      <c r="BF30" s="146" t="str">
        <f t="shared" ca="1" si="10"/>
        <v/>
      </c>
      <c r="BG30" s="92"/>
      <c r="BH30" s="95">
        <f t="shared" ca="1" si="11"/>
        <v>0</v>
      </c>
      <c r="BI30" s="95">
        <f t="shared" ca="1" si="12"/>
        <v>0</v>
      </c>
      <c r="BJ30" s="95">
        <f t="shared" ca="1" si="69"/>
        <v>0</v>
      </c>
      <c r="BK30" s="147">
        <f t="shared" ca="1" si="52"/>
        <v>0</v>
      </c>
      <c r="BL30" s="147">
        <f t="shared" ca="1" si="70"/>
        <v>0</v>
      </c>
      <c r="BM30" s="148" t="str">
        <f t="shared" ca="1" si="13"/>
        <v/>
      </c>
      <c r="BN30" s="92"/>
      <c r="BO30" s="149">
        <f t="shared" ca="1" si="14"/>
        <v>0</v>
      </c>
      <c r="BP30" s="149">
        <f t="shared" ca="1" si="15"/>
        <v>0</v>
      </c>
      <c r="BQ30" s="149">
        <f t="shared" ca="1" si="71"/>
        <v>0</v>
      </c>
      <c r="BR30" s="150">
        <f t="shared" ca="1" si="54"/>
        <v>0</v>
      </c>
      <c r="BS30" s="150">
        <f t="shared" ca="1" si="72"/>
        <v>0</v>
      </c>
      <c r="BT30" s="151" t="str">
        <f t="shared" ca="1" si="16"/>
        <v/>
      </c>
      <c r="BU30" s="92"/>
      <c r="BV30" s="152">
        <f t="shared" ca="1" si="17"/>
        <v>0</v>
      </c>
      <c r="BW30" s="152">
        <f t="shared" ca="1" si="18"/>
        <v>0</v>
      </c>
      <c r="BX30" s="152">
        <f t="shared" ca="1" si="73"/>
        <v>0</v>
      </c>
      <c r="BY30" s="153">
        <f t="shared" ca="1" si="56"/>
        <v>0</v>
      </c>
      <c r="BZ30" s="153">
        <f t="shared" ca="1" si="74"/>
        <v>0</v>
      </c>
      <c r="CA30" s="154" t="str">
        <f t="shared" ca="1" si="19"/>
        <v/>
      </c>
      <c r="CB30" s="92"/>
      <c r="CC30" s="155">
        <f t="shared" ca="1" si="20"/>
        <v>0</v>
      </c>
      <c r="CD30" s="155">
        <f t="shared" ca="1" si="21"/>
        <v>0</v>
      </c>
      <c r="CE30" s="155">
        <f t="shared" ca="1" si="75"/>
        <v>0</v>
      </c>
      <c r="CF30" s="156">
        <f t="shared" ca="1" si="58"/>
        <v>0</v>
      </c>
      <c r="CG30" s="156">
        <f t="shared" ca="1" si="76"/>
        <v>0</v>
      </c>
      <c r="CH30" s="157" t="str">
        <f t="shared" ca="1" si="22"/>
        <v/>
      </c>
      <c r="CI30" s="92"/>
      <c r="CJ30" s="158">
        <f t="shared" ca="1" si="23"/>
        <v>0</v>
      </c>
      <c r="CK30" s="158">
        <f t="shared" ca="1" si="24"/>
        <v>0</v>
      </c>
      <c r="CL30" s="158">
        <f t="shared" ca="1" si="77"/>
        <v>0</v>
      </c>
      <c r="CM30" s="159">
        <f t="shared" ca="1" si="60"/>
        <v>0</v>
      </c>
      <c r="CN30" s="159">
        <f t="shared" ca="1" si="78"/>
        <v>0</v>
      </c>
      <c r="CO30" s="160" t="str">
        <f t="shared" ca="1" si="25"/>
        <v/>
      </c>
      <c r="CP30" s="92"/>
      <c r="CQ30" s="140">
        <v>27</v>
      </c>
      <c r="CR30" s="330">
        <v>0.18</v>
      </c>
      <c r="CS30" s="92">
        <f t="shared" si="62"/>
        <v>0</v>
      </c>
      <c r="CT30" s="335">
        <f t="shared" si="63"/>
        <v>0.18</v>
      </c>
      <c r="CU30" s="92">
        <f t="shared" si="64"/>
        <v>1</v>
      </c>
      <c r="CV30" s="348">
        <f t="shared" si="65"/>
        <v>1</v>
      </c>
      <c r="CW30" s="380">
        <f t="shared" si="66"/>
        <v>139.81</v>
      </c>
      <c r="CX30" s="380">
        <f t="shared" si="26"/>
        <v>68.569999999999993</v>
      </c>
      <c r="CY30" s="367">
        <f t="shared" si="27"/>
        <v>276.83</v>
      </c>
      <c r="CZ30" s="380">
        <f t="shared" si="28"/>
        <v>155.79</v>
      </c>
      <c r="DA30"/>
      <c r="DB30" s="391">
        <v>27</v>
      </c>
      <c r="DC30" s="59">
        <v>23112.81</v>
      </c>
      <c r="DD30" s="59">
        <v>23959.15</v>
      </c>
      <c r="DE30" s="59">
        <v>20516.22</v>
      </c>
      <c r="DF30" s="59">
        <v>21267.48</v>
      </c>
      <c r="DG30" s="59">
        <v>18165.41</v>
      </c>
      <c r="DH30" s="59">
        <v>18830.580000000002</v>
      </c>
      <c r="DI30" s="137">
        <v>91830.53</v>
      </c>
      <c r="DJ30" s="137">
        <v>75135.490000000005</v>
      </c>
      <c r="DK30" s="138">
        <v>68279.14</v>
      </c>
      <c r="DL30" s="138">
        <v>57842.67</v>
      </c>
      <c r="DM30" s="137">
        <v>44875.98</v>
      </c>
      <c r="DN30" s="137">
        <v>37297.54</v>
      </c>
      <c r="DP30" s="384" t="s">
        <v>155</v>
      </c>
      <c r="DQ30" s="387">
        <v>528.23</v>
      </c>
      <c r="DR30" s="387">
        <v>523.32000000000005</v>
      </c>
    </row>
    <row r="31" spans="1:122">
      <c r="A31"/>
      <c r="B31"/>
      <c r="C31"/>
      <c r="D31"/>
      <c r="E31"/>
      <c r="F31"/>
      <c r="G31" s="165"/>
      <c r="H31" s="165"/>
      <c r="I31" s="165"/>
      <c r="J31" s="164">
        <v>28</v>
      </c>
      <c r="K31" s="59">
        <f t="shared" si="29"/>
        <v>23858.639999999999</v>
      </c>
      <c r="L31" s="59">
        <f t="shared" si="29"/>
        <v>24881.16</v>
      </c>
      <c r="M31" s="59">
        <f t="shared" si="29"/>
        <v>21178.26</v>
      </c>
      <c r="N31" s="59">
        <f t="shared" si="29"/>
        <v>22085.91</v>
      </c>
      <c r="O31" s="59">
        <f t="shared" si="29"/>
        <v>18751.59</v>
      </c>
      <c r="P31" s="59">
        <f t="shared" si="29"/>
        <v>19555.23</v>
      </c>
      <c r="Q31" s="136">
        <f t="shared" si="1"/>
        <v>95457.83</v>
      </c>
      <c r="R31" s="136">
        <f t="shared" si="2"/>
        <v>78847.19</v>
      </c>
      <c r="S31" s="136">
        <f t="shared" si="3"/>
        <v>71438.86</v>
      </c>
      <c r="T31" s="136">
        <f t="shared" si="4"/>
        <v>61011.1</v>
      </c>
      <c r="U31" s="136">
        <f t="shared" si="5"/>
        <v>48016.51</v>
      </c>
      <c r="V31" s="136">
        <f t="shared" si="6"/>
        <v>39487.72</v>
      </c>
      <c r="W31" s="92"/>
      <c r="X31" s="137">
        <f t="shared" si="30"/>
        <v>95457.83</v>
      </c>
      <c r="Y31" s="137">
        <f t="shared" si="30"/>
        <v>78847.19</v>
      </c>
      <c r="Z31" s="136">
        <f t="shared" si="31"/>
        <v>99562.516689999989</v>
      </c>
      <c r="AA31" s="136">
        <f t="shared" si="32"/>
        <v>82237.619169999991</v>
      </c>
      <c r="AB31" s="136">
        <f t="shared" si="33"/>
        <v>106912.76960000001</v>
      </c>
      <c r="AC31" s="136">
        <f t="shared" si="34"/>
        <v>88308.852800000008</v>
      </c>
      <c r="AD31" s="138">
        <f t="shared" si="35"/>
        <v>71438.86</v>
      </c>
      <c r="AE31" s="138">
        <f t="shared" si="35"/>
        <v>61011.1</v>
      </c>
      <c r="AF31" s="136">
        <f t="shared" si="36"/>
        <v>74510.730979999993</v>
      </c>
      <c r="AG31" s="136">
        <f t="shared" si="37"/>
        <v>63634.577299999997</v>
      </c>
      <c r="AH31" s="136">
        <f t="shared" si="38"/>
        <v>80011.523200000011</v>
      </c>
      <c r="AI31" s="136">
        <f t="shared" si="39"/>
        <v>68332.432000000001</v>
      </c>
      <c r="AJ31" s="137">
        <f t="shared" si="40"/>
        <v>48016.51</v>
      </c>
      <c r="AK31" s="137">
        <f t="shared" si="40"/>
        <v>39487.72</v>
      </c>
      <c r="AL31" s="136">
        <f t="shared" si="41"/>
        <v>50081.219929999999</v>
      </c>
      <c r="AM31" s="136">
        <f t="shared" si="42"/>
        <v>41185.691959999996</v>
      </c>
      <c r="AN31" s="136">
        <f t="shared" si="43"/>
        <v>53778.491200000004</v>
      </c>
      <c r="AO31" s="136">
        <f t="shared" si="44"/>
        <v>44226.246400000004</v>
      </c>
      <c r="AP31" s="92"/>
      <c r="AQ31" s="140">
        <v>28</v>
      </c>
      <c r="AR31" s="141">
        <f ca="1">+RESUMEN!F31</f>
        <v>0</v>
      </c>
      <c r="AS31" s="141">
        <f ca="1">+RESUMEN!G31</f>
        <v>0</v>
      </c>
      <c r="AT31" s="142">
        <f t="shared" ca="1" si="7"/>
        <v>0</v>
      </c>
      <c r="AU31" s="143">
        <f t="shared" si="45"/>
        <v>0</v>
      </c>
      <c r="AV31" s="143">
        <f t="shared" si="46"/>
        <v>0</v>
      </c>
      <c r="AW31" s="143">
        <f t="shared" si="47"/>
        <v>0</v>
      </c>
      <c r="AX31" s="143">
        <f t="shared" si="48"/>
        <v>0</v>
      </c>
      <c r="AY31" s="143">
        <f t="shared" ca="1" si="49"/>
        <v>0</v>
      </c>
      <c r="AZ31" s="142"/>
      <c r="BA31" s="143">
        <f t="shared" ca="1" si="8"/>
        <v>0</v>
      </c>
      <c r="BB31" s="143">
        <f t="shared" ca="1" si="9"/>
        <v>0</v>
      </c>
      <c r="BC31" s="143">
        <f t="shared" ca="1" si="67"/>
        <v>0</v>
      </c>
      <c r="BD31" s="145">
        <f t="shared" ca="1" si="50"/>
        <v>0</v>
      </c>
      <c r="BE31" s="145">
        <f t="shared" ca="1" si="68"/>
        <v>0</v>
      </c>
      <c r="BF31" s="146" t="str">
        <f t="shared" ca="1" si="10"/>
        <v/>
      </c>
      <c r="BG31" s="92"/>
      <c r="BH31" s="95">
        <f t="shared" ca="1" si="11"/>
        <v>0</v>
      </c>
      <c r="BI31" s="95">
        <f t="shared" ca="1" si="12"/>
        <v>0</v>
      </c>
      <c r="BJ31" s="95">
        <f t="shared" ca="1" si="69"/>
        <v>0</v>
      </c>
      <c r="BK31" s="147">
        <f t="shared" ca="1" si="52"/>
        <v>0</v>
      </c>
      <c r="BL31" s="147">
        <f t="shared" ca="1" si="70"/>
        <v>0</v>
      </c>
      <c r="BM31" s="148" t="str">
        <f t="shared" ca="1" si="13"/>
        <v/>
      </c>
      <c r="BN31" s="92"/>
      <c r="BO31" s="149">
        <f t="shared" ca="1" si="14"/>
        <v>0</v>
      </c>
      <c r="BP31" s="149">
        <f t="shared" ca="1" si="15"/>
        <v>0</v>
      </c>
      <c r="BQ31" s="149">
        <f t="shared" ca="1" si="71"/>
        <v>0</v>
      </c>
      <c r="BR31" s="150">
        <f t="shared" ca="1" si="54"/>
        <v>0</v>
      </c>
      <c r="BS31" s="150">
        <f t="shared" ca="1" si="72"/>
        <v>0</v>
      </c>
      <c r="BT31" s="151" t="str">
        <f t="shared" ca="1" si="16"/>
        <v/>
      </c>
      <c r="BU31" s="92"/>
      <c r="BV31" s="152">
        <f t="shared" ca="1" si="17"/>
        <v>0</v>
      </c>
      <c r="BW31" s="152">
        <f t="shared" ca="1" si="18"/>
        <v>0</v>
      </c>
      <c r="BX31" s="152">
        <f t="shared" ca="1" si="73"/>
        <v>0</v>
      </c>
      <c r="BY31" s="153">
        <f t="shared" ca="1" si="56"/>
        <v>0</v>
      </c>
      <c r="BZ31" s="153">
        <f t="shared" ca="1" si="74"/>
        <v>0</v>
      </c>
      <c r="CA31" s="154" t="str">
        <f t="shared" ca="1" si="19"/>
        <v/>
      </c>
      <c r="CB31" s="92"/>
      <c r="CC31" s="155">
        <f t="shared" ca="1" si="20"/>
        <v>0</v>
      </c>
      <c r="CD31" s="155">
        <f t="shared" ca="1" si="21"/>
        <v>0</v>
      </c>
      <c r="CE31" s="155">
        <f t="shared" ca="1" si="75"/>
        <v>0</v>
      </c>
      <c r="CF31" s="156">
        <f t="shared" ca="1" si="58"/>
        <v>0</v>
      </c>
      <c r="CG31" s="156">
        <f t="shared" ca="1" si="76"/>
        <v>0</v>
      </c>
      <c r="CH31" s="157" t="str">
        <f t="shared" ca="1" si="22"/>
        <v/>
      </c>
      <c r="CI31" s="92"/>
      <c r="CJ31" s="158">
        <f t="shared" ca="1" si="23"/>
        <v>0</v>
      </c>
      <c r="CK31" s="158">
        <f t="shared" ca="1" si="24"/>
        <v>0</v>
      </c>
      <c r="CL31" s="158">
        <f t="shared" ca="1" si="77"/>
        <v>0</v>
      </c>
      <c r="CM31" s="159">
        <f t="shared" ca="1" si="60"/>
        <v>0</v>
      </c>
      <c r="CN31" s="159">
        <f t="shared" ca="1" si="78"/>
        <v>0</v>
      </c>
      <c r="CO31" s="160" t="str">
        <f t="shared" ca="1" si="25"/>
        <v/>
      </c>
      <c r="CP31" s="92"/>
      <c r="CQ31" s="140">
        <v>28</v>
      </c>
      <c r="CR31" s="330">
        <v>0.18</v>
      </c>
      <c r="CS31" s="92">
        <f t="shared" si="62"/>
        <v>0</v>
      </c>
      <c r="CT31" s="335">
        <f t="shared" si="63"/>
        <v>0.18</v>
      </c>
      <c r="CU31" s="92">
        <f t="shared" si="64"/>
        <v>1</v>
      </c>
      <c r="CV31" s="348">
        <f t="shared" si="65"/>
        <v>1</v>
      </c>
      <c r="CW31" s="380">
        <f t="shared" si="66"/>
        <v>139.81</v>
      </c>
      <c r="CX31" s="380">
        <f t="shared" si="26"/>
        <v>68.569999999999993</v>
      </c>
      <c r="CY31" s="367">
        <f t="shared" si="27"/>
        <v>276.83</v>
      </c>
      <c r="CZ31" s="380">
        <f t="shared" si="28"/>
        <v>155.79</v>
      </c>
      <c r="DA31"/>
      <c r="DB31" s="391">
        <v>28</v>
      </c>
      <c r="DC31" s="59">
        <v>23858.639999999999</v>
      </c>
      <c r="DD31" s="59">
        <v>24881.16</v>
      </c>
      <c r="DE31" s="59">
        <v>21178.26</v>
      </c>
      <c r="DF31" s="59">
        <v>22085.91</v>
      </c>
      <c r="DG31" s="59">
        <v>18751.59</v>
      </c>
      <c r="DH31" s="59">
        <v>19555.23</v>
      </c>
      <c r="DI31" s="137">
        <v>95457.83</v>
      </c>
      <c r="DJ31" s="137">
        <v>78847.19</v>
      </c>
      <c r="DK31" s="138">
        <v>71438.86</v>
      </c>
      <c r="DL31" s="138">
        <v>61011.1</v>
      </c>
      <c r="DM31" s="137">
        <v>48016.51</v>
      </c>
      <c r="DN31" s="137">
        <v>39487.72</v>
      </c>
      <c r="DP31" s="384" t="s">
        <v>156</v>
      </c>
      <c r="DQ31" s="387">
        <v>538.17999999999995</v>
      </c>
      <c r="DR31" s="387">
        <v>540.83000000000004</v>
      </c>
    </row>
    <row r="32" spans="1:122">
      <c r="A32"/>
      <c r="B32"/>
      <c r="C32"/>
      <c r="D32"/>
      <c r="E32"/>
      <c r="F32" s="58"/>
      <c r="G32" s="165"/>
      <c r="H32" s="165"/>
      <c r="I32" s="165"/>
      <c r="J32" s="164">
        <v>29</v>
      </c>
      <c r="K32" s="59">
        <f t="shared" si="29"/>
        <v>26495.83</v>
      </c>
      <c r="L32" s="59">
        <f t="shared" si="29"/>
        <v>27432.52</v>
      </c>
      <c r="M32" s="59">
        <f t="shared" si="29"/>
        <v>23519.18</v>
      </c>
      <c r="N32" s="59">
        <f t="shared" si="29"/>
        <v>24350.639999999999</v>
      </c>
      <c r="O32" s="59">
        <f t="shared" si="29"/>
        <v>20824.28</v>
      </c>
      <c r="P32" s="59">
        <f t="shared" si="29"/>
        <v>21560.47</v>
      </c>
      <c r="Q32" s="136">
        <f t="shared" si="1"/>
        <v>99865.83</v>
      </c>
      <c r="R32" s="136">
        <f t="shared" si="2"/>
        <v>83522.820000000007</v>
      </c>
      <c r="S32" s="136">
        <f t="shared" si="3"/>
        <v>73984.759999999995</v>
      </c>
      <c r="T32" s="136">
        <f t="shared" si="4"/>
        <v>62249.18</v>
      </c>
      <c r="U32" s="136">
        <f t="shared" si="5"/>
        <v>50463.02</v>
      </c>
      <c r="V32" s="136">
        <f t="shared" si="6"/>
        <v>44441.78</v>
      </c>
      <c r="W32" s="92"/>
      <c r="X32" s="137">
        <f t="shared" si="30"/>
        <v>99865.83</v>
      </c>
      <c r="Y32" s="137">
        <f t="shared" si="30"/>
        <v>83522.820000000007</v>
      </c>
      <c r="Z32" s="136">
        <f t="shared" si="31"/>
        <v>104160.06069</v>
      </c>
      <c r="AA32" s="136">
        <f t="shared" si="32"/>
        <v>87114.301260000007</v>
      </c>
      <c r="AB32" s="136">
        <f t="shared" si="33"/>
        <v>111849.72960000001</v>
      </c>
      <c r="AC32" s="136">
        <f t="shared" si="34"/>
        <v>93545.558400000024</v>
      </c>
      <c r="AD32" s="138">
        <f t="shared" si="35"/>
        <v>73984.759999999995</v>
      </c>
      <c r="AE32" s="138">
        <f t="shared" si="35"/>
        <v>62249.18</v>
      </c>
      <c r="AF32" s="136">
        <f t="shared" si="36"/>
        <v>77166.104679999989</v>
      </c>
      <c r="AG32" s="136">
        <f t="shared" si="37"/>
        <v>64925.894739999996</v>
      </c>
      <c r="AH32" s="136">
        <f t="shared" si="38"/>
        <v>82862.931200000006</v>
      </c>
      <c r="AI32" s="136">
        <f t="shared" si="39"/>
        <v>69719.081600000005</v>
      </c>
      <c r="AJ32" s="137">
        <f t="shared" si="40"/>
        <v>50463.02</v>
      </c>
      <c r="AK32" s="137">
        <f t="shared" si="40"/>
        <v>44441.78</v>
      </c>
      <c r="AL32" s="136">
        <f t="shared" si="41"/>
        <v>52632.929859999997</v>
      </c>
      <c r="AM32" s="136">
        <f t="shared" si="42"/>
        <v>46352.776539999999</v>
      </c>
      <c r="AN32" s="136">
        <f t="shared" si="43"/>
        <v>56518.582399999999</v>
      </c>
      <c r="AO32" s="136">
        <f t="shared" si="44"/>
        <v>49774.793600000005</v>
      </c>
      <c r="AP32" s="92"/>
      <c r="AQ32" s="140">
        <v>29</v>
      </c>
      <c r="AR32" s="141">
        <f ca="1">+RESUMEN!F32</f>
        <v>0</v>
      </c>
      <c r="AS32" s="141">
        <f ca="1">+RESUMEN!G32</f>
        <v>0</v>
      </c>
      <c r="AT32" s="142">
        <f t="shared" ca="1" si="7"/>
        <v>0</v>
      </c>
      <c r="AU32" s="143">
        <f t="shared" si="45"/>
        <v>0</v>
      </c>
      <c r="AV32" s="143">
        <f t="shared" si="46"/>
        <v>0</v>
      </c>
      <c r="AW32" s="143">
        <f t="shared" si="47"/>
        <v>0</v>
      </c>
      <c r="AX32" s="143">
        <f t="shared" si="48"/>
        <v>0</v>
      </c>
      <c r="AY32" s="143">
        <f t="shared" ca="1" si="49"/>
        <v>0</v>
      </c>
      <c r="AZ32" s="142"/>
      <c r="BA32" s="143">
        <f t="shared" ca="1" si="8"/>
        <v>0</v>
      </c>
      <c r="BB32" s="143">
        <f t="shared" ca="1" si="9"/>
        <v>0</v>
      </c>
      <c r="BC32" s="143">
        <f t="shared" ca="1" si="67"/>
        <v>0</v>
      </c>
      <c r="BD32" s="145">
        <f t="shared" ca="1" si="50"/>
        <v>0</v>
      </c>
      <c r="BE32" s="145">
        <f t="shared" ca="1" si="68"/>
        <v>0</v>
      </c>
      <c r="BF32" s="146" t="str">
        <f t="shared" ca="1" si="10"/>
        <v/>
      </c>
      <c r="BG32" s="92"/>
      <c r="BH32" s="95">
        <f t="shared" ca="1" si="11"/>
        <v>0</v>
      </c>
      <c r="BI32" s="95">
        <f t="shared" ca="1" si="12"/>
        <v>0</v>
      </c>
      <c r="BJ32" s="95">
        <f t="shared" ca="1" si="69"/>
        <v>0</v>
      </c>
      <c r="BK32" s="147">
        <f t="shared" ca="1" si="52"/>
        <v>0</v>
      </c>
      <c r="BL32" s="147">
        <f t="shared" ca="1" si="70"/>
        <v>0</v>
      </c>
      <c r="BM32" s="148" t="str">
        <f t="shared" ca="1" si="13"/>
        <v/>
      </c>
      <c r="BN32" s="92"/>
      <c r="BO32" s="149">
        <f t="shared" ca="1" si="14"/>
        <v>0</v>
      </c>
      <c r="BP32" s="149">
        <f t="shared" ca="1" si="15"/>
        <v>0</v>
      </c>
      <c r="BQ32" s="149">
        <f t="shared" ca="1" si="71"/>
        <v>0</v>
      </c>
      <c r="BR32" s="150">
        <f t="shared" ca="1" si="54"/>
        <v>0</v>
      </c>
      <c r="BS32" s="150">
        <f t="shared" ca="1" si="72"/>
        <v>0</v>
      </c>
      <c r="BT32" s="151" t="str">
        <f t="shared" ca="1" si="16"/>
        <v/>
      </c>
      <c r="BU32" s="92"/>
      <c r="BV32" s="152">
        <f t="shared" ca="1" si="17"/>
        <v>0</v>
      </c>
      <c r="BW32" s="152">
        <f t="shared" ca="1" si="18"/>
        <v>0</v>
      </c>
      <c r="BX32" s="152">
        <f t="shared" ca="1" si="73"/>
        <v>0</v>
      </c>
      <c r="BY32" s="153">
        <f t="shared" ca="1" si="56"/>
        <v>0</v>
      </c>
      <c r="BZ32" s="153">
        <f t="shared" ca="1" si="74"/>
        <v>0</v>
      </c>
      <c r="CA32" s="154" t="str">
        <f t="shared" ca="1" si="19"/>
        <v/>
      </c>
      <c r="CB32" s="92"/>
      <c r="CC32" s="155">
        <f t="shared" ca="1" si="20"/>
        <v>0</v>
      </c>
      <c r="CD32" s="155">
        <f t="shared" ca="1" si="21"/>
        <v>0</v>
      </c>
      <c r="CE32" s="155">
        <f t="shared" ca="1" si="75"/>
        <v>0</v>
      </c>
      <c r="CF32" s="156">
        <f t="shared" ca="1" si="58"/>
        <v>0</v>
      </c>
      <c r="CG32" s="156">
        <f t="shared" ca="1" si="76"/>
        <v>0</v>
      </c>
      <c r="CH32" s="157" t="str">
        <f t="shared" ca="1" si="22"/>
        <v/>
      </c>
      <c r="CI32" s="92"/>
      <c r="CJ32" s="158">
        <f t="shared" ca="1" si="23"/>
        <v>0</v>
      </c>
      <c r="CK32" s="158">
        <f t="shared" ca="1" si="24"/>
        <v>0</v>
      </c>
      <c r="CL32" s="158">
        <f t="shared" ca="1" si="77"/>
        <v>0</v>
      </c>
      <c r="CM32" s="159">
        <f t="shared" ca="1" si="60"/>
        <v>0</v>
      </c>
      <c r="CN32" s="159">
        <f t="shared" ca="1" si="78"/>
        <v>0</v>
      </c>
      <c r="CO32" s="160" t="str">
        <f t="shared" ca="1" si="25"/>
        <v/>
      </c>
      <c r="CP32" s="92"/>
      <c r="CQ32" s="140">
        <v>29</v>
      </c>
      <c r="CR32" s="330">
        <v>0.18</v>
      </c>
      <c r="CS32" s="92">
        <f t="shared" si="62"/>
        <v>0</v>
      </c>
      <c r="CT32" s="335">
        <f t="shared" si="63"/>
        <v>0.18</v>
      </c>
      <c r="CU32" s="92">
        <f t="shared" si="64"/>
        <v>1</v>
      </c>
      <c r="CV32" s="348">
        <f t="shared" si="65"/>
        <v>1</v>
      </c>
      <c r="CW32" s="380">
        <f t="shared" si="66"/>
        <v>139.81</v>
      </c>
      <c r="CX32" s="380">
        <f t="shared" si="26"/>
        <v>68.569999999999993</v>
      </c>
      <c r="CY32" s="367">
        <f t="shared" si="27"/>
        <v>276.83</v>
      </c>
      <c r="CZ32" s="380">
        <f t="shared" si="28"/>
        <v>155.79</v>
      </c>
      <c r="DA32"/>
      <c r="DB32" s="391">
        <v>29</v>
      </c>
      <c r="DC32" s="59">
        <v>26495.83</v>
      </c>
      <c r="DD32" s="59">
        <v>27432.52</v>
      </c>
      <c r="DE32" s="59">
        <v>23519.18</v>
      </c>
      <c r="DF32" s="59">
        <v>24350.639999999999</v>
      </c>
      <c r="DG32" s="59">
        <v>20824.28</v>
      </c>
      <c r="DH32" s="59">
        <v>21560.47</v>
      </c>
      <c r="DI32" s="137">
        <v>99865.83</v>
      </c>
      <c r="DJ32" s="137">
        <v>83522.820000000007</v>
      </c>
      <c r="DK32" s="138">
        <v>73984.759999999995</v>
      </c>
      <c r="DL32" s="138">
        <v>62249.18</v>
      </c>
      <c r="DM32" s="137">
        <v>50463.02</v>
      </c>
      <c r="DN32" s="137">
        <v>44441.78</v>
      </c>
      <c r="DP32" s="384" t="s">
        <v>157</v>
      </c>
      <c r="DQ32" s="387">
        <v>548.13</v>
      </c>
      <c r="DR32" s="387">
        <v>558.34</v>
      </c>
    </row>
    <row r="33" spans="1:122" ht="16" thickBot="1">
      <c r="A33" s="92"/>
      <c r="B33" s="91"/>
      <c r="C33" s="91"/>
      <c r="D33" s="91"/>
      <c r="E33" s="91"/>
      <c r="F33" s="91"/>
      <c r="G33" s="165"/>
      <c r="H33" s="165"/>
      <c r="I33" s="165"/>
      <c r="J33" s="164">
        <v>30</v>
      </c>
      <c r="K33" s="59">
        <f t="shared" si="29"/>
        <v>26808.47</v>
      </c>
      <c r="L33" s="59">
        <f t="shared" si="29"/>
        <v>28770.61</v>
      </c>
      <c r="M33" s="59">
        <f t="shared" si="29"/>
        <v>23796.7</v>
      </c>
      <c r="N33" s="59">
        <f t="shared" si="29"/>
        <v>25538.41</v>
      </c>
      <c r="O33" s="59">
        <f t="shared" si="29"/>
        <v>21069.99</v>
      </c>
      <c r="P33" s="59">
        <f t="shared" si="29"/>
        <v>22612.13</v>
      </c>
      <c r="Q33" s="136">
        <f t="shared" si="1"/>
        <v>110265.69</v>
      </c>
      <c r="R33" s="136">
        <f t="shared" si="2"/>
        <v>91739.11</v>
      </c>
      <c r="S33" s="136">
        <f t="shared" si="3"/>
        <v>77744.34</v>
      </c>
      <c r="T33" s="136">
        <f t="shared" si="4"/>
        <v>67300.89</v>
      </c>
      <c r="U33" s="136">
        <f t="shared" si="5"/>
        <v>54304.55</v>
      </c>
      <c r="V33" s="136">
        <f t="shared" si="6"/>
        <v>50639.14</v>
      </c>
      <c r="W33" s="92"/>
      <c r="X33" s="137">
        <f t="shared" si="30"/>
        <v>110265.69</v>
      </c>
      <c r="Y33" s="137">
        <f t="shared" si="30"/>
        <v>91739.11</v>
      </c>
      <c r="Z33" s="136">
        <f t="shared" si="31"/>
        <v>115007.11467</v>
      </c>
      <c r="AA33" s="136">
        <f t="shared" si="32"/>
        <v>95683.891729999988</v>
      </c>
      <c r="AB33" s="136">
        <f t="shared" si="33"/>
        <v>123497.57280000001</v>
      </c>
      <c r="AC33" s="136">
        <f t="shared" si="34"/>
        <v>102747.80320000001</v>
      </c>
      <c r="AD33" s="138">
        <f t="shared" si="35"/>
        <v>77744.34</v>
      </c>
      <c r="AE33" s="138">
        <f t="shared" si="35"/>
        <v>67300.89</v>
      </c>
      <c r="AF33" s="136">
        <f t="shared" si="36"/>
        <v>81087.346619999997</v>
      </c>
      <c r="AG33" s="136">
        <f t="shared" si="37"/>
        <v>70194.828269999998</v>
      </c>
      <c r="AH33" s="136">
        <f t="shared" si="38"/>
        <v>87073.660799999998</v>
      </c>
      <c r="AI33" s="136">
        <f t="shared" si="39"/>
        <v>75376.996800000008</v>
      </c>
      <c r="AJ33" s="137">
        <f t="shared" si="40"/>
        <v>54304.55</v>
      </c>
      <c r="AK33" s="137">
        <f t="shared" si="40"/>
        <v>50639.14</v>
      </c>
      <c r="AL33" s="136">
        <f t="shared" si="41"/>
        <v>56639.645649999999</v>
      </c>
      <c r="AM33" s="136">
        <f t="shared" si="42"/>
        <v>52816.623019999999</v>
      </c>
      <c r="AN33" s="136">
        <f t="shared" si="43"/>
        <v>60821.096000000012</v>
      </c>
      <c r="AO33" s="136">
        <f t="shared" si="44"/>
        <v>56715.836800000005</v>
      </c>
      <c r="AP33" s="92"/>
      <c r="AQ33" s="140">
        <v>30</v>
      </c>
      <c r="AR33" s="141">
        <f ca="1">+RESUMEN!F33</f>
        <v>0</v>
      </c>
      <c r="AS33" s="141">
        <f ca="1">+RESUMEN!G33</f>
        <v>0</v>
      </c>
      <c r="AT33" s="142">
        <f t="shared" ca="1" si="7"/>
        <v>0</v>
      </c>
      <c r="AU33" s="143">
        <f t="shared" si="45"/>
        <v>0</v>
      </c>
      <c r="AV33" s="143">
        <f t="shared" si="46"/>
        <v>0</v>
      </c>
      <c r="AW33" s="143">
        <f t="shared" si="47"/>
        <v>0</v>
      </c>
      <c r="AX33" s="143">
        <f t="shared" si="48"/>
        <v>0</v>
      </c>
      <c r="AY33" s="143">
        <f t="shared" ca="1" si="49"/>
        <v>0</v>
      </c>
      <c r="AZ33" s="142"/>
      <c r="BA33" s="143">
        <f t="shared" ca="1" si="8"/>
        <v>0</v>
      </c>
      <c r="BB33" s="143">
        <f t="shared" ca="1" si="9"/>
        <v>0</v>
      </c>
      <c r="BC33" s="143">
        <f t="shared" ca="1" si="67"/>
        <v>0</v>
      </c>
      <c r="BD33" s="145">
        <f t="shared" ca="1" si="50"/>
        <v>0</v>
      </c>
      <c r="BE33" s="145">
        <f t="shared" ca="1" si="68"/>
        <v>0</v>
      </c>
      <c r="BF33" s="146" t="str">
        <f t="shared" ca="1" si="10"/>
        <v/>
      </c>
      <c r="BG33" s="92"/>
      <c r="BH33" s="95">
        <f t="shared" ca="1" si="11"/>
        <v>0</v>
      </c>
      <c r="BI33" s="95">
        <f t="shared" ca="1" si="12"/>
        <v>0</v>
      </c>
      <c r="BJ33" s="95">
        <f t="shared" ca="1" si="69"/>
        <v>0</v>
      </c>
      <c r="BK33" s="147">
        <f t="shared" ca="1" si="52"/>
        <v>0</v>
      </c>
      <c r="BL33" s="147">
        <f t="shared" ca="1" si="70"/>
        <v>0</v>
      </c>
      <c r="BM33" s="148" t="str">
        <f t="shared" ca="1" si="13"/>
        <v/>
      </c>
      <c r="BN33" s="92"/>
      <c r="BO33" s="149">
        <f t="shared" ca="1" si="14"/>
        <v>0</v>
      </c>
      <c r="BP33" s="149">
        <f t="shared" ca="1" si="15"/>
        <v>0</v>
      </c>
      <c r="BQ33" s="149">
        <f t="shared" ca="1" si="71"/>
        <v>0</v>
      </c>
      <c r="BR33" s="150">
        <f t="shared" ca="1" si="54"/>
        <v>0</v>
      </c>
      <c r="BS33" s="150">
        <f t="shared" ca="1" si="72"/>
        <v>0</v>
      </c>
      <c r="BT33" s="151" t="str">
        <f t="shared" ca="1" si="16"/>
        <v/>
      </c>
      <c r="BU33" s="92"/>
      <c r="BV33" s="152">
        <f t="shared" ca="1" si="17"/>
        <v>0</v>
      </c>
      <c r="BW33" s="152">
        <f t="shared" ca="1" si="18"/>
        <v>0</v>
      </c>
      <c r="BX33" s="152">
        <f t="shared" ca="1" si="73"/>
        <v>0</v>
      </c>
      <c r="BY33" s="153">
        <f t="shared" ca="1" si="56"/>
        <v>0</v>
      </c>
      <c r="BZ33" s="153">
        <f t="shared" ca="1" si="74"/>
        <v>0</v>
      </c>
      <c r="CA33" s="154" t="str">
        <f t="shared" ca="1" si="19"/>
        <v/>
      </c>
      <c r="CB33" s="92"/>
      <c r="CC33" s="155">
        <f t="shared" ca="1" si="20"/>
        <v>0</v>
      </c>
      <c r="CD33" s="155">
        <f t="shared" ca="1" si="21"/>
        <v>0</v>
      </c>
      <c r="CE33" s="155">
        <f t="shared" ca="1" si="75"/>
        <v>0</v>
      </c>
      <c r="CF33" s="156">
        <f t="shared" ca="1" si="58"/>
        <v>0</v>
      </c>
      <c r="CG33" s="156">
        <f t="shared" ca="1" si="76"/>
        <v>0</v>
      </c>
      <c r="CH33" s="157" t="str">
        <f t="shared" ca="1" si="22"/>
        <v/>
      </c>
      <c r="CI33" s="92"/>
      <c r="CJ33" s="158">
        <f t="shared" ca="1" si="23"/>
        <v>0</v>
      </c>
      <c r="CK33" s="158">
        <f t="shared" ca="1" si="24"/>
        <v>0</v>
      </c>
      <c r="CL33" s="158">
        <f t="shared" ca="1" si="77"/>
        <v>0</v>
      </c>
      <c r="CM33" s="159">
        <f t="shared" ca="1" si="60"/>
        <v>0</v>
      </c>
      <c r="CN33" s="159">
        <f t="shared" ca="1" si="78"/>
        <v>0</v>
      </c>
      <c r="CO33" s="160" t="str">
        <f t="shared" ca="1" si="25"/>
        <v/>
      </c>
      <c r="CP33" s="92"/>
      <c r="CQ33" s="140">
        <v>30</v>
      </c>
      <c r="CR33" s="330">
        <v>0.18</v>
      </c>
      <c r="CS33" s="92">
        <f t="shared" si="62"/>
        <v>0</v>
      </c>
      <c r="CT33" s="335">
        <f t="shared" si="63"/>
        <v>0.18</v>
      </c>
      <c r="CU33" s="92">
        <f t="shared" si="64"/>
        <v>1</v>
      </c>
      <c r="CV33" s="348">
        <f t="shared" si="65"/>
        <v>1</v>
      </c>
      <c r="CW33" s="380">
        <f t="shared" si="66"/>
        <v>139.81</v>
      </c>
      <c r="CX33" s="380">
        <f t="shared" si="26"/>
        <v>68.569999999999993</v>
      </c>
      <c r="CY33" s="367">
        <f t="shared" si="27"/>
        <v>276.83</v>
      </c>
      <c r="CZ33" s="380">
        <f t="shared" si="28"/>
        <v>155.79</v>
      </c>
      <c r="DA33"/>
      <c r="DB33" s="391">
        <v>30</v>
      </c>
      <c r="DC33" s="59">
        <v>26808.47</v>
      </c>
      <c r="DD33" s="59">
        <v>28770.61</v>
      </c>
      <c r="DE33" s="59">
        <v>23796.7</v>
      </c>
      <c r="DF33" s="59">
        <v>25538.41</v>
      </c>
      <c r="DG33" s="59">
        <v>21069.99</v>
      </c>
      <c r="DH33" s="59">
        <v>22612.13</v>
      </c>
      <c r="DI33" s="137">
        <v>110265.69</v>
      </c>
      <c r="DJ33" s="137">
        <v>91739.11</v>
      </c>
      <c r="DK33" s="138">
        <v>77744.34</v>
      </c>
      <c r="DL33" s="138">
        <v>67300.89</v>
      </c>
      <c r="DM33" s="137">
        <v>54304.55</v>
      </c>
      <c r="DN33" s="137">
        <v>50639.14</v>
      </c>
      <c r="DP33" s="384" t="s">
        <v>158</v>
      </c>
      <c r="DQ33" s="387">
        <v>594.55999999999995</v>
      </c>
      <c r="DR33" s="387">
        <v>590.87</v>
      </c>
    </row>
    <row r="34" spans="1:122">
      <c r="A34" s="166" t="s">
        <v>4</v>
      </c>
      <c r="B34" s="167" t="s">
        <v>61</v>
      </c>
      <c r="C34" s="167"/>
      <c r="D34" s="168"/>
      <c r="E34" s="91"/>
      <c r="H34" s="165"/>
      <c r="I34" s="165"/>
      <c r="J34" s="164">
        <v>31</v>
      </c>
      <c r="K34" s="59">
        <f t="shared" si="29"/>
        <v>28122.95</v>
      </c>
      <c r="L34" s="59">
        <f t="shared" si="29"/>
        <v>30533.74</v>
      </c>
      <c r="M34" s="59">
        <f t="shared" si="29"/>
        <v>24963.51</v>
      </c>
      <c r="N34" s="59">
        <f t="shared" si="29"/>
        <v>27103.46</v>
      </c>
      <c r="O34" s="59">
        <f t="shared" si="29"/>
        <v>22103.1</v>
      </c>
      <c r="P34" s="59">
        <f t="shared" si="29"/>
        <v>23997.85</v>
      </c>
      <c r="Q34" s="136">
        <f t="shared" si="1"/>
        <v>114354.83</v>
      </c>
      <c r="R34" s="136">
        <f t="shared" si="2"/>
        <v>119990.7</v>
      </c>
      <c r="S34" s="136">
        <f t="shared" si="3"/>
        <v>78823.73</v>
      </c>
      <c r="T34" s="136">
        <f t="shared" si="4"/>
        <v>78300.600000000006</v>
      </c>
      <c r="U34" s="136">
        <f t="shared" si="5"/>
        <v>54590.53</v>
      </c>
      <c r="V34" s="136">
        <f t="shared" si="6"/>
        <v>55333.38</v>
      </c>
      <c r="W34" s="92"/>
      <c r="X34" s="137">
        <f t="shared" si="30"/>
        <v>114354.83</v>
      </c>
      <c r="Y34" s="137">
        <f t="shared" si="30"/>
        <v>119990.7</v>
      </c>
      <c r="Z34" s="136">
        <f t="shared" si="31"/>
        <v>119272.08769</v>
      </c>
      <c r="AA34" s="136">
        <f t="shared" si="32"/>
        <v>125150.30009999999</v>
      </c>
      <c r="AB34" s="136">
        <f t="shared" si="33"/>
        <v>128077.40960000001</v>
      </c>
      <c r="AC34" s="136">
        <f t="shared" si="34"/>
        <v>134389.584</v>
      </c>
      <c r="AD34" s="138">
        <f t="shared" si="35"/>
        <v>78823.73</v>
      </c>
      <c r="AE34" s="138">
        <f t="shared" si="35"/>
        <v>78300.600000000006</v>
      </c>
      <c r="AF34" s="136">
        <f t="shared" si="36"/>
        <v>82213.150389999995</v>
      </c>
      <c r="AG34" s="136">
        <f t="shared" si="37"/>
        <v>81667.525800000003</v>
      </c>
      <c r="AH34" s="136">
        <f t="shared" si="38"/>
        <v>88282.577600000004</v>
      </c>
      <c r="AI34" s="136">
        <f t="shared" si="39"/>
        <v>87696.67200000002</v>
      </c>
      <c r="AJ34" s="137">
        <f t="shared" si="40"/>
        <v>54590.53</v>
      </c>
      <c r="AK34" s="137">
        <f t="shared" si="40"/>
        <v>55333.38</v>
      </c>
      <c r="AL34" s="136">
        <f t="shared" si="41"/>
        <v>56937.922789999997</v>
      </c>
      <c r="AM34" s="136">
        <f t="shared" si="42"/>
        <v>57712.715339999995</v>
      </c>
      <c r="AN34" s="136">
        <f t="shared" si="43"/>
        <v>61141.393600000003</v>
      </c>
      <c r="AO34" s="136">
        <f t="shared" si="44"/>
        <v>61973.385600000001</v>
      </c>
      <c r="AP34" s="92"/>
      <c r="AQ34" s="140">
        <v>31</v>
      </c>
      <c r="AR34" s="141">
        <f ca="1">+RESUMEN!F34</f>
        <v>0</v>
      </c>
      <c r="AS34" s="141">
        <f ca="1">+RESUMEN!G34</f>
        <v>0</v>
      </c>
      <c r="AT34" s="142">
        <f t="shared" ca="1" si="7"/>
        <v>0</v>
      </c>
      <c r="AU34" s="143">
        <f t="shared" si="45"/>
        <v>0</v>
      </c>
      <c r="AV34" s="143">
        <f t="shared" si="46"/>
        <v>0</v>
      </c>
      <c r="AW34" s="143">
        <f t="shared" si="47"/>
        <v>0</v>
      </c>
      <c r="AX34" s="143">
        <f t="shared" si="48"/>
        <v>0</v>
      </c>
      <c r="AY34" s="143">
        <f t="shared" ca="1" si="49"/>
        <v>0</v>
      </c>
      <c r="AZ34" s="142"/>
      <c r="BA34" s="143">
        <f t="shared" ca="1" si="8"/>
        <v>0</v>
      </c>
      <c r="BB34" s="143">
        <f t="shared" ca="1" si="9"/>
        <v>0</v>
      </c>
      <c r="BC34" s="143">
        <f t="shared" ca="1" si="67"/>
        <v>0</v>
      </c>
      <c r="BD34" s="145">
        <f t="shared" ca="1" si="50"/>
        <v>0</v>
      </c>
      <c r="BE34" s="145">
        <f t="shared" ca="1" si="68"/>
        <v>0</v>
      </c>
      <c r="BF34" s="146" t="str">
        <f t="shared" ca="1" si="10"/>
        <v/>
      </c>
      <c r="BG34" s="92"/>
      <c r="BH34" s="95">
        <f t="shared" ca="1" si="11"/>
        <v>0</v>
      </c>
      <c r="BI34" s="95">
        <f t="shared" ca="1" si="12"/>
        <v>0</v>
      </c>
      <c r="BJ34" s="95">
        <f t="shared" ca="1" si="69"/>
        <v>0</v>
      </c>
      <c r="BK34" s="147">
        <f t="shared" ca="1" si="52"/>
        <v>0</v>
      </c>
      <c r="BL34" s="147">
        <f t="shared" ca="1" si="70"/>
        <v>0</v>
      </c>
      <c r="BM34" s="148" t="str">
        <f t="shared" ca="1" si="13"/>
        <v/>
      </c>
      <c r="BN34" s="92"/>
      <c r="BO34" s="149">
        <f t="shared" ca="1" si="14"/>
        <v>0</v>
      </c>
      <c r="BP34" s="149">
        <f t="shared" ca="1" si="15"/>
        <v>0</v>
      </c>
      <c r="BQ34" s="149">
        <f t="shared" ca="1" si="71"/>
        <v>0</v>
      </c>
      <c r="BR34" s="150">
        <f t="shared" ca="1" si="54"/>
        <v>0</v>
      </c>
      <c r="BS34" s="150">
        <f t="shared" ca="1" si="72"/>
        <v>0</v>
      </c>
      <c r="BT34" s="151" t="str">
        <f t="shared" ca="1" si="16"/>
        <v/>
      </c>
      <c r="BU34" s="92"/>
      <c r="BV34" s="152">
        <f t="shared" ca="1" si="17"/>
        <v>0</v>
      </c>
      <c r="BW34" s="152">
        <f t="shared" ca="1" si="18"/>
        <v>0</v>
      </c>
      <c r="BX34" s="152">
        <f t="shared" ca="1" si="73"/>
        <v>0</v>
      </c>
      <c r="BY34" s="153">
        <f t="shared" ca="1" si="56"/>
        <v>0</v>
      </c>
      <c r="BZ34" s="153">
        <f t="shared" ca="1" si="74"/>
        <v>0</v>
      </c>
      <c r="CA34" s="154" t="str">
        <f t="shared" ca="1" si="19"/>
        <v/>
      </c>
      <c r="CB34" s="92"/>
      <c r="CC34" s="155">
        <f t="shared" ca="1" si="20"/>
        <v>0</v>
      </c>
      <c r="CD34" s="155">
        <f t="shared" ca="1" si="21"/>
        <v>0</v>
      </c>
      <c r="CE34" s="155">
        <f t="shared" ca="1" si="75"/>
        <v>0</v>
      </c>
      <c r="CF34" s="156">
        <f t="shared" ca="1" si="58"/>
        <v>0</v>
      </c>
      <c r="CG34" s="156">
        <f t="shared" ca="1" si="76"/>
        <v>0</v>
      </c>
      <c r="CH34" s="157" t="str">
        <f t="shared" ca="1" si="22"/>
        <v/>
      </c>
      <c r="CI34" s="92"/>
      <c r="CJ34" s="158">
        <f t="shared" ca="1" si="23"/>
        <v>0</v>
      </c>
      <c r="CK34" s="158">
        <f t="shared" ca="1" si="24"/>
        <v>0</v>
      </c>
      <c r="CL34" s="158">
        <f t="shared" ca="1" si="77"/>
        <v>0</v>
      </c>
      <c r="CM34" s="159">
        <f t="shared" ca="1" si="60"/>
        <v>0</v>
      </c>
      <c r="CN34" s="159">
        <f t="shared" ca="1" si="78"/>
        <v>0</v>
      </c>
      <c r="CO34" s="160" t="str">
        <f t="shared" ca="1" si="25"/>
        <v/>
      </c>
      <c r="CP34" s="92"/>
      <c r="CQ34" s="140">
        <v>31</v>
      </c>
      <c r="CR34" s="330">
        <v>0.18</v>
      </c>
      <c r="CS34" s="92">
        <f t="shared" si="62"/>
        <v>0</v>
      </c>
      <c r="CT34" s="335">
        <f t="shared" si="63"/>
        <v>0.18</v>
      </c>
      <c r="CU34" s="92">
        <f t="shared" si="64"/>
        <v>1</v>
      </c>
      <c r="CV34" s="348">
        <f t="shared" si="65"/>
        <v>1</v>
      </c>
      <c r="CW34" s="380">
        <f t="shared" si="66"/>
        <v>139.81</v>
      </c>
      <c r="CX34" s="380">
        <f t="shared" si="26"/>
        <v>68.569999999999993</v>
      </c>
      <c r="CY34" s="367">
        <f t="shared" si="27"/>
        <v>276.83</v>
      </c>
      <c r="CZ34" s="380">
        <f t="shared" si="28"/>
        <v>155.79</v>
      </c>
      <c r="DA34"/>
      <c r="DB34" s="391">
        <v>31</v>
      </c>
      <c r="DC34" s="59">
        <v>28122.95</v>
      </c>
      <c r="DD34" s="59">
        <v>30533.74</v>
      </c>
      <c r="DE34" s="59">
        <v>24963.51</v>
      </c>
      <c r="DF34" s="59">
        <v>27103.46</v>
      </c>
      <c r="DG34" s="59">
        <v>22103.1</v>
      </c>
      <c r="DH34" s="59">
        <v>23997.85</v>
      </c>
      <c r="DI34" s="137">
        <v>114354.83</v>
      </c>
      <c r="DJ34" s="137">
        <v>119990.7</v>
      </c>
      <c r="DK34" s="138">
        <v>78823.73</v>
      </c>
      <c r="DL34" s="138">
        <v>78300.600000000006</v>
      </c>
      <c r="DM34" s="137">
        <v>54590.53</v>
      </c>
      <c r="DN34" s="137">
        <v>55333.38</v>
      </c>
      <c r="DP34" s="384" t="s">
        <v>159</v>
      </c>
      <c r="DQ34" s="387">
        <v>640.99</v>
      </c>
      <c r="DR34" s="387">
        <v>623.4</v>
      </c>
    </row>
    <row r="35" spans="1:122">
      <c r="A35" s="169" t="s">
        <v>25</v>
      </c>
      <c r="B35" s="170" t="s">
        <v>5</v>
      </c>
      <c r="C35" s="170" t="s">
        <v>6</v>
      </c>
      <c r="D35" s="171" t="s">
        <v>36</v>
      </c>
      <c r="E35" s="165"/>
      <c r="H35" s="165"/>
      <c r="I35" s="165"/>
      <c r="J35" s="164">
        <v>32</v>
      </c>
      <c r="K35" s="59">
        <f t="shared" si="29"/>
        <v>29863.43</v>
      </c>
      <c r="L35" s="59">
        <f t="shared" si="29"/>
        <v>34786.080000000002</v>
      </c>
      <c r="M35" s="59">
        <f t="shared" si="29"/>
        <v>26508.45</v>
      </c>
      <c r="N35" s="59">
        <f t="shared" si="29"/>
        <v>30878.07</v>
      </c>
      <c r="O35" s="59">
        <f t="shared" si="29"/>
        <v>23471.03</v>
      </c>
      <c r="P35" s="59">
        <f t="shared" si="29"/>
        <v>27339.96</v>
      </c>
      <c r="Q35" s="136">
        <f t="shared" ref="Q35:Q66" si="79">(IF($C$11="A",AB35,IF($C$11="B",Z35,IF($C$11="C",X35," "))))</f>
        <v>115952.13</v>
      </c>
      <c r="R35" s="136">
        <f t="shared" ref="R35:R66" si="80">(IF($C$11="A",AC35,IF($C$11="B",AA35,IF($C$11="C",Y35," "))))</f>
        <v>126128.78</v>
      </c>
      <c r="S35" s="136">
        <f t="shared" ref="S35:S66" si="81">(IF($C$11="A",AH35,IF($C$11="B",AF35,IF($C$11="C",AD35," "))))</f>
        <v>79924.05</v>
      </c>
      <c r="T35" s="136">
        <f t="shared" ref="T35:T66" si="82">(IF($C$11="A",AI35,IF($C$11="B",AG35,IF($C$11="C",AE35," "))))</f>
        <v>81383.59</v>
      </c>
      <c r="U35" s="136">
        <f t="shared" ref="U35:U66" si="83">(IF($C$11="A",AN35,IF($C$11="B",AL35,IF($C$11="C",AJ35," "))))</f>
        <v>55053.16</v>
      </c>
      <c r="V35" s="136">
        <f t="shared" ref="V35:V66" si="84">(IF($C$11="A",AO35,IF($C$11="B",AM35,IF($C$11="C",AK35," "))))</f>
        <v>58557.61</v>
      </c>
      <c r="W35" s="92"/>
      <c r="X35" s="137">
        <f t="shared" si="30"/>
        <v>115952.13</v>
      </c>
      <c r="Y35" s="137">
        <f t="shared" si="30"/>
        <v>126128.78</v>
      </c>
      <c r="Z35" s="136">
        <f t="shared" si="31"/>
        <v>120938.07158999999</v>
      </c>
      <c r="AA35" s="136">
        <f t="shared" si="32"/>
        <v>131552.31753999999</v>
      </c>
      <c r="AB35" s="136">
        <f t="shared" si="33"/>
        <v>129866.38560000002</v>
      </c>
      <c r="AC35" s="136">
        <f t="shared" si="34"/>
        <v>141264.23360000001</v>
      </c>
      <c r="AD35" s="138">
        <f t="shared" si="35"/>
        <v>79924.05</v>
      </c>
      <c r="AE35" s="138">
        <f t="shared" si="35"/>
        <v>81383.59</v>
      </c>
      <c r="AF35" s="136">
        <f t="shared" si="36"/>
        <v>83360.784149999992</v>
      </c>
      <c r="AG35" s="136">
        <f t="shared" si="37"/>
        <v>84883.084369999997</v>
      </c>
      <c r="AH35" s="136">
        <f t="shared" si="38"/>
        <v>89514.936000000016</v>
      </c>
      <c r="AI35" s="136">
        <f t="shared" si="39"/>
        <v>91149.620800000004</v>
      </c>
      <c r="AJ35" s="137">
        <f t="shared" si="40"/>
        <v>55053.16</v>
      </c>
      <c r="AK35" s="137">
        <f t="shared" si="40"/>
        <v>58557.61</v>
      </c>
      <c r="AL35" s="136">
        <f t="shared" si="41"/>
        <v>57420.445879999999</v>
      </c>
      <c r="AM35" s="136">
        <f t="shared" si="42"/>
        <v>61075.587229999997</v>
      </c>
      <c r="AN35" s="136">
        <f t="shared" si="43"/>
        <v>61659.539200000007</v>
      </c>
      <c r="AO35" s="136">
        <f t="shared" si="44"/>
        <v>65584.523200000011</v>
      </c>
      <c r="AP35" s="92"/>
      <c r="AQ35" s="140">
        <v>32</v>
      </c>
      <c r="AR35" s="141">
        <f ca="1">+RESUMEN!F35</f>
        <v>0</v>
      </c>
      <c r="AS35" s="141">
        <f ca="1">+RESUMEN!G35</f>
        <v>0</v>
      </c>
      <c r="AT35" s="142">
        <f t="shared" ref="AT35:AT66" ca="1" si="85">AR35+AS35</f>
        <v>0</v>
      </c>
      <c r="AU35" s="143">
        <f t="shared" si="45"/>
        <v>0</v>
      </c>
      <c r="AV35" s="143">
        <f t="shared" si="46"/>
        <v>0</v>
      </c>
      <c r="AW35" s="143">
        <f t="shared" si="47"/>
        <v>0</v>
      </c>
      <c r="AX35" s="143">
        <f t="shared" si="48"/>
        <v>0</v>
      </c>
      <c r="AY35" s="143">
        <f t="shared" ca="1" si="49"/>
        <v>0</v>
      </c>
      <c r="AZ35" s="142"/>
      <c r="BA35" s="143">
        <f t="shared" ref="BA35:BA66" ca="1" si="86">+O35*$B$26</f>
        <v>0</v>
      </c>
      <c r="BB35" s="143">
        <f t="shared" ref="BB35:BB66" ca="1" si="87">+P35*$B$26</f>
        <v>0</v>
      </c>
      <c r="BC35" s="143">
        <f t="shared" ca="1" si="67"/>
        <v>0</v>
      </c>
      <c r="BD35" s="145">
        <f t="shared" ca="1" si="50"/>
        <v>0</v>
      </c>
      <c r="BE35" s="145">
        <f t="shared" ca="1" si="68"/>
        <v>0</v>
      </c>
      <c r="BF35" s="146" t="str">
        <f t="shared" ref="BF35:BF66" ca="1" si="88">IF(BA35=0,"",(SUM(BD35:BE35)))</f>
        <v/>
      </c>
      <c r="BG35" s="92"/>
      <c r="BH35" s="95">
        <f t="shared" ref="BH35:BH66" ca="1" si="89">M35*$B$26</f>
        <v>0</v>
      </c>
      <c r="BI35" s="95">
        <f t="shared" ref="BI35:BI66" ca="1" si="90">N35*$B$26</f>
        <v>0</v>
      </c>
      <c r="BJ35" s="95">
        <f t="shared" ca="1" si="69"/>
        <v>0</v>
      </c>
      <c r="BK35" s="147">
        <f t="shared" ca="1" si="52"/>
        <v>0</v>
      </c>
      <c r="BL35" s="147">
        <f t="shared" ca="1" si="70"/>
        <v>0</v>
      </c>
      <c r="BM35" s="148" t="str">
        <f t="shared" ref="BM35:BM66" ca="1" si="91">IF(BH35=0,"",(SUM(BK35:BL35)))</f>
        <v/>
      </c>
      <c r="BN35" s="92"/>
      <c r="BO35" s="149">
        <f t="shared" ref="BO35:BO66" ca="1" si="92">K35*$B$26</f>
        <v>0</v>
      </c>
      <c r="BP35" s="149">
        <f t="shared" ref="BP35:BP66" ca="1" si="93">L35*$B$26</f>
        <v>0</v>
      </c>
      <c r="BQ35" s="149">
        <f t="shared" ca="1" si="71"/>
        <v>0</v>
      </c>
      <c r="BR35" s="150">
        <f t="shared" ca="1" si="54"/>
        <v>0</v>
      </c>
      <c r="BS35" s="150">
        <f t="shared" ca="1" si="72"/>
        <v>0</v>
      </c>
      <c r="BT35" s="151" t="str">
        <f t="shared" ref="BT35:BT66" ca="1" si="94">IF(BO35=0,"",(SUM(BR35:BS35)))</f>
        <v/>
      </c>
      <c r="BU35" s="92"/>
      <c r="BV35" s="152">
        <f t="shared" ref="BV35:BV66" ca="1" si="95">Q35*$B$26</f>
        <v>0</v>
      </c>
      <c r="BW35" s="152">
        <f t="shared" ref="BW35:BW66" ca="1" si="96">R35*$B$26</f>
        <v>0</v>
      </c>
      <c r="BX35" s="152">
        <f t="shared" ca="1" si="73"/>
        <v>0</v>
      </c>
      <c r="BY35" s="153">
        <f t="shared" ca="1" si="56"/>
        <v>0</v>
      </c>
      <c r="BZ35" s="153">
        <f t="shared" ca="1" si="74"/>
        <v>0</v>
      </c>
      <c r="CA35" s="154" t="str">
        <f t="shared" ref="CA35:CA66" ca="1" si="97">IF(BV35=0,"",(SUM(BY35:BZ35)))</f>
        <v/>
      </c>
      <c r="CB35" s="92"/>
      <c r="CC35" s="155">
        <f t="shared" ref="CC35:CC66" ca="1" si="98">S35*$B$26</f>
        <v>0</v>
      </c>
      <c r="CD35" s="155">
        <f t="shared" ref="CD35:CD66" ca="1" si="99">T35*$B$26</f>
        <v>0</v>
      </c>
      <c r="CE35" s="155">
        <f t="shared" ca="1" si="75"/>
        <v>0</v>
      </c>
      <c r="CF35" s="156">
        <f t="shared" ca="1" si="58"/>
        <v>0</v>
      </c>
      <c r="CG35" s="156">
        <f t="shared" ca="1" si="76"/>
        <v>0</v>
      </c>
      <c r="CH35" s="157" t="str">
        <f t="shared" ref="CH35:CH66" ca="1" si="100">IF(CC35=0,"",(SUM(CF35:CG35)))</f>
        <v/>
      </c>
      <c r="CI35" s="92"/>
      <c r="CJ35" s="158">
        <f t="shared" ref="CJ35:CJ66" ca="1" si="101">U35*$B$26</f>
        <v>0</v>
      </c>
      <c r="CK35" s="158">
        <f t="shared" ref="CK35:CK66" ca="1" si="102">V35*$B$26</f>
        <v>0</v>
      </c>
      <c r="CL35" s="158">
        <f t="shared" ca="1" si="77"/>
        <v>0</v>
      </c>
      <c r="CM35" s="159">
        <f t="shared" ca="1" si="60"/>
        <v>0</v>
      </c>
      <c r="CN35" s="159">
        <f t="shared" ca="1" si="78"/>
        <v>0</v>
      </c>
      <c r="CO35" s="160" t="str">
        <f t="shared" ref="CO35:CO66" ca="1" si="103">IF(CJ35=0,"",(SUM(CM35:CN35)))</f>
        <v/>
      </c>
      <c r="CP35" s="92"/>
      <c r="CQ35" s="140">
        <v>32</v>
      </c>
      <c r="CR35" s="330">
        <v>0.18</v>
      </c>
      <c r="CS35" s="92">
        <f t="shared" si="62"/>
        <v>0</v>
      </c>
      <c r="CT35" s="335">
        <f t="shared" si="63"/>
        <v>0.18</v>
      </c>
      <c r="CU35" s="92">
        <f t="shared" si="64"/>
        <v>1</v>
      </c>
      <c r="CV35" s="348">
        <f t="shared" si="65"/>
        <v>1</v>
      </c>
      <c r="CW35" s="380">
        <f t="shared" ref="CW35:CW52" si="104">+IF(p&gt;3,154.53,139.81)</f>
        <v>139.81</v>
      </c>
      <c r="CX35" s="380">
        <f t="shared" ref="CX35:CX52" si="105">+IF(p&gt;3,75.79,68.57)</f>
        <v>68.569999999999993</v>
      </c>
      <c r="CY35" s="367">
        <f t="shared" ref="CY35:CY52" si="106">+IF(p&gt;3,306.81,276.83)</f>
        <v>276.83</v>
      </c>
      <c r="CZ35" s="380">
        <f t="shared" si="28"/>
        <v>155.79</v>
      </c>
      <c r="DA35"/>
      <c r="DB35" s="391">
        <v>32</v>
      </c>
      <c r="DC35" s="59">
        <v>29863.43</v>
      </c>
      <c r="DD35" s="59">
        <v>34786.080000000002</v>
      </c>
      <c r="DE35" s="59">
        <v>26508.45</v>
      </c>
      <c r="DF35" s="59">
        <v>30878.07</v>
      </c>
      <c r="DG35" s="59">
        <v>23471.03</v>
      </c>
      <c r="DH35" s="59">
        <v>27339.96</v>
      </c>
      <c r="DI35" s="137">
        <v>115952.13</v>
      </c>
      <c r="DJ35" s="137">
        <v>126128.78</v>
      </c>
      <c r="DK35" s="138">
        <v>79924.05</v>
      </c>
      <c r="DL35" s="138">
        <v>81383.59</v>
      </c>
      <c r="DM35" s="137">
        <v>55053.16</v>
      </c>
      <c r="DN35" s="137">
        <v>58557.61</v>
      </c>
      <c r="DP35" s="384" t="s">
        <v>160</v>
      </c>
      <c r="DQ35" s="387">
        <v>687.42</v>
      </c>
      <c r="DR35" s="387">
        <v>655.93</v>
      </c>
    </row>
    <row r="36" spans="1:122">
      <c r="A36" s="172">
        <v>0</v>
      </c>
      <c r="B36" s="173">
        <f ca="1">RESUMEN!J3</f>
        <v>0</v>
      </c>
      <c r="C36" s="173">
        <f ca="1">+RESUMEN!K3</f>
        <v>0</v>
      </c>
      <c r="D36" s="174">
        <f t="shared" ref="D36:D67" ca="1" si="107">B36+C36</f>
        <v>0</v>
      </c>
      <c r="E36" s="165"/>
      <c r="H36" s="165"/>
      <c r="I36" s="165"/>
      <c r="J36" s="164">
        <v>33</v>
      </c>
      <c r="K36" s="59">
        <f t="shared" si="29"/>
        <v>31470.16</v>
      </c>
      <c r="L36" s="59">
        <f t="shared" si="29"/>
        <v>38622.870000000003</v>
      </c>
      <c r="M36" s="59">
        <f t="shared" si="29"/>
        <v>27934.68</v>
      </c>
      <c r="N36" s="59">
        <f t="shared" si="29"/>
        <v>34283.83</v>
      </c>
      <c r="O36" s="59">
        <f t="shared" si="29"/>
        <v>24733.83</v>
      </c>
      <c r="P36" s="59">
        <f t="shared" si="29"/>
        <v>30355.47</v>
      </c>
      <c r="Q36" s="136">
        <f t="shared" si="79"/>
        <v>117603.48</v>
      </c>
      <c r="R36" s="136">
        <f t="shared" si="80"/>
        <v>130441.13</v>
      </c>
      <c r="S36" s="136">
        <f t="shared" si="81"/>
        <v>82611.02</v>
      </c>
      <c r="T36" s="136">
        <f t="shared" si="82"/>
        <v>84402.06</v>
      </c>
      <c r="U36" s="136">
        <f t="shared" si="83"/>
        <v>56524.37</v>
      </c>
      <c r="V36" s="136">
        <f t="shared" si="84"/>
        <v>61523.77</v>
      </c>
      <c r="W36" s="92"/>
      <c r="X36" s="137">
        <f t="shared" si="30"/>
        <v>117603.48</v>
      </c>
      <c r="Y36" s="137">
        <f t="shared" si="30"/>
        <v>130441.13</v>
      </c>
      <c r="Z36" s="136">
        <f t="shared" si="31"/>
        <v>122660.42963999999</v>
      </c>
      <c r="AA36" s="136">
        <f t="shared" si="32"/>
        <v>136050.09859000001</v>
      </c>
      <c r="AB36" s="136">
        <f t="shared" si="33"/>
        <v>131715.8976</v>
      </c>
      <c r="AC36" s="136">
        <f t="shared" si="34"/>
        <v>146094.06560000003</v>
      </c>
      <c r="AD36" s="138">
        <f t="shared" si="35"/>
        <v>82611.02</v>
      </c>
      <c r="AE36" s="138">
        <f t="shared" si="35"/>
        <v>84402.06</v>
      </c>
      <c r="AF36" s="136">
        <f t="shared" si="36"/>
        <v>86163.293860000005</v>
      </c>
      <c r="AG36" s="136">
        <f t="shared" si="37"/>
        <v>88031.348579999991</v>
      </c>
      <c r="AH36" s="136">
        <f t="shared" si="38"/>
        <v>92524.342400000009</v>
      </c>
      <c r="AI36" s="136">
        <f t="shared" si="39"/>
        <v>94530.30720000001</v>
      </c>
      <c r="AJ36" s="137">
        <f t="shared" si="40"/>
        <v>56524.37</v>
      </c>
      <c r="AK36" s="137">
        <f t="shared" si="40"/>
        <v>61523.77</v>
      </c>
      <c r="AL36" s="136">
        <f t="shared" si="41"/>
        <v>58954.917909999996</v>
      </c>
      <c r="AM36" s="136">
        <f t="shared" si="42"/>
        <v>64169.292109999995</v>
      </c>
      <c r="AN36" s="136">
        <f t="shared" si="43"/>
        <v>63307.294400000006</v>
      </c>
      <c r="AO36" s="136">
        <f t="shared" si="44"/>
        <v>68906.622400000007</v>
      </c>
      <c r="AP36" s="92"/>
      <c r="AQ36" s="140">
        <v>33</v>
      </c>
      <c r="AR36" s="141">
        <f ca="1">+RESUMEN!F36</f>
        <v>0</v>
      </c>
      <c r="AS36" s="141">
        <f ca="1">+RESUMEN!G36</f>
        <v>0</v>
      </c>
      <c r="AT36" s="142">
        <f t="shared" ca="1" si="85"/>
        <v>0</v>
      </c>
      <c r="AU36" s="143">
        <f t="shared" si="45"/>
        <v>0</v>
      </c>
      <c r="AV36" s="143">
        <f t="shared" si="46"/>
        <v>0</v>
      </c>
      <c r="AW36" s="143">
        <f t="shared" si="47"/>
        <v>0</v>
      </c>
      <c r="AX36" s="143">
        <f t="shared" si="48"/>
        <v>0</v>
      </c>
      <c r="AY36" s="143">
        <f t="shared" ca="1" si="49"/>
        <v>0</v>
      </c>
      <c r="AZ36" s="142"/>
      <c r="BA36" s="143">
        <f t="shared" ca="1" si="86"/>
        <v>0</v>
      </c>
      <c r="BB36" s="143">
        <f t="shared" ca="1" si="87"/>
        <v>0</v>
      </c>
      <c r="BC36" s="143">
        <f t="shared" ca="1" si="67"/>
        <v>0</v>
      </c>
      <c r="BD36" s="145">
        <f t="shared" ca="1" si="50"/>
        <v>0</v>
      </c>
      <c r="BE36" s="145">
        <f t="shared" ca="1" si="68"/>
        <v>0</v>
      </c>
      <c r="BF36" s="146" t="str">
        <f t="shared" ca="1" si="88"/>
        <v/>
      </c>
      <c r="BG36" s="92"/>
      <c r="BH36" s="95">
        <f t="shared" ca="1" si="89"/>
        <v>0</v>
      </c>
      <c r="BI36" s="95">
        <f t="shared" ca="1" si="90"/>
        <v>0</v>
      </c>
      <c r="BJ36" s="95">
        <f t="shared" ca="1" si="69"/>
        <v>0</v>
      </c>
      <c r="BK36" s="147">
        <f t="shared" ca="1" si="52"/>
        <v>0</v>
      </c>
      <c r="BL36" s="147">
        <f t="shared" ca="1" si="70"/>
        <v>0</v>
      </c>
      <c r="BM36" s="148" t="str">
        <f t="shared" ca="1" si="91"/>
        <v/>
      </c>
      <c r="BN36" s="92"/>
      <c r="BO36" s="149">
        <f t="shared" ca="1" si="92"/>
        <v>0</v>
      </c>
      <c r="BP36" s="149">
        <f t="shared" ca="1" si="93"/>
        <v>0</v>
      </c>
      <c r="BQ36" s="149">
        <f t="shared" ca="1" si="71"/>
        <v>0</v>
      </c>
      <c r="BR36" s="150">
        <f t="shared" ca="1" si="54"/>
        <v>0</v>
      </c>
      <c r="BS36" s="150">
        <f t="shared" ca="1" si="72"/>
        <v>0</v>
      </c>
      <c r="BT36" s="151" t="str">
        <f t="shared" ca="1" si="94"/>
        <v/>
      </c>
      <c r="BU36" s="92"/>
      <c r="BV36" s="152">
        <f t="shared" ca="1" si="95"/>
        <v>0</v>
      </c>
      <c r="BW36" s="152">
        <f t="shared" ca="1" si="96"/>
        <v>0</v>
      </c>
      <c r="BX36" s="152">
        <f t="shared" ca="1" si="73"/>
        <v>0</v>
      </c>
      <c r="BY36" s="153">
        <f t="shared" ca="1" si="56"/>
        <v>0</v>
      </c>
      <c r="BZ36" s="153">
        <f t="shared" ca="1" si="74"/>
        <v>0</v>
      </c>
      <c r="CA36" s="154" t="str">
        <f t="shared" ca="1" si="97"/>
        <v/>
      </c>
      <c r="CB36" s="92"/>
      <c r="CC36" s="155">
        <f t="shared" ca="1" si="98"/>
        <v>0</v>
      </c>
      <c r="CD36" s="155">
        <f t="shared" ca="1" si="99"/>
        <v>0</v>
      </c>
      <c r="CE36" s="155">
        <f t="shared" ca="1" si="75"/>
        <v>0</v>
      </c>
      <c r="CF36" s="156">
        <f t="shared" ca="1" si="58"/>
        <v>0</v>
      </c>
      <c r="CG36" s="156">
        <f t="shared" ca="1" si="76"/>
        <v>0</v>
      </c>
      <c r="CH36" s="157" t="str">
        <f t="shared" ca="1" si="100"/>
        <v/>
      </c>
      <c r="CI36" s="92"/>
      <c r="CJ36" s="158">
        <f t="shared" ca="1" si="101"/>
        <v>0</v>
      </c>
      <c r="CK36" s="158">
        <f t="shared" ca="1" si="102"/>
        <v>0</v>
      </c>
      <c r="CL36" s="158">
        <f t="shared" ca="1" si="77"/>
        <v>0</v>
      </c>
      <c r="CM36" s="159">
        <f t="shared" ca="1" si="60"/>
        <v>0</v>
      </c>
      <c r="CN36" s="159">
        <f t="shared" ca="1" si="78"/>
        <v>0</v>
      </c>
      <c r="CO36" s="160" t="str">
        <f t="shared" ca="1" si="103"/>
        <v/>
      </c>
      <c r="CP36" s="92"/>
      <c r="CQ36" s="140">
        <v>33</v>
      </c>
      <c r="CR36" s="330">
        <v>0.18</v>
      </c>
      <c r="CS36" s="92">
        <f t="shared" si="62"/>
        <v>0</v>
      </c>
      <c r="CT36" s="335">
        <f t="shared" si="63"/>
        <v>0.18</v>
      </c>
      <c r="CU36" s="92">
        <f t="shared" si="64"/>
        <v>1</v>
      </c>
      <c r="CV36" s="348">
        <f t="shared" si="65"/>
        <v>1</v>
      </c>
      <c r="CW36" s="380">
        <f t="shared" si="104"/>
        <v>139.81</v>
      </c>
      <c r="CX36" s="380">
        <f t="shared" si="105"/>
        <v>68.569999999999993</v>
      </c>
      <c r="CY36" s="367">
        <f t="shared" si="106"/>
        <v>276.83</v>
      </c>
      <c r="CZ36" s="380">
        <f t="shared" si="28"/>
        <v>155.79</v>
      </c>
      <c r="DA36"/>
      <c r="DB36" s="391">
        <v>33</v>
      </c>
      <c r="DC36" s="59">
        <v>31470.16</v>
      </c>
      <c r="DD36" s="59">
        <v>38622.870000000003</v>
      </c>
      <c r="DE36" s="59">
        <v>27934.68</v>
      </c>
      <c r="DF36" s="59">
        <v>34283.83</v>
      </c>
      <c r="DG36" s="59">
        <v>24733.83</v>
      </c>
      <c r="DH36" s="59">
        <v>30355.47</v>
      </c>
      <c r="DI36" s="137">
        <v>117603.48</v>
      </c>
      <c r="DJ36" s="137">
        <v>130441.13</v>
      </c>
      <c r="DK36" s="138">
        <v>82611.02</v>
      </c>
      <c r="DL36" s="138">
        <v>84402.06</v>
      </c>
      <c r="DM36" s="137">
        <v>56524.37</v>
      </c>
      <c r="DN36" s="137">
        <v>61523.77</v>
      </c>
      <c r="DP36" s="384" t="s">
        <v>161</v>
      </c>
      <c r="DQ36" s="387">
        <v>733.85</v>
      </c>
      <c r="DR36" s="387">
        <v>688.46</v>
      </c>
    </row>
    <row r="37" spans="1:122">
      <c r="A37" s="172">
        <v>1</v>
      </c>
      <c r="B37" s="173">
        <f ca="1">RESUMEN!J4</f>
        <v>0</v>
      </c>
      <c r="C37" s="173">
        <f ca="1">+RESUMEN!K4</f>
        <v>0</v>
      </c>
      <c r="D37" s="174">
        <f t="shared" ca="1" si="107"/>
        <v>0</v>
      </c>
      <c r="E37" s="165"/>
      <c r="H37" s="91"/>
      <c r="I37" s="91"/>
      <c r="J37" s="164">
        <v>34</v>
      </c>
      <c r="K37" s="59">
        <f t="shared" si="29"/>
        <v>32134.82</v>
      </c>
      <c r="L37" s="59">
        <f t="shared" si="29"/>
        <v>42611.15</v>
      </c>
      <c r="M37" s="59">
        <f t="shared" si="29"/>
        <v>28524.66</v>
      </c>
      <c r="N37" s="59">
        <f t="shared" si="29"/>
        <v>37824.050000000003</v>
      </c>
      <c r="O37" s="59">
        <f t="shared" si="29"/>
        <v>25256.21</v>
      </c>
      <c r="P37" s="59">
        <f t="shared" si="29"/>
        <v>33490.04</v>
      </c>
      <c r="Q37" s="136">
        <f t="shared" si="79"/>
        <v>119333.3</v>
      </c>
      <c r="R37" s="136">
        <f t="shared" si="80"/>
        <v>136108.39000000001</v>
      </c>
      <c r="S37" s="136">
        <f t="shared" si="81"/>
        <v>82950.8</v>
      </c>
      <c r="T37" s="136">
        <f t="shared" si="82"/>
        <v>87251.38</v>
      </c>
      <c r="U37" s="136">
        <f t="shared" si="83"/>
        <v>56819.07</v>
      </c>
      <c r="V37" s="136">
        <f t="shared" si="84"/>
        <v>61584.800000000003</v>
      </c>
      <c r="W37" s="92"/>
      <c r="X37" s="137">
        <f t="shared" si="30"/>
        <v>119333.3</v>
      </c>
      <c r="Y37" s="137">
        <f t="shared" si="30"/>
        <v>136108.39000000001</v>
      </c>
      <c r="Z37" s="136">
        <f t="shared" si="31"/>
        <v>124464.63189999999</v>
      </c>
      <c r="AA37" s="136">
        <f t="shared" si="32"/>
        <v>141961.05077</v>
      </c>
      <c r="AB37" s="136">
        <f t="shared" si="33"/>
        <v>133653.296</v>
      </c>
      <c r="AC37" s="136">
        <f t="shared" si="34"/>
        <v>152441.39680000002</v>
      </c>
      <c r="AD37" s="138">
        <f t="shared" si="35"/>
        <v>82950.8</v>
      </c>
      <c r="AE37" s="138">
        <f t="shared" si="35"/>
        <v>87251.38</v>
      </c>
      <c r="AF37" s="136">
        <f t="shared" si="36"/>
        <v>86517.684399999998</v>
      </c>
      <c r="AG37" s="136">
        <f t="shared" si="37"/>
        <v>91003.189339999997</v>
      </c>
      <c r="AH37" s="136">
        <f t="shared" si="38"/>
        <v>92904.896000000008</v>
      </c>
      <c r="AI37" s="136">
        <f t="shared" si="39"/>
        <v>97721.545600000012</v>
      </c>
      <c r="AJ37" s="137">
        <f t="shared" si="40"/>
        <v>56819.07</v>
      </c>
      <c r="AK37" s="137">
        <f t="shared" si="40"/>
        <v>61584.800000000003</v>
      </c>
      <c r="AL37" s="136">
        <f t="shared" si="41"/>
        <v>59262.290009999997</v>
      </c>
      <c r="AM37" s="136">
        <f t="shared" si="42"/>
        <v>64232.946400000001</v>
      </c>
      <c r="AN37" s="136">
        <f t="shared" si="43"/>
        <v>63637.358400000005</v>
      </c>
      <c r="AO37" s="136">
        <f t="shared" si="44"/>
        <v>68974.97600000001</v>
      </c>
      <c r="AP37" s="92"/>
      <c r="AQ37" s="140">
        <v>34</v>
      </c>
      <c r="AR37" s="141">
        <f ca="1">+RESUMEN!F37</f>
        <v>0</v>
      </c>
      <c r="AS37" s="141">
        <f ca="1">+RESUMEN!G37</f>
        <v>0</v>
      </c>
      <c r="AT37" s="142">
        <f t="shared" ca="1" si="85"/>
        <v>0</v>
      </c>
      <c r="AU37" s="143">
        <f t="shared" si="45"/>
        <v>0</v>
      </c>
      <c r="AV37" s="143">
        <f t="shared" si="46"/>
        <v>0</v>
      </c>
      <c r="AW37" s="143">
        <f t="shared" si="47"/>
        <v>0</v>
      </c>
      <c r="AX37" s="143">
        <f t="shared" si="48"/>
        <v>0</v>
      </c>
      <c r="AY37" s="143">
        <f t="shared" ca="1" si="49"/>
        <v>0</v>
      </c>
      <c r="AZ37" s="142"/>
      <c r="BA37" s="143">
        <f t="shared" ca="1" si="86"/>
        <v>0</v>
      </c>
      <c r="BB37" s="143">
        <f t="shared" ca="1" si="87"/>
        <v>0</v>
      </c>
      <c r="BC37" s="143">
        <f t="shared" ca="1" si="67"/>
        <v>0</v>
      </c>
      <c r="BD37" s="145">
        <f t="shared" ca="1" si="50"/>
        <v>0</v>
      </c>
      <c r="BE37" s="145">
        <f t="shared" ca="1" si="68"/>
        <v>0</v>
      </c>
      <c r="BF37" s="146" t="str">
        <f t="shared" ca="1" si="88"/>
        <v/>
      </c>
      <c r="BG37" s="92"/>
      <c r="BH37" s="95">
        <f t="shared" ca="1" si="89"/>
        <v>0</v>
      </c>
      <c r="BI37" s="95">
        <f t="shared" ca="1" si="90"/>
        <v>0</v>
      </c>
      <c r="BJ37" s="95">
        <f t="shared" ca="1" si="69"/>
        <v>0</v>
      </c>
      <c r="BK37" s="147">
        <f t="shared" ca="1" si="52"/>
        <v>0</v>
      </c>
      <c r="BL37" s="147">
        <f t="shared" ca="1" si="70"/>
        <v>0</v>
      </c>
      <c r="BM37" s="148" t="str">
        <f t="shared" ca="1" si="91"/>
        <v/>
      </c>
      <c r="BN37" s="92"/>
      <c r="BO37" s="149">
        <f t="shared" ca="1" si="92"/>
        <v>0</v>
      </c>
      <c r="BP37" s="149">
        <f t="shared" ca="1" si="93"/>
        <v>0</v>
      </c>
      <c r="BQ37" s="149">
        <f t="shared" ca="1" si="71"/>
        <v>0</v>
      </c>
      <c r="BR37" s="150">
        <f t="shared" ca="1" si="54"/>
        <v>0</v>
      </c>
      <c r="BS37" s="150">
        <f t="shared" ca="1" si="72"/>
        <v>0</v>
      </c>
      <c r="BT37" s="151" t="str">
        <f t="shared" ca="1" si="94"/>
        <v/>
      </c>
      <c r="BU37" s="240"/>
      <c r="BV37" s="152">
        <f t="shared" ca="1" si="95"/>
        <v>0</v>
      </c>
      <c r="BW37" s="152">
        <f t="shared" ca="1" si="96"/>
        <v>0</v>
      </c>
      <c r="BX37" s="152">
        <f t="shared" ca="1" si="73"/>
        <v>0</v>
      </c>
      <c r="BY37" s="153">
        <f t="shared" ca="1" si="56"/>
        <v>0</v>
      </c>
      <c r="BZ37" s="153">
        <f t="shared" ca="1" si="74"/>
        <v>0</v>
      </c>
      <c r="CA37" s="154" t="str">
        <f t="shared" ca="1" si="97"/>
        <v/>
      </c>
      <c r="CB37" s="92"/>
      <c r="CC37" s="155">
        <f t="shared" ca="1" si="98"/>
        <v>0</v>
      </c>
      <c r="CD37" s="155">
        <f t="shared" ca="1" si="99"/>
        <v>0</v>
      </c>
      <c r="CE37" s="155">
        <f t="shared" ca="1" si="75"/>
        <v>0</v>
      </c>
      <c r="CF37" s="156">
        <f t="shared" ca="1" si="58"/>
        <v>0</v>
      </c>
      <c r="CG37" s="156">
        <f t="shared" ca="1" si="76"/>
        <v>0</v>
      </c>
      <c r="CH37" s="157" t="str">
        <f t="shared" ca="1" si="100"/>
        <v/>
      </c>
      <c r="CI37" s="92"/>
      <c r="CJ37" s="158">
        <f t="shared" ca="1" si="101"/>
        <v>0</v>
      </c>
      <c r="CK37" s="158">
        <f t="shared" ca="1" si="102"/>
        <v>0</v>
      </c>
      <c r="CL37" s="158">
        <f t="shared" ca="1" si="77"/>
        <v>0</v>
      </c>
      <c r="CM37" s="159">
        <f t="shared" ca="1" si="60"/>
        <v>0</v>
      </c>
      <c r="CN37" s="159">
        <f t="shared" ca="1" si="78"/>
        <v>0</v>
      </c>
      <c r="CO37" s="160" t="str">
        <f t="shared" ca="1" si="103"/>
        <v/>
      </c>
      <c r="CP37" s="92"/>
      <c r="CQ37" s="140">
        <v>34</v>
      </c>
      <c r="CR37" s="330">
        <v>0.18</v>
      </c>
      <c r="CS37" s="92">
        <f t="shared" si="62"/>
        <v>0</v>
      </c>
      <c r="CT37" s="335">
        <f t="shared" si="63"/>
        <v>0.18</v>
      </c>
      <c r="CU37" s="92">
        <f t="shared" si="64"/>
        <v>1</v>
      </c>
      <c r="CV37" s="348">
        <f t="shared" si="65"/>
        <v>1</v>
      </c>
      <c r="CW37" s="380">
        <f t="shared" si="104"/>
        <v>139.81</v>
      </c>
      <c r="CX37" s="380">
        <f t="shared" si="105"/>
        <v>68.569999999999993</v>
      </c>
      <c r="CY37" s="367">
        <f t="shared" si="106"/>
        <v>276.83</v>
      </c>
      <c r="CZ37" s="380">
        <f t="shared" si="28"/>
        <v>155.79</v>
      </c>
      <c r="DA37"/>
      <c r="DB37" s="391">
        <v>34</v>
      </c>
      <c r="DC37" s="59">
        <v>32134.82</v>
      </c>
      <c r="DD37" s="59">
        <v>42611.15</v>
      </c>
      <c r="DE37" s="59">
        <v>28524.66</v>
      </c>
      <c r="DF37" s="59">
        <v>37824.050000000003</v>
      </c>
      <c r="DG37" s="59">
        <v>25256.21</v>
      </c>
      <c r="DH37" s="59">
        <v>33490.04</v>
      </c>
      <c r="DI37" s="137">
        <v>119333.3</v>
      </c>
      <c r="DJ37" s="137">
        <v>136108.39000000001</v>
      </c>
      <c r="DK37" s="138">
        <v>82950.8</v>
      </c>
      <c r="DL37" s="138">
        <v>87251.38</v>
      </c>
      <c r="DM37" s="137">
        <v>56819.07</v>
      </c>
      <c r="DN37" s="137">
        <v>61584.800000000003</v>
      </c>
      <c r="DP37" s="384" t="s">
        <v>162</v>
      </c>
      <c r="DQ37" s="387">
        <v>780.28</v>
      </c>
      <c r="DR37" s="387">
        <v>720.99</v>
      </c>
    </row>
    <row r="38" spans="1:122">
      <c r="A38" s="172">
        <v>2</v>
      </c>
      <c r="B38" s="173">
        <f ca="1">RESUMEN!J5</f>
        <v>0</v>
      </c>
      <c r="C38" s="173">
        <f ca="1">+RESUMEN!K5</f>
        <v>0</v>
      </c>
      <c r="D38" s="174">
        <f t="shared" ca="1" si="107"/>
        <v>0</v>
      </c>
      <c r="E38" s="165"/>
      <c r="H38" s="91"/>
      <c r="I38" s="91"/>
      <c r="J38" s="164">
        <v>35</v>
      </c>
      <c r="K38" s="59">
        <f t="shared" si="29"/>
        <v>32156.31</v>
      </c>
      <c r="L38" s="59">
        <f t="shared" si="29"/>
        <v>44760.08</v>
      </c>
      <c r="M38" s="59">
        <f t="shared" si="29"/>
        <v>28543.74</v>
      </c>
      <c r="N38" s="59">
        <f t="shared" si="29"/>
        <v>39731.550000000003</v>
      </c>
      <c r="O38" s="59">
        <f t="shared" si="29"/>
        <v>25273.11</v>
      </c>
      <c r="P38" s="59">
        <f t="shared" si="29"/>
        <v>35178.980000000003</v>
      </c>
      <c r="Q38" s="136">
        <f t="shared" si="79"/>
        <v>120139.4</v>
      </c>
      <c r="R38" s="136">
        <f t="shared" si="80"/>
        <v>136122.34</v>
      </c>
      <c r="S38" s="136">
        <f t="shared" si="81"/>
        <v>83516.22</v>
      </c>
      <c r="T38" s="136">
        <f t="shared" si="82"/>
        <v>89870.53</v>
      </c>
      <c r="U38" s="136">
        <f t="shared" si="83"/>
        <v>57551.46</v>
      </c>
      <c r="V38" s="136">
        <f t="shared" si="84"/>
        <v>61645.83</v>
      </c>
      <c r="W38" s="92"/>
      <c r="X38" s="137">
        <f t="shared" si="30"/>
        <v>120139.4</v>
      </c>
      <c r="Y38" s="137">
        <f t="shared" si="30"/>
        <v>136122.34</v>
      </c>
      <c r="Z38" s="136">
        <f t="shared" si="31"/>
        <v>125305.39419999998</v>
      </c>
      <c r="AA38" s="136">
        <f t="shared" si="32"/>
        <v>141975.60061999998</v>
      </c>
      <c r="AB38" s="136">
        <f t="shared" si="33"/>
        <v>134556.128</v>
      </c>
      <c r="AC38" s="136">
        <f t="shared" si="34"/>
        <v>152457.0208</v>
      </c>
      <c r="AD38" s="138">
        <f t="shared" si="35"/>
        <v>83516.22</v>
      </c>
      <c r="AE38" s="138">
        <f t="shared" si="35"/>
        <v>89870.53</v>
      </c>
      <c r="AF38" s="136">
        <f t="shared" si="36"/>
        <v>87107.417459999997</v>
      </c>
      <c r="AG38" s="136">
        <f t="shared" si="37"/>
        <v>93734.96278999999</v>
      </c>
      <c r="AH38" s="136">
        <f t="shared" si="38"/>
        <v>93538.166400000016</v>
      </c>
      <c r="AI38" s="136">
        <f t="shared" si="39"/>
        <v>100654.9936</v>
      </c>
      <c r="AJ38" s="137">
        <f t="shared" si="40"/>
        <v>57551.46</v>
      </c>
      <c r="AK38" s="137">
        <f t="shared" si="40"/>
        <v>61645.83</v>
      </c>
      <c r="AL38" s="136">
        <f t="shared" si="41"/>
        <v>60026.172779999994</v>
      </c>
      <c r="AM38" s="136">
        <f t="shared" si="42"/>
        <v>64296.600689999999</v>
      </c>
      <c r="AN38" s="136">
        <f t="shared" si="43"/>
        <v>64457.635200000004</v>
      </c>
      <c r="AO38" s="136">
        <f t="shared" si="44"/>
        <v>69043.329600000012</v>
      </c>
      <c r="AP38" s="92"/>
      <c r="AQ38" s="140">
        <v>35</v>
      </c>
      <c r="AR38" s="141">
        <f ca="1">+RESUMEN!F38</f>
        <v>0</v>
      </c>
      <c r="AS38" s="141">
        <f ca="1">+RESUMEN!G38</f>
        <v>0</v>
      </c>
      <c r="AT38" s="142">
        <f t="shared" ca="1" si="85"/>
        <v>0</v>
      </c>
      <c r="AU38" s="143">
        <f t="shared" si="45"/>
        <v>0</v>
      </c>
      <c r="AV38" s="143">
        <f t="shared" si="46"/>
        <v>0</v>
      </c>
      <c r="AW38" s="143">
        <f t="shared" si="47"/>
        <v>0</v>
      </c>
      <c r="AX38" s="143">
        <f t="shared" si="48"/>
        <v>0</v>
      </c>
      <c r="AY38" s="143">
        <f t="shared" ca="1" si="49"/>
        <v>0</v>
      </c>
      <c r="AZ38" s="142"/>
      <c r="BA38" s="143">
        <f t="shared" ca="1" si="86"/>
        <v>0</v>
      </c>
      <c r="BB38" s="143">
        <f t="shared" ca="1" si="87"/>
        <v>0</v>
      </c>
      <c r="BC38" s="143">
        <f t="shared" ca="1" si="67"/>
        <v>0</v>
      </c>
      <c r="BD38" s="145">
        <f t="shared" ca="1" si="50"/>
        <v>0</v>
      </c>
      <c r="BE38" s="145">
        <f t="shared" ca="1" si="68"/>
        <v>0</v>
      </c>
      <c r="BF38" s="146" t="str">
        <f t="shared" ca="1" si="88"/>
        <v/>
      </c>
      <c r="BG38" s="92"/>
      <c r="BH38" s="95">
        <f t="shared" ca="1" si="89"/>
        <v>0</v>
      </c>
      <c r="BI38" s="95">
        <f t="shared" ca="1" si="90"/>
        <v>0</v>
      </c>
      <c r="BJ38" s="95">
        <f t="shared" ca="1" si="69"/>
        <v>0</v>
      </c>
      <c r="BK38" s="147">
        <f t="shared" ca="1" si="52"/>
        <v>0</v>
      </c>
      <c r="BL38" s="147">
        <f t="shared" ca="1" si="70"/>
        <v>0</v>
      </c>
      <c r="BM38" s="148" t="str">
        <f t="shared" ca="1" si="91"/>
        <v/>
      </c>
      <c r="BN38" s="92"/>
      <c r="BO38" s="149">
        <f t="shared" ca="1" si="92"/>
        <v>0</v>
      </c>
      <c r="BP38" s="149">
        <f t="shared" ca="1" si="93"/>
        <v>0</v>
      </c>
      <c r="BQ38" s="149">
        <f t="shared" ca="1" si="71"/>
        <v>0</v>
      </c>
      <c r="BR38" s="150">
        <f t="shared" ca="1" si="54"/>
        <v>0</v>
      </c>
      <c r="BS38" s="150">
        <f t="shared" ca="1" si="72"/>
        <v>0</v>
      </c>
      <c r="BT38" s="151" t="str">
        <f t="shared" ca="1" si="94"/>
        <v/>
      </c>
      <c r="BU38" s="238"/>
      <c r="BV38" s="152">
        <f t="shared" ca="1" si="95"/>
        <v>0</v>
      </c>
      <c r="BW38" s="152">
        <f t="shared" ca="1" si="96"/>
        <v>0</v>
      </c>
      <c r="BX38" s="152">
        <f t="shared" ca="1" si="73"/>
        <v>0</v>
      </c>
      <c r="BY38" s="153">
        <f t="shared" ca="1" si="56"/>
        <v>0</v>
      </c>
      <c r="BZ38" s="153">
        <f t="shared" ca="1" si="74"/>
        <v>0</v>
      </c>
      <c r="CA38" s="154" t="str">
        <f t="shared" ca="1" si="97"/>
        <v/>
      </c>
      <c r="CB38" s="92"/>
      <c r="CC38" s="155">
        <f t="shared" ca="1" si="98"/>
        <v>0</v>
      </c>
      <c r="CD38" s="155">
        <f t="shared" ca="1" si="99"/>
        <v>0</v>
      </c>
      <c r="CE38" s="155">
        <f t="shared" ca="1" si="75"/>
        <v>0</v>
      </c>
      <c r="CF38" s="156">
        <f t="shared" ca="1" si="58"/>
        <v>0</v>
      </c>
      <c r="CG38" s="156">
        <f t="shared" ca="1" si="76"/>
        <v>0</v>
      </c>
      <c r="CH38" s="157" t="str">
        <f t="shared" ca="1" si="100"/>
        <v/>
      </c>
      <c r="CI38" s="92"/>
      <c r="CJ38" s="158">
        <f t="shared" ca="1" si="101"/>
        <v>0</v>
      </c>
      <c r="CK38" s="158">
        <f t="shared" ca="1" si="102"/>
        <v>0</v>
      </c>
      <c r="CL38" s="158">
        <f t="shared" ca="1" si="77"/>
        <v>0</v>
      </c>
      <c r="CM38" s="159">
        <f t="shared" ca="1" si="60"/>
        <v>0</v>
      </c>
      <c r="CN38" s="159">
        <f t="shared" ca="1" si="78"/>
        <v>0</v>
      </c>
      <c r="CO38" s="160" t="str">
        <f t="shared" ca="1" si="103"/>
        <v/>
      </c>
      <c r="CP38" s="92"/>
      <c r="CQ38" s="140">
        <v>35</v>
      </c>
      <c r="CR38" s="330">
        <v>0.18</v>
      </c>
      <c r="CS38" s="92">
        <f t="shared" si="62"/>
        <v>0</v>
      </c>
      <c r="CT38" s="335">
        <f t="shared" si="63"/>
        <v>0.18</v>
      </c>
      <c r="CU38" s="92">
        <f t="shared" si="64"/>
        <v>1</v>
      </c>
      <c r="CV38" s="348">
        <f t="shared" si="65"/>
        <v>1</v>
      </c>
      <c r="CW38" s="380">
        <f t="shared" si="104"/>
        <v>139.81</v>
      </c>
      <c r="CX38" s="380">
        <f t="shared" si="105"/>
        <v>68.569999999999993</v>
      </c>
      <c r="CY38" s="367">
        <f t="shared" si="106"/>
        <v>276.83</v>
      </c>
      <c r="CZ38" s="380">
        <f t="shared" si="28"/>
        <v>155.79</v>
      </c>
      <c r="DA38"/>
      <c r="DB38" s="391">
        <v>35</v>
      </c>
      <c r="DC38" s="59">
        <v>32156.31</v>
      </c>
      <c r="DD38" s="59">
        <v>44760.08</v>
      </c>
      <c r="DE38" s="59">
        <v>28543.74</v>
      </c>
      <c r="DF38" s="59">
        <v>39731.550000000003</v>
      </c>
      <c r="DG38" s="59">
        <v>25273.11</v>
      </c>
      <c r="DH38" s="59">
        <v>35178.980000000003</v>
      </c>
      <c r="DI38" s="137">
        <v>120139.4</v>
      </c>
      <c r="DJ38" s="137">
        <v>136122.34</v>
      </c>
      <c r="DK38" s="138">
        <v>83516.22</v>
      </c>
      <c r="DL38" s="138">
        <v>89870.53</v>
      </c>
      <c r="DM38" s="137">
        <v>57551.46</v>
      </c>
      <c r="DN38" s="137">
        <v>61645.83</v>
      </c>
      <c r="DP38" s="384" t="s">
        <v>163</v>
      </c>
      <c r="DQ38" s="387">
        <v>808.98</v>
      </c>
      <c r="DR38" s="387">
        <v>773.7</v>
      </c>
    </row>
    <row r="39" spans="1:122">
      <c r="A39" s="172">
        <v>3</v>
      </c>
      <c r="B39" s="173">
        <f ca="1">RESUMEN!J6</f>
        <v>0</v>
      </c>
      <c r="C39" s="173">
        <f ca="1">+RESUMEN!K6</f>
        <v>0</v>
      </c>
      <c r="D39" s="174">
        <f t="shared" ca="1" si="107"/>
        <v>0</v>
      </c>
      <c r="E39" s="165"/>
      <c r="H39" s="91"/>
      <c r="I39" s="91"/>
      <c r="J39" s="164">
        <v>36</v>
      </c>
      <c r="K39" s="59">
        <f t="shared" si="29"/>
        <v>32282.7</v>
      </c>
      <c r="L39" s="59">
        <f t="shared" si="29"/>
        <v>45628.31</v>
      </c>
      <c r="M39" s="59">
        <f t="shared" si="29"/>
        <v>28655.94</v>
      </c>
      <c r="N39" s="59">
        <f t="shared" si="29"/>
        <v>40502.239999999998</v>
      </c>
      <c r="O39" s="59">
        <f t="shared" si="29"/>
        <v>25372.44</v>
      </c>
      <c r="P39" s="59">
        <f t="shared" si="29"/>
        <v>35861.360000000001</v>
      </c>
      <c r="Q39" s="136">
        <f t="shared" si="79"/>
        <v>120722.07</v>
      </c>
      <c r="R39" s="136">
        <f t="shared" si="80"/>
        <v>136136.29</v>
      </c>
      <c r="S39" s="136">
        <f t="shared" si="81"/>
        <v>84862.41</v>
      </c>
      <c r="T39" s="136">
        <f t="shared" si="82"/>
        <v>92428.64</v>
      </c>
      <c r="U39" s="136">
        <f t="shared" si="83"/>
        <v>57724.09</v>
      </c>
      <c r="V39" s="136">
        <f t="shared" si="84"/>
        <v>61706.86</v>
      </c>
      <c r="W39" s="92"/>
      <c r="X39" s="137">
        <f t="shared" si="30"/>
        <v>120722.07</v>
      </c>
      <c r="Y39" s="137">
        <f t="shared" si="30"/>
        <v>136136.29</v>
      </c>
      <c r="Z39" s="136">
        <f t="shared" si="31"/>
        <v>125913.11900999999</v>
      </c>
      <c r="AA39" s="136">
        <f t="shared" si="32"/>
        <v>141990.15046999999</v>
      </c>
      <c r="AB39" s="136">
        <f t="shared" si="33"/>
        <v>135208.71840000001</v>
      </c>
      <c r="AC39" s="136">
        <f t="shared" si="34"/>
        <v>152472.64480000001</v>
      </c>
      <c r="AD39" s="138">
        <f t="shared" si="35"/>
        <v>84862.41</v>
      </c>
      <c r="AE39" s="138">
        <f t="shared" si="35"/>
        <v>92428.64</v>
      </c>
      <c r="AF39" s="136">
        <f t="shared" si="36"/>
        <v>88511.493629999997</v>
      </c>
      <c r="AG39" s="136">
        <f t="shared" si="37"/>
        <v>96403.071519999998</v>
      </c>
      <c r="AH39" s="136">
        <f t="shared" si="38"/>
        <v>95045.899200000014</v>
      </c>
      <c r="AI39" s="136">
        <f t="shared" si="39"/>
        <v>103520.07680000001</v>
      </c>
      <c r="AJ39" s="137">
        <f t="shared" si="40"/>
        <v>57724.09</v>
      </c>
      <c r="AK39" s="137">
        <f t="shared" si="40"/>
        <v>61706.86</v>
      </c>
      <c r="AL39" s="136">
        <f t="shared" si="41"/>
        <v>60206.225869999995</v>
      </c>
      <c r="AM39" s="136">
        <f t="shared" si="42"/>
        <v>64360.254979999998</v>
      </c>
      <c r="AN39" s="136">
        <f t="shared" si="43"/>
        <v>64650.980800000005</v>
      </c>
      <c r="AO39" s="136">
        <f t="shared" si="44"/>
        <v>69111.683200000014</v>
      </c>
      <c r="AP39" s="92"/>
      <c r="AQ39" s="140">
        <v>36</v>
      </c>
      <c r="AR39" s="141">
        <f ca="1">+RESUMEN!F39</f>
        <v>0</v>
      </c>
      <c r="AS39" s="141">
        <f ca="1">+RESUMEN!G39</f>
        <v>0</v>
      </c>
      <c r="AT39" s="142">
        <f t="shared" ca="1" si="85"/>
        <v>0</v>
      </c>
      <c r="AU39" s="143">
        <f t="shared" si="45"/>
        <v>0</v>
      </c>
      <c r="AV39" s="143">
        <f t="shared" si="46"/>
        <v>0</v>
      </c>
      <c r="AW39" s="143">
        <f t="shared" si="47"/>
        <v>0</v>
      </c>
      <c r="AX39" s="143">
        <f t="shared" si="48"/>
        <v>0</v>
      </c>
      <c r="AY39" s="143">
        <f t="shared" ca="1" si="49"/>
        <v>0</v>
      </c>
      <c r="AZ39" s="142"/>
      <c r="BA39" s="143">
        <f t="shared" ca="1" si="86"/>
        <v>0</v>
      </c>
      <c r="BB39" s="143">
        <f t="shared" ca="1" si="87"/>
        <v>0</v>
      </c>
      <c r="BC39" s="143">
        <f t="shared" ca="1" si="67"/>
        <v>0</v>
      </c>
      <c r="BD39" s="145">
        <f t="shared" ca="1" si="50"/>
        <v>0</v>
      </c>
      <c r="BE39" s="145">
        <f t="shared" ca="1" si="68"/>
        <v>0</v>
      </c>
      <c r="BF39" s="146" t="str">
        <f t="shared" ca="1" si="88"/>
        <v/>
      </c>
      <c r="BG39" s="92"/>
      <c r="BH39" s="95">
        <f t="shared" ca="1" si="89"/>
        <v>0</v>
      </c>
      <c r="BI39" s="95">
        <f t="shared" ca="1" si="90"/>
        <v>0</v>
      </c>
      <c r="BJ39" s="95">
        <f t="shared" ca="1" si="69"/>
        <v>0</v>
      </c>
      <c r="BK39" s="147">
        <f t="shared" ca="1" si="52"/>
        <v>0</v>
      </c>
      <c r="BL39" s="147">
        <f t="shared" ca="1" si="70"/>
        <v>0</v>
      </c>
      <c r="BM39" s="148" t="str">
        <f t="shared" ca="1" si="91"/>
        <v/>
      </c>
      <c r="BN39" s="92"/>
      <c r="BO39" s="149">
        <f t="shared" ca="1" si="92"/>
        <v>0</v>
      </c>
      <c r="BP39" s="149">
        <f t="shared" ca="1" si="93"/>
        <v>0</v>
      </c>
      <c r="BQ39" s="149">
        <f t="shared" ca="1" si="71"/>
        <v>0</v>
      </c>
      <c r="BR39" s="150">
        <f t="shared" ca="1" si="54"/>
        <v>0</v>
      </c>
      <c r="BS39" s="150">
        <f t="shared" ca="1" si="72"/>
        <v>0</v>
      </c>
      <c r="BT39" s="151" t="str">
        <f t="shared" ca="1" si="94"/>
        <v/>
      </c>
      <c r="BU39" s="92"/>
      <c r="BV39" s="152">
        <f t="shared" ca="1" si="95"/>
        <v>0</v>
      </c>
      <c r="BW39" s="152">
        <f t="shared" ca="1" si="96"/>
        <v>0</v>
      </c>
      <c r="BX39" s="152">
        <f t="shared" ca="1" si="73"/>
        <v>0</v>
      </c>
      <c r="BY39" s="153">
        <f t="shared" ca="1" si="56"/>
        <v>0</v>
      </c>
      <c r="BZ39" s="153">
        <f t="shared" ca="1" si="74"/>
        <v>0</v>
      </c>
      <c r="CA39" s="154" t="str">
        <f t="shared" ca="1" si="97"/>
        <v/>
      </c>
      <c r="CB39" s="92"/>
      <c r="CC39" s="155">
        <f t="shared" ca="1" si="98"/>
        <v>0</v>
      </c>
      <c r="CD39" s="155">
        <f t="shared" ca="1" si="99"/>
        <v>0</v>
      </c>
      <c r="CE39" s="155">
        <f t="shared" ca="1" si="75"/>
        <v>0</v>
      </c>
      <c r="CF39" s="156">
        <f t="shared" ca="1" si="58"/>
        <v>0</v>
      </c>
      <c r="CG39" s="156">
        <f t="shared" ca="1" si="76"/>
        <v>0</v>
      </c>
      <c r="CH39" s="157" t="str">
        <f t="shared" ca="1" si="100"/>
        <v/>
      </c>
      <c r="CI39" s="92"/>
      <c r="CJ39" s="158">
        <f t="shared" ca="1" si="101"/>
        <v>0</v>
      </c>
      <c r="CK39" s="158">
        <f t="shared" ca="1" si="102"/>
        <v>0</v>
      </c>
      <c r="CL39" s="158">
        <f t="shared" ca="1" si="77"/>
        <v>0</v>
      </c>
      <c r="CM39" s="159">
        <f t="shared" ca="1" si="60"/>
        <v>0</v>
      </c>
      <c r="CN39" s="159">
        <f t="shared" ca="1" si="78"/>
        <v>0</v>
      </c>
      <c r="CO39" s="160" t="str">
        <f t="shared" ca="1" si="103"/>
        <v/>
      </c>
      <c r="CP39" s="92"/>
      <c r="CQ39" s="140">
        <v>36</v>
      </c>
      <c r="CR39" s="330">
        <v>0.18</v>
      </c>
      <c r="CS39" s="92">
        <f t="shared" si="62"/>
        <v>0</v>
      </c>
      <c r="CT39" s="335">
        <f t="shared" si="63"/>
        <v>0.18</v>
      </c>
      <c r="CU39" s="92">
        <f t="shared" si="64"/>
        <v>1</v>
      </c>
      <c r="CV39" s="348">
        <f t="shared" si="65"/>
        <v>1</v>
      </c>
      <c r="CW39" s="380">
        <f t="shared" si="104"/>
        <v>139.81</v>
      </c>
      <c r="CX39" s="380">
        <f t="shared" si="105"/>
        <v>68.569999999999993</v>
      </c>
      <c r="CY39" s="367">
        <f t="shared" si="106"/>
        <v>276.83</v>
      </c>
      <c r="CZ39" s="380">
        <f t="shared" si="28"/>
        <v>155.79</v>
      </c>
      <c r="DA39"/>
      <c r="DB39" s="391">
        <v>36</v>
      </c>
      <c r="DC39" s="59">
        <v>32282.7</v>
      </c>
      <c r="DD39" s="59">
        <v>45628.31</v>
      </c>
      <c r="DE39" s="59">
        <v>28655.94</v>
      </c>
      <c r="DF39" s="59">
        <v>40502.239999999998</v>
      </c>
      <c r="DG39" s="59">
        <v>25372.44</v>
      </c>
      <c r="DH39" s="59">
        <v>35861.360000000001</v>
      </c>
      <c r="DI39" s="137">
        <v>120722.07</v>
      </c>
      <c r="DJ39" s="137">
        <v>136136.29</v>
      </c>
      <c r="DK39" s="138">
        <v>84862.41</v>
      </c>
      <c r="DL39" s="138">
        <v>92428.64</v>
      </c>
      <c r="DM39" s="137">
        <v>57724.09</v>
      </c>
      <c r="DN39" s="137">
        <v>61706.86</v>
      </c>
      <c r="DP39" s="384" t="s">
        <v>164</v>
      </c>
      <c r="DQ39" s="387">
        <v>837.68</v>
      </c>
      <c r="DR39" s="387">
        <v>826.41</v>
      </c>
    </row>
    <row r="40" spans="1:122">
      <c r="A40" s="172">
        <v>4</v>
      </c>
      <c r="B40" s="173">
        <f ca="1">RESUMEN!J7</f>
        <v>0</v>
      </c>
      <c r="C40" s="173">
        <f ca="1">+RESUMEN!K7</f>
        <v>0</v>
      </c>
      <c r="D40" s="174">
        <f t="shared" ca="1" si="107"/>
        <v>0</v>
      </c>
      <c r="E40" s="165"/>
      <c r="H40" s="91"/>
      <c r="I40" s="91"/>
      <c r="J40" s="164">
        <v>37</v>
      </c>
      <c r="K40" s="59">
        <f t="shared" si="29"/>
        <v>32868.94</v>
      </c>
      <c r="L40" s="59">
        <f t="shared" si="29"/>
        <v>46105.42</v>
      </c>
      <c r="M40" s="59">
        <f t="shared" si="29"/>
        <v>29176.31</v>
      </c>
      <c r="N40" s="59">
        <f t="shared" si="29"/>
        <v>40925.760000000002</v>
      </c>
      <c r="O40" s="59">
        <f t="shared" si="29"/>
        <v>25833.19</v>
      </c>
      <c r="P40" s="59">
        <f t="shared" si="29"/>
        <v>36236.35</v>
      </c>
      <c r="Q40" s="136">
        <f t="shared" si="79"/>
        <v>121307.58</v>
      </c>
      <c r="R40" s="136">
        <f t="shared" si="80"/>
        <v>136148.5</v>
      </c>
      <c r="S40" s="136">
        <f t="shared" si="81"/>
        <v>86311.49</v>
      </c>
      <c r="T40" s="136">
        <f t="shared" si="82"/>
        <v>92437.36</v>
      </c>
      <c r="U40" s="136">
        <f t="shared" si="83"/>
        <v>58213.279999999999</v>
      </c>
      <c r="V40" s="136">
        <f t="shared" si="84"/>
        <v>61767.9</v>
      </c>
      <c r="W40" s="92"/>
      <c r="X40" s="137">
        <f t="shared" si="30"/>
        <v>121307.58</v>
      </c>
      <c r="Y40" s="137">
        <f t="shared" si="30"/>
        <v>136148.5</v>
      </c>
      <c r="Z40" s="136">
        <f t="shared" si="31"/>
        <v>126523.80593999999</v>
      </c>
      <c r="AA40" s="136">
        <f t="shared" si="32"/>
        <v>142002.8855</v>
      </c>
      <c r="AB40" s="136">
        <f t="shared" si="33"/>
        <v>135864.4896</v>
      </c>
      <c r="AC40" s="136">
        <f t="shared" si="34"/>
        <v>152486.32</v>
      </c>
      <c r="AD40" s="138">
        <f t="shared" si="35"/>
        <v>86311.49</v>
      </c>
      <c r="AE40" s="138">
        <f t="shared" si="35"/>
        <v>92437.36</v>
      </c>
      <c r="AF40" s="136">
        <f t="shared" si="36"/>
        <v>90022.88407</v>
      </c>
      <c r="AG40" s="136">
        <f t="shared" si="37"/>
        <v>96412.16648</v>
      </c>
      <c r="AH40" s="136">
        <f t="shared" si="38"/>
        <v>96668.868800000011</v>
      </c>
      <c r="AI40" s="136">
        <f t="shared" si="39"/>
        <v>103529.84320000002</v>
      </c>
      <c r="AJ40" s="137">
        <f t="shared" si="40"/>
        <v>58213.279999999999</v>
      </c>
      <c r="AK40" s="137">
        <f t="shared" si="40"/>
        <v>61767.9</v>
      </c>
      <c r="AL40" s="136">
        <f t="shared" si="41"/>
        <v>60716.451039999993</v>
      </c>
      <c r="AM40" s="136">
        <f t="shared" si="42"/>
        <v>64423.919699999999</v>
      </c>
      <c r="AN40" s="136">
        <f t="shared" si="43"/>
        <v>65198.873600000006</v>
      </c>
      <c r="AO40" s="136">
        <f t="shared" si="44"/>
        <v>69180.04800000001</v>
      </c>
      <c r="AP40" s="92"/>
      <c r="AQ40" s="140">
        <v>37</v>
      </c>
      <c r="AR40" s="141">
        <f ca="1">+RESUMEN!F40</f>
        <v>0</v>
      </c>
      <c r="AS40" s="141">
        <f ca="1">+RESUMEN!G40</f>
        <v>0</v>
      </c>
      <c r="AT40" s="142">
        <f t="shared" ca="1" si="85"/>
        <v>0</v>
      </c>
      <c r="AU40" s="143">
        <f t="shared" si="45"/>
        <v>0</v>
      </c>
      <c r="AV40" s="143">
        <f t="shared" si="46"/>
        <v>0</v>
      </c>
      <c r="AW40" s="143">
        <f t="shared" si="47"/>
        <v>0</v>
      </c>
      <c r="AX40" s="143">
        <f t="shared" si="48"/>
        <v>0</v>
      </c>
      <c r="AY40" s="143">
        <f t="shared" ca="1" si="49"/>
        <v>0</v>
      </c>
      <c r="AZ40" s="142"/>
      <c r="BA40" s="143">
        <f t="shared" ca="1" si="86"/>
        <v>0</v>
      </c>
      <c r="BB40" s="143">
        <f t="shared" ca="1" si="87"/>
        <v>0</v>
      </c>
      <c r="BC40" s="143">
        <f t="shared" ca="1" si="67"/>
        <v>0</v>
      </c>
      <c r="BD40" s="145">
        <f t="shared" ca="1" si="50"/>
        <v>0</v>
      </c>
      <c r="BE40" s="145">
        <f t="shared" ca="1" si="68"/>
        <v>0</v>
      </c>
      <c r="BF40" s="146" t="str">
        <f t="shared" ca="1" si="88"/>
        <v/>
      </c>
      <c r="BG40" s="92"/>
      <c r="BH40" s="95">
        <f t="shared" ca="1" si="89"/>
        <v>0</v>
      </c>
      <c r="BI40" s="95">
        <f t="shared" ca="1" si="90"/>
        <v>0</v>
      </c>
      <c r="BJ40" s="95">
        <f t="shared" ca="1" si="69"/>
        <v>0</v>
      </c>
      <c r="BK40" s="147">
        <f t="shared" ca="1" si="52"/>
        <v>0</v>
      </c>
      <c r="BL40" s="147">
        <f t="shared" ca="1" si="70"/>
        <v>0</v>
      </c>
      <c r="BM40" s="148" t="str">
        <f t="shared" ca="1" si="91"/>
        <v/>
      </c>
      <c r="BN40" s="92"/>
      <c r="BO40" s="149">
        <f t="shared" ca="1" si="92"/>
        <v>0</v>
      </c>
      <c r="BP40" s="149">
        <f t="shared" ca="1" si="93"/>
        <v>0</v>
      </c>
      <c r="BQ40" s="149">
        <f t="shared" ca="1" si="71"/>
        <v>0</v>
      </c>
      <c r="BR40" s="150">
        <f t="shared" ca="1" si="54"/>
        <v>0</v>
      </c>
      <c r="BS40" s="150">
        <f t="shared" ca="1" si="72"/>
        <v>0</v>
      </c>
      <c r="BT40" s="151" t="str">
        <f t="shared" ca="1" si="94"/>
        <v/>
      </c>
      <c r="BU40" s="92"/>
      <c r="BV40" s="152">
        <f t="shared" ca="1" si="95"/>
        <v>0</v>
      </c>
      <c r="BW40" s="152">
        <f t="shared" ca="1" si="96"/>
        <v>0</v>
      </c>
      <c r="BX40" s="152">
        <f t="shared" ca="1" si="73"/>
        <v>0</v>
      </c>
      <c r="BY40" s="153">
        <f t="shared" ca="1" si="56"/>
        <v>0</v>
      </c>
      <c r="BZ40" s="153">
        <f t="shared" ca="1" si="74"/>
        <v>0</v>
      </c>
      <c r="CA40" s="154" t="str">
        <f t="shared" ca="1" si="97"/>
        <v/>
      </c>
      <c r="CB40" s="92"/>
      <c r="CC40" s="155">
        <f t="shared" ca="1" si="98"/>
        <v>0</v>
      </c>
      <c r="CD40" s="155">
        <f t="shared" ca="1" si="99"/>
        <v>0</v>
      </c>
      <c r="CE40" s="155">
        <f t="shared" ca="1" si="75"/>
        <v>0</v>
      </c>
      <c r="CF40" s="156">
        <f t="shared" ca="1" si="58"/>
        <v>0</v>
      </c>
      <c r="CG40" s="156">
        <f t="shared" ca="1" si="76"/>
        <v>0</v>
      </c>
      <c r="CH40" s="157" t="str">
        <f t="shared" ca="1" si="100"/>
        <v/>
      </c>
      <c r="CI40" s="92"/>
      <c r="CJ40" s="158">
        <f t="shared" ca="1" si="101"/>
        <v>0</v>
      </c>
      <c r="CK40" s="158">
        <f t="shared" ca="1" si="102"/>
        <v>0</v>
      </c>
      <c r="CL40" s="158">
        <f t="shared" ca="1" si="77"/>
        <v>0</v>
      </c>
      <c r="CM40" s="159">
        <f t="shared" ca="1" si="60"/>
        <v>0</v>
      </c>
      <c r="CN40" s="159">
        <f t="shared" ca="1" si="78"/>
        <v>0</v>
      </c>
      <c r="CO40" s="160" t="str">
        <f t="shared" ca="1" si="103"/>
        <v/>
      </c>
      <c r="CP40" s="92"/>
      <c r="CQ40" s="140">
        <v>37</v>
      </c>
      <c r="CR40" s="330">
        <v>0.18</v>
      </c>
      <c r="CS40" s="92">
        <f t="shared" si="62"/>
        <v>0</v>
      </c>
      <c r="CT40" s="335">
        <f t="shared" si="63"/>
        <v>0.18</v>
      </c>
      <c r="CU40" s="92">
        <f t="shared" si="64"/>
        <v>1</v>
      </c>
      <c r="CV40" s="348">
        <f t="shared" si="65"/>
        <v>1</v>
      </c>
      <c r="CW40" s="380">
        <f t="shared" si="104"/>
        <v>139.81</v>
      </c>
      <c r="CX40" s="380">
        <f t="shared" si="105"/>
        <v>68.569999999999993</v>
      </c>
      <c r="CY40" s="367">
        <f t="shared" si="106"/>
        <v>276.83</v>
      </c>
      <c r="CZ40" s="380">
        <f t="shared" si="28"/>
        <v>155.79</v>
      </c>
      <c r="DA40"/>
      <c r="DB40" s="391">
        <v>37</v>
      </c>
      <c r="DC40" s="59">
        <v>32868.94</v>
      </c>
      <c r="DD40" s="59">
        <v>46105.42</v>
      </c>
      <c r="DE40" s="59">
        <v>29176.31</v>
      </c>
      <c r="DF40" s="59">
        <v>40925.760000000002</v>
      </c>
      <c r="DG40" s="59">
        <v>25833.19</v>
      </c>
      <c r="DH40" s="59">
        <v>36236.35</v>
      </c>
      <c r="DI40" s="137">
        <v>121307.58</v>
      </c>
      <c r="DJ40" s="137">
        <v>136148.5</v>
      </c>
      <c r="DK40" s="138">
        <v>86311.49</v>
      </c>
      <c r="DL40" s="138">
        <v>92437.36</v>
      </c>
      <c r="DM40" s="137">
        <v>58213.279999999999</v>
      </c>
      <c r="DN40" s="137">
        <v>61767.9</v>
      </c>
      <c r="DP40" s="384" t="s">
        <v>165</v>
      </c>
      <c r="DQ40" s="387">
        <v>866.38</v>
      </c>
      <c r="DR40" s="387">
        <v>879.12</v>
      </c>
    </row>
    <row r="41" spans="1:122">
      <c r="A41" s="172">
        <v>5</v>
      </c>
      <c r="B41" s="173">
        <f ca="1">RESUMEN!J8</f>
        <v>0</v>
      </c>
      <c r="C41" s="173">
        <f ca="1">+RESUMEN!K8</f>
        <v>0</v>
      </c>
      <c r="D41" s="174">
        <f t="shared" ca="1" si="107"/>
        <v>0</v>
      </c>
      <c r="E41" s="165"/>
      <c r="H41" s="91"/>
      <c r="I41" s="91"/>
      <c r="J41" s="164">
        <v>38</v>
      </c>
      <c r="K41" s="59">
        <f t="shared" si="29"/>
        <v>33325.07</v>
      </c>
      <c r="L41" s="59">
        <f t="shared" si="29"/>
        <v>46727.96</v>
      </c>
      <c r="M41" s="59">
        <f t="shared" si="29"/>
        <v>29581.200000000001</v>
      </c>
      <c r="N41" s="59">
        <f t="shared" si="29"/>
        <v>41478.35</v>
      </c>
      <c r="O41" s="59">
        <f t="shared" si="29"/>
        <v>26191.68</v>
      </c>
      <c r="P41" s="59">
        <f t="shared" si="29"/>
        <v>36725.620000000003</v>
      </c>
      <c r="Q41" s="136">
        <f t="shared" si="79"/>
        <v>122831.31</v>
      </c>
      <c r="R41" s="136">
        <f t="shared" si="80"/>
        <v>136162.45000000001</v>
      </c>
      <c r="S41" s="136">
        <f t="shared" si="81"/>
        <v>87877.4</v>
      </c>
      <c r="T41" s="136">
        <f t="shared" si="82"/>
        <v>92447.82</v>
      </c>
      <c r="U41" s="136">
        <f t="shared" si="83"/>
        <v>60017.15</v>
      </c>
      <c r="V41" s="136">
        <f t="shared" si="84"/>
        <v>61828.93</v>
      </c>
      <c r="W41" s="92"/>
      <c r="X41" s="137">
        <f t="shared" si="30"/>
        <v>122831.31</v>
      </c>
      <c r="Y41" s="137">
        <f t="shared" si="30"/>
        <v>136162.45000000001</v>
      </c>
      <c r="Z41" s="136">
        <f t="shared" si="31"/>
        <v>128113.05632999999</v>
      </c>
      <c r="AA41" s="136">
        <f t="shared" si="32"/>
        <v>142017.43535000001</v>
      </c>
      <c r="AB41" s="136">
        <f t="shared" si="33"/>
        <v>137571.06720000002</v>
      </c>
      <c r="AC41" s="136">
        <f t="shared" si="34"/>
        <v>152501.94400000002</v>
      </c>
      <c r="AD41" s="138">
        <f t="shared" si="35"/>
        <v>87877.4</v>
      </c>
      <c r="AE41" s="138">
        <f t="shared" si="35"/>
        <v>92447.82</v>
      </c>
      <c r="AF41" s="136">
        <f t="shared" si="36"/>
        <v>91656.128199999992</v>
      </c>
      <c r="AG41" s="136">
        <f t="shared" si="37"/>
        <v>96423.076260000002</v>
      </c>
      <c r="AH41" s="136">
        <f t="shared" si="38"/>
        <v>98422.688000000009</v>
      </c>
      <c r="AI41" s="136">
        <f t="shared" si="39"/>
        <v>103541.55840000002</v>
      </c>
      <c r="AJ41" s="137">
        <f t="shared" si="40"/>
        <v>60017.15</v>
      </c>
      <c r="AK41" s="137">
        <f t="shared" si="40"/>
        <v>61828.93</v>
      </c>
      <c r="AL41" s="136">
        <f t="shared" si="41"/>
        <v>62597.887449999995</v>
      </c>
      <c r="AM41" s="136">
        <f t="shared" si="42"/>
        <v>64487.573989999997</v>
      </c>
      <c r="AN41" s="136">
        <f t="shared" si="43"/>
        <v>67219.208000000013</v>
      </c>
      <c r="AO41" s="136">
        <f t="shared" si="44"/>
        <v>69248.401600000012</v>
      </c>
      <c r="AP41" s="92"/>
      <c r="AQ41" s="140">
        <v>38</v>
      </c>
      <c r="AR41" s="141">
        <f ca="1">+RESUMEN!F41</f>
        <v>0</v>
      </c>
      <c r="AS41" s="141">
        <f ca="1">+RESUMEN!G41</f>
        <v>0</v>
      </c>
      <c r="AT41" s="142">
        <f t="shared" ca="1" si="85"/>
        <v>0</v>
      </c>
      <c r="AU41" s="143">
        <f t="shared" si="45"/>
        <v>0</v>
      </c>
      <c r="AV41" s="143">
        <f t="shared" si="46"/>
        <v>0</v>
      </c>
      <c r="AW41" s="143">
        <f t="shared" si="47"/>
        <v>0</v>
      </c>
      <c r="AX41" s="143">
        <f t="shared" si="48"/>
        <v>0</v>
      </c>
      <c r="AY41" s="143">
        <f t="shared" ca="1" si="49"/>
        <v>0</v>
      </c>
      <c r="AZ41" s="142"/>
      <c r="BA41" s="143">
        <f t="shared" ca="1" si="86"/>
        <v>0</v>
      </c>
      <c r="BB41" s="143">
        <f t="shared" ca="1" si="87"/>
        <v>0</v>
      </c>
      <c r="BC41" s="143">
        <f t="shared" ca="1" si="67"/>
        <v>0</v>
      </c>
      <c r="BD41" s="145">
        <f t="shared" ca="1" si="50"/>
        <v>0</v>
      </c>
      <c r="BE41" s="145">
        <f t="shared" ca="1" si="68"/>
        <v>0</v>
      </c>
      <c r="BF41" s="146" t="str">
        <f t="shared" ca="1" si="88"/>
        <v/>
      </c>
      <c r="BG41" s="92"/>
      <c r="BH41" s="95">
        <f t="shared" ca="1" si="89"/>
        <v>0</v>
      </c>
      <c r="BI41" s="95">
        <f t="shared" ca="1" si="90"/>
        <v>0</v>
      </c>
      <c r="BJ41" s="95">
        <f t="shared" ca="1" si="69"/>
        <v>0</v>
      </c>
      <c r="BK41" s="147">
        <f t="shared" ca="1" si="52"/>
        <v>0</v>
      </c>
      <c r="BL41" s="147">
        <f t="shared" ca="1" si="70"/>
        <v>0</v>
      </c>
      <c r="BM41" s="148" t="str">
        <f t="shared" ca="1" si="91"/>
        <v/>
      </c>
      <c r="BN41" s="92"/>
      <c r="BO41" s="149">
        <f t="shared" ca="1" si="92"/>
        <v>0</v>
      </c>
      <c r="BP41" s="149">
        <f t="shared" ca="1" si="93"/>
        <v>0</v>
      </c>
      <c r="BQ41" s="149">
        <f t="shared" ca="1" si="71"/>
        <v>0</v>
      </c>
      <c r="BR41" s="150">
        <f t="shared" ca="1" si="54"/>
        <v>0</v>
      </c>
      <c r="BS41" s="150">
        <f t="shared" ca="1" si="72"/>
        <v>0</v>
      </c>
      <c r="BT41" s="151" t="str">
        <f t="shared" ca="1" si="94"/>
        <v/>
      </c>
      <c r="BU41" s="92"/>
      <c r="BV41" s="152">
        <f t="shared" ca="1" si="95"/>
        <v>0</v>
      </c>
      <c r="BW41" s="152">
        <f t="shared" ca="1" si="96"/>
        <v>0</v>
      </c>
      <c r="BX41" s="152">
        <f t="shared" ca="1" si="73"/>
        <v>0</v>
      </c>
      <c r="BY41" s="153">
        <f t="shared" ca="1" si="56"/>
        <v>0</v>
      </c>
      <c r="BZ41" s="153">
        <f t="shared" ca="1" si="74"/>
        <v>0</v>
      </c>
      <c r="CA41" s="154" t="str">
        <f t="shared" ca="1" si="97"/>
        <v/>
      </c>
      <c r="CB41" s="92"/>
      <c r="CC41" s="155">
        <f t="shared" ca="1" si="98"/>
        <v>0</v>
      </c>
      <c r="CD41" s="155">
        <f t="shared" ca="1" si="99"/>
        <v>0</v>
      </c>
      <c r="CE41" s="155">
        <f t="shared" ca="1" si="75"/>
        <v>0</v>
      </c>
      <c r="CF41" s="156">
        <f t="shared" ca="1" si="58"/>
        <v>0</v>
      </c>
      <c r="CG41" s="156">
        <f t="shared" ca="1" si="76"/>
        <v>0</v>
      </c>
      <c r="CH41" s="157" t="str">
        <f t="shared" ca="1" si="100"/>
        <v/>
      </c>
      <c r="CI41" s="92"/>
      <c r="CJ41" s="158">
        <f t="shared" ca="1" si="101"/>
        <v>0</v>
      </c>
      <c r="CK41" s="158">
        <f t="shared" ca="1" si="102"/>
        <v>0</v>
      </c>
      <c r="CL41" s="158">
        <f t="shared" ca="1" si="77"/>
        <v>0</v>
      </c>
      <c r="CM41" s="159">
        <f t="shared" ca="1" si="60"/>
        <v>0</v>
      </c>
      <c r="CN41" s="159">
        <f t="shared" ca="1" si="78"/>
        <v>0</v>
      </c>
      <c r="CO41" s="160" t="str">
        <f t="shared" ca="1" si="103"/>
        <v/>
      </c>
      <c r="CP41" s="92"/>
      <c r="CQ41" s="140">
        <v>38</v>
      </c>
      <c r="CR41" s="330">
        <v>0.18</v>
      </c>
      <c r="CS41" s="92">
        <f t="shared" si="62"/>
        <v>0</v>
      </c>
      <c r="CT41" s="335">
        <f t="shared" si="63"/>
        <v>0.18</v>
      </c>
      <c r="CU41" s="92">
        <f t="shared" si="64"/>
        <v>1</v>
      </c>
      <c r="CV41" s="348">
        <f t="shared" si="65"/>
        <v>1</v>
      </c>
      <c r="CW41" s="380">
        <f t="shared" si="104"/>
        <v>139.81</v>
      </c>
      <c r="CX41" s="380">
        <f t="shared" si="105"/>
        <v>68.569999999999993</v>
      </c>
      <c r="CY41" s="367">
        <f t="shared" si="106"/>
        <v>276.83</v>
      </c>
      <c r="CZ41" s="380">
        <f t="shared" si="28"/>
        <v>155.79</v>
      </c>
      <c r="DA41"/>
      <c r="DB41" s="391">
        <v>38</v>
      </c>
      <c r="DC41" s="59">
        <v>33325.07</v>
      </c>
      <c r="DD41" s="59">
        <v>46727.96</v>
      </c>
      <c r="DE41" s="59">
        <v>29581.200000000001</v>
      </c>
      <c r="DF41" s="59">
        <v>41478.35</v>
      </c>
      <c r="DG41" s="59">
        <v>26191.68</v>
      </c>
      <c r="DH41" s="59">
        <v>36725.620000000003</v>
      </c>
      <c r="DI41" s="137">
        <v>122831.31</v>
      </c>
      <c r="DJ41" s="137">
        <v>136162.45000000001</v>
      </c>
      <c r="DK41" s="138">
        <v>87877.4</v>
      </c>
      <c r="DL41" s="138">
        <v>92447.82</v>
      </c>
      <c r="DM41" s="137">
        <v>60017.15</v>
      </c>
      <c r="DN41" s="137">
        <v>61828.93</v>
      </c>
      <c r="DP41" s="384" t="s">
        <v>166</v>
      </c>
      <c r="DQ41" s="389">
        <v>895.08</v>
      </c>
      <c r="DR41" s="389">
        <v>931.83</v>
      </c>
    </row>
    <row r="42" spans="1:122">
      <c r="A42" s="172">
        <v>6</v>
      </c>
      <c r="B42" s="173">
        <f ca="1">RESUMEN!J9</f>
        <v>0</v>
      </c>
      <c r="C42" s="173">
        <f ca="1">+RESUMEN!K9</f>
        <v>0</v>
      </c>
      <c r="D42" s="174">
        <f t="shared" ca="1" si="107"/>
        <v>0</v>
      </c>
      <c r="E42" s="165"/>
      <c r="H42" s="91"/>
      <c r="I42" s="91"/>
      <c r="J42" s="164">
        <v>39</v>
      </c>
      <c r="K42" s="59">
        <f t="shared" si="29"/>
        <v>33585.230000000003</v>
      </c>
      <c r="L42" s="59">
        <f t="shared" si="29"/>
        <v>48206.48</v>
      </c>
      <c r="M42" s="59">
        <f t="shared" si="29"/>
        <v>29812.13</v>
      </c>
      <c r="N42" s="59">
        <f t="shared" si="29"/>
        <v>42790.77</v>
      </c>
      <c r="O42" s="59">
        <f t="shared" si="29"/>
        <v>26396.16</v>
      </c>
      <c r="P42" s="59">
        <f t="shared" si="29"/>
        <v>37887.660000000003</v>
      </c>
      <c r="Q42" s="136">
        <f t="shared" si="79"/>
        <v>125265.62</v>
      </c>
      <c r="R42" s="136">
        <f t="shared" si="80"/>
        <v>136176.4</v>
      </c>
      <c r="S42" s="136">
        <f t="shared" si="81"/>
        <v>89581.06</v>
      </c>
      <c r="T42" s="136">
        <f t="shared" si="82"/>
        <v>92456.54</v>
      </c>
      <c r="U42" s="136">
        <f t="shared" si="83"/>
        <v>60525.77</v>
      </c>
      <c r="V42" s="136">
        <f t="shared" si="84"/>
        <v>61889.96</v>
      </c>
      <c r="W42" s="92"/>
      <c r="X42" s="137">
        <f t="shared" si="30"/>
        <v>125265.62</v>
      </c>
      <c r="Y42" s="137">
        <f t="shared" si="30"/>
        <v>136176.4</v>
      </c>
      <c r="Z42" s="136">
        <f t="shared" si="31"/>
        <v>130652.04165999999</v>
      </c>
      <c r="AA42" s="136">
        <f t="shared" si="32"/>
        <v>142031.9852</v>
      </c>
      <c r="AB42" s="136">
        <f t="shared" si="33"/>
        <v>140297.4944</v>
      </c>
      <c r="AC42" s="136">
        <f t="shared" si="34"/>
        <v>152517.568</v>
      </c>
      <c r="AD42" s="138">
        <f t="shared" si="35"/>
        <v>89581.06</v>
      </c>
      <c r="AE42" s="138">
        <f t="shared" si="35"/>
        <v>92456.54</v>
      </c>
      <c r="AF42" s="136">
        <f t="shared" si="36"/>
        <v>93433.045579999991</v>
      </c>
      <c r="AG42" s="136">
        <f t="shared" si="37"/>
        <v>96432.171219999989</v>
      </c>
      <c r="AH42" s="136">
        <f t="shared" si="38"/>
        <v>100330.78720000001</v>
      </c>
      <c r="AI42" s="136">
        <f t="shared" si="39"/>
        <v>103551.3248</v>
      </c>
      <c r="AJ42" s="137">
        <f t="shared" si="40"/>
        <v>60525.77</v>
      </c>
      <c r="AK42" s="137">
        <f t="shared" si="40"/>
        <v>61889.96</v>
      </c>
      <c r="AL42" s="136">
        <f t="shared" si="41"/>
        <v>63128.378109999991</v>
      </c>
      <c r="AM42" s="136">
        <f t="shared" si="42"/>
        <v>64551.228279999996</v>
      </c>
      <c r="AN42" s="136">
        <f t="shared" si="43"/>
        <v>67788.862399999998</v>
      </c>
      <c r="AO42" s="136">
        <f t="shared" si="44"/>
        <v>69316.7552</v>
      </c>
      <c r="AP42" s="92"/>
      <c r="AQ42" s="140">
        <v>39</v>
      </c>
      <c r="AR42" s="141">
        <f ca="1">+RESUMEN!F42</f>
        <v>0</v>
      </c>
      <c r="AS42" s="141">
        <f ca="1">+RESUMEN!G42</f>
        <v>0</v>
      </c>
      <c r="AT42" s="142">
        <f t="shared" ca="1" si="85"/>
        <v>0</v>
      </c>
      <c r="AU42" s="143">
        <f t="shared" si="45"/>
        <v>0</v>
      </c>
      <c r="AV42" s="143">
        <f t="shared" si="46"/>
        <v>0</v>
      </c>
      <c r="AW42" s="143">
        <f t="shared" si="47"/>
        <v>0</v>
      </c>
      <c r="AX42" s="143">
        <f t="shared" si="48"/>
        <v>0</v>
      </c>
      <c r="AY42" s="143">
        <f t="shared" ca="1" si="49"/>
        <v>0</v>
      </c>
      <c r="AZ42" s="142"/>
      <c r="BA42" s="143">
        <f t="shared" ca="1" si="86"/>
        <v>0</v>
      </c>
      <c r="BB42" s="143">
        <f t="shared" ca="1" si="87"/>
        <v>0</v>
      </c>
      <c r="BC42" s="143">
        <f t="shared" ca="1" si="67"/>
        <v>0</v>
      </c>
      <c r="BD42" s="145">
        <f t="shared" ca="1" si="50"/>
        <v>0</v>
      </c>
      <c r="BE42" s="145">
        <f t="shared" ca="1" si="68"/>
        <v>0</v>
      </c>
      <c r="BF42" s="146" t="str">
        <f t="shared" ca="1" si="88"/>
        <v/>
      </c>
      <c r="BG42" s="92"/>
      <c r="BH42" s="95">
        <f t="shared" ca="1" si="89"/>
        <v>0</v>
      </c>
      <c r="BI42" s="95">
        <f t="shared" ca="1" si="90"/>
        <v>0</v>
      </c>
      <c r="BJ42" s="95">
        <f t="shared" ca="1" si="69"/>
        <v>0</v>
      </c>
      <c r="BK42" s="147">
        <f t="shared" ca="1" si="52"/>
        <v>0</v>
      </c>
      <c r="BL42" s="147">
        <f t="shared" ca="1" si="70"/>
        <v>0</v>
      </c>
      <c r="BM42" s="148" t="str">
        <f t="shared" ca="1" si="91"/>
        <v/>
      </c>
      <c r="BN42" s="239"/>
      <c r="BO42" s="149">
        <f t="shared" ca="1" si="92"/>
        <v>0</v>
      </c>
      <c r="BP42" s="149">
        <f t="shared" ca="1" si="93"/>
        <v>0</v>
      </c>
      <c r="BQ42" s="149">
        <f t="shared" ca="1" si="71"/>
        <v>0</v>
      </c>
      <c r="BR42" s="150">
        <f t="shared" ca="1" si="54"/>
        <v>0</v>
      </c>
      <c r="BS42" s="150">
        <f t="shared" ca="1" si="72"/>
        <v>0</v>
      </c>
      <c r="BT42" s="151" t="str">
        <f t="shared" ca="1" si="94"/>
        <v/>
      </c>
      <c r="BU42" s="92"/>
      <c r="BV42" s="152">
        <f t="shared" ca="1" si="95"/>
        <v>0</v>
      </c>
      <c r="BW42" s="152">
        <f t="shared" ca="1" si="96"/>
        <v>0</v>
      </c>
      <c r="BX42" s="152">
        <f t="shared" ca="1" si="73"/>
        <v>0</v>
      </c>
      <c r="BY42" s="153">
        <f t="shared" ca="1" si="56"/>
        <v>0</v>
      </c>
      <c r="BZ42" s="153">
        <f t="shared" ca="1" si="74"/>
        <v>0</v>
      </c>
      <c r="CA42" s="154" t="str">
        <f t="shared" ca="1" si="97"/>
        <v/>
      </c>
      <c r="CB42" s="92"/>
      <c r="CC42" s="155">
        <f t="shared" ca="1" si="98"/>
        <v>0</v>
      </c>
      <c r="CD42" s="155">
        <f t="shared" ca="1" si="99"/>
        <v>0</v>
      </c>
      <c r="CE42" s="155">
        <f t="shared" ca="1" si="75"/>
        <v>0</v>
      </c>
      <c r="CF42" s="156">
        <f t="shared" ca="1" si="58"/>
        <v>0</v>
      </c>
      <c r="CG42" s="156">
        <f t="shared" ca="1" si="76"/>
        <v>0</v>
      </c>
      <c r="CH42" s="157" t="str">
        <f t="shared" ca="1" si="100"/>
        <v/>
      </c>
      <c r="CI42" s="92"/>
      <c r="CJ42" s="158">
        <f t="shared" ca="1" si="101"/>
        <v>0</v>
      </c>
      <c r="CK42" s="158">
        <f t="shared" ca="1" si="102"/>
        <v>0</v>
      </c>
      <c r="CL42" s="158">
        <f t="shared" ca="1" si="77"/>
        <v>0</v>
      </c>
      <c r="CM42" s="159">
        <f t="shared" ca="1" si="60"/>
        <v>0</v>
      </c>
      <c r="CN42" s="159">
        <f t="shared" ca="1" si="78"/>
        <v>0</v>
      </c>
      <c r="CO42" s="160" t="str">
        <f t="shared" ca="1" si="103"/>
        <v/>
      </c>
      <c r="CP42" s="92"/>
      <c r="CQ42" s="140">
        <v>39</v>
      </c>
      <c r="CR42" s="330">
        <v>0.18</v>
      </c>
      <c r="CS42" s="92">
        <f t="shared" si="62"/>
        <v>0</v>
      </c>
      <c r="CT42" s="335">
        <f t="shared" si="63"/>
        <v>0.18</v>
      </c>
      <c r="CU42" s="92">
        <f t="shared" si="64"/>
        <v>1</v>
      </c>
      <c r="CV42" s="348">
        <f t="shared" si="65"/>
        <v>1</v>
      </c>
      <c r="CW42" s="380">
        <f t="shared" si="104"/>
        <v>139.81</v>
      </c>
      <c r="CX42" s="380">
        <f t="shared" si="105"/>
        <v>68.569999999999993</v>
      </c>
      <c r="CY42" s="367">
        <f t="shared" si="106"/>
        <v>276.83</v>
      </c>
      <c r="CZ42" s="380">
        <f t="shared" si="28"/>
        <v>155.79</v>
      </c>
      <c r="DA42"/>
      <c r="DB42" s="391">
        <v>39</v>
      </c>
      <c r="DC42" s="59">
        <v>33585.230000000003</v>
      </c>
      <c r="DD42" s="59">
        <v>48206.48</v>
      </c>
      <c r="DE42" s="59">
        <v>29812.13</v>
      </c>
      <c r="DF42" s="59">
        <v>42790.77</v>
      </c>
      <c r="DG42" s="59">
        <v>26396.16</v>
      </c>
      <c r="DH42" s="59">
        <v>37887.660000000003</v>
      </c>
      <c r="DI42" s="137">
        <v>125265.62</v>
      </c>
      <c r="DJ42" s="137">
        <v>136176.4</v>
      </c>
      <c r="DK42" s="138">
        <v>89581.06</v>
      </c>
      <c r="DL42" s="138">
        <v>92456.54</v>
      </c>
      <c r="DM42" s="137">
        <v>60525.77</v>
      </c>
      <c r="DN42" s="137">
        <v>61889.96</v>
      </c>
      <c r="DP42" s="384" t="s">
        <v>167</v>
      </c>
      <c r="DQ42" s="387">
        <v>923.78</v>
      </c>
      <c r="DR42" s="387">
        <v>984.53</v>
      </c>
    </row>
    <row r="43" spans="1:122">
      <c r="A43" s="172">
        <v>7</v>
      </c>
      <c r="B43" s="173">
        <f ca="1">RESUMEN!J10</f>
        <v>0</v>
      </c>
      <c r="C43" s="173">
        <f ca="1">+RESUMEN!K10</f>
        <v>0</v>
      </c>
      <c r="D43" s="174">
        <f t="shared" ca="1" si="107"/>
        <v>0</v>
      </c>
      <c r="E43" s="165"/>
      <c r="H43" s="91"/>
      <c r="I43" s="91"/>
      <c r="J43" s="164">
        <v>40</v>
      </c>
      <c r="K43" s="59">
        <f t="shared" si="29"/>
        <v>33990.19</v>
      </c>
      <c r="L43" s="59">
        <f t="shared" si="29"/>
        <v>49215.62</v>
      </c>
      <c r="M43" s="59">
        <f t="shared" si="29"/>
        <v>30171.599999999999</v>
      </c>
      <c r="N43" s="59">
        <f t="shared" si="29"/>
        <v>43686.54</v>
      </c>
      <c r="O43" s="59">
        <f t="shared" si="29"/>
        <v>26714.44</v>
      </c>
      <c r="P43" s="59">
        <f t="shared" si="29"/>
        <v>38680.79</v>
      </c>
      <c r="Q43" s="136">
        <f t="shared" si="79"/>
        <v>125873.15</v>
      </c>
      <c r="R43" s="136">
        <f t="shared" si="80"/>
        <v>136190.35</v>
      </c>
      <c r="S43" s="136">
        <f t="shared" si="81"/>
        <v>91438.18</v>
      </c>
      <c r="T43" s="136">
        <f t="shared" si="82"/>
        <v>92465.26</v>
      </c>
      <c r="U43" s="136">
        <f t="shared" si="83"/>
        <v>61633.66</v>
      </c>
      <c r="V43" s="136">
        <f t="shared" si="84"/>
        <v>61952.74</v>
      </c>
      <c r="W43" s="92"/>
      <c r="X43" s="137">
        <f t="shared" si="30"/>
        <v>125873.15</v>
      </c>
      <c r="Y43" s="137">
        <f t="shared" si="30"/>
        <v>136190.35</v>
      </c>
      <c r="Z43" s="136">
        <f t="shared" si="31"/>
        <v>131285.69545</v>
      </c>
      <c r="AA43" s="136">
        <f t="shared" si="32"/>
        <v>142046.53505000001</v>
      </c>
      <c r="AB43" s="136">
        <f t="shared" si="33"/>
        <v>140977.92800000001</v>
      </c>
      <c r="AC43" s="136">
        <f t="shared" si="34"/>
        <v>152533.19200000001</v>
      </c>
      <c r="AD43" s="138">
        <f t="shared" si="35"/>
        <v>91438.18</v>
      </c>
      <c r="AE43" s="138">
        <f t="shared" si="35"/>
        <v>92465.26</v>
      </c>
      <c r="AF43" s="136">
        <f t="shared" si="36"/>
        <v>95370.021739999982</v>
      </c>
      <c r="AG43" s="136">
        <f t="shared" si="37"/>
        <v>96441.266179999991</v>
      </c>
      <c r="AH43" s="136">
        <f t="shared" si="38"/>
        <v>102410.7616</v>
      </c>
      <c r="AI43" s="136">
        <f t="shared" si="39"/>
        <v>103561.09120000001</v>
      </c>
      <c r="AJ43" s="137">
        <f t="shared" si="40"/>
        <v>61633.66</v>
      </c>
      <c r="AK43" s="137">
        <f t="shared" si="40"/>
        <v>61952.74</v>
      </c>
      <c r="AL43" s="136">
        <f t="shared" si="41"/>
        <v>64283.907379999997</v>
      </c>
      <c r="AM43" s="136">
        <f t="shared" si="42"/>
        <v>64616.707819999996</v>
      </c>
      <c r="AN43" s="136">
        <f t="shared" si="43"/>
        <v>69029.699200000017</v>
      </c>
      <c r="AO43" s="136">
        <f t="shared" si="44"/>
        <v>69387.068800000008</v>
      </c>
      <c r="AP43" s="92"/>
      <c r="AQ43" s="140">
        <v>40</v>
      </c>
      <c r="AR43" s="141">
        <f ca="1">+RESUMEN!F43</f>
        <v>0</v>
      </c>
      <c r="AS43" s="141">
        <f ca="1">+RESUMEN!G43</f>
        <v>0</v>
      </c>
      <c r="AT43" s="142">
        <f t="shared" ca="1" si="85"/>
        <v>0</v>
      </c>
      <c r="AU43" s="143">
        <f t="shared" si="45"/>
        <v>0</v>
      </c>
      <c r="AV43" s="143">
        <f t="shared" si="46"/>
        <v>0</v>
      </c>
      <c r="AW43" s="143">
        <f t="shared" si="47"/>
        <v>0</v>
      </c>
      <c r="AX43" s="143">
        <f t="shared" si="48"/>
        <v>0</v>
      </c>
      <c r="AY43" s="143">
        <f t="shared" ca="1" si="49"/>
        <v>0</v>
      </c>
      <c r="AZ43" s="142"/>
      <c r="BA43" s="143">
        <f t="shared" ca="1" si="86"/>
        <v>0</v>
      </c>
      <c r="BB43" s="143">
        <f t="shared" ca="1" si="87"/>
        <v>0</v>
      </c>
      <c r="BC43" s="143">
        <f t="shared" ca="1" si="67"/>
        <v>0</v>
      </c>
      <c r="BD43" s="145">
        <f t="shared" ca="1" si="50"/>
        <v>0</v>
      </c>
      <c r="BE43" s="145">
        <f t="shared" ca="1" si="68"/>
        <v>0</v>
      </c>
      <c r="BF43" s="146" t="str">
        <f t="shared" ca="1" si="88"/>
        <v/>
      </c>
      <c r="BG43" s="92"/>
      <c r="BH43" s="95">
        <f t="shared" ca="1" si="89"/>
        <v>0</v>
      </c>
      <c r="BI43" s="95">
        <f t="shared" ca="1" si="90"/>
        <v>0</v>
      </c>
      <c r="BJ43" s="95">
        <f t="shared" ca="1" si="69"/>
        <v>0</v>
      </c>
      <c r="BK43" s="147">
        <f t="shared" ca="1" si="52"/>
        <v>0</v>
      </c>
      <c r="BL43" s="147">
        <f t="shared" ca="1" si="70"/>
        <v>0</v>
      </c>
      <c r="BM43" s="148" t="str">
        <f t="shared" ca="1" si="91"/>
        <v/>
      </c>
      <c r="BN43" s="239"/>
      <c r="BO43" s="149">
        <f t="shared" ca="1" si="92"/>
        <v>0</v>
      </c>
      <c r="BP43" s="149">
        <f t="shared" ca="1" si="93"/>
        <v>0</v>
      </c>
      <c r="BQ43" s="149">
        <f t="shared" ca="1" si="71"/>
        <v>0</v>
      </c>
      <c r="BR43" s="150">
        <f t="shared" ca="1" si="54"/>
        <v>0</v>
      </c>
      <c r="BS43" s="150">
        <f t="shared" ca="1" si="72"/>
        <v>0</v>
      </c>
      <c r="BT43" s="151" t="str">
        <f t="shared" ca="1" si="94"/>
        <v/>
      </c>
      <c r="BU43" s="92"/>
      <c r="BV43" s="152">
        <f t="shared" ca="1" si="95"/>
        <v>0</v>
      </c>
      <c r="BW43" s="152">
        <f t="shared" ca="1" si="96"/>
        <v>0</v>
      </c>
      <c r="BX43" s="152">
        <f t="shared" ca="1" si="73"/>
        <v>0</v>
      </c>
      <c r="BY43" s="153">
        <f t="shared" ca="1" si="56"/>
        <v>0</v>
      </c>
      <c r="BZ43" s="153">
        <f t="shared" ca="1" si="74"/>
        <v>0</v>
      </c>
      <c r="CA43" s="154" t="str">
        <f t="shared" ca="1" si="97"/>
        <v/>
      </c>
      <c r="CB43" s="92"/>
      <c r="CC43" s="155">
        <f t="shared" ca="1" si="98"/>
        <v>0</v>
      </c>
      <c r="CD43" s="155">
        <f t="shared" ca="1" si="99"/>
        <v>0</v>
      </c>
      <c r="CE43" s="155">
        <f t="shared" ca="1" si="75"/>
        <v>0</v>
      </c>
      <c r="CF43" s="156">
        <f t="shared" ca="1" si="58"/>
        <v>0</v>
      </c>
      <c r="CG43" s="156">
        <f t="shared" ca="1" si="76"/>
        <v>0</v>
      </c>
      <c r="CH43" s="157" t="str">
        <f t="shared" ca="1" si="100"/>
        <v/>
      </c>
      <c r="CI43" s="92"/>
      <c r="CJ43" s="158">
        <f t="shared" ca="1" si="101"/>
        <v>0</v>
      </c>
      <c r="CK43" s="158">
        <f t="shared" ca="1" si="102"/>
        <v>0</v>
      </c>
      <c r="CL43" s="158">
        <f t="shared" ca="1" si="77"/>
        <v>0</v>
      </c>
      <c r="CM43" s="159">
        <f t="shared" ca="1" si="60"/>
        <v>0</v>
      </c>
      <c r="CN43" s="159">
        <f t="shared" ca="1" si="78"/>
        <v>0</v>
      </c>
      <c r="CO43" s="160" t="str">
        <f t="shared" ca="1" si="103"/>
        <v/>
      </c>
      <c r="CP43" s="92"/>
      <c r="CQ43" s="140">
        <v>40</v>
      </c>
      <c r="CR43" s="330">
        <v>0.18</v>
      </c>
      <c r="CS43" s="92">
        <f t="shared" si="62"/>
        <v>0</v>
      </c>
      <c r="CT43" s="335">
        <f t="shared" si="63"/>
        <v>0.18</v>
      </c>
      <c r="CU43" s="92">
        <f t="shared" si="64"/>
        <v>1</v>
      </c>
      <c r="CV43" s="348">
        <f t="shared" si="65"/>
        <v>1</v>
      </c>
      <c r="CW43" s="380">
        <f t="shared" si="104"/>
        <v>139.81</v>
      </c>
      <c r="CX43" s="380">
        <f t="shared" si="105"/>
        <v>68.569999999999993</v>
      </c>
      <c r="CY43" s="367">
        <f t="shared" si="106"/>
        <v>276.83</v>
      </c>
      <c r="CZ43" s="380">
        <f t="shared" si="28"/>
        <v>155.79</v>
      </c>
      <c r="DA43"/>
      <c r="DB43" s="391">
        <v>40</v>
      </c>
      <c r="DC43" s="59">
        <v>33990.19</v>
      </c>
      <c r="DD43" s="59">
        <v>49215.62</v>
      </c>
      <c r="DE43" s="59">
        <v>30171.599999999999</v>
      </c>
      <c r="DF43" s="59">
        <v>43686.54</v>
      </c>
      <c r="DG43" s="59">
        <v>26714.44</v>
      </c>
      <c r="DH43" s="59">
        <v>38680.79</v>
      </c>
      <c r="DI43" s="137">
        <v>125873.15</v>
      </c>
      <c r="DJ43" s="137">
        <v>136190.35</v>
      </c>
      <c r="DK43" s="138">
        <v>91438.18</v>
      </c>
      <c r="DL43" s="138">
        <v>92465.26</v>
      </c>
      <c r="DM43" s="137">
        <v>61633.66</v>
      </c>
      <c r="DN43" s="137">
        <v>61952.74</v>
      </c>
      <c r="DP43" s="384" t="s">
        <v>168</v>
      </c>
      <c r="DQ43" s="387">
        <v>991.55</v>
      </c>
      <c r="DR43" s="387">
        <v>1067.68</v>
      </c>
    </row>
    <row r="44" spans="1:122">
      <c r="A44" s="172">
        <v>8</v>
      </c>
      <c r="B44" s="173">
        <f ca="1">RESUMEN!J11</f>
        <v>0</v>
      </c>
      <c r="C44" s="173">
        <f ca="1">+RESUMEN!K11</f>
        <v>0</v>
      </c>
      <c r="D44" s="174">
        <f t="shared" ca="1" si="107"/>
        <v>0</v>
      </c>
      <c r="E44" s="165"/>
      <c r="F44" s="165"/>
      <c r="G44" s="165"/>
      <c r="H44" s="91"/>
      <c r="I44" s="91"/>
      <c r="J44" s="164">
        <v>41</v>
      </c>
      <c r="K44" s="59">
        <f t="shared" si="29"/>
        <v>34508.26</v>
      </c>
      <c r="L44" s="59">
        <f t="shared" si="29"/>
        <v>51225.77</v>
      </c>
      <c r="M44" s="59">
        <f t="shared" si="29"/>
        <v>30631.46</v>
      </c>
      <c r="N44" s="59">
        <f t="shared" si="29"/>
        <v>45470.86</v>
      </c>
      <c r="O44" s="59">
        <f t="shared" si="29"/>
        <v>27121.61</v>
      </c>
      <c r="P44" s="59">
        <f t="shared" si="29"/>
        <v>40260.660000000003</v>
      </c>
      <c r="Q44" s="136">
        <f t="shared" si="79"/>
        <v>126483.64</v>
      </c>
      <c r="R44" s="136">
        <f t="shared" si="80"/>
        <v>136202.54999999999</v>
      </c>
      <c r="S44" s="136">
        <f t="shared" si="81"/>
        <v>93467.93</v>
      </c>
      <c r="T44" s="136">
        <f t="shared" si="82"/>
        <v>92475.72</v>
      </c>
      <c r="U44" s="136">
        <f t="shared" si="83"/>
        <v>61932.58</v>
      </c>
      <c r="V44" s="136">
        <f t="shared" si="84"/>
        <v>61957.97</v>
      </c>
      <c r="W44" s="92"/>
      <c r="X44" s="137">
        <f t="shared" si="30"/>
        <v>126483.64</v>
      </c>
      <c r="Y44" s="137">
        <f t="shared" si="30"/>
        <v>136202.54999999999</v>
      </c>
      <c r="Z44" s="136">
        <f t="shared" si="31"/>
        <v>131922.43651999999</v>
      </c>
      <c r="AA44" s="136">
        <f t="shared" si="32"/>
        <v>142059.25964999996</v>
      </c>
      <c r="AB44" s="136">
        <f t="shared" si="33"/>
        <v>141661.67680000002</v>
      </c>
      <c r="AC44" s="136">
        <f t="shared" si="34"/>
        <v>152546.856</v>
      </c>
      <c r="AD44" s="138">
        <f t="shared" si="35"/>
        <v>93467.93</v>
      </c>
      <c r="AE44" s="138">
        <f t="shared" si="35"/>
        <v>92475.72</v>
      </c>
      <c r="AF44" s="136">
        <f t="shared" si="36"/>
        <v>97487.050989999989</v>
      </c>
      <c r="AG44" s="136">
        <f t="shared" si="37"/>
        <v>96452.175959999993</v>
      </c>
      <c r="AH44" s="136">
        <f t="shared" si="38"/>
        <v>104684.0816</v>
      </c>
      <c r="AI44" s="136">
        <f t="shared" si="39"/>
        <v>103572.80640000002</v>
      </c>
      <c r="AJ44" s="137">
        <f t="shared" si="40"/>
        <v>61932.58</v>
      </c>
      <c r="AK44" s="137">
        <f t="shared" si="40"/>
        <v>61957.97</v>
      </c>
      <c r="AL44" s="136">
        <f t="shared" si="41"/>
        <v>64595.680939999998</v>
      </c>
      <c r="AM44" s="136">
        <f t="shared" si="42"/>
        <v>64622.162709999997</v>
      </c>
      <c r="AN44" s="136">
        <f t="shared" si="43"/>
        <v>69364.489600000015</v>
      </c>
      <c r="AO44" s="136">
        <f t="shared" si="44"/>
        <v>69392.926400000011</v>
      </c>
      <c r="AP44" s="92"/>
      <c r="AQ44" s="140">
        <v>41</v>
      </c>
      <c r="AR44" s="141">
        <f ca="1">+RESUMEN!F44</f>
        <v>0</v>
      </c>
      <c r="AS44" s="141">
        <f ca="1">+RESUMEN!G44</f>
        <v>0</v>
      </c>
      <c r="AT44" s="142">
        <f t="shared" ca="1" si="85"/>
        <v>0</v>
      </c>
      <c r="AU44" s="143">
        <f t="shared" si="45"/>
        <v>0</v>
      </c>
      <c r="AV44" s="143">
        <f t="shared" si="46"/>
        <v>0</v>
      </c>
      <c r="AW44" s="143">
        <f t="shared" si="47"/>
        <v>0</v>
      </c>
      <c r="AX44" s="143">
        <f t="shared" si="48"/>
        <v>0</v>
      </c>
      <c r="AY44" s="143">
        <f t="shared" ca="1" si="49"/>
        <v>0</v>
      </c>
      <c r="AZ44" s="142"/>
      <c r="BA44" s="143">
        <f t="shared" ca="1" si="86"/>
        <v>0</v>
      </c>
      <c r="BB44" s="143">
        <f t="shared" ca="1" si="87"/>
        <v>0</v>
      </c>
      <c r="BC44" s="143">
        <f t="shared" ca="1" si="67"/>
        <v>0</v>
      </c>
      <c r="BD44" s="145">
        <f t="shared" ca="1" si="50"/>
        <v>0</v>
      </c>
      <c r="BE44" s="145">
        <f t="shared" ca="1" si="68"/>
        <v>0</v>
      </c>
      <c r="BF44" s="146" t="str">
        <f t="shared" ca="1" si="88"/>
        <v/>
      </c>
      <c r="BG44" s="92"/>
      <c r="BH44" s="95">
        <f t="shared" ca="1" si="89"/>
        <v>0</v>
      </c>
      <c r="BI44" s="95">
        <f t="shared" ca="1" si="90"/>
        <v>0</v>
      </c>
      <c r="BJ44" s="95">
        <f t="shared" ca="1" si="69"/>
        <v>0</v>
      </c>
      <c r="BK44" s="147">
        <f t="shared" ca="1" si="52"/>
        <v>0</v>
      </c>
      <c r="BL44" s="147">
        <f t="shared" ca="1" si="70"/>
        <v>0</v>
      </c>
      <c r="BM44" s="148" t="str">
        <f t="shared" ca="1" si="91"/>
        <v/>
      </c>
      <c r="BN44" s="209"/>
      <c r="BO44" s="149">
        <f t="shared" ca="1" si="92"/>
        <v>0</v>
      </c>
      <c r="BP44" s="149">
        <f t="shared" ca="1" si="93"/>
        <v>0</v>
      </c>
      <c r="BQ44" s="149">
        <f t="shared" ca="1" si="71"/>
        <v>0</v>
      </c>
      <c r="BR44" s="150">
        <f t="shared" ca="1" si="54"/>
        <v>0</v>
      </c>
      <c r="BS44" s="150">
        <f t="shared" ca="1" si="72"/>
        <v>0</v>
      </c>
      <c r="BT44" s="151" t="str">
        <f t="shared" ca="1" si="94"/>
        <v/>
      </c>
      <c r="BU44" s="92"/>
      <c r="BV44" s="152">
        <f t="shared" ca="1" si="95"/>
        <v>0</v>
      </c>
      <c r="BW44" s="152">
        <f t="shared" ca="1" si="96"/>
        <v>0</v>
      </c>
      <c r="BX44" s="152">
        <f t="shared" ca="1" si="73"/>
        <v>0</v>
      </c>
      <c r="BY44" s="153">
        <f t="shared" ca="1" si="56"/>
        <v>0</v>
      </c>
      <c r="BZ44" s="153">
        <f t="shared" ca="1" si="74"/>
        <v>0</v>
      </c>
      <c r="CA44" s="154" t="str">
        <f t="shared" ca="1" si="97"/>
        <v/>
      </c>
      <c r="CB44" s="92"/>
      <c r="CC44" s="155">
        <f t="shared" ca="1" si="98"/>
        <v>0</v>
      </c>
      <c r="CD44" s="155">
        <f t="shared" ca="1" si="99"/>
        <v>0</v>
      </c>
      <c r="CE44" s="155">
        <f t="shared" ca="1" si="75"/>
        <v>0</v>
      </c>
      <c r="CF44" s="156">
        <f t="shared" ca="1" si="58"/>
        <v>0</v>
      </c>
      <c r="CG44" s="156">
        <f t="shared" ca="1" si="76"/>
        <v>0</v>
      </c>
      <c r="CH44" s="157" t="str">
        <f t="shared" ca="1" si="100"/>
        <v/>
      </c>
      <c r="CI44" s="92"/>
      <c r="CJ44" s="158">
        <f t="shared" ca="1" si="101"/>
        <v>0</v>
      </c>
      <c r="CK44" s="158">
        <f t="shared" ca="1" si="102"/>
        <v>0</v>
      </c>
      <c r="CL44" s="158">
        <f t="shared" ca="1" si="77"/>
        <v>0</v>
      </c>
      <c r="CM44" s="159">
        <f t="shared" ca="1" si="60"/>
        <v>0</v>
      </c>
      <c r="CN44" s="159">
        <f t="shared" ca="1" si="78"/>
        <v>0</v>
      </c>
      <c r="CO44" s="160" t="str">
        <f t="shared" ca="1" si="103"/>
        <v/>
      </c>
      <c r="CP44" s="92"/>
      <c r="CQ44" s="140">
        <v>41</v>
      </c>
      <c r="CR44" s="330">
        <v>0.18</v>
      </c>
      <c r="CS44" s="92">
        <f t="shared" si="62"/>
        <v>0</v>
      </c>
      <c r="CT44" s="335">
        <f t="shared" si="63"/>
        <v>0.18</v>
      </c>
      <c r="CU44" s="92">
        <f t="shared" si="64"/>
        <v>1</v>
      </c>
      <c r="CV44" s="348">
        <f t="shared" si="65"/>
        <v>1</v>
      </c>
      <c r="CW44" s="380">
        <f t="shared" si="104"/>
        <v>139.81</v>
      </c>
      <c r="CX44" s="380">
        <f t="shared" si="105"/>
        <v>68.569999999999993</v>
      </c>
      <c r="CY44" s="367">
        <f t="shared" si="106"/>
        <v>276.83</v>
      </c>
      <c r="CZ44" s="380">
        <f t="shared" si="28"/>
        <v>155.79</v>
      </c>
      <c r="DA44"/>
      <c r="DB44" s="391">
        <v>41</v>
      </c>
      <c r="DC44" s="59">
        <v>34508.26</v>
      </c>
      <c r="DD44" s="59">
        <v>51225.77</v>
      </c>
      <c r="DE44" s="59">
        <v>30631.46</v>
      </c>
      <c r="DF44" s="59">
        <v>45470.86</v>
      </c>
      <c r="DG44" s="59">
        <v>27121.61</v>
      </c>
      <c r="DH44" s="59">
        <v>40260.660000000003</v>
      </c>
      <c r="DI44" s="137">
        <v>126483.64</v>
      </c>
      <c r="DJ44" s="137">
        <v>136202.54999999999</v>
      </c>
      <c r="DK44" s="138">
        <v>93467.93</v>
      </c>
      <c r="DL44" s="138">
        <v>92475.72</v>
      </c>
      <c r="DM44" s="137">
        <v>61932.58</v>
      </c>
      <c r="DN44" s="137">
        <v>61957.97</v>
      </c>
      <c r="DP44" s="384" t="s">
        <v>169</v>
      </c>
      <c r="DQ44" s="387">
        <v>1059.32</v>
      </c>
      <c r="DR44" s="387">
        <v>1150.82</v>
      </c>
    </row>
    <row r="45" spans="1:122">
      <c r="A45" s="172">
        <v>9</v>
      </c>
      <c r="B45" s="173">
        <f ca="1">RESUMEN!J12</f>
        <v>0</v>
      </c>
      <c r="C45" s="173">
        <f ca="1">+RESUMEN!K12</f>
        <v>0</v>
      </c>
      <c r="D45" s="174">
        <f t="shared" ca="1" si="107"/>
        <v>0</v>
      </c>
      <c r="E45" s="165"/>
      <c r="F45" s="165"/>
      <c r="G45" s="165"/>
      <c r="H45" s="91"/>
      <c r="I45" s="91"/>
      <c r="J45" s="164">
        <v>42</v>
      </c>
      <c r="K45" s="59">
        <f t="shared" si="29"/>
        <v>36817.800000000003</v>
      </c>
      <c r="L45" s="59">
        <f t="shared" si="29"/>
        <v>57069.16</v>
      </c>
      <c r="M45" s="59">
        <f t="shared" si="29"/>
        <v>32681.54</v>
      </c>
      <c r="N45" s="59">
        <f t="shared" si="29"/>
        <v>50657.78</v>
      </c>
      <c r="O45" s="59">
        <f t="shared" si="29"/>
        <v>28936.78</v>
      </c>
      <c r="P45" s="59">
        <f t="shared" si="29"/>
        <v>44853.24</v>
      </c>
      <c r="Q45" s="136">
        <f t="shared" si="79"/>
        <v>131479.74</v>
      </c>
      <c r="R45" s="136">
        <f t="shared" si="80"/>
        <v>136216.5</v>
      </c>
      <c r="S45" s="136">
        <f t="shared" si="81"/>
        <v>94694.74</v>
      </c>
      <c r="T45" s="136">
        <f t="shared" si="82"/>
        <v>92484.44</v>
      </c>
      <c r="U45" s="136">
        <f t="shared" si="83"/>
        <v>64378.92</v>
      </c>
      <c r="V45" s="136">
        <f t="shared" si="84"/>
        <v>61964.94</v>
      </c>
      <c r="W45" s="92"/>
      <c r="X45" s="137">
        <f t="shared" si="30"/>
        <v>131479.74</v>
      </c>
      <c r="Y45" s="137">
        <f t="shared" si="30"/>
        <v>136216.5</v>
      </c>
      <c r="Z45" s="136">
        <f t="shared" si="31"/>
        <v>137133.36881999997</v>
      </c>
      <c r="AA45" s="136">
        <f t="shared" si="32"/>
        <v>142073.8095</v>
      </c>
      <c r="AB45" s="136">
        <f t="shared" si="33"/>
        <v>147257.3088</v>
      </c>
      <c r="AC45" s="136">
        <f t="shared" si="34"/>
        <v>152562.48000000001</v>
      </c>
      <c r="AD45" s="138">
        <f t="shared" si="35"/>
        <v>94694.74</v>
      </c>
      <c r="AE45" s="138">
        <f t="shared" si="35"/>
        <v>92484.44</v>
      </c>
      <c r="AF45" s="136">
        <f t="shared" si="36"/>
        <v>98766.613819999999</v>
      </c>
      <c r="AG45" s="136">
        <f t="shared" si="37"/>
        <v>96461.270919999995</v>
      </c>
      <c r="AH45" s="136">
        <f t="shared" si="38"/>
        <v>106058.10880000002</v>
      </c>
      <c r="AI45" s="136">
        <f t="shared" si="39"/>
        <v>103582.57280000001</v>
      </c>
      <c r="AJ45" s="137">
        <f t="shared" si="40"/>
        <v>64378.92</v>
      </c>
      <c r="AK45" s="137">
        <f t="shared" si="40"/>
        <v>61964.94</v>
      </c>
      <c r="AL45" s="136">
        <f t="shared" si="41"/>
        <v>67147.213559999989</v>
      </c>
      <c r="AM45" s="136">
        <f t="shared" si="42"/>
        <v>64629.432419999997</v>
      </c>
      <c r="AN45" s="136">
        <f t="shared" si="43"/>
        <v>72104.390400000004</v>
      </c>
      <c r="AO45" s="136">
        <f t="shared" si="44"/>
        <v>69400.732800000013</v>
      </c>
      <c r="AP45" s="92"/>
      <c r="AQ45" s="140">
        <v>42</v>
      </c>
      <c r="AR45" s="141">
        <f ca="1">+RESUMEN!F45</f>
        <v>0</v>
      </c>
      <c r="AS45" s="141">
        <f ca="1">+RESUMEN!G45</f>
        <v>0</v>
      </c>
      <c r="AT45" s="142">
        <f t="shared" ca="1" si="85"/>
        <v>0</v>
      </c>
      <c r="AU45" s="143">
        <f t="shared" si="45"/>
        <v>0</v>
      </c>
      <c r="AV45" s="143">
        <f t="shared" si="46"/>
        <v>0</v>
      </c>
      <c r="AW45" s="143">
        <f t="shared" si="47"/>
        <v>0</v>
      </c>
      <c r="AX45" s="143">
        <f t="shared" si="48"/>
        <v>0</v>
      </c>
      <c r="AY45" s="143">
        <f t="shared" ca="1" si="49"/>
        <v>0</v>
      </c>
      <c r="AZ45" s="142"/>
      <c r="BA45" s="143">
        <f t="shared" ca="1" si="86"/>
        <v>0</v>
      </c>
      <c r="BB45" s="143">
        <f t="shared" ca="1" si="87"/>
        <v>0</v>
      </c>
      <c r="BC45" s="143">
        <f t="shared" ca="1" si="67"/>
        <v>0</v>
      </c>
      <c r="BD45" s="145">
        <f t="shared" ca="1" si="50"/>
        <v>0</v>
      </c>
      <c r="BE45" s="145">
        <f t="shared" ca="1" si="68"/>
        <v>0</v>
      </c>
      <c r="BF45" s="146" t="str">
        <f t="shared" ca="1" si="88"/>
        <v/>
      </c>
      <c r="BG45" s="92"/>
      <c r="BH45" s="95">
        <f t="shared" ca="1" si="89"/>
        <v>0</v>
      </c>
      <c r="BI45" s="95">
        <f t="shared" ca="1" si="90"/>
        <v>0</v>
      </c>
      <c r="BJ45" s="95">
        <f t="shared" ca="1" si="69"/>
        <v>0</v>
      </c>
      <c r="BK45" s="147">
        <f t="shared" ca="1" si="52"/>
        <v>0</v>
      </c>
      <c r="BL45" s="147">
        <f t="shared" ca="1" si="70"/>
        <v>0</v>
      </c>
      <c r="BM45" s="148" t="str">
        <f t="shared" ca="1" si="91"/>
        <v/>
      </c>
      <c r="BN45" s="92"/>
      <c r="BO45" s="149">
        <f t="shared" ca="1" si="92"/>
        <v>0</v>
      </c>
      <c r="BP45" s="149">
        <f t="shared" ca="1" si="93"/>
        <v>0</v>
      </c>
      <c r="BQ45" s="149">
        <f t="shared" ca="1" si="71"/>
        <v>0</v>
      </c>
      <c r="BR45" s="150">
        <f t="shared" ca="1" si="54"/>
        <v>0</v>
      </c>
      <c r="BS45" s="150">
        <f t="shared" ca="1" si="72"/>
        <v>0</v>
      </c>
      <c r="BT45" s="151" t="str">
        <f t="shared" ca="1" si="94"/>
        <v/>
      </c>
      <c r="BU45" s="92"/>
      <c r="BV45" s="152">
        <f t="shared" ca="1" si="95"/>
        <v>0</v>
      </c>
      <c r="BW45" s="152">
        <f t="shared" ca="1" si="96"/>
        <v>0</v>
      </c>
      <c r="BX45" s="152">
        <f t="shared" ca="1" si="73"/>
        <v>0</v>
      </c>
      <c r="BY45" s="153">
        <f t="shared" ca="1" si="56"/>
        <v>0</v>
      </c>
      <c r="BZ45" s="153">
        <f t="shared" ca="1" si="74"/>
        <v>0</v>
      </c>
      <c r="CA45" s="154" t="str">
        <f t="shared" ca="1" si="97"/>
        <v/>
      </c>
      <c r="CB45" s="92"/>
      <c r="CC45" s="155">
        <f t="shared" ca="1" si="98"/>
        <v>0</v>
      </c>
      <c r="CD45" s="155">
        <f t="shared" ca="1" si="99"/>
        <v>0</v>
      </c>
      <c r="CE45" s="155">
        <f t="shared" ca="1" si="75"/>
        <v>0</v>
      </c>
      <c r="CF45" s="156">
        <f t="shared" ca="1" si="58"/>
        <v>0</v>
      </c>
      <c r="CG45" s="156">
        <f t="shared" ca="1" si="76"/>
        <v>0</v>
      </c>
      <c r="CH45" s="157" t="str">
        <f t="shared" ca="1" si="100"/>
        <v/>
      </c>
      <c r="CI45" s="92"/>
      <c r="CJ45" s="158">
        <f t="shared" ca="1" si="101"/>
        <v>0</v>
      </c>
      <c r="CK45" s="158">
        <f t="shared" ca="1" si="102"/>
        <v>0</v>
      </c>
      <c r="CL45" s="158">
        <f t="shared" ca="1" si="77"/>
        <v>0</v>
      </c>
      <c r="CM45" s="159">
        <f t="shared" ca="1" si="60"/>
        <v>0</v>
      </c>
      <c r="CN45" s="159">
        <f t="shared" ca="1" si="78"/>
        <v>0</v>
      </c>
      <c r="CO45" s="160" t="str">
        <f t="shared" ca="1" si="103"/>
        <v/>
      </c>
      <c r="CP45" s="92"/>
      <c r="CQ45" s="140">
        <v>42</v>
      </c>
      <c r="CR45" s="330">
        <v>0.18</v>
      </c>
      <c r="CS45" s="92">
        <f t="shared" si="62"/>
        <v>0</v>
      </c>
      <c r="CT45" s="335">
        <f t="shared" si="63"/>
        <v>0.18</v>
      </c>
      <c r="CU45" s="92">
        <f t="shared" si="64"/>
        <v>1</v>
      </c>
      <c r="CV45" s="348">
        <f t="shared" si="65"/>
        <v>1</v>
      </c>
      <c r="CW45" s="380">
        <f t="shared" si="104"/>
        <v>139.81</v>
      </c>
      <c r="CX45" s="380">
        <f t="shared" si="105"/>
        <v>68.569999999999993</v>
      </c>
      <c r="CY45" s="367">
        <f t="shared" si="106"/>
        <v>276.83</v>
      </c>
      <c r="CZ45" s="380">
        <f t="shared" si="28"/>
        <v>155.79</v>
      </c>
      <c r="DA45"/>
      <c r="DB45" s="391">
        <v>42</v>
      </c>
      <c r="DC45" s="59">
        <v>36817.800000000003</v>
      </c>
      <c r="DD45" s="59">
        <v>57069.16</v>
      </c>
      <c r="DE45" s="59">
        <v>32681.54</v>
      </c>
      <c r="DF45" s="59">
        <v>50657.78</v>
      </c>
      <c r="DG45" s="59">
        <v>28936.78</v>
      </c>
      <c r="DH45" s="59">
        <v>44853.24</v>
      </c>
      <c r="DI45" s="137">
        <v>131479.74</v>
      </c>
      <c r="DJ45" s="137">
        <v>136216.5</v>
      </c>
      <c r="DK45" s="138">
        <v>94694.74</v>
      </c>
      <c r="DL45" s="138">
        <v>92484.44</v>
      </c>
      <c r="DM45" s="137">
        <v>64378.92</v>
      </c>
      <c r="DN45" s="137">
        <v>61964.94</v>
      </c>
      <c r="DP45" s="384" t="s">
        <v>170</v>
      </c>
      <c r="DQ45" s="387">
        <v>1127.0899999999999</v>
      </c>
      <c r="DR45" s="387">
        <v>1233.96</v>
      </c>
    </row>
    <row r="46" spans="1:122">
      <c r="A46" s="172">
        <v>10</v>
      </c>
      <c r="B46" s="173">
        <f ca="1">RESUMEN!J13</f>
        <v>0</v>
      </c>
      <c r="C46" s="173">
        <f ca="1">+RESUMEN!K13</f>
        <v>0</v>
      </c>
      <c r="D46" s="174">
        <f t="shared" ca="1" si="107"/>
        <v>0</v>
      </c>
      <c r="E46" s="165"/>
      <c r="F46" s="165"/>
      <c r="G46" s="165"/>
      <c r="H46" s="165"/>
      <c r="I46" s="165"/>
      <c r="J46" s="164">
        <v>43</v>
      </c>
      <c r="K46" s="59">
        <f t="shared" si="29"/>
        <v>38581.5</v>
      </c>
      <c r="L46" s="59">
        <f t="shared" si="29"/>
        <v>59580.33</v>
      </c>
      <c r="M46" s="59">
        <f t="shared" si="29"/>
        <v>34247.1</v>
      </c>
      <c r="N46" s="59">
        <f t="shared" si="29"/>
        <v>52886.84</v>
      </c>
      <c r="O46" s="59">
        <f t="shared" si="29"/>
        <v>30322.95</v>
      </c>
      <c r="P46" s="59">
        <f t="shared" si="29"/>
        <v>46826.89</v>
      </c>
      <c r="Q46" s="136">
        <f t="shared" si="79"/>
        <v>134069.89000000001</v>
      </c>
      <c r="R46" s="136">
        <f t="shared" si="80"/>
        <v>136230.45000000001</v>
      </c>
      <c r="S46" s="136">
        <f t="shared" si="81"/>
        <v>98123.8</v>
      </c>
      <c r="T46" s="136">
        <f t="shared" si="82"/>
        <v>92493.16</v>
      </c>
      <c r="U46" s="136">
        <f t="shared" si="83"/>
        <v>69372.490000000005</v>
      </c>
      <c r="V46" s="136">
        <f t="shared" si="84"/>
        <v>63309.39</v>
      </c>
      <c r="W46" s="92"/>
      <c r="X46" s="137">
        <f t="shared" si="30"/>
        <v>134069.89000000001</v>
      </c>
      <c r="Y46" s="137">
        <f t="shared" si="30"/>
        <v>136230.45000000001</v>
      </c>
      <c r="Z46" s="136">
        <f t="shared" si="31"/>
        <v>139834.89527000001</v>
      </c>
      <c r="AA46" s="136">
        <f t="shared" si="32"/>
        <v>142088.35935000001</v>
      </c>
      <c r="AB46" s="136">
        <f t="shared" si="33"/>
        <v>150158.27680000002</v>
      </c>
      <c r="AC46" s="136">
        <f t="shared" si="34"/>
        <v>152578.10400000002</v>
      </c>
      <c r="AD46" s="138">
        <f t="shared" si="35"/>
        <v>98123.8</v>
      </c>
      <c r="AE46" s="138">
        <f t="shared" si="35"/>
        <v>92493.16</v>
      </c>
      <c r="AF46" s="136">
        <f t="shared" si="36"/>
        <v>102343.1234</v>
      </c>
      <c r="AG46" s="136">
        <f t="shared" si="37"/>
        <v>96470.365879999998</v>
      </c>
      <c r="AH46" s="136">
        <f t="shared" si="38"/>
        <v>109898.65600000002</v>
      </c>
      <c r="AI46" s="136">
        <f t="shared" si="39"/>
        <v>103592.33920000002</v>
      </c>
      <c r="AJ46" s="137">
        <f t="shared" si="40"/>
        <v>69372.490000000005</v>
      </c>
      <c r="AK46" s="137">
        <f t="shared" si="40"/>
        <v>63309.39</v>
      </c>
      <c r="AL46" s="136">
        <f t="shared" si="41"/>
        <v>72355.507070000007</v>
      </c>
      <c r="AM46" s="136">
        <f t="shared" si="42"/>
        <v>66031.693769999998</v>
      </c>
      <c r="AN46" s="136">
        <f t="shared" si="43"/>
        <v>77697.188800000018</v>
      </c>
      <c r="AO46" s="136">
        <f t="shared" si="44"/>
        <v>70906.516800000012</v>
      </c>
      <c r="AP46" s="92"/>
      <c r="AQ46" s="140">
        <v>43</v>
      </c>
      <c r="AR46" s="141">
        <f ca="1">+RESUMEN!F46</f>
        <v>0</v>
      </c>
      <c r="AS46" s="141">
        <f ca="1">+RESUMEN!G46</f>
        <v>0</v>
      </c>
      <c r="AT46" s="142">
        <f t="shared" ca="1" si="85"/>
        <v>0</v>
      </c>
      <c r="AU46" s="143">
        <f t="shared" si="45"/>
        <v>0</v>
      </c>
      <c r="AV46" s="143">
        <f t="shared" si="46"/>
        <v>0</v>
      </c>
      <c r="AW46" s="143">
        <f t="shared" si="47"/>
        <v>0</v>
      </c>
      <c r="AX46" s="143">
        <f t="shared" si="48"/>
        <v>0</v>
      </c>
      <c r="AY46" s="143">
        <f t="shared" ca="1" si="49"/>
        <v>0</v>
      </c>
      <c r="AZ46" s="142"/>
      <c r="BA46" s="143">
        <f t="shared" ca="1" si="86"/>
        <v>0</v>
      </c>
      <c r="BB46" s="143">
        <f t="shared" ca="1" si="87"/>
        <v>0</v>
      </c>
      <c r="BC46" s="143">
        <f t="shared" ca="1" si="67"/>
        <v>0</v>
      </c>
      <c r="BD46" s="145">
        <f t="shared" ca="1" si="50"/>
        <v>0</v>
      </c>
      <c r="BE46" s="145">
        <f t="shared" ca="1" si="68"/>
        <v>0</v>
      </c>
      <c r="BF46" s="146" t="str">
        <f t="shared" ca="1" si="88"/>
        <v/>
      </c>
      <c r="BG46" s="92"/>
      <c r="BH46" s="95">
        <f t="shared" ca="1" si="89"/>
        <v>0</v>
      </c>
      <c r="BI46" s="95">
        <f t="shared" ca="1" si="90"/>
        <v>0</v>
      </c>
      <c r="BJ46" s="95">
        <f t="shared" ca="1" si="69"/>
        <v>0</v>
      </c>
      <c r="BK46" s="147">
        <f t="shared" ca="1" si="52"/>
        <v>0</v>
      </c>
      <c r="BL46" s="147">
        <f t="shared" ca="1" si="70"/>
        <v>0</v>
      </c>
      <c r="BM46" s="148" t="str">
        <f t="shared" ca="1" si="91"/>
        <v/>
      </c>
      <c r="BN46" s="92"/>
      <c r="BO46" s="149">
        <f t="shared" ca="1" si="92"/>
        <v>0</v>
      </c>
      <c r="BP46" s="149">
        <f t="shared" ca="1" si="93"/>
        <v>0</v>
      </c>
      <c r="BQ46" s="149">
        <f t="shared" ca="1" si="71"/>
        <v>0</v>
      </c>
      <c r="BR46" s="150">
        <f t="shared" ca="1" si="54"/>
        <v>0</v>
      </c>
      <c r="BS46" s="150">
        <f t="shared" ca="1" si="72"/>
        <v>0</v>
      </c>
      <c r="BT46" s="151" t="str">
        <f t="shared" ca="1" si="94"/>
        <v/>
      </c>
      <c r="BU46" s="92"/>
      <c r="BV46" s="152">
        <f t="shared" ca="1" si="95"/>
        <v>0</v>
      </c>
      <c r="BW46" s="152">
        <f t="shared" ca="1" si="96"/>
        <v>0</v>
      </c>
      <c r="BX46" s="152">
        <f t="shared" ca="1" si="73"/>
        <v>0</v>
      </c>
      <c r="BY46" s="153">
        <f t="shared" ca="1" si="56"/>
        <v>0</v>
      </c>
      <c r="BZ46" s="153">
        <f t="shared" ca="1" si="74"/>
        <v>0</v>
      </c>
      <c r="CA46" s="154" t="str">
        <f t="shared" ca="1" si="97"/>
        <v/>
      </c>
      <c r="CB46" s="92"/>
      <c r="CC46" s="155">
        <f t="shared" ca="1" si="98"/>
        <v>0</v>
      </c>
      <c r="CD46" s="155">
        <f t="shared" ca="1" si="99"/>
        <v>0</v>
      </c>
      <c r="CE46" s="155">
        <f t="shared" ca="1" si="75"/>
        <v>0</v>
      </c>
      <c r="CF46" s="156">
        <f t="shared" ca="1" si="58"/>
        <v>0</v>
      </c>
      <c r="CG46" s="156">
        <f t="shared" ca="1" si="76"/>
        <v>0</v>
      </c>
      <c r="CH46" s="157" t="str">
        <f t="shared" ca="1" si="100"/>
        <v/>
      </c>
      <c r="CI46" s="92"/>
      <c r="CJ46" s="158">
        <f t="shared" ca="1" si="101"/>
        <v>0</v>
      </c>
      <c r="CK46" s="158">
        <f t="shared" ca="1" si="102"/>
        <v>0</v>
      </c>
      <c r="CL46" s="158">
        <f t="shared" ca="1" si="77"/>
        <v>0</v>
      </c>
      <c r="CM46" s="159">
        <f t="shared" ca="1" si="60"/>
        <v>0</v>
      </c>
      <c r="CN46" s="159">
        <f t="shared" ca="1" si="78"/>
        <v>0</v>
      </c>
      <c r="CO46" s="160" t="str">
        <f t="shared" ca="1" si="103"/>
        <v/>
      </c>
      <c r="CP46" s="92"/>
      <c r="CQ46" s="140">
        <v>43</v>
      </c>
      <c r="CR46" s="330">
        <v>0.18</v>
      </c>
      <c r="CS46" s="92">
        <f t="shared" si="62"/>
        <v>0</v>
      </c>
      <c r="CT46" s="335">
        <f t="shared" si="63"/>
        <v>0.18</v>
      </c>
      <c r="CU46" s="92">
        <f t="shared" si="64"/>
        <v>1</v>
      </c>
      <c r="CV46" s="348">
        <f t="shared" si="65"/>
        <v>1</v>
      </c>
      <c r="CW46" s="380">
        <f t="shared" si="104"/>
        <v>139.81</v>
      </c>
      <c r="CX46" s="380">
        <f t="shared" si="105"/>
        <v>68.569999999999993</v>
      </c>
      <c r="CY46" s="367">
        <f t="shared" si="106"/>
        <v>276.83</v>
      </c>
      <c r="CZ46" s="380">
        <f t="shared" si="28"/>
        <v>155.79</v>
      </c>
      <c r="DA46"/>
      <c r="DB46" s="391">
        <v>43</v>
      </c>
      <c r="DC46" s="59">
        <v>38581.5</v>
      </c>
      <c r="DD46" s="59">
        <v>59580.33</v>
      </c>
      <c r="DE46" s="59">
        <v>34247.1</v>
      </c>
      <c r="DF46" s="59">
        <v>52886.84</v>
      </c>
      <c r="DG46" s="59">
        <v>30322.95</v>
      </c>
      <c r="DH46" s="59">
        <v>46826.89</v>
      </c>
      <c r="DI46" s="137">
        <v>134069.89000000001</v>
      </c>
      <c r="DJ46" s="137">
        <v>136230.45000000001</v>
      </c>
      <c r="DK46" s="138">
        <v>98123.8</v>
      </c>
      <c r="DL46" s="138">
        <v>92493.16</v>
      </c>
      <c r="DM46" s="137">
        <v>69372.490000000005</v>
      </c>
      <c r="DN46" s="137">
        <v>63309.39</v>
      </c>
      <c r="DP46" s="384" t="s">
        <v>171</v>
      </c>
      <c r="DQ46" s="386">
        <v>1194.8599999999999</v>
      </c>
      <c r="DR46" s="386">
        <v>1317.11</v>
      </c>
    </row>
    <row r="47" spans="1:122">
      <c r="A47" s="172">
        <v>11</v>
      </c>
      <c r="B47" s="173">
        <f ca="1">RESUMEN!J14</f>
        <v>0</v>
      </c>
      <c r="C47" s="173">
        <f ca="1">+RESUMEN!K14</f>
        <v>0</v>
      </c>
      <c r="D47" s="174">
        <f t="shared" ca="1" si="107"/>
        <v>0</v>
      </c>
      <c r="E47" s="165"/>
      <c r="F47" s="165"/>
      <c r="G47" s="165"/>
      <c r="H47" s="165"/>
      <c r="I47" s="165"/>
      <c r="J47" s="164">
        <v>44</v>
      </c>
      <c r="K47" s="59">
        <f t="shared" si="29"/>
        <v>40156.300000000003</v>
      </c>
      <c r="L47" s="59">
        <f t="shared" si="29"/>
        <v>59883.75</v>
      </c>
      <c r="M47" s="59">
        <f t="shared" si="29"/>
        <v>35644.980000000003</v>
      </c>
      <c r="N47" s="59">
        <f t="shared" si="29"/>
        <v>53156.17</v>
      </c>
      <c r="O47" s="59">
        <f t="shared" si="29"/>
        <v>31560.66</v>
      </c>
      <c r="P47" s="59">
        <f t="shared" si="29"/>
        <v>47065.36</v>
      </c>
      <c r="Q47" s="136">
        <f t="shared" si="79"/>
        <v>143430.49</v>
      </c>
      <c r="R47" s="136">
        <f t="shared" si="80"/>
        <v>136807.70000000001</v>
      </c>
      <c r="S47" s="136">
        <f t="shared" si="81"/>
        <v>100791.77</v>
      </c>
      <c r="T47" s="136">
        <f t="shared" si="82"/>
        <v>92501.88</v>
      </c>
      <c r="U47" s="136">
        <f t="shared" si="83"/>
        <v>69982.81</v>
      </c>
      <c r="V47" s="136">
        <f t="shared" si="84"/>
        <v>63577.65</v>
      </c>
      <c r="W47" s="92"/>
      <c r="X47" s="137">
        <f t="shared" si="30"/>
        <v>143430.49</v>
      </c>
      <c r="Y47" s="137">
        <f t="shared" si="30"/>
        <v>136807.70000000001</v>
      </c>
      <c r="Z47" s="136">
        <f t="shared" si="31"/>
        <v>149598.00106999997</v>
      </c>
      <c r="AA47" s="136">
        <f t="shared" si="32"/>
        <v>142690.43110000002</v>
      </c>
      <c r="AB47" s="136">
        <f t="shared" si="33"/>
        <v>160642.1488</v>
      </c>
      <c r="AC47" s="136">
        <f t="shared" si="34"/>
        <v>153224.62400000004</v>
      </c>
      <c r="AD47" s="138">
        <f t="shared" si="35"/>
        <v>100791.77</v>
      </c>
      <c r="AE47" s="138">
        <f t="shared" si="35"/>
        <v>92501.88</v>
      </c>
      <c r="AF47" s="136">
        <f t="shared" si="36"/>
        <v>105125.81611</v>
      </c>
      <c r="AG47" s="136">
        <f t="shared" si="37"/>
        <v>96479.46084</v>
      </c>
      <c r="AH47" s="136">
        <f t="shared" si="38"/>
        <v>112886.78240000001</v>
      </c>
      <c r="AI47" s="136">
        <f t="shared" si="39"/>
        <v>103602.10560000001</v>
      </c>
      <c r="AJ47" s="137">
        <f t="shared" si="40"/>
        <v>69982.81</v>
      </c>
      <c r="AK47" s="137">
        <f t="shared" si="40"/>
        <v>63577.65</v>
      </c>
      <c r="AL47" s="136">
        <f t="shared" si="41"/>
        <v>72992.070829999997</v>
      </c>
      <c r="AM47" s="136">
        <f t="shared" si="42"/>
        <v>66311.488949999999</v>
      </c>
      <c r="AN47" s="136">
        <f t="shared" si="43"/>
        <v>78380.747199999998</v>
      </c>
      <c r="AO47" s="136">
        <f t="shared" si="44"/>
        <v>71206.968000000008</v>
      </c>
      <c r="AP47" s="92"/>
      <c r="AQ47" s="140">
        <v>44</v>
      </c>
      <c r="AR47" s="141">
        <f ca="1">+RESUMEN!F47</f>
        <v>0</v>
      </c>
      <c r="AS47" s="141">
        <f ca="1">+RESUMEN!G47</f>
        <v>0</v>
      </c>
      <c r="AT47" s="142">
        <f t="shared" ca="1" si="85"/>
        <v>0</v>
      </c>
      <c r="AU47" s="143">
        <f t="shared" si="45"/>
        <v>0</v>
      </c>
      <c r="AV47" s="143">
        <f t="shared" si="46"/>
        <v>0</v>
      </c>
      <c r="AW47" s="143">
        <f t="shared" si="47"/>
        <v>0</v>
      </c>
      <c r="AX47" s="143">
        <f t="shared" si="48"/>
        <v>0</v>
      </c>
      <c r="AY47" s="143">
        <f t="shared" ca="1" si="49"/>
        <v>0</v>
      </c>
      <c r="AZ47" s="142"/>
      <c r="BA47" s="143">
        <f t="shared" ca="1" si="86"/>
        <v>0</v>
      </c>
      <c r="BB47" s="143">
        <f t="shared" ca="1" si="87"/>
        <v>0</v>
      </c>
      <c r="BC47" s="143">
        <f t="shared" ca="1" si="67"/>
        <v>0</v>
      </c>
      <c r="BD47" s="145">
        <f t="shared" ca="1" si="50"/>
        <v>0</v>
      </c>
      <c r="BE47" s="145">
        <f t="shared" ca="1" si="68"/>
        <v>0</v>
      </c>
      <c r="BF47" s="146" t="str">
        <f t="shared" ca="1" si="88"/>
        <v/>
      </c>
      <c r="BG47" s="92"/>
      <c r="BH47" s="95">
        <f t="shared" ca="1" si="89"/>
        <v>0</v>
      </c>
      <c r="BI47" s="95">
        <f t="shared" ca="1" si="90"/>
        <v>0</v>
      </c>
      <c r="BJ47" s="95">
        <f t="shared" ca="1" si="69"/>
        <v>0</v>
      </c>
      <c r="BK47" s="147">
        <f t="shared" ca="1" si="52"/>
        <v>0</v>
      </c>
      <c r="BL47" s="147">
        <f t="shared" ca="1" si="70"/>
        <v>0</v>
      </c>
      <c r="BM47" s="148" t="str">
        <f t="shared" ca="1" si="91"/>
        <v/>
      </c>
      <c r="BN47" s="92"/>
      <c r="BO47" s="149">
        <f t="shared" ca="1" si="92"/>
        <v>0</v>
      </c>
      <c r="BP47" s="149">
        <f t="shared" ca="1" si="93"/>
        <v>0</v>
      </c>
      <c r="BQ47" s="149">
        <f t="shared" ca="1" si="71"/>
        <v>0</v>
      </c>
      <c r="BR47" s="150">
        <f t="shared" ca="1" si="54"/>
        <v>0</v>
      </c>
      <c r="BS47" s="150">
        <f t="shared" ca="1" si="72"/>
        <v>0</v>
      </c>
      <c r="BT47" s="151" t="str">
        <f t="shared" ca="1" si="94"/>
        <v/>
      </c>
      <c r="BU47" s="92"/>
      <c r="BV47" s="152">
        <f t="shared" ca="1" si="95"/>
        <v>0</v>
      </c>
      <c r="BW47" s="152">
        <f t="shared" ca="1" si="96"/>
        <v>0</v>
      </c>
      <c r="BX47" s="152">
        <f t="shared" ca="1" si="73"/>
        <v>0</v>
      </c>
      <c r="BY47" s="153">
        <f t="shared" ca="1" si="56"/>
        <v>0</v>
      </c>
      <c r="BZ47" s="153">
        <f t="shared" ca="1" si="74"/>
        <v>0</v>
      </c>
      <c r="CA47" s="154" t="str">
        <f t="shared" ca="1" si="97"/>
        <v/>
      </c>
      <c r="CB47" s="92"/>
      <c r="CC47" s="155">
        <f t="shared" ca="1" si="98"/>
        <v>0</v>
      </c>
      <c r="CD47" s="155">
        <f t="shared" ca="1" si="99"/>
        <v>0</v>
      </c>
      <c r="CE47" s="155">
        <f t="shared" ca="1" si="75"/>
        <v>0</v>
      </c>
      <c r="CF47" s="156">
        <f t="shared" ca="1" si="58"/>
        <v>0</v>
      </c>
      <c r="CG47" s="156">
        <f t="shared" ca="1" si="76"/>
        <v>0</v>
      </c>
      <c r="CH47" s="157" t="str">
        <f t="shared" ca="1" si="100"/>
        <v/>
      </c>
      <c r="CI47" s="92"/>
      <c r="CJ47" s="158">
        <f t="shared" ca="1" si="101"/>
        <v>0</v>
      </c>
      <c r="CK47" s="158">
        <f t="shared" ca="1" si="102"/>
        <v>0</v>
      </c>
      <c r="CL47" s="158">
        <f t="shared" ca="1" si="77"/>
        <v>0</v>
      </c>
      <c r="CM47" s="159">
        <f t="shared" ca="1" si="60"/>
        <v>0</v>
      </c>
      <c r="CN47" s="159">
        <f t="shared" ca="1" si="78"/>
        <v>0</v>
      </c>
      <c r="CO47" s="160" t="str">
        <f t="shared" ca="1" si="103"/>
        <v/>
      </c>
      <c r="CP47" s="92"/>
      <c r="CQ47" s="140">
        <v>44</v>
      </c>
      <c r="CR47" s="330">
        <v>0.18</v>
      </c>
      <c r="CS47" s="92">
        <f t="shared" si="62"/>
        <v>0</v>
      </c>
      <c r="CT47" s="335">
        <f t="shared" si="63"/>
        <v>0.18</v>
      </c>
      <c r="CU47" s="92">
        <f t="shared" si="64"/>
        <v>1</v>
      </c>
      <c r="CV47" s="348">
        <f t="shared" si="65"/>
        <v>1</v>
      </c>
      <c r="CW47" s="380">
        <f t="shared" si="104"/>
        <v>139.81</v>
      </c>
      <c r="CX47" s="380">
        <f t="shared" si="105"/>
        <v>68.569999999999993</v>
      </c>
      <c r="CY47" s="367">
        <f t="shared" si="106"/>
        <v>276.83</v>
      </c>
      <c r="CZ47" s="380">
        <f t="shared" si="28"/>
        <v>155.79</v>
      </c>
      <c r="DA47"/>
      <c r="DB47" s="391">
        <v>44</v>
      </c>
      <c r="DC47" s="59">
        <v>40156.300000000003</v>
      </c>
      <c r="DD47" s="59">
        <v>59883.75</v>
      </c>
      <c r="DE47" s="59">
        <v>35644.980000000003</v>
      </c>
      <c r="DF47" s="59">
        <v>53156.17</v>
      </c>
      <c r="DG47" s="59">
        <v>31560.66</v>
      </c>
      <c r="DH47" s="59">
        <v>47065.36</v>
      </c>
      <c r="DI47" s="137">
        <v>143430.49</v>
      </c>
      <c r="DJ47" s="137">
        <v>136807.70000000001</v>
      </c>
      <c r="DK47" s="138">
        <v>100791.77</v>
      </c>
      <c r="DL47" s="138">
        <v>92501.88</v>
      </c>
      <c r="DM47" s="137">
        <v>69982.81</v>
      </c>
      <c r="DN47" s="137">
        <v>63577.65</v>
      </c>
      <c r="DP47" s="384" t="s">
        <v>172</v>
      </c>
      <c r="DQ47" s="389">
        <v>1262.6199999999999</v>
      </c>
      <c r="DR47" s="389">
        <v>1400.25</v>
      </c>
    </row>
    <row r="48" spans="1:122">
      <c r="A48" s="172">
        <v>12</v>
      </c>
      <c r="B48" s="173">
        <f ca="1">RESUMEN!J15</f>
        <v>0</v>
      </c>
      <c r="C48" s="173">
        <f ca="1">+RESUMEN!K15</f>
        <v>0</v>
      </c>
      <c r="D48" s="174">
        <f t="shared" ca="1" si="107"/>
        <v>0</v>
      </c>
      <c r="E48" s="165"/>
      <c r="F48" s="165"/>
      <c r="G48" s="165"/>
      <c r="H48" s="165"/>
      <c r="I48" s="165"/>
      <c r="J48" s="164">
        <v>45</v>
      </c>
      <c r="K48" s="59">
        <f t="shared" si="29"/>
        <v>40823.699999999997</v>
      </c>
      <c r="L48" s="59">
        <f t="shared" si="29"/>
        <v>60704.23</v>
      </c>
      <c r="M48" s="59">
        <f t="shared" si="29"/>
        <v>36237.410000000003</v>
      </c>
      <c r="N48" s="59">
        <f t="shared" si="29"/>
        <v>53884.480000000003</v>
      </c>
      <c r="O48" s="59">
        <f t="shared" si="29"/>
        <v>32085.200000000001</v>
      </c>
      <c r="P48" s="59">
        <f t="shared" si="29"/>
        <v>47710.22</v>
      </c>
      <c r="Q48" s="136">
        <f t="shared" si="79"/>
        <v>144836.10999999999</v>
      </c>
      <c r="R48" s="136">
        <f t="shared" si="80"/>
        <v>137471.22</v>
      </c>
      <c r="S48" s="136">
        <f t="shared" si="81"/>
        <v>103717.82</v>
      </c>
      <c r="T48" s="136">
        <f t="shared" si="82"/>
        <v>92512.34</v>
      </c>
      <c r="U48" s="136">
        <f t="shared" si="83"/>
        <v>70575.88</v>
      </c>
      <c r="V48" s="136">
        <f t="shared" si="84"/>
        <v>65663.48</v>
      </c>
      <c r="W48" s="92"/>
      <c r="X48" s="137">
        <f t="shared" si="30"/>
        <v>144836.10999999999</v>
      </c>
      <c r="Y48" s="137">
        <f t="shared" si="30"/>
        <v>137471.22</v>
      </c>
      <c r="Z48" s="136">
        <f t="shared" si="31"/>
        <v>151064.06272999998</v>
      </c>
      <c r="AA48" s="136">
        <f t="shared" si="32"/>
        <v>143382.48246</v>
      </c>
      <c r="AB48" s="136">
        <f t="shared" si="33"/>
        <v>162216.44320000001</v>
      </c>
      <c r="AC48" s="136">
        <f t="shared" si="34"/>
        <v>153967.76640000002</v>
      </c>
      <c r="AD48" s="138">
        <f t="shared" si="35"/>
        <v>103717.82</v>
      </c>
      <c r="AE48" s="138">
        <f t="shared" si="35"/>
        <v>92512.34</v>
      </c>
      <c r="AF48" s="136">
        <f t="shared" si="36"/>
        <v>108177.68626</v>
      </c>
      <c r="AG48" s="136">
        <f t="shared" si="37"/>
        <v>96490.370619999987</v>
      </c>
      <c r="AH48" s="136">
        <f t="shared" si="38"/>
        <v>116163.95840000002</v>
      </c>
      <c r="AI48" s="136">
        <f t="shared" si="39"/>
        <v>103613.8208</v>
      </c>
      <c r="AJ48" s="137">
        <f t="shared" si="40"/>
        <v>70575.88</v>
      </c>
      <c r="AK48" s="137">
        <f t="shared" si="40"/>
        <v>65663.48</v>
      </c>
      <c r="AL48" s="136">
        <f t="shared" si="41"/>
        <v>73610.64284</v>
      </c>
      <c r="AM48" s="136">
        <f t="shared" si="42"/>
        <v>68487.009639999989</v>
      </c>
      <c r="AN48" s="136">
        <f t="shared" si="43"/>
        <v>79044.985600000015</v>
      </c>
      <c r="AO48" s="136">
        <f t="shared" si="44"/>
        <v>73543.097600000008</v>
      </c>
      <c r="AP48" s="92"/>
      <c r="AQ48" s="140">
        <v>45</v>
      </c>
      <c r="AR48" s="141">
        <f ca="1">+RESUMEN!F48</f>
        <v>0</v>
      </c>
      <c r="AS48" s="141">
        <f ca="1">+RESUMEN!G48</f>
        <v>0</v>
      </c>
      <c r="AT48" s="142">
        <f t="shared" ca="1" si="85"/>
        <v>0</v>
      </c>
      <c r="AU48" s="143">
        <f t="shared" si="45"/>
        <v>0</v>
      </c>
      <c r="AV48" s="143">
        <f t="shared" si="46"/>
        <v>0</v>
      </c>
      <c r="AW48" s="143">
        <f t="shared" si="47"/>
        <v>0</v>
      </c>
      <c r="AX48" s="143">
        <f t="shared" si="48"/>
        <v>0</v>
      </c>
      <c r="AY48" s="143">
        <f t="shared" ca="1" si="49"/>
        <v>0</v>
      </c>
      <c r="AZ48" s="142"/>
      <c r="BA48" s="143">
        <f t="shared" ca="1" si="86"/>
        <v>0</v>
      </c>
      <c r="BB48" s="143">
        <f t="shared" ca="1" si="87"/>
        <v>0</v>
      </c>
      <c r="BC48" s="144"/>
      <c r="BD48" s="145">
        <f t="shared" ca="1" si="50"/>
        <v>0</v>
      </c>
      <c r="BE48" s="145">
        <f t="shared" ref="BE48:BE103" ca="1" si="108">(($BB48*$AS48*CV48)+($AU48*$C187)+($AV48*$C81)+($AX48*$AS48)+($AS48*$AY48))*CU48</f>
        <v>0</v>
      </c>
      <c r="BF48" s="146" t="str">
        <f t="shared" ca="1" si="88"/>
        <v/>
      </c>
      <c r="BG48" s="92"/>
      <c r="BH48" s="95">
        <f t="shared" ca="1" si="89"/>
        <v>0</v>
      </c>
      <c r="BI48" s="95">
        <f t="shared" ca="1" si="90"/>
        <v>0</v>
      </c>
      <c r="BJ48" s="144"/>
      <c r="BK48" s="147">
        <f t="shared" ca="1" si="52"/>
        <v>0</v>
      </c>
      <c r="BL48" s="147">
        <f ca="1">(($BI48*$AS48*CV48)+($AU48*$C187)+($AV48*$C81)+($AX48*$AS48)+($AS48*$AY48))*CU48</f>
        <v>0</v>
      </c>
      <c r="BM48" s="148" t="str">
        <f t="shared" ca="1" si="91"/>
        <v/>
      </c>
      <c r="BN48" s="92"/>
      <c r="BO48" s="149">
        <f t="shared" ca="1" si="92"/>
        <v>0</v>
      </c>
      <c r="BP48" s="149">
        <f t="shared" ca="1" si="93"/>
        <v>0</v>
      </c>
      <c r="BQ48" s="144"/>
      <c r="BR48" s="150">
        <f t="shared" ca="1" si="54"/>
        <v>0</v>
      </c>
      <c r="BS48" s="150">
        <f t="shared" ref="BS48:BS103" ca="1" si="109">(($BP48*$AS48*CV48)+($AU48*$C187)+($AV48*$C81)+($AX48*$AS48)+($AS48*$AY48))*CU48</f>
        <v>0</v>
      </c>
      <c r="BT48" s="151" t="str">
        <f t="shared" ca="1" si="94"/>
        <v/>
      </c>
      <c r="BU48" s="92"/>
      <c r="BV48" s="152">
        <f t="shared" ca="1" si="95"/>
        <v>0</v>
      </c>
      <c r="BW48" s="152">
        <f t="shared" ca="1" si="96"/>
        <v>0</v>
      </c>
      <c r="BX48" s="144"/>
      <c r="BY48" s="153">
        <f t="shared" ca="1" si="56"/>
        <v>0</v>
      </c>
      <c r="BZ48" s="153">
        <f ca="1">(($BW48*$AS48*CV48)+($AU48*$C187)+($AV48*$C81)+($AS48*$AY48))*CU48</f>
        <v>0</v>
      </c>
      <c r="CA48" s="154" t="str">
        <f t="shared" ca="1" si="97"/>
        <v/>
      </c>
      <c r="CB48" s="92"/>
      <c r="CC48" s="155">
        <f t="shared" ca="1" si="98"/>
        <v>0</v>
      </c>
      <c r="CD48" s="155">
        <f t="shared" ca="1" si="99"/>
        <v>0</v>
      </c>
      <c r="CE48" s="144"/>
      <c r="CF48" s="156">
        <f t="shared" ca="1" si="58"/>
        <v>0</v>
      </c>
      <c r="CG48" s="156">
        <f ca="1">(($CD48*$AS48*CV48)+($AU48*$C187)+($AV48*$C81)+($AS48*$AY48))*CU48</f>
        <v>0</v>
      </c>
      <c r="CH48" s="157" t="str">
        <f t="shared" ca="1" si="100"/>
        <v/>
      </c>
      <c r="CI48" s="92"/>
      <c r="CJ48" s="158">
        <f t="shared" ca="1" si="101"/>
        <v>0</v>
      </c>
      <c r="CK48" s="158">
        <f t="shared" ca="1" si="102"/>
        <v>0</v>
      </c>
      <c r="CL48" s="144"/>
      <c r="CM48" s="159">
        <f t="shared" ca="1" si="60"/>
        <v>0</v>
      </c>
      <c r="CN48" s="159">
        <f ca="1">(($CK48*$AS48*CV48)+($AU48*$C187)+($AV48*$C81)+($AS48*$AY48))*CU48</f>
        <v>0</v>
      </c>
      <c r="CO48" s="160" t="str">
        <f t="shared" ca="1" si="103"/>
        <v/>
      </c>
      <c r="CP48" s="92"/>
      <c r="CQ48" s="140">
        <v>45</v>
      </c>
      <c r="CR48" s="330">
        <v>0.18</v>
      </c>
      <c r="CS48" s="92">
        <f t="shared" si="62"/>
        <v>0</v>
      </c>
      <c r="CT48" s="335">
        <f t="shared" si="63"/>
        <v>0.18</v>
      </c>
      <c r="CU48" s="92">
        <f t="shared" si="64"/>
        <v>1</v>
      </c>
      <c r="CV48" s="348">
        <f t="shared" si="65"/>
        <v>1</v>
      </c>
      <c r="CW48" s="380">
        <f t="shared" si="104"/>
        <v>139.81</v>
      </c>
      <c r="CX48" s="380">
        <f t="shared" si="105"/>
        <v>68.569999999999993</v>
      </c>
      <c r="CY48" s="367">
        <f t="shared" si="106"/>
        <v>276.83</v>
      </c>
      <c r="CZ48" s="380">
        <f t="shared" si="28"/>
        <v>155.79</v>
      </c>
      <c r="DA48"/>
      <c r="DB48" s="391">
        <v>45</v>
      </c>
      <c r="DC48" s="59">
        <v>40823.699999999997</v>
      </c>
      <c r="DD48" s="59">
        <v>60704.23</v>
      </c>
      <c r="DE48" s="59">
        <v>36237.410000000003</v>
      </c>
      <c r="DF48" s="59">
        <v>53884.480000000003</v>
      </c>
      <c r="DG48" s="59">
        <v>32085.200000000001</v>
      </c>
      <c r="DH48" s="59">
        <v>47710.22</v>
      </c>
      <c r="DI48" s="137">
        <v>144836.10999999999</v>
      </c>
      <c r="DJ48" s="137">
        <v>137471.22</v>
      </c>
      <c r="DK48" s="138">
        <v>103717.82</v>
      </c>
      <c r="DL48" s="138">
        <v>92512.34</v>
      </c>
      <c r="DM48" s="137">
        <v>70575.88</v>
      </c>
      <c r="DN48" s="137">
        <v>65663.48</v>
      </c>
      <c r="DP48" s="384" t="s">
        <v>173</v>
      </c>
      <c r="DQ48" s="387">
        <v>1349.27</v>
      </c>
      <c r="DR48" s="387">
        <v>1521.38</v>
      </c>
    </row>
    <row r="49" spans="1:122">
      <c r="A49" s="172">
        <v>13</v>
      </c>
      <c r="B49" s="173">
        <f ca="1">RESUMEN!J16</f>
        <v>0</v>
      </c>
      <c r="C49" s="173">
        <f ca="1">+RESUMEN!K16</f>
        <v>0</v>
      </c>
      <c r="D49" s="174">
        <f t="shared" ca="1" si="107"/>
        <v>0</v>
      </c>
      <c r="E49" s="165"/>
      <c r="F49" s="165"/>
      <c r="G49" s="165"/>
      <c r="H49" s="165"/>
      <c r="I49" s="165"/>
      <c r="J49" s="164">
        <v>46</v>
      </c>
      <c r="K49" s="59">
        <f t="shared" si="29"/>
        <v>41738.36</v>
      </c>
      <c r="L49" s="59">
        <f t="shared" si="29"/>
        <v>61282.18</v>
      </c>
      <c r="M49" s="59">
        <f t="shared" si="29"/>
        <v>37049.31</v>
      </c>
      <c r="N49" s="59">
        <f t="shared" si="29"/>
        <v>54397.5</v>
      </c>
      <c r="O49" s="59">
        <f t="shared" si="29"/>
        <v>32804.080000000002</v>
      </c>
      <c r="P49" s="59">
        <f t="shared" si="29"/>
        <v>48164.45</v>
      </c>
      <c r="Q49" s="136">
        <f t="shared" si="79"/>
        <v>146898.85</v>
      </c>
      <c r="R49" s="136">
        <f t="shared" si="80"/>
        <v>140179.4</v>
      </c>
      <c r="S49" s="136">
        <f t="shared" si="81"/>
        <v>106924.62</v>
      </c>
      <c r="T49" s="136">
        <f t="shared" si="82"/>
        <v>92904.34</v>
      </c>
      <c r="U49" s="136">
        <f t="shared" si="83"/>
        <v>72357.820000000007</v>
      </c>
      <c r="V49" s="136">
        <f t="shared" si="84"/>
        <v>67675.8</v>
      </c>
      <c r="W49" s="92"/>
      <c r="X49" s="137">
        <f t="shared" si="30"/>
        <v>146898.85</v>
      </c>
      <c r="Y49" s="137">
        <f t="shared" si="30"/>
        <v>140179.4</v>
      </c>
      <c r="Z49" s="136">
        <f t="shared" si="31"/>
        <v>153215.50055</v>
      </c>
      <c r="AA49" s="136">
        <f t="shared" si="32"/>
        <v>146207.11419999998</v>
      </c>
      <c r="AB49" s="136">
        <f t="shared" si="33"/>
        <v>164526.71200000003</v>
      </c>
      <c r="AC49" s="136">
        <f t="shared" si="34"/>
        <v>157000.92800000001</v>
      </c>
      <c r="AD49" s="138">
        <f t="shared" si="35"/>
        <v>106924.62</v>
      </c>
      <c r="AE49" s="138">
        <f t="shared" si="35"/>
        <v>92904.34</v>
      </c>
      <c r="AF49" s="136">
        <f t="shared" si="36"/>
        <v>111522.37865999999</v>
      </c>
      <c r="AG49" s="136">
        <f t="shared" si="37"/>
        <v>96899.226619999987</v>
      </c>
      <c r="AH49" s="136">
        <f t="shared" si="38"/>
        <v>119755.57440000001</v>
      </c>
      <c r="AI49" s="136">
        <f t="shared" si="39"/>
        <v>104052.86080000001</v>
      </c>
      <c r="AJ49" s="137">
        <f t="shared" si="40"/>
        <v>72357.820000000007</v>
      </c>
      <c r="AK49" s="137">
        <f t="shared" si="40"/>
        <v>67675.8</v>
      </c>
      <c r="AL49" s="136">
        <f t="shared" si="41"/>
        <v>75469.206260000006</v>
      </c>
      <c r="AM49" s="136">
        <f t="shared" si="42"/>
        <v>70585.859400000001</v>
      </c>
      <c r="AN49" s="136">
        <f t="shared" si="43"/>
        <v>81040.758400000021</v>
      </c>
      <c r="AO49" s="136">
        <f t="shared" si="44"/>
        <v>75796.896000000008</v>
      </c>
      <c r="AP49" s="92"/>
      <c r="AQ49" s="140">
        <v>46</v>
      </c>
      <c r="AR49" s="141">
        <f ca="1">+RESUMEN!F49</f>
        <v>0</v>
      </c>
      <c r="AS49" s="141">
        <f ca="1">+RESUMEN!G49</f>
        <v>0</v>
      </c>
      <c r="AT49" s="142">
        <f t="shared" ca="1" si="85"/>
        <v>0</v>
      </c>
      <c r="AU49" s="143">
        <f t="shared" si="45"/>
        <v>0</v>
      </c>
      <c r="AV49" s="143">
        <f t="shared" si="46"/>
        <v>0</v>
      </c>
      <c r="AW49" s="143">
        <f t="shared" si="47"/>
        <v>0</v>
      </c>
      <c r="AX49" s="143">
        <f t="shared" si="48"/>
        <v>0</v>
      </c>
      <c r="AY49" s="143">
        <f t="shared" ca="1" si="49"/>
        <v>0</v>
      </c>
      <c r="AZ49" s="142"/>
      <c r="BA49" s="143">
        <f t="shared" ca="1" si="86"/>
        <v>0</v>
      </c>
      <c r="BB49" s="143">
        <f t="shared" ca="1" si="87"/>
        <v>0</v>
      </c>
      <c r="BC49" s="144"/>
      <c r="BD49" s="145">
        <f t="shared" ca="1" si="50"/>
        <v>0</v>
      </c>
      <c r="BE49" s="145">
        <f t="shared" ca="1" si="108"/>
        <v>0</v>
      </c>
      <c r="BF49" s="146" t="str">
        <f t="shared" ca="1" si="88"/>
        <v/>
      </c>
      <c r="BG49" s="92"/>
      <c r="BH49" s="95">
        <f t="shared" ca="1" si="89"/>
        <v>0</v>
      </c>
      <c r="BI49" s="95">
        <f t="shared" ca="1" si="90"/>
        <v>0</v>
      </c>
      <c r="BJ49" s="144"/>
      <c r="BK49" s="147">
        <f t="shared" ca="1" si="52"/>
        <v>0</v>
      </c>
      <c r="BL49" s="147">
        <f t="shared" ref="BL49:BL103" ca="1" si="110">(($BI49*$AS49*CV49)+($AU49*$C188)+($AV49*$C82)+($AX49*$AS49)+($AS49*$AY49))*CU49</f>
        <v>0</v>
      </c>
      <c r="BM49" s="148" t="str">
        <f t="shared" ca="1" si="91"/>
        <v/>
      </c>
      <c r="BN49" s="92"/>
      <c r="BO49" s="149">
        <f t="shared" ca="1" si="92"/>
        <v>0</v>
      </c>
      <c r="BP49" s="149">
        <f t="shared" ca="1" si="93"/>
        <v>0</v>
      </c>
      <c r="BQ49" s="144"/>
      <c r="BR49" s="150">
        <f t="shared" ca="1" si="54"/>
        <v>0</v>
      </c>
      <c r="BS49" s="150">
        <f t="shared" ca="1" si="109"/>
        <v>0</v>
      </c>
      <c r="BT49" s="151" t="str">
        <f t="shared" ca="1" si="94"/>
        <v/>
      </c>
      <c r="BU49" s="92"/>
      <c r="BV49" s="152">
        <f t="shared" ca="1" si="95"/>
        <v>0</v>
      </c>
      <c r="BW49" s="152">
        <f t="shared" ca="1" si="96"/>
        <v>0</v>
      </c>
      <c r="BX49" s="144"/>
      <c r="BY49" s="153">
        <f t="shared" ca="1" si="56"/>
        <v>0</v>
      </c>
      <c r="BZ49" s="153">
        <f t="shared" ref="BZ49:BZ103" ca="1" si="111">(($BW49*$AS49*CV49)+($AU49*$C188)+($AV49*$C82)+($AS49*$AY49))*CU49</f>
        <v>0</v>
      </c>
      <c r="CA49" s="154" t="str">
        <f t="shared" ca="1" si="97"/>
        <v/>
      </c>
      <c r="CB49" s="92"/>
      <c r="CC49" s="155">
        <f t="shared" ca="1" si="98"/>
        <v>0</v>
      </c>
      <c r="CD49" s="155">
        <f t="shared" ca="1" si="99"/>
        <v>0</v>
      </c>
      <c r="CE49" s="144"/>
      <c r="CF49" s="156">
        <f t="shared" ca="1" si="58"/>
        <v>0</v>
      </c>
      <c r="CG49" s="156">
        <f t="shared" ref="CG49:CG103" ca="1" si="112">(($CD49*$AS49*CV49)+($AU49*$C188)+($AV49*$C82)+($AS49*$AY49))*CU49</f>
        <v>0</v>
      </c>
      <c r="CH49" s="157" t="str">
        <f t="shared" ca="1" si="100"/>
        <v/>
      </c>
      <c r="CI49" s="92"/>
      <c r="CJ49" s="158">
        <f t="shared" ca="1" si="101"/>
        <v>0</v>
      </c>
      <c r="CK49" s="158">
        <f t="shared" ca="1" si="102"/>
        <v>0</v>
      </c>
      <c r="CL49" s="144"/>
      <c r="CM49" s="159">
        <f t="shared" ca="1" si="60"/>
        <v>0</v>
      </c>
      <c r="CN49" s="159">
        <f t="shared" ref="CN49:CN103" ca="1" si="113">(($CK49*$AS49*CV49)+($AU49*$C188)+($AV49*$C82)+($AS49*$AY49))*CU49</f>
        <v>0</v>
      </c>
      <c r="CO49" s="160" t="str">
        <f t="shared" ca="1" si="103"/>
        <v/>
      </c>
      <c r="CP49" s="92"/>
      <c r="CQ49" s="140">
        <v>46</v>
      </c>
      <c r="CR49" s="330">
        <v>0.18</v>
      </c>
      <c r="CS49" s="92">
        <f t="shared" si="62"/>
        <v>0</v>
      </c>
      <c r="CT49" s="335">
        <f t="shared" si="63"/>
        <v>0.18</v>
      </c>
      <c r="CU49" s="92">
        <f t="shared" si="64"/>
        <v>1</v>
      </c>
      <c r="CV49" s="348">
        <f t="shared" si="65"/>
        <v>1</v>
      </c>
      <c r="CW49" s="380">
        <f t="shared" si="104"/>
        <v>139.81</v>
      </c>
      <c r="CX49" s="380">
        <f t="shared" si="105"/>
        <v>68.569999999999993</v>
      </c>
      <c r="CY49" s="367">
        <f t="shared" si="106"/>
        <v>276.83</v>
      </c>
      <c r="CZ49" s="380">
        <f t="shared" si="28"/>
        <v>155.79</v>
      </c>
      <c r="DA49"/>
      <c r="DB49" s="391">
        <v>46</v>
      </c>
      <c r="DC49" s="59">
        <v>41738.36</v>
      </c>
      <c r="DD49" s="59">
        <v>61282.18</v>
      </c>
      <c r="DE49" s="59">
        <v>37049.31</v>
      </c>
      <c r="DF49" s="59">
        <v>54397.5</v>
      </c>
      <c r="DG49" s="59">
        <v>32804.080000000002</v>
      </c>
      <c r="DH49" s="59">
        <v>48164.45</v>
      </c>
      <c r="DI49" s="137">
        <v>146898.85</v>
      </c>
      <c r="DJ49" s="137">
        <v>140179.4</v>
      </c>
      <c r="DK49" s="138">
        <v>106924.62</v>
      </c>
      <c r="DL49" s="138">
        <v>92904.34</v>
      </c>
      <c r="DM49" s="137">
        <v>72357.820000000007</v>
      </c>
      <c r="DN49" s="137">
        <v>67675.8</v>
      </c>
      <c r="DP49" s="384" t="s">
        <v>174</v>
      </c>
      <c r="DQ49" s="389">
        <v>1435.92</v>
      </c>
      <c r="DR49" s="389">
        <v>1642.51</v>
      </c>
    </row>
    <row r="50" spans="1:122">
      <c r="A50" s="172">
        <v>14</v>
      </c>
      <c r="B50" s="173">
        <f ca="1">RESUMEN!J17</f>
        <v>0</v>
      </c>
      <c r="C50" s="173">
        <f ca="1">+RESUMEN!K17</f>
        <v>0</v>
      </c>
      <c r="D50" s="174">
        <f t="shared" ca="1" si="107"/>
        <v>0</v>
      </c>
      <c r="E50" s="165"/>
      <c r="F50" s="165"/>
      <c r="G50" s="165"/>
      <c r="H50" s="165"/>
      <c r="I50" s="165"/>
      <c r="J50" s="164">
        <v>47</v>
      </c>
      <c r="K50" s="59">
        <f t="shared" si="29"/>
        <v>42861.42</v>
      </c>
      <c r="L50" s="59">
        <f t="shared" si="29"/>
        <v>63024.71</v>
      </c>
      <c r="M50" s="59">
        <f t="shared" si="29"/>
        <v>38046.199999999997</v>
      </c>
      <c r="N50" s="59">
        <f t="shared" si="29"/>
        <v>55944.26</v>
      </c>
      <c r="O50" s="59">
        <f t="shared" si="29"/>
        <v>33686.74</v>
      </c>
      <c r="P50" s="59">
        <f t="shared" si="29"/>
        <v>49533.98</v>
      </c>
      <c r="Q50" s="136">
        <f t="shared" si="79"/>
        <v>150557.13</v>
      </c>
      <c r="R50" s="136">
        <f t="shared" si="80"/>
        <v>145716.49</v>
      </c>
      <c r="S50" s="136">
        <f t="shared" si="81"/>
        <v>110440.06</v>
      </c>
      <c r="T50" s="136">
        <f t="shared" si="82"/>
        <v>99667.33</v>
      </c>
      <c r="U50" s="136">
        <f t="shared" si="83"/>
        <v>74877.58</v>
      </c>
      <c r="V50" s="136">
        <f t="shared" si="84"/>
        <v>70024.66</v>
      </c>
      <c r="W50" s="92"/>
      <c r="X50" s="137">
        <f t="shared" si="30"/>
        <v>150557.13</v>
      </c>
      <c r="Y50" s="137">
        <f t="shared" si="30"/>
        <v>145716.49</v>
      </c>
      <c r="Z50" s="136">
        <f t="shared" si="31"/>
        <v>157031.08658999999</v>
      </c>
      <c r="AA50" s="136">
        <f t="shared" si="32"/>
        <v>151982.29906999998</v>
      </c>
      <c r="AB50" s="136">
        <f t="shared" si="33"/>
        <v>168623.98560000001</v>
      </c>
      <c r="AC50" s="136">
        <f t="shared" si="34"/>
        <v>163202.4688</v>
      </c>
      <c r="AD50" s="138">
        <f t="shared" si="35"/>
        <v>110440.06</v>
      </c>
      <c r="AE50" s="138">
        <f t="shared" si="35"/>
        <v>99667.33</v>
      </c>
      <c r="AF50" s="136">
        <f t="shared" si="36"/>
        <v>115188.98258</v>
      </c>
      <c r="AG50" s="136">
        <f t="shared" si="37"/>
        <v>103953.02519</v>
      </c>
      <c r="AH50" s="136">
        <f t="shared" si="38"/>
        <v>123692.86720000001</v>
      </c>
      <c r="AI50" s="136">
        <f t="shared" si="39"/>
        <v>111627.40960000001</v>
      </c>
      <c r="AJ50" s="137">
        <f t="shared" si="40"/>
        <v>74877.58</v>
      </c>
      <c r="AK50" s="137">
        <f t="shared" si="40"/>
        <v>70024.66</v>
      </c>
      <c r="AL50" s="136">
        <f t="shared" si="41"/>
        <v>78097.31594</v>
      </c>
      <c r="AM50" s="136">
        <f t="shared" si="42"/>
        <v>73035.720379999999</v>
      </c>
      <c r="AN50" s="136">
        <f t="shared" si="43"/>
        <v>83862.88960000001</v>
      </c>
      <c r="AO50" s="136">
        <f t="shared" si="44"/>
        <v>78427.619200000016</v>
      </c>
      <c r="AP50" s="92"/>
      <c r="AQ50" s="140">
        <v>47</v>
      </c>
      <c r="AR50" s="141">
        <f ca="1">+RESUMEN!F50</f>
        <v>0</v>
      </c>
      <c r="AS50" s="141">
        <f ca="1">+RESUMEN!G50</f>
        <v>0</v>
      </c>
      <c r="AT50" s="142">
        <f t="shared" ca="1" si="85"/>
        <v>0</v>
      </c>
      <c r="AU50" s="143">
        <f t="shared" si="45"/>
        <v>0</v>
      </c>
      <c r="AV50" s="143">
        <f t="shared" si="46"/>
        <v>0</v>
      </c>
      <c r="AW50" s="143">
        <f t="shared" si="47"/>
        <v>0</v>
      </c>
      <c r="AX50" s="143">
        <f t="shared" si="48"/>
        <v>0</v>
      </c>
      <c r="AY50" s="143">
        <f t="shared" ca="1" si="49"/>
        <v>0</v>
      </c>
      <c r="AZ50" s="142"/>
      <c r="BA50" s="143">
        <f t="shared" ca="1" si="86"/>
        <v>0</v>
      </c>
      <c r="BB50" s="143">
        <f t="shared" ca="1" si="87"/>
        <v>0</v>
      </c>
      <c r="BC50" s="144"/>
      <c r="BD50" s="145">
        <f t="shared" ca="1" si="50"/>
        <v>0</v>
      </c>
      <c r="BE50" s="145">
        <f t="shared" ca="1" si="108"/>
        <v>0</v>
      </c>
      <c r="BF50" s="146" t="str">
        <f t="shared" ca="1" si="88"/>
        <v/>
      </c>
      <c r="BG50" s="92"/>
      <c r="BH50" s="95">
        <f t="shared" ca="1" si="89"/>
        <v>0</v>
      </c>
      <c r="BI50" s="95">
        <f t="shared" ca="1" si="90"/>
        <v>0</v>
      </c>
      <c r="BJ50" s="144"/>
      <c r="BK50" s="147">
        <f t="shared" ca="1" si="52"/>
        <v>0</v>
      </c>
      <c r="BL50" s="147">
        <f t="shared" ca="1" si="110"/>
        <v>0</v>
      </c>
      <c r="BM50" s="148" t="str">
        <f t="shared" ca="1" si="91"/>
        <v/>
      </c>
      <c r="BN50" s="92"/>
      <c r="BO50" s="149">
        <f t="shared" ca="1" si="92"/>
        <v>0</v>
      </c>
      <c r="BP50" s="149">
        <f t="shared" ca="1" si="93"/>
        <v>0</v>
      </c>
      <c r="BQ50" s="144"/>
      <c r="BR50" s="150">
        <f t="shared" ca="1" si="54"/>
        <v>0</v>
      </c>
      <c r="BS50" s="150">
        <f t="shared" ca="1" si="109"/>
        <v>0</v>
      </c>
      <c r="BT50" s="151" t="str">
        <f t="shared" ca="1" si="94"/>
        <v/>
      </c>
      <c r="BU50" s="92"/>
      <c r="BV50" s="152">
        <f t="shared" ca="1" si="95"/>
        <v>0</v>
      </c>
      <c r="BW50" s="152">
        <f t="shared" ca="1" si="96"/>
        <v>0</v>
      </c>
      <c r="BX50" s="144"/>
      <c r="BY50" s="153">
        <f t="shared" ca="1" si="56"/>
        <v>0</v>
      </c>
      <c r="BZ50" s="153">
        <f t="shared" ca="1" si="111"/>
        <v>0</v>
      </c>
      <c r="CA50" s="154" t="str">
        <f t="shared" ca="1" si="97"/>
        <v/>
      </c>
      <c r="CB50" s="92"/>
      <c r="CC50" s="155">
        <f t="shared" ca="1" si="98"/>
        <v>0</v>
      </c>
      <c r="CD50" s="155">
        <f t="shared" ca="1" si="99"/>
        <v>0</v>
      </c>
      <c r="CE50" s="144"/>
      <c r="CF50" s="156">
        <f t="shared" ca="1" si="58"/>
        <v>0</v>
      </c>
      <c r="CG50" s="156">
        <f t="shared" ca="1" si="112"/>
        <v>0</v>
      </c>
      <c r="CH50" s="157" t="str">
        <f t="shared" ca="1" si="100"/>
        <v/>
      </c>
      <c r="CI50" s="92"/>
      <c r="CJ50" s="158">
        <f t="shared" ca="1" si="101"/>
        <v>0</v>
      </c>
      <c r="CK50" s="158">
        <f t="shared" ca="1" si="102"/>
        <v>0</v>
      </c>
      <c r="CL50" s="144"/>
      <c r="CM50" s="159">
        <f t="shared" ca="1" si="60"/>
        <v>0</v>
      </c>
      <c r="CN50" s="159">
        <f t="shared" ca="1" si="113"/>
        <v>0</v>
      </c>
      <c r="CO50" s="160" t="str">
        <f t="shared" ca="1" si="103"/>
        <v/>
      </c>
      <c r="CP50" s="92"/>
      <c r="CQ50" s="140">
        <v>47</v>
      </c>
      <c r="CR50" s="330">
        <v>0.18</v>
      </c>
      <c r="CS50" s="92">
        <f t="shared" si="62"/>
        <v>0</v>
      </c>
      <c r="CT50" s="335">
        <f t="shared" si="63"/>
        <v>0.18</v>
      </c>
      <c r="CU50" s="92">
        <f t="shared" si="64"/>
        <v>1</v>
      </c>
      <c r="CV50" s="348">
        <f t="shared" si="65"/>
        <v>1</v>
      </c>
      <c r="CW50" s="380">
        <f t="shared" si="104"/>
        <v>139.81</v>
      </c>
      <c r="CX50" s="380">
        <f t="shared" si="105"/>
        <v>68.569999999999993</v>
      </c>
      <c r="CY50" s="367">
        <f t="shared" si="106"/>
        <v>276.83</v>
      </c>
      <c r="CZ50" s="380">
        <f t="shared" si="28"/>
        <v>155.79</v>
      </c>
      <c r="DA50"/>
      <c r="DB50" s="391">
        <v>47</v>
      </c>
      <c r="DC50" s="59">
        <v>42861.42</v>
      </c>
      <c r="DD50" s="59">
        <v>63024.71</v>
      </c>
      <c r="DE50" s="59">
        <v>38046.199999999997</v>
      </c>
      <c r="DF50" s="59">
        <v>55944.26</v>
      </c>
      <c r="DG50" s="59">
        <v>33686.74</v>
      </c>
      <c r="DH50" s="59">
        <v>49533.98</v>
      </c>
      <c r="DI50" s="137">
        <v>150557.13</v>
      </c>
      <c r="DJ50" s="137">
        <v>145716.49</v>
      </c>
      <c r="DK50" s="138">
        <v>110440.06</v>
      </c>
      <c r="DL50" s="138">
        <v>99667.33</v>
      </c>
      <c r="DM50" s="137">
        <v>74877.58</v>
      </c>
      <c r="DN50" s="137">
        <v>70024.66</v>
      </c>
      <c r="DP50" s="384" t="s">
        <v>175</v>
      </c>
      <c r="DQ50" s="387">
        <v>1522.57</v>
      </c>
      <c r="DR50" s="387">
        <v>1763.65</v>
      </c>
    </row>
    <row r="51" spans="1:122" ht="16" thickBot="1">
      <c r="A51" s="172">
        <v>15</v>
      </c>
      <c r="B51" s="173">
        <f ca="1">RESUMEN!J18</f>
        <v>0</v>
      </c>
      <c r="C51" s="173">
        <f ca="1">+RESUMEN!K18</f>
        <v>0</v>
      </c>
      <c r="D51" s="174">
        <f t="shared" ca="1" si="107"/>
        <v>0</v>
      </c>
      <c r="E51" s="165"/>
      <c r="F51" s="165"/>
      <c r="G51" s="165"/>
      <c r="H51" s="165"/>
      <c r="I51" s="165"/>
      <c r="J51" s="164">
        <v>48</v>
      </c>
      <c r="K51" s="59">
        <f t="shared" si="29"/>
        <v>44278.75</v>
      </c>
      <c r="L51" s="59">
        <f t="shared" si="29"/>
        <v>65143.42</v>
      </c>
      <c r="M51" s="59">
        <f t="shared" si="29"/>
        <v>39304.300000000003</v>
      </c>
      <c r="N51" s="59">
        <f t="shared" si="29"/>
        <v>57824.95</v>
      </c>
      <c r="O51" s="59">
        <f t="shared" si="29"/>
        <v>34800.68</v>
      </c>
      <c r="P51" s="59">
        <f t="shared" si="29"/>
        <v>51199.17</v>
      </c>
      <c r="Q51" s="136">
        <f t="shared" si="79"/>
        <v>152701.35999999999</v>
      </c>
      <c r="R51" s="136">
        <f t="shared" si="80"/>
        <v>151472.29</v>
      </c>
      <c r="S51" s="136">
        <f t="shared" si="81"/>
        <v>114293.8</v>
      </c>
      <c r="T51" s="136">
        <f t="shared" si="82"/>
        <v>104124.03</v>
      </c>
      <c r="U51" s="136">
        <f t="shared" si="83"/>
        <v>79540.42</v>
      </c>
      <c r="V51" s="136">
        <f t="shared" si="84"/>
        <v>72214.84</v>
      </c>
      <c r="W51" s="92"/>
      <c r="X51" s="137">
        <f t="shared" si="30"/>
        <v>152701.35999999999</v>
      </c>
      <c r="Y51" s="137">
        <f t="shared" si="30"/>
        <v>151472.29</v>
      </c>
      <c r="Z51" s="136">
        <f t="shared" si="31"/>
        <v>159267.51847999997</v>
      </c>
      <c r="AA51" s="136">
        <f t="shared" si="32"/>
        <v>157985.59847</v>
      </c>
      <c r="AB51" s="136">
        <f t="shared" si="33"/>
        <v>171025.5232</v>
      </c>
      <c r="AC51" s="136">
        <f t="shared" si="34"/>
        <v>169648.96480000002</v>
      </c>
      <c r="AD51" s="138">
        <f t="shared" si="35"/>
        <v>114293.8</v>
      </c>
      <c r="AE51" s="138">
        <f t="shared" si="35"/>
        <v>104124.03</v>
      </c>
      <c r="AF51" s="136">
        <f t="shared" si="36"/>
        <v>119208.43339999999</v>
      </c>
      <c r="AG51" s="136">
        <f t="shared" si="37"/>
        <v>108601.36328999999</v>
      </c>
      <c r="AH51" s="136">
        <f t="shared" si="38"/>
        <v>128009.05600000001</v>
      </c>
      <c r="AI51" s="136">
        <f t="shared" si="39"/>
        <v>116618.91360000001</v>
      </c>
      <c r="AJ51" s="137">
        <f t="shared" si="40"/>
        <v>79540.42</v>
      </c>
      <c r="AK51" s="137">
        <f t="shared" si="40"/>
        <v>72214.84</v>
      </c>
      <c r="AL51" s="136">
        <f t="shared" si="41"/>
        <v>82960.658059999987</v>
      </c>
      <c r="AM51" s="136">
        <f t="shared" si="42"/>
        <v>75320.078119999991</v>
      </c>
      <c r="AN51" s="136">
        <f t="shared" si="43"/>
        <v>89085.270400000009</v>
      </c>
      <c r="AO51" s="136">
        <f t="shared" si="44"/>
        <v>80880.620800000004</v>
      </c>
      <c r="AP51" s="92"/>
      <c r="AQ51" s="140">
        <v>48</v>
      </c>
      <c r="AR51" s="141">
        <f ca="1">+RESUMEN!F51</f>
        <v>0</v>
      </c>
      <c r="AS51" s="141">
        <f ca="1">+RESUMEN!G51</f>
        <v>0</v>
      </c>
      <c r="AT51" s="142">
        <f t="shared" ca="1" si="85"/>
        <v>0</v>
      </c>
      <c r="AU51" s="143">
        <f t="shared" si="45"/>
        <v>0</v>
      </c>
      <c r="AV51" s="143">
        <f t="shared" si="46"/>
        <v>0</v>
      </c>
      <c r="AW51" s="143">
        <f t="shared" si="47"/>
        <v>0</v>
      </c>
      <c r="AX51" s="143">
        <f t="shared" si="48"/>
        <v>0</v>
      </c>
      <c r="AY51" s="143">
        <f t="shared" ca="1" si="49"/>
        <v>0</v>
      </c>
      <c r="AZ51" s="142"/>
      <c r="BA51" s="143">
        <f t="shared" ca="1" si="86"/>
        <v>0</v>
      </c>
      <c r="BB51" s="143">
        <f t="shared" ca="1" si="87"/>
        <v>0</v>
      </c>
      <c r="BC51" s="144"/>
      <c r="BD51" s="145">
        <f t="shared" ca="1" si="50"/>
        <v>0</v>
      </c>
      <c r="BE51" s="145">
        <f t="shared" ca="1" si="108"/>
        <v>0</v>
      </c>
      <c r="BF51" s="146" t="str">
        <f t="shared" ca="1" si="88"/>
        <v/>
      </c>
      <c r="BG51" s="92"/>
      <c r="BH51" s="95">
        <f t="shared" ca="1" si="89"/>
        <v>0</v>
      </c>
      <c r="BI51" s="95">
        <f t="shared" ca="1" si="90"/>
        <v>0</v>
      </c>
      <c r="BJ51" s="144"/>
      <c r="BK51" s="147">
        <f t="shared" ca="1" si="52"/>
        <v>0</v>
      </c>
      <c r="BL51" s="147">
        <f t="shared" ca="1" si="110"/>
        <v>0</v>
      </c>
      <c r="BM51" s="148" t="str">
        <f t="shared" ca="1" si="91"/>
        <v/>
      </c>
      <c r="BN51" s="92"/>
      <c r="BO51" s="149">
        <f t="shared" ca="1" si="92"/>
        <v>0</v>
      </c>
      <c r="BP51" s="149">
        <f t="shared" ca="1" si="93"/>
        <v>0</v>
      </c>
      <c r="BQ51" s="144"/>
      <c r="BR51" s="150">
        <f t="shared" ca="1" si="54"/>
        <v>0</v>
      </c>
      <c r="BS51" s="150">
        <f t="shared" ca="1" si="109"/>
        <v>0</v>
      </c>
      <c r="BT51" s="151" t="str">
        <f t="shared" ca="1" si="94"/>
        <v/>
      </c>
      <c r="BU51" s="92"/>
      <c r="BV51" s="152">
        <f t="shared" ca="1" si="95"/>
        <v>0</v>
      </c>
      <c r="BW51" s="152">
        <f t="shared" ca="1" si="96"/>
        <v>0</v>
      </c>
      <c r="BX51" s="144"/>
      <c r="BY51" s="153">
        <f t="shared" ca="1" si="56"/>
        <v>0</v>
      </c>
      <c r="BZ51" s="153">
        <f t="shared" ca="1" si="111"/>
        <v>0</v>
      </c>
      <c r="CA51" s="154" t="str">
        <f t="shared" ca="1" si="97"/>
        <v/>
      </c>
      <c r="CB51" s="92"/>
      <c r="CC51" s="155">
        <f t="shared" ca="1" si="98"/>
        <v>0</v>
      </c>
      <c r="CD51" s="155">
        <f t="shared" ca="1" si="99"/>
        <v>0</v>
      </c>
      <c r="CE51" s="144"/>
      <c r="CF51" s="156">
        <f t="shared" ca="1" si="58"/>
        <v>0</v>
      </c>
      <c r="CG51" s="156">
        <f t="shared" ca="1" si="112"/>
        <v>0</v>
      </c>
      <c r="CH51" s="157" t="str">
        <f t="shared" ca="1" si="100"/>
        <v/>
      </c>
      <c r="CI51" s="92"/>
      <c r="CJ51" s="158">
        <f t="shared" ca="1" si="101"/>
        <v>0</v>
      </c>
      <c r="CK51" s="158">
        <f t="shared" ca="1" si="102"/>
        <v>0</v>
      </c>
      <c r="CL51" s="144"/>
      <c r="CM51" s="159">
        <f t="shared" ca="1" si="60"/>
        <v>0</v>
      </c>
      <c r="CN51" s="159">
        <f t="shared" ca="1" si="113"/>
        <v>0</v>
      </c>
      <c r="CO51" s="160" t="str">
        <f t="shared" ca="1" si="103"/>
        <v/>
      </c>
      <c r="CP51" s="92"/>
      <c r="CQ51" s="140">
        <v>48</v>
      </c>
      <c r="CR51" s="330">
        <v>0.18</v>
      </c>
      <c r="CS51" s="92">
        <f t="shared" si="62"/>
        <v>0</v>
      </c>
      <c r="CT51" s="335">
        <f t="shared" si="63"/>
        <v>0.18</v>
      </c>
      <c r="CU51" s="92">
        <f t="shared" si="64"/>
        <v>1</v>
      </c>
      <c r="CV51" s="348">
        <f t="shared" si="65"/>
        <v>1</v>
      </c>
      <c r="CW51" s="380">
        <f t="shared" si="104"/>
        <v>139.81</v>
      </c>
      <c r="CX51" s="380">
        <f t="shared" si="105"/>
        <v>68.569999999999993</v>
      </c>
      <c r="CY51" s="367">
        <f t="shared" si="106"/>
        <v>276.83</v>
      </c>
      <c r="CZ51" s="380">
        <f t="shared" si="28"/>
        <v>155.79</v>
      </c>
      <c r="DA51"/>
      <c r="DB51" s="391">
        <v>48</v>
      </c>
      <c r="DC51" s="59">
        <v>44278.75</v>
      </c>
      <c r="DD51" s="59">
        <v>65143.42</v>
      </c>
      <c r="DE51" s="59">
        <v>39304.300000000003</v>
      </c>
      <c r="DF51" s="59">
        <v>57824.95</v>
      </c>
      <c r="DG51" s="59">
        <v>34800.68</v>
      </c>
      <c r="DH51" s="59">
        <v>51199.17</v>
      </c>
      <c r="DI51" s="137">
        <v>152701.35999999999</v>
      </c>
      <c r="DJ51" s="137">
        <v>151472.29</v>
      </c>
      <c r="DK51" s="138">
        <v>114293.8</v>
      </c>
      <c r="DL51" s="138">
        <v>104124.03</v>
      </c>
      <c r="DM51" s="137">
        <v>79540.42</v>
      </c>
      <c r="DN51" s="137">
        <v>72214.84</v>
      </c>
      <c r="DP51" s="384" t="s">
        <v>176</v>
      </c>
      <c r="DQ51" s="387">
        <v>1609.21</v>
      </c>
      <c r="DR51" s="387">
        <v>1884.78</v>
      </c>
    </row>
    <row r="52" spans="1:122" ht="16" thickBot="1">
      <c r="A52" s="172">
        <v>16</v>
      </c>
      <c r="B52" s="173">
        <f ca="1">RESUMEN!J19</f>
        <v>0</v>
      </c>
      <c r="C52" s="173">
        <f ca="1">+RESUMEN!K19</f>
        <v>0</v>
      </c>
      <c r="D52" s="174">
        <f t="shared" ca="1" si="107"/>
        <v>0</v>
      </c>
      <c r="E52" s="175" t="s">
        <v>39</v>
      </c>
      <c r="F52" s="167"/>
      <c r="G52" s="168"/>
      <c r="H52" s="165"/>
      <c r="I52" s="165"/>
      <c r="J52" s="164">
        <v>49</v>
      </c>
      <c r="K52" s="59">
        <f t="shared" si="29"/>
        <v>45953.62</v>
      </c>
      <c r="L52" s="59">
        <f t="shared" si="29"/>
        <v>66075.520000000004</v>
      </c>
      <c r="M52" s="59">
        <f t="shared" si="29"/>
        <v>40791.01</v>
      </c>
      <c r="N52" s="59">
        <f t="shared" si="29"/>
        <v>58652.33</v>
      </c>
      <c r="O52" s="59">
        <f t="shared" si="29"/>
        <v>36117.040000000001</v>
      </c>
      <c r="P52" s="59">
        <f t="shared" si="29"/>
        <v>51931.75</v>
      </c>
      <c r="Q52" s="136">
        <f t="shared" si="79"/>
        <v>168428.27</v>
      </c>
      <c r="R52" s="136">
        <f t="shared" si="80"/>
        <v>157455.45000000001</v>
      </c>
      <c r="S52" s="136">
        <f t="shared" si="81"/>
        <v>120053.48</v>
      </c>
      <c r="T52" s="136">
        <f t="shared" si="82"/>
        <v>108913.46</v>
      </c>
      <c r="U52" s="136">
        <f t="shared" si="83"/>
        <v>83964.37</v>
      </c>
      <c r="V52" s="136">
        <f t="shared" si="84"/>
        <v>75955.23</v>
      </c>
      <c r="W52" s="92"/>
      <c r="X52" s="137">
        <f t="shared" si="30"/>
        <v>168428.27</v>
      </c>
      <c r="Y52" s="137">
        <f t="shared" si="30"/>
        <v>157455.45000000001</v>
      </c>
      <c r="Z52" s="136">
        <f t="shared" si="31"/>
        <v>175670.68560999999</v>
      </c>
      <c r="AA52" s="136">
        <f t="shared" si="32"/>
        <v>164226.03435</v>
      </c>
      <c r="AB52" s="136">
        <f t="shared" si="33"/>
        <v>188639.6624</v>
      </c>
      <c r="AC52" s="136">
        <f t="shared" si="34"/>
        <v>176350.10400000002</v>
      </c>
      <c r="AD52" s="138">
        <f t="shared" si="35"/>
        <v>120053.48</v>
      </c>
      <c r="AE52" s="138">
        <f t="shared" si="35"/>
        <v>108913.46</v>
      </c>
      <c r="AF52" s="136">
        <f t="shared" si="36"/>
        <v>125215.77963999999</v>
      </c>
      <c r="AG52" s="136">
        <f t="shared" si="37"/>
        <v>113596.73878</v>
      </c>
      <c r="AH52" s="136">
        <f t="shared" si="38"/>
        <v>134459.8976</v>
      </c>
      <c r="AI52" s="136">
        <f t="shared" si="39"/>
        <v>121983.07520000002</v>
      </c>
      <c r="AJ52" s="137">
        <f t="shared" si="40"/>
        <v>83964.37</v>
      </c>
      <c r="AK52" s="137">
        <f t="shared" si="40"/>
        <v>75955.23</v>
      </c>
      <c r="AL52" s="136">
        <f t="shared" si="41"/>
        <v>87574.837909999987</v>
      </c>
      <c r="AM52" s="136">
        <f t="shared" si="42"/>
        <v>79221.304889999985</v>
      </c>
      <c r="AN52" s="136">
        <f t="shared" si="43"/>
        <v>94040.094400000002</v>
      </c>
      <c r="AO52" s="136">
        <f t="shared" si="44"/>
        <v>85069.857600000003</v>
      </c>
      <c r="AP52" s="92"/>
      <c r="AQ52" s="140">
        <v>49</v>
      </c>
      <c r="AR52" s="141">
        <f ca="1">+RESUMEN!F52</f>
        <v>0</v>
      </c>
      <c r="AS52" s="141">
        <f ca="1">+RESUMEN!G52</f>
        <v>0</v>
      </c>
      <c r="AT52" s="142">
        <f t="shared" ca="1" si="85"/>
        <v>0</v>
      </c>
      <c r="AU52" s="143">
        <f t="shared" si="45"/>
        <v>0</v>
      </c>
      <c r="AV52" s="143">
        <f t="shared" si="46"/>
        <v>0</v>
      </c>
      <c r="AW52" s="143">
        <f t="shared" si="47"/>
        <v>0</v>
      </c>
      <c r="AX52" s="143">
        <f t="shared" si="48"/>
        <v>0</v>
      </c>
      <c r="AY52" s="143">
        <f t="shared" ca="1" si="49"/>
        <v>0</v>
      </c>
      <c r="AZ52" s="142"/>
      <c r="BA52" s="143">
        <f t="shared" ca="1" si="86"/>
        <v>0</v>
      </c>
      <c r="BB52" s="143">
        <f t="shared" ca="1" si="87"/>
        <v>0</v>
      </c>
      <c r="BC52" s="144"/>
      <c r="BD52" s="145">
        <f t="shared" ca="1" si="50"/>
        <v>0</v>
      </c>
      <c r="BE52" s="145">
        <f t="shared" ca="1" si="108"/>
        <v>0</v>
      </c>
      <c r="BF52" s="146" t="str">
        <f t="shared" ca="1" si="88"/>
        <v/>
      </c>
      <c r="BG52" s="92"/>
      <c r="BH52" s="95">
        <f t="shared" ca="1" si="89"/>
        <v>0</v>
      </c>
      <c r="BI52" s="95">
        <f t="shared" ca="1" si="90"/>
        <v>0</v>
      </c>
      <c r="BJ52" s="144"/>
      <c r="BK52" s="147">
        <f t="shared" ca="1" si="52"/>
        <v>0</v>
      </c>
      <c r="BL52" s="147">
        <f t="shared" ca="1" si="110"/>
        <v>0</v>
      </c>
      <c r="BM52" s="148" t="str">
        <f t="shared" ca="1" si="91"/>
        <v/>
      </c>
      <c r="BN52" s="92"/>
      <c r="BO52" s="149">
        <f t="shared" ca="1" si="92"/>
        <v>0</v>
      </c>
      <c r="BP52" s="149">
        <f t="shared" ca="1" si="93"/>
        <v>0</v>
      </c>
      <c r="BQ52" s="144"/>
      <c r="BR52" s="150">
        <f t="shared" ca="1" si="54"/>
        <v>0</v>
      </c>
      <c r="BS52" s="150">
        <f t="shared" ca="1" si="109"/>
        <v>0</v>
      </c>
      <c r="BT52" s="151" t="str">
        <f t="shared" ca="1" si="94"/>
        <v/>
      </c>
      <c r="BU52" s="92"/>
      <c r="BV52" s="152">
        <f t="shared" ca="1" si="95"/>
        <v>0</v>
      </c>
      <c r="BW52" s="152">
        <f t="shared" ca="1" si="96"/>
        <v>0</v>
      </c>
      <c r="BX52" s="144"/>
      <c r="BY52" s="153">
        <f t="shared" ca="1" si="56"/>
        <v>0</v>
      </c>
      <c r="BZ52" s="153">
        <f t="shared" ca="1" si="111"/>
        <v>0</v>
      </c>
      <c r="CA52" s="154" t="str">
        <f t="shared" ca="1" si="97"/>
        <v/>
      </c>
      <c r="CB52" s="92"/>
      <c r="CC52" s="155">
        <f t="shared" ca="1" si="98"/>
        <v>0</v>
      </c>
      <c r="CD52" s="155">
        <f t="shared" ca="1" si="99"/>
        <v>0</v>
      </c>
      <c r="CE52" s="144"/>
      <c r="CF52" s="156">
        <f t="shared" ca="1" si="58"/>
        <v>0</v>
      </c>
      <c r="CG52" s="156">
        <f t="shared" ca="1" si="112"/>
        <v>0</v>
      </c>
      <c r="CH52" s="157" t="str">
        <f t="shared" ca="1" si="100"/>
        <v/>
      </c>
      <c r="CI52" s="92"/>
      <c r="CJ52" s="158">
        <f t="shared" ca="1" si="101"/>
        <v>0</v>
      </c>
      <c r="CK52" s="158">
        <f t="shared" ca="1" si="102"/>
        <v>0</v>
      </c>
      <c r="CL52" s="144"/>
      <c r="CM52" s="159">
        <f t="shared" ca="1" si="60"/>
        <v>0</v>
      </c>
      <c r="CN52" s="159">
        <f t="shared" ca="1" si="113"/>
        <v>0</v>
      </c>
      <c r="CO52" s="160" t="str">
        <f t="shared" ca="1" si="103"/>
        <v/>
      </c>
      <c r="CP52" s="92"/>
      <c r="CQ52" s="413">
        <v>49</v>
      </c>
      <c r="CR52" s="414">
        <v>0.18</v>
      </c>
      <c r="CS52" s="92">
        <f t="shared" si="62"/>
        <v>0</v>
      </c>
      <c r="CT52" s="335">
        <f t="shared" si="63"/>
        <v>0.18</v>
      </c>
      <c r="CU52" s="92">
        <f t="shared" si="64"/>
        <v>1</v>
      </c>
      <c r="CV52" s="348">
        <f t="shared" si="65"/>
        <v>1</v>
      </c>
      <c r="CW52" s="380">
        <f t="shared" si="104"/>
        <v>139.81</v>
      </c>
      <c r="CX52" s="380">
        <f t="shared" si="105"/>
        <v>68.569999999999993</v>
      </c>
      <c r="CY52" s="367">
        <f t="shared" si="106"/>
        <v>276.83</v>
      </c>
      <c r="CZ52" s="380">
        <f t="shared" si="28"/>
        <v>155.79</v>
      </c>
      <c r="DA52"/>
      <c r="DB52" s="391">
        <v>49</v>
      </c>
      <c r="DC52" s="59">
        <v>45953.62</v>
      </c>
      <c r="DD52" s="59">
        <v>66075.520000000004</v>
      </c>
      <c r="DE52" s="59">
        <v>40791.01</v>
      </c>
      <c r="DF52" s="59">
        <v>58652.33</v>
      </c>
      <c r="DG52" s="59">
        <v>36117.040000000001</v>
      </c>
      <c r="DH52" s="59">
        <v>51931.75</v>
      </c>
      <c r="DI52" s="137">
        <v>168428.27</v>
      </c>
      <c r="DJ52" s="137">
        <v>157455.45000000001</v>
      </c>
      <c r="DK52" s="138">
        <v>120053.48</v>
      </c>
      <c r="DL52" s="138">
        <v>108913.46</v>
      </c>
      <c r="DM52" s="137">
        <v>83964.37</v>
      </c>
      <c r="DN52" s="137">
        <v>75955.23</v>
      </c>
      <c r="DP52" s="384" t="s">
        <v>177</v>
      </c>
      <c r="DQ52" s="389">
        <v>1695.86</v>
      </c>
      <c r="DR52" s="389">
        <v>2005.91</v>
      </c>
    </row>
    <row r="53" spans="1:122">
      <c r="A53" s="172">
        <v>17</v>
      </c>
      <c r="B53" s="173">
        <f ca="1">RESUMEN!J20</f>
        <v>0</v>
      </c>
      <c r="C53" s="173">
        <f ca="1">+RESUMEN!K20</f>
        <v>0</v>
      </c>
      <c r="D53" s="174">
        <f t="shared" ca="1" si="107"/>
        <v>0</v>
      </c>
      <c r="E53" s="176" t="s">
        <v>37</v>
      </c>
      <c r="F53" s="170" t="s">
        <v>38</v>
      </c>
      <c r="G53" s="171" t="s">
        <v>36</v>
      </c>
      <c r="H53" s="165"/>
      <c r="I53" s="353"/>
      <c r="J53" s="164">
        <v>50</v>
      </c>
      <c r="K53" s="59">
        <f t="shared" ref="K53:P53" si="114">ROUND(DC53*$F$21,2)</f>
        <v>45709.61</v>
      </c>
      <c r="L53" s="59">
        <f t="shared" si="114"/>
        <v>64260.97</v>
      </c>
      <c r="M53" s="59">
        <f t="shared" si="114"/>
        <v>40574.410000000003</v>
      </c>
      <c r="N53" s="59">
        <f t="shared" si="114"/>
        <v>57041.64</v>
      </c>
      <c r="O53" s="59">
        <f t="shared" si="114"/>
        <v>35925.26</v>
      </c>
      <c r="P53" s="59">
        <f t="shared" si="114"/>
        <v>50505.62</v>
      </c>
      <c r="Q53" s="136">
        <f t="shared" si="79"/>
        <v>170827.01</v>
      </c>
      <c r="R53" s="136">
        <f t="shared" si="80"/>
        <v>163674.94</v>
      </c>
      <c r="S53" s="136">
        <f t="shared" si="81"/>
        <v>137630.70000000001</v>
      </c>
      <c r="T53" s="136">
        <f t="shared" si="82"/>
        <v>114251</v>
      </c>
      <c r="U53" s="136">
        <f t="shared" si="83"/>
        <v>89007.360000000001</v>
      </c>
      <c r="V53" s="136">
        <f t="shared" si="84"/>
        <v>79967.649999999994</v>
      </c>
      <c r="W53" s="92"/>
      <c r="X53" s="137">
        <f t="shared" ref="X53:X62" si="115">ROUND(DI53*$F$23,2)</f>
        <v>170827.01</v>
      </c>
      <c r="Y53" s="137">
        <f t="shared" ref="Y53:Y62" si="116">ROUND(DJ53*$F$23,2)</f>
        <v>163674.94</v>
      </c>
      <c r="Z53" s="136">
        <f t="shared" si="31"/>
        <v>178172.57143000001</v>
      </c>
      <c r="AA53" s="136">
        <f t="shared" si="32"/>
        <v>170712.96242</v>
      </c>
      <c r="AB53" s="136">
        <f t="shared" si="33"/>
        <v>191326.25120000003</v>
      </c>
      <c r="AC53" s="136">
        <f t="shared" si="34"/>
        <v>183315.93280000001</v>
      </c>
      <c r="AD53" s="138">
        <f t="shared" ref="AD53:AD62" si="117">ROUND(DK53*$F$23,2)</f>
        <v>137630.70000000001</v>
      </c>
      <c r="AE53" s="138">
        <f t="shared" ref="AE53:AE62" si="118">ROUND(DL53*$F$23,2)</f>
        <v>114251</v>
      </c>
      <c r="AF53" s="136">
        <f t="shared" si="36"/>
        <v>143548.82010000001</v>
      </c>
      <c r="AG53" s="136">
        <f t="shared" si="37"/>
        <v>119163.79299999999</v>
      </c>
      <c r="AH53" s="136">
        <f t="shared" si="38"/>
        <v>154146.38400000002</v>
      </c>
      <c r="AI53" s="136">
        <f t="shared" si="39"/>
        <v>127961.12000000001</v>
      </c>
      <c r="AJ53" s="137">
        <f t="shared" ref="AJ53:AJ62" si="119">ROUND(DM53*$F$23,2)</f>
        <v>89007.360000000001</v>
      </c>
      <c r="AK53" s="137">
        <f t="shared" ref="AK53:AK62" si="120">ROUND(DN53*$F$23,2)</f>
        <v>79967.649999999994</v>
      </c>
      <c r="AL53" s="136">
        <f t="shared" si="41"/>
        <v>92834.676479999995</v>
      </c>
      <c r="AM53" s="136">
        <f t="shared" si="42"/>
        <v>83406.258949999989</v>
      </c>
      <c r="AN53" s="136">
        <f t="shared" si="43"/>
        <v>99688.243200000012</v>
      </c>
      <c r="AO53" s="136">
        <f t="shared" si="44"/>
        <v>89563.767999999996</v>
      </c>
      <c r="AP53" s="92"/>
      <c r="AQ53" s="140">
        <v>50</v>
      </c>
      <c r="AR53" s="141">
        <f ca="1">+RESUMEN!F53</f>
        <v>0</v>
      </c>
      <c r="AS53" s="141">
        <f ca="1">+RESUMEN!G53</f>
        <v>0</v>
      </c>
      <c r="AT53" s="142">
        <f t="shared" ca="1" si="85"/>
        <v>0</v>
      </c>
      <c r="AU53" s="143">
        <f t="shared" si="45"/>
        <v>0</v>
      </c>
      <c r="AV53" s="143">
        <f t="shared" si="46"/>
        <v>0</v>
      </c>
      <c r="AW53" s="143">
        <f t="shared" si="47"/>
        <v>0</v>
      </c>
      <c r="AX53" s="143">
        <f t="shared" si="48"/>
        <v>0</v>
      </c>
      <c r="AY53" s="143">
        <f t="shared" ca="1" si="49"/>
        <v>0</v>
      </c>
      <c r="AZ53" s="142"/>
      <c r="BA53" s="143">
        <f t="shared" ca="1" si="86"/>
        <v>0</v>
      </c>
      <c r="BB53" s="143">
        <f t="shared" ca="1" si="87"/>
        <v>0</v>
      </c>
      <c r="BC53" s="144"/>
      <c r="BD53" s="145">
        <f t="shared" ca="1" si="50"/>
        <v>0</v>
      </c>
      <c r="BE53" s="145">
        <f t="shared" ca="1" si="108"/>
        <v>0</v>
      </c>
      <c r="BF53" s="146" t="str">
        <f t="shared" ca="1" si="88"/>
        <v/>
      </c>
      <c r="BG53" s="92"/>
      <c r="BH53" s="95">
        <f t="shared" ca="1" si="89"/>
        <v>0</v>
      </c>
      <c r="BI53" s="95">
        <f t="shared" ca="1" si="90"/>
        <v>0</v>
      </c>
      <c r="BJ53" s="144"/>
      <c r="BK53" s="147">
        <f t="shared" ca="1" si="52"/>
        <v>0</v>
      </c>
      <c r="BL53" s="147">
        <f t="shared" ca="1" si="110"/>
        <v>0</v>
      </c>
      <c r="BM53" s="148" t="str">
        <f t="shared" ca="1" si="91"/>
        <v/>
      </c>
      <c r="BN53" s="92"/>
      <c r="BO53" s="149">
        <f t="shared" ca="1" si="92"/>
        <v>0</v>
      </c>
      <c r="BP53" s="149">
        <f t="shared" ca="1" si="93"/>
        <v>0</v>
      </c>
      <c r="BQ53" s="144"/>
      <c r="BR53" s="150">
        <f t="shared" ca="1" si="54"/>
        <v>0</v>
      </c>
      <c r="BS53" s="150">
        <f t="shared" ca="1" si="109"/>
        <v>0</v>
      </c>
      <c r="BT53" s="151" t="str">
        <f t="shared" ca="1" si="94"/>
        <v/>
      </c>
      <c r="BU53" s="209"/>
      <c r="BV53" s="152">
        <f t="shared" ca="1" si="95"/>
        <v>0</v>
      </c>
      <c r="BW53" s="152">
        <f t="shared" ca="1" si="96"/>
        <v>0</v>
      </c>
      <c r="BX53" s="144"/>
      <c r="BY53" s="153">
        <f t="shared" ca="1" si="56"/>
        <v>0</v>
      </c>
      <c r="BZ53" s="153">
        <f t="shared" ca="1" si="111"/>
        <v>0</v>
      </c>
      <c r="CA53" s="154" t="str">
        <f t="shared" ca="1" si="97"/>
        <v/>
      </c>
      <c r="CB53" s="92"/>
      <c r="CC53" s="155">
        <f t="shared" ca="1" si="98"/>
        <v>0</v>
      </c>
      <c r="CD53" s="155">
        <f t="shared" ca="1" si="99"/>
        <v>0</v>
      </c>
      <c r="CE53" s="144"/>
      <c r="CF53" s="156">
        <f t="shared" ca="1" si="58"/>
        <v>0</v>
      </c>
      <c r="CG53" s="156">
        <f t="shared" ca="1" si="112"/>
        <v>0</v>
      </c>
      <c r="CH53" s="157" t="str">
        <f t="shared" ca="1" si="100"/>
        <v/>
      </c>
      <c r="CI53" s="92"/>
      <c r="CJ53" s="158">
        <f t="shared" ca="1" si="101"/>
        <v>0</v>
      </c>
      <c r="CK53" s="158">
        <f t="shared" ca="1" si="102"/>
        <v>0</v>
      </c>
      <c r="CL53" s="144"/>
      <c r="CM53" s="159">
        <f t="shared" ca="1" si="60"/>
        <v>0</v>
      </c>
      <c r="CN53" s="159">
        <f t="shared" ca="1" si="113"/>
        <v>0</v>
      </c>
      <c r="CO53" s="160" t="str">
        <f t="shared" ca="1" si="103"/>
        <v/>
      </c>
      <c r="CP53" s="92"/>
      <c r="CQ53" s="115">
        <v>50</v>
      </c>
      <c r="CR53" s="415">
        <v>0.15</v>
      </c>
      <c r="CS53" s="416">
        <f t="shared" si="62"/>
        <v>0</v>
      </c>
      <c r="CT53" s="417">
        <f t="shared" si="63"/>
        <v>0.15</v>
      </c>
      <c r="CU53" s="416">
        <f t="shared" si="64"/>
        <v>1</v>
      </c>
      <c r="CV53" s="418">
        <f t="shared" si="65"/>
        <v>1</v>
      </c>
      <c r="CW53" s="367">
        <f t="shared" ref="CW53:CW62" si="121">+IF(p&gt;3,IF($F$20=1,146.8,154.53),IF($F$20=1,133.45,139.81))</f>
        <v>133.44999999999999</v>
      </c>
      <c r="CX53" s="367">
        <f t="shared" ref="CX53:CX62" si="122">+IF(p&gt;3,IF($F$20=1,72,75.79),IF($F$20=1,65.45,68.57))</f>
        <v>65.45</v>
      </c>
      <c r="CY53" s="367">
        <f t="shared" ref="CY53:CY62" si="123">+IF(p&gt;3,IF($F$20=1,291.47,306.81),IF($F$20=1,264.24,276.83))</f>
        <v>264.24</v>
      </c>
      <c r="CZ53" s="380">
        <f t="shared" ref="CZ53:CZ62" si="124">+IF(p&gt;3,0,IF($F$20=1,148.43,155.79))</f>
        <v>148.43</v>
      </c>
      <c r="DA53" s="425"/>
      <c r="DB53" s="391">
        <v>50</v>
      </c>
      <c r="DC53" s="59">
        <v>45709.61</v>
      </c>
      <c r="DD53" s="59">
        <v>64260.97</v>
      </c>
      <c r="DE53" s="59">
        <v>40574.410000000003</v>
      </c>
      <c r="DF53" s="59">
        <v>57041.64</v>
      </c>
      <c r="DG53" s="59">
        <v>35925.26</v>
      </c>
      <c r="DH53" s="59">
        <v>50505.62</v>
      </c>
      <c r="DI53" s="137">
        <v>170827.01</v>
      </c>
      <c r="DJ53" s="137">
        <v>163674.94</v>
      </c>
      <c r="DK53" s="138">
        <v>137630.70000000001</v>
      </c>
      <c r="DL53" s="138">
        <v>114251</v>
      </c>
      <c r="DM53" s="137">
        <v>89007.360000000001</v>
      </c>
      <c r="DN53" s="139">
        <v>79967.649999999994</v>
      </c>
      <c r="DP53" s="384" t="s">
        <v>178</v>
      </c>
      <c r="DQ53" s="387">
        <v>1663.49</v>
      </c>
      <c r="DR53" s="387">
        <v>2009.21</v>
      </c>
    </row>
    <row r="54" spans="1:122">
      <c r="A54" s="172">
        <v>18</v>
      </c>
      <c r="B54" s="173">
        <f ca="1">RESUMEN!J21</f>
        <v>0</v>
      </c>
      <c r="C54" s="173">
        <f ca="1">+RESUMEN!K21</f>
        <v>0</v>
      </c>
      <c r="D54" s="174">
        <f t="shared" ca="1" si="107"/>
        <v>0</v>
      </c>
      <c r="E54" s="177">
        <f ca="1">+RESUMEN!T3</f>
        <v>0</v>
      </c>
      <c r="F54" s="173">
        <f ca="1">RESUMEN!P3</f>
        <v>0</v>
      </c>
      <c r="G54" s="174">
        <f t="shared" ref="G54:G80" ca="1" si="125">E54+F54</f>
        <v>0</v>
      </c>
      <c r="H54" s="165"/>
      <c r="I54" s="353"/>
      <c r="J54" s="164">
        <v>51</v>
      </c>
      <c r="K54" s="59">
        <f t="shared" ref="K54:K62" si="126">ROUND(DC54*$F$21,2)</f>
        <v>47821.69</v>
      </c>
      <c r="L54" s="59">
        <f t="shared" ref="L54:L62" si="127">ROUND(DD54*$F$21,2)</f>
        <v>66302.039999999994</v>
      </c>
      <c r="M54" s="59">
        <f t="shared" ref="M54:M62" si="128">ROUND(DE54*$F$21,2)</f>
        <v>42449.21</v>
      </c>
      <c r="N54" s="59">
        <f t="shared" ref="N54:N62" si="129">ROUND(DF54*$F$21,2)</f>
        <v>58853.41</v>
      </c>
      <c r="O54" s="59">
        <f t="shared" ref="O54:O62" si="130">ROUND(DG54*$F$21,2)</f>
        <v>37585.24</v>
      </c>
      <c r="P54" s="59">
        <f t="shared" ref="P54:P62" si="131">ROUND(DH54*$F$21,2)</f>
        <v>52109.79</v>
      </c>
      <c r="Q54" s="136">
        <f t="shared" si="79"/>
        <v>180083.5</v>
      </c>
      <c r="R54" s="136">
        <f t="shared" si="80"/>
        <v>173099.05</v>
      </c>
      <c r="S54" s="136">
        <f t="shared" si="81"/>
        <v>143822.66</v>
      </c>
      <c r="T54" s="136">
        <f t="shared" si="82"/>
        <v>120430.84</v>
      </c>
      <c r="U54" s="136">
        <f t="shared" si="83"/>
        <v>93147.27</v>
      </c>
      <c r="V54" s="136">
        <f t="shared" si="84"/>
        <v>84344.51</v>
      </c>
      <c r="W54" s="92"/>
      <c r="X54" s="137">
        <f t="shared" si="115"/>
        <v>180083.5</v>
      </c>
      <c r="Y54" s="137">
        <f t="shared" si="116"/>
        <v>173099.05</v>
      </c>
      <c r="Z54" s="136">
        <f t="shared" si="31"/>
        <v>187827.09049999999</v>
      </c>
      <c r="AA54" s="136">
        <f t="shared" si="32"/>
        <v>180542.30914999999</v>
      </c>
      <c r="AB54" s="136">
        <f t="shared" si="33"/>
        <v>201693.52000000002</v>
      </c>
      <c r="AC54" s="136">
        <f t="shared" si="34"/>
        <v>193870.93600000002</v>
      </c>
      <c r="AD54" s="138">
        <f t="shared" si="117"/>
        <v>143822.66</v>
      </c>
      <c r="AE54" s="138">
        <f t="shared" si="118"/>
        <v>120430.84</v>
      </c>
      <c r="AF54" s="136">
        <f t="shared" si="36"/>
        <v>150007.03438</v>
      </c>
      <c r="AG54" s="136">
        <f t="shared" si="37"/>
        <v>125609.36611999999</v>
      </c>
      <c r="AH54" s="136">
        <f t="shared" si="38"/>
        <v>161081.37920000002</v>
      </c>
      <c r="AI54" s="136">
        <f t="shared" si="39"/>
        <v>134882.54080000002</v>
      </c>
      <c r="AJ54" s="137">
        <f t="shared" si="119"/>
        <v>93147.27</v>
      </c>
      <c r="AK54" s="137">
        <f t="shared" si="120"/>
        <v>84344.51</v>
      </c>
      <c r="AL54" s="136">
        <f t="shared" si="41"/>
        <v>97152.602610000002</v>
      </c>
      <c r="AM54" s="136">
        <f t="shared" si="42"/>
        <v>87971.323929999984</v>
      </c>
      <c r="AN54" s="136">
        <f t="shared" si="43"/>
        <v>104324.94240000001</v>
      </c>
      <c r="AO54" s="136">
        <f t="shared" si="44"/>
        <v>94465.851200000005</v>
      </c>
      <c r="AP54" s="92"/>
      <c r="AQ54" s="140">
        <v>51</v>
      </c>
      <c r="AR54" s="141">
        <f ca="1">+RESUMEN!F54</f>
        <v>0</v>
      </c>
      <c r="AS54" s="141">
        <f ca="1">+RESUMEN!G54</f>
        <v>0</v>
      </c>
      <c r="AT54" s="142">
        <f t="shared" ca="1" si="85"/>
        <v>0</v>
      </c>
      <c r="AU54" s="143">
        <f t="shared" si="45"/>
        <v>0</v>
      </c>
      <c r="AV54" s="143">
        <f t="shared" si="46"/>
        <v>0</v>
      </c>
      <c r="AW54" s="143">
        <f t="shared" si="47"/>
        <v>0</v>
      </c>
      <c r="AX54" s="143">
        <f t="shared" si="48"/>
        <v>0</v>
      </c>
      <c r="AY54" s="143">
        <f t="shared" ca="1" si="49"/>
        <v>0</v>
      </c>
      <c r="AZ54" s="142"/>
      <c r="BA54" s="143">
        <f t="shared" ca="1" si="86"/>
        <v>0</v>
      </c>
      <c r="BB54" s="143">
        <f t="shared" ca="1" si="87"/>
        <v>0</v>
      </c>
      <c r="BC54" s="144"/>
      <c r="BD54" s="145">
        <f t="shared" ca="1" si="50"/>
        <v>0</v>
      </c>
      <c r="BE54" s="145">
        <f t="shared" ca="1" si="108"/>
        <v>0</v>
      </c>
      <c r="BF54" s="146" t="str">
        <f t="shared" ca="1" si="88"/>
        <v/>
      </c>
      <c r="BG54" s="92"/>
      <c r="BH54" s="95">
        <f t="shared" ca="1" si="89"/>
        <v>0</v>
      </c>
      <c r="BI54" s="95">
        <f t="shared" ca="1" si="90"/>
        <v>0</v>
      </c>
      <c r="BJ54" s="144"/>
      <c r="BK54" s="147">
        <f t="shared" ca="1" si="52"/>
        <v>0</v>
      </c>
      <c r="BL54" s="147">
        <f t="shared" ca="1" si="110"/>
        <v>0</v>
      </c>
      <c r="BM54" s="148" t="str">
        <f t="shared" ca="1" si="91"/>
        <v/>
      </c>
      <c r="BN54" s="92"/>
      <c r="BO54" s="149">
        <f t="shared" ca="1" si="92"/>
        <v>0</v>
      </c>
      <c r="BP54" s="149">
        <f t="shared" ca="1" si="93"/>
        <v>0</v>
      </c>
      <c r="BQ54" s="144"/>
      <c r="BR54" s="150">
        <f t="shared" ca="1" si="54"/>
        <v>0</v>
      </c>
      <c r="BS54" s="150">
        <f t="shared" ca="1" si="109"/>
        <v>0</v>
      </c>
      <c r="BT54" s="151" t="str">
        <f t="shared" ca="1" si="94"/>
        <v/>
      </c>
      <c r="BU54" s="92"/>
      <c r="BV54" s="152">
        <f t="shared" ca="1" si="95"/>
        <v>0</v>
      </c>
      <c r="BW54" s="152">
        <f t="shared" ca="1" si="96"/>
        <v>0</v>
      </c>
      <c r="BX54" s="144"/>
      <c r="BY54" s="153">
        <f t="shared" ca="1" si="56"/>
        <v>0</v>
      </c>
      <c r="BZ54" s="153">
        <f t="shared" ca="1" si="111"/>
        <v>0</v>
      </c>
      <c r="CA54" s="154" t="str">
        <f t="shared" ca="1" si="97"/>
        <v/>
      </c>
      <c r="CB54" s="92"/>
      <c r="CC54" s="155">
        <f t="shared" ca="1" si="98"/>
        <v>0</v>
      </c>
      <c r="CD54" s="155">
        <f t="shared" ca="1" si="99"/>
        <v>0</v>
      </c>
      <c r="CE54" s="144"/>
      <c r="CF54" s="156">
        <f t="shared" ca="1" si="58"/>
        <v>0</v>
      </c>
      <c r="CG54" s="156">
        <f t="shared" ca="1" si="112"/>
        <v>0</v>
      </c>
      <c r="CH54" s="157" t="str">
        <f t="shared" ca="1" si="100"/>
        <v/>
      </c>
      <c r="CI54" s="92"/>
      <c r="CJ54" s="158">
        <f t="shared" ca="1" si="101"/>
        <v>0</v>
      </c>
      <c r="CK54" s="158">
        <f t="shared" ca="1" si="102"/>
        <v>0</v>
      </c>
      <c r="CL54" s="144"/>
      <c r="CM54" s="159">
        <f t="shared" ca="1" si="60"/>
        <v>0</v>
      </c>
      <c r="CN54" s="159">
        <f t="shared" ca="1" si="113"/>
        <v>0</v>
      </c>
      <c r="CO54" s="160" t="str">
        <f t="shared" ca="1" si="103"/>
        <v/>
      </c>
      <c r="CP54" s="92"/>
      <c r="CQ54" s="140">
        <v>51</v>
      </c>
      <c r="CR54" s="330">
        <v>0.15</v>
      </c>
      <c r="CS54" s="92">
        <f t="shared" si="62"/>
        <v>0</v>
      </c>
      <c r="CT54" s="335">
        <f t="shared" si="63"/>
        <v>0.15</v>
      </c>
      <c r="CU54" s="92">
        <f t="shared" si="64"/>
        <v>1</v>
      </c>
      <c r="CV54" s="348">
        <f t="shared" si="65"/>
        <v>1</v>
      </c>
      <c r="CW54" s="367">
        <f t="shared" si="121"/>
        <v>133.44999999999999</v>
      </c>
      <c r="CX54" s="367">
        <f t="shared" si="122"/>
        <v>65.45</v>
      </c>
      <c r="CY54" s="367">
        <f t="shared" si="123"/>
        <v>264.24</v>
      </c>
      <c r="CZ54" s="380">
        <f t="shared" si="124"/>
        <v>148.43</v>
      </c>
      <c r="DA54" s="425"/>
      <c r="DB54" s="391">
        <v>51</v>
      </c>
      <c r="DC54" s="59">
        <v>47821.69</v>
      </c>
      <c r="DD54" s="59">
        <v>66302.039999999994</v>
      </c>
      <c r="DE54" s="59">
        <v>42449.21</v>
      </c>
      <c r="DF54" s="59">
        <v>58853.41</v>
      </c>
      <c r="DG54" s="59">
        <v>37585.24</v>
      </c>
      <c r="DH54" s="59">
        <v>52109.79</v>
      </c>
      <c r="DI54" s="137">
        <v>180083.5</v>
      </c>
      <c r="DJ54" s="137">
        <v>173099.05</v>
      </c>
      <c r="DK54" s="138">
        <v>143822.66</v>
      </c>
      <c r="DL54" s="138">
        <v>120430.84</v>
      </c>
      <c r="DM54" s="137">
        <v>93147.27</v>
      </c>
      <c r="DN54" s="139">
        <v>84344.51</v>
      </c>
      <c r="DP54" s="384" t="s">
        <v>179</v>
      </c>
      <c r="DQ54" s="387">
        <v>1714.52</v>
      </c>
      <c r="DR54" s="387">
        <v>2111.16</v>
      </c>
    </row>
    <row r="55" spans="1:122">
      <c r="A55" s="172">
        <v>19</v>
      </c>
      <c r="B55" s="173">
        <f ca="1">RESUMEN!J22</f>
        <v>0</v>
      </c>
      <c r="C55" s="173">
        <f ca="1">+RESUMEN!K22</f>
        <v>0</v>
      </c>
      <c r="D55" s="174">
        <f t="shared" ca="1" si="107"/>
        <v>0</v>
      </c>
      <c r="E55" s="177">
        <f ca="1">+RESUMEN!T4</f>
        <v>0</v>
      </c>
      <c r="F55" s="173">
        <f ca="1">RESUMEN!P4</f>
        <v>0</v>
      </c>
      <c r="G55" s="174">
        <f t="shared" ca="1" si="125"/>
        <v>0</v>
      </c>
      <c r="H55" s="165"/>
      <c r="I55" s="353"/>
      <c r="J55" s="164">
        <v>52</v>
      </c>
      <c r="K55" s="59">
        <f t="shared" si="126"/>
        <v>50756.28</v>
      </c>
      <c r="L55" s="59">
        <f t="shared" si="127"/>
        <v>67026.62</v>
      </c>
      <c r="M55" s="59">
        <f t="shared" si="128"/>
        <v>45054.11</v>
      </c>
      <c r="N55" s="59">
        <f t="shared" si="129"/>
        <v>59496.58</v>
      </c>
      <c r="O55" s="59">
        <f t="shared" si="130"/>
        <v>39891.660000000003</v>
      </c>
      <c r="P55" s="59">
        <f t="shared" si="131"/>
        <v>52679.27</v>
      </c>
      <c r="Q55" s="136">
        <f t="shared" si="79"/>
        <v>182648.24</v>
      </c>
      <c r="R55" s="136">
        <f t="shared" si="80"/>
        <v>180076.28</v>
      </c>
      <c r="S55" s="136">
        <f t="shared" si="81"/>
        <v>148599.74</v>
      </c>
      <c r="T55" s="136">
        <f t="shared" si="82"/>
        <v>127192.08</v>
      </c>
      <c r="U55" s="136">
        <f t="shared" si="83"/>
        <v>97397.35</v>
      </c>
      <c r="V55" s="136">
        <f t="shared" si="84"/>
        <v>89390.99</v>
      </c>
      <c r="W55" s="92"/>
      <c r="X55" s="137">
        <f t="shared" si="115"/>
        <v>182648.24</v>
      </c>
      <c r="Y55" s="137">
        <f t="shared" si="116"/>
        <v>180076.28</v>
      </c>
      <c r="Z55" s="136">
        <f t="shared" si="31"/>
        <v>190502.11431999996</v>
      </c>
      <c r="AA55" s="136">
        <f t="shared" si="32"/>
        <v>187819.56003999998</v>
      </c>
      <c r="AB55" s="136">
        <f t="shared" si="33"/>
        <v>204566.0288</v>
      </c>
      <c r="AC55" s="136">
        <f t="shared" si="34"/>
        <v>201685.43360000002</v>
      </c>
      <c r="AD55" s="138">
        <f t="shared" si="117"/>
        <v>148599.74</v>
      </c>
      <c r="AE55" s="138">
        <f t="shared" si="118"/>
        <v>127192.08</v>
      </c>
      <c r="AF55" s="136">
        <f t="shared" si="36"/>
        <v>154989.52881999998</v>
      </c>
      <c r="AG55" s="136">
        <f t="shared" si="37"/>
        <v>132661.33943999998</v>
      </c>
      <c r="AH55" s="136">
        <f t="shared" si="38"/>
        <v>166431.70879999999</v>
      </c>
      <c r="AI55" s="136">
        <f t="shared" si="39"/>
        <v>142455.12960000001</v>
      </c>
      <c r="AJ55" s="137">
        <f t="shared" si="119"/>
        <v>97397.35</v>
      </c>
      <c r="AK55" s="137">
        <f t="shared" si="120"/>
        <v>89390.99</v>
      </c>
      <c r="AL55" s="136">
        <f t="shared" si="41"/>
        <v>101585.43605</v>
      </c>
      <c r="AM55" s="136">
        <f t="shared" si="42"/>
        <v>93234.80257</v>
      </c>
      <c r="AN55" s="136">
        <f t="shared" si="43"/>
        <v>109085.03200000002</v>
      </c>
      <c r="AO55" s="136">
        <f t="shared" si="44"/>
        <v>100117.90880000002</v>
      </c>
      <c r="AP55" s="92"/>
      <c r="AQ55" s="140">
        <v>52</v>
      </c>
      <c r="AR55" s="141">
        <f ca="1">+RESUMEN!F55</f>
        <v>0</v>
      </c>
      <c r="AS55" s="141">
        <f ca="1">+RESUMEN!G55</f>
        <v>0</v>
      </c>
      <c r="AT55" s="142">
        <f t="shared" ca="1" si="85"/>
        <v>0</v>
      </c>
      <c r="AU55" s="143">
        <f t="shared" si="45"/>
        <v>0</v>
      </c>
      <c r="AV55" s="143">
        <f t="shared" si="46"/>
        <v>0</v>
      </c>
      <c r="AW55" s="143">
        <f t="shared" si="47"/>
        <v>0</v>
      </c>
      <c r="AX55" s="143">
        <f t="shared" si="48"/>
        <v>0</v>
      </c>
      <c r="AY55" s="143">
        <f t="shared" ca="1" si="49"/>
        <v>0</v>
      </c>
      <c r="AZ55" s="142"/>
      <c r="BA55" s="143">
        <f t="shared" ca="1" si="86"/>
        <v>0</v>
      </c>
      <c r="BB55" s="143">
        <f t="shared" ca="1" si="87"/>
        <v>0</v>
      </c>
      <c r="BC55" s="144"/>
      <c r="BD55" s="145">
        <f t="shared" ca="1" si="50"/>
        <v>0</v>
      </c>
      <c r="BE55" s="145">
        <f t="shared" ca="1" si="108"/>
        <v>0</v>
      </c>
      <c r="BF55" s="146" t="str">
        <f t="shared" ca="1" si="88"/>
        <v/>
      </c>
      <c r="BG55" s="92"/>
      <c r="BH55" s="95">
        <f t="shared" ca="1" si="89"/>
        <v>0</v>
      </c>
      <c r="BI55" s="95">
        <f t="shared" ca="1" si="90"/>
        <v>0</v>
      </c>
      <c r="BJ55" s="144"/>
      <c r="BK55" s="147">
        <f t="shared" ca="1" si="52"/>
        <v>0</v>
      </c>
      <c r="BL55" s="147">
        <f t="shared" ca="1" si="110"/>
        <v>0</v>
      </c>
      <c r="BM55" s="148" t="str">
        <f t="shared" ca="1" si="91"/>
        <v/>
      </c>
      <c r="BN55" s="92"/>
      <c r="BO55" s="149">
        <f t="shared" ca="1" si="92"/>
        <v>0</v>
      </c>
      <c r="BP55" s="149">
        <f t="shared" ca="1" si="93"/>
        <v>0</v>
      </c>
      <c r="BQ55" s="144"/>
      <c r="BR55" s="150">
        <f t="shared" ca="1" si="54"/>
        <v>0</v>
      </c>
      <c r="BS55" s="150">
        <f t="shared" ca="1" si="109"/>
        <v>0</v>
      </c>
      <c r="BT55" s="151" t="str">
        <f t="shared" ca="1" si="94"/>
        <v/>
      </c>
      <c r="BU55" s="92"/>
      <c r="BV55" s="152">
        <f t="shared" ca="1" si="95"/>
        <v>0</v>
      </c>
      <c r="BW55" s="152">
        <f t="shared" ca="1" si="96"/>
        <v>0</v>
      </c>
      <c r="BX55" s="144"/>
      <c r="BY55" s="153">
        <f t="shared" ca="1" si="56"/>
        <v>0</v>
      </c>
      <c r="BZ55" s="153">
        <f t="shared" ca="1" si="111"/>
        <v>0</v>
      </c>
      <c r="CA55" s="154" t="str">
        <f t="shared" ca="1" si="97"/>
        <v/>
      </c>
      <c r="CB55" s="92"/>
      <c r="CC55" s="155">
        <f t="shared" ca="1" si="98"/>
        <v>0</v>
      </c>
      <c r="CD55" s="155">
        <f t="shared" ca="1" si="99"/>
        <v>0</v>
      </c>
      <c r="CE55" s="144"/>
      <c r="CF55" s="156">
        <f t="shared" ca="1" si="58"/>
        <v>0</v>
      </c>
      <c r="CG55" s="156">
        <f t="shared" ca="1" si="112"/>
        <v>0</v>
      </c>
      <c r="CH55" s="157" t="str">
        <f t="shared" ca="1" si="100"/>
        <v/>
      </c>
      <c r="CI55" s="92"/>
      <c r="CJ55" s="158">
        <f t="shared" ca="1" si="101"/>
        <v>0</v>
      </c>
      <c r="CK55" s="158">
        <f t="shared" ca="1" si="102"/>
        <v>0</v>
      </c>
      <c r="CL55" s="144"/>
      <c r="CM55" s="159">
        <f t="shared" ca="1" si="60"/>
        <v>0</v>
      </c>
      <c r="CN55" s="159">
        <f t="shared" ca="1" si="113"/>
        <v>0</v>
      </c>
      <c r="CO55" s="160" t="str">
        <f t="shared" ca="1" si="103"/>
        <v/>
      </c>
      <c r="CP55" s="92"/>
      <c r="CQ55" s="140">
        <v>52</v>
      </c>
      <c r="CR55" s="330">
        <v>0.15</v>
      </c>
      <c r="CS55" s="92">
        <f t="shared" si="62"/>
        <v>0</v>
      </c>
      <c r="CT55" s="335">
        <f t="shared" si="63"/>
        <v>0.15</v>
      </c>
      <c r="CU55" s="92">
        <f t="shared" si="64"/>
        <v>1</v>
      </c>
      <c r="CV55" s="348">
        <f t="shared" si="65"/>
        <v>1</v>
      </c>
      <c r="CW55" s="367">
        <f t="shared" si="121"/>
        <v>133.44999999999999</v>
      </c>
      <c r="CX55" s="367">
        <f t="shared" si="122"/>
        <v>65.45</v>
      </c>
      <c r="CY55" s="367">
        <f t="shared" si="123"/>
        <v>264.24</v>
      </c>
      <c r="CZ55" s="380">
        <f t="shared" si="124"/>
        <v>148.43</v>
      </c>
      <c r="DA55" s="425"/>
      <c r="DB55" s="391">
        <v>52</v>
      </c>
      <c r="DC55" s="59">
        <v>50756.28</v>
      </c>
      <c r="DD55" s="59">
        <v>67026.62</v>
      </c>
      <c r="DE55" s="59">
        <v>45054.11</v>
      </c>
      <c r="DF55" s="59">
        <v>59496.58</v>
      </c>
      <c r="DG55" s="59">
        <v>39891.660000000003</v>
      </c>
      <c r="DH55" s="59">
        <v>52679.27</v>
      </c>
      <c r="DI55" s="137">
        <v>182648.24</v>
      </c>
      <c r="DJ55" s="137">
        <v>180076.28</v>
      </c>
      <c r="DK55" s="138">
        <v>148599.74</v>
      </c>
      <c r="DL55" s="138">
        <v>127192.08</v>
      </c>
      <c r="DM55" s="137">
        <v>97397.35</v>
      </c>
      <c r="DN55" s="139">
        <v>89390.99</v>
      </c>
      <c r="DP55" s="384" t="s">
        <v>180</v>
      </c>
      <c r="DQ55" s="387">
        <v>1765.56</v>
      </c>
      <c r="DR55" s="387">
        <v>2213.1</v>
      </c>
    </row>
    <row r="56" spans="1:122">
      <c r="A56" s="178">
        <v>20</v>
      </c>
      <c r="B56" s="173">
        <f ca="1">RESUMEN!J23</f>
        <v>0</v>
      </c>
      <c r="C56" s="173">
        <f ca="1">+RESUMEN!K23</f>
        <v>0</v>
      </c>
      <c r="D56" s="174">
        <f t="shared" ca="1" si="107"/>
        <v>0</v>
      </c>
      <c r="E56" s="177">
        <f ca="1">+RESUMEN!T5</f>
        <v>0</v>
      </c>
      <c r="F56" s="173">
        <f ca="1">RESUMEN!P5</f>
        <v>0</v>
      </c>
      <c r="G56" s="174">
        <f t="shared" ca="1" si="125"/>
        <v>0</v>
      </c>
      <c r="H56" s="165"/>
      <c r="I56" s="353"/>
      <c r="J56" s="164">
        <v>53</v>
      </c>
      <c r="K56" s="59">
        <f t="shared" si="126"/>
        <v>53260.32</v>
      </c>
      <c r="L56" s="59">
        <f t="shared" si="127"/>
        <v>69249.17</v>
      </c>
      <c r="M56" s="59">
        <f t="shared" si="128"/>
        <v>47276.84</v>
      </c>
      <c r="N56" s="59">
        <f t="shared" si="129"/>
        <v>61469.45</v>
      </c>
      <c r="O56" s="59">
        <f t="shared" si="130"/>
        <v>41859.699999999997</v>
      </c>
      <c r="P56" s="59">
        <f t="shared" si="131"/>
        <v>54426.07</v>
      </c>
      <c r="Q56" s="136">
        <f t="shared" si="79"/>
        <v>182754.84</v>
      </c>
      <c r="R56" s="136">
        <f t="shared" si="80"/>
        <v>177456.09</v>
      </c>
      <c r="S56" s="136">
        <f t="shared" si="81"/>
        <v>145526.79999999999</v>
      </c>
      <c r="T56" s="136">
        <f t="shared" si="82"/>
        <v>128072.91</v>
      </c>
      <c r="U56" s="136">
        <f t="shared" si="83"/>
        <v>96468.54</v>
      </c>
      <c r="V56" s="136">
        <f t="shared" si="84"/>
        <v>90176.78</v>
      </c>
      <c r="W56" s="92"/>
      <c r="X56" s="137">
        <f t="shared" si="115"/>
        <v>182754.84</v>
      </c>
      <c r="Y56" s="137">
        <f t="shared" si="116"/>
        <v>177456.09</v>
      </c>
      <c r="Z56" s="136">
        <f t="shared" si="31"/>
        <v>190613.29811999999</v>
      </c>
      <c r="AA56" s="136">
        <f t="shared" si="32"/>
        <v>185086.70186999999</v>
      </c>
      <c r="AB56" s="136">
        <f t="shared" si="33"/>
        <v>204685.42080000002</v>
      </c>
      <c r="AC56" s="136">
        <f t="shared" si="34"/>
        <v>198750.82080000002</v>
      </c>
      <c r="AD56" s="138">
        <f t="shared" si="117"/>
        <v>145526.79999999999</v>
      </c>
      <c r="AE56" s="138">
        <f t="shared" si="118"/>
        <v>128072.91</v>
      </c>
      <c r="AF56" s="136">
        <f t="shared" si="36"/>
        <v>151784.45239999998</v>
      </c>
      <c r="AG56" s="136">
        <f t="shared" si="37"/>
        <v>133580.04512999998</v>
      </c>
      <c r="AH56" s="136">
        <f t="shared" si="38"/>
        <v>162990.016</v>
      </c>
      <c r="AI56" s="136">
        <f t="shared" si="39"/>
        <v>143441.65920000002</v>
      </c>
      <c r="AJ56" s="137">
        <f t="shared" si="119"/>
        <v>96468.54</v>
      </c>
      <c r="AK56" s="137">
        <f t="shared" si="120"/>
        <v>90176.78</v>
      </c>
      <c r="AL56" s="136">
        <f t="shared" si="41"/>
        <v>100616.68721999999</v>
      </c>
      <c r="AM56" s="136">
        <f t="shared" si="42"/>
        <v>94054.381539999988</v>
      </c>
      <c r="AN56" s="136">
        <f t="shared" si="43"/>
        <v>108044.7648</v>
      </c>
      <c r="AO56" s="136">
        <f t="shared" si="44"/>
        <v>100997.9936</v>
      </c>
      <c r="AP56" s="92"/>
      <c r="AQ56" s="140">
        <v>53</v>
      </c>
      <c r="AR56" s="141">
        <f ca="1">+RESUMEN!F56</f>
        <v>0</v>
      </c>
      <c r="AS56" s="141">
        <f ca="1">+RESUMEN!G56</f>
        <v>0</v>
      </c>
      <c r="AT56" s="142">
        <f t="shared" ca="1" si="85"/>
        <v>0</v>
      </c>
      <c r="AU56" s="143">
        <f t="shared" si="45"/>
        <v>0</v>
      </c>
      <c r="AV56" s="143">
        <f t="shared" si="46"/>
        <v>0</v>
      </c>
      <c r="AW56" s="143">
        <f t="shared" si="47"/>
        <v>0</v>
      </c>
      <c r="AX56" s="143">
        <f t="shared" si="48"/>
        <v>0</v>
      </c>
      <c r="AY56" s="143">
        <f t="shared" ca="1" si="49"/>
        <v>0</v>
      </c>
      <c r="AZ56" s="142"/>
      <c r="BA56" s="143">
        <f t="shared" ca="1" si="86"/>
        <v>0</v>
      </c>
      <c r="BB56" s="143">
        <f t="shared" ca="1" si="87"/>
        <v>0</v>
      </c>
      <c r="BC56" s="144"/>
      <c r="BD56" s="145">
        <f t="shared" ca="1" si="50"/>
        <v>0</v>
      </c>
      <c r="BE56" s="145">
        <f t="shared" ca="1" si="108"/>
        <v>0</v>
      </c>
      <c r="BF56" s="146" t="str">
        <f t="shared" ca="1" si="88"/>
        <v/>
      </c>
      <c r="BG56" s="92"/>
      <c r="BH56" s="95">
        <f t="shared" ca="1" si="89"/>
        <v>0</v>
      </c>
      <c r="BI56" s="95">
        <f t="shared" ca="1" si="90"/>
        <v>0</v>
      </c>
      <c r="BJ56" s="144"/>
      <c r="BK56" s="147">
        <f t="shared" ca="1" si="52"/>
        <v>0</v>
      </c>
      <c r="BL56" s="147">
        <f t="shared" ca="1" si="110"/>
        <v>0</v>
      </c>
      <c r="BM56" s="148" t="str">
        <f t="shared" ca="1" si="91"/>
        <v/>
      </c>
      <c r="BN56" s="92"/>
      <c r="BO56" s="149">
        <f t="shared" ca="1" si="92"/>
        <v>0</v>
      </c>
      <c r="BP56" s="149">
        <f t="shared" ca="1" si="93"/>
        <v>0</v>
      </c>
      <c r="BQ56" s="144"/>
      <c r="BR56" s="150">
        <f t="shared" ca="1" si="54"/>
        <v>0</v>
      </c>
      <c r="BS56" s="150">
        <f t="shared" ca="1" si="109"/>
        <v>0</v>
      </c>
      <c r="BT56" s="151" t="str">
        <f t="shared" ca="1" si="94"/>
        <v/>
      </c>
      <c r="BU56" s="92"/>
      <c r="BV56" s="152">
        <f t="shared" ca="1" si="95"/>
        <v>0</v>
      </c>
      <c r="BW56" s="152">
        <f t="shared" ca="1" si="96"/>
        <v>0</v>
      </c>
      <c r="BX56" s="144"/>
      <c r="BY56" s="153">
        <f t="shared" ca="1" si="56"/>
        <v>0</v>
      </c>
      <c r="BZ56" s="153">
        <f t="shared" ca="1" si="111"/>
        <v>0</v>
      </c>
      <c r="CA56" s="154" t="str">
        <f t="shared" ca="1" si="97"/>
        <v/>
      </c>
      <c r="CB56" s="92"/>
      <c r="CC56" s="155">
        <f t="shared" ca="1" si="98"/>
        <v>0</v>
      </c>
      <c r="CD56" s="155">
        <f t="shared" ca="1" si="99"/>
        <v>0</v>
      </c>
      <c r="CE56" s="144"/>
      <c r="CF56" s="156">
        <f t="shared" ca="1" si="58"/>
        <v>0</v>
      </c>
      <c r="CG56" s="156">
        <f t="shared" ca="1" si="112"/>
        <v>0</v>
      </c>
      <c r="CH56" s="157" t="str">
        <f t="shared" ca="1" si="100"/>
        <v/>
      </c>
      <c r="CI56" s="92"/>
      <c r="CJ56" s="158">
        <f t="shared" ca="1" si="101"/>
        <v>0</v>
      </c>
      <c r="CK56" s="158">
        <f t="shared" ca="1" si="102"/>
        <v>0</v>
      </c>
      <c r="CL56" s="144"/>
      <c r="CM56" s="159">
        <f t="shared" ca="1" si="60"/>
        <v>0</v>
      </c>
      <c r="CN56" s="159">
        <f t="shared" ca="1" si="113"/>
        <v>0</v>
      </c>
      <c r="CO56" s="160" t="str">
        <f t="shared" ca="1" si="103"/>
        <v/>
      </c>
      <c r="CP56" s="92"/>
      <c r="CQ56" s="140">
        <v>53</v>
      </c>
      <c r="CR56" s="330">
        <v>0.15</v>
      </c>
      <c r="CS56" s="92">
        <f t="shared" si="62"/>
        <v>0</v>
      </c>
      <c r="CT56" s="335">
        <f t="shared" si="63"/>
        <v>0.15</v>
      </c>
      <c r="CU56" s="92">
        <f t="shared" si="64"/>
        <v>1</v>
      </c>
      <c r="CV56" s="348">
        <f t="shared" si="65"/>
        <v>1</v>
      </c>
      <c r="CW56" s="367">
        <f t="shared" si="121"/>
        <v>133.44999999999999</v>
      </c>
      <c r="CX56" s="367">
        <f t="shared" si="122"/>
        <v>65.45</v>
      </c>
      <c r="CY56" s="367">
        <f t="shared" si="123"/>
        <v>264.24</v>
      </c>
      <c r="CZ56" s="380">
        <f t="shared" si="124"/>
        <v>148.43</v>
      </c>
      <c r="DA56" s="425"/>
      <c r="DB56" s="391">
        <v>53</v>
      </c>
      <c r="DC56" s="59">
        <v>53260.32</v>
      </c>
      <c r="DD56" s="59">
        <v>69249.17</v>
      </c>
      <c r="DE56" s="59">
        <v>47276.84</v>
      </c>
      <c r="DF56" s="59">
        <v>61469.45</v>
      </c>
      <c r="DG56" s="59">
        <v>41859.699999999997</v>
      </c>
      <c r="DH56" s="59">
        <v>54426.07</v>
      </c>
      <c r="DI56" s="137">
        <v>182754.84</v>
      </c>
      <c r="DJ56" s="137">
        <v>177456.09</v>
      </c>
      <c r="DK56" s="138">
        <v>145526.79999999999</v>
      </c>
      <c r="DL56" s="138">
        <v>128072.91</v>
      </c>
      <c r="DM56" s="137">
        <v>96468.54</v>
      </c>
      <c r="DN56" s="139">
        <v>90176.78</v>
      </c>
      <c r="DP56" s="384" t="s">
        <v>181</v>
      </c>
      <c r="DQ56" s="386">
        <v>1816.59</v>
      </c>
      <c r="DR56" s="386">
        <v>2315.0500000000002</v>
      </c>
    </row>
    <row r="57" spans="1:122">
      <c r="A57" s="178">
        <v>21</v>
      </c>
      <c r="B57" s="173">
        <f ca="1">RESUMEN!J24</f>
        <v>0</v>
      </c>
      <c r="C57" s="173">
        <f ca="1">+RESUMEN!K24</f>
        <v>0</v>
      </c>
      <c r="D57" s="174">
        <f t="shared" ca="1" si="107"/>
        <v>0</v>
      </c>
      <c r="E57" s="177">
        <f ca="1">+RESUMEN!T6</f>
        <v>0</v>
      </c>
      <c r="F57" s="173">
        <f ca="1">RESUMEN!P6</f>
        <v>0</v>
      </c>
      <c r="G57" s="174">
        <f t="shared" ca="1" si="125"/>
        <v>0</v>
      </c>
      <c r="H57" s="165"/>
      <c r="I57" s="353"/>
      <c r="J57" s="164">
        <v>54</v>
      </c>
      <c r="K57" s="59">
        <f t="shared" si="126"/>
        <v>57064.22</v>
      </c>
      <c r="L57" s="59">
        <f t="shared" si="127"/>
        <v>72994.45</v>
      </c>
      <c r="M57" s="59">
        <f t="shared" si="128"/>
        <v>50653.39</v>
      </c>
      <c r="N57" s="59">
        <f t="shared" si="129"/>
        <v>64793.96</v>
      </c>
      <c r="O57" s="59">
        <f t="shared" si="130"/>
        <v>44849.36</v>
      </c>
      <c r="P57" s="59">
        <f t="shared" si="131"/>
        <v>57369.66</v>
      </c>
      <c r="Q57" s="136">
        <f t="shared" si="79"/>
        <v>185357.62</v>
      </c>
      <c r="R57" s="136">
        <f t="shared" si="80"/>
        <v>196939</v>
      </c>
      <c r="S57" s="136">
        <f t="shared" si="81"/>
        <v>151548.1</v>
      </c>
      <c r="T57" s="136">
        <f t="shared" si="82"/>
        <v>135633.89000000001</v>
      </c>
      <c r="U57" s="136">
        <f t="shared" si="83"/>
        <v>100676.77</v>
      </c>
      <c r="V57" s="136">
        <f t="shared" si="84"/>
        <v>94407.23</v>
      </c>
      <c r="W57" s="92"/>
      <c r="X57" s="137">
        <f t="shared" si="115"/>
        <v>185357.62</v>
      </c>
      <c r="Y57" s="137">
        <f t="shared" si="116"/>
        <v>196939</v>
      </c>
      <c r="Z57" s="136">
        <f t="shared" si="31"/>
        <v>193327.99765999999</v>
      </c>
      <c r="AA57" s="136">
        <f t="shared" si="32"/>
        <v>205407.37699999998</v>
      </c>
      <c r="AB57" s="136">
        <f t="shared" si="33"/>
        <v>207600.5344</v>
      </c>
      <c r="AC57" s="136">
        <f t="shared" si="34"/>
        <v>220571.68000000002</v>
      </c>
      <c r="AD57" s="138">
        <f t="shared" si="117"/>
        <v>151548.1</v>
      </c>
      <c r="AE57" s="138">
        <f t="shared" si="118"/>
        <v>135633.89000000001</v>
      </c>
      <c r="AF57" s="136">
        <f t="shared" si="36"/>
        <v>158064.66829999999</v>
      </c>
      <c r="AG57" s="136">
        <f t="shared" si="37"/>
        <v>141466.14727000002</v>
      </c>
      <c r="AH57" s="136">
        <f t="shared" si="38"/>
        <v>169733.87200000003</v>
      </c>
      <c r="AI57" s="136">
        <f t="shared" si="39"/>
        <v>151909.95680000004</v>
      </c>
      <c r="AJ57" s="137">
        <f t="shared" si="119"/>
        <v>100676.77</v>
      </c>
      <c r="AK57" s="137">
        <f t="shared" si="120"/>
        <v>94407.23</v>
      </c>
      <c r="AL57" s="136">
        <f t="shared" si="41"/>
        <v>105005.87110999999</v>
      </c>
      <c r="AM57" s="136">
        <f t="shared" si="42"/>
        <v>98466.740889999986</v>
      </c>
      <c r="AN57" s="136">
        <f t="shared" si="43"/>
        <v>112757.98240000001</v>
      </c>
      <c r="AO57" s="136">
        <f t="shared" si="44"/>
        <v>105736.09760000001</v>
      </c>
      <c r="AP57" s="92"/>
      <c r="AQ57" s="140">
        <v>54</v>
      </c>
      <c r="AR57" s="141">
        <f ca="1">+RESUMEN!F57</f>
        <v>0</v>
      </c>
      <c r="AS57" s="141">
        <f ca="1">+RESUMEN!G57</f>
        <v>0</v>
      </c>
      <c r="AT57" s="142">
        <f t="shared" ca="1" si="85"/>
        <v>0</v>
      </c>
      <c r="AU57" s="143">
        <f t="shared" si="45"/>
        <v>0</v>
      </c>
      <c r="AV57" s="143">
        <f t="shared" si="46"/>
        <v>0</v>
      </c>
      <c r="AW57" s="143">
        <f t="shared" si="47"/>
        <v>0</v>
      </c>
      <c r="AX57" s="143">
        <f t="shared" si="48"/>
        <v>0</v>
      </c>
      <c r="AY57" s="143">
        <f t="shared" ca="1" si="49"/>
        <v>0</v>
      </c>
      <c r="AZ57" s="142"/>
      <c r="BA57" s="143">
        <f t="shared" ca="1" si="86"/>
        <v>0</v>
      </c>
      <c r="BB57" s="143">
        <f t="shared" ca="1" si="87"/>
        <v>0</v>
      </c>
      <c r="BC57" s="144"/>
      <c r="BD57" s="145">
        <f t="shared" ca="1" si="50"/>
        <v>0</v>
      </c>
      <c r="BE57" s="145">
        <f t="shared" ca="1" si="108"/>
        <v>0</v>
      </c>
      <c r="BF57" s="146" t="str">
        <f t="shared" ca="1" si="88"/>
        <v/>
      </c>
      <c r="BG57" s="92"/>
      <c r="BH57" s="95">
        <f t="shared" ca="1" si="89"/>
        <v>0</v>
      </c>
      <c r="BI57" s="95">
        <f t="shared" ca="1" si="90"/>
        <v>0</v>
      </c>
      <c r="BJ57" s="144"/>
      <c r="BK57" s="147">
        <f t="shared" ca="1" si="52"/>
        <v>0</v>
      </c>
      <c r="BL57" s="147">
        <f t="shared" ca="1" si="110"/>
        <v>0</v>
      </c>
      <c r="BM57" s="148" t="str">
        <f t="shared" ca="1" si="91"/>
        <v/>
      </c>
      <c r="BN57" s="92"/>
      <c r="BO57" s="149">
        <f t="shared" ca="1" si="92"/>
        <v>0</v>
      </c>
      <c r="BP57" s="149">
        <f t="shared" ca="1" si="93"/>
        <v>0</v>
      </c>
      <c r="BQ57" s="144"/>
      <c r="BR57" s="150">
        <f t="shared" ca="1" si="54"/>
        <v>0</v>
      </c>
      <c r="BS57" s="150">
        <f t="shared" ca="1" si="109"/>
        <v>0</v>
      </c>
      <c r="BT57" s="151" t="str">
        <f t="shared" ca="1" si="94"/>
        <v/>
      </c>
      <c r="BU57" s="92"/>
      <c r="BV57" s="152">
        <f t="shared" ca="1" si="95"/>
        <v>0</v>
      </c>
      <c r="BW57" s="152">
        <f t="shared" ca="1" si="96"/>
        <v>0</v>
      </c>
      <c r="BX57" s="144"/>
      <c r="BY57" s="153">
        <f t="shared" ca="1" si="56"/>
        <v>0</v>
      </c>
      <c r="BZ57" s="153">
        <f t="shared" ca="1" si="111"/>
        <v>0</v>
      </c>
      <c r="CA57" s="154" t="str">
        <f t="shared" ca="1" si="97"/>
        <v/>
      </c>
      <c r="CB57" s="92"/>
      <c r="CC57" s="155">
        <f t="shared" ca="1" si="98"/>
        <v>0</v>
      </c>
      <c r="CD57" s="155">
        <f t="shared" ca="1" si="99"/>
        <v>0</v>
      </c>
      <c r="CE57" s="144"/>
      <c r="CF57" s="156">
        <f t="shared" ca="1" si="58"/>
        <v>0</v>
      </c>
      <c r="CG57" s="156">
        <f t="shared" ca="1" si="112"/>
        <v>0</v>
      </c>
      <c r="CH57" s="157" t="str">
        <f t="shared" ca="1" si="100"/>
        <v/>
      </c>
      <c r="CI57" s="92"/>
      <c r="CJ57" s="158">
        <f t="shared" ca="1" si="101"/>
        <v>0</v>
      </c>
      <c r="CK57" s="158">
        <f t="shared" ca="1" si="102"/>
        <v>0</v>
      </c>
      <c r="CL57" s="144"/>
      <c r="CM57" s="159">
        <f t="shared" ca="1" si="60"/>
        <v>0</v>
      </c>
      <c r="CN57" s="159">
        <f t="shared" ca="1" si="113"/>
        <v>0</v>
      </c>
      <c r="CO57" s="160" t="str">
        <f t="shared" ca="1" si="103"/>
        <v/>
      </c>
      <c r="CP57" s="92"/>
      <c r="CQ57" s="140">
        <v>54</v>
      </c>
      <c r="CR57" s="330">
        <v>0.15</v>
      </c>
      <c r="CS57" s="92">
        <f t="shared" si="62"/>
        <v>0</v>
      </c>
      <c r="CT57" s="335">
        <f t="shared" si="63"/>
        <v>0.15</v>
      </c>
      <c r="CU57" s="92">
        <f t="shared" si="64"/>
        <v>1</v>
      </c>
      <c r="CV57" s="348">
        <f t="shared" si="65"/>
        <v>1</v>
      </c>
      <c r="CW57" s="367">
        <f t="shared" si="121"/>
        <v>133.44999999999999</v>
      </c>
      <c r="CX57" s="367">
        <f t="shared" si="122"/>
        <v>65.45</v>
      </c>
      <c r="CY57" s="367">
        <f t="shared" si="123"/>
        <v>264.24</v>
      </c>
      <c r="CZ57" s="380">
        <f t="shared" si="124"/>
        <v>148.43</v>
      </c>
      <c r="DA57" s="425"/>
      <c r="DB57" s="391">
        <v>54</v>
      </c>
      <c r="DC57" s="59">
        <v>57064.22</v>
      </c>
      <c r="DD57" s="59">
        <v>72994.45</v>
      </c>
      <c r="DE57" s="59">
        <v>50653.39</v>
      </c>
      <c r="DF57" s="59">
        <v>64793.96</v>
      </c>
      <c r="DG57" s="59">
        <v>44849.36</v>
      </c>
      <c r="DH57" s="59">
        <v>57369.66</v>
      </c>
      <c r="DI57" s="137">
        <v>185357.62</v>
      </c>
      <c r="DJ57" s="137">
        <v>196939</v>
      </c>
      <c r="DK57" s="138">
        <v>151548.1</v>
      </c>
      <c r="DL57" s="138">
        <v>135633.89000000001</v>
      </c>
      <c r="DM57" s="137">
        <v>100676.77</v>
      </c>
      <c r="DN57" s="139">
        <v>94407.23</v>
      </c>
      <c r="DP57" s="384" t="s">
        <v>182</v>
      </c>
      <c r="DQ57" s="389">
        <v>1867.62</v>
      </c>
      <c r="DR57" s="389">
        <v>2417</v>
      </c>
    </row>
    <row r="58" spans="1:122">
      <c r="A58" s="178">
        <v>22</v>
      </c>
      <c r="B58" s="173">
        <f ca="1">RESUMEN!J25</f>
        <v>0</v>
      </c>
      <c r="C58" s="173">
        <f ca="1">+RESUMEN!K25</f>
        <v>0</v>
      </c>
      <c r="D58" s="174">
        <f t="shared" ca="1" si="107"/>
        <v>0</v>
      </c>
      <c r="E58" s="177">
        <f ca="1">+RESUMEN!T7</f>
        <v>0</v>
      </c>
      <c r="F58" s="173">
        <f ca="1">RESUMEN!P7</f>
        <v>0</v>
      </c>
      <c r="G58" s="174">
        <f t="shared" ca="1" si="125"/>
        <v>0</v>
      </c>
      <c r="H58" s="165"/>
      <c r="I58" s="353"/>
      <c r="J58" s="164">
        <v>55</v>
      </c>
      <c r="K58" s="59">
        <f t="shared" si="126"/>
        <v>62336.1</v>
      </c>
      <c r="L58" s="59">
        <f t="shared" si="127"/>
        <v>75844.62</v>
      </c>
      <c r="M58" s="59">
        <f t="shared" si="128"/>
        <v>55333.01</v>
      </c>
      <c r="N58" s="59">
        <f t="shared" si="129"/>
        <v>67323.94</v>
      </c>
      <c r="O58" s="59">
        <f t="shared" si="130"/>
        <v>48992.77</v>
      </c>
      <c r="P58" s="59">
        <f t="shared" si="131"/>
        <v>59609.73</v>
      </c>
      <c r="Q58" s="136">
        <f t="shared" si="79"/>
        <v>212662.88</v>
      </c>
      <c r="R58" s="136">
        <f t="shared" si="80"/>
        <v>208617.48</v>
      </c>
      <c r="S58" s="136">
        <f t="shared" si="81"/>
        <v>151577.96</v>
      </c>
      <c r="T58" s="136">
        <f t="shared" si="82"/>
        <v>145187.75</v>
      </c>
      <c r="U58" s="136">
        <f t="shared" si="83"/>
        <v>100764.49</v>
      </c>
      <c r="V58" s="136">
        <f t="shared" si="84"/>
        <v>102027.34</v>
      </c>
      <c r="W58" s="92"/>
      <c r="X58" s="137">
        <f t="shared" si="115"/>
        <v>212662.88</v>
      </c>
      <c r="Y58" s="137">
        <f t="shared" si="116"/>
        <v>208617.48</v>
      </c>
      <c r="Z58" s="136">
        <f t="shared" si="31"/>
        <v>221807.38383999999</v>
      </c>
      <c r="AA58" s="136">
        <f t="shared" si="32"/>
        <v>217588.03164</v>
      </c>
      <c r="AB58" s="136">
        <f t="shared" si="33"/>
        <v>238182.42560000002</v>
      </c>
      <c r="AC58" s="136">
        <f t="shared" si="34"/>
        <v>233651.57760000005</v>
      </c>
      <c r="AD58" s="138">
        <f t="shared" si="117"/>
        <v>151577.96</v>
      </c>
      <c r="AE58" s="138">
        <f t="shared" si="118"/>
        <v>145187.75</v>
      </c>
      <c r="AF58" s="136">
        <f t="shared" si="36"/>
        <v>158095.81227999998</v>
      </c>
      <c r="AG58" s="136">
        <f t="shared" si="37"/>
        <v>151430.82324999999</v>
      </c>
      <c r="AH58" s="136">
        <f t="shared" si="38"/>
        <v>169767.31520000001</v>
      </c>
      <c r="AI58" s="136">
        <f t="shared" si="39"/>
        <v>162610.28000000003</v>
      </c>
      <c r="AJ58" s="137">
        <f t="shared" si="119"/>
        <v>100764.49</v>
      </c>
      <c r="AK58" s="137">
        <f t="shared" si="120"/>
        <v>102027.34</v>
      </c>
      <c r="AL58" s="136">
        <f t="shared" si="41"/>
        <v>105097.36306999999</v>
      </c>
      <c r="AM58" s="136">
        <f t="shared" si="42"/>
        <v>106414.51561999999</v>
      </c>
      <c r="AN58" s="136">
        <f t="shared" si="43"/>
        <v>112856.22880000001</v>
      </c>
      <c r="AO58" s="136">
        <f t="shared" si="44"/>
        <v>114270.6208</v>
      </c>
      <c r="AP58" s="92"/>
      <c r="AQ58" s="140">
        <v>55</v>
      </c>
      <c r="AR58" s="141">
        <f ca="1">+RESUMEN!F58</f>
        <v>0</v>
      </c>
      <c r="AS58" s="141">
        <f ca="1">+RESUMEN!G58</f>
        <v>0</v>
      </c>
      <c r="AT58" s="142">
        <f t="shared" ca="1" si="85"/>
        <v>0</v>
      </c>
      <c r="AU58" s="143">
        <f t="shared" si="45"/>
        <v>0</v>
      </c>
      <c r="AV58" s="143">
        <f t="shared" si="46"/>
        <v>0</v>
      </c>
      <c r="AW58" s="143">
        <f t="shared" si="47"/>
        <v>0</v>
      </c>
      <c r="AX58" s="143">
        <f t="shared" si="48"/>
        <v>0</v>
      </c>
      <c r="AY58" s="143">
        <f t="shared" ca="1" si="49"/>
        <v>0</v>
      </c>
      <c r="AZ58" s="142"/>
      <c r="BA58" s="143">
        <f t="shared" ca="1" si="86"/>
        <v>0</v>
      </c>
      <c r="BB58" s="143">
        <f t="shared" ca="1" si="87"/>
        <v>0</v>
      </c>
      <c r="BC58" s="144"/>
      <c r="BD58" s="145">
        <f t="shared" ca="1" si="50"/>
        <v>0</v>
      </c>
      <c r="BE58" s="145">
        <f t="shared" ca="1" si="108"/>
        <v>0</v>
      </c>
      <c r="BF58" s="146" t="str">
        <f t="shared" ca="1" si="88"/>
        <v/>
      </c>
      <c r="BG58" s="92"/>
      <c r="BH58" s="95">
        <f t="shared" ca="1" si="89"/>
        <v>0</v>
      </c>
      <c r="BI58" s="95">
        <f t="shared" ca="1" si="90"/>
        <v>0</v>
      </c>
      <c r="BJ58" s="144"/>
      <c r="BK58" s="147">
        <f t="shared" ca="1" si="52"/>
        <v>0</v>
      </c>
      <c r="BL58" s="147">
        <f t="shared" ca="1" si="110"/>
        <v>0</v>
      </c>
      <c r="BM58" s="148" t="str">
        <f t="shared" ca="1" si="91"/>
        <v/>
      </c>
      <c r="BN58" s="92"/>
      <c r="BO58" s="149">
        <f t="shared" ca="1" si="92"/>
        <v>0</v>
      </c>
      <c r="BP58" s="149">
        <f t="shared" ca="1" si="93"/>
        <v>0</v>
      </c>
      <c r="BQ58" s="144"/>
      <c r="BR58" s="150">
        <f t="shared" ca="1" si="54"/>
        <v>0</v>
      </c>
      <c r="BS58" s="150">
        <f t="shared" ca="1" si="109"/>
        <v>0</v>
      </c>
      <c r="BT58" s="151" t="str">
        <f t="shared" ca="1" si="94"/>
        <v/>
      </c>
      <c r="BU58" s="92"/>
      <c r="BV58" s="152">
        <f t="shared" ca="1" si="95"/>
        <v>0</v>
      </c>
      <c r="BW58" s="152">
        <f t="shared" ca="1" si="96"/>
        <v>0</v>
      </c>
      <c r="BX58" s="144"/>
      <c r="BY58" s="153">
        <f t="shared" ca="1" si="56"/>
        <v>0</v>
      </c>
      <c r="BZ58" s="153">
        <f t="shared" ca="1" si="111"/>
        <v>0</v>
      </c>
      <c r="CA58" s="154" t="str">
        <f t="shared" ca="1" si="97"/>
        <v/>
      </c>
      <c r="CB58" s="92"/>
      <c r="CC58" s="155">
        <f t="shared" ca="1" si="98"/>
        <v>0</v>
      </c>
      <c r="CD58" s="155">
        <f t="shared" ca="1" si="99"/>
        <v>0</v>
      </c>
      <c r="CE58" s="144"/>
      <c r="CF58" s="156">
        <f t="shared" ca="1" si="58"/>
        <v>0</v>
      </c>
      <c r="CG58" s="156">
        <f t="shared" ca="1" si="112"/>
        <v>0</v>
      </c>
      <c r="CH58" s="157" t="str">
        <f t="shared" ca="1" si="100"/>
        <v/>
      </c>
      <c r="CI58" s="92"/>
      <c r="CJ58" s="158">
        <f t="shared" ca="1" si="101"/>
        <v>0</v>
      </c>
      <c r="CK58" s="158">
        <f t="shared" ca="1" si="102"/>
        <v>0</v>
      </c>
      <c r="CL58" s="144"/>
      <c r="CM58" s="159">
        <f t="shared" ca="1" si="60"/>
        <v>0</v>
      </c>
      <c r="CN58" s="159">
        <f t="shared" ca="1" si="113"/>
        <v>0</v>
      </c>
      <c r="CO58" s="160" t="str">
        <f t="shared" ca="1" si="103"/>
        <v/>
      </c>
      <c r="CP58" s="92"/>
      <c r="CQ58" s="140">
        <v>55</v>
      </c>
      <c r="CR58" s="330">
        <v>0.15</v>
      </c>
      <c r="CS58" s="92">
        <f t="shared" si="62"/>
        <v>0</v>
      </c>
      <c r="CT58" s="335">
        <f t="shared" si="63"/>
        <v>0.15</v>
      </c>
      <c r="CU58" s="92">
        <f t="shared" si="64"/>
        <v>1</v>
      </c>
      <c r="CV58" s="348">
        <f t="shared" si="65"/>
        <v>1</v>
      </c>
      <c r="CW58" s="367">
        <f t="shared" si="121"/>
        <v>133.44999999999999</v>
      </c>
      <c r="CX58" s="367">
        <f t="shared" si="122"/>
        <v>65.45</v>
      </c>
      <c r="CY58" s="367">
        <f t="shared" si="123"/>
        <v>264.24</v>
      </c>
      <c r="CZ58" s="380">
        <f t="shared" si="124"/>
        <v>148.43</v>
      </c>
      <c r="DA58" s="425"/>
      <c r="DB58" s="391">
        <v>55</v>
      </c>
      <c r="DC58" s="59">
        <v>62336.1</v>
      </c>
      <c r="DD58" s="59">
        <v>75844.62</v>
      </c>
      <c r="DE58" s="59">
        <v>55333.01</v>
      </c>
      <c r="DF58" s="59">
        <v>67323.94</v>
      </c>
      <c r="DG58" s="59">
        <v>48992.77</v>
      </c>
      <c r="DH58" s="59">
        <v>59609.73</v>
      </c>
      <c r="DI58" s="137">
        <v>212662.88</v>
      </c>
      <c r="DJ58" s="137">
        <v>208617.48</v>
      </c>
      <c r="DK58" s="138">
        <v>151577.96</v>
      </c>
      <c r="DL58" s="138">
        <v>145187.75</v>
      </c>
      <c r="DM58" s="137">
        <v>100764.49</v>
      </c>
      <c r="DN58" s="139">
        <v>102027.34</v>
      </c>
      <c r="DP58" s="384" t="s">
        <v>183</v>
      </c>
      <c r="DQ58" s="387">
        <v>1998.95</v>
      </c>
      <c r="DR58" s="387">
        <v>2632.45</v>
      </c>
    </row>
    <row r="59" spans="1:122">
      <c r="A59" s="178">
        <v>23</v>
      </c>
      <c r="B59" s="173">
        <f ca="1">RESUMEN!J26</f>
        <v>0</v>
      </c>
      <c r="C59" s="173">
        <f ca="1">+RESUMEN!K26</f>
        <v>0</v>
      </c>
      <c r="D59" s="174">
        <f t="shared" ca="1" si="107"/>
        <v>0</v>
      </c>
      <c r="E59" s="177">
        <f ca="1">+RESUMEN!T8</f>
        <v>0</v>
      </c>
      <c r="F59" s="173">
        <f ca="1">RESUMEN!P8</f>
        <v>0</v>
      </c>
      <c r="G59" s="174">
        <f t="shared" ca="1" si="125"/>
        <v>0</v>
      </c>
      <c r="H59" s="165"/>
      <c r="I59" s="353"/>
      <c r="J59" s="164">
        <v>56</v>
      </c>
      <c r="K59" s="59">
        <f t="shared" si="126"/>
        <v>62347.69</v>
      </c>
      <c r="L59" s="59">
        <f t="shared" si="127"/>
        <v>77123.360000000001</v>
      </c>
      <c r="M59" s="59">
        <f t="shared" si="128"/>
        <v>55343.3</v>
      </c>
      <c r="N59" s="59">
        <f t="shared" si="129"/>
        <v>68459.009999999995</v>
      </c>
      <c r="O59" s="59">
        <f t="shared" si="130"/>
        <v>49001.88</v>
      </c>
      <c r="P59" s="59">
        <f t="shared" si="131"/>
        <v>60614.75</v>
      </c>
      <c r="Q59" s="136">
        <f t="shared" si="79"/>
        <v>213694.3</v>
      </c>
      <c r="R59" s="136">
        <f t="shared" si="80"/>
        <v>220988.5</v>
      </c>
      <c r="S59" s="136">
        <f t="shared" si="81"/>
        <v>153398.51</v>
      </c>
      <c r="T59" s="136">
        <f t="shared" si="82"/>
        <v>162834.47</v>
      </c>
      <c r="U59" s="136">
        <f t="shared" si="83"/>
        <v>103733.75</v>
      </c>
      <c r="V59" s="136">
        <f t="shared" si="84"/>
        <v>115251.63</v>
      </c>
      <c r="W59" s="92"/>
      <c r="X59" s="137">
        <f t="shared" si="115"/>
        <v>213694.3</v>
      </c>
      <c r="Y59" s="137">
        <f t="shared" si="116"/>
        <v>220988.5</v>
      </c>
      <c r="Z59" s="136">
        <f t="shared" si="31"/>
        <v>222883.15489999996</v>
      </c>
      <c r="AA59" s="136">
        <f t="shared" si="32"/>
        <v>230491.00549999997</v>
      </c>
      <c r="AB59" s="136">
        <f t="shared" si="33"/>
        <v>239337.61600000001</v>
      </c>
      <c r="AC59" s="136">
        <f t="shared" si="34"/>
        <v>247507.12000000002</v>
      </c>
      <c r="AD59" s="138">
        <f t="shared" si="117"/>
        <v>153398.51</v>
      </c>
      <c r="AE59" s="138">
        <f t="shared" si="118"/>
        <v>162834.47</v>
      </c>
      <c r="AF59" s="136">
        <f t="shared" si="36"/>
        <v>159994.64593</v>
      </c>
      <c r="AG59" s="136">
        <f t="shared" si="37"/>
        <v>169836.35220999998</v>
      </c>
      <c r="AH59" s="136">
        <f t="shared" si="38"/>
        <v>171806.33120000002</v>
      </c>
      <c r="AI59" s="136">
        <f t="shared" si="39"/>
        <v>182374.60640000002</v>
      </c>
      <c r="AJ59" s="137">
        <f t="shared" si="119"/>
        <v>103733.75</v>
      </c>
      <c r="AK59" s="137">
        <f t="shared" si="120"/>
        <v>115251.63</v>
      </c>
      <c r="AL59" s="136">
        <f t="shared" si="41"/>
        <v>108194.30124999999</v>
      </c>
      <c r="AM59" s="136">
        <f t="shared" si="42"/>
        <v>120207.45009</v>
      </c>
      <c r="AN59" s="136">
        <f t="shared" si="43"/>
        <v>116181.80000000002</v>
      </c>
      <c r="AO59" s="136">
        <f t="shared" si="44"/>
        <v>129081.82560000001</v>
      </c>
      <c r="AP59" s="92"/>
      <c r="AQ59" s="140">
        <v>56</v>
      </c>
      <c r="AR59" s="141">
        <f ca="1">+RESUMEN!F59</f>
        <v>0</v>
      </c>
      <c r="AS59" s="141">
        <f ca="1">+RESUMEN!G59</f>
        <v>0</v>
      </c>
      <c r="AT59" s="142">
        <f t="shared" ca="1" si="85"/>
        <v>0</v>
      </c>
      <c r="AU59" s="143">
        <f t="shared" si="45"/>
        <v>0</v>
      </c>
      <c r="AV59" s="143">
        <f t="shared" si="46"/>
        <v>0</v>
      </c>
      <c r="AW59" s="143">
        <f t="shared" si="47"/>
        <v>0</v>
      </c>
      <c r="AX59" s="143">
        <f t="shared" si="48"/>
        <v>0</v>
      </c>
      <c r="AY59" s="143">
        <f t="shared" ca="1" si="49"/>
        <v>0</v>
      </c>
      <c r="AZ59" s="142"/>
      <c r="BA59" s="143">
        <f t="shared" ca="1" si="86"/>
        <v>0</v>
      </c>
      <c r="BB59" s="143">
        <f t="shared" ca="1" si="87"/>
        <v>0</v>
      </c>
      <c r="BC59" s="144"/>
      <c r="BD59" s="145">
        <f t="shared" ca="1" si="50"/>
        <v>0</v>
      </c>
      <c r="BE59" s="145">
        <f t="shared" ca="1" si="108"/>
        <v>0</v>
      </c>
      <c r="BF59" s="146" t="str">
        <f t="shared" ca="1" si="88"/>
        <v/>
      </c>
      <c r="BG59" s="92"/>
      <c r="BH59" s="95">
        <f t="shared" ca="1" si="89"/>
        <v>0</v>
      </c>
      <c r="BI59" s="95">
        <f t="shared" ca="1" si="90"/>
        <v>0</v>
      </c>
      <c r="BJ59" s="144"/>
      <c r="BK59" s="147">
        <f t="shared" ca="1" si="52"/>
        <v>0</v>
      </c>
      <c r="BL59" s="147">
        <f t="shared" ca="1" si="110"/>
        <v>0</v>
      </c>
      <c r="BM59" s="148" t="str">
        <f t="shared" ca="1" si="91"/>
        <v/>
      </c>
      <c r="BN59" s="92"/>
      <c r="BO59" s="149">
        <f t="shared" ca="1" si="92"/>
        <v>0</v>
      </c>
      <c r="BP59" s="149">
        <f t="shared" ca="1" si="93"/>
        <v>0</v>
      </c>
      <c r="BQ59" s="144"/>
      <c r="BR59" s="150">
        <f t="shared" ca="1" si="54"/>
        <v>0</v>
      </c>
      <c r="BS59" s="150">
        <f t="shared" ca="1" si="109"/>
        <v>0</v>
      </c>
      <c r="BT59" s="151" t="str">
        <f t="shared" ca="1" si="94"/>
        <v/>
      </c>
      <c r="BU59" s="92"/>
      <c r="BV59" s="152">
        <f t="shared" ca="1" si="95"/>
        <v>0</v>
      </c>
      <c r="BW59" s="152">
        <f t="shared" ca="1" si="96"/>
        <v>0</v>
      </c>
      <c r="BX59" s="144"/>
      <c r="BY59" s="153">
        <f t="shared" ca="1" si="56"/>
        <v>0</v>
      </c>
      <c r="BZ59" s="153">
        <f t="shared" ca="1" si="111"/>
        <v>0</v>
      </c>
      <c r="CA59" s="154" t="str">
        <f t="shared" ca="1" si="97"/>
        <v/>
      </c>
      <c r="CB59" s="92"/>
      <c r="CC59" s="155">
        <f t="shared" ca="1" si="98"/>
        <v>0</v>
      </c>
      <c r="CD59" s="155">
        <f t="shared" ca="1" si="99"/>
        <v>0</v>
      </c>
      <c r="CE59" s="144"/>
      <c r="CF59" s="156">
        <f t="shared" ca="1" si="58"/>
        <v>0</v>
      </c>
      <c r="CG59" s="156">
        <f t="shared" ca="1" si="112"/>
        <v>0</v>
      </c>
      <c r="CH59" s="157" t="str">
        <f t="shared" ca="1" si="100"/>
        <v/>
      </c>
      <c r="CI59" s="92"/>
      <c r="CJ59" s="158">
        <f t="shared" ca="1" si="101"/>
        <v>0</v>
      </c>
      <c r="CK59" s="158">
        <f t="shared" ca="1" si="102"/>
        <v>0</v>
      </c>
      <c r="CL59" s="144"/>
      <c r="CM59" s="159">
        <f t="shared" ca="1" si="60"/>
        <v>0</v>
      </c>
      <c r="CN59" s="159">
        <f t="shared" ca="1" si="113"/>
        <v>0</v>
      </c>
      <c r="CO59" s="160" t="str">
        <f t="shared" ca="1" si="103"/>
        <v/>
      </c>
      <c r="CP59" s="92"/>
      <c r="CQ59" s="140">
        <v>56</v>
      </c>
      <c r="CR59" s="330">
        <v>0.15</v>
      </c>
      <c r="CS59" s="92">
        <f t="shared" si="62"/>
        <v>0</v>
      </c>
      <c r="CT59" s="335">
        <f t="shared" si="63"/>
        <v>0.15</v>
      </c>
      <c r="CU59" s="92">
        <f t="shared" si="64"/>
        <v>1</v>
      </c>
      <c r="CV59" s="348">
        <f t="shared" si="65"/>
        <v>1</v>
      </c>
      <c r="CW59" s="367">
        <f t="shared" si="121"/>
        <v>133.44999999999999</v>
      </c>
      <c r="CX59" s="367">
        <f t="shared" si="122"/>
        <v>65.45</v>
      </c>
      <c r="CY59" s="367">
        <f t="shared" si="123"/>
        <v>264.24</v>
      </c>
      <c r="CZ59" s="380">
        <f t="shared" si="124"/>
        <v>148.43</v>
      </c>
      <c r="DA59" s="425"/>
      <c r="DB59" s="391">
        <v>56</v>
      </c>
      <c r="DC59" s="59">
        <v>62347.69</v>
      </c>
      <c r="DD59" s="59">
        <v>77123.360000000001</v>
      </c>
      <c r="DE59" s="59">
        <v>55343.3</v>
      </c>
      <c r="DF59" s="59">
        <v>68459.009999999995</v>
      </c>
      <c r="DG59" s="59">
        <v>49001.88</v>
      </c>
      <c r="DH59" s="59">
        <v>60614.75</v>
      </c>
      <c r="DI59" s="137">
        <v>213694.3</v>
      </c>
      <c r="DJ59" s="137">
        <v>220988.5</v>
      </c>
      <c r="DK59" s="138">
        <v>153398.51</v>
      </c>
      <c r="DL59" s="138">
        <v>162834.47</v>
      </c>
      <c r="DM59" s="137">
        <v>103733.75</v>
      </c>
      <c r="DN59" s="139">
        <v>115251.63</v>
      </c>
      <c r="DP59" s="384" t="s">
        <v>184</v>
      </c>
      <c r="DQ59" s="387">
        <v>2130.29</v>
      </c>
      <c r="DR59" s="387">
        <v>2847.9</v>
      </c>
    </row>
    <row r="60" spans="1:122">
      <c r="A60" s="178">
        <v>24</v>
      </c>
      <c r="B60" s="173">
        <f ca="1">RESUMEN!J27</f>
        <v>0</v>
      </c>
      <c r="C60" s="173">
        <f ca="1">+RESUMEN!K27</f>
        <v>0</v>
      </c>
      <c r="D60" s="174">
        <f t="shared" ca="1" si="107"/>
        <v>0</v>
      </c>
      <c r="E60" s="177">
        <f ca="1">+RESUMEN!T9</f>
        <v>0</v>
      </c>
      <c r="F60" s="173">
        <f ca="1">RESUMEN!P9</f>
        <v>0</v>
      </c>
      <c r="G60" s="174">
        <f t="shared" ca="1" si="125"/>
        <v>0</v>
      </c>
      <c r="H60" s="165"/>
      <c r="I60" s="353"/>
      <c r="J60" s="164">
        <v>57</v>
      </c>
      <c r="K60" s="59">
        <f t="shared" si="126"/>
        <v>64281.67</v>
      </c>
      <c r="L60" s="59">
        <f t="shared" si="127"/>
        <v>77864.289999999994</v>
      </c>
      <c r="M60" s="59">
        <f t="shared" si="128"/>
        <v>57060.01</v>
      </c>
      <c r="N60" s="59">
        <f t="shared" si="129"/>
        <v>69116.7</v>
      </c>
      <c r="O60" s="59">
        <f t="shared" si="130"/>
        <v>50521.89</v>
      </c>
      <c r="P60" s="59">
        <f t="shared" si="131"/>
        <v>61197.08</v>
      </c>
      <c r="Q60" s="136">
        <f t="shared" si="79"/>
        <v>217904.08</v>
      </c>
      <c r="R60" s="136">
        <f t="shared" si="80"/>
        <v>234093.11</v>
      </c>
      <c r="S60" s="136">
        <f t="shared" si="81"/>
        <v>161616.10999999999</v>
      </c>
      <c r="T60" s="136">
        <f t="shared" si="82"/>
        <v>174062.07999999999</v>
      </c>
      <c r="U60" s="136">
        <f t="shared" si="83"/>
        <v>109539.86</v>
      </c>
      <c r="V60" s="136">
        <f t="shared" si="84"/>
        <v>123422.89</v>
      </c>
      <c r="W60" s="92"/>
      <c r="X60" s="137">
        <f t="shared" si="115"/>
        <v>217904.08</v>
      </c>
      <c r="Y60" s="137">
        <f t="shared" si="116"/>
        <v>234093.11</v>
      </c>
      <c r="Z60" s="136">
        <f t="shared" si="31"/>
        <v>227273.95543999996</v>
      </c>
      <c r="AA60" s="136">
        <f t="shared" si="32"/>
        <v>244159.11372999998</v>
      </c>
      <c r="AB60" s="136">
        <f t="shared" si="33"/>
        <v>244052.56960000002</v>
      </c>
      <c r="AC60" s="136">
        <f t="shared" si="34"/>
        <v>262184.28320000001</v>
      </c>
      <c r="AD60" s="138">
        <f t="shared" si="117"/>
        <v>161616.10999999999</v>
      </c>
      <c r="AE60" s="138">
        <f t="shared" si="118"/>
        <v>174062.07999999999</v>
      </c>
      <c r="AF60" s="136">
        <f t="shared" si="36"/>
        <v>168565.60272999998</v>
      </c>
      <c r="AG60" s="136">
        <f t="shared" si="37"/>
        <v>181546.74943999999</v>
      </c>
      <c r="AH60" s="136">
        <f t="shared" si="38"/>
        <v>181010.04320000001</v>
      </c>
      <c r="AI60" s="136">
        <f t="shared" si="39"/>
        <v>194949.52960000001</v>
      </c>
      <c r="AJ60" s="137">
        <f t="shared" si="119"/>
        <v>109539.86</v>
      </c>
      <c r="AK60" s="137">
        <f t="shared" si="120"/>
        <v>123422.89</v>
      </c>
      <c r="AL60" s="136">
        <f t="shared" si="41"/>
        <v>114250.07397999999</v>
      </c>
      <c r="AM60" s="136">
        <f t="shared" si="42"/>
        <v>128730.07427</v>
      </c>
      <c r="AN60" s="136">
        <f t="shared" si="43"/>
        <v>122684.64320000001</v>
      </c>
      <c r="AO60" s="136">
        <f t="shared" si="44"/>
        <v>138233.63680000001</v>
      </c>
      <c r="AP60" s="92"/>
      <c r="AQ60" s="140">
        <v>57</v>
      </c>
      <c r="AR60" s="141">
        <f ca="1">+RESUMEN!F60</f>
        <v>0</v>
      </c>
      <c r="AS60" s="141">
        <f ca="1">+RESUMEN!G60</f>
        <v>0</v>
      </c>
      <c r="AT60" s="142">
        <f t="shared" ca="1" si="85"/>
        <v>0</v>
      </c>
      <c r="AU60" s="143">
        <f t="shared" si="45"/>
        <v>0</v>
      </c>
      <c r="AV60" s="143">
        <f t="shared" si="46"/>
        <v>0</v>
      </c>
      <c r="AW60" s="143">
        <f t="shared" si="47"/>
        <v>0</v>
      </c>
      <c r="AX60" s="143">
        <f t="shared" si="48"/>
        <v>0</v>
      </c>
      <c r="AY60" s="143">
        <f t="shared" ca="1" si="49"/>
        <v>0</v>
      </c>
      <c r="AZ60" s="142"/>
      <c r="BA60" s="143">
        <f t="shared" ca="1" si="86"/>
        <v>0</v>
      </c>
      <c r="BB60" s="143">
        <f t="shared" ca="1" si="87"/>
        <v>0</v>
      </c>
      <c r="BC60" s="144"/>
      <c r="BD60" s="145">
        <f t="shared" ca="1" si="50"/>
        <v>0</v>
      </c>
      <c r="BE60" s="145">
        <f t="shared" ca="1" si="108"/>
        <v>0</v>
      </c>
      <c r="BF60" s="146" t="str">
        <f t="shared" ca="1" si="88"/>
        <v/>
      </c>
      <c r="BG60" s="92"/>
      <c r="BH60" s="95">
        <f t="shared" ca="1" si="89"/>
        <v>0</v>
      </c>
      <c r="BI60" s="95">
        <f t="shared" ca="1" si="90"/>
        <v>0</v>
      </c>
      <c r="BJ60" s="144"/>
      <c r="BK60" s="147">
        <f t="shared" ca="1" si="52"/>
        <v>0</v>
      </c>
      <c r="BL60" s="147">
        <f t="shared" ca="1" si="110"/>
        <v>0</v>
      </c>
      <c r="BM60" s="148" t="str">
        <f t="shared" ca="1" si="91"/>
        <v/>
      </c>
      <c r="BN60" s="92"/>
      <c r="BO60" s="149">
        <f t="shared" ca="1" si="92"/>
        <v>0</v>
      </c>
      <c r="BP60" s="149">
        <f t="shared" ca="1" si="93"/>
        <v>0</v>
      </c>
      <c r="BQ60" s="144"/>
      <c r="BR60" s="150">
        <f t="shared" ca="1" si="54"/>
        <v>0</v>
      </c>
      <c r="BS60" s="150">
        <f t="shared" ca="1" si="109"/>
        <v>0</v>
      </c>
      <c r="BT60" s="151" t="str">
        <f t="shared" ca="1" si="94"/>
        <v/>
      </c>
      <c r="BU60" s="92"/>
      <c r="BV60" s="152">
        <f t="shared" ca="1" si="95"/>
        <v>0</v>
      </c>
      <c r="BW60" s="152">
        <f t="shared" ca="1" si="96"/>
        <v>0</v>
      </c>
      <c r="BX60" s="144"/>
      <c r="BY60" s="153">
        <f t="shared" ca="1" si="56"/>
        <v>0</v>
      </c>
      <c r="BZ60" s="153">
        <f t="shared" ca="1" si="111"/>
        <v>0</v>
      </c>
      <c r="CA60" s="154" t="str">
        <f t="shared" ca="1" si="97"/>
        <v/>
      </c>
      <c r="CB60" s="92"/>
      <c r="CC60" s="155">
        <f t="shared" ca="1" si="98"/>
        <v>0</v>
      </c>
      <c r="CD60" s="155">
        <f t="shared" ca="1" si="99"/>
        <v>0</v>
      </c>
      <c r="CE60" s="144"/>
      <c r="CF60" s="156">
        <f t="shared" ca="1" si="58"/>
        <v>0</v>
      </c>
      <c r="CG60" s="156">
        <f t="shared" ca="1" si="112"/>
        <v>0</v>
      </c>
      <c r="CH60" s="157" t="str">
        <f t="shared" ca="1" si="100"/>
        <v/>
      </c>
      <c r="CI60" s="92"/>
      <c r="CJ60" s="158">
        <f t="shared" ca="1" si="101"/>
        <v>0</v>
      </c>
      <c r="CK60" s="158">
        <f t="shared" ca="1" si="102"/>
        <v>0</v>
      </c>
      <c r="CL60" s="144"/>
      <c r="CM60" s="159">
        <f t="shared" ca="1" si="60"/>
        <v>0</v>
      </c>
      <c r="CN60" s="159">
        <f t="shared" ca="1" si="113"/>
        <v>0</v>
      </c>
      <c r="CO60" s="160" t="str">
        <f t="shared" ca="1" si="103"/>
        <v/>
      </c>
      <c r="CP60" s="92"/>
      <c r="CQ60" s="140">
        <v>57</v>
      </c>
      <c r="CR60" s="330">
        <v>0.15</v>
      </c>
      <c r="CS60" s="92">
        <f t="shared" si="62"/>
        <v>0</v>
      </c>
      <c r="CT60" s="335">
        <f t="shared" si="63"/>
        <v>0.15</v>
      </c>
      <c r="CU60" s="92">
        <f t="shared" si="64"/>
        <v>1</v>
      </c>
      <c r="CV60" s="348">
        <f t="shared" si="65"/>
        <v>1</v>
      </c>
      <c r="CW60" s="367">
        <f t="shared" si="121"/>
        <v>133.44999999999999</v>
      </c>
      <c r="CX60" s="367">
        <f t="shared" si="122"/>
        <v>65.45</v>
      </c>
      <c r="CY60" s="367">
        <f t="shared" si="123"/>
        <v>264.24</v>
      </c>
      <c r="CZ60" s="380">
        <f t="shared" si="124"/>
        <v>148.43</v>
      </c>
      <c r="DA60" s="425"/>
      <c r="DB60" s="391">
        <v>57</v>
      </c>
      <c r="DC60" s="59">
        <v>64281.67</v>
      </c>
      <c r="DD60" s="59">
        <v>77864.289999999994</v>
      </c>
      <c r="DE60" s="59">
        <v>57060.01</v>
      </c>
      <c r="DF60" s="59">
        <v>69116.7</v>
      </c>
      <c r="DG60" s="59">
        <v>50521.89</v>
      </c>
      <c r="DH60" s="59">
        <v>61197.08</v>
      </c>
      <c r="DI60" s="137">
        <v>217904.08</v>
      </c>
      <c r="DJ60" s="137">
        <v>234093.11</v>
      </c>
      <c r="DK60" s="138">
        <v>161616.10999999999</v>
      </c>
      <c r="DL60" s="138">
        <v>174062.07999999999</v>
      </c>
      <c r="DM60" s="137">
        <v>109539.86</v>
      </c>
      <c r="DN60" s="139">
        <v>123422.89</v>
      </c>
      <c r="DP60" s="384" t="s">
        <v>185</v>
      </c>
      <c r="DQ60" s="389">
        <v>2261.62</v>
      </c>
      <c r="DR60" s="389">
        <v>3063.35</v>
      </c>
    </row>
    <row r="61" spans="1:122">
      <c r="A61" s="178">
        <v>25</v>
      </c>
      <c r="B61" s="173">
        <f ca="1">RESUMEN!J28</f>
        <v>0</v>
      </c>
      <c r="C61" s="173">
        <f ca="1">+RESUMEN!K28</f>
        <v>0</v>
      </c>
      <c r="D61" s="174">
        <f t="shared" ca="1" si="107"/>
        <v>0</v>
      </c>
      <c r="E61" s="177">
        <f ca="1">+RESUMEN!T10</f>
        <v>0</v>
      </c>
      <c r="F61" s="173">
        <f ca="1">RESUMEN!P10</f>
        <v>0</v>
      </c>
      <c r="G61" s="174">
        <f t="shared" ca="1" si="125"/>
        <v>0</v>
      </c>
      <c r="H61" s="165"/>
      <c r="I61" s="353"/>
      <c r="J61" s="164">
        <v>58</v>
      </c>
      <c r="K61" s="59">
        <f t="shared" si="126"/>
        <v>67332.33</v>
      </c>
      <c r="L61" s="59">
        <f t="shared" si="127"/>
        <v>83752.289999999994</v>
      </c>
      <c r="M61" s="59">
        <f t="shared" si="128"/>
        <v>59767.95</v>
      </c>
      <c r="N61" s="59">
        <f t="shared" si="129"/>
        <v>74343.22</v>
      </c>
      <c r="O61" s="59">
        <f t="shared" si="130"/>
        <v>52919.54</v>
      </c>
      <c r="P61" s="59">
        <f t="shared" si="131"/>
        <v>65824.73</v>
      </c>
      <c r="Q61" s="136">
        <f t="shared" si="79"/>
        <v>226511.29</v>
      </c>
      <c r="R61" s="136">
        <f t="shared" si="80"/>
        <v>278607.26</v>
      </c>
      <c r="S61" s="136">
        <f t="shared" si="81"/>
        <v>170588.44</v>
      </c>
      <c r="T61" s="136">
        <f t="shared" si="82"/>
        <v>186419.93</v>
      </c>
      <c r="U61" s="136">
        <f t="shared" si="83"/>
        <v>118022.28</v>
      </c>
      <c r="V61" s="136">
        <f t="shared" si="84"/>
        <v>132438.25</v>
      </c>
      <c r="W61" s="92"/>
      <c r="X61" s="137">
        <f t="shared" si="115"/>
        <v>226511.29</v>
      </c>
      <c r="Y61" s="137">
        <f t="shared" si="116"/>
        <v>278607.26</v>
      </c>
      <c r="Z61" s="136">
        <f t="shared" si="31"/>
        <v>236251.27546999999</v>
      </c>
      <c r="AA61" s="136">
        <f t="shared" si="32"/>
        <v>290587.37218000001</v>
      </c>
      <c r="AB61" s="136">
        <f t="shared" si="33"/>
        <v>253692.64480000004</v>
      </c>
      <c r="AC61" s="136">
        <f t="shared" si="34"/>
        <v>312040.13120000006</v>
      </c>
      <c r="AD61" s="138">
        <f t="shared" si="117"/>
        <v>170588.44</v>
      </c>
      <c r="AE61" s="138">
        <f t="shared" si="118"/>
        <v>186419.93</v>
      </c>
      <c r="AF61" s="136">
        <f t="shared" si="36"/>
        <v>177923.74291999999</v>
      </c>
      <c r="AG61" s="136">
        <f t="shared" si="37"/>
        <v>194435.98698999998</v>
      </c>
      <c r="AH61" s="136">
        <f t="shared" si="38"/>
        <v>191059.05280000003</v>
      </c>
      <c r="AI61" s="136">
        <f t="shared" si="39"/>
        <v>208790.32160000002</v>
      </c>
      <c r="AJ61" s="137">
        <f t="shared" si="119"/>
        <v>118022.28</v>
      </c>
      <c r="AK61" s="137">
        <f t="shared" si="120"/>
        <v>132438.25</v>
      </c>
      <c r="AL61" s="136">
        <f t="shared" si="41"/>
        <v>123097.23804</v>
      </c>
      <c r="AM61" s="136">
        <f t="shared" si="42"/>
        <v>138133.09474999999</v>
      </c>
      <c r="AN61" s="136">
        <f t="shared" si="43"/>
        <v>132184.95360000001</v>
      </c>
      <c r="AO61" s="136">
        <f t="shared" si="44"/>
        <v>148330.84000000003</v>
      </c>
      <c r="AP61" s="92"/>
      <c r="AQ61" s="140">
        <v>58</v>
      </c>
      <c r="AR61" s="141">
        <f ca="1">+RESUMEN!F61</f>
        <v>0</v>
      </c>
      <c r="AS61" s="141">
        <f ca="1">+RESUMEN!G61</f>
        <v>0</v>
      </c>
      <c r="AT61" s="142">
        <f t="shared" ca="1" si="85"/>
        <v>0</v>
      </c>
      <c r="AU61" s="143">
        <f t="shared" si="45"/>
        <v>0</v>
      </c>
      <c r="AV61" s="143">
        <f t="shared" si="46"/>
        <v>0</v>
      </c>
      <c r="AW61" s="143">
        <f t="shared" si="47"/>
        <v>0</v>
      </c>
      <c r="AX61" s="143">
        <f t="shared" si="48"/>
        <v>0</v>
      </c>
      <c r="AY61" s="143">
        <f t="shared" ca="1" si="49"/>
        <v>0</v>
      </c>
      <c r="AZ61" s="142"/>
      <c r="BA61" s="143">
        <f t="shared" ca="1" si="86"/>
        <v>0</v>
      </c>
      <c r="BB61" s="143">
        <f t="shared" ca="1" si="87"/>
        <v>0</v>
      </c>
      <c r="BC61" s="144"/>
      <c r="BD61" s="145">
        <f t="shared" ca="1" si="50"/>
        <v>0</v>
      </c>
      <c r="BE61" s="145">
        <f t="shared" ca="1" si="108"/>
        <v>0</v>
      </c>
      <c r="BF61" s="146" t="str">
        <f t="shared" ca="1" si="88"/>
        <v/>
      </c>
      <c r="BG61" s="92"/>
      <c r="BH61" s="95">
        <f t="shared" ca="1" si="89"/>
        <v>0</v>
      </c>
      <c r="BI61" s="95">
        <f t="shared" ca="1" si="90"/>
        <v>0</v>
      </c>
      <c r="BJ61" s="144"/>
      <c r="BK61" s="147">
        <f t="shared" ca="1" si="52"/>
        <v>0</v>
      </c>
      <c r="BL61" s="147">
        <f t="shared" ca="1" si="110"/>
        <v>0</v>
      </c>
      <c r="BM61" s="148" t="str">
        <f t="shared" ca="1" si="91"/>
        <v/>
      </c>
      <c r="BN61" s="92"/>
      <c r="BO61" s="149">
        <f t="shared" ca="1" si="92"/>
        <v>0</v>
      </c>
      <c r="BP61" s="149">
        <f t="shared" ca="1" si="93"/>
        <v>0</v>
      </c>
      <c r="BQ61" s="144"/>
      <c r="BR61" s="150">
        <f t="shared" ca="1" si="54"/>
        <v>0</v>
      </c>
      <c r="BS61" s="150">
        <f t="shared" ca="1" si="109"/>
        <v>0</v>
      </c>
      <c r="BT61" s="151" t="str">
        <f t="shared" ca="1" si="94"/>
        <v/>
      </c>
      <c r="BU61" s="92"/>
      <c r="BV61" s="152">
        <f t="shared" ca="1" si="95"/>
        <v>0</v>
      </c>
      <c r="BW61" s="152">
        <f t="shared" ca="1" si="96"/>
        <v>0</v>
      </c>
      <c r="BX61" s="144"/>
      <c r="BY61" s="153">
        <f t="shared" ca="1" si="56"/>
        <v>0</v>
      </c>
      <c r="BZ61" s="153">
        <f t="shared" ca="1" si="111"/>
        <v>0</v>
      </c>
      <c r="CA61" s="154" t="str">
        <f t="shared" ca="1" si="97"/>
        <v/>
      </c>
      <c r="CB61" s="92"/>
      <c r="CC61" s="155">
        <f t="shared" ca="1" si="98"/>
        <v>0</v>
      </c>
      <c r="CD61" s="155">
        <f t="shared" ca="1" si="99"/>
        <v>0</v>
      </c>
      <c r="CE61" s="144"/>
      <c r="CF61" s="156">
        <f t="shared" ca="1" si="58"/>
        <v>0</v>
      </c>
      <c r="CG61" s="156">
        <f t="shared" ca="1" si="112"/>
        <v>0</v>
      </c>
      <c r="CH61" s="157" t="str">
        <f t="shared" ca="1" si="100"/>
        <v/>
      </c>
      <c r="CI61" s="92"/>
      <c r="CJ61" s="158">
        <f t="shared" ca="1" si="101"/>
        <v>0</v>
      </c>
      <c r="CK61" s="158">
        <f t="shared" ca="1" si="102"/>
        <v>0</v>
      </c>
      <c r="CL61" s="144"/>
      <c r="CM61" s="159">
        <f t="shared" ca="1" si="60"/>
        <v>0</v>
      </c>
      <c r="CN61" s="159">
        <f t="shared" ca="1" si="113"/>
        <v>0</v>
      </c>
      <c r="CO61" s="160" t="str">
        <f t="shared" ca="1" si="103"/>
        <v/>
      </c>
      <c r="CP61" s="92"/>
      <c r="CQ61" s="140">
        <v>58</v>
      </c>
      <c r="CR61" s="330">
        <v>0.15</v>
      </c>
      <c r="CS61" s="92">
        <f t="shared" si="62"/>
        <v>0</v>
      </c>
      <c r="CT61" s="335">
        <f t="shared" si="63"/>
        <v>0.15</v>
      </c>
      <c r="CU61" s="92">
        <f t="shared" si="64"/>
        <v>1</v>
      </c>
      <c r="CV61" s="348">
        <f t="shared" si="65"/>
        <v>1</v>
      </c>
      <c r="CW61" s="367">
        <f t="shared" si="121"/>
        <v>133.44999999999999</v>
      </c>
      <c r="CX61" s="367">
        <f t="shared" si="122"/>
        <v>65.45</v>
      </c>
      <c r="CY61" s="367">
        <f t="shared" si="123"/>
        <v>264.24</v>
      </c>
      <c r="CZ61" s="380">
        <f t="shared" si="124"/>
        <v>148.43</v>
      </c>
      <c r="DA61" s="425"/>
      <c r="DB61" s="391">
        <v>58</v>
      </c>
      <c r="DC61" s="59">
        <v>67332.33</v>
      </c>
      <c r="DD61" s="59">
        <v>83752.289999999994</v>
      </c>
      <c r="DE61" s="59">
        <v>59767.95</v>
      </c>
      <c r="DF61" s="59">
        <v>74343.22</v>
      </c>
      <c r="DG61" s="59">
        <v>52919.54</v>
      </c>
      <c r="DH61" s="59">
        <v>65824.73</v>
      </c>
      <c r="DI61" s="137">
        <v>226511.29</v>
      </c>
      <c r="DJ61" s="137">
        <v>278607.26</v>
      </c>
      <c r="DK61" s="138">
        <v>170588.44</v>
      </c>
      <c r="DL61" s="138">
        <v>186419.93</v>
      </c>
      <c r="DM61" s="137">
        <v>118022.28</v>
      </c>
      <c r="DN61" s="139">
        <v>132438.25</v>
      </c>
      <c r="DP61" s="384" t="s">
        <v>186</v>
      </c>
      <c r="DQ61" s="387">
        <v>2392.96</v>
      </c>
      <c r="DR61" s="387">
        <v>3278.81</v>
      </c>
    </row>
    <row r="62" spans="1:122" ht="16" thickBot="1">
      <c r="A62" s="178">
        <v>26</v>
      </c>
      <c r="B62" s="173">
        <f ca="1">RESUMEN!J29</f>
        <v>0</v>
      </c>
      <c r="C62" s="173">
        <f ca="1">+RESUMEN!K29</f>
        <v>0</v>
      </c>
      <c r="D62" s="174">
        <f t="shared" ca="1" si="107"/>
        <v>0</v>
      </c>
      <c r="E62" s="177">
        <f ca="1">+RESUMEN!T11</f>
        <v>0</v>
      </c>
      <c r="F62" s="173">
        <f ca="1">RESUMEN!P11</f>
        <v>0</v>
      </c>
      <c r="G62" s="174">
        <f t="shared" ca="1" si="125"/>
        <v>0</v>
      </c>
      <c r="H62" s="165"/>
      <c r="I62" s="353"/>
      <c r="J62" s="164">
        <v>59</v>
      </c>
      <c r="K62" s="59">
        <f t="shared" si="126"/>
        <v>70025.62</v>
      </c>
      <c r="L62" s="59">
        <f t="shared" si="127"/>
        <v>87649.65</v>
      </c>
      <c r="M62" s="59">
        <f t="shared" si="128"/>
        <v>62158.66</v>
      </c>
      <c r="N62" s="59">
        <f t="shared" si="129"/>
        <v>77802.740000000005</v>
      </c>
      <c r="O62" s="59">
        <f t="shared" si="130"/>
        <v>55036.32</v>
      </c>
      <c r="P62" s="59">
        <f t="shared" si="131"/>
        <v>68887.850000000006</v>
      </c>
      <c r="Q62" s="136">
        <f t="shared" si="79"/>
        <v>239943.41</v>
      </c>
      <c r="R62" s="136">
        <f t="shared" si="80"/>
        <v>298168.96000000002</v>
      </c>
      <c r="S62" s="136">
        <f t="shared" si="81"/>
        <v>180383.35999999999</v>
      </c>
      <c r="T62" s="136">
        <f t="shared" si="82"/>
        <v>199894.73</v>
      </c>
      <c r="U62" s="136">
        <f t="shared" si="83"/>
        <v>123964.11</v>
      </c>
      <c r="V62" s="136">
        <f t="shared" si="84"/>
        <v>142413.57999999999</v>
      </c>
      <c r="W62" s="92"/>
      <c r="X62" s="137">
        <f t="shared" si="115"/>
        <v>239943.41</v>
      </c>
      <c r="Y62" s="137">
        <f t="shared" si="116"/>
        <v>298168.96000000002</v>
      </c>
      <c r="Z62" s="136">
        <f t="shared" si="31"/>
        <v>250260.97662999999</v>
      </c>
      <c r="AA62" s="136">
        <f t="shared" si="32"/>
        <v>310990.22528000001</v>
      </c>
      <c r="AB62" s="136">
        <f t="shared" si="33"/>
        <v>268736.61920000002</v>
      </c>
      <c r="AC62" s="136">
        <f t="shared" si="34"/>
        <v>333949.23520000005</v>
      </c>
      <c r="AD62" s="138">
        <f t="shared" si="117"/>
        <v>180383.35999999999</v>
      </c>
      <c r="AE62" s="138">
        <f t="shared" si="118"/>
        <v>199894.73</v>
      </c>
      <c r="AF62" s="136">
        <f t="shared" si="36"/>
        <v>188139.84447999997</v>
      </c>
      <c r="AG62" s="136">
        <f t="shared" si="37"/>
        <v>208490.20339000001</v>
      </c>
      <c r="AH62" s="136">
        <f t="shared" si="38"/>
        <v>202029.36319999999</v>
      </c>
      <c r="AI62" s="136">
        <f t="shared" si="39"/>
        <v>223882.09760000004</v>
      </c>
      <c r="AJ62" s="137">
        <f t="shared" si="119"/>
        <v>123964.11</v>
      </c>
      <c r="AK62" s="137">
        <f t="shared" si="120"/>
        <v>142413.57999999999</v>
      </c>
      <c r="AL62" s="136">
        <f t="shared" si="41"/>
        <v>129294.56672999999</v>
      </c>
      <c r="AM62" s="136">
        <f t="shared" si="42"/>
        <v>148537.36393999998</v>
      </c>
      <c r="AN62" s="136">
        <f t="shared" si="43"/>
        <v>138839.80320000002</v>
      </c>
      <c r="AO62" s="136">
        <f t="shared" si="44"/>
        <v>159503.2096</v>
      </c>
      <c r="AP62" s="92"/>
      <c r="AQ62" s="140">
        <v>59</v>
      </c>
      <c r="AR62" s="141">
        <f ca="1">+RESUMEN!F62</f>
        <v>0</v>
      </c>
      <c r="AS62" s="141">
        <f ca="1">+RESUMEN!G62</f>
        <v>0</v>
      </c>
      <c r="AT62" s="142">
        <f t="shared" ca="1" si="85"/>
        <v>0</v>
      </c>
      <c r="AU62" s="143">
        <f t="shared" si="45"/>
        <v>0</v>
      </c>
      <c r="AV62" s="143">
        <f t="shared" si="46"/>
        <v>0</v>
      </c>
      <c r="AW62" s="143">
        <f t="shared" si="47"/>
        <v>0</v>
      </c>
      <c r="AX62" s="143">
        <f t="shared" si="48"/>
        <v>0</v>
      </c>
      <c r="AY62" s="143">
        <f t="shared" ca="1" si="49"/>
        <v>0</v>
      </c>
      <c r="AZ62" s="142"/>
      <c r="BA62" s="143">
        <f t="shared" ca="1" si="86"/>
        <v>0</v>
      </c>
      <c r="BB62" s="143">
        <f t="shared" ca="1" si="87"/>
        <v>0</v>
      </c>
      <c r="BC62" s="144"/>
      <c r="BD62" s="145">
        <f t="shared" ca="1" si="50"/>
        <v>0</v>
      </c>
      <c r="BE62" s="145">
        <f t="shared" ca="1" si="108"/>
        <v>0</v>
      </c>
      <c r="BF62" s="146" t="str">
        <f t="shared" ca="1" si="88"/>
        <v/>
      </c>
      <c r="BG62" s="92"/>
      <c r="BH62" s="95">
        <f t="shared" ca="1" si="89"/>
        <v>0</v>
      </c>
      <c r="BI62" s="95">
        <f t="shared" ca="1" si="90"/>
        <v>0</v>
      </c>
      <c r="BJ62" s="144"/>
      <c r="BK62" s="147">
        <f t="shared" ca="1" si="52"/>
        <v>0</v>
      </c>
      <c r="BL62" s="147">
        <f t="shared" ca="1" si="110"/>
        <v>0</v>
      </c>
      <c r="BM62" s="148" t="str">
        <f t="shared" ca="1" si="91"/>
        <v/>
      </c>
      <c r="BN62" s="92"/>
      <c r="BO62" s="149">
        <f t="shared" ca="1" si="92"/>
        <v>0</v>
      </c>
      <c r="BP62" s="149">
        <f t="shared" ca="1" si="93"/>
        <v>0</v>
      </c>
      <c r="BQ62" s="144"/>
      <c r="BR62" s="150">
        <f t="shared" ca="1" si="54"/>
        <v>0</v>
      </c>
      <c r="BS62" s="150">
        <f t="shared" ca="1" si="109"/>
        <v>0</v>
      </c>
      <c r="BT62" s="151" t="str">
        <f t="shared" ca="1" si="94"/>
        <v/>
      </c>
      <c r="BU62" s="239"/>
      <c r="BV62" s="152">
        <f t="shared" ca="1" si="95"/>
        <v>0</v>
      </c>
      <c r="BW62" s="152">
        <f t="shared" ca="1" si="96"/>
        <v>0</v>
      </c>
      <c r="BX62" s="144"/>
      <c r="BY62" s="153">
        <f t="shared" ca="1" si="56"/>
        <v>0</v>
      </c>
      <c r="BZ62" s="153">
        <f t="shared" ca="1" si="111"/>
        <v>0</v>
      </c>
      <c r="CA62" s="154" t="str">
        <f t="shared" ca="1" si="97"/>
        <v/>
      </c>
      <c r="CB62" s="92"/>
      <c r="CC62" s="155">
        <f t="shared" ca="1" si="98"/>
        <v>0</v>
      </c>
      <c r="CD62" s="155">
        <f t="shared" ca="1" si="99"/>
        <v>0</v>
      </c>
      <c r="CE62" s="144"/>
      <c r="CF62" s="156">
        <f t="shared" ca="1" si="58"/>
        <v>0</v>
      </c>
      <c r="CG62" s="156">
        <f t="shared" ca="1" si="112"/>
        <v>0</v>
      </c>
      <c r="CH62" s="157" t="str">
        <f t="shared" ca="1" si="100"/>
        <v/>
      </c>
      <c r="CI62" s="92"/>
      <c r="CJ62" s="158">
        <f t="shared" ca="1" si="101"/>
        <v>0</v>
      </c>
      <c r="CK62" s="158">
        <f t="shared" ca="1" si="102"/>
        <v>0</v>
      </c>
      <c r="CL62" s="144"/>
      <c r="CM62" s="159">
        <f t="shared" ca="1" si="60"/>
        <v>0</v>
      </c>
      <c r="CN62" s="159">
        <f t="shared" ca="1" si="113"/>
        <v>0</v>
      </c>
      <c r="CO62" s="160" t="str">
        <f t="shared" ca="1" si="103"/>
        <v/>
      </c>
      <c r="CP62" s="92"/>
      <c r="CQ62" s="419">
        <v>59</v>
      </c>
      <c r="CR62" s="420">
        <v>0.15</v>
      </c>
      <c r="CS62" s="421">
        <f t="shared" si="62"/>
        <v>0</v>
      </c>
      <c r="CT62" s="422">
        <f t="shared" si="63"/>
        <v>0.15</v>
      </c>
      <c r="CU62" s="421">
        <f t="shared" si="64"/>
        <v>1</v>
      </c>
      <c r="CV62" s="423">
        <f t="shared" si="65"/>
        <v>1</v>
      </c>
      <c r="CW62" s="367">
        <f t="shared" si="121"/>
        <v>133.44999999999999</v>
      </c>
      <c r="CX62" s="367">
        <f t="shared" si="122"/>
        <v>65.45</v>
      </c>
      <c r="CY62" s="367">
        <f t="shared" si="123"/>
        <v>264.24</v>
      </c>
      <c r="CZ62" s="380">
        <f t="shared" si="124"/>
        <v>148.43</v>
      </c>
      <c r="DA62" s="425"/>
      <c r="DB62" s="391">
        <v>59</v>
      </c>
      <c r="DC62" s="59">
        <v>70025.62</v>
      </c>
      <c r="DD62" s="59">
        <v>87649.65</v>
      </c>
      <c r="DE62" s="59">
        <v>62158.66</v>
      </c>
      <c r="DF62" s="59">
        <v>77802.740000000005</v>
      </c>
      <c r="DG62" s="59">
        <v>55036.32</v>
      </c>
      <c r="DH62" s="59">
        <v>68887.850000000006</v>
      </c>
      <c r="DI62" s="137">
        <v>239943.41</v>
      </c>
      <c r="DJ62" s="137">
        <v>298168.96000000002</v>
      </c>
      <c r="DK62" s="138">
        <v>180383.35999999999</v>
      </c>
      <c r="DL62" s="138">
        <v>199894.73</v>
      </c>
      <c r="DM62" s="137">
        <v>123964.11</v>
      </c>
      <c r="DN62" s="139">
        <v>142413.57999999999</v>
      </c>
      <c r="DP62" s="384" t="s">
        <v>187</v>
      </c>
      <c r="DQ62" s="387">
        <v>2524.29</v>
      </c>
      <c r="DR62" s="387">
        <v>3494.26</v>
      </c>
    </row>
    <row r="63" spans="1:122">
      <c r="A63" s="178">
        <v>27</v>
      </c>
      <c r="B63" s="173">
        <f ca="1">RESUMEN!J30</f>
        <v>0</v>
      </c>
      <c r="C63" s="173">
        <f ca="1">+RESUMEN!K30</f>
        <v>0</v>
      </c>
      <c r="D63" s="174">
        <f t="shared" ca="1" si="107"/>
        <v>0</v>
      </c>
      <c r="E63" s="177">
        <f ca="1">+RESUMEN!T12</f>
        <v>0</v>
      </c>
      <c r="F63" s="173">
        <f ca="1">RESUMEN!P12</f>
        <v>0</v>
      </c>
      <c r="G63" s="174">
        <f t="shared" ca="1" si="125"/>
        <v>0</v>
      </c>
      <c r="H63" s="165"/>
      <c r="I63" s="353"/>
      <c r="J63" s="164">
        <v>60</v>
      </c>
      <c r="K63" s="59">
        <f t="shared" ref="K63:K103" si="132">ROUND(DC63*$F$22,2)</f>
        <v>72906.960000000006</v>
      </c>
      <c r="L63" s="59">
        <f t="shared" ref="L63:L103" si="133">ROUND(DD63*$F$22,2)</f>
        <v>90300.86</v>
      </c>
      <c r="M63" s="59">
        <f t="shared" ref="M63:M103" si="134">ROUND(DE63*$F$22,2)</f>
        <v>64716.31</v>
      </c>
      <c r="N63" s="59">
        <f t="shared" ref="N63:N103" si="135">ROUND(DF63*$F$22,2)</f>
        <v>80156.100000000006</v>
      </c>
      <c r="O63" s="59">
        <f t="shared" ref="O63:O103" si="136">ROUND(DG63*$F$22,2)</f>
        <v>57300.9</v>
      </c>
      <c r="P63" s="59">
        <f t="shared" ref="P63:P103" si="137">ROUND(DH63*$F$22,2)</f>
        <v>70971.55</v>
      </c>
      <c r="Q63" s="136">
        <f t="shared" si="79"/>
        <v>249421.17</v>
      </c>
      <c r="R63" s="136">
        <f t="shared" si="80"/>
        <v>314352.58</v>
      </c>
      <c r="S63" s="136">
        <f t="shared" si="81"/>
        <v>189443.41</v>
      </c>
      <c r="T63" s="136">
        <f t="shared" si="82"/>
        <v>214968.49</v>
      </c>
      <c r="U63" s="136">
        <f t="shared" si="83"/>
        <v>140862.74</v>
      </c>
      <c r="V63" s="136">
        <f t="shared" si="84"/>
        <v>153987.73000000001</v>
      </c>
      <c r="W63" s="92"/>
      <c r="X63" s="137">
        <f t="shared" ref="X63:X103" si="138">ROUND(DI63*$F$24,2)</f>
        <v>249421.17</v>
      </c>
      <c r="Y63" s="137">
        <f t="shared" ref="Y63:Y103" si="139">ROUND(DJ63*$F$24,2)</f>
        <v>314352.58</v>
      </c>
      <c r="Z63" s="136">
        <f t="shared" si="31"/>
        <v>260146.28031</v>
      </c>
      <c r="AA63" s="136">
        <f t="shared" si="32"/>
        <v>327869.74093999999</v>
      </c>
      <c r="AB63" s="136">
        <f t="shared" si="33"/>
        <v>279351.71040000004</v>
      </c>
      <c r="AC63" s="136">
        <f t="shared" si="34"/>
        <v>352074.88960000005</v>
      </c>
      <c r="AD63" s="138">
        <f t="shared" ref="AD63:AD103" si="140">ROUND(DK63*$F$24,2)</f>
        <v>189443.41</v>
      </c>
      <c r="AE63" s="138">
        <f t="shared" ref="AE63:AE103" si="141">ROUND(DL63*$F$24,2)</f>
        <v>214968.49</v>
      </c>
      <c r="AF63" s="136">
        <f t="shared" si="36"/>
        <v>197589.47662999999</v>
      </c>
      <c r="AG63" s="136">
        <f t="shared" si="37"/>
        <v>224212.13506999996</v>
      </c>
      <c r="AH63" s="136">
        <f t="shared" si="38"/>
        <v>212176.61920000002</v>
      </c>
      <c r="AI63" s="136">
        <f t="shared" si="39"/>
        <v>240764.70880000002</v>
      </c>
      <c r="AJ63" s="137">
        <f t="shared" ref="AJ63:AJ103" si="142">ROUND(DM63*$F$24,2)</f>
        <v>140862.74</v>
      </c>
      <c r="AK63" s="137">
        <f t="shared" ref="AK63:AK103" si="143">ROUND(DN63*$F$24,2)</f>
        <v>153987.73000000001</v>
      </c>
      <c r="AL63" s="136">
        <f t="shared" si="41"/>
        <v>146919.83781999999</v>
      </c>
      <c r="AM63" s="136">
        <f t="shared" si="42"/>
        <v>160609.20238999999</v>
      </c>
      <c r="AN63" s="136">
        <f t="shared" si="43"/>
        <v>157766.26879999999</v>
      </c>
      <c r="AO63" s="136">
        <f t="shared" si="44"/>
        <v>172466.25760000004</v>
      </c>
      <c r="AP63" s="92"/>
      <c r="AQ63" s="140">
        <v>60</v>
      </c>
      <c r="AR63" s="141">
        <f ca="1">+RESUMEN!F63</f>
        <v>0</v>
      </c>
      <c r="AS63" s="141">
        <f ca="1">+RESUMEN!G63</f>
        <v>0</v>
      </c>
      <c r="AT63" s="142">
        <f t="shared" ca="1" si="85"/>
        <v>0</v>
      </c>
      <c r="AU63" s="143">
        <f t="shared" si="45"/>
        <v>0</v>
      </c>
      <c r="AV63" s="143">
        <f t="shared" si="46"/>
        <v>0</v>
      </c>
      <c r="AW63" s="143">
        <f t="shared" si="47"/>
        <v>0</v>
      </c>
      <c r="AX63" s="143">
        <f t="shared" si="48"/>
        <v>0</v>
      </c>
      <c r="AY63" s="143">
        <f t="shared" ca="1" si="49"/>
        <v>0</v>
      </c>
      <c r="AZ63" s="142"/>
      <c r="BA63" s="143">
        <f t="shared" ca="1" si="86"/>
        <v>0</v>
      </c>
      <c r="BB63" s="143">
        <f t="shared" ca="1" si="87"/>
        <v>0</v>
      </c>
      <c r="BC63" s="144"/>
      <c r="BD63" s="145">
        <f t="shared" ca="1" si="50"/>
        <v>0</v>
      </c>
      <c r="BE63" s="145">
        <f t="shared" ca="1" si="108"/>
        <v>0</v>
      </c>
      <c r="BF63" s="146" t="str">
        <f t="shared" ca="1" si="88"/>
        <v/>
      </c>
      <c r="BG63" s="92"/>
      <c r="BH63" s="95">
        <f t="shared" ca="1" si="89"/>
        <v>0</v>
      </c>
      <c r="BI63" s="95">
        <f t="shared" ca="1" si="90"/>
        <v>0</v>
      </c>
      <c r="BJ63" s="144"/>
      <c r="BK63" s="147">
        <f t="shared" ca="1" si="52"/>
        <v>0</v>
      </c>
      <c r="BL63" s="147">
        <f t="shared" ca="1" si="110"/>
        <v>0</v>
      </c>
      <c r="BM63" s="148" t="str">
        <f t="shared" ca="1" si="91"/>
        <v/>
      </c>
      <c r="BN63" s="92"/>
      <c r="BO63" s="149">
        <f t="shared" ca="1" si="92"/>
        <v>0</v>
      </c>
      <c r="BP63" s="149">
        <f t="shared" ca="1" si="93"/>
        <v>0</v>
      </c>
      <c r="BQ63" s="144"/>
      <c r="BR63" s="150">
        <f t="shared" ca="1" si="54"/>
        <v>0</v>
      </c>
      <c r="BS63" s="150">
        <f t="shared" ca="1" si="109"/>
        <v>0</v>
      </c>
      <c r="BT63" s="151" t="str">
        <f t="shared" ca="1" si="94"/>
        <v/>
      </c>
      <c r="BU63" s="92"/>
      <c r="BV63" s="152">
        <f t="shared" ca="1" si="95"/>
        <v>0</v>
      </c>
      <c r="BW63" s="152">
        <f t="shared" ca="1" si="96"/>
        <v>0</v>
      </c>
      <c r="BX63" s="144"/>
      <c r="BY63" s="153">
        <f t="shared" ca="1" si="56"/>
        <v>0</v>
      </c>
      <c r="BZ63" s="153">
        <f t="shared" ca="1" si="111"/>
        <v>0</v>
      </c>
      <c r="CA63" s="154" t="str">
        <f t="shared" ca="1" si="97"/>
        <v/>
      </c>
      <c r="CB63" s="92"/>
      <c r="CC63" s="155">
        <f t="shared" ca="1" si="98"/>
        <v>0</v>
      </c>
      <c r="CD63" s="155">
        <f t="shared" ca="1" si="99"/>
        <v>0</v>
      </c>
      <c r="CE63" s="144"/>
      <c r="CF63" s="156">
        <f t="shared" ca="1" si="58"/>
        <v>0</v>
      </c>
      <c r="CG63" s="156">
        <f t="shared" ca="1" si="112"/>
        <v>0</v>
      </c>
      <c r="CH63" s="157" t="str">
        <f t="shared" ca="1" si="100"/>
        <v/>
      </c>
      <c r="CI63" s="92"/>
      <c r="CJ63" s="158">
        <f t="shared" ca="1" si="101"/>
        <v>0</v>
      </c>
      <c r="CK63" s="158">
        <f t="shared" ca="1" si="102"/>
        <v>0</v>
      </c>
      <c r="CL63" s="144"/>
      <c r="CM63" s="159">
        <f t="shared" ca="1" si="60"/>
        <v>0</v>
      </c>
      <c r="CN63" s="159">
        <f t="shared" ca="1" si="113"/>
        <v>0</v>
      </c>
      <c r="CO63" s="160" t="str">
        <f t="shared" ca="1" si="103"/>
        <v/>
      </c>
      <c r="CP63" s="92"/>
      <c r="CQ63" s="378">
        <v>60</v>
      </c>
      <c r="CR63" s="379">
        <v>0.12</v>
      </c>
      <c r="CS63" s="92">
        <f t="shared" si="62"/>
        <v>0</v>
      </c>
      <c r="CT63" s="335">
        <f t="shared" si="63"/>
        <v>0.12</v>
      </c>
      <c r="CU63" s="92">
        <f t="shared" si="64"/>
        <v>1</v>
      </c>
      <c r="CV63" s="348">
        <f>+IF($C$13="NO",1,1.075)</f>
        <v>1</v>
      </c>
      <c r="CW63" s="367">
        <f t="shared" ref="CW63:CW103" si="144">+IF(p&gt;3,IF($F$20=1,139.81,154.53),IF($F$20=1,127.65,139.81))</f>
        <v>127.65</v>
      </c>
      <c r="CX63" s="367">
        <f t="shared" ref="CX63:CX103" si="145">+IF(p&gt;3,IF($F$20=1,68.57,75.79),IF($F$20=1,62.61,68.57))</f>
        <v>62.61</v>
      </c>
      <c r="CY63" s="367">
        <f t="shared" ref="CY63:CY103" si="146">+IF(p&gt;3,IF($F$20=1,277.59,306.81),IF($F$20=1,252.75,276.83))</f>
        <v>252.75</v>
      </c>
      <c r="CZ63" s="380">
        <f t="shared" ref="CZ63:CZ103" si="147">+IF(p&gt;3,0,IF($F$20=1,141.73,155.79))</f>
        <v>141.72999999999999</v>
      </c>
      <c r="DA63"/>
      <c r="DB63" s="391">
        <v>60</v>
      </c>
      <c r="DC63" s="59">
        <v>72906.960000000006</v>
      </c>
      <c r="DD63" s="59">
        <v>90300.86</v>
      </c>
      <c r="DE63" s="59">
        <v>64716.31</v>
      </c>
      <c r="DF63" s="59">
        <v>80156.100000000006</v>
      </c>
      <c r="DG63" s="59">
        <v>57300.9</v>
      </c>
      <c r="DH63" s="59">
        <v>70971.55</v>
      </c>
      <c r="DI63" s="137">
        <v>249421.17</v>
      </c>
      <c r="DJ63" s="137">
        <v>314352.58</v>
      </c>
      <c r="DK63" s="138">
        <v>189443.41</v>
      </c>
      <c r="DL63" s="138">
        <v>214968.49</v>
      </c>
      <c r="DM63" s="137">
        <v>140862.74</v>
      </c>
      <c r="DN63" s="139">
        <v>153987.73000000001</v>
      </c>
      <c r="DP63" s="384" t="s">
        <v>188</v>
      </c>
      <c r="DQ63" s="387">
        <v>2566.91</v>
      </c>
      <c r="DR63" s="387">
        <v>3554.94</v>
      </c>
    </row>
    <row r="64" spans="1:122">
      <c r="A64" s="178">
        <v>28</v>
      </c>
      <c r="B64" s="173">
        <f ca="1">RESUMEN!J31</f>
        <v>0</v>
      </c>
      <c r="C64" s="173">
        <f ca="1">+RESUMEN!K31</f>
        <v>0</v>
      </c>
      <c r="D64" s="174">
        <f t="shared" ca="1" si="107"/>
        <v>0</v>
      </c>
      <c r="E64" s="177">
        <f ca="1">+RESUMEN!T13</f>
        <v>0</v>
      </c>
      <c r="F64" s="173">
        <f ca="1">RESUMEN!P13</f>
        <v>0</v>
      </c>
      <c r="G64" s="174">
        <f t="shared" ca="1" si="125"/>
        <v>0</v>
      </c>
      <c r="H64" s="165"/>
      <c r="I64" s="353"/>
      <c r="J64" s="164">
        <v>61</v>
      </c>
      <c r="K64" s="59">
        <f t="shared" si="132"/>
        <v>73835.820000000007</v>
      </c>
      <c r="L64" s="59">
        <f t="shared" si="133"/>
        <v>94265.97</v>
      </c>
      <c r="M64" s="59">
        <f t="shared" si="134"/>
        <v>65540.81</v>
      </c>
      <c r="N64" s="59">
        <f t="shared" si="135"/>
        <v>83675.75</v>
      </c>
      <c r="O64" s="59">
        <f t="shared" si="136"/>
        <v>58030.93</v>
      </c>
      <c r="P64" s="59">
        <f t="shared" si="137"/>
        <v>74087.91</v>
      </c>
      <c r="Q64" s="136">
        <f t="shared" si="79"/>
        <v>276558.2</v>
      </c>
      <c r="R64" s="136">
        <f t="shared" si="80"/>
        <v>326385.07</v>
      </c>
      <c r="S64" s="136">
        <f t="shared" si="81"/>
        <v>227755.79</v>
      </c>
      <c r="T64" s="136">
        <f t="shared" si="82"/>
        <v>239753.33</v>
      </c>
      <c r="U64" s="136">
        <f t="shared" si="83"/>
        <v>149558.67000000001</v>
      </c>
      <c r="V64" s="136">
        <f t="shared" si="84"/>
        <v>154640.22</v>
      </c>
      <c r="W64" s="92"/>
      <c r="X64" s="137">
        <f t="shared" si="138"/>
        <v>276558.2</v>
      </c>
      <c r="Y64" s="137">
        <f t="shared" si="139"/>
        <v>326385.07</v>
      </c>
      <c r="Z64" s="136">
        <f t="shared" si="31"/>
        <v>288450.20260000002</v>
      </c>
      <c r="AA64" s="136">
        <f t="shared" si="32"/>
        <v>340419.62800999999</v>
      </c>
      <c r="AB64" s="136">
        <f t="shared" si="33"/>
        <v>309745.18400000007</v>
      </c>
      <c r="AC64" s="136">
        <f t="shared" si="34"/>
        <v>365551.27840000007</v>
      </c>
      <c r="AD64" s="138">
        <f t="shared" si="140"/>
        <v>227755.79</v>
      </c>
      <c r="AE64" s="138">
        <f t="shared" si="141"/>
        <v>239753.33</v>
      </c>
      <c r="AF64" s="136">
        <f t="shared" si="36"/>
        <v>237549.28896999999</v>
      </c>
      <c r="AG64" s="136">
        <f t="shared" si="37"/>
        <v>250062.72318999996</v>
      </c>
      <c r="AH64" s="136">
        <f t="shared" si="38"/>
        <v>255086.48480000003</v>
      </c>
      <c r="AI64" s="136">
        <f t="shared" si="39"/>
        <v>268523.72960000002</v>
      </c>
      <c r="AJ64" s="137">
        <f t="shared" si="142"/>
        <v>149558.67000000001</v>
      </c>
      <c r="AK64" s="137">
        <f t="shared" si="143"/>
        <v>154640.22</v>
      </c>
      <c r="AL64" s="136">
        <f t="shared" si="41"/>
        <v>155989.69281000001</v>
      </c>
      <c r="AM64" s="136">
        <f t="shared" si="42"/>
        <v>161289.74945999999</v>
      </c>
      <c r="AN64" s="136">
        <f t="shared" si="43"/>
        <v>167505.71040000004</v>
      </c>
      <c r="AO64" s="136">
        <f t="shared" si="44"/>
        <v>173197.04640000002</v>
      </c>
      <c r="AP64" s="92"/>
      <c r="AQ64" s="140">
        <v>61</v>
      </c>
      <c r="AR64" s="141">
        <f ca="1">+RESUMEN!F64</f>
        <v>0</v>
      </c>
      <c r="AS64" s="141">
        <f ca="1">+RESUMEN!G64</f>
        <v>0</v>
      </c>
      <c r="AT64" s="142">
        <f t="shared" ca="1" si="85"/>
        <v>0</v>
      </c>
      <c r="AU64" s="143">
        <f t="shared" si="45"/>
        <v>0</v>
      </c>
      <c r="AV64" s="143">
        <f t="shared" si="46"/>
        <v>0</v>
      </c>
      <c r="AW64" s="143">
        <f t="shared" si="47"/>
        <v>0</v>
      </c>
      <c r="AX64" s="143">
        <f t="shared" si="48"/>
        <v>0</v>
      </c>
      <c r="AY64" s="143">
        <f t="shared" ca="1" si="49"/>
        <v>0</v>
      </c>
      <c r="AZ64" s="142"/>
      <c r="BA64" s="143">
        <f t="shared" ca="1" si="86"/>
        <v>0</v>
      </c>
      <c r="BB64" s="143">
        <f t="shared" ca="1" si="87"/>
        <v>0</v>
      </c>
      <c r="BC64" s="144"/>
      <c r="BD64" s="145">
        <f t="shared" ca="1" si="50"/>
        <v>0</v>
      </c>
      <c r="BE64" s="145">
        <f t="shared" ca="1" si="108"/>
        <v>0</v>
      </c>
      <c r="BF64" s="146" t="str">
        <f t="shared" ca="1" si="88"/>
        <v/>
      </c>
      <c r="BG64" s="92"/>
      <c r="BH64" s="95">
        <f t="shared" ca="1" si="89"/>
        <v>0</v>
      </c>
      <c r="BI64" s="95">
        <f t="shared" ca="1" si="90"/>
        <v>0</v>
      </c>
      <c r="BJ64" s="144"/>
      <c r="BK64" s="147">
        <f t="shared" ca="1" si="52"/>
        <v>0</v>
      </c>
      <c r="BL64" s="147">
        <f t="shared" ca="1" si="110"/>
        <v>0</v>
      </c>
      <c r="BM64" s="148" t="str">
        <f t="shared" ca="1" si="91"/>
        <v/>
      </c>
      <c r="BN64" s="92"/>
      <c r="BO64" s="149">
        <f t="shared" ca="1" si="92"/>
        <v>0</v>
      </c>
      <c r="BP64" s="149">
        <f t="shared" ca="1" si="93"/>
        <v>0</v>
      </c>
      <c r="BQ64" s="144"/>
      <c r="BR64" s="150">
        <f t="shared" ca="1" si="54"/>
        <v>0</v>
      </c>
      <c r="BS64" s="150">
        <f t="shared" ca="1" si="109"/>
        <v>0</v>
      </c>
      <c r="BT64" s="151" t="str">
        <f t="shared" ca="1" si="94"/>
        <v/>
      </c>
      <c r="BU64" s="92"/>
      <c r="BV64" s="152">
        <f t="shared" ca="1" si="95"/>
        <v>0</v>
      </c>
      <c r="BW64" s="152">
        <f t="shared" ca="1" si="96"/>
        <v>0</v>
      </c>
      <c r="BX64" s="144"/>
      <c r="BY64" s="153">
        <f t="shared" ca="1" si="56"/>
        <v>0</v>
      </c>
      <c r="BZ64" s="153">
        <f t="shared" ca="1" si="111"/>
        <v>0</v>
      </c>
      <c r="CA64" s="154" t="str">
        <f t="shared" ca="1" si="97"/>
        <v/>
      </c>
      <c r="CB64" s="92"/>
      <c r="CC64" s="155">
        <f t="shared" ca="1" si="98"/>
        <v>0</v>
      </c>
      <c r="CD64" s="155">
        <f t="shared" ca="1" si="99"/>
        <v>0</v>
      </c>
      <c r="CE64" s="144"/>
      <c r="CF64" s="156">
        <f t="shared" ca="1" si="58"/>
        <v>0</v>
      </c>
      <c r="CG64" s="156">
        <f t="shared" ca="1" si="112"/>
        <v>0</v>
      </c>
      <c r="CH64" s="157" t="str">
        <f t="shared" ca="1" si="100"/>
        <v/>
      </c>
      <c r="CI64" s="92"/>
      <c r="CJ64" s="158">
        <f t="shared" ca="1" si="101"/>
        <v>0</v>
      </c>
      <c r="CK64" s="158">
        <f t="shared" ca="1" si="102"/>
        <v>0</v>
      </c>
      <c r="CL64" s="144"/>
      <c r="CM64" s="159">
        <f t="shared" ca="1" si="60"/>
        <v>0</v>
      </c>
      <c r="CN64" s="159">
        <f t="shared" ca="1" si="113"/>
        <v>0</v>
      </c>
      <c r="CO64" s="160" t="str">
        <f t="shared" ca="1" si="103"/>
        <v/>
      </c>
      <c r="CP64" s="92"/>
      <c r="CQ64" s="140">
        <v>61</v>
      </c>
      <c r="CR64" s="330">
        <v>0.12</v>
      </c>
      <c r="CS64" s="92">
        <f t="shared" si="62"/>
        <v>0</v>
      </c>
      <c r="CT64" s="335">
        <f t="shared" si="63"/>
        <v>0.12</v>
      </c>
      <c r="CU64" s="92">
        <f t="shared" si="64"/>
        <v>1</v>
      </c>
      <c r="CV64" s="348">
        <f t="shared" ref="CV64:CV103" si="148">+IF($C$13="NO",1,1.075)</f>
        <v>1</v>
      </c>
      <c r="CW64" s="367">
        <f t="shared" si="144"/>
        <v>127.65</v>
      </c>
      <c r="CX64" s="367">
        <f t="shared" si="145"/>
        <v>62.61</v>
      </c>
      <c r="CY64" s="367">
        <f t="shared" si="146"/>
        <v>252.75</v>
      </c>
      <c r="CZ64" s="380">
        <f t="shared" si="147"/>
        <v>141.72999999999999</v>
      </c>
      <c r="DA64"/>
      <c r="DB64" s="391">
        <v>61</v>
      </c>
      <c r="DC64" s="59">
        <v>73835.820000000007</v>
      </c>
      <c r="DD64" s="59">
        <v>94265.97</v>
      </c>
      <c r="DE64" s="59">
        <v>65540.81</v>
      </c>
      <c r="DF64" s="59">
        <v>83675.75</v>
      </c>
      <c r="DG64" s="59">
        <v>58030.93</v>
      </c>
      <c r="DH64" s="59">
        <v>74087.91</v>
      </c>
      <c r="DI64" s="137">
        <v>276558.2</v>
      </c>
      <c r="DJ64" s="137">
        <v>326385.07</v>
      </c>
      <c r="DK64" s="138">
        <v>227755.79</v>
      </c>
      <c r="DL64" s="138">
        <v>239753.33</v>
      </c>
      <c r="DM64" s="137">
        <v>149558.67000000001</v>
      </c>
      <c r="DN64" s="139">
        <v>154640.22</v>
      </c>
      <c r="DP64" s="384" t="s">
        <v>189</v>
      </c>
      <c r="DQ64" s="386">
        <v>2727.85</v>
      </c>
      <c r="DR64" s="386">
        <v>3779.41</v>
      </c>
    </row>
    <row r="65" spans="1:122">
      <c r="A65" s="178">
        <v>29</v>
      </c>
      <c r="B65" s="173">
        <f ca="1">RESUMEN!J32</f>
        <v>0</v>
      </c>
      <c r="C65" s="173">
        <f ca="1">+RESUMEN!K32</f>
        <v>0</v>
      </c>
      <c r="D65" s="174">
        <f t="shared" ca="1" si="107"/>
        <v>0</v>
      </c>
      <c r="E65" s="177">
        <f ca="1">+RESUMEN!T14</f>
        <v>0</v>
      </c>
      <c r="F65" s="173">
        <f ca="1">RESUMEN!P14</f>
        <v>0</v>
      </c>
      <c r="G65" s="174">
        <f t="shared" ca="1" si="125"/>
        <v>0</v>
      </c>
      <c r="H65" s="165"/>
      <c r="I65" s="353"/>
      <c r="J65" s="164">
        <v>62</v>
      </c>
      <c r="K65" s="59">
        <f t="shared" si="132"/>
        <v>82262.600000000006</v>
      </c>
      <c r="L65" s="59">
        <f t="shared" si="133"/>
        <v>102261.3</v>
      </c>
      <c r="M65" s="59">
        <f t="shared" si="134"/>
        <v>73020.899999999994</v>
      </c>
      <c r="N65" s="59">
        <f t="shared" si="135"/>
        <v>90772.86</v>
      </c>
      <c r="O65" s="59">
        <f t="shared" si="136"/>
        <v>64653.919999999998</v>
      </c>
      <c r="P65" s="59">
        <f t="shared" si="137"/>
        <v>80371.8</v>
      </c>
      <c r="Q65" s="136">
        <f t="shared" si="79"/>
        <v>312533.62</v>
      </c>
      <c r="R65" s="136">
        <f t="shared" si="80"/>
        <v>333411.49</v>
      </c>
      <c r="S65" s="136">
        <f t="shared" si="81"/>
        <v>238164.75</v>
      </c>
      <c r="T65" s="136">
        <f t="shared" si="82"/>
        <v>252375.65</v>
      </c>
      <c r="U65" s="136">
        <f t="shared" si="83"/>
        <v>160053.69</v>
      </c>
      <c r="V65" s="136">
        <f t="shared" si="84"/>
        <v>159360.64000000001</v>
      </c>
      <c r="W65" s="92"/>
      <c r="X65" s="137">
        <f t="shared" si="138"/>
        <v>312533.62</v>
      </c>
      <c r="Y65" s="137">
        <f t="shared" si="139"/>
        <v>333411.49</v>
      </c>
      <c r="Z65" s="136">
        <f t="shared" si="31"/>
        <v>325972.56565999996</v>
      </c>
      <c r="AA65" s="136">
        <f t="shared" si="32"/>
        <v>347748.18406999996</v>
      </c>
      <c r="AB65" s="136">
        <f t="shared" si="33"/>
        <v>350037.6544</v>
      </c>
      <c r="AC65" s="136">
        <f t="shared" si="34"/>
        <v>373420.8688</v>
      </c>
      <c r="AD65" s="138">
        <f t="shared" si="140"/>
        <v>238164.75</v>
      </c>
      <c r="AE65" s="138">
        <f t="shared" si="141"/>
        <v>252375.65</v>
      </c>
      <c r="AF65" s="136">
        <f t="shared" si="36"/>
        <v>248405.83424999999</v>
      </c>
      <c r="AG65" s="136">
        <f t="shared" si="37"/>
        <v>263227.80294999998</v>
      </c>
      <c r="AH65" s="136">
        <f t="shared" si="38"/>
        <v>266744.52</v>
      </c>
      <c r="AI65" s="136">
        <f t="shared" si="39"/>
        <v>282660.728</v>
      </c>
      <c r="AJ65" s="137">
        <f t="shared" si="142"/>
        <v>160053.69</v>
      </c>
      <c r="AK65" s="137">
        <f t="shared" si="143"/>
        <v>159360.64000000001</v>
      </c>
      <c r="AL65" s="136">
        <f t="shared" si="41"/>
        <v>166935.99867</v>
      </c>
      <c r="AM65" s="136">
        <f t="shared" si="42"/>
        <v>166213.14752</v>
      </c>
      <c r="AN65" s="136">
        <f t="shared" si="43"/>
        <v>179260.13280000002</v>
      </c>
      <c r="AO65" s="136">
        <f t="shared" si="44"/>
        <v>178483.91680000004</v>
      </c>
      <c r="AP65" s="92"/>
      <c r="AQ65" s="140">
        <v>62</v>
      </c>
      <c r="AR65" s="141">
        <f ca="1">+RESUMEN!F65</f>
        <v>0</v>
      </c>
      <c r="AS65" s="141">
        <f ca="1">+RESUMEN!G65</f>
        <v>0</v>
      </c>
      <c r="AT65" s="142">
        <f t="shared" ca="1" si="85"/>
        <v>0</v>
      </c>
      <c r="AU65" s="143">
        <f t="shared" si="45"/>
        <v>0</v>
      </c>
      <c r="AV65" s="143">
        <f t="shared" si="46"/>
        <v>0</v>
      </c>
      <c r="AW65" s="143">
        <f t="shared" si="47"/>
        <v>0</v>
      </c>
      <c r="AX65" s="143">
        <f t="shared" si="48"/>
        <v>0</v>
      </c>
      <c r="AY65" s="143">
        <f t="shared" ca="1" si="49"/>
        <v>0</v>
      </c>
      <c r="AZ65" s="142"/>
      <c r="BA65" s="143">
        <f t="shared" ca="1" si="86"/>
        <v>0</v>
      </c>
      <c r="BB65" s="143">
        <f t="shared" ca="1" si="87"/>
        <v>0</v>
      </c>
      <c r="BC65" s="144"/>
      <c r="BD65" s="145">
        <f t="shared" ca="1" si="50"/>
        <v>0</v>
      </c>
      <c r="BE65" s="145">
        <f t="shared" ca="1" si="108"/>
        <v>0</v>
      </c>
      <c r="BF65" s="146" t="str">
        <f t="shared" ca="1" si="88"/>
        <v/>
      </c>
      <c r="BG65" s="92"/>
      <c r="BH65" s="95">
        <f t="shared" ca="1" si="89"/>
        <v>0</v>
      </c>
      <c r="BI65" s="95">
        <f t="shared" ca="1" si="90"/>
        <v>0</v>
      </c>
      <c r="BJ65" s="144"/>
      <c r="BK65" s="147">
        <f t="shared" ca="1" si="52"/>
        <v>0</v>
      </c>
      <c r="BL65" s="147">
        <f t="shared" ca="1" si="110"/>
        <v>0</v>
      </c>
      <c r="BM65" s="148" t="str">
        <f t="shared" ca="1" si="91"/>
        <v/>
      </c>
      <c r="BN65" s="92"/>
      <c r="BO65" s="149">
        <f t="shared" ca="1" si="92"/>
        <v>0</v>
      </c>
      <c r="BP65" s="149">
        <f t="shared" ca="1" si="93"/>
        <v>0</v>
      </c>
      <c r="BQ65" s="144"/>
      <c r="BR65" s="150">
        <f t="shared" ca="1" si="54"/>
        <v>0</v>
      </c>
      <c r="BS65" s="150">
        <f t="shared" ca="1" si="109"/>
        <v>0</v>
      </c>
      <c r="BT65" s="151" t="str">
        <f t="shared" ca="1" si="94"/>
        <v/>
      </c>
      <c r="BU65" s="92"/>
      <c r="BV65" s="152">
        <f t="shared" ca="1" si="95"/>
        <v>0</v>
      </c>
      <c r="BW65" s="152">
        <f t="shared" ca="1" si="96"/>
        <v>0</v>
      </c>
      <c r="BX65" s="144"/>
      <c r="BY65" s="153">
        <f t="shared" ca="1" si="56"/>
        <v>0</v>
      </c>
      <c r="BZ65" s="153">
        <f t="shared" ca="1" si="111"/>
        <v>0</v>
      </c>
      <c r="CA65" s="154" t="str">
        <f t="shared" ca="1" si="97"/>
        <v/>
      </c>
      <c r="CB65" s="92"/>
      <c r="CC65" s="155">
        <f t="shared" ca="1" si="98"/>
        <v>0</v>
      </c>
      <c r="CD65" s="155">
        <f t="shared" ca="1" si="99"/>
        <v>0</v>
      </c>
      <c r="CE65" s="144"/>
      <c r="CF65" s="156">
        <f t="shared" ca="1" si="58"/>
        <v>0</v>
      </c>
      <c r="CG65" s="156">
        <f t="shared" ca="1" si="112"/>
        <v>0</v>
      </c>
      <c r="CH65" s="157" t="str">
        <f t="shared" ca="1" si="100"/>
        <v/>
      </c>
      <c r="CI65" s="92"/>
      <c r="CJ65" s="158">
        <f t="shared" ca="1" si="101"/>
        <v>0</v>
      </c>
      <c r="CK65" s="158">
        <f t="shared" ca="1" si="102"/>
        <v>0</v>
      </c>
      <c r="CL65" s="144"/>
      <c r="CM65" s="159">
        <f t="shared" ca="1" si="60"/>
        <v>0</v>
      </c>
      <c r="CN65" s="159">
        <f t="shared" ca="1" si="113"/>
        <v>0</v>
      </c>
      <c r="CO65" s="160" t="str">
        <f t="shared" ca="1" si="103"/>
        <v/>
      </c>
      <c r="CP65" s="92"/>
      <c r="CQ65" s="140">
        <v>62</v>
      </c>
      <c r="CR65" s="330">
        <v>0.12</v>
      </c>
      <c r="CS65" s="92">
        <f t="shared" si="62"/>
        <v>0</v>
      </c>
      <c r="CT65" s="335">
        <f t="shared" si="63"/>
        <v>0.12</v>
      </c>
      <c r="CU65" s="92">
        <f t="shared" si="64"/>
        <v>1</v>
      </c>
      <c r="CV65" s="348">
        <f t="shared" si="148"/>
        <v>1</v>
      </c>
      <c r="CW65" s="367">
        <f t="shared" si="144"/>
        <v>127.65</v>
      </c>
      <c r="CX65" s="367">
        <f t="shared" si="145"/>
        <v>62.61</v>
      </c>
      <c r="CY65" s="367">
        <f t="shared" si="146"/>
        <v>252.75</v>
      </c>
      <c r="CZ65" s="380">
        <f t="shared" si="147"/>
        <v>141.72999999999999</v>
      </c>
      <c r="DA65"/>
      <c r="DB65" s="391">
        <v>62</v>
      </c>
      <c r="DC65" s="59">
        <v>82262.600000000006</v>
      </c>
      <c r="DD65" s="59">
        <v>102261.3</v>
      </c>
      <c r="DE65" s="59">
        <v>73020.899999999994</v>
      </c>
      <c r="DF65" s="59">
        <v>90772.86</v>
      </c>
      <c r="DG65" s="59">
        <v>64653.919999999998</v>
      </c>
      <c r="DH65" s="59">
        <v>80371.8</v>
      </c>
      <c r="DI65" s="137">
        <v>312533.62</v>
      </c>
      <c r="DJ65" s="137">
        <v>333411.49</v>
      </c>
      <c r="DK65" s="138">
        <v>238164.75</v>
      </c>
      <c r="DL65" s="138">
        <v>252375.65</v>
      </c>
      <c r="DM65" s="137">
        <v>160053.69</v>
      </c>
      <c r="DN65" s="139">
        <v>159360.64000000001</v>
      </c>
      <c r="DP65" s="384" t="s">
        <v>190</v>
      </c>
      <c r="DQ65" s="386">
        <v>2888.79</v>
      </c>
      <c r="DR65" s="386">
        <v>4003.88</v>
      </c>
    </row>
    <row r="66" spans="1:122">
      <c r="A66" s="178">
        <v>30</v>
      </c>
      <c r="B66" s="173">
        <f ca="1">RESUMEN!J33</f>
        <v>0</v>
      </c>
      <c r="C66" s="173">
        <f ca="1">+RESUMEN!K33</f>
        <v>0</v>
      </c>
      <c r="D66" s="174">
        <f t="shared" ca="1" si="107"/>
        <v>0</v>
      </c>
      <c r="E66" s="177">
        <f ca="1">+RESUMEN!T15</f>
        <v>0</v>
      </c>
      <c r="F66" s="173">
        <f ca="1">RESUMEN!P15</f>
        <v>0</v>
      </c>
      <c r="G66" s="174">
        <f t="shared" ca="1" si="125"/>
        <v>0</v>
      </c>
      <c r="H66" s="165"/>
      <c r="I66" s="353"/>
      <c r="J66" s="164">
        <v>63</v>
      </c>
      <c r="K66" s="59">
        <f t="shared" si="132"/>
        <v>91623</v>
      </c>
      <c r="L66" s="59">
        <f t="shared" si="133"/>
        <v>105486.19</v>
      </c>
      <c r="M66" s="59">
        <f t="shared" si="134"/>
        <v>81329.710000000006</v>
      </c>
      <c r="N66" s="59">
        <f t="shared" si="135"/>
        <v>93635.45</v>
      </c>
      <c r="O66" s="59">
        <f t="shared" si="136"/>
        <v>72010.679999999993</v>
      </c>
      <c r="P66" s="59">
        <f t="shared" si="137"/>
        <v>82906.39</v>
      </c>
      <c r="Q66" s="136">
        <f t="shared" si="79"/>
        <v>316492.39</v>
      </c>
      <c r="R66" s="136">
        <f t="shared" si="80"/>
        <v>328197.86</v>
      </c>
      <c r="S66" s="136">
        <f t="shared" si="81"/>
        <v>238439.13</v>
      </c>
      <c r="T66" s="136">
        <f t="shared" si="82"/>
        <v>245533.36</v>
      </c>
      <c r="U66" s="136">
        <f t="shared" si="83"/>
        <v>162545.21</v>
      </c>
      <c r="V66" s="136">
        <f t="shared" si="84"/>
        <v>161036.99</v>
      </c>
      <c r="W66" s="92"/>
      <c r="X66" s="137">
        <f t="shared" si="138"/>
        <v>316492.39</v>
      </c>
      <c r="Y66" s="137">
        <f t="shared" si="139"/>
        <v>328197.86</v>
      </c>
      <c r="Z66" s="136">
        <f t="shared" si="31"/>
        <v>330101.56277000002</v>
      </c>
      <c r="AA66" s="136">
        <f t="shared" si="32"/>
        <v>342310.36797999998</v>
      </c>
      <c r="AB66" s="136">
        <f t="shared" si="33"/>
        <v>354471.47680000006</v>
      </c>
      <c r="AC66" s="136">
        <f t="shared" si="34"/>
        <v>367581.60320000001</v>
      </c>
      <c r="AD66" s="138">
        <f t="shared" si="140"/>
        <v>238439.13</v>
      </c>
      <c r="AE66" s="138">
        <f t="shared" si="141"/>
        <v>245533.36</v>
      </c>
      <c r="AF66" s="136">
        <f t="shared" si="36"/>
        <v>248692.01259</v>
      </c>
      <c r="AG66" s="136">
        <f t="shared" si="37"/>
        <v>256091.29447999995</v>
      </c>
      <c r="AH66" s="136">
        <f t="shared" si="38"/>
        <v>267051.82560000004</v>
      </c>
      <c r="AI66" s="136">
        <f t="shared" si="39"/>
        <v>274997.36320000002</v>
      </c>
      <c r="AJ66" s="137">
        <f t="shared" si="142"/>
        <v>162545.21</v>
      </c>
      <c r="AK66" s="137">
        <f t="shared" si="143"/>
        <v>161036.99</v>
      </c>
      <c r="AL66" s="136">
        <f t="shared" si="41"/>
        <v>169534.65402999998</v>
      </c>
      <c r="AM66" s="136">
        <f t="shared" si="42"/>
        <v>167961.58056999999</v>
      </c>
      <c r="AN66" s="136">
        <f t="shared" si="43"/>
        <v>182050.63520000002</v>
      </c>
      <c r="AO66" s="136">
        <f t="shared" si="44"/>
        <v>180361.42879999999</v>
      </c>
      <c r="AP66" s="92"/>
      <c r="AQ66" s="140">
        <v>63</v>
      </c>
      <c r="AR66" s="141">
        <f ca="1">+RESUMEN!F66</f>
        <v>0</v>
      </c>
      <c r="AS66" s="141">
        <f ca="1">+RESUMEN!G66</f>
        <v>0</v>
      </c>
      <c r="AT66" s="142">
        <f t="shared" ca="1" si="85"/>
        <v>0</v>
      </c>
      <c r="AU66" s="143">
        <f t="shared" si="45"/>
        <v>0</v>
      </c>
      <c r="AV66" s="143">
        <f t="shared" si="46"/>
        <v>0</v>
      </c>
      <c r="AW66" s="143">
        <f t="shared" si="47"/>
        <v>0</v>
      </c>
      <c r="AX66" s="143">
        <f t="shared" si="48"/>
        <v>0</v>
      </c>
      <c r="AY66" s="143">
        <f t="shared" ca="1" si="49"/>
        <v>0</v>
      </c>
      <c r="AZ66" s="142"/>
      <c r="BA66" s="143">
        <f t="shared" ca="1" si="86"/>
        <v>0</v>
      </c>
      <c r="BB66" s="143">
        <f t="shared" ca="1" si="87"/>
        <v>0</v>
      </c>
      <c r="BC66" s="144"/>
      <c r="BD66" s="145">
        <f t="shared" ca="1" si="50"/>
        <v>0</v>
      </c>
      <c r="BE66" s="145">
        <f t="shared" ca="1" si="108"/>
        <v>0</v>
      </c>
      <c r="BF66" s="146" t="str">
        <f t="shared" ca="1" si="88"/>
        <v/>
      </c>
      <c r="BG66" s="92"/>
      <c r="BH66" s="95">
        <f t="shared" ca="1" si="89"/>
        <v>0</v>
      </c>
      <c r="BI66" s="95">
        <f t="shared" ca="1" si="90"/>
        <v>0</v>
      </c>
      <c r="BJ66" s="144"/>
      <c r="BK66" s="147">
        <f t="shared" ca="1" si="52"/>
        <v>0</v>
      </c>
      <c r="BL66" s="147">
        <f t="shared" ca="1" si="110"/>
        <v>0</v>
      </c>
      <c r="BM66" s="148" t="str">
        <f t="shared" ca="1" si="91"/>
        <v/>
      </c>
      <c r="BN66" s="92"/>
      <c r="BO66" s="149">
        <f t="shared" ca="1" si="92"/>
        <v>0</v>
      </c>
      <c r="BP66" s="149">
        <f t="shared" ca="1" si="93"/>
        <v>0</v>
      </c>
      <c r="BQ66" s="144"/>
      <c r="BR66" s="150">
        <f t="shared" ca="1" si="54"/>
        <v>0</v>
      </c>
      <c r="BS66" s="150">
        <f t="shared" ca="1" si="109"/>
        <v>0</v>
      </c>
      <c r="BT66" s="151" t="str">
        <f t="shared" ca="1" si="94"/>
        <v/>
      </c>
      <c r="BU66" s="92"/>
      <c r="BV66" s="152">
        <f t="shared" ca="1" si="95"/>
        <v>0</v>
      </c>
      <c r="BW66" s="152">
        <f t="shared" ca="1" si="96"/>
        <v>0</v>
      </c>
      <c r="BX66" s="144"/>
      <c r="BY66" s="153">
        <f t="shared" ca="1" si="56"/>
        <v>0</v>
      </c>
      <c r="BZ66" s="153">
        <f t="shared" ca="1" si="111"/>
        <v>0</v>
      </c>
      <c r="CA66" s="154" t="str">
        <f t="shared" ca="1" si="97"/>
        <v/>
      </c>
      <c r="CB66" s="92"/>
      <c r="CC66" s="155">
        <f t="shared" ca="1" si="98"/>
        <v>0</v>
      </c>
      <c r="CD66" s="155">
        <f t="shared" ca="1" si="99"/>
        <v>0</v>
      </c>
      <c r="CE66" s="144"/>
      <c r="CF66" s="156">
        <f t="shared" ca="1" si="58"/>
        <v>0</v>
      </c>
      <c r="CG66" s="156">
        <f t="shared" ca="1" si="112"/>
        <v>0</v>
      </c>
      <c r="CH66" s="157" t="str">
        <f t="shared" ca="1" si="100"/>
        <v/>
      </c>
      <c r="CI66" s="92"/>
      <c r="CJ66" s="158">
        <f t="shared" ca="1" si="101"/>
        <v>0</v>
      </c>
      <c r="CK66" s="158">
        <f t="shared" ca="1" si="102"/>
        <v>0</v>
      </c>
      <c r="CL66" s="144"/>
      <c r="CM66" s="159">
        <f t="shared" ca="1" si="60"/>
        <v>0</v>
      </c>
      <c r="CN66" s="159">
        <f t="shared" ca="1" si="113"/>
        <v>0</v>
      </c>
      <c r="CO66" s="160" t="str">
        <f t="shared" ca="1" si="103"/>
        <v/>
      </c>
      <c r="CP66" s="92"/>
      <c r="CQ66" s="140">
        <v>63</v>
      </c>
      <c r="CR66" s="330">
        <v>0.12</v>
      </c>
      <c r="CS66" s="92">
        <f t="shared" si="62"/>
        <v>0</v>
      </c>
      <c r="CT66" s="335">
        <f t="shared" si="63"/>
        <v>0.12</v>
      </c>
      <c r="CU66" s="92">
        <f t="shared" si="64"/>
        <v>1</v>
      </c>
      <c r="CV66" s="348">
        <f t="shared" si="148"/>
        <v>1</v>
      </c>
      <c r="CW66" s="367">
        <f t="shared" si="144"/>
        <v>127.65</v>
      </c>
      <c r="CX66" s="367">
        <f t="shared" si="145"/>
        <v>62.61</v>
      </c>
      <c r="CY66" s="367">
        <f t="shared" si="146"/>
        <v>252.75</v>
      </c>
      <c r="CZ66" s="380">
        <f t="shared" si="147"/>
        <v>141.72999999999999</v>
      </c>
      <c r="DA66"/>
      <c r="DB66" s="391">
        <v>63</v>
      </c>
      <c r="DC66" s="59">
        <v>91623</v>
      </c>
      <c r="DD66" s="59">
        <v>105486.19</v>
      </c>
      <c r="DE66" s="59">
        <v>81329.710000000006</v>
      </c>
      <c r="DF66" s="59">
        <v>93635.45</v>
      </c>
      <c r="DG66" s="59">
        <v>72010.679999999993</v>
      </c>
      <c r="DH66" s="59">
        <v>82906.39</v>
      </c>
      <c r="DI66" s="137">
        <v>316492.39</v>
      </c>
      <c r="DJ66" s="137">
        <v>328197.86</v>
      </c>
      <c r="DK66" s="138">
        <v>238439.13</v>
      </c>
      <c r="DL66" s="138">
        <v>245533.36</v>
      </c>
      <c r="DM66" s="137">
        <v>162545.21</v>
      </c>
      <c r="DN66" s="139">
        <v>161036.99</v>
      </c>
      <c r="DP66" s="384" t="s">
        <v>191</v>
      </c>
      <c r="DQ66" s="389">
        <v>3049.73</v>
      </c>
      <c r="DR66" s="389">
        <v>4228.3599999999997</v>
      </c>
    </row>
    <row r="67" spans="1:122">
      <c r="A67" s="178">
        <v>31</v>
      </c>
      <c r="B67" s="173">
        <f ca="1">RESUMEN!J34</f>
        <v>0</v>
      </c>
      <c r="C67" s="173">
        <f ca="1">+RESUMEN!K34</f>
        <v>0</v>
      </c>
      <c r="D67" s="174">
        <f t="shared" ca="1" si="107"/>
        <v>0</v>
      </c>
      <c r="E67" s="177">
        <f ca="1">+RESUMEN!T16</f>
        <v>0</v>
      </c>
      <c r="F67" s="173">
        <f ca="1">RESUMEN!P16</f>
        <v>0</v>
      </c>
      <c r="G67" s="174">
        <f t="shared" ca="1" si="125"/>
        <v>0</v>
      </c>
      <c r="H67" s="165"/>
      <c r="I67" s="353"/>
      <c r="J67" s="164">
        <v>64</v>
      </c>
      <c r="K67" s="59">
        <f t="shared" si="132"/>
        <v>99304.89</v>
      </c>
      <c r="L67" s="59">
        <f t="shared" si="133"/>
        <v>112221.54</v>
      </c>
      <c r="M67" s="59">
        <f t="shared" si="134"/>
        <v>88148.59</v>
      </c>
      <c r="N67" s="59">
        <f t="shared" si="135"/>
        <v>99614.13</v>
      </c>
      <c r="O67" s="59">
        <f t="shared" si="136"/>
        <v>78048.23</v>
      </c>
      <c r="P67" s="59">
        <f t="shared" si="137"/>
        <v>88200.01</v>
      </c>
      <c r="Q67" s="136">
        <f t="shared" ref="Q67:Q103" si="149">(IF($C$11="A",AB67,IF($C$11="B",Z67,IF($C$11="C",X67," "))))</f>
        <v>337248.01</v>
      </c>
      <c r="R67" s="136">
        <f t="shared" ref="R67:R103" si="150">(IF($C$11="A",AC67,IF($C$11="B",AA67,IF($C$11="C",Y67," "))))</f>
        <v>348825.98</v>
      </c>
      <c r="S67" s="136">
        <f t="shared" ref="S67:S103" si="151">(IF($C$11="A",AH67,IF($C$11="B",AF67,IF($C$11="C",AD67," "))))</f>
        <v>259730.25</v>
      </c>
      <c r="T67" s="136">
        <f t="shared" ref="T67:T103" si="152">(IF($C$11="A",AI67,IF($C$11="B",AG67,IF($C$11="C",AE67," "))))</f>
        <v>255650.95</v>
      </c>
      <c r="U67" s="136">
        <f t="shared" ref="U67:U103" si="153">(IF($C$11="A",AN67,IF($C$11="B",AL67,IF($C$11="C",AJ67," "))))</f>
        <v>176463.67</v>
      </c>
      <c r="V67" s="136">
        <f t="shared" ref="V67:V103" si="154">(IF($C$11="A",AO67,IF($C$11="B",AM67,IF($C$11="C",AK67," "))))</f>
        <v>167649.76999999999</v>
      </c>
      <c r="W67" s="92"/>
      <c r="X67" s="137">
        <f t="shared" si="138"/>
        <v>337248.01</v>
      </c>
      <c r="Y67" s="137">
        <f t="shared" si="139"/>
        <v>348825.98</v>
      </c>
      <c r="Z67" s="136">
        <f t="shared" si="31"/>
        <v>351749.67443000001</v>
      </c>
      <c r="AA67" s="136">
        <f t="shared" si="32"/>
        <v>363825.49713999993</v>
      </c>
      <c r="AB67" s="136">
        <f t="shared" si="33"/>
        <v>377717.77120000002</v>
      </c>
      <c r="AC67" s="136">
        <f t="shared" si="34"/>
        <v>390685.09760000004</v>
      </c>
      <c r="AD67" s="138">
        <f t="shared" si="140"/>
        <v>259730.25</v>
      </c>
      <c r="AE67" s="138">
        <f t="shared" si="141"/>
        <v>255650.95</v>
      </c>
      <c r="AF67" s="136">
        <f t="shared" si="36"/>
        <v>270898.65074999997</v>
      </c>
      <c r="AG67" s="136">
        <f t="shared" si="37"/>
        <v>266643.94085000001</v>
      </c>
      <c r="AH67" s="136">
        <f t="shared" si="38"/>
        <v>290897.88</v>
      </c>
      <c r="AI67" s="136">
        <f t="shared" si="39"/>
        <v>286329.06400000001</v>
      </c>
      <c r="AJ67" s="137">
        <f t="shared" si="142"/>
        <v>176463.67</v>
      </c>
      <c r="AK67" s="137">
        <f t="shared" si="143"/>
        <v>167649.76999999999</v>
      </c>
      <c r="AL67" s="136">
        <f t="shared" si="41"/>
        <v>184051.60780999999</v>
      </c>
      <c r="AM67" s="136">
        <f t="shared" si="42"/>
        <v>174858.71010999999</v>
      </c>
      <c r="AN67" s="136">
        <f t="shared" si="43"/>
        <v>197639.31040000005</v>
      </c>
      <c r="AO67" s="136">
        <f t="shared" si="44"/>
        <v>187767.74240000002</v>
      </c>
      <c r="AP67" s="92"/>
      <c r="AQ67" s="140">
        <v>64</v>
      </c>
      <c r="AR67" s="141">
        <f ca="1">+RESUMEN!F67</f>
        <v>0</v>
      </c>
      <c r="AS67" s="141">
        <f ca="1">+RESUMEN!G67</f>
        <v>0</v>
      </c>
      <c r="AT67" s="142">
        <f t="shared" ref="AT67:AT98" ca="1" si="155">AR67+AS67</f>
        <v>0</v>
      </c>
      <c r="AU67" s="143">
        <f t="shared" si="45"/>
        <v>0</v>
      </c>
      <c r="AV67" s="143">
        <f t="shared" si="46"/>
        <v>0</v>
      </c>
      <c r="AW67" s="143">
        <f t="shared" si="47"/>
        <v>0</v>
      </c>
      <c r="AX67" s="143">
        <f t="shared" si="48"/>
        <v>0</v>
      </c>
      <c r="AY67" s="143">
        <f t="shared" ca="1" si="49"/>
        <v>0</v>
      </c>
      <c r="AZ67" s="142"/>
      <c r="BA67" s="143">
        <f t="shared" ref="BA67:BA103" ca="1" si="156">+O67*$B$26</f>
        <v>0</v>
      </c>
      <c r="BB67" s="143">
        <f t="shared" ref="BB67:BB103" ca="1" si="157">+P67*$B$26</f>
        <v>0</v>
      </c>
      <c r="BC67" s="144"/>
      <c r="BD67" s="145">
        <f t="shared" ca="1" si="50"/>
        <v>0</v>
      </c>
      <c r="BE67" s="145">
        <f t="shared" ca="1" si="108"/>
        <v>0</v>
      </c>
      <c r="BF67" s="146" t="str">
        <f t="shared" ref="BF67:BF98" ca="1" si="158">IF(BA67=0,"",(SUM(BD67:BE67)))</f>
        <v/>
      </c>
      <c r="BG67" s="92"/>
      <c r="BH67" s="95">
        <f t="shared" ref="BH67:BH103" ca="1" si="159">M67*$B$26</f>
        <v>0</v>
      </c>
      <c r="BI67" s="95">
        <f t="shared" ref="BI67:BI103" ca="1" si="160">N67*$B$26</f>
        <v>0</v>
      </c>
      <c r="BJ67" s="144"/>
      <c r="BK67" s="147">
        <f t="shared" ca="1" si="52"/>
        <v>0</v>
      </c>
      <c r="BL67" s="147">
        <f t="shared" ca="1" si="110"/>
        <v>0</v>
      </c>
      <c r="BM67" s="148" t="str">
        <f t="shared" ref="BM67:BM98" ca="1" si="161">IF(BH67=0,"",(SUM(BK67:BL67)))</f>
        <v/>
      </c>
      <c r="BN67" s="92"/>
      <c r="BO67" s="149">
        <f t="shared" ref="BO67:BO103" ca="1" si="162">K67*$B$26</f>
        <v>0</v>
      </c>
      <c r="BP67" s="149">
        <f t="shared" ref="BP67:BP103" ca="1" si="163">L67*$B$26</f>
        <v>0</v>
      </c>
      <c r="BQ67" s="144"/>
      <c r="BR67" s="150">
        <f t="shared" ca="1" si="54"/>
        <v>0</v>
      </c>
      <c r="BS67" s="150">
        <f t="shared" ca="1" si="109"/>
        <v>0</v>
      </c>
      <c r="BT67" s="151" t="str">
        <f t="shared" ref="BT67:BT98" ca="1" si="164">IF(BO67=0,"",(SUM(BR67:BS67)))</f>
        <v/>
      </c>
      <c r="BU67" s="92"/>
      <c r="BV67" s="152">
        <f t="shared" ref="BV67:BV103" ca="1" si="165">Q67*$B$26</f>
        <v>0</v>
      </c>
      <c r="BW67" s="152">
        <f t="shared" ref="BW67:BW103" ca="1" si="166">R67*$B$26</f>
        <v>0</v>
      </c>
      <c r="BX67" s="144"/>
      <c r="BY67" s="153">
        <f t="shared" ca="1" si="56"/>
        <v>0</v>
      </c>
      <c r="BZ67" s="153">
        <f t="shared" ca="1" si="111"/>
        <v>0</v>
      </c>
      <c r="CA67" s="154" t="str">
        <f t="shared" ref="CA67:CA98" ca="1" si="167">IF(BV67=0,"",(SUM(BY67:BZ67)))</f>
        <v/>
      </c>
      <c r="CB67" s="92"/>
      <c r="CC67" s="155">
        <f t="shared" ref="CC67:CC103" ca="1" si="168">S67*$B$26</f>
        <v>0</v>
      </c>
      <c r="CD67" s="155">
        <f t="shared" ref="CD67:CD103" ca="1" si="169">T67*$B$26</f>
        <v>0</v>
      </c>
      <c r="CE67" s="144"/>
      <c r="CF67" s="156">
        <f t="shared" ca="1" si="58"/>
        <v>0</v>
      </c>
      <c r="CG67" s="156">
        <f t="shared" ca="1" si="112"/>
        <v>0</v>
      </c>
      <c r="CH67" s="157" t="str">
        <f t="shared" ref="CH67:CH98" ca="1" si="170">IF(CC67=0,"",(SUM(CF67:CG67)))</f>
        <v/>
      </c>
      <c r="CI67" s="92"/>
      <c r="CJ67" s="158">
        <f t="shared" ref="CJ67:CJ103" ca="1" si="171">U67*$B$26</f>
        <v>0</v>
      </c>
      <c r="CK67" s="158">
        <f t="shared" ref="CK67:CK103" ca="1" si="172">V67*$B$26</f>
        <v>0</v>
      </c>
      <c r="CL67" s="144"/>
      <c r="CM67" s="159">
        <f t="shared" ca="1" si="60"/>
        <v>0</v>
      </c>
      <c r="CN67" s="159">
        <f t="shared" ca="1" si="113"/>
        <v>0</v>
      </c>
      <c r="CO67" s="160" t="str">
        <f t="shared" ref="CO67:CO98" ca="1" si="173">IF(CJ67=0,"",(SUM(CM67:CN67)))</f>
        <v/>
      </c>
      <c r="CP67" s="92"/>
      <c r="CQ67" s="140">
        <v>64</v>
      </c>
      <c r="CR67" s="330">
        <v>0.12</v>
      </c>
      <c r="CS67" s="92">
        <f t="shared" si="62"/>
        <v>0</v>
      </c>
      <c r="CT67" s="335">
        <f t="shared" si="63"/>
        <v>0.12</v>
      </c>
      <c r="CU67" s="92">
        <f t="shared" si="64"/>
        <v>1</v>
      </c>
      <c r="CV67" s="348">
        <f t="shared" si="148"/>
        <v>1</v>
      </c>
      <c r="CW67" s="367">
        <f t="shared" si="144"/>
        <v>127.65</v>
      </c>
      <c r="CX67" s="367">
        <f t="shared" si="145"/>
        <v>62.61</v>
      </c>
      <c r="CY67" s="367">
        <f t="shared" si="146"/>
        <v>252.75</v>
      </c>
      <c r="CZ67" s="380">
        <f t="shared" si="147"/>
        <v>141.72999999999999</v>
      </c>
      <c r="DA67"/>
      <c r="DB67" s="391">
        <v>64</v>
      </c>
      <c r="DC67" s="59">
        <v>99304.89</v>
      </c>
      <c r="DD67" s="59">
        <v>112221.54</v>
      </c>
      <c r="DE67" s="59">
        <v>88148.59</v>
      </c>
      <c r="DF67" s="59">
        <v>99614.13</v>
      </c>
      <c r="DG67" s="59">
        <v>78048.23</v>
      </c>
      <c r="DH67" s="59">
        <v>88200.01</v>
      </c>
      <c r="DI67" s="137">
        <v>337248.01</v>
      </c>
      <c r="DJ67" s="137">
        <v>348825.98</v>
      </c>
      <c r="DK67" s="138">
        <v>259730.25</v>
      </c>
      <c r="DL67" s="138">
        <v>255650.95</v>
      </c>
      <c r="DM67" s="137">
        <v>176463.67</v>
      </c>
      <c r="DN67" s="139">
        <v>167649.76999999999</v>
      </c>
      <c r="DP67" s="384" t="s">
        <v>192</v>
      </c>
      <c r="DQ67" s="387">
        <v>3210.68</v>
      </c>
      <c r="DR67" s="387">
        <v>4452.83</v>
      </c>
    </row>
    <row r="68" spans="1:122">
      <c r="A68" s="178">
        <v>32</v>
      </c>
      <c r="B68" s="173">
        <f ca="1">RESUMEN!J35</f>
        <v>0</v>
      </c>
      <c r="C68" s="173">
        <f ca="1">+RESUMEN!K35</f>
        <v>0</v>
      </c>
      <c r="D68" s="174">
        <f t="shared" ref="D68:D99" ca="1" si="174">B68+C68</f>
        <v>0</v>
      </c>
      <c r="E68" s="177">
        <f ca="1">+RESUMEN!T17</f>
        <v>0</v>
      </c>
      <c r="F68" s="173">
        <f ca="1">RESUMEN!P17</f>
        <v>0</v>
      </c>
      <c r="G68" s="174">
        <f t="shared" ca="1" si="125"/>
        <v>0</v>
      </c>
      <c r="H68" s="165"/>
      <c r="I68" s="353"/>
      <c r="J68" s="164">
        <v>65</v>
      </c>
      <c r="K68" s="59">
        <f t="shared" si="132"/>
        <v>111294.36</v>
      </c>
      <c r="L68" s="59">
        <f t="shared" si="133"/>
        <v>121738.55</v>
      </c>
      <c r="M68" s="59">
        <f t="shared" si="134"/>
        <v>98791.11</v>
      </c>
      <c r="N68" s="59">
        <f t="shared" si="135"/>
        <v>108061.96</v>
      </c>
      <c r="O68" s="59">
        <f t="shared" si="136"/>
        <v>87471.3</v>
      </c>
      <c r="P68" s="59">
        <f t="shared" si="137"/>
        <v>95679.86</v>
      </c>
      <c r="Q68" s="136">
        <f t="shared" si="149"/>
        <v>359802.29</v>
      </c>
      <c r="R68" s="136">
        <f t="shared" si="150"/>
        <v>350637.89</v>
      </c>
      <c r="S68" s="136">
        <f t="shared" si="151"/>
        <v>268939.39</v>
      </c>
      <c r="T68" s="136">
        <f t="shared" si="152"/>
        <v>259862.55</v>
      </c>
      <c r="U68" s="136">
        <f t="shared" si="153"/>
        <v>180182.29</v>
      </c>
      <c r="V68" s="136">
        <f t="shared" si="154"/>
        <v>173937.29</v>
      </c>
      <c r="W68" s="92"/>
      <c r="X68" s="137">
        <f t="shared" si="138"/>
        <v>359802.29</v>
      </c>
      <c r="Y68" s="137">
        <f t="shared" si="139"/>
        <v>350637.89</v>
      </c>
      <c r="Z68" s="136">
        <f t="shared" ref="Z68:Z103" si="175">X68*1.043</f>
        <v>375273.78846999997</v>
      </c>
      <c r="AA68" s="136">
        <f t="shared" ref="AA68:AA103" si="176">Y68*1.043</f>
        <v>365715.31926999998</v>
      </c>
      <c r="AB68" s="136">
        <f t="shared" ref="AB68:AB103" si="177">X68*1.12</f>
        <v>402978.56479999999</v>
      </c>
      <c r="AC68" s="136">
        <f t="shared" ref="AC68:AC103" si="178">Y68*1.12</f>
        <v>392714.43680000002</v>
      </c>
      <c r="AD68" s="138">
        <f t="shared" si="140"/>
        <v>268939.39</v>
      </c>
      <c r="AE68" s="138">
        <f t="shared" si="141"/>
        <v>259862.55</v>
      </c>
      <c r="AF68" s="136">
        <f t="shared" ref="AF68:AF103" si="179">AD68*1.043</f>
        <v>280503.78376999998</v>
      </c>
      <c r="AG68" s="136">
        <f t="shared" ref="AG68:AG103" si="180">AE68*1.043</f>
        <v>271036.63964999997</v>
      </c>
      <c r="AH68" s="136">
        <f t="shared" ref="AH68:AH103" si="181">AD68*1.12</f>
        <v>301212.11680000002</v>
      </c>
      <c r="AI68" s="136">
        <f t="shared" ref="AI68:AI103" si="182">AE68*1.12</f>
        <v>291046.05600000004</v>
      </c>
      <c r="AJ68" s="137">
        <f t="shared" si="142"/>
        <v>180182.29</v>
      </c>
      <c r="AK68" s="137">
        <f t="shared" si="143"/>
        <v>173937.29</v>
      </c>
      <c r="AL68" s="136">
        <f t="shared" ref="AL68:AL103" si="183">AJ68*1.043</f>
        <v>187930.12847</v>
      </c>
      <c r="AM68" s="136">
        <f t="shared" ref="AM68:AM103" si="184">AK68*1.043</f>
        <v>181416.59346999999</v>
      </c>
      <c r="AN68" s="136">
        <f t="shared" ref="AN68:AN103" si="185">AJ68*1.12</f>
        <v>201804.16480000003</v>
      </c>
      <c r="AO68" s="136">
        <f t="shared" ref="AO68:AO103" si="186">AK68*1.12</f>
        <v>194809.76480000003</v>
      </c>
      <c r="AP68" s="92"/>
      <c r="AQ68" s="140">
        <v>65</v>
      </c>
      <c r="AR68" s="141">
        <f ca="1">+RESUMEN!F68</f>
        <v>0</v>
      </c>
      <c r="AS68" s="141">
        <f ca="1">+RESUMEN!G68</f>
        <v>0</v>
      </c>
      <c r="AT68" s="142">
        <f t="shared" ca="1" si="155"/>
        <v>0</v>
      </c>
      <c r="AU68" s="143">
        <f t="shared" ref="AU68:AU103" si="187">+((IF($G$9="SI",$K172*$B$24,0))*(VLOOKUP($F$10,$L$107:$N$123,3,0)))*IF($F$20=1,1,$B$25)</f>
        <v>0</v>
      </c>
      <c r="AV68" s="143">
        <f t="shared" ref="AV68:AV103" si="188">((IF($G$12="SI",$K172*$B$24,0))*(VLOOKUP($F$13,$L$107:$N$123,3,0)))*IF($F$20=1,1,$B$25)</f>
        <v>0</v>
      </c>
      <c r="AW68" s="143">
        <f t="shared" ref="AW68:AW103" si="189">((IF($G$26="SI",$G172*$B$24,0))*(VLOOKUP($F$27,$F$95:$H$99,3,0)))*IF($F$20=1,1,$B$25)</f>
        <v>0</v>
      </c>
      <c r="AX68" s="143">
        <f t="shared" ref="AX68:AX103" si="190">((IF($G$26="SI",$H172*$B$24,0))*(VLOOKUP($F$27,$F$95:$H$99,3,0)))*IF($F$20=1,1,$B$25)</f>
        <v>0</v>
      </c>
      <c r="AY68" s="143">
        <f t="shared" ref="AY68:AY103" ca="1" si="191">SUM(CW68:CZ68)*IF($F$20=1,1,$B$25)*$B$24</f>
        <v>0</v>
      </c>
      <c r="AZ68" s="142"/>
      <c r="BA68" s="143">
        <f t="shared" ca="1" si="156"/>
        <v>0</v>
      </c>
      <c r="BB68" s="143">
        <f t="shared" ca="1" si="157"/>
        <v>0</v>
      </c>
      <c r="BC68" s="144"/>
      <c r="BD68" s="145">
        <f t="shared" ref="BD68:BD103" ca="1" si="192">(($BA68*$AR68*CV68)+($AU68*$B207)+($AV68*$B101)+($AW68*$AR68)+($AR68*$AY68))*CU68</f>
        <v>0</v>
      </c>
      <c r="BE68" s="145">
        <f t="shared" ca="1" si="108"/>
        <v>0</v>
      </c>
      <c r="BF68" s="146" t="str">
        <f t="shared" ca="1" si="158"/>
        <v/>
      </c>
      <c r="BG68" s="92"/>
      <c r="BH68" s="95">
        <f t="shared" ca="1" si="159"/>
        <v>0</v>
      </c>
      <c r="BI68" s="95">
        <f t="shared" ca="1" si="160"/>
        <v>0</v>
      </c>
      <c r="BJ68" s="144"/>
      <c r="BK68" s="147">
        <f t="shared" ref="BK68:BK103" ca="1" si="193">(($BH68*$AR68*CV68)+($AU68*$B207)+($AV68*$B101)+($AW68*$AR68)+($AR68*$AY68))*CU68</f>
        <v>0</v>
      </c>
      <c r="BL68" s="147">
        <f t="shared" ca="1" si="110"/>
        <v>0</v>
      </c>
      <c r="BM68" s="148" t="str">
        <f t="shared" ca="1" si="161"/>
        <v/>
      </c>
      <c r="BN68" s="92"/>
      <c r="BO68" s="149">
        <f t="shared" ca="1" si="162"/>
        <v>0</v>
      </c>
      <c r="BP68" s="149">
        <f t="shared" ca="1" si="163"/>
        <v>0</v>
      </c>
      <c r="BQ68" s="144"/>
      <c r="BR68" s="150">
        <f t="shared" ref="BR68:BR103" ca="1" si="194">(($BO68*$AR68*CV68)+($AU68*$B207)+($AV68*$B101)+($AW68*$AR68)+($AR68*$AY68))*CU68</f>
        <v>0</v>
      </c>
      <c r="BS68" s="150">
        <f t="shared" ca="1" si="109"/>
        <v>0</v>
      </c>
      <c r="BT68" s="151" t="str">
        <f t="shared" ca="1" si="164"/>
        <v/>
      </c>
      <c r="BU68" s="92"/>
      <c r="BV68" s="152">
        <f t="shared" ca="1" si="165"/>
        <v>0</v>
      </c>
      <c r="BW68" s="152">
        <f t="shared" ca="1" si="166"/>
        <v>0</v>
      </c>
      <c r="BX68" s="144"/>
      <c r="BY68" s="153">
        <f t="shared" ref="BY68:BY103" ca="1" si="195">(($BV68*$AR68*CV68)+($AU68*$B207)+($AV68*$B101)+($AR68*$AY68))*CU68</f>
        <v>0</v>
      </c>
      <c r="BZ68" s="153">
        <f t="shared" ca="1" si="111"/>
        <v>0</v>
      </c>
      <c r="CA68" s="154" t="str">
        <f t="shared" ca="1" si="167"/>
        <v/>
      </c>
      <c r="CB68" s="92"/>
      <c r="CC68" s="155">
        <f t="shared" ca="1" si="168"/>
        <v>0</v>
      </c>
      <c r="CD68" s="155">
        <f t="shared" ca="1" si="169"/>
        <v>0</v>
      </c>
      <c r="CE68" s="144"/>
      <c r="CF68" s="156">
        <f t="shared" ref="CF68:CF103" ca="1" si="196">(($CC68*$AR68*CV68)+($AU68*$B207)+($AV68*$B101)+($AR68*$AY68))*CU68</f>
        <v>0</v>
      </c>
      <c r="CG68" s="156">
        <f t="shared" ca="1" si="112"/>
        <v>0</v>
      </c>
      <c r="CH68" s="157" t="str">
        <f t="shared" ca="1" si="170"/>
        <v/>
      </c>
      <c r="CI68" s="92"/>
      <c r="CJ68" s="158">
        <f t="shared" ca="1" si="171"/>
        <v>0</v>
      </c>
      <c r="CK68" s="158">
        <f t="shared" ca="1" si="172"/>
        <v>0</v>
      </c>
      <c r="CL68" s="144"/>
      <c r="CM68" s="159">
        <f t="shared" ref="CM68:CM103" ca="1" si="197">(($CJ68*$AR68*CV68)+($AU68*$B207)+($AV68*$B101)+($AR68*$AY68))*CU68</f>
        <v>0</v>
      </c>
      <c r="CN68" s="159">
        <f t="shared" ca="1" si="113"/>
        <v>0</v>
      </c>
      <c r="CO68" s="160" t="str">
        <f t="shared" ca="1" si="173"/>
        <v/>
      </c>
      <c r="CP68" s="92"/>
      <c r="CQ68" s="140">
        <v>65</v>
      </c>
      <c r="CR68" s="330">
        <v>0.12</v>
      </c>
      <c r="CS68" s="92">
        <f t="shared" ref="CS68:CS103" si="198">+CR68*$CS$2</f>
        <v>0</v>
      </c>
      <c r="CT68" s="335">
        <f t="shared" ref="CT68:CT103" si="199">ROUND(CR68-CS68,4)</f>
        <v>0.12</v>
      </c>
      <c r="CU68" s="92">
        <f t="shared" ref="CU68:CU103" si="200">1-CS68</f>
        <v>1</v>
      </c>
      <c r="CV68" s="348">
        <f t="shared" si="148"/>
        <v>1</v>
      </c>
      <c r="CW68" s="367">
        <f t="shared" si="144"/>
        <v>127.65</v>
      </c>
      <c r="CX68" s="367">
        <f t="shared" si="145"/>
        <v>62.61</v>
      </c>
      <c r="CY68" s="367">
        <f t="shared" si="146"/>
        <v>252.75</v>
      </c>
      <c r="CZ68" s="380">
        <f t="shared" si="147"/>
        <v>141.72999999999999</v>
      </c>
      <c r="DA68"/>
      <c r="DB68" s="391">
        <v>65</v>
      </c>
      <c r="DC68" s="59">
        <v>111294.36</v>
      </c>
      <c r="DD68" s="59">
        <v>121738.55</v>
      </c>
      <c r="DE68" s="59">
        <v>98791.11</v>
      </c>
      <c r="DF68" s="59">
        <v>108061.96</v>
      </c>
      <c r="DG68" s="59">
        <v>87471.3</v>
      </c>
      <c r="DH68" s="59">
        <v>95679.86</v>
      </c>
      <c r="DI68" s="137">
        <v>359802.29</v>
      </c>
      <c r="DJ68" s="137">
        <v>350637.89</v>
      </c>
      <c r="DK68" s="138">
        <v>268939.39</v>
      </c>
      <c r="DL68" s="138">
        <v>259862.55</v>
      </c>
      <c r="DM68" s="137">
        <v>180182.29</v>
      </c>
      <c r="DN68" s="139">
        <v>173937.29</v>
      </c>
      <c r="DP68" s="384" t="s">
        <v>193</v>
      </c>
      <c r="DQ68" s="387">
        <v>3472.95</v>
      </c>
      <c r="DR68" s="387">
        <v>4606.3999999999996</v>
      </c>
    </row>
    <row r="69" spans="1:122">
      <c r="A69" s="178">
        <v>33</v>
      </c>
      <c r="B69" s="173">
        <f ca="1">RESUMEN!J36</f>
        <v>0</v>
      </c>
      <c r="C69" s="173">
        <f ca="1">+RESUMEN!K36</f>
        <v>0</v>
      </c>
      <c r="D69" s="174">
        <f t="shared" ca="1" si="174"/>
        <v>0</v>
      </c>
      <c r="E69" s="177">
        <f ca="1">+RESUMEN!T18</f>
        <v>0</v>
      </c>
      <c r="F69" s="173">
        <f ca="1">RESUMEN!P18</f>
        <v>0</v>
      </c>
      <c r="G69" s="174">
        <f t="shared" ca="1" si="125"/>
        <v>0</v>
      </c>
      <c r="H69" s="165"/>
      <c r="I69" s="353"/>
      <c r="J69" s="164">
        <v>66</v>
      </c>
      <c r="K69" s="59">
        <f t="shared" si="132"/>
        <v>117274.17</v>
      </c>
      <c r="L69" s="59">
        <f t="shared" si="133"/>
        <v>128198.8</v>
      </c>
      <c r="M69" s="59">
        <f t="shared" si="134"/>
        <v>104099.13</v>
      </c>
      <c r="N69" s="59">
        <f t="shared" si="135"/>
        <v>113796.44</v>
      </c>
      <c r="O69" s="59">
        <f t="shared" si="136"/>
        <v>92171.1</v>
      </c>
      <c r="P69" s="59">
        <f t="shared" si="137"/>
        <v>100757.26</v>
      </c>
      <c r="Q69" s="136">
        <f t="shared" si="149"/>
        <v>373197.84</v>
      </c>
      <c r="R69" s="136">
        <f t="shared" si="150"/>
        <v>352338.49</v>
      </c>
      <c r="S69" s="136">
        <f t="shared" si="151"/>
        <v>269185.37</v>
      </c>
      <c r="T69" s="136">
        <f t="shared" si="152"/>
        <v>260854.75</v>
      </c>
      <c r="U69" s="136">
        <f t="shared" si="153"/>
        <v>183674.11</v>
      </c>
      <c r="V69" s="136">
        <f t="shared" si="154"/>
        <v>178871.87</v>
      </c>
      <c r="W69" s="92"/>
      <c r="X69" s="137">
        <f t="shared" si="138"/>
        <v>373197.84</v>
      </c>
      <c r="Y69" s="137">
        <f t="shared" si="139"/>
        <v>352338.49</v>
      </c>
      <c r="Z69" s="136">
        <f t="shared" si="175"/>
        <v>389245.34711999999</v>
      </c>
      <c r="AA69" s="136">
        <f t="shared" si="176"/>
        <v>367489.04506999999</v>
      </c>
      <c r="AB69" s="136">
        <f t="shared" si="177"/>
        <v>417981.58080000005</v>
      </c>
      <c r="AC69" s="136">
        <f t="shared" si="178"/>
        <v>394619.10880000005</v>
      </c>
      <c r="AD69" s="138">
        <f t="shared" si="140"/>
        <v>269185.37</v>
      </c>
      <c r="AE69" s="138">
        <f t="shared" si="141"/>
        <v>260854.75</v>
      </c>
      <c r="AF69" s="136">
        <f t="shared" si="179"/>
        <v>280760.34090999997</v>
      </c>
      <c r="AG69" s="136">
        <f t="shared" si="180"/>
        <v>272071.50425</v>
      </c>
      <c r="AH69" s="136">
        <f t="shared" si="181"/>
        <v>301487.61440000002</v>
      </c>
      <c r="AI69" s="136">
        <f t="shared" si="182"/>
        <v>292157.32</v>
      </c>
      <c r="AJ69" s="137">
        <f t="shared" si="142"/>
        <v>183674.11</v>
      </c>
      <c r="AK69" s="137">
        <f t="shared" si="143"/>
        <v>178871.87</v>
      </c>
      <c r="AL69" s="136">
        <f t="shared" si="183"/>
        <v>191572.09672999996</v>
      </c>
      <c r="AM69" s="136">
        <f t="shared" si="184"/>
        <v>186563.36040999999</v>
      </c>
      <c r="AN69" s="136">
        <f t="shared" si="185"/>
        <v>205715.00320000001</v>
      </c>
      <c r="AO69" s="136">
        <f t="shared" si="186"/>
        <v>200336.49440000003</v>
      </c>
      <c r="AP69" s="92"/>
      <c r="AQ69" s="140">
        <v>66</v>
      </c>
      <c r="AR69" s="141">
        <f ca="1">+RESUMEN!F69</f>
        <v>0</v>
      </c>
      <c r="AS69" s="141">
        <f ca="1">+RESUMEN!G69</f>
        <v>0</v>
      </c>
      <c r="AT69" s="142">
        <f t="shared" ca="1" si="155"/>
        <v>0</v>
      </c>
      <c r="AU69" s="143">
        <f t="shared" si="187"/>
        <v>0</v>
      </c>
      <c r="AV69" s="143">
        <f t="shared" si="188"/>
        <v>0</v>
      </c>
      <c r="AW69" s="143">
        <f t="shared" si="189"/>
        <v>0</v>
      </c>
      <c r="AX69" s="143">
        <f t="shared" si="190"/>
        <v>0</v>
      </c>
      <c r="AY69" s="143">
        <f t="shared" ca="1" si="191"/>
        <v>0</v>
      </c>
      <c r="AZ69" s="142"/>
      <c r="BA69" s="143">
        <f t="shared" ca="1" si="156"/>
        <v>0</v>
      </c>
      <c r="BB69" s="143">
        <f t="shared" ca="1" si="157"/>
        <v>0</v>
      </c>
      <c r="BC69" s="144"/>
      <c r="BD69" s="145">
        <f t="shared" ca="1" si="192"/>
        <v>0</v>
      </c>
      <c r="BE69" s="145">
        <f t="shared" ca="1" si="108"/>
        <v>0</v>
      </c>
      <c r="BF69" s="146" t="str">
        <f t="shared" ca="1" si="158"/>
        <v/>
      </c>
      <c r="BG69" s="92"/>
      <c r="BH69" s="95">
        <f t="shared" ca="1" si="159"/>
        <v>0</v>
      </c>
      <c r="BI69" s="95">
        <f t="shared" ca="1" si="160"/>
        <v>0</v>
      </c>
      <c r="BJ69" s="144"/>
      <c r="BK69" s="147">
        <f t="shared" ca="1" si="193"/>
        <v>0</v>
      </c>
      <c r="BL69" s="147">
        <f t="shared" ca="1" si="110"/>
        <v>0</v>
      </c>
      <c r="BM69" s="148" t="str">
        <f t="shared" ca="1" si="161"/>
        <v/>
      </c>
      <c r="BN69" s="92"/>
      <c r="BO69" s="149">
        <f t="shared" ca="1" si="162"/>
        <v>0</v>
      </c>
      <c r="BP69" s="149">
        <f t="shared" ca="1" si="163"/>
        <v>0</v>
      </c>
      <c r="BQ69" s="144"/>
      <c r="BR69" s="150">
        <f t="shared" ca="1" si="194"/>
        <v>0</v>
      </c>
      <c r="BS69" s="150">
        <f t="shared" ca="1" si="109"/>
        <v>0</v>
      </c>
      <c r="BT69" s="151" t="str">
        <f t="shared" ca="1" si="164"/>
        <v/>
      </c>
      <c r="BU69" s="92"/>
      <c r="BV69" s="152">
        <f t="shared" ca="1" si="165"/>
        <v>0</v>
      </c>
      <c r="BW69" s="152">
        <f t="shared" ca="1" si="166"/>
        <v>0</v>
      </c>
      <c r="BX69" s="144"/>
      <c r="BY69" s="153">
        <f t="shared" ca="1" si="195"/>
        <v>0</v>
      </c>
      <c r="BZ69" s="153">
        <f t="shared" ca="1" si="111"/>
        <v>0</v>
      </c>
      <c r="CA69" s="154" t="str">
        <f t="shared" ca="1" si="167"/>
        <v/>
      </c>
      <c r="CB69" s="92"/>
      <c r="CC69" s="155">
        <f t="shared" ca="1" si="168"/>
        <v>0</v>
      </c>
      <c r="CD69" s="155">
        <f t="shared" ca="1" si="169"/>
        <v>0</v>
      </c>
      <c r="CE69" s="144"/>
      <c r="CF69" s="156">
        <f t="shared" ca="1" si="196"/>
        <v>0</v>
      </c>
      <c r="CG69" s="156">
        <f t="shared" ca="1" si="112"/>
        <v>0</v>
      </c>
      <c r="CH69" s="157" t="str">
        <f t="shared" ca="1" si="170"/>
        <v/>
      </c>
      <c r="CI69" s="92"/>
      <c r="CJ69" s="158">
        <f t="shared" ca="1" si="171"/>
        <v>0</v>
      </c>
      <c r="CK69" s="158">
        <f t="shared" ca="1" si="172"/>
        <v>0</v>
      </c>
      <c r="CL69" s="144"/>
      <c r="CM69" s="159">
        <f t="shared" ca="1" si="197"/>
        <v>0</v>
      </c>
      <c r="CN69" s="159">
        <f t="shared" ca="1" si="113"/>
        <v>0</v>
      </c>
      <c r="CO69" s="160" t="str">
        <f t="shared" ca="1" si="173"/>
        <v/>
      </c>
      <c r="CP69" s="92"/>
      <c r="CQ69" s="140">
        <v>66</v>
      </c>
      <c r="CR69" s="330">
        <v>0.12</v>
      </c>
      <c r="CS69" s="92">
        <f t="shared" si="198"/>
        <v>0</v>
      </c>
      <c r="CT69" s="335">
        <f t="shared" si="199"/>
        <v>0.12</v>
      </c>
      <c r="CU69" s="92">
        <f t="shared" si="200"/>
        <v>1</v>
      </c>
      <c r="CV69" s="348">
        <f t="shared" si="148"/>
        <v>1</v>
      </c>
      <c r="CW69" s="367">
        <f t="shared" si="144"/>
        <v>127.65</v>
      </c>
      <c r="CX69" s="367">
        <f t="shared" si="145"/>
        <v>62.61</v>
      </c>
      <c r="CY69" s="367">
        <f t="shared" si="146"/>
        <v>252.75</v>
      </c>
      <c r="CZ69" s="380">
        <f t="shared" si="147"/>
        <v>141.72999999999999</v>
      </c>
      <c r="DA69"/>
      <c r="DB69" s="391">
        <v>66</v>
      </c>
      <c r="DC69" s="59">
        <v>117274.17</v>
      </c>
      <c r="DD69" s="59">
        <v>128198.8</v>
      </c>
      <c r="DE69" s="59">
        <v>104099.13</v>
      </c>
      <c r="DF69" s="59">
        <v>113796.44</v>
      </c>
      <c r="DG69" s="59">
        <v>92171.1</v>
      </c>
      <c r="DH69" s="59">
        <v>100757.26</v>
      </c>
      <c r="DI69" s="137">
        <v>373197.84</v>
      </c>
      <c r="DJ69" s="137">
        <v>352338.49</v>
      </c>
      <c r="DK69" s="138">
        <v>269185.37</v>
      </c>
      <c r="DL69" s="138">
        <v>260854.75</v>
      </c>
      <c r="DM69" s="137">
        <v>183674.11</v>
      </c>
      <c r="DN69" s="139">
        <v>178871.87</v>
      </c>
      <c r="DP69" s="384" t="s">
        <v>194</v>
      </c>
      <c r="DQ69" s="387">
        <v>3735.23</v>
      </c>
      <c r="DR69" s="387">
        <v>4759.9799999999996</v>
      </c>
    </row>
    <row r="70" spans="1:122">
      <c r="A70" s="178">
        <v>34</v>
      </c>
      <c r="B70" s="173">
        <f ca="1">RESUMEN!J37</f>
        <v>0</v>
      </c>
      <c r="C70" s="173">
        <f ca="1">+RESUMEN!K37</f>
        <v>0</v>
      </c>
      <c r="D70" s="174">
        <f t="shared" ca="1" si="174"/>
        <v>0</v>
      </c>
      <c r="E70" s="177">
        <f ca="1">+RESUMEN!T19</f>
        <v>0</v>
      </c>
      <c r="F70" s="173">
        <f ca="1">RESUMEN!P19</f>
        <v>0</v>
      </c>
      <c r="G70" s="174">
        <f t="shared" ca="1" si="125"/>
        <v>0</v>
      </c>
      <c r="H70" s="165"/>
      <c r="I70" s="353"/>
      <c r="J70" s="164">
        <v>67</v>
      </c>
      <c r="K70" s="59">
        <f t="shared" si="132"/>
        <v>120360.84</v>
      </c>
      <c r="L70" s="59">
        <f t="shared" si="133"/>
        <v>130555.07</v>
      </c>
      <c r="M70" s="59">
        <f t="shared" si="134"/>
        <v>106839.03</v>
      </c>
      <c r="N70" s="59">
        <f t="shared" si="135"/>
        <v>115888</v>
      </c>
      <c r="O70" s="59">
        <f t="shared" si="136"/>
        <v>94597.05</v>
      </c>
      <c r="P70" s="59">
        <f t="shared" si="137"/>
        <v>102609.16</v>
      </c>
      <c r="Q70" s="136">
        <f t="shared" si="149"/>
        <v>390540.38</v>
      </c>
      <c r="R70" s="136">
        <f t="shared" si="150"/>
        <v>369744.01</v>
      </c>
      <c r="S70" s="136">
        <f t="shared" si="151"/>
        <v>283150.8</v>
      </c>
      <c r="T70" s="136">
        <f t="shared" si="152"/>
        <v>275141.82</v>
      </c>
      <c r="U70" s="136">
        <f t="shared" si="153"/>
        <v>199521.96</v>
      </c>
      <c r="V70" s="136">
        <f t="shared" si="154"/>
        <v>192409.89</v>
      </c>
      <c r="W70" s="92"/>
      <c r="X70" s="137">
        <f t="shared" si="138"/>
        <v>390540.38</v>
      </c>
      <c r="Y70" s="137">
        <f t="shared" si="139"/>
        <v>369744.01</v>
      </c>
      <c r="Z70" s="136">
        <f t="shared" si="175"/>
        <v>407333.61633999995</v>
      </c>
      <c r="AA70" s="136">
        <f t="shared" si="176"/>
        <v>385643.00242999999</v>
      </c>
      <c r="AB70" s="136">
        <f t="shared" si="177"/>
        <v>437405.22560000006</v>
      </c>
      <c r="AC70" s="136">
        <f t="shared" si="178"/>
        <v>414113.29120000004</v>
      </c>
      <c r="AD70" s="138">
        <f t="shared" si="140"/>
        <v>283150.8</v>
      </c>
      <c r="AE70" s="138">
        <f t="shared" si="141"/>
        <v>275141.82</v>
      </c>
      <c r="AF70" s="136">
        <f t="shared" si="179"/>
        <v>295326.28439999995</v>
      </c>
      <c r="AG70" s="136">
        <f t="shared" si="180"/>
        <v>286972.91826000001</v>
      </c>
      <c r="AH70" s="136">
        <f t="shared" si="181"/>
        <v>317128.89600000001</v>
      </c>
      <c r="AI70" s="136">
        <f t="shared" si="182"/>
        <v>308158.83840000007</v>
      </c>
      <c r="AJ70" s="137">
        <f t="shared" si="142"/>
        <v>199521.96</v>
      </c>
      <c r="AK70" s="137">
        <f t="shared" si="143"/>
        <v>192409.89</v>
      </c>
      <c r="AL70" s="136">
        <f t="shared" si="183"/>
        <v>208101.40427999999</v>
      </c>
      <c r="AM70" s="136">
        <f t="shared" si="184"/>
        <v>200683.51527</v>
      </c>
      <c r="AN70" s="136">
        <f t="shared" si="185"/>
        <v>223464.59520000001</v>
      </c>
      <c r="AO70" s="136">
        <f t="shared" si="186"/>
        <v>215499.07680000004</v>
      </c>
      <c r="AP70" s="92"/>
      <c r="AQ70" s="140">
        <v>67</v>
      </c>
      <c r="AR70" s="141">
        <f ca="1">+RESUMEN!F70</f>
        <v>0</v>
      </c>
      <c r="AS70" s="141">
        <f ca="1">+RESUMEN!G70</f>
        <v>0</v>
      </c>
      <c r="AT70" s="142">
        <f t="shared" ca="1" si="155"/>
        <v>0</v>
      </c>
      <c r="AU70" s="143">
        <f t="shared" si="187"/>
        <v>0</v>
      </c>
      <c r="AV70" s="143">
        <f t="shared" si="188"/>
        <v>0</v>
      </c>
      <c r="AW70" s="143">
        <f t="shared" si="189"/>
        <v>0</v>
      </c>
      <c r="AX70" s="143">
        <f t="shared" si="190"/>
        <v>0</v>
      </c>
      <c r="AY70" s="143">
        <f t="shared" ca="1" si="191"/>
        <v>0</v>
      </c>
      <c r="AZ70" s="142"/>
      <c r="BA70" s="143">
        <f t="shared" ca="1" si="156"/>
        <v>0</v>
      </c>
      <c r="BB70" s="143">
        <f t="shared" ca="1" si="157"/>
        <v>0</v>
      </c>
      <c r="BC70" s="144"/>
      <c r="BD70" s="145">
        <f t="shared" ca="1" si="192"/>
        <v>0</v>
      </c>
      <c r="BE70" s="145">
        <f t="shared" ca="1" si="108"/>
        <v>0</v>
      </c>
      <c r="BF70" s="146" t="str">
        <f t="shared" ca="1" si="158"/>
        <v/>
      </c>
      <c r="BG70" s="92"/>
      <c r="BH70" s="95">
        <f t="shared" ca="1" si="159"/>
        <v>0</v>
      </c>
      <c r="BI70" s="95">
        <f t="shared" ca="1" si="160"/>
        <v>0</v>
      </c>
      <c r="BJ70" s="144"/>
      <c r="BK70" s="147">
        <f t="shared" ca="1" si="193"/>
        <v>0</v>
      </c>
      <c r="BL70" s="147">
        <f t="shared" ca="1" si="110"/>
        <v>0</v>
      </c>
      <c r="BM70" s="148" t="str">
        <f t="shared" ca="1" si="161"/>
        <v/>
      </c>
      <c r="BN70" s="92"/>
      <c r="BO70" s="149">
        <f t="shared" ca="1" si="162"/>
        <v>0</v>
      </c>
      <c r="BP70" s="149">
        <f t="shared" ca="1" si="163"/>
        <v>0</v>
      </c>
      <c r="BQ70" s="144"/>
      <c r="BR70" s="150">
        <f t="shared" ca="1" si="194"/>
        <v>0</v>
      </c>
      <c r="BS70" s="150">
        <f t="shared" ca="1" si="109"/>
        <v>0</v>
      </c>
      <c r="BT70" s="151" t="str">
        <f t="shared" ca="1" si="164"/>
        <v/>
      </c>
      <c r="BU70" s="92"/>
      <c r="BV70" s="152">
        <f t="shared" ca="1" si="165"/>
        <v>0</v>
      </c>
      <c r="BW70" s="152">
        <f t="shared" ca="1" si="166"/>
        <v>0</v>
      </c>
      <c r="BX70" s="144"/>
      <c r="BY70" s="153">
        <f t="shared" ca="1" si="195"/>
        <v>0</v>
      </c>
      <c r="BZ70" s="153">
        <f t="shared" ca="1" si="111"/>
        <v>0</v>
      </c>
      <c r="CA70" s="154" t="str">
        <f t="shared" ca="1" si="167"/>
        <v/>
      </c>
      <c r="CB70" s="92"/>
      <c r="CC70" s="155">
        <f t="shared" ca="1" si="168"/>
        <v>0</v>
      </c>
      <c r="CD70" s="155">
        <f t="shared" ca="1" si="169"/>
        <v>0</v>
      </c>
      <c r="CE70" s="144"/>
      <c r="CF70" s="156">
        <f t="shared" ca="1" si="196"/>
        <v>0</v>
      </c>
      <c r="CG70" s="156">
        <f t="shared" ca="1" si="112"/>
        <v>0</v>
      </c>
      <c r="CH70" s="157" t="str">
        <f t="shared" ca="1" si="170"/>
        <v/>
      </c>
      <c r="CI70" s="92"/>
      <c r="CJ70" s="158">
        <f t="shared" ca="1" si="171"/>
        <v>0</v>
      </c>
      <c r="CK70" s="158">
        <f t="shared" ca="1" si="172"/>
        <v>0</v>
      </c>
      <c r="CL70" s="144"/>
      <c r="CM70" s="159">
        <f t="shared" ca="1" si="197"/>
        <v>0</v>
      </c>
      <c r="CN70" s="159">
        <f t="shared" ca="1" si="113"/>
        <v>0</v>
      </c>
      <c r="CO70" s="160" t="str">
        <f t="shared" ca="1" si="173"/>
        <v/>
      </c>
      <c r="CP70" s="92"/>
      <c r="CQ70" s="140">
        <v>67</v>
      </c>
      <c r="CR70" s="330">
        <v>0.12</v>
      </c>
      <c r="CS70" s="92">
        <f t="shared" si="198"/>
        <v>0</v>
      </c>
      <c r="CT70" s="335">
        <f t="shared" si="199"/>
        <v>0.12</v>
      </c>
      <c r="CU70" s="92">
        <f t="shared" si="200"/>
        <v>1</v>
      </c>
      <c r="CV70" s="348">
        <f t="shared" si="148"/>
        <v>1</v>
      </c>
      <c r="CW70" s="367">
        <f t="shared" si="144"/>
        <v>127.65</v>
      </c>
      <c r="CX70" s="367">
        <f t="shared" si="145"/>
        <v>62.61</v>
      </c>
      <c r="CY70" s="367">
        <f t="shared" si="146"/>
        <v>252.75</v>
      </c>
      <c r="CZ70" s="380">
        <f t="shared" si="147"/>
        <v>141.72999999999999</v>
      </c>
      <c r="DA70"/>
      <c r="DB70" s="391">
        <v>67</v>
      </c>
      <c r="DC70" s="59">
        <v>120360.84</v>
      </c>
      <c r="DD70" s="59">
        <v>130555.07</v>
      </c>
      <c r="DE70" s="59">
        <v>106839.03</v>
      </c>
      <c r="DF70" s="59">
        <v>115888</v>
      </c>
      <c r="DG70" s="59">
        <v>94597.05</v>
      </c>
      <c r="DH70" s="59">
        <v>102609.16</v>
      </c>
      <c r="DI70" s="137">
        <v>390540.38</v>
      </c>
      <c r="DJ70" s="137">
        <v>369744.01</v>
      </c>
      <c r="DK70" s="138">
        <v>283150.8</v>
      </c>
      <c r="DL70" s="138">
        <v>275141.82</v>
      </c>
      <c r="DM70" s="137">
        <v>199521.96</v>
      </c>
      <c r="DN70" s="139">
        <v>192409.89</v>
      </c>
      <c r="DP70" s="384" t="s">
        <v>195</v>
      </c>
      <c r="DQ70" s="387">
        <v>3997.51</v>
      </c>
      <c r="DR70" s="387">
        <v>4913.5600000000004</v>
      </c>
    </row>
    <row r="71" spans="1:122">
      <c r="A71" s="178">
        <v>35</v>
      </c>
      <c r="B71" s="173">
        <f ca="1">RESUMEN!J38</f>
        <v>0</v>
      </c>
      <c r="C71" s="173">
        <f ca="1">+RESUMEN!K38</f>
        <v>0</v>
      </c>
      <c r="D71" s="174">
        <f t="shared" ca="1" si="174"/>
        <v>0</v>
      </c>
      <c r="E71" s="177">
        <f ca="1">+RESUMEN!T20</f>
        <v>0</v>
      </c>
      <c r="F71" s="173">
        <f ca="1">RESUMEN!P20</f>
        <v>0</v>
      </c>
      <c r="G71" s="174">
        <f t="shared" ca="1" si="125"/>
        <v>0</v>
      </c>
      <c r="H71" s="165"/>
      <c r="I71" s="353"/>
      <c r="J71" s="164">
        <v>68</v>
      </c>
      <c r="K71" s="59">
        <f t="shared" si="132"/>
        <v>127157.9</v>
      </c>
      <c r="L71" s="59">
        <f t="shared" si="133"/>
        <v>133895.65</v>
      </c>
      <c r="M71" s="59">
        <f t="shared" si="134"/>
        <v>112872.48</v>
      </c>
      <c r="N71" s="59">
        <f t="shared" si="135"/>
        <v>118853.28</v>
      </c>
      <c r="O71" s="59">
        <f t="shared" si="136"/>
        <v>99939.17</v>
      </c>
      <c r="P71" s="59">
        <f t="shared" si="137"/>
        <v>105234.68</v>
      </c>
      <c r="Q71" s="136">
        <f t="shared" si="149"/>
        <v>420108.23</v>
      </c>
      <c r="R71" s="136">
        <f t="shared" si="150"/>
        <v>388009.36</v>
      </c>
      <c r="S71" s="136">
        <f t="shared" si="151"/>
        <v>302945.65000000002</v>
      </c>
      <c r="T71" s="136">
        <f t="shared" si="152"/>
        <v>295585.58</v>
      </c>
      <c r="U71" s="136">
        <f t="shared" si="153"/>
        <v>215547.79</v>
      </c>
      <c r="V71" s="136">
        <f t="shared" si="154"/>
        <v>206248.13</v>
      </c>
      <c r="W71" s="92"/>
      <c r="X71" s="137">
        <f t="shared" si="138"/>
        <v>420108.23</v>
      </c>
      <c r="Y71" s="137">
        <f t="shared" si="139"/>
        <v>388009.36</v>
      </c>
      <c r="Z71" s="136">
        <f t="shared" si="175"/>
        <v>438172.88388999994</v>
      </c>
      <c r="AA71" s="136">
        <f t="shared" si="176"/>
        <v>404693.76247999998</v>
      </c>
      <c r="AB71" s="136">
        <f t="shared" si="177"/>
        <v>470521.21760000003</v>
      </c>
      <c r="AC71" s="136">
        <f t="shared" si="178"/>
        <v>434570.48320000002</v>
      </c>
      <c r="AD71" s="138">
        <f t="shared" si="140"/>
        <v>302945.65000000002</v>
      </c>
      <c r="AE71" s="138">
        <f t="shared" si="141"/>
        <v>295585.58</v>
      </c>
      <c r="AF71" s="136">
        <f t="shared" si="179"/>
        <v>315972.31294999999</v>
      </c>
      <c r="AG71" s="136">
        <f t="shared" si="180"/>
        <v>308295.75994000002</v>
      </c>
      <c r="AH71" s="136">
        <f t="shared" si="181"/>
        <v>339299.12800000008</v>
      </c>
      <c r="AI71" s="136">
        <f t="shared" si="182"/>
        <v>331055.84960000007</v>
      </c>
      <c r="AJ71" s="137">
        <f t="shared" si="142"/>
        <v>215547.79</v>
      </c>
      <c r="AK71" s="137">
        <f t="shared" si="143"/>
        <v>206248.13</v>
      </c>
      <c r="AL71" s="136">
        <f t="shared" si="183"/>
        <v>224816.34497000001</v>
      </c>
      <c r="AM71" s="136">
        <f t="shared" si="184"/>
        <v>215116.79958999998</v>
      </c>
      <c r="AN71" s="136">
        <f t="shared" si="185"/>
        <v>241413.52480000004</v>
      </c>
      <c r="AO71" s="136">
        <f t="shared" si="186"/>
        <v>230997.90560000003</v>
      </c>
      <c r="AP71" s="92"/>
      <c r="AQ71" s="140">
        <v>68</v>
      </c>
      <c r="AR71" s="141">
        <f ca="1">+RESUMEN!F71</f>
        <v>0</v>
      </c>
      <c r="AS71" s="141">
        <f ca="1">+RESUMEN!G71</f>
        <v>0</v>
      </c>
      <c r="AT71" s="142">
        <f t="shared" ca="1" si="155"/>
        <v>0</v>
      </c>
      <c r="AU71" s="143">
        <f t="shared" si="187"/>
        <v>0</v>
      </c>
      <c r="AV71" s="143">
        <f t="shared" si="188"/>
        <v>0</v>
      </c>
      <c r="AW71" s="143">
        <f t="shared" si="189"/>
        <v>0</v>
      </c>
      <c r="AX71" s="143">
        <f t="shared" si="190"/>
        <v>0</v>
      </c>
      <c r="AY71" s="143">
        <f t="shared" ca="1" si="191"/>
        <v>0</v>
      </c>
      <c r="AZ71" s="142"/>
      <c r="BA71" s="143">
        <f t="shared" ca="1" si="156"/>
        <v>0</v>
      </c>
      <c r="BB71" s="143">
        <f t="shared" ca="1" si="157"/>
        <v>0</v>
      </c>
      <c r="BC71" s="144"/>
      <c r="BD71" s="145">
        <f t="shared" ca="1" si="192"/>
        <v>0</v>
      </c>
      <c r="BE71" s="145">
        <f t="shared" ca="1" si="108"/>
        <v>0</v>
      </c>
      <c r="BF71" s="146" t="str">
        <f t="shared" ca="1" si="158"/>
        <v/>
      </c>
      <c r="BG71" s="92"/>
      <c r="BH71" s="95">
        <f t="shared" ca="1" si="159"/>
        <v>0</v>
      </c>
      <c r="BI71" s="95">
        <f t="shared" ca="1" si="160"/>
        <v>0</v>
      </c>
      <c r="BJ71" s="144"/>
      <c r="BK71" s="147">
        <f t="shared" ca="1" si="193"/>
        <v>0</v>
      </c>
      <c r="BL71" s="147">
        <f t="shared" ca="1" si="110"/>
        <v>0</v>
      </c>
      <c r="BM71" s="148" t="str">
        <f t="shared" ca="1" si="161"/>
        <v/>
      </c>
      <c r="BN71" s="92"/>
      <c r="BO71" s="149">
        <f t="shared" ca="1" si="162"/>
        <v>0</v>
      </c>
      <c r="BP71" s="149">
        <f t="shared" ca="1" si="163"/>
        <v>0</v>
      </c>
      <c r="BQ71" s="144"/>
      <c r="BR71" s="150">
        <f t="shared" ca="1" si="194"/>
        <v>0</v>
      </c>
      <c r="BS71" s="150">
        <f t="shared" ca="1" si="109"/>
        <v>0</v>
      </c>
      <c r="BT71" s="151" t="str">
        <f t="shared" ca="1" si="164"/>
        <v/>
      </c>
      <c r="BU71" s="92"/>
      <c r="BV71" s="152">
        <f t="shared" ca="1" si="165"/>
        <v>0</v>
      </c>
      <c r="BW71" s="152">
        <f t="shared" ca="1" si="166"/>
        <v>0</v>
      </c>
      <c r="BX71" s="144"/>
      <c r="BY71" s="153">
        <f t="shared" ca="1" si="195"/>
        <v>0</v>
      </c>
      <c r="BZ71" s="153">
        <f t="shared" ca="1" si="111"/>
        <v>0</v>
      </c>
      <c r="CA71" s="154" t="str">
        <f t="shared" ca="1" si="167"/>
        <v/>
      </c>
      <c r="CB71" s="92"/>
      <c r="CC71" s="155">
        <f t="shared" ca="1" si="168"/>
        <v>0</v>
      </c>
      <c r="CD71" s="155">
        <f t="shared" ca="1" si="169"/>
        <v>0</v>
      </c>
      <c r="CE71" s="144"/>
      <c r="CF71" s="156">
        <f t="shared" ca="1" si="196"/>
        <v>0</v>
      </c>
      <c r="CG71" s="156">
        <f t="shared" ca="1" si="112"/>
        <v>0</v>
      </c>
      <c r="CH71" s="157" t="str">
        <f t="shared" ca="1" si="170"/>
        <v/>
      </c>
      <c r="CI71" s="92"/>
      <c r="CJ71" s="158">
        <f t="shared" ca="1" si="171"/>
        <v>0</v>
      </c>
      <c r="CK71" s="158">
        <f t="shared" ca="1" si="172"/>
        <v>0</v>
      </c>
      <c r="CL71" s="144"/>
      <c r="CM71" s="159">
        <f t="shared" ca="1" si="197"/>
        <v>0</v>
      </c>
      <c r="CN71" s="159">
        <f t="shared" ca="1" si="113"/>
        <v>0</v>
      </c>
      <c r="CO71" s="160" t="str">
        <f t="shared" ca="1" si="173"/>
        <v/>
      </c>
      <c r="CP71" s="92"/>
      <c r="CQ71" s="140">
        <v>68</v>
      </c>
      <c r="CR71" s="330">
        <v>0.12</v>
      </c>
      <c r="CS71" s="92">
        <f t="shared" si="198"/>
        <v>0</v>
      </c>
      <c r="CT71" s="335">
        <f t="shared" si="199"/>
        <v>0.12</v>
      </c>
      <c r="CU71" s="92">
        <f t="shared" si="200"/>
        <v>1</v>
      </c>
      <c r="CV71" s="348">
        <f t="shared" si="148"/>
        <v>1</v>
      </c>
      <c r="CW71" s="367">
        <f t="shared" si="144"/>
        <v>127.65</v>
      </c>
      <c r="CX71" s="367">
        <f t="shared" si="145"/>
        <v>62.61</v>
      </c>
      <c r="CY71" s="367">
        <f t="shared" si="146"/>
        <v>252.75</v>
      </c>
      <c r="CZ71" s="380">
        <f t="shared" si="147"/>
        <v>141.72999999999999</v>
      </c>
      <c r="DA71"/>
      <c r="DB71" s="391">
        <v>68</v>
      </c>
      <c r="DC71" s="59">
        <v>127157.9</v>
      </c>
      <c r="DD71" s="59">
        <v>133895.65</v>
      </c>
      <c r="DE71" s="59">
        <v>112872.48</v>
      </c>
      <c r="DF71" s="59">
        <v>118853.28</v>
      </c>
      <c r="DG71" s="59">
        <v>99939.17</v>
      </c>
      <c r="DH71" s="59">
        <v>105234.68</v>
      </c>
      <c r="DI71" s="137">
        <v>420108.23</v>
      </c>
      <c r="DJ71" s="137">
        <v>388009.36</v>
      </c>
      <c r="DK71" s="138">
        <v>302945.65000000002</v>
      </c>
      <c r="DL71" s="138">
        <v>295585.58</v>
      </c>
      <c r="DM71" s="137">
        <v>215547.79</v>
      </c>
      <c r="DN71" s="139">
        <v>206248.13</v>
      </c>
      <c r="DP71" s="384" t="s">
        <v>196</v>
      </c>
      <c r="DQ71" s="387">
        <v>4259.78</v>
      </c>
      <c r="DR71" s="387">
        <v>5067.1400000000003</v>
      </c>
    </row>
    <row r="72" spans="1:122">
      <c r="A72" s="178">
        <v>36</v>
      </c>
      <c r="B72" s="173">
        <f ca="1">RESUMEN!J39</f>
        <v>0</v>
      </c>
      <c r="C72" s="173">
        <f ca="1">+RESUMEN!K39</f>
        <v>0</v>
      </c>
      <c r="D72" s="174">
        <f t="shared" ca="1" si="174"/>
        <v>0</v>
      </c>
      <c r="E72" s="177">
        <f ca="1">+RESUMEN!T21</f>
        <v>0</v>
      </c>
      <c r="F72" s="173">
        <f ca="1">RESUMEN!P21</f>
        <v>0</v>
      </c>
      <c r="G72" s="174">
        <f t="shared" ca="1" si="125"/>
        <v>0</v>
      </c>
      <c r="H72" s="165"/>
      <c r="I72" s="353"/>
      <c r="J72" s="164">
        <v>69</v>
      </c>
      <c r="K72" s="59">
        <f t="shared" si="132"/>
        <v>135503.44</v>
      </c>
      <c r="L72" s="59">
        <f t="shared" si="133"/>
        <v>139427.70000000001</v>
      </c>
      <c r="M72" s="59">
        <f t="shared" si="134"/>
        <v>120280.44</v>
      </c>
      <c r="N72" s="59">
        <f t="shared" si="135"/>
        <v>123763.84</v>
      </c>
      <c r="O72" s="59">
        <f t="shared" si="136"/>
        <v>106498.31</v>
      </c>
      <c r="P72" s="59">
        <f t="shared" si="137"/>
        <v>109582.57</v>
      </c>
      <c r="Q72" s="136">
        <f t="shared" si="149"/>
        <v>470573.45</v>
      </c>
      <c r="R72" s="136">
        <f t="shared" si="150"/>
        <v>407177.02</v>
      </c>
      <c r="S72" s="136">
        <f t="shared" si="151"/>
        <v>318133.56</v>
      </c>
      <c r="T72" s="136">
        <f t="shared" si="152"/>
        <v>307721.11</v>
      </c>
      <c r="U72" s="136">
        <f t="shared" si="153"/>
        <v>232011.47</v>
      </c>
      <c r="V72" s="136">
        <f t="shared" si="154"/>
        <v>211375.98</v>
      </c>
      <c r="W72" s="92"/>
      <c r="X72" s="137">
        <f t="shared" si="138"/>
        <v>470573.45</v>
      </c>
      <c r="Y72" s="137">
        <f t="shared" si="139"/>
        <v>407177.02</v>
      </c>
      <c r="Z72" s="136">
        <f t="shared" si="175"/>
        <v>490808.10834999999</v>
      </c>
      <c r="AA72" s="136">
        <f t="shared" si="176"/>
        <v>424685.63185999996</v>
      </c>
      <c r="AB72" s="136">
        <f t="shared" si="177"/>
        <v>527042.26400000008</v>
      </c>
      <c r="AC72" s="136">
        <f t="shared" si="178"/>
        <v>456038.26240000007</v>
      </c>
      <c r="AD72" s="138">
        <f t="shared" si="140"/>
        <v>318133.56</v>
      </c>
      <c r="AE72" s="138">
        <f t="shared" si="141"/>
        <v>307721.11</v>
      </c>
      <c r="AF72" s="136">
        <f t="shared" si="179"/>
        <v>331813.30307999998</v>
      </c>
      <c r="AG72" s="136">
        <f t="shared" si="180"/>
        <v>320953.11772999994</v>
      </c>
      <c r="AH72" s="136">
        <f t="shared" si="181"/>
        <v>356309.58720000001</v>
      </c>
      <c r="AI72" s="136">
        <f t="shared" si="182"/>
        <v>344647.64319999999</v>
      </c>
      <c r="AJ72" s="137">
        <f t="shared" si="142"/>
        <v>232011.47</v>
      </c>
      <c r="AK72" s="137">
        <f t="shared" si="143"/>
        <v>211375.98</v>
      </c>
      <c r="AL72" s="136">
        <f t="shared" si="183"/>
        <v>241987.96320999999</v>
      </c>
      <c r="AM72" s="136">
        <f t="shared" si="184"/>
        <v>220465.14713999999</v>
      </c>
      <c r="AN72" s="136">
        <f t="shared" si="185"/>
        <v>259852.84640000004</v>
      </c>
      <c r="AO72" s="136">
        <f t="shared" si="186"/>
        <v>236741.09760000004</v>
      </c>
      <c r="AP72" s="92"/>
      <c r="AQ72" s="140">
        <v>69</v>
      </c>
      <c r="AR72" s="141">
        <f ca="1">+RESUMEN!F72</f>
        <v>0</v>
      </c>
      <c r="AS72" s="141">
        <f ca="1">+RESUMEN!G72</f>
        <v>0</v>
      </c>
      <c r="AT72" s="142">
        <f t="shared" ca="1" si="155"/>
        <v>0</v>
      </c>
      <c r="AU72" s="143">
        <f t="shared" si="187"/>
        <v>0</v>
      </c>
      <c r="AV72" s="143">
        <f t="shared" si="188"/>
        <v>0</v>
      </c>
      <c r="AW72" s="143">
        <f t="shared" si="189"/>
        <v>0</v>
      </c>
      <c r="AX72" s="143">
        <f t="shared" si="190"/>
        <v>0</v>
      </c>
      <c r="AY72" s="143">
        <f t="shared" ca="1" si="191"/>
        <v>0</v>
      </c>
      <c r="AZ72" s="142"/>
      <c r="BA72" s="143">
        <f t="shared" ca="1" si="156"/>
        <v>0</v>
      </c>
      <c r="BB72" s="143">
        <f t="shared" ca="1" si="157"/>
        <v>0</v>
      </c>
      <c r="BC72" s="144"/>
      <c r="BD72" s="145">
        <f t="shared" ca="1" si="192"/>
        <v>0</v>
      </c>
      <c r="BE72" s="145">
        <f t="shared" ca="1" si="108"/>
        <v>0</v>
      </c>
      <c r="BF72" s="146" t="str">
        <f t="shared" ca="1" si="158"/>
        <v/>
      </c>
      <c r="BG72" s="92"/>
      <c r="BH72" s="95">
        <f t="shared" ca="1" si="159"/>
        <v>0</v>
      </c>
      <c r="BI72" s="95">
        <f t="shared" ca="1" si="160"/>
        <v>0</v>
      </c>
      <c r="BJ72" s="144"/>
      <c r="BK72" s="147">
        <f t="shared" ca="1" si="193"/>
        <v>0</v>
      </c>
      <c r="BL72" s="147">
        <f t="shared" ca="1" si="110"/>
        <v>0</v>
      </c>
      <c r="BM72" s="148" t="str">
        <f t="shared" ca="1" si="161"/>
        <v/>
      </c>
      <c r="BN72" s="92"/>
      <c r="BO72" s="149">
        <f t="shared" ca="1" si="162"/>
        <v>0</v>
      </c>
      <c r="BP72" s="149">
        <f t="shared" ca="1" si="163"/>
        <v>0</v>
      </c>
      <c r="BQ72" s="144"/>
      <c r="BR72" s="150">
        <f t="shared" ca="1" si="194"/>
        <v>0</v>
      </c>
      <c r="BS72" s="150">
        <f t="shared" ca="1" si="109"/>
        <v>0</v>
      </c>
      <c r="BT72" s="151" t="str">
        <f t="shared" ca="1" si="164"/>
        <v/>
      </c>
      <c r="BU72" s="92"/>
      <c r="BV72" s="152">
        <f t="shared" ca="1" si="165"/>
        <v>0</v>
      </c>
      <c r="BW72" s="152">
        <f t="shared" ca="1" si="166"/>
        <v>0</v>
      </c>
      <c r="BX72" s="144"/>
      <c r="BY72" s="153">
        <f t="shared" ca="1" si="195"/>
        <v>0</v>
      </c>
      <c r="BZ72" s="153">
        <f t="shared" ca="1" si="111"/>
        <v>0</v>
      </c>
      <c r="CA72" s="154" t="str">
        <f t="shared" ca="1" si="167"/>
        <v/>
      </c>
      <c r="CB72" s="92"/>
      <c r="CC72" s="155">
        <f t="shared" ca="1" si="168"/>
        <v>0</v>
      </c>
      <c r="CD72" s="155">
        <f t="shared" ca="1" si="169"/>
        <v>0</v>
      </c>
      <c r="CE72" s="144"/>
      <c r="CF72" s="156">
        <f t="shared" ca="1" si="196"/>
        <v>0</v>
      </c>
      <c r="CG72" s="156">
        <f t="shared" ca="1" si="112"/>
        <v>0</v>
      </c>
      <c r="CH72" s="157" t="str">
        <f t="shared" ca="1" si="170"/>
        <v/>
      </c>
      <c r="CI72" s="92"/>
      <c r="CJ72" s="158">
        <f t="shared" ca="1" si="171"/>
        <v>0</v>
      </c>
      <c r="CK72" s="158">
        <f t="shared" ca="1" si="172"/>
        <v>0</v>
      </c>
      <c r="CL72" s="144"/>
      <c r="CM72" s="159">
        <f t="shared" ca="1" si="197"/>
        <v>0</v>
      </c>
      <c r="CN72" s="159">
        <f t="shared" ca="1" si="113"/>
        <v>0</v>
      </c>
      <c r="CO72" s="160" t="str">
        <f t="shared" ca="1" si="173"/>
        <v/>
      </c>
      <c r="CP72" s="92"/>
      <c r="CQ72" s="140">
        <v>69</v>
      </c>
      <c r="CR72" s="330">
        <v>0.12</v>
      </c>
      <c r="CS72" s="92">
        <f t="shared" si="198"/>
        <v>0</v>
      </c>
      <c r="CT72" s="335">
        <f t="shared" si="199"/>
        <v>0.12</v>
      </c>
      <c r="CU72" s="92">
        <f t="shared" si="200"/>
        <v>1</v>
      </c>
      <c r="CV72" s="348">
        <f t="shared" si="148"/>
        <v>1</v>
      </c>
      <c r="CW72" s="367">
        <f t="shared" si="144"/>
        <v>127.65</v>
      </c>
      <c r="CX72" s="367">
        <f t="shared" si="145"/>
        <v>62.61</v>
      </c>
      <c r="CY72" s="367">
        <f t="shared" si="146"/>
        <v>252.75</v>
      </c>
      <c r="CZ72" s="380">
        <f t="shared" si="147"/>
        <v>141.72999999999999</v>
      </c>
      <c r="DA72"/>
      <c r="DB72" s="391">
        <v>69</v>
      </c>
      <c r="DC72" s="59">
        <v>135503.44</v>
      </c>
      <c r="DD72" s="59">
        <v>139427.70000000001</v>
      </c>
      <c r="DE72" s="59">
        <v>120280.44</v>
      </c>
      <c r="DF72" s="59">
        <v>123763.84</v>
      </c>
      <c r="DG72" s="59">
        <v>106498.31</v>
      </c>
      <c r="DH72" s="59">
        <v>109582.57</v>
      </c>
      <c r="DI72" s="137">
        <v>470573.45</v>
      </c>
      <c r="DJ72" s="137">
        <v>407177.02</v>
      </c>
      <c r="DK72" s="138">
        <v>318133.56</v>
      </c>
      <c r="DL72" s="138">
        <v>307721.11</v>
      </c>
      <c r="DM72" s="137">
        <v>232011.47</v>
      </c>
      <c r="DN72" s="139">
        <v>211375.98</v>
      </c>
      <c r="DP72" s="384" t="s">
        <v>197</v>
      </c>
      <c r="DQ72" s="386">
        <v>4522.0600000000004</v>
      </c>
      <c r="DR72" s="386">
        <v>5220.71</v>
      </c>
    </row>
    <row r="73" spans="1:122">
      <c r="A73" s="178">
        <v>37</v>
      </c>
      <c r="B73" s="173">
        <f ca="1">RESUMEN!J40</f>
        <v>0</v>
      </c>
      <c r="C73" s="173">
        <f ca="1">+RESUMEN!K40</f>
        <v>0</v>
      </c>
      <c r="D73" s="174">
        <f t="shared" ca="1" si="174"/>
        <v>0</v>
      </c>
      <c r="E73" s="177">
        <f ca="1">+RESUMEN!T22</f>
        <v>0</v>
      </c>
      <c r="F73" s="173">
        <f ca="1">RESUMEN!P22</f>
        <v>0</v>
      </c>
      <c r="G73" s="174">
        <f t="shared" ca="1" si="125"/>
        <v>0</v>
      </c>
      <c r="H73" s="165"/>
      <c r="I73" s="353"/>
      <c r="J73" s="164">
        <v>70</v>
      </c>
      <c r="K73" s="59">
        <f t="shared" si="132"/>
        <v>143061.85</v>
      </c>
      <c r="L73" s="59">
        <f t="shared" si="133"/>
        <v>145662.53</v>
      </c>
      <c r="M73" s="59">
        <f t="shared" si="134"/>
        <v>126989.71</v>
      </c>
      <c r="N73" s="59">
        <f t="shared" si="135"/>
        <v>129298.22</v>
      </c>
      <c r="O73" s="59">
        <f t="shared" si="136"/>
        <v>112438.81</v>
      </c>
      <c r="P73" s="59">
        <f t="shared" si="137"/>
        <v>114482.8</v>
      </c>
      <c r="Q73" s="136">
        <f t="shared" si="149"/>
        <v>484880.93</v>
      </c>
      <c r="R73" s="136">
        <f t="shared" si="150"/>
        <v>428240.06</v>
      </c>
      <c r="S73" s="136">
        <f t="shared" si="151"/>
        <v>347394.29</v>
      </c>
      <c r="T73" s="136">
        <f t="shared" si="152"/>
        <v>315114.25</v>
      </c>
      <c r="U73" s="136">
        <f t="shared" si="153"/>
        <v>238730.51</v>
      </c>
      <c r="V73" s="136">
        <f t="shared" si="154"/>
        <v>215062.91</v>
      </c>
      <c r="W73" s="92"/>
      <c r="X73" s="137">
        <f t="shared" si="138"/>
        <v>484880.93</v>
      </c>
      <c r="Y73" s="137">
        <f t="shared" si="139"/>
        <v>428240.06</v>
      </c>
      <c r="Z73" s="136">
        <f t="shared" si="175"/>
        <v>505730.80998999998</v>
      </c>
      <c r="AA73" s="136">
        <f t="shared" si="176"/>
        <v>446654.38257999998</v>
      </c>
      <c r="AB73" s="136">
        <f t="shared" si="177"/>
        <v>543066.64160000009</v>
      </c>
      <c r="AC73" s="136">
        <f t="shared" si="178"/>
        <v>479628.86720000004</v>
      </c>
      <c r="AD73" s="138">
        <f t="shared" si="140"/>
        <v>347394.29</v>
      </c>
      <c r="AE73" s="138">
        <f t="shared" si="141"/>
        <v>315114.25</v>
      </c>
      <c r="AF73" s="136">
        <f t="shared" si="179"/>
        <v>362332.24446999998</v>
      </c>
      <c r="AG73" s="136">
        <f t="shared" si="180"/>
        <v>328664.16274999996</v>
      </c>
      <c r="AH73" s="136">
        <f t="shared" si="181"/>
        <v>389081.60480000003</v>
      </c>
      <c r="AI73" s="136">
        <f t="shared" si="182"/>
        <v>352927.96</v>
      </c>
      <c r="AJ73" s="137">
        <f t="shared" si="142"/>
        <v>238730.51</v>
      </c>
      <c r="AK73" s="137">
        <f t="shared" si="143"/>
        <v>215062.91</v>
      </c>
      <c r="AL73" s="136">
        <f t="shared" si="183"/>
        <v>248995.92192999998</v>
      </c>
      <c r="AM73" s="136">
        <f t="shared" si="184"/>
        <v>224310.61512999999</v>
      </c>
      <c r="AN73" s="136">
        <f t="shared" si="185"/>
        <v>267378.17120000004</v>
      </c>
      <c r="AO73" s="136">
        <f t="shared" si="186"/>
        <v>240870.45920000004</v>
      </c>
      <c r="AP73" s="92"/>
      <c r="AQ73" s="140">
        <v>70</v>
      </c>
      <c r="AR73" s="141">
        <f ca="1">+RESUMEN!F73</f>
        <v>0</v>
      </c>
      <c r="AS73" s="141">
        <f ca="1">+RESUMEN!G73</f>
        <v>0</v>
      </c>
      <c r="AT73" s="142">
        <f t="shared" ca="1" si="155"/>
        <v>0</v>
      </c>
      <c r="AU73" s="143">
        <f t="shared" si="187"/>
        <v>0</v>
      </c>
      <c r="AV73" s="143">
        <f t="shared" si="188"/>
        <v>0</v>
      </c>
      <c r="AW73" s="143">
        <f t="shared" si="189"/>
        <v>0</v>
      </c>
      <c r="AX73" s="143">
        <f t="shared" si="190"/>
        <v>0</v>
      </c>
      <c r="AY73" s="143">
        <f t="shared" ca="1" si="191"/>
        <v>0</v>
      </c>
      <c r="AZ73" s="142"/>
      <c r="BA73" s="143">
        <f t="shared" ca="1" si="156"/>
        <v>0</v>
      </c>
      <c r="BB73" s="143">
        <f t="shared" ca="1" si="157"/>
        <v>0</v>
      </c>
      <c r="BC73" s="144"/>
      <c r="BD73" s="145">
        <f t="shared" ca="1" si="192"/>
        <v>0</v>
      </c>
      <c r="BE73" s="145">
        <f t="shared" ca="1" si="108"/>
        <v>0</v>
      </c>
      <c r="BF73" s="146" t="str">
        <f t="shared" ca="1" si="158"/>
        <v/>
      </c>
      <c r="BG73" s="92"/>
      <c r="BH73" s="95">
        <f t="shared" ca="1" si="159"/>
        <v>0</v>
      </c>
      <c r="BI73" s="95">
        <f t="shared" ca="1" si="160"/>
        <v>0</v>
      </c>
      <c r="BJ73" s="144"/>
      <c r="BK73" s="147">
        <f t="shared" ca="1" si="193"/>
        <v>0</v>
      </c>
      <c r="BL73" s="147">
        <f t="shared" ca="1" si="110"/>
        <v>0</v>
      </c>
      <c r="BM73" s="148" t="str">
        <f t="shared" ca="1" si="161"/>
        <v/>
      </c>
      <c r="BN73" s="92"/>
      <c r="BO73" s="149">
        <f t="shared" ca="1" si="162"/>
        <v>0</v>
      </c>
      <c r="BP73" s="149">
        <f t="shared" ca="1" si="163"/>
        <v>0</v>
      </c>
      <c r="BQ73" s="144"/>
      <c r="BR73" s="150">
        <f t="shared" ca="1" si="194"/>
        <v>0</v>
      </c>
      <c r="BS73" s="150">
        <f t="shared" ca="1" si="109"/>
        <v>0</v>
      </c>
      <c r="BT73" s="151" t="str">
        <f t="shared" ca="1" si="164"/>
        <v/>
      </c>
      <c r="BU73" s="92"/>
      <c r="BV73" s="152">
        <f t="shared" ca="1" si="165"/>
        <v>0</v>
      </c>
      <c r="BW73" s="152">
        <f t="shared" ca="1" si="166"/>
        <v>0</v>
      </c>
      <c r="BX73" s="144"/>
      <c r="BY73" s="153">
        <f t="shared" ca="1" si="195"/>
        <v>0</v>
      </c>
      <c r="BZ73" s="153">
        <f t="shared" ca="1" si="111"/>
        <v>0</v>
      </c>
      <c r="CA73" s="154" t="str">
        <f t="shared" ca="1" si="167"/>
        <v/>
      </c>
      <c r="CB73" s="92"/>
      <c r="CC73" s="155">
        <f t="shared" ca="1" si="168"/>
        <v>0</v>
      </c>
      <c r="CD73" s="155">
        <f t="shared" ca="1" si="169"/>
        <v>0</v>
      </c>
      <c r="CE73" s="144"/>
      <c r="CF73" s="156">
        <f t="shared" ca="1" si="196"/>
        <v>0</v>
      </c>
      <c r="CG73" s="156">
        <f t="shared" ca="1" si="112"/>
        <v>0</v>
      </c>
      <c r="CH73" s="157" t="str">
        <f t="shared" ca="1" si="170"/>
        <v/>
      </c>
      <c r="CI73" s="92"/>
      <c r="CJ73" s="158">
        <f t="shared" ca="1" si="171"/>
        <v>0</v>
      </c>
      <c r="CK73" s="158">
        <f t="shared" ca="1" si="172"/>
        <v>0</v>
      </c>
      <c r="CL73" s="144"/>
      <c r="CM73" s="159">
        <f t="shared" ca="1" si="197"/>
        <v>0</v>
      </c>
      <c r="CN73" s="159">
        <f t="shared" ca="1" si="113"/>
        <v>0</v>
      </c>
      <c r="CO73" s="160" t="str">
        <f t="shared" ca="1" si="173"/>
        <v/>
      </c>
      <c r="CP73" s="92"/>
      <c r="CQ73" s="140">
        <v>70</v>
      </c>
      <c r="CR73" s="330">
        <v>0.12</v>
      </c>
      <c r="CS73" s="92">
        <f t="shared" si="198"/>
        <v>0</v>
      </c>
      <c r="CT73" s="335">
        <f t="shared" si="199"/>
        <v>0.12</v>
      </c>
      <c r="CU73" s="92">
        <f t="shared" si="200"/>
        <v>1</v>
      </c>
      <c r="CV73" s="348">
        <f t="shared" si="148"/>
        <v>1</v>
      </c>
      <c r="CW73" s="367">
        <f t="shared" si="144"/>
        <v>127.65</v>
      </c>
      <c r="CX73" s="367">
        <f t="shared" si="145"/>
        <v>62.61</v>
      </c>
      <c r="CY73" s="367">
        <f t="shared" si="146"/>
        <v>252.75</v>
      </c>
      <c r="CZ73" s="380">
        <f t="shared" si="147"/>
        <v>141.72999999999999</v>
      </c>
      <c r="DA73"/>
      <c r="DB73" s="391">
        <v>70</v>
      </c>
      <c r="DC73" s="59">
        <v>143061.85</v>
      </c>
      <c r="DD73" s="59">
        <v>145662.53</v>
      </c>
      <c r="DE73" s="59">
        <v>126989.71</v>
      </c>
      <c r="DF73" s="59">
        <v>129298.22</v>
      </c>
      <c r="DG73" s="59">
        <v>112438.81</v>
      </c>
      <c r="DH73" s="59">
        <v>114482.8</v>
      </c>
      <c r="DI73" s="137">
        <v>484880.93</v>
      </c>
      <c r="DJ73" s="137">
        <v>428240.06</v>
      </c>
      <c r="DK73" s="138">
        <v>347394.29</v>
      </c>
      <c r="DL73" s="138">
        <v>315114.25</v>
      </c>
      <c r="DM73" s="137">
        <v>238730.51</v>
      </c>
      <c r="DN73" s="139">
        <v>215062.91</v>
      </c>
      <c r="DP73" s="384" t="s">
        <v>198</v>
      </c>
      <c r="DQ73" s="386">
        <v>4796.26</v>
      </c>
      <c r="DR73" s="386">
        <v>5676.69</v>
      </c>
    </row>
    <row r="74" spans="1:122">
      <c r="A74" s="178">
        <v>38</v>
      </c>
      <c r="B74" s="173">
        <f ca="1">RESUMEN!J41</f>
        <v>0</v>
      </c>
      <c r="C74" s="173">
        <f ca="1">+RESUMEN!K41</f>
        <v>0</v>
      </c>
      <c r="D74" s="174">
        <f t="shared" ca="1" si="174"/>
        <v>0</v>
      </c>
      <c r="E74" s="177">
        <f ca="1">+RESUMEN!T23</f>
        <v>0</v>
      </c>
      <c r="F74" s="173">
        <f ca="1">RESUMEN!P23</f>
        <v>0</v>
      </c>
      <c r="G74" s="174">
        <f t="shared" ca="1" si="125"/>
        <v>0</v>
      </c>
      <c r="H74" s="165"/>
      <c r="I74" s="353"/>
      <c r="J74" s="164">
        <v>71</v>
      </c>
      <c r="K74" s="59">
        <f t="shared" si="132"/>
        <v>151247.29</v>
      </c>
      <c r="L74" s="59">
        <f t="shared" si="133"/>
        <v>150616.54999999999</v>
      </c>
      <c r="M74" s="59">
        <f t="shared" si="134"/>
        <v>134255.57</v>
      </c>
      <c r="N74" s="59">
        <f t="shared" si="135"/>
        <v>133695.69</v>
      </c>
      <c r="O74" s="59">
        <f t="shared" si="136"/>
        <v>118872.12</v>
      </c>
      <c r="P74" s="59">
        <f t="shared" si="137"/>
        <v>118376.39</v>
      </c>
      <c r="Q74" s="136">
        <f t="shared" si="149"/>
        <v>496734.53</v>
      </c>
      <c r="R74" s="136">
        <f t="shared" si="150"/>
        <v>436589.24</v>
      </c>
      <c r="S74" s="136">
        <f t="shared" si="151"/>
        <v>372207.15</v>
      </c>
      <c r="T74" s="136">
        <f t="shared" si="152"/>
        <v>321264.7</v>
      </c>
      <c r="U74" s="136">
        <f t="shared" si="153"/>
        <v>247082.84</v>
      </c>
      <c r="V74" s="136">
        <f t="shared" si="154"/>
        <v>218953.87</v>
      </c>
      <c r="W74" s="92"/>
      <c r="X74" s="137">
        <f t="shared" si="138"/>
        <v>496734.53</v>
      </c>
      <c r="Y74" s="137">
        <f t="shared" si="139"/>
        <v>436589.24</v>
      </c>
      <c r="Z74" s="136">
        <f t="shared" si="175"/>
        <v>518094.11479000002</v>
      </c>
      <c r="AA74" s="136">
        <f t="shared" si="176"/>
        <v>455362.57731999998</v>
      </c>
      <c r="AB74" s="136">
        <f t="shared" si="177"/>
        <v>556342.6736000001</v>
      </c>
      <c r="AC74" s="136">
        <f t="shared" si="178"/>
        <v>488979.94880000001</v>
      </c>
      <c r="AD74" s="138">
        <f t="shared" si="140"/>
        <v>372207.15</v>
      </c>
      <c r="AE74" s="138">
        <f t="shared" si="141"/>
        <v>321264.7</v>
      </c>
      <c r="AF74" s="136">
        <f t="shared" si="179"/>
        <v>388212.05745000002</v>
      </c>
      <c r="AG74" s="136">
        <f t="shared" si="180"/>
        <v>335079.0821</v>
      </c>
      <c r="AH74" s="136">
        <f t="shared" si="181"/>
        <v>416872.00800000009</v>
      </c>
      <c r="AI74" s="136">
        <f t="shared" si="182"/>
        <v>359816.46400000004</v>
      </c>
      <c r="AJ74" s="137">
        <f t="shared" si="142"/>
        <v>247082.84</v>
      </c>
      <c r="AK74" s="137">
        <f t="shared" si="143"/>
        <v>218953.87</v>
      </c>
      <c r="AL74" s="136">
        <f t="shared" si="183"/>
        <v>257707.40211999998</v>
      </c>
      <c r="AM74" s="136">
        <f t="shared" si="184"/>
        <v>228368.88640999998</v>
      </c>
      <c r="AN74" s="136">
        <f t="shared" si="185"/>
        <v>276732.78080000001</v>
      </c>
      <c r="AO74" s="136">
        <f t="shared" si="186"/>
        <v>245228.33440000002</v>
      </c>
      <c r="AP74" s="92"/>
      <c r="AQ74" s="140">
        <v>71</v>
      </c>
      <c r="AR74" s="141">
        <f ca="1">+RESUMEN!F74</f>
        <v>0</v>
      </c>
      <c r="AS74" s="141">
        <f ca="1">+RESUMEN!G74</f>
        <v>0</v>
      </c>
      <c r="AT74" s="142">
        <f t="shared" ca="1" si="155"/>
        <v>0</v>
      </c>
      <c r="AU74" s="143">
        <f t="shared" si="187"/>
        <v>0</v>
      </c>
      <c r="AV74" s="143">
        <f t="shared" si="188"/>
        <v>0</v>
      </c>
      <c r="AW74" s="143">
        <f t="shared" si="189"/>
        <v>0</v>
      </c>
      <c r="AX74" s="143">
        <f t="shared" si="190"/>
        <v>0</v>
      </c>
      <c r="AY74" s="143">
        <f t="shared" ca="1" si="191"/>
        <v>0</v>
      </c>
      <c r="AZ74" s="142"/>
      <c r="BA74" s="143">
        <f t="shared" ca="1" si="156"/>
        <v>0</v>
      </c>
      <c r="BB74" s="143">
        <f t="shared" ca="1" si="157"/>
        <v>0</v>
      </c>
      <c r="BC74" s="144"/>
      <c r="BD74" s="145">
        <f t="shared" ca="1" si="192"/>
        <v>0</v>
      </c>
      <c r="BE74" s="145">
        <f t="shared" ca="1" si="108"/>
        <v>0</v>
      </c>
      <c r="BF74" s="146" t="str">
        <f t="shared" ca="1" si="158"/>
        <v/>
      </c>
      <c r="BG74" s="92"/>
      <c r="BH74" s="95">
        <f t="shared" ca="1" si="159"/>
        <v>0</v>
      </c>
      <c r="BI74" s="95">
        <f t="shared" ca="1" si="160"/>
        <v>0</v>
      </c>
      <c r="BJ74" s="144"/>
      <c r="BK74" s="147">
        <f t="shared" ca="1" si="193"/>
        <v>0</v>
      </c>
      <c r="BL74" s="147">
        <f t="shared" ca="1" si="110"/>
        <v>0</v>
      </c>
      <c r="BM74" s="148" t="str">
        <f t="shared" ca="1" si="161"/>
        <v/>
      </c>
      <c r="BN74" s="92"/>
      <c r="BO74" s="149">
        <f t="shared" ca="1" si="162"/>
        <v>0</v>
      </c>
      <c r="BP74" s="149">
        <f t="shared" ca="1" si="163"/>
        <v>0</v>
      </c>
      <c r="BQ74" s="144"/>
      <c r="BR74" s="150">
        <f t="shared" ca="1" si="194"/>
        <v>0</v>
      </c>
      <c r="BS74" s="150">
        <f t="shared" ca="1" si="109"/>
        <v>0</v>
      </c>
      <c r="BT74" s="151" t="str">
        <f t="shared" ca="1" si="164"/>
        <v/>
      </c>
      <c r="BU74" s="92"/>
      <c r="BV74" s="152">
        <f t="shared" ca="1" si="165"/>
        <v>0</v>
      </c>
      <c r="BW74" s="152">
        <f t="shared" ca="1" si="166"/>
        <v>0</v>
      </c>
      <c r="BX74" s="144"/>
      <c r="BY74" s="153">
        <f t="shared" ca="1" si="195"/>
        <v>0</v>
      </c>
      <c r="BZ74" s="153">
        <f t="shared" ca="1" si="111"/>
        <v>0</v>
      </c>
      <c r="CA74" s="154" t="str">
        <f t="shared" ca="1" si="167"/>
        <v/>
      </c>
      <c r="CB74" s="92"/>
      <c r="CC74" s="155">
        <f t="shared" ca="1" si="168"/>
        <v>0</v>
      </c>
      <c r="CD74" s="155">
        <f t="shared" ca="1" si="169"/>
        <v>0</v>
      </c>
      <c r="CE74" s="144"/>
      <c r="CF74" s="156">
        <f t="shared" ca="1" si="196"/>
        <v>0</v>
      </c>
      <c r="CG74" s="156">
        <f t="shared" ca="1" si="112"/>
        <v>0</v>
      </c>
      <c r="CH74" s="157" t="str">
        <f t="shared" ca="1" si="170"/>
        <v/>
      </c>
      <c r="CI74" s="92"/>
      <c r="CJ74" s="158">
        <f t="shared" ca="1" si="171"/>
        <v>0</v>
      </c>
      <c r="CK74" s="158">
        <f t="shared" ca="1" si="172"/>
        <v>0</v>
      </c>
      <c r="CL74" s="144"/>
      <c r="CM74" s="159">
        <f t="shared" ca="1" si="197"/>
        <v>0</v>
      </c>
      <c r="CN74" s="159">
        <f t="shared" ca="1" si="113"/>
        <v>0</v>
      </c>
      <c r="CO74" s="160" t="str">
        <f t="shared" ca="1" si="173"/>
        <v/>
      </c>
      <c r="CP74" s="92"/>
      <c r="CQ74" s="140">
        <v>71</v>
      </c>
      <c r="CR74" s="330">
        <v>0.12</v>
      </c>
      <c r="CS74" s="92">
        <f t="shared" si="198"/>
        <v>0</v>
      </c>
      <c r="CT74" s="335">
        <f t="shared" si="199"/>
        <v>0.12</v>
      </c>
      <c r="CU74" s="92">
        <f t="shared" si="200"/>
        <v>1</v>
      </c>
      <c r="CV74" s="348">
        <f t="shared" si="148"/>
        <v>1</v>
      </c>
      <c r="CW74" s="367">
        <f t="shared" si="144"/>
        <v>127.65</v>
      </c>
      <c r="CX74" s="367">
        <f t="shared" si="145"/>
        <v>62.61</v>
      </c>
      <c r="CY74" s="367">
        <f t="shared" si="146"/>
        <v>252.75</v>
      </c>
      <c r="CZ74" s="380">
        <f t="shared" si="147"/>
        <v>141.72999999999999</v>
      </c>
      <c r="DA74"/>
      <c r="DB74" s="391">
        <v>71</v>
      </c>
      <c r="DC74" s="59">
        <v>151247.29</v>
      </c>
      <c r="DD74" s="59">
        <v>150616.54999999999</v>
      </c>
      <c r="DE74" s="59">
        <v>134255.57</v>
      </c>
      <c r="DF74" s="59">
        <v>133695.69</v>
      </c>
      <c r="DG74" s="59">
        <v>118872.12</v>
      </c>
      <c r="DH74" s="59">
        <v>118376.39</v>
      </c>
      <c r="DI74" s="137">
        <v>496734.53</v>
      </c>
      <c r="DJ74" s="137">
        <v>436589.24</v>
      </c>
      <c r="DK74" s="138">
        <v>372207.15</v>
      </c>
      <c r="DL74" s="138">
        <v>321264.7</v>
      </c>
      <c r="DM74" s="137">
        <v>247082.84</v>
      </c>
      <c r="DN74" s="139">
        <v>218953.87</v>
      </c>
      <c r="DP74" s="384" t="s">
        <v>199</v>
      </c>
      <c r="DQ74" s="389">
        <v>5070.46</v>
      </c>
      <c r="DR74" s="389">
        <v>6132.67</v>
      </c>
    </row>
    <row r="75" spans="1:122">
      <c r="A75" s="178">
        <v>39</v>
      </c>
      <c r="B75" s="173">
        <f ca="1">RESUMEN!J42</f>
        <v>0</v>
      </c>
      <c r="C75" s="173">
        <f ca="1">+RESUMEN!K42</f>
        <v>0</v>
      </c>
      <c r="D75" s="174">
        <f t="shared" ca="1" si="174"/>
        <v>0</v>
      </c>
      <c r="E75" s="177">
        <f ca="1">+RESUMEN!T24</f>
        <v>0</v>
      </c>
      <c r="F75" s="173">
        <f ca="1">RESUMEN!P24</f>
        <v>0</v>
      </c>
      <c r="G75" s="174">
        <f t="shared" ca="1" si="125"/>
        <v>0</v>
      </c>
      <c r="H75" s="165"/>
      <c r="I75" s="353"/>
      <c r="J75" s="164">
        <v>72</v>
      </c>
      <c r="K75" s="59">
        <f t="shared" si="132"/>
        <v>161334.03</v>
      </c>
      <c r="L75" s="59">
        <f t="shared" si="133"/>
        <v>158585.94</v>
      </c>
      <c r="M75" s="59">
        <f t="shared" si="134"/>
        <v>143209.13</v>
      </c>
      <c r="N75" s="59">
        <f t="shared" si="135"/>
        <v>140769.76999999999</v>
      </c>
      <c r="O75" s="59">
        <f t="shared" si="136"/>
        <v>126799.75</v>
      </c>
      <c r="P75" s="59">
        <f t="shared" si="137"/>
        <v>124639.9</v>
      </c>
      <c r="Q75" s="136">
        <f t="shared" si="149"/>
        <v>534432.64</v>
      </c>
      <c r="R75" s="136">
        <f t="shared" si="150"/>
        <v>469729.24</v>
      </c>
      <c r="S75" s="136">
        <f t="shared" si="151"/>
        <v>398834.44</v>
      </c>
      <c r="T75" s="136">
        <f t="shared" si="152"/>
        <v>345932.67</v>
      </c>
      <c r="U75" s="136">
        <f t="shared" si="153"/>
        <v>276778.26</v>
      </c>
      <c r="V75" s="136">
        <f t="shared" si="154"/>
        <v>235964.99</v>
      </c>
      <c r="W75" s="92"/>
      <c r="X75" s="137">
        <f t="shared" si="138"/>
        <v>534432.64</v>
      </c>
      <c r="Y75" s="137">
        <f t="shared" si="139"/>
        <v>469729.24</v>
      </c>
      <c r="Z75" s="136">
        <f t="shared" si="175"/>
        <v>557413.24352000002</v>
      </c>
      <c r="AA75" s="136">
        <f t="shared" si="176"/>
        <v>489927.59731999994</v>
      </c>
      <c r="AB75" s="136">
        <f t="shared" si="177"/>
        <v>598564.55680000002</v>
      </c>
      <c r="AC75" s="136">
        <f t="shared" si="178"/>
        <v>526096.74880000006</v>
      </c>
      <c r="AD75" s="138">
        <f t="shared" si="140"/>
        <v>398834.44</v>
      </c>
      <c r="AE75" s="138">
        <f t="shared" si="141"/>
        <v>345932.67</v>
      </c>
      <c r="AF75" s="136">
        <f t="shared" si="179"/>
        <v>415984.32091999997</v>
      </c>
      <c r="AG75" s="136">
        <f t="shared" si="180"/>
        <v>360807.77480999997</v>
      </c>
      <c r="AH75" s="136">
        <f t="shared" si="181"/>
        <v>446694.57280000002</v>
      </c>
      <c r="AI75" s="136">
        <f t="shared" si="182"/>
        <v>387444.59040000004</v>
      </c>
      <c r="AJ75" s="137">
        <f t="shared" si="142"/>
        <v>276778.26</v>
      </c>
      <c r="AK75" s="137">
        <f t="shared" si="143"/>
        <v>235964.99</v>
      </c>
      <c r="AL75" s="136">
        <f t="shared" si="183"/>
        <v>288679.72518000001</v>
      </c>
      <c r="AM75" s="136">
        <f t="shared" si="184"/>
        <v>246111.48456999997</v>
      </c>
      <c r="AN75" s="136">
        <f t="shared" si="185"/>
        <v>309991.65120000002</v>
      </c>
      <c r="AO75" s="136">
        <f t="shared" si="186"/>
        <v>264280.78880000004</v>
      </c>
      <c r="AP75" s="92"/>
      <c r="AQ75" s="140">
        <v>72</v>
      </c>
      <c r="AR75" s="141">
        <f ca="1">+RESUMEN!F75</f>
        <v>0</v>
      </c>
      <c r="AS75" s="141">
        <f ca="1">+RESUMEN!G75</f>
        <v>0</v>
      </c>
      <c r="AT75" s="142">
        <f t="shared" ca="1" si="155"/>
        <v>0</v>
      </c>
      <c r="AU75" s="143">
        <f t="shared" si="187"/>
        <v>0</v>
      </c>
      <c r="AV75" s="143">
        <f t="shared" si="188"/>
        <v>0</v>
      </c>
      <c r="AW75" s="143">
        <f t="shared" si="189"/>
        <v>0</v>
      </c>
      <c r="AX75" s="143">
        <f t="shared" si="190"/>
        <v>0</v>
      </c>
      <c r="AY75" s="143">
        <f t="shared" ca="1" si="191"/>
        <v>0</v>
      </c>
      <c r="AZ75" s="142"/>
      <c r="BA75" s="143">
        <f t="shared" ca="1" si="156"/>
        <v>0</v>
      </c>
      <c r="BB75" s="143">
        <f t="shared" ca="1" si="157"/>
        <v>0</v>
      </c>
      <c r="BC75" s="144"/>
      <c r="BD75" s="145">
        <f t="shared" ca="1" si="192"/>
        <v>0</v>
      </c>
      <c r="BE75" s="145">
        <f t="shared" ca="1" si="108"/>
        <v>0</v>
      </c>
      <c r="BF75" s="146" t="str">
        <f t="shared" ca="1" si="158"/>
        <v/>
      </c>
      <c r="BG75" s="92"/>
      <c r="BH75" s="95">
        <f t="shared" ca="1" si="159"/>
        <v>0</v>
      </c>
      <c r="BI75" s="95">
        <f t="shared" ca="1" si="160"/>
        <v>0</v>
      </c>
      <c r="BJ75" s="144"/>
      <c r="BK75" s="147">
        <f t="shared" ca="1" si="193"/>
        <v>0</v>
      </c>
      <c r="BL75" s="147">
        <f t="shared" ca="1" si="110"/>
        <v>0</v>
      </c>
      <c r="BM75" s="148" t="str">
        <f t="shared" ca="1" si="161"/>
        <v/>
      </c>
      <c r="BN75" s="92"/>
      <c r="BO75" s="149">
        <f t="shared" ca="1" si="162"/>
        <v>0</v>
      </c>
      <c r="BP75" s="149">
        <f t="shared" ca="1" si="163"/>
        <v>0</v>
      </c>
      <c r="BQ75" s="144"/>
      <c r="BR75" s="150">
        <f t="shared" ca="1" si="194"/>
        <v>0</v>
      </c>
      <c r="BS75" s="150">
        <f t="shared" ca="1" si="109"/>
        <v>0</v>
      </c>
      <c r="BT75" s="151" t="str">
        <f t="shared" ca="1" si="164"/>
        <v/>
      </c>
      <c r="BU75" s="92"/>
      <c r="BV75" s="152">
        <f t="shared" ca="1" si="165"/>
        <v>0</v>
      </c>
      <c r="BW75" s="152">
        <f t="shared" ca="1" si="166"/>
        <v>0</v>
      </c>
      <c r="BX75" s="144"/>
      <c r="BY75" s="153">
        <f t="shared" ca="1" si="195"/>
        <v>0</v>
      </c>
      <c r="BZ75" s="153">
        <f t="shared" ca="1" si="111"/>
        <v>0</v>
      </c>
      <c r="CA75" s="154" t="str">
        <f t="shared" ca="1" si="167"/>
        <v/>
      </c>
      <c r="CB75" s="92"/>
      <c r="CC75" s="155">
        <f t="shared" ca="1" si="168"/>
        <v>0</v>
      </c>
      <c r="CD75" s="155">
        <f t="shared" ca="1" si="169"/>
        <v>0</v>
      </c>
      <c r="CE75" s="144"/>
      <c r="CF75" s="156">
        <f t="shared" ca="1" si="196"/>
        <v>0</v>
      </c>
      <c r="CG75" s="156">
        <f t="shared" ca="1" si="112"/>
        <v>0</v>
      </c>
      <c r="CH75" s="157" t="str">
        <f t="shared" ca="1" si="170"/>
        <v/>
      </c>
      <c r="CI75" s="92"/>
      <c r="CJ75" s="158">
        <f t="shared" ca="1" si="171"/>
        <v>0</v>
      </c>
      <c r="CK75" s="158">
        <f t="shared" ca="1" si="172"/>
        <v>0</v>
      </c>
      <c r="CL75" s="144"/>
      <c r="CM75" s="159">
        <f t="shared" ca="1" si="197"/>
        <v>0</v>
      </c>
      <c r="CN75" s="159">
        <f t="shared" ca="1" si="113"/>
        <v>0</v>
      </c>
      <c r="CO75" s="160" t="str">
        <f t="shared" ca="1" si="173"/>
        <v/>
      </c>
      <c r="CP75" s="92"/>
      <c r="CQ75" s="140">
        <v>72</v>
      </c>
      <c r="CR75" s="330">
        <v>0.12</v>
      </c>
      <c r="CS75" s="92">
        <f t="shared" si="198"/>
        <v>0</v>
      </c>
      <c r="CT75" s="335">
        <f t="shared" si="199"/>
        <v>0.12</v>
      </c>
      <c r="CU75" s="92">
        <f t="shared" si="200"/>
        <v>1</v>
      </c>
      <c r="CV75" s="348">
        <f t="shared" si="148"/>
        <v>1</v>
      </c>
      <c r="CW75" s="367">
        <f t="shared" si="144"/>
        <v>127.65</v>
      </c>
      <c r="CX75" s="367">
        <f t="shared" si="145"/>
        <v>62.61</v>
      </c>
      <c r="CY75" s="367">
        <f t="shared" si="146"/>
        <v>252.75</v>
      </c>
      <c r="CZ75" s="380">
        <f t="shared" si="147"/>
        <v>141.72999999999999</v>
      </c>
      <c r="DA75"/>
      <c r="DB75" s="391">
        <v>72</v>
      </c>
      <c r="DC75" s="59">
        <v>161334.03</v>
      </c>
      <c r="DD75" s="59">
        <v>158585.94</v>
      </c>
      <c r="DE75" s="59">
        <v>143209.13</v>
      </c>
      <c r="DF75" s="59">
        <v>140769.76999999999</v>
      </c>
      <c r="DG75" s="59">
        <v>126799.75</v>
      </c>
      <c r="DH75" s="59">
        <v>124639.9</v>
      </c>
      <c r="DI75" s="137">
        <v>534432.64</v>
      </c>
      <c r="DJ75" s="137">
        <v>469729.24</v>
      </c>
      <c r="DK75" s="138">
        <v>398834.44</v>
      </c>
      <c r="DL75" s="138">
        <v>345932.67</v>
      </c>
      <c r="DM75" s="137">
        <v>276778.26</v>
      </c>
      <c r="DN75" s="139">
        <v>235964.99</v>
      </c>
      <c r="DP75" s="384" t="s">
        <v>200</v>
      </c>
      <c r="DQ75" s="387">
        <v>5344.66</v>
      </c>
      <c r="DR75" s="387">
        <v>6588.66</v>
      </c>
    </row>
    <row r="76" spans="1:122">
      <c r="A76" s="178">
        <v>40</v>
      </c>
      <c r="B76" s="173">
        <f ca="1">RESUMEN!J43</f>
        <v>0</v>
      </c>
      <c r="C76" s="173">
        <f ca="1">+RESUMEN!K43</f>
        <v>0</v>
      </c>
      <c r="D76" s="174">
        <f t="shared" ca="1" si="174"/>
        <v>0</v>
      </c>
      <c r="E76" s="177">
        <f ca="1">+RESUMEN!T25</f>
        <v>0</v>
      </c>
      <c r="F76" s="173">
        <f ca="1">RESUMEN!P25</f>
        <v>0</v>
      </c>
      <c r="G76" s="174">
        <f t="shared" ca="1" si="125"/>
        <v>0</v>
      </c>
      <c r="H76" s="165"/>
      <c r="I76" s="353"/>
      <c r="J76" s="164">
        <v>73</v>
      </c>
      <c r="K76" s="59">
        <f t="shared" si="132"/>
        <v>172273.96</v>
      </c>
      <c r="L76" s="59">
        <f t="shared" si="133"/>
        <v>164472.57</v>
      </c>
      <c r="M76" s="59">
        <f t="shared" si="134"/>
        <v>152920.01999999999</v>
      </c>
      <c r="N76" s="59">
        <f t="shared" si="135"/>
        <v>145995.07</v>
      </c>
      <c r="O76" s="59">
        <f t="shared" si="136"/>
        <v>135397.93</v>
      </c>
      <c r="P76" s="59">
        <f t="shared" si="137"/>
        <v>129266.47</v>
      </c>
      <c r="Q76" s="136">
        <f t="shared" si="149"/>
        <v>593746.31000000006</v>
      </c>
      <c r="R76" s="136">
        <f t="shared" si="150"/>
        <v>502667.63</v>
      </c>
      <c r="S76" s="136">
        <f t="shared" si="151"/>
        <v>413072.62</v>
      </c>
      <c r="T76" s="136">
        <f t="shared" si="152"/>
        <v>360991.43</v>
      </c>
      <c r="U76" s="136">
        <f t="shared" si="153"/>
        <v>305621.61</v>
      </c>
      <c r="V76" s="136">
        <f t="shared" si="154"/>
        <v>252539.56</v>
      </c>
      <c r="W76" s="92"/>
      <c r="X76" s="137">
        <f t="shared" si="138"/>
        <v>593746.31000000006</v>
      </c>
      <c r="Y76" s="137">
        <f t="shared" si="139"/>
        <v>502667.63</v>
      </c>
      <c r="Z76" s="136">
        <f t="shared" si="175"/>
        <v>619277.40133000002</v>
      </c>
      <c r="AA76" s="136">
        <f t="shared" si="176"/>
        <v>524282.33808999998</v>
      </c>
      <c r="AB76" s="136">
        <f t="shared" si="177"/>
        <v>664995.8672000001</v>
      </c>
      <c r="AC76" s="136">
        <f t="shared" si="178"/>
        <v>562987.74560000002</v>
      </c>
      <c r="AD76" s="138">
        <f t="shared" si="140"/>
        <v>413072.62</v>
      </c>
      <c r="AE76" s="138">
        <f t="shared" si="141"/>
        <v>360991.43</v>
      </c>
      <c r="AF76" s="136">
        <f t="shared" si="179"/>
        <v>430834.74265999999</v>
      </c>
      <c r="AG76" s="136">
        <f t="shared" si="180"/>
        <v>376514.06148999999</v>
      </c>
      <c r="AH76" s="136">
        <f t="shared" si="181"/>
        <v>462641.33440000005</v>
      </c>
      <c r="AI76" s="136">
        <f t="shared" si="182"/>
        <v>404310.40160000004</v>
      </c>
      <c r="AJ76" s="137">
        <f t="shared" si="142"/>
        <v>305621.61</v>
      </c>
      <c r="AK76" s="137">
        <f t="shared" si="143"/>
        <v>252539.56</v>
      </c>
      <c r="AL76" s="136">
        <f t="shared" si="183"/>
        <v>318763.33922999998</v>
      </c>
      <c r="AM76" s="136">
        <f t="shared" si="184"/>
        <v>263398.76107999997</v>
      </c>
      <c r="AN76" s="136">
        <f t="shared" si="185"/>
        <v>342296.20319999999</v>
      </c>
      <c r="AO76" s="136">
        <f t="shared" si="186"/>
        <v>282844.30720000004</v>
      </c>
      <c r="AP76" s="92"/>
      <c r="AQ76" s="140">
        <v>73</v>
      </c>
      <c r="AR76" s="141">
        <f ca="1">+RESUMEN!F76</f>
        <v>0</v>
      </c>
      <c r="AS76" s="141">
        <f ca="1">+RESUMEN!G76</f>
        <v>0</v>
      </c>
      <c r="AT76" s="142">
        <f t="shared" ca="1" si="155"/>
        <v>0</v>
      </c>
      <c r="AU76" s="143">
        <f t="shared" si="187"/>
        <v>0</v>
      </c>
      <c r="AV76" s="143">
        <f t="shared" si="188"/>
        <v>0</v>
      </c>
      <c r="AW76" s="143">
        <f t="shared" si="189"/>
        <v>0</v>
      </c>
      <c r="AX76" s="143">
        <f t="shared" si="190"/>
        <v>0</v>
      </c>
      <c r="AY76" s="143">
        <f t="shared" ca="1" si="191"/>
        <v>0</v>
      </c>
      <c r="AZ76" s="142"/>
      <c r="BA76" s="143">
        <f t="shared" ca="1" si="156"/>
        <v>0</v>
      </c>
      <c r="BB76" s="143">
        <f t="shared" ca="1" si="157"/>
        <v>0</v>
      </c>
      <c r="BC76" s="144"/>
      <c r="BD76" s="145">
        <f t="shared" ca="1" si="192"/>
        <v>0</v>
      </c>
      <c r="BE76" s="145">
        <f t="shared" ca="1" si="108"/>
        <v>0</v>
      </c>
      <c r="BF76" s="146" t="str">
        <f t="shared" ca="1" si="158"/>
        <v/>
      </c>
      <c r="BG76" s="92"/>
      <c r="BH76" s="95">
        <f t="shared" ca="1" si="159"/>
        <v>0</v>
      </c>
      <c r="BI76" s="95">
        <f t="shared" ca="1" si="160"/>
        <v>0</v>
      </c>
      <c r="BJ76" s="144"/>
      <c r="BK76" s="147">
        <f t="shared" ca="1" si="193"/>
        <v>0</v>
      </c>
      <c r="BL76" s="147">
        <f t="shared" ca="1" si="110"/>
        <v>0</v>
      </c>
      <c r="BM76" s="148" t="str">
        <f t="shared" ca="1" si="161"/>
        <v/>
      </c>
      <c r="BN76" s="92"/>
      <c r="BO76" s="149">
        <f t="shared" ca="1" si="162"/>
        <v>0</v>
      </c>
      <c r="BP76" s="149">
        <f t="shared" ca="1" si="163"/>
        <v>0</v>
      </c>
      <c r="BQ76" s="144"/>
      <c r="BR76" s="150">
        <f t="shared" ca="1" si="194"/>
        <v>0</v>
      </c>
      <c r="BS76" s="150">
        <f t="shared" ca="1" si="109"/>
        <v>0</v>
      </c>
      <c r="BT76" s="151" t="str">
        <f t="shared" ca="1" si="164"/>
        <v/>
      </c>
      <c r="BU76" s="92"/>
      <c r="BV76" s="152">
        <f t="shared" ca="1" si="165"/>
        <v>0</v>
      </c>
      <c r="BW76" s="152">
        <f t="shared" ca="1" si="166"/>
        <v>0</v>
      </c>
      <c r="BX76" s="144"/>
      <c r="BY76" s="153">
        <f t="shared" ca="1" si="195"/>
        <v>0</v>
      </c>
      <c r="BZ76" s="153">
        <f t="shared" ca="1" si="111"/>
        <v>0</v>
      </c>
      <c r="CA76" s="154" t="str">
        <f t="shared" ca="1" si="167"/>
        <v/>
      </c>
      <c r="CB76" s="92"/>
      <c r="CC76" s="155">
        <f t="shared" ca="1" si="168"/>
        <v>0</v>
      </c>
      <c r="CD76" s="155">
        <f t="shared" ca="1" si="169"/>
        <v>0</v>
      </c>
      <c r="CE76" s="144"/>
      <c r="CF76" s="156">
        <f t="shared" ca="1" si="196"/>
        <v>0</v>
      </c>
      <c r="CG76" s="156">
        <f t="shared" ca="1" si="112"/>
        <v>0</v>
      </c>
      <c r="CH76" s="157" t="str">
        <f t="shared" ca="1" si="170"/>
        <v/>
      </c>
      <c r="CI76" s="92"/>
      <c r="CJ76" s="158">
        <f t="shared" ca="1" si="171"/>
        <v>0</v>
      </c>
      <c r="CK76" s="158">
        <f t="shared" ca="1" si="172"/>
        <v>0</v>
      </c>
      <c r="CL76" s="144"/>
      <c r="CM76" s="159">
        <f t="shared" ca="1" si="197"/>
        <v>0</v>
      </c>
      <c r="CN76" s="159">
        <f t="shared" ca="1" si="113"/>
        <v>0</v>
      </c>
      <c r="CO76" s="160" t="str">
        <f t="shared" ca="1" si="173"/>
        <v/>
      </c>
      <c r="CP76" s="92"/>
      <c r="CQ76" s="140">
        <v>73</v>
      </c>
      <c r="CR76" s="330">
        <v>0.12</v>
      </c>
      <c r="CS76" s="92">
        <f t="shared" si="198"/>
        <v>0</v>
      </c>
      <c r="CT76" s="335">
        <f t="shared" si="199"/>
        <v>0.12</v>
      </c>
      <c r="CU76" s="92">
        <f t="shared" si="200"/>
        <v>1</v>
      </c>
      <c r="CV76" s="348">
        <f t="shared" si="148"/>
        <v>1</v>
      </c>
      <c r="CW76" s="367">
        <f t="shared" si="144"/>
        <v>127.65</v>
      </c>
      <c r="CX76" s="367">
        <f t="shared" si="145"/>
        <v>62.61</v>
      </c>
      <c r="CY76" s="367">
        <f t="shared" si="146"/>
        <v>252.75</v>
      </c>
      <c r="CZ76" s="380">
        <f t="shared" si="147"/>
        <v>141.72999999999999</v>
      </c>
      <c r="DA76"/>
      <c r="DB76" s="391">
        <v>73</v>
      </c>
      <c r="DC76" s="59">
        <v>172273.96</v>
      </c>
      <c r="DD76" s="59">
        <v>164472.57</v>
      </c>
      <c r="DE76" s="59">
        <v>152920.01999999999</v>
      </c>
      <c r="DF76" s="59">
        <v>145995.07</v>
      </c>
      <c r="DG76" s="59">
        <v>135397.93</v>
      </c>
      <c r="DH76" s="59">
        <v>129266.47</v>
      </c>
      <c r="DI76" s="137">
        <v>593746.31000000006</v>
      </c>
      <c r="DJ76" s="137">
        <v>502667.63</v>
      </c>
      <c r="DK76" s="138">
        <v>413072.62</v>
      </c>
      <c r="DL76" s="138">
        <v>360991.43</v>
      </c>
      <c r="DM76" s="137">
        <v>305621.61</v>
      </c>
      <c r="DN76" s="139">
        <v>252539.56</v>
      </c>
      <c r="DP76" s="384" t="s">
        <v>201</v>
      </c>
      <c r="DQ76" s="387">
        <v>5618.86</v>
      </c>
      <c r="DR76" s="387">
        <v>7044.64</v>
      </c>
    </row>
    <row r="77" spans="1:122">
      <c r="A77" s="178">
        <v>41</v>
      </c>
      <c r="B77" s="173">
        <f ca="1">RESUMEN!J44</f>
        <v>0</v>
      </c>
      <c r="C77" s="173">
        <f ca="1">+RESUMEN!K44</f>
        <v>0</v>
      </c>
      <c r="D77" s="174">
        <f t="shared" ca="1" si="174"/>
        <v>0</v>
      </c>
      <c r="E77" s="177">
        <f ca="1">+RESUMEN!T26</f>
        <v>0</v>
      </c>
      <c r="F77" s="173">
        <f ca="1">RESUMEN!P26</f>
        <v>0</v>
      </c>
      <c r="G77" s="174">
        <f t="shared" ca="1" si="125"/>
        <v>0</v>
      </c>
      <c r="H77" s="165"/>
      <c r="I77" s="353"/>
      <c r="J77" s="164">
        <v>74</v>
      </c>
      <c r="K77" s="59">
        <f t="shared" si="132"/>
        <v>183883.49</v>
      </c>
      <c r="L77" s="59">
        <f t="shared" si="133"/>
        <v>170381.64</v>
      </c>
      <c r="M77" s="59">
        <f t="shared" si="134"/>
        <v>163225.29</v>
      </c>
      <c r="N77" s="59">
        <f t="shared" si="135"/>
        <v>151240.29</v>
      </c>
      <c r="O77" s="59">
        <f t="shared" si="136"/>
        <v>144522.39000000001</v>
      </c>
      <c r="P77" s="59">
        <f t="shared" si="137"/>
        <v>133910.68</v>
      </c>
      <c r="Q77" s="136">
        <f t="shared" si="149"/>
        <v>647769.5</v>
      </c>
      <c r="R77" s="136">
        <f t="shared" si="150"/>
        <v>565580.23</v>
      </c>
      <c r="S77" s="136">
        <f t="shared" si="151"/>
        <v>433766.81</v>
      </c>
      <c r="T77" s="136">
        <f t="shared" si="152"/>
        <v>389935.58</v>
      </c>
      <c r="U77" s="136">
        <f t="shared" si="153"/>
        <v>332535.55</v>
      </c>
      <c r="V77" s="136">
        <f t="shared" si="154"/>
        <v>290468.58</v>
      </c>
      <c r="W77" s="92"/>
      <c r="X77" s="137">
        <f t="shared" si="138"/>
        <v>647769.5</v>
      </c>
      <c r="Y77" s="137">
        <f t="shared" si="139"/>
        <v>565580.23</v>
      </c>
      <c r="Z77" s="136">
        <f t="shared" si="175"/>
        <v>675623.58849999995</v>
      </c>
      <c r="AA77" s="136">
        <f t="shared" si="176"/>
        <v>589900.17988999991</v>
      </c>
      <c r="AB77" s="136">
        <f t="shared" si="177"/>
        <v>725501.84000000008</v>
      </c>
      <c r="AC77" s="136">
        <f t="shared" si="178"/>
        <v>633449.85759999999</v>
      </c>
      <c r="AD77" s="138">
        <f t="shared" si="140"/>
        <v>433766.81</v>
      </c>
      <c r="AE77" s="138">
        <f t="shared" si="141"/>
        <v>389935.58</v>
      </c>
      <c r="AF77" s="136">
        <f t="shared" si="179"/>
        <v>452418.78282999998</v>
      </c>
      <c r="AG77" s="136">
        <f t="shared" si="180"/>
        <v>406702.80994000001</v>
      </c>
      <c r="AH77" s="136">
        <f t="shared" si="181"/>
        <v>485818.82720000006</v>
      </c>
      <c r="AI77" s="136">
        <f t="shared" si="182"/>
        <v>436727.84960000007</v>
      </c>
      <c r="AJ77" s="137">
        <f t="shared" si="142"/>
        <v>332535.55</v>
      </c>
      <c r="AK77" s="137">
        <f t="shared" si="143"/>
        <v>290468.58</v>
      </c>
      <c r="AL77" s="136">
        <f t="shared" si="183"/>
        <v>346834.57864999998</v>
      </c>
      <c r="AM77" s="136">
        <f t="shared" si="184"/>
        <v>302958.72894</v>
      </c>
      <c r="AN77" s="136">
        <f t="shared" si="185"/>
        <v>372439.81600000005</v>
      </c>
      <c r="AO77" s="136">
        <f t="shared" si="186"/>
        <v>325324.80960000004</v>
      </c>
      <c r="AP77" s="92"/>
      <c r="AQ77" s="140">
        <v>74</v>
      </c>
      <c r="AR77" s="141">
        <f ca="1">+RESUMEN!F77</f>
        <v>0</v>
      </c>
      <c r="AS77" s="141">
        <f ca="1">+RESUMEN!G77</f>
        <v>0</v>
      </c>
      <c r="AT77" s="142">
        <f t="shared" ca="1" si="155"/>
        <v>0</v>
      </c>
      <c r="AU77" s="143">
        <f t="shared" si="187"/>
        <v>0</v>
      </c>
      <c r="AV77" s="143">
        <f t="shared" si="188"/>
        <v>0</v>
      </c>
      <c r="AW77" s="143">
        <f t="shared" si="189"/>
        <v>0</v>
      </c>
      <c r="AX77" s="143">
        <f t="shared" si="190"/>
        <v>0</v>
      </c>
      <c r="AY77" s="143">
        <f t="shared" ca="1" si="191"/>
        <v>0</v>
      </c>
      <c r="AZ77" s="142"/>
      <c r="BA77" s="143">
        <f t="shared" ca="1" si="156"/>
        <v>0</v>
      </c>
      <c r="BB77" s="143">
        <f t="shared" ca="1" si="157"/>
        <v>0</v>
      </c>
      <c r="BC77" s="144"/>
      <c r="BD77" s="145">
        <f t="shared" ca="1" si="192"/>
        <v>0</v>
      </c>
      <c r="BE77" s="145">
        <f t="shared" ca="1" si="108"/>
        <v>0</v>
      </c>
      <c r="BF77" s="146" t="str">
        <f t="shared" ca="1" si="158"/>
        <v/>
      </c>
      <c r="BG77" s="92"/>
      <c r="BH77" s="95">
        <f t="shared" ca="1" si="159"/>
        <v>0</v>
      </c>
      <c r="BI77" s="95">
        <f t="shared" ca="1" si="160"/>
        <v>0</v>
      </c>
      <c r="BJ77" s="144"/>
      <c r="BK77" s="147">
        <f t="shared" ca="1" si="193"/>
        <v>0</v>
      </c>
      <c r="BL77" s="147">
        <f t="shared" ca="1" si="110"/>
        <v>0</v>
      </c>
      <c r="BM77" s="148" t="str">
        <f t="shared" ca="1" si="161"/>
        <v/>
      </c>
      <c r="BN77" s="92"/>
      <c r="BO77" s="149">
        <f t="shared" ca="1" si="162"/>
        <v>0</v>
      </c>
      <c r="BP77" s="149">
        <f t="shared" ca="1" si="163"/>
        <v>0</v>
      </c>
      <c r="BQ77" s="144"/>
      <c r="BR77" s="150">
        <f t="shared" ca="1" si="194"/>
        <v>0</v>
      </c>
      <c r="BS77" s="150">
        <f t="shared" ca="1" si="109"/>
        <v>0</v>
      </c>
      <c r="BT77" s="151" t="str">
        <f t="shared" ca="1" si="164"/>
        <v/>
      </c>
      <c r="BU77" s="92"/>
      <c r="BV77" s="152">
        <f t="shared" ca="1" si="165"/>
        <v>0</v>
      </c>
      <c r="BW77" s="152">
        <f t="shared" ca="1" si="166"/>
        <v>0</v>
      </c>
      <c r="BX77" s="144"/>
      <c r="BY77" s="153">
        <f t="shared" ca="1" si="195"/>
        <v>0</v>
      </c>
      <c r="BZ77" s="153">
        <f t="shared" ca="1" si="111"/>
        <v>0</v>
      </c>
      <c r="CA77" s="154" t="str">
        <f t="shared" ca="1" si="167"/>
        <v/>
      </c>
      <c r="CB77" s="92"/>
      <c r="CC77" s="155">
        <f t="shared" ca="1" si="168"/>
        <v>0</v>
      </c>
      <c r="CD77" s="155">
        <f t="shared" ca="1" si="169"/>
        <v>0</v>
      </c>
      <c r="CE77" s="144"/>
      <c r="CF77" s="156">
        <f t="shared" ca="1" si="196"/>
        <v>0</v>
      </c>
      <c r="CG77" s="156">
        <f t="shared" ca="1" si="112"/>
        <v>0</v>
      </c>
      <c r="CH77" s="157" t="str">
        <f t="shared" ca="1" si="170"/>
        <v/>
      </c>
      <c r="CI77" s="92"/>
      <c r="CJ77" s="158">
        <f t="shared" ca="1" si="171"/>
        <v>0</v>
      </c>
      <c r="CK77" s="158">
        <f t="shared" ca="1" si="172"/>
        <v>0</v>
      </c>
      <c r="CL77" s="144"/>
      <c r="CM77" s="159">
        <f t="shared" ca="1" si="197"/>
        <v>0</v>
      </c>
      <c r="CN77" s="159">
        <f t="shared" ca="1" si="113"/>
        <v>0</v>
      </c>
      <c r="CO77" s="160" t="str">
        <f t="shared" ca="1" si="173"/>
        <v/>
      </c>
      <c r="CP77" s="92"/>
      <c r="CQ77" s="140">
        <v>74</v>
      </c>
      <c r="CR77" s="330">
        <v>0.12</v>
      </c>
      <c r="CS77" s="92">
        <f t="shared" si="198"/>
        <v>0</v>
      </c>
      <c r="CT77" s="335">
        <f t="shared" si="199"/>
        <v>0.12</v>
      </c>
      <c r="CU77" s="92">
        <f t="shared" si="200"/>
        <v>1</v>
      </c>
      <c r="CV77" s="348">
        <f t="shared" si="148"/>
        <v>1</v>
      </c>
      <c r="CW77" s="367">
        <f t="shared" si="144"/>
        <v>127.65</v>
      </c>
      <c r="CX77" s="367">
        <f t="shared" si="145"/>
        <v>62.61</v>
      </c>
      <c r="CY77" s="367">
        <f t="shared" si="146"/>
        <v>252.75</v>
      </c>
      <c r="CZ77" s="380">
        <f t="shared" si="147"/>
        <v>141.72999999999999</v>
      </c>
      <c r="DA77"/>
      <c r="DB77" s="391">
        <v>74</v>
      </c>
      <c r="DC77" s="59">
        <v>183883.49</v>
      </c>
      <c r="DD77" s="59">
        <v>170381.64</v>
      </c>
      <c r="DE77" s="59">
        <v>163225.29</v>
      </c>
      <c r="DF77" s="59">
        <v>151240.29</v>
      </c>
      <c r="DG77" s="59">
        <v>144522.39000000001</v>
      </c>
      <c r="DH77" s="59">
        <v>133910.68</v>
      </c>
      <c r="DI77" s="137">
        <v>647769.5</v>
      </c>
      <c r="DJ77" s="137">
        <v>565580.23</v>
      </c>
      <c r="DK77" s="138">
        <v>433766.81</v>
      </c>
      <c r="DL77" s="138">
        <v>389935.58</v>
      </c>
      <c r="DM77" s="137">
        <v>332535.55</v>
      </c>
      <c r="DN77" s="139">
        <v>290468.58</v>
      </c>
      <c r="DP77" s="384" t="s">
        <v>202</v>
      </c>
      <c r="DQ77" s="389">
        <v>5893.05</v>
      </c>
      <c r="DR77" s="389">
        <v>7500.62</v>
      </c>
    </row>
    <row r="78" spans="1:122">
      <c r="A78" s="178">
        <v>42</v>
      </c>
      <c r="B78" s="173">
        <f ca="1">RESUMEN!J45</f>
        <v>0</v>
      </c>
      <c r="C78" s="173">
        <f ca="1">+RESUMEN!K45</f>
        <v>0</v>
      </c>
      <c r="D78" s="174">
        <f t="shared" ca="1" si="174"/>
        <v>0</v>
      </c>
      <c r="E78" s="177">
        <f ca="1">+RESUMEN!T27</f>
        <v>0</v>
      </c>
      <c r="F78" s="173">
        <f ca="1">RESUMEN!P27</f>
        <v>0</v>
      </c>
      <c r="G78" s="174">
        <f t="shared" ca="1" si="125"/>
        <v>0</v>
      </c>
      <c r="H78" s="165"/>
      <c r="I78" s="353"/>
      <c r="J78" s="164">
        <v>75</v>
      </c>
      <c r="K78" s="59">
        <f t="shared" si="132"/>
        <v>195042.3</v>
      </c>
      <c r="L78" s="59">
        <f t="shared" si="133"/>
        <v>176305.19</v>
      </c>
      <c r="M78" s="59">
        <f t="shared" si="134"/>
        <v>173130.48</v>
      </c>
      <c r="N78" s="59">
        <f t="shared" si="135"/>
        <v>156498.37</v>
      </c>
      <c r="O78" s="59">
        <f t="shared" si="136"/>
        <v>153292.60999999999</v>
      </c>
      <c r="P78" s="59">
        <f t="shared" si="137"/>
        <v>138566.26</v>
      </c>
      <c r="Q78" s="136">
        <f t="shared" si="149"/>
        <v>711001.83</v>
      </c>
      <c r="R78" s="136">
        <f t="shared" si="150"/>
        <v>609496.51</v>
      </c>
      <c r="S78" s="136">
        <f t="shared" si="151"/>
        <v>490037.55</v>
      </c>
      <c r="T78" s="136">
        <f t="shared" si="152"/>
        <v>457807.91</v>
      </c>
      <c r="U78" s="136">
        <f t="shared" si="153"/>
        <v>353269.11</v>
      </c>
      <c r="V78" s="136">
        <f t="shared" si="154"/>
        <v>311573.12</v>
      </c>
      <c r="W78" s="92"/>
      <c r="X78" s="137">
        <f t="shared" si="138"/>
        <v>711001.83</v>
      </c>
      <c r="Y78" s="137">
        <f t="shared" si="139"/>
        <v>609496.51</v>
      </c>
      <c r="Z78" s="136">
        <f t="shared" si="175"/>
        <v>741574.90868999995</v>
      </c>
      <c r="AA78" s="136">
        <f t="shared" si="176"/>
        <v>635704.85992999992</v>
      </c>
      <c r="AB78" s="136">
        <f t="shared" si="177"/>
        <v>796322.04960000003</v>
      </c>
      <c r="AC78" s="136">
        <f t="shared" si="178"/>
        <v>682636.09120000002</v>
      </c>
      <c r="AD78" s="138">
        <f t="shared" si="140"/>
        <v>490037.55</v>
      </c>
      <c r="AE78" s="138">
        <f t="shared" si="141"/>
        <v>457807.91</v>
      </c>
      <c r="AF78" s="136">
        <f t="shared" si="179"/>
        <v>511109.16464999993</v>
      </c>
      <c r="AG78" s="136">
        <f t="shared" si="180"/>
        <v>477493.65012999997</v>
      </c>
      <c r="AH78" s="136">
        <f t="shared" si="181"/>
        <v>548842.05599999998</v>
      </c>
      <c r="AI78" s="136">
        <f t="shared" si="182"/>
        <v>512744.85920000001</v>
      </c>
      <c r="AJ78" s="137">
        <f t="shared" si="142"/>
        <v>353269.11</v>
      </c>
      <c r="AK78" s="137">
        <f t="shared" si="143"/>
        <v>311573.12</v>
      </c>
      <c r="AL78" s="136">
        <f t="shared" si="183"/>
        <v>368459.68172999995</v>
      </c>
      <c r="AM78" s="136">
        <f t="shared" si="184"/>
        <v>324970.76415999996</v>
      </c>
      <c r="AN78" s="136">
        <f t="shared" si="185"/>
        <v>395661.4032</v>
      </c>
      <c r="AO78" s="136">
        <f t="shared" si="186"/>
        <v>348961.89440000005</v>
      </c>
      <c r="AP78" s="92"/>
      <c r="AQ78" s="140">
        <v>75</v>
      </c>
      <c r="AR78" s="141">
        <f ca="1">+RESUMEN!F78</f>
        <v>0</v>
      </c>
      <c r="AS78" s="141">
        <f ca="1">+RESUMEN!G78</f>
        <v>0</v>
      </c>
      <c r="AT78" s="142">
        <f t="shared" ca="1" si="155"/>
        <v>0</v>
      </c>
      <c r="AU78" s="143">
        <f t="shared" si="187"/>
        <v>0</v>
      </c>
      <c r="AV78" s="143">
        <f t="shared" si="188"/>
        <v>0</v>
      </c>
      <c r="AW78" s="143">
        <f t="shared" si="189"/>
        <v>0</v>
      </c>
      <c r="AX78" s="143">
        <f t="shared" si="190"/>
        <v>0</v>
      </c>
      <c r="AY78" s="143">
        <f t="shared" ca="1" si="191"/>
        <v>0</v>
      </c>
      <c r="AZ78" s="142"/>
      <c r="BA78" s="143">
        <f t="shared" ca="1" si="156"/>
        <v>0</v>
      </c>
      <c r="BB78" s="143">
        <f t="shared" ca="1" si="157"/>
        <v>0</v>
      </c>
      <c r="BC78" s="144"/>
      <c r="BD78" s="145">
        <f t="shared" ca="1" si="192"/>
        <v>0</v>
      </c>
      <c r="BE78" s="145">
        <f t="shared" ca="1" si="108"/>
        <v>0</v>
      </c>
      <c r="BF78" s="146" t="str">
        <f t="shared" ca="1" si="158"/>
        <v/>
      </c>
      <c r="BG78" s="92"/>
      <c r="BH78" s="95">
        <f t="shared" ca="1" si="159"/>
        <v>0</v>
      </c>
      <c r="BI78" s="95">
        <f t="shared" ca="1" si="160"/>
        <v>0</v>
      </c>
      <c r="BJ78" s="144"/>
      <c r="BK78" s="147">
        <f t="shared" ca="1" si="193"/>
        <v>0</v>
      </c>
      <c r="BL78" s="147">
        <f t="shared" ca="1" si="110"/>
        <v>0</v>
      </c>
      <c r="BM78" s="148" t="str">
        <f t="shared" ca="1" si="161"/>
        <v/>
      </c>
      <c r="BN78" s="92"/>
      <c r="BO78" s="149">
        <f t="shared" ca="1" si="162"/>
        <v>0</v>
      </c>
      <c r="BP78" s="149">
        <f t="shared" ca="1" si="163"/>
        <v>0</v>
      </c>
      <c r="BQ78" s="144"/>
      <c r="BR78" s="150">
        <f t="shared" ca="1" si="194"/>
        <v>0</v>
      </c>
      <c r="BS78" s="150">
        <f t="shared" ca="1" si="109"/>
        <v>0</v>
      </c>
      <c r="BT78" s="151" t="str">
        <f t="shared" ca="1" si="164"/>
        <v/>
      </c>
      <c r="BU78" s="92"/>
      <c r="BV78" s="152">
        <f t="shared" ca="1" si="165"/>
        <v>0</v>
      </c>
      <c r="BW78" s="152">
        <f t="shared" ca="1" si="166"/>
        <v>0</v>
      </c>
      <c r="BX78" s="144"/>
      <c r="BY78" s="153">
        <f t="shared" ca="1" si="195"/>
        <v>0</v>
      </c>
      <c r="BZ78" s="153">
        <f t="shared" ca="1" si="111"/>
        <v>0</v>
      </c>
      <c r="CA78" s="154" t="str">
        <f t="shared" ca="1" si="167"/>
        <v/>
      </c>
      <c r="CB78" s="92"/>
      <c r="CC78" s="155">
        <f t="shared" ca="1" si="168"/>
        <v>0</v>
      </c>
      <c r="CD78" s="155">
        <f t="shared" ca="1" si="169"/>
        <v>0</v>
      </c>
      <c r="CE78" s="144"/>
      <c r="CF78" s="156">
        <f t="shared" ca="1" si="196"/>
        <v>0</v>
      </c>
      <c r="CG78" s="156">
        <f t="shared" ca="1" si="112"/>
        <v>0</v>
      </c>
      <c r="CH78" s="157" t="str">
        <f t="shared" ca="1" si="170"/>
        <v/>
      </c>
      <c r="CI78" s="92"/>
      <c r="CJ78" s="158">
        <f t="shared" ca="1" si="171"/>
        <v>0</v>
      </c>
      <c r="CK78" s="158">
        <f t="shared" ca="1" si="172"/>
        <v>0</v>
      </c>
      <c r="CL78" s="144"/>
      <c r="CM78" s="159">
        <f t="shared" ca="1" si="197"/>
        <v>0</v>
      </c>
      <c r="CN78" s="159">
        <f t="shared" ca="1" si="113"/>
        <v>0</v>
      </c>
      <c r="CO78" s="160" t="str">
        <f t="shared" ca="1" si="173"/>
        <v/>
      </c>
      <c r="CP78" s="92"/>
      <c r="CQ78" s="140">
        <v>75</v>
      </c>
      <c r="CR78" s="330">
        <v>0.12</v>
      </c>
      <c r="CS78" s="92">
        <f t="shared" si="198"/>
        <v>0</v>
      </c>
      <c r="CT78" s="335">
        <f t="shared" si="199"/>
        <v>0.12</v>
      </c>
      <c r="CU78" s="92">
        <f t="shared" si="200"/>
        <v>1</v>
      </c>
      <c r="CV78" s="348">
        <f t="shared" si="148"/>
        <v>1</v>
      </c>
      <c r="CW78" s="367">
        <f t="shared" si="144"/>
        <v>127.65</v>
      </c>
      <c r="CX78" s="367">
        <f t="shared" si="145"/>
        <v>62.61</v>
      </c>
      <c r="CY78" s="367">
        <f t="shared" si="146"/>
        <v>252.75</v>
      </c>
      <c r="CZ78" s="380">
        <f t="shared" si="147"/>
        <v>141.72999999999999</v>
      </c>
      <c r="DA78"/>
      <c r="DB78" s="391">
        <v>75</v>
      </c>
      <c r="DC78" s="59">
        <v>195042.3</v>
      </c>
      <c r="DD78" s="59">
        <v>176305.19</v>
      </c>
      <c r="DE78" s="59">
        <v>173130.48</v>
      </c>
      <c r="DF78" s="59">
        <v>156498.37</v>
      </c>
      <c r="DG78" s="59">
        <v>153292.60999999999</v>
      </c>
      <c r="DH78" s="59">
        <v>138566.26</v>
      </c>
      <c r="DI78" s="137">
        <v>711001.83</v>
      </c>
      <c r="DJ78" s="137">
        <v>609496.51</v>
      </c>
      <c r="DK78" s="138">
        <v>490037.55</v>
      </c>
      <c r="DL78" s="138">
        <v>457807.91</v>
      </c>
      <c r="DM78" s="137">
        <v>353269.11</v>
      </c>
      <c r="DN78" s="139">
        <v>311573.12</v>
      </c>
      <c r="DP78" s="384" t="s">
        <v>203</v>
      </c>
      <c r="DQ78" s="387">
        <v>6161.29</v>
      </c>
      <c r="DR78" s="387">
        <v>7855.9</v>
      </c>
    </row>
    <row r="79" spans="1:122">
      <c r="A79" s="178">
        <v>43</v>
      </c>
      <c r="B79" s="173">
        <f ca="1">RESUMEN!J46</f>
        <v>0</v>
      </c>
      <c r="C79" s="173">
        <f ca="1">+RESUMEN!K46</f>
        <v>0</v>
      </c>
      <c r="D79" s="174">
        <f t="shared" ca="1" si="174"/>
        <v>0</v>
      </c>
      <c r="E79" s="177">
        <f ca="1">+RESUMEN!T28</f>
        <v>0</v>
      </c>
      <c r="F79" s="173">
        <f ca="1">RESUMEN!P28</f>
        <v>0</v>
      </c>
      <c r="G79" s="174">
        <f t="shared" ca="1" si="125"/>
        <v>0</v>
      </c>
      <c r="H79" s="165"/>
      <c r="I79" s="353"/>
      <c r="J79" s="164">
        <v>76</v>
      </c>
      <c r="K79" s="59">
        <f t="shared" si="132"/>
        <v>209736.33</v>
      </c>
      <c r="L79" s="59">
        <f t="shared" si="133"/>
        <v>182591.19</v>
      </c>
      <c r="M79" s="59">
        <f t="shared" si="134"/>
        <v>186173.72</v>
      </c>
      <c r="N79" s="59">
        <f t="shared" si="135"/>
        <v>162078.17000000001</v>
      </c>
      <c r="O79" s="59">
        <f t="shared" si="136"/>
        <v>164841.31</v>
      </c>
      <c r="P79" s="59">
        <f t="shared" si="137"/>
        <v>143506.71</v>
      </c>
      <c r="Q79" s="136">
        <f t="shared" si="149"/>
        <v>760630.71</v>
      </c>
      <c r="R79" s="136">
        <f t="shared" si="150"/>
        <v>657934.68000000005</v>
      </c>
      <c r="S79" s="136">
        <f t="shared" si="151"/>
        <v>560140.11</v>
      </c>
      <c r="T79" s="136">
        <f t="shared" si="152"/>
        <v>480502.38</v>
      </c>
      <c r="U79" s="136">
        <f t="shared" si="153"/>
        <v>382608.58</v>
      </c>
      <c r="V79" s="136">
        <f t="shared" si="154"/>
        <v>333117.37</v>
      </c>
      <c r="W79" s="92"/>
      <c r="X79" s="137">
        <f t="shared" si="138"/>
        <v>760630.71</v>
      </c>
      <c r="Y79" s="137">
        <f t="shared" si="139"/>
        <v>657934.68000000005</v>
      </c>
      <c r="Z79" s="136">
        <f t="shared" si="175"/>
        <v>793337.83052999992</v>
      </c>
      <c r="AA79" s="136">
        <f t="shared" si="176"/>
        <v>686225.87124000001</v>
      </c>
      <c r="AB79" s="136">
        <f t="shared" si="177"/>
        <v>851906.39520000003</v>
      </c>
      <c r="AC79" s="136">
        <f t="shared" si="178"/>
        <v>736886.84160000016</v>
      </c>
      <c r="AD79" s="138">
        <f t="shared" si="140"/>
        <v>560140.11</v>
      </c>
      <c r="AE79" s="138">
        <f t="shared" si="141"/>
        <v>480502.38</v>
      </c>
      <c r="AF79" s="136">
        <f t="shared" si="179"/>
        <v>584226.13472999993</v>
      </c>
      <c r="AG79" s="136">
        <f t="shared" si="180"/>
        <v>501163.98233999999</v>
      </c>
      <c r="AH79" s="136">
        <f t="shared" si="181"/>
        <v>627356.92320000008</v>
      </c>
      <c r="AI79" s="136">
        <f t="shared" si="182"/>
        <v>538162.66560000007</v>
      </c>
      <c r="AJ79" s="137">
        <f t="shared" si="142"/>
        <v>382608.58</v>
      </c>
      <c r="AK79" s="137">
        <f t="shared" si="143"/>
        <v>333117.37</v>
      </c>
      <c r="AL79" s="136">
        <f t="shared" si="183"/>
        <v>399060.74893999996</v>
      </c>
      <c r="AM79" s="136">
        <f t="shared" si="184"/>
        <v>347441.41690999997</v>
      </c>
      <c r="AN79" s="136">
        <f t="shared" si="185"/>
        <v>428521.60960000008</v>
      </c>
      <c r="AO79" s="136">
        <f t="shared" si="186"/>
        <v>373091.45440000005</v>
      </c>
      <c r="AP79" s="92"/>
      <c r="AQ79" s="140">
        <v>76</v>
      </c>
      <c r="AR79" s="141">
        <f ca="1">+RESUMEN!F79</f>
        <v>0</v>
      </c>
      <c r="AS79" s="141">
        <f ca="1">+RESUMEN!G79</f>
        <v>0</v>
      </c>
      <c r="AT79" s="142">
        <f t="shared" ca="1" si="155"/>
        <v>0</v>
      </c>
      <c r="AU79" s="143">
        <f t="shared" si="187"/>
        <v>0</v>
      </c>
      <c r="AV79" s="143">
        <f t="shared" si="188"/>
        <v>0</v>
      </c>
      <c r="AW79" s="143">
        <f t="shared" si="189"/>
        <v>0</v>
      </c>
      <c r="AX79" s="143">
        <f t="shared" si="190"/>
        <v>0</v>
      </c>
      <c r="AY79" s="143">
        <f t="shared" ca="1" si="191"/>
        <v>0</v>
      </c>
      <c r="AZ79" s="142"/>
      <c r="BA79" s="143">
        <f t="shared" ca="1" si="156"/>
        <v>0</v>
      </c>
      <c r="BB79" s="143">
        <f t="shared" ca="1" si="157"/>
        <v>0</v>
      </c>
      <c r="BC79" s="144"/>
      <c r="BD79" s="145">
        <f t="shared" ca="1" si="192"/>
        <v>0</v>
      </c>
      <c r="BE79" s="145">
        <f t="shared" ca="1" si="108"/>
        <v>0</v>
      </c>
      <c r="BF79" s="146" t="str">
        <f t="shared" ca="1" si="158"/>
        <v/>
      </c>
      <c r="BG79" s="92"/>
      <c r="BH79" s="95">
        <f t="shared" ca="1" si="159"/>
        <v>0</v>
      </c>
      <c r="BI79" s="95">
        <f t="shared" ca="1" si="160"/>
        <v>0</v>
      </c>
      <c r="BJ79" s="144"/>
      <c r="BK79" s="147">
        <f t="shared" ca="1" si="193"/>
        <v>0</v>
      </c>
      <c r="BL79" s="147">
        <f t="shared" ca="1" si="110"/>
        <v>0</v>
      </c>
      <c r="BM79" s="148" t="str">
        <f t="shared" ca="1" si="161"/>
        <v/>
      </c>
      <c r="BN79" s="92"/>
      <c r="BO79" s="149">
        <f t="shared" ca="1" si="162"/>
        <v>0</v>
      </c>
      <c r="BP79" s="149">
        <f t="shared" ca="1" si="163"/>
        <v>0</v>
      </c>
      <c r="BQ79" s="144"/>
      <c r="BR79" s="150">
        <f t="shared" ca="1" si="194"/>
        <v>0</v>
      </c>
      <c r="BS79" s="150">
        <f t="shared" ca="1" si="109"/>
        <v>0</v>
      </c>
      <c r="BT79" s="151" t="str">
        <f t="shared" ca="1" si="164"/>
        <v/>
      </c>
      <c r="BU79" s="92"/>
      <c r="BV79" s="152">
        <f t="shared" ca="1" si="165"/>
        <v>0</v>
      </c>
      <c r="BW79" s="152">
        <f t="shared" ca="1" si="166"/>
        <v>0</v>
      </c>
      <c r="BX79" s="144"/>
      <c r="BY79" s="153">
        <f t="shared" ca="1" si="195"/>
        <v>0</v>
      </c>
      <c r="BZ79" s="153">
        <f t="shared" ca="1" si="111"/>
        <v>0</v>
      </c>
      <c r="CA79" s="154" t="str">
        <f t="shared" ca="1" si="167"/>
        <v/>
      </c>
      <c r="CB79" s="92"/>
      <c r="CC79" s="155">
        <f t="shared" ca="1" si="168"/>
        <v>0</v>
      </c>
      <c r="CD79" s="155">
        <f t="shared" ca="1" si="169"/>
        <v>0</v>
      </c>
      <c r="CE79" s="144"/>
      <c r="CF79" s="156">
        <f t="shared" ca="1" si="196"/>
        <v>0</v>
      </c>
      <c r="CG79" s="156">
        <f t="shared" ca="1" si="112"/>
        <v>0</v>
      </c>
      <c r="CH79" s="157" t="str">
        <f t="shared" ca="1" si="170"/>
        <v/>
      </c>
      <c r="CI79" s="92"/>
      <c r="CJ79" s="158">
        <f t="shared" ca="1" si="171"/>
        <v>0</v>
      </c>
      <c r="CK79" s="158">
        <f t="shared" ca="1" si="172"/>
        <v>0</v>
      </c>
      <c r="CL79" s="144"/>
      <c r="CM79" s="159">
        <f t="shared" ca="1" si="197"/>
        <v>0</v>
      </c>
      <c r="CN79" s="159">
        <f t="shared" ca="1" si="113"/>
        <v>0</v>
      </c>
      <c r="CO79" s="160" t="str">
        <f t="shared" ca="1" si="173"/>
        <v/>
      </c>
      <c r="CP79" s="92"/>
      <c r="CQ79" s="140">
        <v>76</v>
      </c>
      <c r="CR79" s="330">
        <v>0.12</v>
      </c>
      <c r="CS79" s="92">
        <f t="shared" si="198"/>
        <v>0</v>
      </c>
      <c r="CT79" s="335">
        <f t="shared" si="199"/>
        <v>0.12</v>
      </c>
      <c r="CU79" s="92">
        <f t="shared" si="200"/>
        <v>1</v>
      </c>
      <c r="CV79" s="348">
        <f t="shared" si="148"/>
        <v>1</v>
      </c>
      <c r="CW79" s="367">
        <f t="shared" si="144"/>
        <v>127.65</v>
      </c>
      <c r="CX79" s="367">
        <f t="shared" si="145"/>
        <v>62.61</v>
      </c>
      <c r="CY79" s="367">
        <f t="shared" si="146"/>
        <v>252.75</v>
      </c>
      <c r="CZ79" s="380">
        <f t="shared" si="147"/>
        <v>141.72999999999999</v>
      </c>
      <c r="DA79"/>
      <c r="DB79" s="391">
        <v>76</v>
      </c>
      <c r="DC79" s="59">
        <v>209736.33</v>
      </c>
      <c r="DD79" s="59">
        <v>182591.19</v>
      </c>
      <c r="DE79" s="59">
        <v>186173.72</v>
      </c>
      <c r="DF79" s="59">
        <v>162078.17000000001</v>
      </c>
      <c r="DG79" s="59">
        <v>164841.31</v>
      </c>
      <c r="DH79" s="59">
        <v>143506.71</v>
      </c>
      <c r="DI79" s="137">
        <v>760630.71</v>
      </c>
      <c r="DJ79" s="137">
        <v>657934.68000000005</v>
      </c>
      <c r="DK79" s="138">
        <v>560140.11</v>
      </c>
      <c r="DL79" s="138">
        <v>480502.38</v>
      </c>
      <c r="DM79" s="137">
        <v>382608.58</v>
      </c>
      <c r="DN79" s="139">
        <v>333117.37</v>
      </c>
      <c r="DP79" s="384" t="s">
        <v>204</v>
      </c>
      <c r="DQ79" s="387">
        <v>6429.53</v>
      </c>
      <c r="DR79" s="387">
        <v>8211.19</v>
      </c>
    </row>
    <row r="80" spans="1:122">
      <c r="A80" s="178">
        <v>44</v>
      </c>
      <c r="B80" s="173">
        <f ca="1">RESUMEN!J47</f>
        <v>0</v>
      </c>
      <c r="C80" s="173">
        <f ca="1">+RESUMEN!K47</f>
        <v>0</v>
      </c>
      <c r="D80" s="174">
        <f t="shared" ca="1" si="174"/>
        <v>0</v>
      </c>
      <c r="E80" s="177">
        <f ca="1">+RESUMEN!T29</f>
        <v>0</v>
      </c>
      <c r="F80" s="173">
        <f ca="1">RESUMEN!P29</f>
        <v>0</v>
      </c>
      <c r="G80" s="174">
        <f t="shared" ca="1" si="125"/>
        <v>0</v>
      </c>
      <c r="H80" s="165"/>
      <c r="I80" s="353"/>
      <c r="J80" s="164">
        <v>77</v>
      </c>
      <c r="K80" s="59">
        <f t="shared" si="132"/>
        <v>243101.74</v>
      </c>
      <c r="L80" s="59">
        <f t="shared" si="133"/>
        <v>188678.57</v>
      </c>
      <c r="M80" s="59">
        <f t="shared" si="134"/>
        <v>215790.73</v>
      </c>
      <c r="N80" s="59">
        <f t="shared" si="135"/>
        <v>167481.67000000001</v>
      </c>
      <c r="O80" s="59">
        <f t="shared" si="136"/>
        <v>191064.71</v>
      </c>
      <c r="P80" s="59">
        <f t="shared" si="137"/>
        <v>148291.06</v>
      </c>
      <c r="Q80" s="136">
        <f t="shared" si="149"/>
        <v>812935.55</v>
      </c>
      <c r="R80" s="136">
        <f t="shared" si="150"/>
        <v>702942.45</v>
      </c>
      <c r="S80" s="136">
        <f t="shared" si="151"/>
        <v>606214.17000000004</v>
      </c>
      <c r="T80" s="136">
        <f t="shared" si="152"/>
        <v>501865.95</v>
      </c>
      <c r="U80" s="136">
        <f t="shared" si="153"/>
        <v>410212.38</v>
      </c>
      <c r="V80" s="136">
        <f t="shared" si="154"/>
        <v>356909.21</v>
      </c>
      <c r="W80" s="92"/>
      <c r="X80" s="137">
        <f t="shared" si="138"/>
        <v>812935.55</v>
      </c>
      <c r="Y80" s="137">
        <f t="shared" si="139"/>
        <v>702942.45</v>
      </c>
      <c r="Z80" s="136">
        <f t="shared" si="175"/>
        <v>847891.77864999999</v>
      </c>
      <c r="AA80" s="136">
        <f t="shared" si="176"/>
        <v>733168.97534999985</v>
      </c>
      <c r="AB80" s="136">
        <f t="shared" si="177"/>
        <v>910487.81600000011</v>
      </c>
      <c r="AC80" s="136">
        <f t="shared" si="178"/>
        <v>787295.54399999999</v>
      </c>
      <c r="AD80" s="138">
        <f t="shared" si="140"/>
        <v>606214.17000000004</v>
      </c>
      <c r="AE80" s="138">
        <f t="shared" si="141"/>
        <v>501865.95</v>
      </c>
      <c r="AF80" s="136">
        <f t="shared" si="179"/>
        <v>632281.37930999999</v>
      </c>
      <c r="AG80" s="136">
        <f t="shared" si="180"/>
        <v>523446.18584999995</v>
      </c>
      <c r="AH80" s="136">
        <f t="shared" si="181"/>
        <v>678959.87040000013</v>
      </c>
      <c r="AI80" s="136">
        <f t="shared" si="182"/>
        <v>562089.86400000006</v>
      </c>
      <c r="AJ80" s="137">
        <f t="shared" si="142"/>
        <v>410212.38</v>
      </c>
      <c r="AK80" s="137">
        <f t="shared" si="143"/>
        <v>356909.21</v>
      </c>
      <c r="AL80" s="136">
        <f t="shared" si="183"/>
        <v>427851.51233999996</v>
      </c>
      <c r="AM80" s="136">
        <f t="shared" si="184"/>
        <v>372256.30602999998</v>
      </c>
      <c r="AN80" s="136">
        <f t="shared" si="185"/>
        <v>459437.86560000008</v>
      </c>
      <c r="AO80" s="136">
        <f t="shared" si="186"/>
        <v>399738.31520000007</v>
      </c>
      <c r="AP80" s="92"/>
      <c r="AQ80" s="140">
        <v>77</v>
      </c>
      <c r="AR80" s="141">
        <f ca="1">+RESUMEN!F80</f>
        <v>0</v>
      </c>
      <c r="AS80" s="141">
        <f ca="1">+RESUMEN!G80</f>
        <v>0</v>
      </c>
      <c r="AT80" s="142">
        <f t="shared" ca="1" si="155"/>
        <v>0</v>
      </c>
      <c r="AU80" s="143">
        <f t="shared" si="187"/>
        <v>0</v>
      </c>
      <c r="AV80" s="143">
        <f t="shared" si="188"/>
        <v>0</v>
      </c>
      <c r="AW80" s="143">
        <f t="shared" si="189"/>
        <v>0</v>
      </c>
      <c r="AX80" s="143">
        <f t="shared" si="190"/>
        <v>0</v>
      </c>
      <c r="AY80" s="143">
        <f t="shared" ca="1" si="191"/>
        <v>0</v>
      </c>
      <c r="AZ80" s="142"/>
      <c r="BA80" s="143">
        <f t="shared" ca="1" si="156"/>
        <v>0</v>
      </c>
      <c r="BB80" s="143">
        <f t="shared" ca="1" si="157"/>
        <v>0</v>
      </c>
      <c r="BC80" s="144"/>
      <c r="BD80" s="145">
        <f t="shared" ca="1" si="192"/>
        <v>0</v>
      </c>
      <c r="BE80" s="145">
        <f t="shared" ca="1" si="108"/>
        <v>0</v>
      </c>
      <c r="BF80" s="146" t="str">
        <f t="shared" ca="1" si="158"/>
        <v/>
      </c>
      <c r="BG80" s="92"/>
      <c r="BH80" s="95">
        <f t="shared" ca="1" si="159"/>
        <v>0</v>
      </c>
      <c r="BI80" s="95">
        <f t="shared" ca="1" si="160"/>
        <v>0</v>
      </c>
      <c r="BJ80" s="144"/>
      <c r="BK80" s="147">
        <f t="shared" ca="1" si="193"/>
        <v>0</v>
      </c>
      <c r="BL80" s="147">
        <f t="shared" ca="1" si="110"/>
        <v>0</v>
      </c>
      <c r="BM80" s="148" t="str">
        <f t="shared" ca="1" si="161"/>
        <v/>
      </c>
      <c r="BN80" s="92"/>
      <c r="BO80" s="149">
        <f t="shared" ca="1" si="162"/>
        <v>0</v>
      </c>
      <c r="BP80" s="149">
        <f t="shared" ca="1" si="163"/>
        <v>0</v>
      </c>
      <c r="BQ80" s="144"/>
      <c r="BR80" s="150">
        <f t="shared" ca="1" si="194"/>
        <v>0</v>
      </c>
      <c r="BS80" s="150">
        <f t="shared" ca="1" si="109"/>
        <v>0</v>
      </c>
      <c r="BT80" s="151" t="str">
        <f t="shared" ca="1" si="164"/>
        <v/>
      </c>
      <c r="BU80" s="92"/>
      <c r="BV80" s="152">
        <f t="shared" ca="1" si="165"/>
        <v>0</v>
      </c>
      <c r="BW80" s="152">
        <f t="shared" ca="1" si="166"/>
        <v>0</v>
      </c>
      <c r="BX80" s="144"/>
      <c r="BY80" s="153">
        <f t="shared" ca="1" si="195"/>
        <v>0</v>
      </c>
      <c r="BZ80" s="153">
        <f t="shared" ca="1" si="111"/>
        <v>0</v>
      </c>
      <c r="CA80" s="154" t="str">
        <f t="shared" ca="1" si="167"/>
        <v/>
      </c>
      <c r="CB80" s="92"/>
      <c r="CC80" s="155">
        <f t="shared" ca="1" si="168"/>
        <v>0</v>
      </c>
      <c r="CD80" s="155">
        <f t="shared" ca="1" si="169"/>
        <v>0</v>
      </c>
      <c r="CE80" s="144"/>
      <c r="CF80" s="156">
        <f t="shared" ca="1" si="196"/>
        <v>0</v>
      </c>
      <c r="CG80" s="156">
        <f t="shared" ca="1" si="112"/>
        <v>0</v>
      </c>
      <c r="CH80" s="157" t="str">
        <f t="shared" ca="1" si="170"/>
        <v/>
      </c>
      <c r="CI80" s="92"/>
      <c r="CJ80" s="158">
        <f t="shared" ca="1" si="171"/>
        <v>0</v>
      </c>
      <c r="CK80" s="158">
        <f t="shared" ca="1" si="172"/>
        <v>0</v>
      </c>
      <c r="CL80" s="144"/>
      <c r="CM80" s="159">
        <f t="shared" ca="1" si="197"/>
        <v>0</v>
      </c>
      <c r="CN80" s="159">
        <f t="shared" ca="1" si="113"/>
        <v>0</v>
      </c>
      <c r="CO80" s="160" t="str">
        <f t="shared" ca="1" si="173"/>
        <v/>
      </c>
      <c r="CP80" s="92"/>
      <c r="CQ80" s="140">
        <v>77</v>
      </c>
      <c r="CR80" s="330">
        <v>0.12</v>
      </c>
      <c r="CS80" s="92">
        <f t="shared" si="198"/>
        <v>0</v>
      </c>
      <c r="CT80" s="335">
        <f t="shared" si="199"/>
        <v>0.12</v>
      </c>
      <c r="CU80" s="92">
        <f t="shared" si="200"/>
        <v>1</v>
      </c>
      <c r="CV80" s="348">
        <f t="shared" si="148"/>
        <v>1</v>
      </c>
      <c r="CW80" s="367">
        <f t="shared" si="144"/>
        <v>127.65</v>
      </c>
      <c r="CX80" s="367">
        <f t="shared" si="145"/>
        <v>62.61</v>
      </c>
      <c r="CY80" s="367">
        <f t="shared" si="146"/>
        <v>252.75</v>
      </c>
      <c r="CZ80" s="380">
        <f t="shared" si="147"/>
        <v>141.72999999999999</v>
      </c>
      <c r="DA80"/>
      <c r="DB80" s="391">
        <v>77</v>
      </c>
      <c r="DC80" s="59">
        <v>243101.74</v>
      </c>
      <c r="DD80" s="59">
        <v>188678.57</v>
      </c>
      <c r="DE80" s="59">
        <v>215790.73</v>
      </c>
      <c r="DF80" s="59">
        <v>167481.67000000001</v>
      </c>
      <c r="DG80" s="59">
        <v>191064.71</v>
      </c>
      <c r="DH80" s="59">
        <v>148291.06</v>
      </c>
      <c r="DI80" s="137">
        <v>812935.55</v>
      </c>
      <c r="DJ80" s="137">
        <v>702942.45</v>
      </c>
      <c r="DK80" s="138">
        <v>606214.17000000004</v>
      </c>
      <c r="DL80" s="138">
        <v>501865.95</v>
      </c>
      <c r="DM80" s="137">
        <v>410212.38</v>
      </c>
      <c r="DN80" s="139">
        <v>356909.21</v>
      </c>
      <c r="DP80" s="384" t="s">
        <v>205</v>
      </c>
      <c r="DQ80" s="387">
        <v>6697.77</v>
      </c>
      <c r="DR80" s="387">
        <v>8566.4699999999993</v>
      </c>
    </row>
    <row r="81" spans="1:122" ht="16" thickBot="1">
      <c r="A81" s="178">
        <v>45</v>
      </c>
      <c r="B81" s="173">
        <f ca="1">RESUMEN!J48</f>
        <v>0</v>
      </c>
      <c r="C81" s="173">
        <f ca="1">+RESUMEN!K48</f>
        <v>0</v>
      </c>
      <c r="D81" s="174">
        <f t="shared" ca="1" si="174"/>
        <v>0</v>
      </c>
      <c r="E81" s="179">
        <f ca="1">SUM(E54:E80)</f>
        <v>0</v>
      </c>
      <c r="F81" s="179">
        <f ca="1">SUM(F54:F80)</f>
        <v>0</v>
      </c>
      <c r="G81" s="180">
        <f ca="1">SUM(G54:G80)</f>
        <v>0</v>
      </c>
      <c r="H81" s="165"/>
      <c r="I81" s="353"/>
      <c r="J81" s="164">
        <v>78</v>
      </c>
      <c r="K81" s="59">
        <f t="shared" si="132"/>
        <v>254849.24</v>
      </c>
      <c r="L81" s="59">
        <f t="shared" si="133"/>
        <v>193891.41</v>
      </c>
      <c r="M81" s="59">
        <f t="shared" si="134"/>
        <v>226218.47</v>
      </c>
      <c r="N81" s="59">
        <f t="shared" si="135"/>
        <v>172108.88</v>
      </c>
      <c r="O81" s="59">
        <f t="shared" si="136"/>
        <v>200297.60000000001</v>
      </c>
      <c r="P81" s="59">
        <f t="shared" si="137"/>
        <v>152388.07</v>
      </c>
      <c r="Q81" s="136">
        <f t="shared" si="149"/>
        <v>867780.89</v>
      </c>
      <c r="R81" s="136">
        <f t="shared" si="150"/>
        <v>756463.2</v>
      </c>
      <c r="S81" s="136">
        <f t="shared" si="151"/>
        <v>650045.4</v>
      </c>
      <c r="T81" s="136">
        <f t="shared" si="152"/>
        <v>521370.99</v>
      </c>
      <c r="U81" s="136">
        <f t="shared" si="153"/>
        <v>438572.19</v>
      </c>
      <c r="V81" s="136">
        <f t="shared" si="154"/>
        <v>379051.34</v>
      </c>
      <c r="W81" s="92"/>
      <c r="X81" s="137">
        <f t="shared" si="138"/>
        <v>867780.89</v>
      </c>
      <c r="Y81" s="137">
        <f t="shared" si="139"/>
        <v>756463.2</v>
      </c>
      <c r="Z81" s="136">
        <f t="shared" si="175"/>
        <v>905095.46826999995</v>
      </c>
      <c r="AA81" s="136">
        <f t="shared" si="176"/>
        <v>788991.11759999988</v>
      </c>
      <c r="AB81" s="136">
        <f t="shared" si="177"/>
        <v>971914.59680000006</v>
      </c>
      <c r="AC81" s="136">
        <f t="shared" si="178"/>
        <v>847238.78399999999</v>
      </c>
      <c r="AD81" s="138">
        <f t="shared" si="140"/>
        <v>650045.4</v>
      </c>
      <c r="AE81" s="138">
        <f t="shared" si="141"/>
        <v>521370.99</v>
      </c>
      <c r="AF81" s="136">
        <f t="shared" si="179"/>
        <v>677997.35219999996</v>
      </c>
      <c r="AG81" s="136">
        <f t="shared" si="180"/>
        <v>543789.94256999996</v>
      </c>
      <c r="AH81" s="136">
        <f t="shared" si="181"/>
        <v>728050.84800000011</v>
      </c>
      <c r="AI81" s="136">
        <f t="shared" si="182"/>
        <v>583935.50880000007</v>
      </c>
      <c r="AJ81" s="137">
        <f t="shared" si="142"/>
        <v>438572.19</v>
      </c>
      <c r="AK81" s="137">
        <f t="shared" si="143"/>
        <v>379051.34</v>
      </c>
      <c r="AL81" s="136">
        <f t="shared" si="183"/>
        <v>457430.79416999995</v>
      </c>
      <c r="AM81" s="136">
        <f t="shared" si="184"/>
        <v>395350.54762000003</v>
      </c>
      <c r="AN81" s="136">
        <f t="shared" si="185"/>
        <v>491200.85280000005</v>
      </c>
      <c r="AO81" s="136">
        <f t="shared" si="186"/>
        <v>424537.5008000001</v>
      </c>
      <c r="AP81" s="92"/>
      <c r="AQ81" s="140">
        <v>78</v>
      </c>
      <c r="AR81" s="141">
        <f ca="1">+RESUMEN!F81</f>
        <v>0</v>
      </c>
      <c r="AS81" s="141">
        <f ca="1">+RESUMEN!G81</f>
        <v>0</v>
      </c>
      <c r="AT81" s="142">
        <f t="shared" ca="1" si="155"/>
        <v>0</v>
      </c>
      <c r="AU81" s="143">
        <f t="shared" si="187"/>
        <v>0</v>
      </c>
      <c r="AV81" s="143">
        <f t="shared" si="188"/>
        <v>0</v>
      </c>
      <c r="AW81" s="143">
        <f t="shared" si="189"/>
        <v>0</v>
      </c>
      <c r="AX81" s="143">
        <f t="shared" si="190"/>
        <v>0</v>
      </c>
      <c r="AY81" s="143">
        <f t="shared" ca="1" si="191"/>
        <v>0</v>
      </c>
      <c r="AZ81" s="142"/>
      <c r="BA81" s="143">
        <f t="shared" ca="1" si="156"/>
        <v>0</v>
      </c>
      <c r="BB81" s="143">
        <f t="shared" ca="1" si="157"/>
        <v>0</v>
      </c>
      <c r="BC81" s="144"/>
      <c r="BD81" s="145">
        <f t="shared" ca="1" si="192"/>
        <v>0</v>
      </c>
      <c r="BE81" s="145">
        <f t="shared" ca="1" si="108"/>
        <v>0</v>
      </c>
      <c r="BF81" s="146" t="str">
        <f t="shared" ca="1" si="158"/>
        <v/>
      </c>
      <c r="BG81" s="92"/>
      <c r="BH81" s="95">
        <f t="shared" ca="1" si="159"/>
        <v>0</v>
      </c>
      <c r="BI81" s="95">
        <f t="shared" ca="1" si="160"/>
        <v>0</v>
      </c>
      <c r="BJ81" s="144"/>
      <c r="BK81" s="147">
        <f t="shared" ca="1" si="193"/>
        <v>0</v>
      </c>
      <c r="BL81" s="147">
        <f t="shared" ca="1" si="110"/>
        <v>0</v>
      </c>
      <c r="BM81" s="148" t="str">
        <f t="shared" ca="1" si="161"/>
        <v/>
      </c>
      <c r="BN81" s="92"/>
      <c r="BO81" s="149">
        <f t="shared" ca="1" si="162"/>
        <v>0</v>
      </c>
      <c r="BP81" s="149">
        <f t="shared" ca="1" si="163"/>
        <v>0</v>
      </c>
      <c r="BQ81" s="144"/>
      <c r="BR81" s="150">
        <f t="shared" ca="1" si="194"/>
        <v>0</v>
      </c>
      <c r="BS81" s="150">
        <f t="shared" ca="1" si="109"/>
        <v>0</v>
      </c>
      <c r="BT81" s="151" t="str">
        <f t="shared" ca="1" si="164"/>
        <v/>
      </c>
      <c r="BU81" s="92"/>
      <c r="BV81" s="152">
        <f t="shared" ca="1" si="165"/>
        <v>0</v>
      </c>
      <c r="BW81" s="152">
        <f t="shared" ca="1" si="166"/>
        <v>0</v>
      </c>
      <c r="BX81" s="144"/>
      <c r="BY81" s="153">
        <f t="shared" ca="1" si="195"/>
        <v>0</v>
      </c>
      <c r="BZ81" s="153">
        <f t="shared" ca="1" si="111"/>
        <v>0</v>
      </c>
      <c r="CA81" s="154" t="str">
        <f t="shared" ca="1" si="167"/>
        <v/>
      </c>
      <c r="CB81" s="92"/>
      <c r="CC81" s="155">
        <f t="shared" ca="1" si="168"/>
        <v>0</v>
      </c>
      <c r="CD81" s="155">
        <f t="shared" ca="1" si="169"/>
        <v>0</v>
      </c>
      <c r="CE81" s="144"/>
      <c r="CF81" s="156">
        <f t="shared" ca="1" si="196"/>
        <v>0</v>
      </c>
      <c r="CG81" s="156">
        <f t="shared" ca="1" si="112"/>
        <v>0</v>
      </c>
      <c r="CH81" s="157" t="str">
        <f t="shared" ca="1" si="170"/>
        <v/>
      </c>
      <c r="CI81" s="92"/>
      <c r="CJ81" s="158">
        <f t="shared" ca="1" si="171"/>
        <v>0</v>
      </c>
      <c r="CK81" s="158">
        <f t="shared" ca="1" si="172"/>
        <v>0</v>
      </c>
      <c r="CL81" s="144"/>
      <c r="CM81" s="159">
        <f t="shared" ca="1" si="197"/>
        <v>0</v>
      </c>
      <c r="CN81" s="159">
        <f t="shared" ca="1" si="113"/>
        <v>0</v>
      </c>
      <c r="CO81" s="160" t="str">
        <f t="shared" ca="1" si="173"/>
        <v/>
      </c>
      <c r="CP81" s="92"/>
      <c r="CQ81" s="140">
        <v>78</v>
      </c>
      <c r="CR81" s="330">
        <v>0.12</v>
      </c>
      <c r="CS81" s="92">
        <f t="shared" si="198"/>
        <v>0</v>
      </c>
      <c r="CT81" s="335">
        <f t="shared" si="199"/>
        <v>0.12</v>
      </c>
      <c r="CU81" s="92">
        <f t="shared" si="200"/>
        <v>1</v>
      </c>
      <c r="CV81" s="348">
        <f t="shared" si="148"/>
        <v>1</v>
      </c>
      <c r="CW81" s="367">
        <f t="shared" si="144"/>
        <v>127.65</v>
      </c>
      <c r="CX81" s="367">
        <f t="shared" si="145"/>
        <v>62.61</v>
      </c>
      <c r="CY81" s="367">
        <f t="shared" si="146"/>
        <v>252.75</v>
      </c>
      <c r="CZ81" s="380">
        <f t="shared" si="147"/>
        <v>141.72999999999999</v>
      </c>
      <c r="DA81"/>
      <c r="DB81" s="391">
        <v>78</v>
      </c>
      <c r="DC81" s="59">
        <v>254849.24</v>
      </c>
      <c r="DD81" s="59">
        <v>193891.41</v>
      </c>
      <c r="DE81" s="59">
        <v>226218.47</v>
      </c>
      <c r="DF81" s="59">
        <v>172108.88</v>
      </c>
      <c r="DG81" s="59">
        <v>200297.60000000001</v>
      </c>
      <c r="DH81" s="59">
        <v>152388.07</v>
      </c>
      <c r="DI81" s="137">
        <v>867780.89</v>
      </c>
      <c r="DJ81" s="137">
        <v>756463.2</v>
      </c>
      <c r="DK81" s="138">
        <v>650045.4</v>
      </c>
      <c r="DL81" s="138">
        <v>521370.99</v>
      </c>
      <c r="DM81" s="137">
        <v>438572.19</v>
      </c>
      <c r="DN81" s="139">
        <v>379051.34</v>
      </c>
      <c r="DP81" s="384" t="s">
        <v>206</v>
      </c>
      <c r="DQ81" s="387">
        <v>6966</v>
      </c>
      <c r="DR81" s="387">
        <v>8921.76</v>
      </c>
    </row>
    <row r="82" spans="1:122">
      <c r="A82" s="178">
        <v>46</v>
      </c>
      <c r="B82" s="173">
        <f ca="1">RESUMEN!J49</f>
        <v>0</v>
      </c>
      <c r="C82" s="173">
        <f ca="1">+RESUMEN!K49</f>
        <v>0</v>
      </c>
      <c r="D82" s="174">
        <f t="shared" ca="1" si="174"/>
        <v>0</v>
      </c>
      <c r="E82" s="91"/>
      <c r="F82" s="91"/>
      <c r="G82" s="91"/>
      <c r="H82" s="165"/>
      <c r="I82" s="353"/>
      <c r="J82" s="164">
        <v>79</v>
      </c>
      <c r="K82" s="59">
        <f t="shared" si="132"/>
        <v>266641.05</v>
      </c>
      <c r="L82" s="59">
        <f t="shared" si="133"/>
        <v>204049.42</v>
      </c>
      <c r="M82" s="59">
        <f t="shared" si="134"/>
        <v>236685.54</v>
      </c>
      <c r="N82" s="59">
        <f t="shared" si="135"/>
        <v>181125.7</v>
      </c>
      <c r="O82" s="59">
        <f t="shared" si="136"/>
        <v>209565.32</v>
      </c>
      <c r="P82" s="59">
        <f t="shared" si="137"/>
        <v>160371.71</v>
      </c>
      <c r="Q82" s="136">
        <f t="shared" si="149"/>
        <v>924965.14</v>
      </c>
      <c r="R82" s="136">
        <f t="shared" si="150"/>
        <v>781254.02</v>
      </c>
      <c r="S82" s="136">
        <f t="shared" si="151"/>
        <v>695623.33</v>
      </c>
      <c r="T82" s="136">
        <f t="shared" si="152"/>
        <v>588164.43999999994</v>
      </c>
      <c r="U82" s="136">
        <f t="shared" si="153"/>
        <v>468351.1</v>
      </c>
      <c r="V82" s="136">
        <f t="shared" si="154"/>
        <v>402968.87</v>
      </c>
      <c r="W82" s="92"/>
      <c r="X82" s="137">
        <f t="shared" si="138"/>
        <v>924965.14</v>
      </c>
      <c r="Y82" s="137">
        <f t="shared" si="139"/>
        <v>781254.02</v>
      </c>
      <c r="Z82" s="136">
        <f t="shared" si="175"/>
        <v>964738.64101999998</v>
      </c>
      <c r="AA82" s="136">
        <f t="shared" si="176"/>
        <v>814847.94285999995</v>
      </c>
      <c r="AB82" s="136">
        <f t="shared" si="177"/>
        <v>1035960.9568000002</v>
      </c>
      <c r="AC82" s="136">
        <f t="shared" si="178"/>
        <v>875004.50240000011</v>
      </c>
      <c r="AD82" s="138">
        <f t="shared" si="140"/>
        <v>695623.33</v>
      </c>
      <c r="AE82" s="138">
        <f t="shared" si="141"/>
        <v>588164.43999999994</v>
      </c>
      <c r="AF82" s="136">
        <f t="shared" si="179"/>
        <v>725535.13318999985</v>
      </c>
      <c r="AG82" s="136">
        <f t="shared" si="180"/>
        <v>613455.51091999991</v>
      </c>
      <c r="AH82" s="136">
        <f t="shared" si="181"/>
        <v>779098.12959999999</v>
      </c>
      <c r="AI82" s="136">
        <f t="shared" si="182"/>
        <v>658744.17279999994</v>
      </c>
      <c r="AJ82" s="137">
        <f t="shared" si="142"/>
        <v>468351.1</v>
      </c>
      <c r="AK82" s="137">
        <f t="shared" si="143"/>
        <v>402968.87</v>
      </c>
      <c r="AL82" s="136">
        <f t="shared" si="183"/>
        <v>488490.19729999994</v>
      </c>
      <c r="AM82" s="136">
        <f t="shared" si="184"/>
        <v>420296.53140999994</v>
      </c>
      <c r="AN82" s="136">
        <f t="shared" si="185"/>
        <v>524553.23200000008</v>
      </c>
      <c r="AO82" s="136">
        <f t="shared" si="186"/>
        <v>451325.13440000004</v>
      </c>
      <c r="AP82" s="92"/>
      <c r="AQ82" s="140">
        <v>79</v>
      </c>
      <c r="AR82" s="141">
        <f ca="1">+RESUMEN!F82</f>
        <v>0</v>
      </c>
      <c r="AS82" s="141">
        <f ca="1">+RESUMEN!G82</f>
        <v>0</v>
      </c>
      <c r="AT82" s="142">
        <f t="shared" ca="1" si="155"/>
        <v>0</v>
      </c>
      <c r="AU82" s="143">
        <f t="shared" si="187"/>
        <v>0</v>
      </c>
      <c r="AV82" s="143">
        <f t="shared" si="188"/>
        <v>0</v>
      </c>
      <c r="AW82" s="143">
        <f t="shared" si="189"/>
        <v>0</v>
      </c>
      <c r="AX82" s="143">
        <f t="shared" si="190"/>
        <v>0</v>
      </c>
      <c r="AY82" s="143">
        <f t="shared" ca="1" si="191"/>
        <v>0</v>
      </c>
      <c r="AZ82" s="142"/>
      <c r="BA82" s="143">
        <f t="shared" ca="1" si="156"/>
        <v>0</v>
      </c>
      <c r="BB82" s="143">
        <f t="shared" ca="1" si="157"/>
        <v>0</v>
      </c>
      <c r="BC82" s="144"/>
      <c r="BD82" s="145">
        <f t="shared" ca="1" si="192"/>
        <v>0</v>
      </c>
      <c r="BE82" s="145">
        <f t="shared" ca="1" si="108"/>
        <v>0</v>
      </c>
      <c r="BF82" s="146" t="str">
        <f t="shared" ca="1" si="158"/>
        <v/>
      </c>
      <c r="BG82" s="92"/>
      <c r="BH82" s="95">
        <f t="shared" ca="1" si="159"/>
        <v>0</v>
      </c>
      <c r="BI82" s="95">
        <f t="shared" ca="1" si="160"/>
        <v>0</v>
      </c>
      <c r="BJ82" s="144"/>
      <c r="BK82" s="147">
        <f t="shared" ca="1" si="193"/>
        <v>0</v>
      </c>
      <c r="BL82" s="147">
        <f t="shared" ca="1" si="110"/>
        <v>0</v>
      </c>
      <c r="BM82" s="148" t="str">
        <f t="shared" ca="1" si="161"/>
        <v/>
      </c>
      <c r="BN82" s="92"/>
      <c r="BO82" s="149">
        <f t="shared" ca="1" si="162"/>
        <v>0</v>
      </c>
      <c r="BP82" s="149">
        <f t="shared" ca="1" si="163"/>
        <v>0</v>
      </c>
      <c r="BQ82" s="144"/>
      <c r="BR82" s="150">
        <f t="shared" ca="1" si="194"/>
        <v>0</v>
      </c>
      <c r="BS82" s="150">
        <f t="shared" ca="1" si="109"/>
        <v>0</v>
      </c>
      <c r="BT82" s="151" t="str">
        <f t="shared" ca="1" si="164"/>
        <v/>
      </c>
      <c r="BU82" s="92"/>
      <c r="BV82" s="152">
        <f t="shared" ca="1" si="165"/>
        <v>0</v>
      </c>
      <c r="BW82" s="152">
        <f t="shared" ca="1" si="166"/>
        <v>0</v>
      </c>
      <c r="BX82" s="144"/>
      <c r="BY82" s="153">
        <f t="shared" ca="1" si="195"/>
        <v>0</v>
      </c>
      <c r="BZ82" s="153">
        <f t="shared" ca="1" si="111"/>
        <v>0</v>
      </c>
      <c r="CA82" s="154" t="str">
        <f t="shared" ca="1" si="167"/>
        <v/>
      </c>
      <c r="CB82" s="92"/>
      <c r="CC82" s="155">
        <f t="shared" ca="1" si="168"/>
        <v>0</v>
      </c>
      <c r="CD82" s="155">
        <f t="shared" ca="1" si="169"/>
        <v>0</v>
      </c>
      <c r="CE82" s="144"/>
      <c r="CF82" s="156">
        <f t="shared" ca="1" si="196"/>
        <v>0</v>
      </c>
      <c r="CG82" s="156">
        <f t="shared" ca="1" si="112"/>
        <v>0</v>
      </c>
      <c r="CH82" s="157" t="str">
        <f t="shared" ca="1" si="170"/>
        <v/>
      </c>
      <c r="CI82" s="92"/>
      <c r="CJ82" s="158">
        <f t="shared" ca="1" si="171"/>
        <v>0</v>
      </c>
      <c r="CK82" s="158">
        <f t="shared" ca="1" si="172"/>
        <v>0</v>
      </c>
      <c r="CL82" s="144"/>
      <c r="CM82" s="159">
        <f t="shared" ca="1" si="197"/>
        <v>0</v>
      </c>
      <c r="CN82" s="159">
        <f t="shared" ca="1" si="113"/>
        <v>0</v>
      </c>
      <c r="CO82" s="160" t="str">
        <f t="shared" ca="1" si="173"/>
        <v/>
      </c>
      <c r="CP82" s="92"/>
      <c r="CQ82" s="140">
        <v>79</v>
      </c>
      <c r="CR82" s="330">
        <v>0.12</v>
      </c>
      <c r="CS82" s="92">
        <f t="shared" si="198"/>
        <v>0</v>
      </c>
      <c r="CT82" s="335">
        <f t="shared" si="199"/>
        <v>0.12</v>
      </c>
      <c r="CU82" s="92">
        <f t="shared" si="200"/>
        <v>1</v>
      </c>
      <c r="CV82" s="348">
        <f t="shared" si="148"/>
        <v>1</v>
      </c>
      <c r="CW82" s="367">
        <f t="shared" si="144"/>
        <v>127.65</v>
      </c>
      <c r="CX82" s="367">
        <f t="shared" si="145"/>
        <v>62.61</v>
      </c>
      <c r="CY82" s="367">
        <f t="shared" si="146"/>
        <v>252.75</v>
      </c>
      <c r="CZ82" s="380">
        <f t="shared" si="147"/>
        <v>141.72999999999999</v>
      </c>
      <c r="DA82"/>
      <c r="DB82" s="391">
        <v>79</v>
      </c>
      <c r="DC82" s="59">
        <v>266641.05</v>
      </c>
      <c r="DD82" s="59">
        <v>204049.42</v>
      </c>
      <c r="DE82" s="59">
        <v>236685.54</v>
      </c>
      <c r="DF82" s="59">
        <v>181125.7</v>
      </c>
      <c r="DG82" s="59">
        <v>209565.32</v>
      </c>
      <c r="DH82" s="59">
        <v>160371.71</v>
      </c>
      <c r="DI82" s="137">
        <v>924965.14</v>
      </c>
      <c r="DJ82" s="137">
        <v>781254.02</v>
      </c>
      <c r="DK82" s="138">
        <v>695623.33</v>
      </c>
      <c r="DL82" s="138">
        <v>588164.43999999994</v>
      </c>
      <c r="DM82" s="137">
        <v>468351.1</v>
      </c>
      <c r="DN82" s="139">
        <v>402968.87</v>
      </c>
      <c r="DP82" s="384" t="s">
        <v>207</v>
      </c>
      <c r="DQ82" s="386">
        <v>7234.24</v>
      </c>
      <c r="DR82" s="386">
        <v>9277.0400000000009</v>
      </c>
    </row>
    <row r="83" spans="1:122">
      <c r="A83" s="178">
        <v>47</v>
      </c>
      <c r="B83" s="173">
        <f ca="1">RESUMEN!J50</f>
        <v>0</v>
      </c>
      <c r="C83" s="173">
        <f ca="1">+RESUMEN!K50</f>
        <v>0</v>
      </c>
      <c r="D83" s="174">
        <f t="shared" ca="1" si="174"/>
        <v>0</v>
      </c>
      <c r="E83" s="91"/>
      <c r="F83" s="91"/>
      <c r="G83" s="91"/>
      <c r="H83" s="165"/>
      <c r="I83" s="353"/>
      <c r="J83" s="164">
        <v>80</v>
      </c>
      <c r="K83" s="59">
        <f t="shared" si="132"/>
        <v>278413.95</v>
      </c>
      <c r="L83" s="59">
        <f t="shared" si="133"/>
        <v>209512.31</v>
      </c>
      <c r="M83" s="59">
        <f t="shared" si="134"/>
        <v>247135.82</v>
      </c>
      <c r="N83" s="59">
        <f t="shared" si="135"/>
        <v>185974.87</v>
      </c>
      <c r="O83" s="59">
        <f t="shared" si="136"/>
        <v>218818.18</v>
      </c>
      <c r="P83" s="59">
        <f t="shared" si="137"/>
        <v>164665.25</v>
      </c>
      <c r="Q83" s="136">
        <f t="shared" si="149"/>
        <v>984209.52</v>
      </c>
      <c r="R83" s="136">
        <f t="shared" si="150"/>
        <v>796644.72</v>
      </c>
      <c r="S83" s="136">
        <f t="shared" si="151"/>
        <v>742947.96</v>
      </c>
      <c r="T83" s="136">
        <f t="shared" si="152"/>
        <v>623887.47</v>
      </c>
      <c r="U83" s="136">
        <f t="shared" si="153"/>
        <v>502136.85</v>
      </c>
      <c r="V83" s="136">
        <f t="shared" si="154"/>
        <v>425915.33</v>
      </c>
      <c r="W83" s="92"/>
      <c r="X83" s="137">
        <f t="shared" si="138"/>
        <v>984209.52</v>
      </c>
      <c r="Y83" s="137">
        <f t="shared" si="139"/>
        <v>796644.72</v>
      </c>
      <c r="Z83" s="136">
        <f t="shared" si="175"/>
        <v>1026530.5293599999</v>
      </c>
      <c r="AA83" s="136">
        <f t="shared" si="176"/>
        <v>830900.4429599999</v>
      </c>
      <c r="AB83" s="136">
        <f t="shared" si="177"/>
        <v>1102314.6624</v>
      </c>
      <c r="AC83" s="136">
        <f t="shared" si="178"/>
        <v>892242.08640000003</v>
      </c>
      <c r="AD83" s="138">
        <f t="shared" si="140"/>
        <v>742947.96</v>
      </c>
      <c r="AE83" s="138">
        <f t="shared" si="141"/>
        <v>623887.47</v>
      </c>
      <c r="AF83" s="136">
        <f t="shared" si="179"/>
        <v>774894.72227999987</v>
      </c>
      <c r="AG83" s="136">
        <f t="shared" si="180"/>
        <v>650714.6312099999</v>
      </c>
      <c r="AH83" s="136">
        <f t="shared" si="181"/>
        <v>832101.71520000009</v>
      </c>
      <c r="AI83" s="136">
        <f t="shared" si="182"/>
        <v>698753.96640000003</v>
      </c>
      <c r="AJ83" s="137">
        <f t="shared" si="142"/>
        <v>502136.85</v>
      </c>
      <c r="AK83" s="137">
        <f t="shared" si="143"/>
        <v>425915.33</v>
      </c>
      <c r="AL83" s="136">
        <f t="shared" si="183"/>
        <v>523728.73454999994</v>
      </c>
      <c r="AM83" s="136">
        <f t="shared" si="184"/>
        <v>444229.68919</v>
      </c>
      <c r="AN83" s="136">
        <f t="shared" si="185"/>
        <v>562393.272</v>
      </c>
      <c r="AO83" s="136">
        <f t="shared" si="186"/>
        <v>477025.16960000008</v>
      </c>
      <c r="AP83" s="92"/>
      <c r="AQ83" s="140">
        <v>80</v>
      </c>
      <c r="AR83" s="141">
        <f ca="1">+RESUMEN!F83</f>
        <v>0</v>
      </c>
      <c r="AS83" s="141">
        <f ca="1">+RESUMEN!G83</f>
        <v>0</v>
      </c>
      <c r="AT83" s="142">
        <f t="shared" ca="1" si="155"/>
        <v>0</v>
      </c>
      <c r="AU83" s="143">
        <f t="shared" si="187"/>
        <v>0</v>
      </c>
      <c r="AV83" s="143">
        <f t="shared" si="188"/>
        <v>0</v>
      </c>
      <c r="AW83" s="143">
        <f t="shared" si="189"/>
        <v>0</v>
      </c>
      <c r="AX83" s="143">
        <f t="shared" si="190"/>
        <v>0</v>
      </c>
      <c r="AY83" s="143">
        <f t="shared" ca="1" si="191"/>
        <v>0</v>
      </c>
      <c r="AZ83" s="142"/>
      <c r="BA83" s="143">
        <f t="shared" ca="1" si="156"/>
        <v>0</v>
      </c>
      <c r="BB83" s="143">
        <f t="shared" ca="1" si="157"/>
        <v>0</v>
      </c>
      <c r="BC83" s="144"/>
      <c r="BD83" s="145">
        <f t="shared" ca="1" si="192"/>
        <v>0</v>
      </c>
      <c r="BE83" s="145">
        <f t="shared" ca="1" si="108"/>
        <v>0</v>
      </c>
      <c r="BF83" s="146" t="str">
        <f t="shared" ca="1" si="158"/>
        <v/>
      </c>
      <c r="BG83" s="92"/>
      <c r="BH83" s="95">
        <f t="shared" ca="1" si="159"/>
        <v>0</v>
      </c>
      <c r="BI83" s="95">
        <f t="shared" ca="1" si="160"/>
        <v>0</v>
      </c>
      <c r="BJ83" s="144"/>
      <c r="BK83" s="147">
        <f t="shared" ca="1" si="193"/>
        <v>0</v>
      </c>
      <c r="BL83" s="147">
        <f t="shared" ca="1" si="110"/>
        <v>0</v>
      </c>
      <c r="BM83" s="148" t="str">
        <f t="shared" ca="1" si="161"/>
        <v/>
      </c>
      <c r="BN83" s="92"/>
      <c r="BO83" s="149">
        <f t="shared" ca="1" si="162"/>
        <v>0</v>
      </c>
      <c r="BP83" s="149">
        <f t="shared" ca="1" si="163"/>
        <v>0</v>
      </c>
      <c r="BQ83" s="144"/>
      <c r="BR83" s="150">
        <f t="shared" ca="1" si="194"/>
        <v>0</v>
      </c>
      <c r="BS83" s="150">
        <f t="shared" ca="1" si="109"/>
        <v>0</v>
      </c>
      <c r="BT83" s="151" t="str">
        <f t="shared" ca="1" si="164"/>
        <v/>
      </c>
      <c r="BU83" s="92"/>
      <c r="BV83" s="152">
        <f t="shared" ca="1" si="165"/>
        <v>0</v>
      </c>
      <c r="BW83" s="152">
        <f t="shared" ca="1" si="166"/>
        <v>0</v>
      </c>
      <c r="BX83" s="144"/>
      <c r="BY83" s="153">
        <f t="shared" ca="1" si="195"/>
        <v>0</v>
      </c>
      <c r="BZ83" s="153">
        <f t="shared" ca="1" si="111"/>
        <v>0</v>
      </c>
      <c r="CA83" s="154" t="str">
        <f t="shared" ca="1" si="167"/>
        <v/>
      </c>
      <c r="CB83" s="92"/>
      <c r="CC83" s="155">
        <f t="shared" ca="1" si="168"/>
        <v>0</v>
      </c>
      <c r="CD83" s="155">
        <f t="shared" ca="1" si="169"/>
        <v>0</v>
      </c>
      <c r="CE83" s="144"/>
      <c r="CF83" s="156">
        <f t="shared" ca="1" si="196"/>
        <v>0</v>
      </c>
      <c r="CG83" s="156">
        <f t="shared" ca="1" si="112"/>
        <v>0</v>
      </c>
      <c r="CH83" s="157" t="str">
        <f t="shared" ca="1" si="170"/>
        <v/>
      </c>
      <c r="CI83" s="92"/>
      <c r="CJ83" s="158">
        <f t="shared" ca="1" si="171"/>
        <v>0</v>
      </c>
      <c r="CK83" s="158">
        <f t="shared" ca="1" si="172"/>
        <v>0</v>
      </c>
      <c r="CL83" s="144"/>
      <c r="CM83" s="159">
        <f t="shared" ca="1" si="197"/>
        <v>0</v>
      </c>
      <c r="CN83" s="159">
        <f t="shared" ca="1" si="113"/>
        <v>0</v>
      </c>
      <c r="CO83" s="160" t="str">
        <f t="shared" ca="1" si="173"/>
        <v/>
      </c>
      <c r="CP83" s="92"/>
      <c r="CQ83" s="140">
        <v>80</v>
      </c>
      <c r="CR83" s="330">
        <v>0.12</v>
      </c>
      <c r="CS83" s="92">
        <f t="shared" si="198"/>
        <v>0</v>
      </c>
      <c r="CT83" s="335">
        <f t="shared" si="199"/>
        <v>0.12</v>
      </c>
      <c r="CU83" s="92">
        <f t="shared" si="200"/>
        <v>1</v>
      </c>
      <c r="CV83" s="348">
        <f t="shared" si="148"/>
        <v>1</v>
      </c>
      <c r="CW83" s="367">
        <f t="shared" si="144"/>
        <v>127.65</v>
      </c>
      <c r="CX83" s="367">
        <f t="shared" si="145"/>
        <v>62.61</v>
      </c>
      <c r="CY83" s="367">
        <f t="shared" si="146"/>
        <v>252.75</v>
      </c>
      <c r="CZ83" s="380">
        <f t="shared" si="147"/>
        <v>141.72999999999999</v>
      </c>
      <c r="DA83"/>
      <c r="DB83" s="391">
        <v>80</v>
      </c>
      <c r="DC83" s="59">
        <v>278413.95</v>
      </c>
      <c r="DD83" s="59">
        <v>209512.31</v>
      </c>
      <c r="DE83" s="59">
        <v>247135.82</v>
      </c>
      <c r="DF83" s="59">
        <v>185974.87</v>
      </c>
      <c r="DG83" s="59">
        <v>218818.18</v>
      </c>
      <c r="DH83" s="59">
        <v>164665.25</v>
      </c>
      <c r="DI83" s="137">
        <v>984209.52</v>
      </c>
      <c r="DJ83" s="137">
        <v>796644.72</v>
      </c>
      <c r="DK83" s="138">
        <v>742947.96</v>
      </c>
      <c r="DL83" s="138">
        <v>623887.47</v>
      </c>
      <c r="DM83" s="137">
        <v>502136.85</v>
      </c>
      <c r="DN83" s="139">
        <v>425915.33</v>
      </c>
      <c r="DP83" s="384" t="s">
        <v>208</v>
      </c>
      <c r="DQ83" s="389">
        <v>7462.1</v>
      </c>
      <c r="DR83" s="389">
        <v>9504.91</v>
      </c>
    </row>
    <row r="84" spans="1:122">
      <c r="A84" s="178">
        <v>48</v>
      </c>
      <c r="B84" s="173">
        <f ca="1">RESUMEN!J51</f>
        <v>0</v>
      </c>
      <c r="C84" s="173">
        <f ca="1">+RESUMEN!K51</f>
        <v>0</v>
      </c>
      <c r="D84" s="174">
        <f t="shared" ca="1" si="174"/>
        <v>0</v>
      </c>
      <c r="E84" s="91"/>
      <c r="F84" s="91"/>
      <c r="G84" s="91"/>
      <c r="H84" s="165"/>
      <c r="I84" s="353"/>
      <c r="J84" s="164">
        <v>81</v>
      </c>
      <c r="K84" s="59">
        <f t="shared" si="132"/>
        <v>291012.96999999997</v>
      </c>
      <c r="L84" s="59">
        <f t="shared" si="133"/>
        <v>214440.19</v>
      </c>
      <c r="M84" s="59">
        <f t="shared" si="134"/>
        <v>258319.42</v>
      </c>
      <c r="N84" s="59">
        <f t="shared" si="135"/>
        <v>190349.13</v>
      </c>
      <c r="O84" s="59">
        <f t="shared" si="136"/>
        <v>228720.32</v>
      </c>
      <c r="P84" s="59">
        <f t="shared" si="137"/>
        <v>168538.29</v>
      </c>
      <c r="Q84" s="136">
        <f t="shared" si="149"/>
        <v>1045148.62</v>
      </c>
      <c r="R84" s="136">
        <f t="shared" si="150"/>
        <v>883319.67</v>
      </c>
      <c r="S84" s="136">
        <f t="shared" si="151"/>
        <v>798265.81</v>
      </c>
      <c r="T84" s="136">
        <f t="shared" si="152"/>
        <v>660890.99</v>
      </c>
      <c r="U84" s="136">
        <f t="shared" si="153"/>
        <v>535434.35</v>
      </c>
      <c r="V84" s="136">
        <f t="shared" si="154"/>
        <v>450531.32</v>
      </c>
      <c r="W84" s="92"/>
      <c r="X84" s="137">
        <f t="shared" si="138"/>
        <v>1045148.62</v>
      </c>
      <c r="Y84" s="137">
        <f t="shared" si="139"/>
        <v>883319.67</v>
      </c>
      <c r="Z84" s="136">
        <f t="shared" si="175"/>
        <v>1090090.0106599999</v>
      </c>
      <c r="AA84" s="136">
        <f t="shared" si="176"/>
        <v>921302.41581000003</v>
      </c>
      <c r="AB84" s="136">
        <f t="shared" si="177"/>
        <v>1170566.4544000002</v>
      </c>
      <c r="AC84" s="136">
        <f t="shared" si="178"/>
        <v>989318.03040000016</v>
      </c>
      <c r="AD84" s="138">
        <f t="shared" si="140"/>
        <v>798265.81</v>
      </c>
      <c r="AE84" s="138">
        <f t="shared" si="141"/>
        <v>660890.99</v>
      </c>
      <c r="AF84" s="136">
        <f t="shared" si="179"/>
        <v>832591.23982999998</v>
      </c>
      <c r="AG84" s="136">
        <f t="shared" si="180"/>
        <v>689309.30256999994</v>
      </c>
      <c r="AH84" s="136">
        <f t="shared" si="181"/>
        <v>894057.70720000018</v>
      </c>
      <c r="AI84" s="136">
        <f t="shared" si="182"/>
        <v>740197.90880000009</v>
      </c>
      <c r="AJ84" s="137">
        <f t="shared" si="142"/>
        <v>535434.35</v>
      </c>
      <c r="AK84" s="137">
        <f t="shared" si="143"/>
        <v>450531.32</v>
      </c>
      <c r="AL84" s="136">
        <f t="shared" si="183"/>
        <v>558458.02704999992</v>
      </c>
      <c r="AM84" s="136">
        <f t="shared" si="184"/>
        <v>469904.16675999999</v>
      </c>
      <c r="AN84" s="136">
        <f t="shared" si="185"/>
        <v>599686.47200000007</v>
      </c>
      <c r="AO84" s="136">
        <f t="shared" si="186"/>
        <v>504595.07840000006</v>
      </c>
      <c r="AP84" s="92"/>
      <c r="AQ84" s="140">
        <v>81</v>
      </c>
      <c r="AR84" s="141">
        <f ca="1">+RESUMEN!F84</f>
        <v>0</v>
      </c>
      <c r="AS84" s="141">
        <f ca="1">+RESUMEN!G84</f>
        <v>0</v>
      </c>
      <c r="AT84" s="142">
        <f t="shared" ca="1" si="155"/>
        <v>0</v>
      </c>
      <c r="AU84" s="143">
        <f t="shared" si="187"/>
        <v>0</v>
      </c>
      <c r="AV84" s="143">
        <f t="shared" si="188"/>
        <v>0</v>
      </c>
      <c r="AW84" s="143">
        <f t="shared" si="189"/>
        <v>0</v>
      </c>
      <c r="AX84" s="143">
        <f t="shared" si="190"/>
        <v>0</v>
      </c>
      <c r="AY84" s="143">
        <f t="shared" ca="1" si="191"/>
        <v>0</v>
      </c>
      <c r="AZ84" s="142"/>
      <c r="BA84" s="143">
        <f t="shared" ca="1" si="156"/>
        <v>0</v>
      </c>
      <c r="BB84" s="143">
        <f t="shared" ca="1" si="157"/>
        <v>0</v>
      </c>
      <c r="BC84" s="144"/>
      <c r="BD84" s="145">
        <f t="shared" ca="1" si="192"/>
        <v>0</v>
      </c>
      <c r="BE84" s="145">
        <f t="shared" ca="1" si="108"/>
        <v>0</v>
      </c>
      <c r="BF84" s="146" t="str">
        <f t="shared" ca="1" si="158"/>
        <v/>
      </c>
      <c r="BG84" s="92"/>
      <c r="BH84" s="95">
        <f t="shared" ca="1" si="159"/>
        <v>0</v>
      </c>
      <c r="BI84" s="95">
        <f t="shared" ca="1" si="160"/>
        <v>0</v>
      </c>
      <c r="BJ84" s="144"/>
      <c r="BK84" s="147">
        <f t="shared" ca="1" si="193"/>
        <v>0</v>
      </c>
      <c r="BL84" s="147">
        <f t="shared" ca="1" si="110"/>
        <v>0</v>
      </c>
      <c r="BM84" s="148" t="str">
        <f t="shared" ca="1" si="161"/>
        <v/>
      </c>
      <c r="BN84" s="92"/>
      <c r="BO84" s="149">
        <f t="shared" ca="1" si="162"/>
        <v>0</v>
      </c>
      <c r="BP84" s="149">
        <f t="shared" ca="1" si="163"/>
        <v>0</v>
      </c>
      <c r="BQ84" s="144"/>
      <c r="BR84" s="150">
        <f t="shared" ca="1" si="194"/>
        <v>0</v>
      </c>
      <c r="BS84" s="150">
        <f t="shared" ca="1" si="109"/>
        <v>0</v>
      </c>
      <c r="BT84" s="151" t="str">
        <f t="shared" ca="1" si="164"/>
        <v/>
      </c>
      <c r="BU84" s="92"/>
      <c r="BV84" s="152">
        <f t="shared" ca="1" si="165"/>
        <v>0</v>
      </c>
      <c r="BW84" s="152">
        <f t="shared" ca="1" si="166"/>
        <v>0</v>
      </c>
      <c r="BX84" s="144"/>
      <c r="BY84" s="153">
        <f t="shared" ca="1" si="195"/>
        <v>0</v>
      </c>
      <c r="BZ84" s="153">
        <f t="shared" ca="1" si="111"/>
        <v>0</v>
      </c>
      <c r="CA84" s="154" t="str">
        <f t="shared" ca="1" si="167"/>
        <v/>
      </c>
      <c r="CB84" s="92"/>
      <c r="CC84" s="155">
        <f t="shared" ca="1" si="168"/>
        <v>0</v>
      </c>
      <c r="CD84" s="155">
        <f t="shared" ca="1" si="169"/>
        <v>0</v>
      </c>
      <c r="CE84" s="144"/>
      <c r="CF84" s="156">
        <f t="shared" ca="1" si="196"/>
        <v>0</v>
      </c>
      <c r="CG84" s="156">
        <f t="shared" ca="1" si="112"/>
        <v>0</v>
      </c>
      <c r="CH84" s="157" t="str">
        <f t="shared" ca="1" si="170"/>
        <v/>
      </c>
      <c r="CI84" s="92"/>
      <c r="CJ84" s="158">
        <f t="shared" ca="1" si="171"/>
        <v>0</v>
      </c>
      <c r="CK84" s="158">
        <f t="shared" ca="1" si="172"/>
        <v>0</v>
      </c>
      <c r="CL84" s="144"/>
      <c r="CM84" s="159">
        <f t="shared" ca="1" si="197"/>
        <v>0</v>
      </c>
      <c r="CN84" s="159">
        <f t="shared" ca="1" si="113"/>
        <v>0</v>
      </c>
      <c r="CO84" s="160" t="str">
        <f t="shared" ca="1" si="173"/>
        <v/>
      </c>
      <c r="CP84" s="92"/>
      <c r="CQ84" s="140">
        <v>81</v>
      </c>
      <c r="CR84" s="330">
        <v>0.12</v>
      </c>
      <c r="CS84" s="92">
        <f t="shared" si="198"/>
        <v>0</v>
      </c>
      <c r="CT84" s="335">
        <f t="shared" si="199"/>
        <v>0.12</v>
      </c>
      <c r="CU84" s="92">
        <f t="shared" si="200"/>
        <v>1</v>
      </c>
      <c r="CV84" s="348">
        <f t="shared" si="148"/>
        <v>1</v>
      </c>
      <c r="CW84" s="367">
        <f t="shared" si="144"/>
        <v>127.65</v>
      </c>
      <c r="CX84" s="367">
        <f t="shared" si="145"/>
        <v>62.61</v>
      </c>
      <c r="CY84" s="367">
        <f t="shared" si="146"/>
        <v>252.75</v>
      </c>
      <c r="CZ84" s="380">
        <f t="shared" si="147"/>
        <v>141.72999999999999</v>
      </c>
      <c r="DA84"/>
      <c r="DB84" s="391">
        <v>81</v>
      </c>
      <c r="DC84" s="59">
        <v>291012.96999999997</v>
      </c>
      <c r="DD84" s="59">
        <v>214440.19</v>
      </c>
      <c r="DE84" s="59">
        <v>258319.42</v>
      </c>
      <c r="DF84" s="59">
        <v>190349.13</v>
      </c>
      <c r="DG84" s="59">
        <v>228720.32</v>
      </c>
      <c r="DH84" s="59">
        <v>168538.29</v>
      </c>
      <c r="DI84" s="137">
        <v>1045148.62</v>
      </c>
      <c r="DJ84" s="137">
        <v>883319.67</v>
      </c>
      <c r="DK84" s="138">
        <v>798265.81</v>
      </c>
      <c r="DL84" s="138">
        <v>660890.99</v>
      </c>
      <c r="DM84" s="137">
        <v>535434.35</v>
      </c>
      <c r="DN84" s="139">
        <v>450531.32</v>
      </c>
      <c r="DP84" s="384" t="s">
        <v>209</v>
      </c>
      <c r="DQ84" s="389">
        <v>7462.1</v>
      </c>
      <c r="DR84" s="389">
        <v>9504.91</v>
      </c>
    </row>
    <row r="85" spans="1:122">
      <c r="A85" s="178">
        <v>49</v>
      </c>
      <c r="B85" s="173">
        <f ca="1">RESUMEN!J52</f>
        <v>0</v>
      </c>
      <c r="C85" s="173">
        <f ca="1">+RESUMEN!K52</f>
        <v>0</v>
      </c>
      <c r="D85" s="174">
        <f t="shared" ca="1" si="174"/>
        <v>0</v>
      </c>
      <c r="E85" s="91"/>
      <c r="F85" s="91"/>
      <c r="G85" s="91"/>
      <c r="H85" s="165"/>
      <c r="I85" s="353"/>
      <c r="J85" s="164">
        <v>82</v>
      </c>
      <c r="K85" s="59">
        <f t="shared" si="132"/>
        <v>294955.46000000002</v>
      </c>
      <c r="L85" s="59">
        <f t="shared" si="133"/>
        <v>221511</v>
      </c>
      <c r="M85" s="59">
        <f t="shared" si="134"/>
        <v>261818.99</v>
      </c>
      <c r="N85" s="59">
        <f t="shared" si="135"/>
        <v>196625.58</v>
      </c>
      <c r="O85" s="59">
        <f t="shared" si="136"/>
        <v>231818.9</v>
      </c>
      <c r="P85" s="59">
        <f t="shared" si="137"/>
        <v>174095.56</v>
      </c>
      <c r="Q85" s="136">
        <f t="shared" si="149"/>
        <v>1107319.3799999999</v>
      </c>
      <c r="R85" s="136">
        <f t="shared" si="150"/>
        <v>918210.8</v>
      </c>
      <c r="S85" s="136">
        <f t="shared" si="151"/>
        <v>844965.15</v>
      </c>
      <c r="T85" s="136">
        <f t="shared" si="152"/>
        <v>705201.03</v>
      </c>
      <c r="U85" s="136">
        <f t="shared" si="153"/>
        <v>566070.06000000006</v>
      </c>
      <c r="V85" s="136">
        <f t="shared" si="154"/>
        <v>480240.92</v>
      </c>
      <c r="W85" s="92"/>
      <c r="X85" s="137">
        <f t="shared" si="138"/>
        <v>1107319.3799999999</v>
      </c>
      <c r="Y85" s="137">
        <f t="shared" si="139"/>
        <v>918210.8</v>
      </c>
      <c r="Z85" s="136">
        <f t="shared" si="175"/>
        <v>1154934.1133399997</v>
      </c>
      <c r="AA85" s="136">
        <f t="shared" si="176"/>
        <v>957693.86439999996</v>
      </c>
      <c r="AB85" s="136">
        <f t="shared" si="177"/>
        <v>1240197.7056</v>
      </c>
      <c r="AC85" s="136">
        <f t="shared" si="178"/>
        <v>1028396.0960000001</v>
      </c>
      <c r="AD85" s="138">
        <f t="shared" si="140"/>
        <v>844965.15</v>
      </c>
      <c r="AE85" s="138">
        <f t="shared" si="141"/>
        <v>705201.03</v>
      </c>
      <c r="AF85" s="136">
        <f t="shared" si="179"/>
        <v>881298.65145</v>
      </c>
      <c r="AG85" s="136">
        <f t="shared" si="180"/>
        <v>735524.67429</v>
      </c>
      <c r="AH85" s="136">
        <f t="shared" si="181"/>
        <v>946360.96800000011</v>
      </c>
      <c r="AI85" s="136">
        <f t="shared" si="182"/>
        <v>789825.15360000008</v>
      </c>
      <c r="AJ85" s="137">
        <f t="shared" si="142"/>
        <v>566070.06000000006</v>
      </c>
      <c r="AK85" s="137">
        <f t="shared" si="143"/>
        <v>480240.92</v>
      </c>
      <c r="AL85" s="136">
        <f t="shared" si="183"/>
        <v>590411.07258000004</v>
      </c>
      <c r="AM85" s="136">
        <f t="shared" si="184"/>
        <v>500891.27955999994</v>
      </c>
      <c r="AN85" s="136">
        <f t="shared" si="185"/>
        <v>633998.46720000007</v>
      </c>
      <c r="AO85" s="136">
        <f t="shared" si="186"/>
        <v>537869.83039999998</v>
      </c>
      <c r="AP85" s="92"/>
      <c r="AQ85" s="140">
        <v>82</v>
      </c>
      <c r="AR85" s="141">
        <f ca="1">+RESUMEN!F85</f>
        <v>0</v>
      </c>
      <c r="AS85" s="141">
        <f ca="1">+RESUMEN!G85</f>
        <v>0</v>
      </c>
      <c r="AT85" s="142">
        <f t="shared" ca="1" si="155"/>
        <v>0</v>
      </c>
      <c r="AU85" s="143">
        <f t="shared" si="187"/>
        <v>0</v>
      </c>
      <c r="AV85" s="143">
        <f t="shared" si="188"/>
        <v>0</v>
      </c>
      <c r="AW85" s="143">
        <f t="shared" si="189"/>
        <v>0</v>
      </c>
      <c r="AX85" s="143">
        <f t="shared" si="190"/>
        <v>0</v>
      </c>
      <c r="AY85" s="143">
        <f t="shared" ca="1" si="191"/>
        <v>0</v>
      </c>
      <c r="AZ85" s="142"/>
      <c r="BA85" s="143">
        <f t="shared" ca="1" si="156"/>
        <v>0</v>
      </c>
      <c r="BB85" s="143">
        <f t="shared" ca="1" si="157"/>
        <v>0</v>
      </c>
      <c r="BC85" s="144"/>
      <c r="BD85" s="145">
        <f t="shared" ca="1" si="192"/>
        <v>0</v>
      </c>
      <c r="BE85" s="145">
        <f t="shared" ca="1" si="108"/>
        <v>0</v>
      </c>
      <c r="BF85" s="146" t="str">
        <f t="shared" ca="1" si="158"/>
        <v/>
      </c>
      <c r="BG85" s="92"/>
      <c r="BH85" s="95">
        <f t="shared" ca="1" si="159"/>
        <v>0</v>
      </c>
      <c r="BI85" s="95">
        <f t="shared" ca="1" si="160"/>
        <v>0</v>
      </c>
      <c r="BJ85" s="144"/>
      <c r="BK85" s="147">
        <f t="shared" ca="1" si="193"/>
        <v>0</v>
      </c>
      <c r="BL85" s="147">
        <f t="shared" ca="1" si="110"/>
        <v>0</v>
      </c>
      <c r="BM85" s="148" t="str">
        <f t="shared" ca="1" si="161"/>
        <v/>
      </c>
      <c r="BN85" s="92"/>
      <c r="BO85" s="149">
        <f t="shared" ca="1" si="162"/>
        <v>0</v>
      </c>
      <c r="BP85" s="149">
        <f t="shared" ca="1" si="163"/>
        <v>0</v>
      </c>
      <c r="BQ85" s="144"/>
      <c r="BR85" s="150">
        <f t="shared" ca="1" si="194"/>
        <v>0</v>
      </c>
      <c r="BS85" s="150">
        <f t="shared" ca="1" si="109"/>
        <v>0</v>
      </c>
      <c r="BT85" s="151" t="str">
        <f t="shared" ca="1" si="164"/>
        <v/>
      </c>
      <c r="BU85" s="92"/>
      <c r="BV85" s="152">
        <f t="shared" ca="1" si="165"/>
        <v>0</v>
      </c>
      <c r="BW85" s="152">
        <f t="shared" ca="1" si="166"/>
        <v>0</v>
      </c>
      <c r="BX85" s="144"/>
      <c r="BY85" s="153">
        <f t="shared" ca="1" si="195"/>
        <v>0</v>
      </c>
      <c r="BZ85" s="153">
        <f t="shared" ca="1" si="111"/>
        <v>0</v>
      </c>
      <c r="CA85" s="154" t="str">
        <f t="shared" ca="1" si="167"/>
        <v/>
      </c>
      <c r="CB85" s="92"/>
      <c r="CC85" s="155">
        <f t="shared" ca="1" si="168"/>
        <v>0</v>
      </c>
      <c r="CD85" s="155">
        <f t="shared" ca="1" si="169"/>
        <v>0</v>
      </c>
      <c r="CE85" s="144"/>
      <c r="CF85" s="156">
        <f t="shared" ca="1" si="196"/>
        <v>0</v>
      </c>
      <c r="CG85" s="156">
        <f t="shared" ca="1" si="112"/>
        <v>0</v>
      </c>
      <c r="CH85" s="157" t="str">
        <f t="shared" ca="1" si="170"/>
        <v/>
      </c>
      <c r="CI85" s="92"/>
      <c r="CJ85" s="158">
        <f t="shared" ca="1" si="171"/>
        <v>0</v>
      </c>
      <c r="CK85" s="158">
        <f t="shared" ca="1" si="172"/>
        <v>0</v>
      </c>
      <c r="CL85" s="144"/>
      <c r="CM85" s="159">
        <f t="shared" ca="1" si="197"/>
        <v>0</v>
      </c>
      <c r="CN85" s="159">
        <f t="shared" ca="1" si="113"/>
        <v>0</v>
      </c>
      <c r="CO85" s="160" t="str">
        <f t="shared" ca="1" si="173"/>
        <v/>
      </c>
      <c r="CP85" s="92"/>
      <c r="CQ85" s="140">
        <v>82</v>
      </c>
      <c r="CR85" s="330">
        <v>0.12</v>
      </c>
      <c r="CS85" s="92">
        <f t="shared" si="198"/>
        <v>0</v>
      </c>
      <c r="CT85" s="335">
        <f t="shared" si="199"/>
        <v>0.12</v>
      </c>
      <c r="CU85" s="92">
        <f t="shared" si="200"/>
        <v>1</v>
      </c>
      <c r="CV85" s="348">
        <f t="shared" si="148"/>
        <v>1</v>
      </c>
      <c r="CW85" s="367">
        <f t="shared" si="144"/>
        <v>127.65</v>
      </c>
      <c r="CX85" s="367">
        <f t="shared" si="145"/>
        <v>62.61</v>
      </c>
      <c r="CY85" s="367">
        <f t="shared" si="146"/>
        <v>252.75</v>
      </c>
      <c r="CZ85" s="380">
        <f t="shared" si="147"/>
        <v>141.72999999999999</v>
      </c>
      <c r="DA85"/>
      <c r="DB85" s="391">
        <v>82</v>
      </c>
      <c r="DC85" s="59">
        <v>294955.46000000002</v>
      </c>
      <c r="DD85" s="59">
        <v>221511</v>
      </c>
      <c r="DE85" s="59">
        <v>261818.99</v>
      </c>
      <c r="DF85" s="59">
        <v>196625.58</v>
      </c>
      <c r="DG85" s="59">
        <v>231818.9</v>
      </c>
      <c r="DH85" s="59">
        <v>174095.56</v>
      </c>
      <c r="DI85" s="137">
        <v>1107319.3799999999</v>
      </c>
      <c r="DJ85" s="137">
        <v>918210.8</v>
      </c>
      <c r="DK85" s="138">
        <v>844965.15</v>
      </c>
      <c r="DL85" s="138">
        <v>705201.03</v>
      </c>
      <c r="DM85" s="137">
        <v>566070.06000000006</v>
      </c>
      <c r="DN85" s="139">
        <v>480240.92</v>
      </c>
      <c r="DP85" s="384" t="s">
        <v>210</v>
      </c>
      <c r="DQ85" s="389">
        <v>7462.1</v>
      </c>
      <c r="DR85" s="389">
        <v>9504.91</v>
      </c>
    </row>
    <row r="86" spans="1:122">
      <c r="A86" s="178">
        <v>50</v>
      </c>
      <c r="B86" s="173">
        <f ca="1">RESUMEN!J53</f>
        <v>0</v>
      </c>
      <c r="C86" s="173">
        <f ca="1">+RESUMEN!K53</f>
        <v>0</v>
      </c>
      <c r="D86" s="174">
        <f t="shared" ca="1" si="174"/>
        <v>0</v>
      </c>
      <c r="E86" s="91"/>
      <c r="F86" s="91"/>
      <c r="G86" s="91"/>
      <c r="H86" s="165"/>
      <c r="I86" s="353"/>
      <c r="J86" s="164">
        <v>83</v>
      </c>
      <c r="K86" s="59">
        <f t="shared" si="132"/>
        <v>311425.25</v>
      </c>
      <c r="L86" s="59">
        <f t="shared" si="133"/>
        <v>227481.94</v>
      </c>
      <c r="M86" s="59">
        <f t="shared" si="134"/>
        <v>276438.5</v>
      </c>
      <c r="N86" s="59">
        <f t="shared" si="135"/>
        <v>201925.72</v>
      </c>
      <c r="O86" s="59">
        <f t="shared" si="136"/>
        <v>244763.26</v>
      </c>
      <c r="P86" s="59">
        <f t="shared" si="137"/>
        <v>178788.4</v>
      </c>
      <c r="Q86" s="136">
        <f t="shared" si="149"/>
        <v>1170159.53</v>
      </c>
      <c r="R86" s="136">
        <f t="shared" si="150"/>
        <v>972660.7</v>
      </c>
      <c r="S86" s="136">
        <f t="shared" si="151"/>
        <v>894772.01</v>
      </c>
      <c r="T86" s="136">
        <f t="shared" si="152"/>
        <v>741919.47</v>
      </c>
      <c r="U86" s="136">
        <f t="shared" si="153"/>
        <v>598513.9</v>
      </c>
      <c r="V86" s="136">
        <f t="shared" si="154"/>
        <v>498478.08000000002</v>
      </c>
      <c r="W86" s="92"/>
      <c r="X86" s="137">
        <f t="shared" si="138"/>
        <v>1170159.53</v>
      </c>
      <c r="Y86" s="137">
        <f t="shared" si="139"/>
        <v>972660.7</v>
      </c>
      <c r="Z86" s="136">
        <f t="shared" si="175"/>
        <v>1220476.3897899999</v>
      </c>
      <c r="AA86" s="136">
        <f t="shared" si="176"/>
        <v>1014485.1100999999</v>
      </c>
      <c r="AB86" s="136">
        <f t="shared" si="177"/>
        <v>1310578.6736000001</v>
      </c>
      <c r="AC86" s="136">
        <f t="shared" si="178"/>
        <v>1089379.9839999999</v>
      </c>
      <c r="AD86" s="138">
        <f t="shared" si="140"/>
        <v>894772.01</v>
      </c>
      <c r="AE86" s="138">
        <f t="shared" si="141"/>
        <v>741919.47</v>
      </c>
      <c r="AF86" s="136">
        <f t="shared" si="179"/>
        <v>933247.2064299999</v>
      </c>
      <c r="AG86" s="136">
        <f t="shared" si="180"/>
        <v>773822.00720999995</v>
      </c>
      <c r="AH86" s="136">
        <f t="shared" si="181"/>
        <v>1002144.6512000001</v>
      </c>
      <c r="AI86" s="136">
        <f t="shared" si="182"/>
        <v>830949.8064</v>
      </c>
      <c r="AJ86" s="137">
        <f t="shared" si="142"/>
        <v>598513.9</v>
      </c>
      <c r="AK86" s="137">
        <f t="shared" si="143"/>
        <v>498478.08000000002</v>
      </c>
      <c r="AL86" s="136">
        <f t="shared" si="183"/>
        <v>624249.99769999995</v>
      </c>
      <c r="AM86" s="136">
        <f t="shared" si="184"/>
        <v>519912.63743999996</v>
      </c>
      <c r="AN86" s="136">
        <f t="shared" si="185"/>
        <v>670335.56800000009</v>
      </c>
      <c r="AO86" s="136">
        <f t="shared" si="186"/>
        <v>558295.44960000005</v>
      </c>
      <c r="AP86" s="92"/>
      <c r="AQ86" s="140">
        <v>83</v>
      </c>
      <c r="AR86" s="141">
        <f ca="1">+RESUMEN!F86</f>
        <v>0</v>
      </c>
      <c r="AS86" s="141">
        <f ca="1">+RESUMEN!G86</f>
        <v>0</v>
      </c>
      <c r="AT86" s="142">
        <f t="shared" ca="1" si="155"/>
        <v>0</v>
      </c>
      <c r="AU86" s="143">
        <f t="shared" si="187"/>
        <v>0</v>
      </c>
      <c r="AV86" s="143">
        <f t="shared" si="188"/>
        <v>0</v>
      </c>
      <c r="AW86" s="143">
        <f t="shared" si="189"/>
        <v>0</v>
      </c>
      <c r="AX86" s="143">
        <f t="shared" si="190"/>
        <v>0</v>
      </c>
      <c r="AY86" s="143">
        <f t="shared" ca="1" si="191"/>
        <v>0</v>
      </c>
      <c r="AZ86" s="142"/>
      <c r="BA86" s="143">
        <f t="shared" ca="1" si="156"/>
        <v>0</v>
      </c>
      <c r="BB86" s="143">
        <f t="shared" ca="1" si="157"/>
        <v>0</v>
      </c>
      <c r="BC86" s="144"/>
      <c r="BD86" s="145">
        <f t="shared" ca="1" si="192"/>
        <v>0</v>
      </c>
      <c r="BE86" s="145">
        <f t="shared" ca="1" si="108"/>
        <v>0</v>
      </c>
      <c r="BF86" s="146" t="str">
        <f t="shared" ca="1" si="158"/>
        <v/>
      </c>
      <c r="BG86" s="92"/>
      <c r="BH86" s="95">
        <f t="shared" ca="1" si="159"/>
        <v>0</v>
      </c>
      <c r="BI86" s="95">
        <f t="shared" ca="1" si="160"/>
        <v>0</v>
      </c>
      <c r="BJ86" s="144"/>
      <c r="BK86" s="147">
        <f t="shared" ca="1" si="193"/>
        <v>0</v>
      </c>
      <c r="BL86" s="147">
        <f t="shared" ca="1" si="110"/>
        <v>0</v>
      </c>
      <c r="BM86" s="148" t="str">
        <f t="shared" ca="1" si="161"/>
        <v/>
      </c>
      <c r="BN86" s="92"/>
      <c r="BO86" s="149">
        <f t="shared" ca="1" si="162"/>
        <v>0</v>
      </c>
      <c r="BP86" s="149">
        <f t="shared" ca="1" si="163"/>
        <v>0</v>
      </c>
      <c r="BQ86" s="144"/>
      <c r="BR86" s="150">
        <f t="shared" ca="1" si="194"/>
        <v>0</v>
      </c>
      <c r="BS86" s="150">
        <f t="shared" ca="1" si="109"/>
        <v>0</v>
      </c>
      <c r="BT86" s="151" t="str">
        <f t="shared" ca="1" si="164"/>
        <v/>
      </c>
      <c r="BU86" s="92"/>
      <c r="BV86" s="152">
        <f t="shared" ca="1" si="165"/>
        <v>0</v>
      </c>
      <c r="BW86" s="152">
        <f t="shared" ca="1" si="166"/>
        <v>0</v>
      </c>
      <c r="BX86" s="144"/>
      <c r="BY86" s="153">
        <f t="shared" ca="1" si="195"/>
        <v>0</v>
      </c>
      <c r="BZ86" s="153">
        <f t="shared" ca="1" si="111"/>
        <v>0</v>
      </c>
      <c r="CA86" s="154" t="str">
        <f t="shared" ca="1" si="167"/>
        <v/>
      </c>
      <c r="CB86" s="92"/>
      <c r="CC86" s="155">
        <f t="shared" ca="1" si="168"/>
        <v>0</v>
      </c>
      <c r="CD86" s="155">
        <f t="shared" ca="1" si="169"/>
        <v>0</v>
      </c>
      <c r="CE86" s="144"/>
      <c r="CF86" s="156">
        <f t="shared" ca="1" si="196"/>
        <v>0</v>
      </c>
      <c r="CG86" s="156">
        <f t="shared" ca="1" si="112"/>
        <v>0</v>
      </c>
      <c r="CH86" s="157" t="str">
        <f t="shared" ca="1" si="170"/>
        <v/>
      </c>
      <c r="CI86" s="92"/>
      <c r="CJ86" s="158">
        <f t="shared" ca="1" si="171"/>
        <v>0</v>
      </c>
      <c r="CK86" s="158">
        <f t="shared" ca="1" si="172"/>
        <v>0</v>
      </c>
      <c r="CL86" s="144"/>
      <c r="CM86" s="159">
        <f t="shared" ca="1" si="197"/>
        <v>0</v>
      </c>
      <c r="CN86" s="159">
        <f t="shared" ca="1" si="113"/>
        <v>0</v>
      </c>
      <c r="CO86" s="160" t="str">
        <f t="shared" ca="1" si="173"/>
        <v/>
      </c>
      <c r="CP86" s="92"/>
      <c r="CQ86" s="140">
        <v>83</v>
      </c>
      <c r="CR86" s="330">
        <v>0.12</v>
      </c>
      <c r="CS86" s="92">
        <f t="shared" si="198"/>
        <v>0</v>
      </c>
      <c r="CT86" s="335">
        <f t="shared" si="199"/>
        <v>0.12</v>
      </c>
      <c r="CU86" s="92">
        <f t="shared" si="200"/>
        <v>1</v>
      </c>
      <c r="CV86" s="348">
        <f t="shared" si="148"/>
        <v>1</v>
      </c>
      <c r="CW86" s="367">
        <f t="shared" si="144"/>
        <v>127.65</v>
      </c>
      <c r="CX86" s="367">
        <f t="shared" si="145"/>
        <v>62.61</v>
      </c>
      <c r="CY86" s="367">
        <f t="shared" si="146"/>
        <v>252.75</v>
      </c>
      <c r="CZ86" s="380">
        <f t="shared" si="147"/>
        <v>141.72999999999999</v>
      </c>
      <c r="DA86"/>
      <c r="DB86" s="391">
        <v>83</v>
      </c>
      <c r="DC86" s="59">
        <v>311425.25</v>
      </c>
      <c r="DD86" s="59">
        <v>227481.94</v>
      </c>
      <c r="DE86" s="59">
        <v>276438.5</v>
      </c>
      <c r="DF86" s="59">
        <v>201925.72</v>
      </c>
      <c r="DG86" s="59">
        <v>244763.26</v>
      </c>
      <c r="DH86" s="59">
        <v>178788.4</v>
      </c>
      <c r="DI86" s="137">
        <v>1170159.53</v>
      </c>
      <c r="DJ86" s="137">
        <v>972660.7</v>
      </c>
      <c r="DK86" s="138">
        <v>894772.01</v>
      </c>
      <c r="DL86" s="138">
        <v>741919.47</v>
      </c>
      <c r="DM86" s="137">
        <v>598513.9</v>
      </c>
      <c r="DN86" s="139">
        <v>498478.08000000002</v>
      </c>
      <c r="DP86" s="384" t="s">
        <v>211</v>
      </c>
      <c r="DQ86" s="389">
        <v>7462.1</v>
      </c>
      <c r="DR86" s="389">
        <v>9504.91</v>
      </c>
    </row>
    <row r="87" spans="1:122">
      <c r="A87" s="178">
        <v>51</v>
      </c>
      <c r="B87" s="173">
        <f ca="1">RESUMEN!J54</f>
        <v>0</v>
      </c>
      <c r="C87" s="173">
        <f ca="1">+RESUMEN!K54</f>
        <v>0</v>
      </c>
      <c r="D87" s="174">
        <f t="shared" ca="1" si="174"/>
        <v>0</v>
      </c>
      <c r="E87" s="91"/>
      <c r="F87" s="91"/>
      <c r="G87" s="91"/>
      <c r="H87" s="165"/>
      <c r="I87" s="353"/>
      <c r="J87" s="164">
        <v>84</v>
      </c>
      <c r="K87" s="59">
        <f t="shared" si="132"/>
        <v>328773.78000000003</v>
      </c>
      <c r="L87" s="59">
        <f t="shared" si="133"/>
        <v>233747.88</v>
      </c>
      <c r="M87" s="59">
        <f t="shared" si="134"/>
        <v>291838.03000000003</v>
      </c>
      <c r="N87" s="59">
        <f t="shared" si="135"/>
        <v>207487.72</v>
      </c>
      <c r="O87" s="59">
        <f t="shared" si="136"/>
        <v>258398.26</v>
      </c>
      <c r="P87" s="59">
        <f t="shared" si="137"/>
        <v>183713.08</v>
      </c>
      <c r="Q87" s="136">
        <f t="shared" si="149"/>
        <v>1233001.25</v>
      </c>
      <c r="R87" s="136">
        <f t="shared" si="150"/>
        <v>1057704.68</v>
      </c>
      <c r="S87" s="136">
        <f t="shared" si="151"/>
        <v>926116.48</v>
      </c>
      <c r="T87" s="136">
        <f t="shared" si="152"/>
        <v>782910.94</v>
      </c>
      <c r="U87" s="136">
        <f t="shared" si="153"/>
        <v>648511.32999999996</v>
      </c>
      <c r="V87" s="136">
        <f t="shared" si="154"/>
        <v>540033.41</v>
      </c>
      <c r="W87" s="92"/>
      <c r="X87" s="137">
        <f t="shared" si="138"/>
        <v>1233001.25</v>
      </c>
      <c r="Y87" s="137">
        <f t="shared" si="139"/>
        <v>1057704.68</v>
      </c>
      <c r="Z87" s="136">
        <f t="shared" si="175"/>
        <v>1286020.30375</v>
      </c>
      <c r="AA87" s="136">
        <f t="shared" si="176"/>
        <v>1103185.9812399999</v>
      </c>
      <c r="AB87" s="136">
        <f t="shared" si="177"/>
        <v>1380961.4000000001</v>
      </c>
      <c r="AC87" s="136">
        <f t="shared" si="178"/>
        <v>1184629.2416000001</v>
      </c>
      <c r="AD87" s="138">
        <f t="shared" si="140"/>
        <v>926116.48</v>
      </c>
      <c r="AE87" s="138">
        <f t="shared" si="141"/>
        <v>782910.94</v>
      </c>
      <c r="AF87" s="136">
        <f t="shared" si="179"/>
        <v>965939.48863999988</v>
      </c>
      <c r="AG87" s="136">
        <f t="shared" si="180"/>
        <v>816576.11041999992</v>
      </c>
      <c r="AH87" s="136">
        <f t="shared" si="181"/>
        <v>1037250.4576000001</v>
      </c>
      <c r="AI87" s="136">
        <f t="shared" si="182"/>
        <v>876860.25280000002</v>
      </c>
      <c r="AJ87" s="137">
        <f t="shared" si="142"/>
        <v>648511.32999999996</v>
      </c>
      <c r="AK87" s="137">
        <f t="shared" si="143"/>
        <v>540033.41</v>
      </c>
      <c r="AL87" s="136">
        <f t="shared" si="183"/>
        <v>676397.31718999986</v>
      </c>
      <c r="AM87" s="136">
        <f t="shared" si="184"/>
        <v>563254.84663000004</v>
      </c>
      <c r="AN87" s="136">
        <f t="shared" si="185"/>
        <v>726332.68960000004</v>
      </c>
      <c r="AO87" s="136">
        <f t="shared" si="186"/>
        <v>604837.41920000012</v>
      </c>
      <c r="AP87" s="92"/>
      <c r="AQ87" s="140">
        <v>84</v>
      </c>
      <c r="AR87" s="141">
        <f ca="1">+RESUMEN!F87</f>
        <v>0</v>
      </c>
      <c r="AS87" s="141">
        <f ca="1">+RESUMEN!G87</f>
        <v>0</v>
      </c>
      <c r="AT87" s="142">
        <f t="shared" ca="1" si="155"/>
        <v>0</v>
      </c>
      <c r="AU87" s="143">
        <f t="shared" si="187"/>
        <v>0</v>
      </c>
      <c r="AV87" s="143">
        <f t="shared" si="188"/>
        <v>0</v>
      </c>
      <c r="AW87" s="143">
        <f t="shared" si="189"/>
        <v>0</v>
      </c>
      <c r="AX87" s="143">
        <f t="shared" si="190"/>
        <v>0</v>
      </c>
      <c r="AY87" s="143">
        <f t="shared" ca="1" si="191"/>
        <v>0</v>
      </c>
      <c r="AZ87" s="142"/>
      <c r="BA87" s="143">
        <f t="shared" ca="1" si="156"/>
        <v>0</v>
      </c>
      <c r="BB87" s="143">
        <f t="shared" ca="1" si="157"/>
        <v>0</v>
      </c>
      <c r="BC87" s="144"/>
      <c r="BD87" s="145">
        <f t="shared" ca="1" si="192"/>
        <v>0</v>
      </c>
      <c r="BE87" s="145">
        <f t="shared" ca="1" si="108"/>
        <v>0</v>
      </c>
      <c r="BF87" s="146" t="str">
        <f t="shared" ca="1" si="158"/>
        <v/>
      </c>
      <c r="BG87" s="92"/>
      <c r="BH87" s="95">
        <f t="shared" ca="1" si="159"/>
        <v>0</v>
      </c>
      <c r="BI87" s="95">
        <f t="shared" ca="1" si="160"/>
        <v>0</v>
      </c>
      <c r="BJ87" s="144"/>
      <c r="BK87" s="147">
        <f t="shared" ca="1" si="193"/>
        <v>0</v>
      </c>
      <c r="BL87" s="147">
        <f t="shared" ca="1" si="110"/>
        <v>0</v>
      </c>
      <c r="BM87" s="148" t="str">
        <f t="shared" ca="1" si="161"/>
        <v/>
      </c>
      <c r="BN87" s="92"/>
      <c r="BO87" s="149">
        <f t="shared" ca="1" si="162"/>
        <v>0</v>
      </c>
      <c r="BP87" s="149">
        <f t="shared" ca="1" si="163"/>
        <v>0</v>
      </c>
      <c r="BQ87" s="144"/>
      <c r="BR87" s="150">
        <f t="shared" ca="1" si="194"/>
        <v>0</v>
      </c>
      <c r="BS87" s="150">
        <f t="shared" ca="1" si="109"/>
        <v>0</v>
      </c>
      <c r="BT87" s="151" t="str">
        <f t="shared" ca="1" si="164"/>
        <v/>
      </c>
      <c r="BU87" s="92"/>
      <c r="BV87" s="152">
        <f t="shared" ca="1" si="165"/>
        <v>0</v>
      </c>
      <c r="BW87" s="152">
        <f t="shared" ca="1" si="166"/>
        <v>0</v>
      </c>
      <c r="BX87" s="144"/>
      <c r="BY87" s="153">
        <f t="shared" ca="1" si="195"/>
        <v>0</v>
      </c>
      <c r="BZ87" s="153">
        <f t="shared" ca="1" si="111"/>
        <v>0</v>
      </c>
      <c r="CA87" s="154" t="str">
        <f t="shared" ca="1" si="167"/>
        <v/>
      </c>
      <c r="CB87" s="92"/>
      <c r="CC87" s="155">
        <f t="shared" ca="1" si="168"/>
        <v>0</v>
      </c>
      <c r="CD87" s="155">
        <f t="shared" ca="1" si="169"/>
        <v>0</v>
      </c>
      <c r="CE87" s="144"/>
      <c r="CF87" s="156">
        <f t="shared" ca="1" si="196"/>
        <v>0</v>
      </c>
      <c r="CG87" s="156">
        <f t="shared" ca="1" si="112"/>
        <v>0</v>
      </c>
      <c r="CH87" s="157" t="str">
        <f t="shared" ca="1" si="170"/>
        <v/>
      </c>
      <c r="CI87" s="92"/>
      <c r="CJ87" s="158">
        <f t="shared" ca="1" si="171"/>
        <v>0</v>
      </c>
      <c r="CK87" s="158">
        <f t="shared" ca="1" si="172"/>
        <v>0</v>
      </c>
      <c r="CL87" s="144"/>
      <c r="CM87" s="159">
        <f t="shared" ca="1" si="197"/>
        <v>0</v>
      </c>
      <c r="CN87" s="159">
        <f t="shared" ca="1" si="113"/>
        <v>0</v>
      </c>
      <c r="CO87" s="160" t="str">
        <f t="shared" ca="1" si="173"/>
        <v/>
      </c>
      <c r="CP87" s="92"/>
      <c r="CQ87" s="140">
        <v>84</v>
      </c>
      <c r="CR87" s="330">
        <v>0.12</v>
      </c>
      <c r="CS87" s="92">
        <f t="shared" si="198"/>
        <v>0</v>
      </c>
      <c r="CT87" s="335">
        <f t="shared" si="199"/>
        <v>0.12</v>
      </c>
      <c r="CU87" s="92">
        <f t="shared" si="200"/>
        <v>1</v>
      </c>
      <c r="CV87" s="348">
        <f t="shared" si="148"/>
        <v>1</v>
      </c>
      <c r="CW87" s="367">
        <f t="shared" si="144"/>
        <v>127.65</v>
      </c>
      <c r="CX87" s="367">
        <f t="shared" si="145"/>
        <v>62.61</v>
      </c>
      <c r="CY87" s="367">
        <f t="shared" si="146"/>
        <v>252.75</v>
      </c>
      <c r="CZ87" s="380">
        <f t="shared" si="147"/>
        <v>141.72999999999999</v>
      </c>
      <c r="DA87"/>
      <c r="DB87" s="391">
        <v>84</v>
      </c>
      <c r="DC87" s="59">
        <v>328773.78000000003</v>
      </c>
      <c r="DD87" s="59">
        <v>233747.88</v>
      </c>
      <c r="DE87" s="59">
        <v>291838.03000000003</v>
      </c>
      <c r="DF87" s="59">
        <v>207487.72</v>
      </c>
      <c r="DG87" s="59">
        <v>258398.26</v>
      </c>
      <c r="DH87" s="59">
        <v>183713.08</v>
      </c>
      <c r="DI87" s="137">
        <v>1233001.25</v>
      </c>
      <c r="DJ87" s="137">
        <v>1057704.68</v>
      </c>
      <c r="DK87" s="138">
        <v>926116.48</v>
      </c>
      <c r="DL87" s="138">
        <v>782910.94</v>
      </c>
      <c r="DM87" s="137">
        <v>648511.32999999996</v>
      </c>
      <c r="DN87" s="139">
        <v>540033.41</v>
      </c>
      <c r="DP87" s="384" t="s">
        <v>212</v>
      </c>
      <c r="DQ87" s="389">
        <v>7462.1</v>
      </c>
      <c r="DR87" s="389">
        <v>9504.91</v>
      </c>
    </row>
    <row r="88" spans="1:122">
      <c r="A88" s="178">
        <v>52</v>
      </c>
      <c r="B88" s="173">
        <f ca="1">RESUMEN!J55</f>
        <v>0</v>
      </c>
      <c r="C88" s="173">
        <f ca="1">+RESUMEN!K55</f>
        <v>0</v>
      </c>
      <c r="D88" s="174">
        <f t="shared" ca="1" si="174"/>
        <v>0</v>
      </c>
      <c r="E88" s="91"/>
      <c r="F88" s="91"/>
      <c r="G88" s="91"/>
      <c r="H88" s="165"/>
      <c r="I88" s="353"/>
      <c r="J88" s="164">
        <v>85</v>
      </c>
      <c r="K88" s="59">
        <f t="shared" si="132"/>
        <v>354297.7</v>
      </c>
      <c r="L88" s="59">
        <f t="shared" si="133"/>
        <v>250917.85</v>
      </c>
      <c r="M88" s="59">
        <f t="shared" si="134"/>
        <v>314494.49</v>
      </c>
      <c r="N88" s="59">
        <f t="shared" si="135"/>
        <v>222728.74</v>
      </c>
      <c r="O88" s="59">
        <f t="shared" si="136"/>
        <v>278458.65999999997</v>
      </c>
      <c r="P88" s="59">
        <f t="shared" si="137"/>
        <v>197207.74</v>
      </c>
      <c r="Q88" s="136">
        <f t="shared" si="149"/>
        <v>1295066.49</v>
      </c>
      <c r="R88" s="136">
        <f t="shared" si="150"/>
        <v>1057704.68</v>
      </c>
      <c r="S88" s="136">
        <f t="shared" si="151"/>
        <v>926116.48</v>
      </c>
      <c r="T88" s="136">
        <f t="shared" si="152"/>
        <v>782910.94</v>
      </c>
      <c r="U88" s="136">
        <f t="shared" si="153"/>
        <v>660294.06000000006</v>
      </c>
      <c r="V88" s="136">
        <f t="shared" si="154"/>
        <v>540033.41</v>
      </c>
      <c r="W88" s="92"/>
      <c r="X88" s="137">
        <f t="shared" si="138"/>
        <v>1295066.49</v>
      </c>
      <c r="Y88" s="137">
        <f t="shared" si="139"/>
        <v>1057704.68</v>
      </c>
      <c r="Z88" s="136">
        <f t="shared" si="175"/>
        <v>1350754.34907</v>
      </c>
      <c r="AA88" s="136">
        <f t="shared" si="176"/>
        <v>1103185.9812399999</v>
      </c>
      <c r="AB88" s="136">
        <f t="shared" si="177"/>
        <v>1450474.4688000001</v>
      </c>
      <c r="AC88" s="136">
        <f t="shared" si="178"/>
        <v>1184629.2416000001</v>
      </c>
      <c r="AD88" s="138">
        <f t="shared" si="140"/>
        <v>926116.48</v>
      </c>
      <c r="AE88" s="138">
        <f t="shared" si="141"/>
        <v>782910.94</v>
      </c>
      <c r="AF88" s="136">
        <f t="shared" si="179"/>
        <v>965939.48863999988</v>
      </c>
      <c r="AG88" s="136">
        <f t="shared" si="180"/>
        <v>816576.11041999992</v>
      </c>
      <c r="AH88" s="136">
        <f t="shared" si="181"/>
        <v>1037250.4576000001</v>
      </c>
      <c r="AI88" s="136">
        <f t="shared" si="182"/>
        <v>876860.25280000002</v>
      </c>
      <c r="AJ88" s="137">
        <f t="shared" si="142"/>
        <v>660294.06000000006</v>
      </c>
      <c r="AK88" s="137">
        <f t="shared" si="143"/>
        <v>540033.41</v>
      </c>
      <c r="AL88" s="136">
        <f t="shared" si="183"/>
        <v>688686.70458000002</v>
      </c>
      <c r="AM88" s="136">
        <f t="shared" si="184"/>
        <v>563254.84663000004</v>
      </c>
      <c r="AN88" s="136">
        <f t="shared" si="185"/>
        <v>739529.34720000008</v>
      </c>
      <c r="AO88" s="136">
        <f t="shared" si="186"/>
        <v>604837.41920000012</v>
      </c>
      <c r="AP88" s="92"/>
      <c r="AQ88" s="140">
        <v>85</v>
      </c>
      <c r="AR88" s="141">
        <f ca="1">+RESUMEN!F88</f>
        <v>0</v>
      </c>
      <c r="AS88" s="141">
        <f ca="1">+RESUMEN!G88</f>
        <v>0</v>
      </c>
      <c r="AT88" s="142">
        <f t="shared" ca="1" si="155"/>
        <v>0</v>
      </c>
      <c r="AU88" s="143">
        <f t="shared" si="187"/>
        <v>0</v>
      </c>
      <c r="AV88" s="143">
        <f t="shared" si="188"/>
        <v>0</v>
      </c>
      <c r="AW88" s="143">
        <f t="shared" si="189"/>
        <v>0</v>
      </c>
      <c r="AX88" s="143">
        <f t="shared" si="190"/>
        <v>0</v>
      </c>
      <c r="AY88" s="143">
        <f t="shared" ca="1" si="191"/>
        <v>0</v>
      </c>
      <c r="AZ88" s="142"/>
      <c r="BA88" s="143">
        <f t="shared" ca="1" si="156"/>
        <v>0</v>
      </c>
      <c r="BB88" s="143">
        <f t="shared" ca="1" si="157"/>
        <v>0</v>
      </c>
      <c r="BC88" s="144"/>
      <c r="BD88" s="145">
        <f t="shared" ca="1" si="192"/>
        <v>0</v>
      </c>
      <c r="BE88" s="145">
        <f t="shared" ca="1" si="108"/>
        <v>0</v>
      </c>
      <c r="BF88" s="146" t="str">
        <f t="shared" ca="1" si="158"/>
        <v/>
      </c>
      <c r="BG88" s="92"/>
      <c r="BH88" s="95">
        <f t="shared" ca="1" si="159"/>
        <v>0</v>
      </c>
      <c r="BI88" s="95">
        <f t="shared" ca="1" si="160"/>
        <v>0</v>
      </c>
      <c r="BJ88" s="144"/>
      <c r="BK88" s="147">
        <f t="shared" ca="1" si="193"/>
        <v>0</v>
      </c>
      <c r="BL88" s="147">
        <f t="shared" ca="1" si="110"/>
        <v>0</v>
      </c>
      <c r="BM88" s="148" t="str">
        <f t="shared" ca="1" si="161"/>
        <v/>
      </c>
      <c r="BN88" s="92"/>
      <c r="BO88" s="149">
        <f t="shared" ca="1" si="162"/>
        <v>0</v>
      </c>
      <c r="BP88" s="149">
        <f t="shared" ca="1" si="163"/>
        <v>0</v>
      </c>
      <c r="BQ88" s="144"/>
      <c r="BR88" s="150">
        <f t="shared" ca="1" si="194"/>
        <v>0</v>
      </c>
      <c r="BS88" s="150">
        <f t="shared" ca="1" si="109"/>
        <v>0</v>
      </c>
      <c r="BT88" s="151" t="str">
        <f t="shared" ca="1" si="164"/>
        <v/>
      </c>
      <c r="BU88" s="92"/>
      <c r="BV88" s="152">
        <f t="shared" ca="1" si="165"/>
        <v>0</v>
      </c>
      <c r="BW88" s="152">
        <f t="shared" ca="1" si="166"/>
        <v>0</v>
      </c>
      <c r="BX88" s="144"/>
      <c r="BY88" s="153">
        <f t="shared" ca="1" si="195"/>
        <v>0</v>
      </c>
      <c r="BZ88" s="153">
        <f t="shared" ca="1" si="111"/>
        <v>0</v>
      </c>
      <c r="CA88" s="154" t="str">
        <f t="shared" ca="1" si="167"/>
        <v/>
      </c>
      <c r="CB88" s="92"/>
      <c r="CC88" s="155">
        <f t="shared" ca="1" si="168"/>
        <v>0</v>
      </c>
      <c r="CD88" s="155">
        <f t="shared" ca="1" si="169"/>
        <v>0</v>
      </c>
      <c r="CE88" s="144"/>
      <c r="CF88" s="156">
        <f t="shared" ca="1" si="196"/>
        <v>0</v>
      </c>
      <c r="CG88" s="156">
        <f t="shared" ca="1" si="112"/>
        <v>0</v>
      </c>
      <c r="CH88" s="157" t="str">
        <f t="shared" ca="1" si="170"/>
        <v/>
      </c>
      <c r="CI88" s="92"/>
      <c r="CJ88" s="158">
        <f t="shared" ca="1" si="171"/>
        <v>0</v>
      </c>
      <c r="CK88" s="158">
        <f t="shared" ca="1" si="172"/>
        <v>0</v>
      </c>
      <c r="CL88" s="144"/>
      <c r="CM88" s="159">
        <f t="shared" ca="1" si="197"/>
        <v>0</v>
      </c>
      <c r="CN88" s="159">
        <f t="shared" ca="1" si="113"/>
        <v>0</v>
      </c>
      <c r="CO88" s="160" t="str">
        <f t="shared" ca="1" si="173"/>
        <v/>
      </c>
      <c r="CP88" s="92"/>
      <c r="CQ88" s="140">
        <v>85</v>
      </c>
      <c r="CR88" s="330">
        <v>0.12</v>
      </c>
      <c r="CS88" s="92">
        <f t="shared" si="198"/>
        <v>0</v>
      </c>
      <c r="CT88" s="335">
        <f t="shared" si="199"/>
        <v>0.12</v>
      </c>
      <c r="CU88" s="92">
        <f t="shared" si="200"/>
        <v>1</v>
      </c>
      <c r="CV88" s="348">
        <f t="shared" si="148"/>
        <v>1</v>
      </c>
      <c r="CW88" s="367">
        <f t="shared" si="144"/>
        <v>127.65</v>
      </c>
      <c r="CX88" s="367">
        <f t="shared" si="145"/>
        <v>62.61</v>
      </c>
      <c r="CY88" s="367">
        <f t="shared" si="146"/>
        <v>252.75</v>
      </c>
      <c r="CZ88" s="380">
        <f t="shared" si="147"/>
        <v>141.72999999999999</v>
      </c>
      <c r="DA88"/>
      <c r="DB88" s="391">
        <v>85</v>
      </c>
      <c r="DC88" s="59">
        <v>354297.7</v>
      </c>
      <c r="DD88" s="59">
        <v>250917.85</v>
      </c>
      <c r="DE88" s="59">
        <v>314494.49</v>
      </c>
      <c r="DF88" s="59">
        <v>222728.74</v>
      </c>
      <c r="DG88" s="59">
        <v>278458.65999999997</v>
      </c>
      <c r="DH88" s="59">
        <v>197207.74</v>
      </c>
      <c r="DI88" s="137">
        <v>1295066.49</v>
      </c>
      <c r="DJ88" s="137">
        <v>1057704.68</v>
      </c>
      <c r="DK88" s="138">
        <v>926116.48</v>
      </c>
      <c r="DL88" s="138">
        <v>782910.94</v>
      </c>
      <c r="DM88" s="137">
        <v>660294.06000000006</v>
      </c>
      <c r="DN88" s="139">
        <v>540033.41</v>
      </c>
      <c r="DP88" s="384" t="s">
        <v>213</v>
      </c>
      <c r="DQ88" s="389">
        <v>7462.1</v>
      </c>
      <c r="DR88" s="389">
        <v>9504.91</v>
      </c>
    </row>
    <row r="89" spans="1:122">
      <c r="A89" s="178">
        <v>53</v>
      </c>
      <c r="B89" s="173">
        <f ca="1">RESUMEN!J56</f>
        <v>0</v>
      </c>
      <c r="C89" s="173">
        <f ca="1">+RESUMEN!K56</f>
        <v>0</v>
      </c>
      <c r="D89" s="174">
        <f t="shared" ca="1" si="174"/>
        <v>0</v>
      </c>
      <c r="E89" s="91"/>
      <c r="F89" s="91"/>
      <c r="G89" s="91"/>
      <c r="H89" s="165"/>
      <c r="I89" s="353"/>
      <c r="J89" s="164">
        <v>86</v>
      </c>
      <c r="K89" s="59">
        <f t="shared" si="132"/>
        <v>354297.7</v>
      </c>
      <c r="L89" s="59">
        <f t="shared" si="133"/>
        <v>250917.85</v>
      </c>
      <c r="M89" s="59">
        <f t="shared" si="134"/>
        <v>314494.49</v>
      </c>
      <c r="N89" s="59">
        <f t="shared" si="135"/>
        <v>222728.74</v>
      </c>
      <c r="O89" s="59">
        <f t="shared" si="136"/>
        <v>278458.65999999997</v>
      </c>
      <c r="P89" s="59">
        <f t="shared" si="137"/>
        <v>197207.74</v>
      </c>
      <c r="Q89" s="136">
        <f t="shared" si="149"/>
        <v>1295066.49</v>
      </c>
      <c r="R89" s="136">
        <f t="shared" si="150"/>
        <v>1057704.68</v>
      </c>
      <c r="S89" s="136">
        <f t="shared" si="151"/>
        <v>926116.48</v>
      </c>
      <c r="T89" s="136">
        <f t="shared" si="152"/>
        <v>782910.94</v>
      </c>
      <c r="U89" s="136">
        <f t="shared" si="153"/>
        <v>660294.06000000006</v>
      </c>
      <c r="V89" s="136">
        <f t="shared" si="154"/>
        <v>540033.41</v>
      </c>
      <c r="W89" s="92"/>
      <c r="X89" s="137">
        <f t="shared" si="138"/>
        <v>1295066.49</v>
      </c>
      <c r="Y89" s="137">
        <f t="shared" si="139"/>
        <v>1057704.68</v>
      </c>
      <c r="Z89" s="136">
        <f t="shared" si="175"/>
        <v>1350754.34907</v>
      </c>
      <c r="AA89" s="136">
        <f t="shared" si="176"/>
        <v>1103185.9812399999</v>
      </c>
      <c r="AB89" s="136">
        <f t="shared" si="177"/>
        <v>1450474.4688000001</v>
      </c>
      <c r="AC89" s="136">
        <f t="shared" si="178"/>
        <v>1184629.2416000001</v>
      </c>
      <c r="AD89" s="138">
        <f t="shared" si="140"/>
        <v>926116.48</v>
      </c>
      <c r="AE89" s="138">
        <f t="shared" si="141"/>
        <v>782910.94</v>
      </c>
      <c r="AF89" s="136">
        <f t="shared" si="179"/>
        <v>965939.48863999988</v>
      </c>
      <c r="AG89" s="136">
        <f t="shared" si="180"/>
        <v>816576.11041999992</v>
      </c>
      <c r="AH89" s="136">
        <f t="shared" si="181"/>
        <v>1037250.4576000001</v>
      </c>
      <c r="AI89" s="136">
        <f t="shared" si="182"/>
        <v>876860.25280000002</v>
      </c>
      <c r="AJ89" s="137">
        <f t="shared" si="142"/>
        <v>660294.06000000006</v>
      </c>
      <c r="AK89" s="137">
        <f t="shared" si="143"/>
        <v>540033.41</v>
      </c>
      <c r="AL89" s="136">
        <f t="shared" si="183"/>
        <v>688686.70458000002</v>
      </c>
      <c r="AM89" s="136">
        <f t="shared" si="184"/>
        <v>563254.84663000004</v>
      </c>
      <c r="AN89" s="136">
        <f t="shared" si="185"/>
        <v>739529.34720000008</v>
      </c>
      <c r="AO89" s="136">
        <f t="shared" si="186"/>
        <v>604837.41920000012</v>
      </c>
      <c r="AP89" s="92"/>
      <c r="AQ89" s="140">
        <v>86</v>
      </c>
      <c r="AR89" s="141">
        <f ca="1">+RESUMEN!F89</f>
        <v>0</v>
      </c>
      <c r="AS89" s="141">
        <f ca="1">+RESUMEN!G89</f>
        <v>0</v>
      </c>
      <c r="AT89" s="142">
        <f t="shared" ca="1" si="155"/>
        <v>0</v>
      </c>
      <c r="AU89" s="143">
        <f t="shared" si="187"/>
        <v>0</v>
      </c>
      <c r="AV89" s="143">
        <f t="shared" si="188"/>
        <v>0</v>
      </c>
      <c r="AW89" s="143">
        <f t="shared" si="189"/>
        <v>0</v>
      </c>
      <c r="AX89" s="143">
        <f t="shared" si="190"/>
        <v>0</v>
      </c>
      <c r="AY89" s="143">
        <f t="shared" ca="1" si="191"/>
        <v>0</v>
      </c>
      <c r="AZ89" s="142"/>
      <c r="BA89" s="143">
        <f t="shared" ca="1" si="156"/>
        <v>0</v>
      </c>
      <c r="BB89" s="143">
        <f t="shared" ca="1" si="157"/>
        <v>0</v>
      </c>
      <c r="BC89" s="144"/>
      <c r="BD89" s="145">
        <f t="shared" ca="1" si="192"/>
        <v>0</v>
      </c>
      <c r="BE89" s="145">
        <f t="shared" ca="1" si="108"/>
        <v>0</v>
      </c>
      <c r="BF89" s="146" t="str">
        <f t="shared" ca="1" si="158"/>
        <v/>
      </c>
      <c r="BG89" s="92"/>
      <c r="BH89" s="95">
        <f t="shared" ca="1" si="159"/>
        <v>0</v>
      </c>
      <c r="BI89" s="95">
        <f t="shared" ca="1" si="160"/>
        <v>0</v>
      </c>
      <c r="BJ89" s="144"/>
      <c r="BK89" s="147">
        <f t="shared" ca="1" si="193"/>
        <v>0</v>
      </c>
      <c r="BL89" s="147">
        <f t="shared" ca="1" si="110"/>
        <v>0</v>
      </c>
      <c r="BM89" s="148" t="str">
        <f t="shared" ca="1" si="161"/>
        <v/>
      </c>
      <c r="BN89" s="92"/>
      <c r="BO89" s="149">
        <f t="shared" ca="1" si="162"/>
        <v>0</v>
      </c>
      <c r="BP89" s="149">
        <f t="shared" ca="1" si="163"/>
        <v>0</v>
      </c>
      <c r="BQ89" s="144"/>
      <c r="BR89" s="150">
        <f t="shared" ca="1" si="194"/>
        <v>0</v>
      </c>
      <c r="BS89" s="150">
        <f t="shared" ca="1" si="109"/>
        <v>0</v>
      </c>
      <c r="BT89" s="151" t="str">
        <f t="shared" ca="1" si="164"/>
        <v/>
      </c>
      <c r="BU89" s="92"/>
      <c r="BV89" s="152">
        <f t="shared" ca="1" si="165"/>
        <v>0</v>
      </c>
      <c r="BW89" s="152">
        <f t="shared" ca="1" si="166"/>
        <v>0</v>
      </c>
      <c r="BX89" s="144"/>
      <c r="BY89" s="153">
        <f t="shared" ca="1" si="195"/>
        <v>0</v>
      </c>
      <c r="BZ89" s="153">
        <f t="shared" ca="1" si="111"/>
        <v>0</v>
      </c>
      <c r="CA89" s="154" t="str">
        <f t="shared" ca="1" si="167"/>
        <v/>
      </c>
      <c r="CB89" s="92"/>
      <c r="CC89" s="155">
        <f t="shared" ca="1" si="168"/>
        <v>0</v>
      </c>
      <c r="CD89" s="155">
        <f t="shared" ca="1" si="169"/>
        <v>0</v>
      </c>
      <c r="CE89" s="144"/>
      <c r="CF89" s="156">
        <f t="shared" ca="1" si="196"/>
        <v>0</v>
      </c>
      <c r="CG89" s="156">
        <f t="shared" ca="1" si="112"/>
        <v>0</v>
      </c>
      <c r="CH89" s="157" t="str">
        <f t="shared" ca="1" si="170"/>
        <v/>
      </c>
      <c r="CI89" s="92"/>
      <c r="CJ89" s="158">
        <f t="shared" ca="1" si="171"/>
        <v>0</v>
      </c>
      <c r="CK89" s="158">
        <f t="shared" ca="1" si="172"/>
        <v>0</v>
      </c>
      <c r="CL89" s="144"/>
      <c r="CM89" s="159">
        <f t="shared" ca="1" si="197"/>
        <v>0</v>
      </c>
      <c r="CN89" s="159">
        <f t="shared" ca="1" si="113"/>
        <v>0</v>
      </c>
      <c r="CO89" s="160" t="str">
        <f t="shared" ca="1" si="173"/>
        <v/>
      </c>
      <c r="CP89" s="92"/>
      <c r="CQ89" s="140">
        <v>86</v>
      </c>
      <c r="CR89" s="330">
        <v>0.12</v>
      </c>
      <c r="CS89" s="92">
        <f t="shared" si="198"/>
        <v>0</v>
      </c>
      <c r="CT89" s="335">
        <f t="shared" si="199"/>
        <v>0.12</v>
      </c>
      <c r="CU89" s="92">
        <f t="shared" si="200"/>
        <v>1</v>
      </c>
      <c r="CV89" s="348">
        <f t="shared" si="148"/>
        <v>1</v>
      </c>
      <c r="CW89" s="367">
        <f t="shared" si="144"/>
        <v>127.65</v>
      </c>
      <c r="CX89" s="367">
        <f t="shared" si="145"/>
        <v>62.61</v>
      </c>
      <c r="CY89" s="367">
        <f t="shared" si="146"/>
        <v>252.75</v>
      </c>
      <c r="CZ89" s="380">
        <f t="shared" si="147"/>
        <v>141.72999999999999</v>
      </c>
      <c r="DA89"/>
      <c r="DB89" s="391">
        <v>86</v>
      </c>
      <c r="DC89" s="59">
        <v>354297.7</v>
      </c>
      <c r="DD89" s="59">
        <v>250917.85</v>
      </c>
      <c r="DE89" s="59">
        <v>314494.49</v>
      </c>
      <c r="DF89" s="59">
        <v>222728.74</v>
      </c>
      <c r="DG89" s="59">
        <v>278458.65999999997</v>
      </c>
      <c r="DH89" s="59">
        <v>197207.74</v>
      </c>
      <c r="DI89" s="137">
        <v>1295066.49</v>
      </c>
      <c r="DJ89" s="137">
        <v>1057704.68</v>
      </c>
      <c r="DK89" s="138">
        <v>926116.48</v>
      </c>
      <c r="DL89" s="138">
        <v>782910.94</v>
      </c>
      <c r="DM89" s="137">
        <v>660294.06000000006</v>
      </c>
      <c r="DN89" s="139">
        <v>540033.41</v>
      </c>
      <c r="DP89" s="384" t="s">
        <v>214</v>
      </c>
      <c r="DQ89" s="389">
        <v>7462.1</v>
      </c>
      <c r="DR89" s="389">
        <v>9504.91</v>
      </c>
    </row>
    <row r="90" spans="1:122">
      <c r="A90" s="178">
        <v>54</v>
      </c>
      <c r="B90" s="173">
        <f ca="1">RESUMEN!J57</f>
        <v>0</v>
      </c>
      <c r="C90" s="173">
        <f ca="1">+RESUMEN!K57</f>
        <v>0</v>
      </c>
      <c r="D90" s="174">
        <f t="shared" ca="1" si="174"/>
        <v>0</v>
      </c>
      <c r="E90" s="91"/>
      <c r="F90" s="91"/>
      <c r="G90" s="91"/>
      <c r="H90" s="165"/>
      <c r="I90" s="353"/>
      <c r="J90" s="164">
        <v>87</v>
      </c>
      <c r="K90" s="59">
        <f t="shared" si="132"/>
        <v>354297.7</v>
      </c>
      <c r="L90" s="59">
        <f t="shared" si="133"/>
        <v>250917.85</v>
      </c>
      <c r="M90" s="59">
        <f t="shared" si="134"/>
        <v>314494.49</v>
      </c>
      <c r="N90" s="59">
        <f t="shared" si="135"/>
        <v>222728.74</v>
      </c>
      <c r="O90" s="59">
        <f t="shared" si="136"/>
        <v>278458.65999999997</v>
      </c>
      <c r="P90" s="59">
        <f t="shared" si="137"/>
        <v>197207.74</v>
      </c>
      <c r="Q90" s="136">
        <f t="shared" si="149"/>
        <v>1295066.49</v>
      </c>
      <c r="R90" s="136">
        <f t="shared" si="150"/>
        <v>1057704.68</v>
      </c>
      <c r="S90" s="136">
        <f t="shared" si="151"/>
        <v>926116.48</v>
      </c>
      <c r="T90" s="136">
        <f t="shared" si="152"/>
        <v>782910.94</v>
      </c>
      <c r="U90" s="136">
        <f t="shared" si="153"/>
        <v>660294.06000000006</v>
      </c>
      <c r="V90" s="136">
        <f t="shared" si="154"/>
        <v>540033.41</v>
      </c>
      <c r="W90" s="92"/>
      <c r="X90" s="137">
        <f t="shared" si="138"/>
        <v>1295066.49</v>
      </c>
      <c r="Y90" s="137">
        <f t="shared" si="139"/>
        <v>1057704.68</v>
      </c>
      <c r="Z90" s="136">
        <f t="shared" si="175"/>
        <v>1350754.34907</v>
      </c>
      <c r="AA90" s="136">
        <f t="shared" si="176"/>
        <v>1103185.9812399999</v>
      </c>
      <c r="AB90" s="136">
        <f t="shared" si="177"/>
        <v>1450474.4688000001</v>
      </c>
      <c r="AC90" s="136">
        <f t="shared" si="178"/>
        <v>1184629.2416000001</v>
      </c>
      <c r="AD90" s="138">
        <f t="shared" si="140"/>
        <v>926116.48</v>
      </c>
      <c r="AE90" s="138">
        <f t="shared" si="141"/>
        <v>782910.94</v>
      </c>
      <c r="AF90" s="136">
        <f t="shared" si="179"/>
        <v>965939.48863999988</v>
      </c>
      <c r="AG90" s="136">
        <f t="shared" si="180"/>
        <v>816576.11041999992</v>
      </c>
      <c r="AH90" s="136">
        <f t="shared" si="181"/>
        <v>1037250.4576000001</v>
      </c>
      <c r="AI90" s="136">
        <f t="shared" si="182"/>
        <v>876860.25280000002</v>
      </c>
      <c r="AJ90" s="137">
        <f t="shared" si="142"/>
        <v>660294.06000000006</v>
      </c>
      <c r="AK90" s="137">
        <f t="shared" si="143"/>
        <v>540033.41</v>
      </c>
      <c r="AL90" s="136">
        <f t="shared" si="183"/>
        <v>688686.70458000002</v>
      </c>
      <c r="AM90" s="136">
        <f t="shared" si="184"/>
        <v>563254.84663000004</v>
      </c>
      <c r="AN90" s="136">
        <f t="shared" si="185"/>
        <v>739529.34720000008</v>
      </c>
      <c r="AO90" s="136">
        <f t="shared" si="186"/>
        <v>604837.41920000012</v>
      </c>
      <c r="AP90" s="92"/>
      <c r="AQ90" s="140">
        <v>87</v>
      </c>
      <c r="AR90" s="141">
        <f ca="1">+RESUMEN!F90</f>
        <v>0</v>
      </c>
      <c r="AS90" s="141">
        <f ca="1">+RESUMEN!G90</f>
        <v>0</v>
      </c>
      <c r="AT90" s="142">
        <f t="shared" ca="1" si="155"/>
        <v>0</v>
      </c>
      <c r="AU90" s="143">
        <f t="shared" si="187"/>
        <v>0</v>
      </c>
      <c r="AV90" s="143">
        <f t="shared" si="188"/>
        <v>0</v>
      </c>
      <c r="AW90" s="143">
        <f t="shared" si="189"/>
        <v>0</v>
      </c>
      <c r="AX90" s="143">
        <f t="shared" si="190"/>
        <v>0</v>
      </c>
      <c r="AY90" s="143">
        <f t="shared" ca="1" si="191"/>
        <v>0</v>
      </c>
      <c r="AZ90" s="142"/>
      <c r="BA90" s="143">
        <f t="shared" ca="1" si="156"/>
        <v>0</v>
      </c>
      <c r="BB90" s="143">
        <f t="shared" ca="1" si="157"/>
        <v>0</v>
      </c>
      <c r="BC90" s="144"/>
      <c r="BD90" s="145">
        <f t="shared" ca="1" si="192"/>
        <v>0</v>
      </c>
      <c r="BE90" s="145">
        <f t="shared" ca="1" si="108"/>
        <v>0</v>
      </c>
      <c r="BF90" s="146" t="str">
        <f t="shared" ca="1" si="158"/>
        <v/>
      </c>
      <c r="BG90" s="92"/>
      <c r="BH90" s="95">
        <f t="shared" ca="1" si="159"/>
        <v>0</v>
      </c>
      <c r="BI90" s="95">
        <f t="shared" ca="1" si="160"/>
        <v>0</v>
      </c>
      <c r="BJ90" s="144"/>
      <c r="BK90" s="147">
        <f t="shared" ca="1" si="193"/>
        <v>0</v>
      </c>
      <c r="BL90" s="147">
        <f t="shared" ca="1" si="110"/>
        <v>0</v>
      </c>
      <c r="BM90" s="148" t="str">
        <f t="shared" ca="1" si="161"/>
        <v/>
      </c>
      <c r="BN90" s="92"/>
      <c r="BO90" s="149">
        <f t="shared" ca="1" si="162"/>
        <v>0</v>
      </c>
      <c r="BP90" s="149">
        <f t="shared" ca="1" si="163"/>
        <v>0</v>
      </c>
      <c r="BQ90" s="144"/>
      <c r="BR90" s="150">
        <f t="shared" ca="1" si="194"/>
        <v>0</v>
      </c>
      <c r="BS90" s="150">
        <f t="shared" ca="1" si="109"/>
        <v>0</v>
      </c>
      <c r="BT90" s="151" t="str">
        <f t="shared" ca="1" si="164"/>
        <v/>
      </c>
      <c r="BU90" s="92"/>
      <c r="BV90" s="152">
        <f t="shared" ca="1" si="165"/>
        <v>0</v>
      </c>
      <c r="BW90" s="152">
        <f t="shared" ca="1" si="166"/>
        <v>0</v>
      </c>
      <c r="BX90" s="144"/>
      <c r="BY90" s="153">
        <f t="shared" ca="1" si="195"/>
        <v>0</v>
      </c>
      <c r="BZ90" s="153">
        <f t="shared" ca="1" si="111"/>
        <v>0</v>
      </c>
      <c r="CA90" s="154" t="str">
        <f t="shared" ca="1" si="167"/>
        <v/>
      </c>
      <c r="CB90" s="92"/>
      <c r="CC90" s="155">
        <f t="shared" ca="1" si="168"/>
        <v>0</v>
      </c>
      <c r="CD90" s="155">
        <f t="shared" ca="1" si="169"/>
        <v>0</v>
      </c>
      <c r="CE90" s="144"/>
      <c r="CF90" s="156">
        <f t="shared" ca="1" si="196"/>
        <v>0</v>
      </c>
      <c r="CG90" s="156">
        <f t="shared" ca="1" si="112"/>
        <v>0</v>
      </c>
      <c r="CH90" s="157" t="str">
        <f t="shared" ca="1" si="170"/>
        <v/>
      </c>
      <c r="CI90" s="92"/>
      <c r="CJ90" s="158">
        <f t="shared" ca="1" si="171"/>
        <v>0</v>
      </c>
      <c r="CK90" s="158">
        <f t="shared" ca="1" si="172"/>
        <v>0</v>
      </c>
      <c r="CL90" s="144"/>
      <c r="CM90" s="159">
        <f t="shared" ca="1" si="197"/>
        <v>0</v>
      </c>
      <c r="CN90" s="159">
        <f t="shared" ca="1" si="113"/>
        <v>0</v>
      </c>
      <c r="CO90" s="160" t="str">
        <f t="shared" ca="1" si="173"/>
        <v/>
      </c>
      <c r="CP90" s="92"/>
      <c r="CQ90" s="140">
        <v>87</v>
      </c>
      <c r="CR90" s="330">
        <v>0.12</v>
      </c>
      <c r="CS90" s="92">
        <f t="shared" si="198"/>
        <v>0</v>
      </c>
      <c r="CT90" s="335">
        <f t="shared" si="199"/>
        <v>0.12</v>
      </c>
      <c r="CU90" s="92">
        <f t="shared" si="200"/>
        <v>1</v>
      </c>
      <c r="CV90" s="348">
        <f t="shared" si="148"/>
        <v>1</v>
      </c>
      <c r="CW90" s="367">
        <f t="shared" si="144"/>
        <v>127.65</v>
      </c>
      <c r="CX90" s="367">
        <f t="shared" si="145"/>
        <v>62.61</v>
      </c>
      <c r="CY90" s="367">
        <f t="shared" si="146"/>
        <v>252.75</v>
      </c>
      <c r="CZ90" s="380">
        <f t="shared" si="147"/>
        <v>141.72999999999999</v>
      </c>
      <c r="DA90"/>
      <c r="DB90" s="391">
        <v>87</v>
      </c>
      <c r="DC90" s="59">
        <v>354297.7</v>
      </c>
      <c r="DD90" s="59">
        <v>250917.85</v>
      </c>
      <c r="DE90" s="59">
        <v>314494.49</v>
      </c>
      <c r="DF90" s="59">
        <v>222728.74</v>
      </c>
      <c r="DG90" s="59">
        <v>278458.65999999997</v>
      </c>
      <c r="DH90" s="59">
        <v>197207.74</v>
      </c>
      <c r="DI90" s="137">
        <v>1295066.49</v>
      </c>
      <c r="DJ90" s="137">
        <v>1057704.68</v>
      </c>
      <c r="DK90" s="138">
        <v>926116.48</v>
      </c>
      <c r="DL90" s="138">
        <v>782910.94</v>
      </c>
      <c r="DM90" s="137">
        <v>660294.06000000006</v>
      </c>
      <c r="DN90" s="139">
        <v>540033.41</v>
      </c>
      <c r="DP90" s="384" t="s">
        <v>215</v>
      </c>
      <c r="DQ90" s="389">
        <v>7462.1</v>
      </c>
      <c r="DR90" s="389">
        <v>9504.91</v>
      </c>
    </row>
    <row r="91" spans="1:122">
      <c r="A91" s="178">
        <v>55</v>
      </c>
      <c r="B91" s="173">
        <f ca="1">RESUMEN!J58</f>
        <v>0</v>
      </c>
      <c r="C91" s="173">
        <f ca="1">+RESUMEN!K58</f>
        <v>0</v>
      </c>
      <c r="D91" s="174">
        <f t="shared" ca="1" si="174"/>
        <v>0</v>
      </c>
      <c r="E91" s="91"/>
      <c r="F91" s="91"/>
      <c r="G91" s="91"/>
      <c r="H91" s="165"/>
      <c r="I91" s="353"/>
      <c r="J91" s="164">
        <v>88</v>
      </c>
      <c r="K91" s="59">
        <f t="shared" si="132"/>
        <v>354297.7</v>
      </c>
      <c r="L91" s="59">
        <f t="shared" si="133"/>
        <v>250917.85</v>
      </c>
      <c r="M91" s="59">
        <f t="shared" si="134"/>
        <v>314494.49</v>
      </c>
      <c r="N91" s="59">
        <f t="shared" si="135"/>
        <v>222728.74</v>
      </c>
      <c r="O91" s="59">
        <f t="shared" si="136"/>
        <v>278458.65999999997</v>
      </c>
      <c r="P91" s="59">
        <f t="shared" si="137"/>
        <v>197207.74</v>
      </c>
      <c r="Q91" s="136">
        <f t="shared" si="149"/>
        <v>1295066.49</v>
      </c>
      <c r="R91" s="136">
        <f t="shared" si="150"/>
        <v>1057704.68</v>
      </c>
      <c r="S91" s="136">
        <f t="shared" si="151"/>
        <v>926116.48</v>
      </c>
      <c r="T91" s="136">
        <f t="shared" si="152"/>
        <v>782910.94</v>
      </c>
      <c r="U91" s="136">
        <f t="shared" si="153"/>
        <v>660294.06000000006</v>
      </c>
      <c r="V91" s="136">
        <f t="shared" si="154"/>
        <v>540033.41</v>
      </c>
      <c r="W91" s="92"/>
      <c r="X91" s="137">
        <f t="shared" si="138"/>
        <v>1295066.49</v>
      </c>
      <c r="Y91" s="137">
        <f t="shared" si="139"/>
        <v>1057704.68</v>
      </c>
      <c r="Z91" s="136">
        <f t="shared" si="175"/>
        <v>1350754.34907</v>
      </c>
      <c r="AA91" s="136">
        <f t="shared" si="176"/>
        <v>1103185.9812399999</v>
      </c>
      <c r="AB91" s="136">
        <f t="shared" si="177"/>
        <v>1450474.4688000001</v>
      </c>
      <c r="AC91" s="136">
        <f t="shared" si="178"/>
        <v>1184629.2416000001</v>
      </c>
      <c r="AD91" s="138">
        <f t="shared" si="140"/>
        <v>926116.48</v>
      </c>
      <c r="AE91" s="138">
        <f t="shared" si="141"/>
        <v>782910.94</v>
      </c>
      <c r="AF91" s="136">
        <f t="shared" si="179"/>
        <v>965939.48863999988</v>
      </c>
      <c r="AG91" s="136">
        <f t="shared" si="180"/>
        <v>816576.11041999992</v>
      </c>
      <c r="AH91" s="136">
        <f t="shared" si="181"/>
        <v>1037250.4576000001</v>
      </c>
      <c r="AI91" s="136">
        <f t="shared" si="182"/>
        <v>876860.25280000002</v>
      </c>
      <c r="AJ91" s="137">
        <f t="shared" si="142"/>
        <v>660294.06000000006</v>
      </c>
      <c r="AK91" s="137">
        <f t="shared" si="143"/>
        <v>540033.41</v>
      </c>
      <c r="AL91" s="136">
        <f t="shared" si="183"/>
        <v>688686.70458000002</v>
      </c>
      <c r="AM91" s="136">
        <f t="shared" si="184"/>
        <v>563254.84663000004</v>
      </c>
      <c r="AN91" s="136">
        <f t="shared" si="185"/>
        <v>739529.34720000008</v>
      </c>
      <c r="AO91" s="136">
        <f t="shared" si="186"/>
        <v>604837.41920000012</v>
      </c>
      <c r="AP91" s="92"/>
      <c r="AQ91" s="140">
        <v>88</v>
      </c>
      <c r="AR91" s="141">
        <f ca="1">+RESUMEN!F91</f>
        <v>0</v>
      </c>
      <c r="AS91" s="141">
        <f ca="1">+RESUMEN!G91</f>
        <v>0</v>
      </c>
      <c r="AT91" s="142">
        <f t="shared" ca="1" si="155"/>
        <v>0</v>
      </c>
      <c r="AU91" s="143">
        <f t="shared" si="187"/>
        <v>0</v>
      </c>
      <c r="AV91" s="143">
        <f t="shared" si="188"/>
        <v>0</v>
      </c>
      <c r="AW91" s="143">
        <f t="shared" si="189"/>
        <v>0</v>
      </c>
      <c r="AX91" s="143">
        <f t="shared" si="190"/>
        <v>0</v>
      </c>
      <c r="AY91" s="143">
        <f t="shared" ca="1" si="191"/>
        <v>0</v>
      </c>
      <c r="AZ91" s="142"/>
      <c r="BA91" s="143">
        <f t="shared" ca="1" si="156"/>
        <v>0</v>
      </c>
      <c r="BB91" s="143">
        <f t="shared" ca="1" si="157"/>
        <v>0</v>
      </c>
      <c r="BC91" s="144"/>
      <c r="BD91" s="145">
        <f t="shared" ca="1" si="192"/>
        <v>0</v>
      </c>
      <c r="BE91" s="145">
        <f t="shared" ca="1" si="108"/>
        <v>0</v>
      </c>
      <c r="BF91" s="146" t="str">
        <f t="shared" ca="1" si="158"/>
        <v/>
      </c>
      <c r="BG91" s="92"/>
      <c r="BH91" s="95">
        <f t="shared" ca="1" si="159"/>
        <v>0</v>
      </c>
      <c r="BI91" s="95">
        <f t="shared" ca="1" si="160"/>
        <v>0</v>
      </c>
      <c r="BJ91" s="144"/>
      <c r="BK91" s="147">
        <f t="shared" ca="1" si="193"/>
        <v>0</v>
      </c>
      <c r="BL91" s="147">
        <f t="shared" ca="1" si="110"/>
        <v>0</v>
      </c>
      <c r="BM91" s="148" t="str">
        <f t="shared" ca="1" si="161"/>
        <v/>
      </c>
      <c r="BN91" s="92"/>
      <c r="BO91" s="149">
        <f t="shared" ca="1" si="162"/>
        <v>0</v>
      </c>
      <c r="BP91" s="149">
        <f t="shared" ca="1" si="163"/>
        <v>0</v>
      </c>
      <c r="BQ91" s="144"/>
      <c r="BR91" s="150">
        <f t="shared" ca="1" si="194"/>
        <v>0</v>
      </c>
      <c r="BS91" s="150">
        <f t="shared" ca="1" si="109"/>
        <v>0</v>
      </c>
      <c r="BT91" s="151" t="str">
        <f t="shared" ca="1" si="164"/>
        <v/>
      </c>
      <c r="BU91" s="92"/>
      <c r="BV91" s="152">
        <f t="shared" ca="1" si="165"/>
        <v>0</v>
      </c>
      <c r="BW91" s="152">
        <f t="shared" ca="1" si="166"/>
        <v>0</v>
      </c>
      <c r="BX91" s="144"/>
      <c r="BY91" s="153">
        <f t="shared" ca="1" si="195"/>
        <v>0</v>
      </c>
      <c r="BZ91" s="153">
        <f t="shared" ca="1" si="111"/>
        <v>0</v>
      </c>
      <c r="CA91" s="154" t="str">
        <f t="shared" ca="1" si="167"/>
        <v/>
      </c>
      <c r="CB91" s="92"/>
      <c r="CC91" s="155">
        <f t="shared" ca="1" si="168"/>
        <v>0</v>
      </c>
      <c r="CD91" s="155">
        <f t="shared" ca="1" si="169"/>
        <v>0</v>
      </c>
      <c r="CE91" s="144"/>
      <c r="CF91" s="156">
        <f t="shared" ca="1" si="196"/>
        <v>0</v>
      </c>
      <c r="CG91" s="156">
        <f t="shared" ca="1" si="112"/>
        <v>0</v>
      </c>
      <c r="CH91" s="157" t="str">
        <f t="shared" ca="1" si="170"/>
        <v/>
      </c>
      <c r="CI91" s="92"/>
      <c r="CJ91" s="158">
        <f t="shared" ca="1" si="171"/>
        <v>0</v>
      </c>
      <c r="CK91" s="158">
        <f t="shared" ca="1" si="172"/>
        <v>0</v>
      </c>
      <c r="CL91" s="144"/>
      <c r="CM91" s="159">
        <f t="shared" ca="1" si="197"/>
        <v>0</v>
      </c>
      <c r="CN91" s="159">
        <f t="shared" ca="1" si="113"/>
        <v>0</v>
      </c>
      <c r="CO91" s="160" t="str">
        <f t="shared" ca="1" si="173"/>
        <v/>
      </c>
      <c r="CP91" s="92"/>
      <c r="CQ91" s="140">
        <v>88</v>
      </c>
      <c r="CR91" s="330">
        <v>0.12</v>
      </c>
      <c r="CS91" s="92">
        <f t="shared" si="198"/>
        <v>0</v>
      </c>
      <c r="CT91" s="335">
        <f t="shared" si="199"/>
        <v>0.12</v>
      </c>
      <c r="CU91" s="92">
        <f t="shared" si="200"/>
        <v>1</v>
      </c>
      <c r="CV91" s="348">
        <f t="shared" si="148"/>
        <v>1</v>
      </c>
      <c r="CW91" s="367">
        <f t="shared" si="144"/>
        <v>127.65</v>
      </c>
      <c r="CX91" s="367">
        <f t="shared" si="145"/>
        <v>62.61</v>
      </c>
      <c r="CY91" s="367">
        <f t="shared" si="146"/>
        <v>252.75</v>
      </c>
      <c r="CZ91" s="380">
        <f t="shared" si="147"/>
        <v>141.72999999999999</v>
      </c>
      <c r="DA91"/>
      <c r="DB91" s="391">
        <v>88</v>
      </c>
      <c r="DC91" s="59">
        <v>354297.7</v>
      </c>
      <c r="DD91" s="59">
        <v>250917.85</v>
      </c>
      <c r="DE91" s="59">
        <v>314494.49</v>
      </c>
      <c r="DF91" s="59">
        <v>222728.74</v>
      </c>
      <c r="DG91" s="59">
        <v>278458.65999999997</v>
      </c>
      <c r="DH91" s="59">
        <v>197207.74</v>
      </c>
      <c r="DI91" s="137">
        <v>1295066.49</v>
      </c>
      <c r="DJ91" s="137">
        <v>1057704.68</v>
      </c>
      <c r="DK91" s="138">
        <v>926116.48</v>
      </c>
      <c r="DL91" s="138">
        <v>782910.94</v>
      </c>
      <c r="DM91" s="137">
        <v>660294.06000000006</v>
      </c>
      <c r="DN91" s="139">
        <v>540033.41</v>
      </c>
      <c r="DP91" s="384" t="s">
        <v>216</v>
      </c>
      <c r="DQ91" s="389">
        <v>7462.1</v>
      </c>
      <c r="DR91" s="389">
        <v>9504.91</v>
      </c>
    </row>
    <row r="92" spans="1:122">
      <c r="A92" s="178">
        <v>56</v>
      </c>
      <c r="B92" s="173">
        <f ca="1">RESUMEN!J59</f>
        <v>0</v>
      </c>
      <c r="C92" s="173">
        <f ca="1">+RESUMEN!K59</f>
        <v>0</v>
      </c>
      <c r="D92" s="174">
        <f t="shared" ca="1" si="174"/>
        <v>0</v>
      </c>
      <c r="E92" s="91"/>
      <c r="F92" s="91"/>
      <c r="G92" s="91"/>
      <c r="H92" s="165"/>
      <c r="I92" s="353"/>
      <c r="J92" s="164">
        <v>89</v>
      </c>
      <c r="K92" s="59">
        <f t="shared" si="132"/>
        <v>354297.7</v>
      </c>
      <c r="L92" s="59">
        <f t="shared" si="133"/>
        <v>250917.85</v>
      </c>
      <c r="M92" s="59">
        <f t="shared" si="134"/>
        <v>314494.49</v>
      </c>
      <c r="N92" s="59">
        <f t="shared" si="135"/>
        <v>222728.74</v>
      </c>
      <c r="O92" s="59">
        <f t="shared" si="136"/>
        <v>278458.65999999997</v>
      </c>
      <c r="P92" s="59">
        <f t="shared" si="137"/>
        <v>197207.74</v>
      </c>
      <c r="Q92" s="136">
        <f t="shared" si="149"/>
        <v>1295066.49</v>
      </c>
      <c r="R92" s="136">
        <f t="shared" si="150"/>
        <v>1057704.68</v>
      </c>
      <c r="S92" s="136">
        <f t="shared" si="151"/>
        <v>926116.48</v>
      </c>
      <c r="T92" s="136">
        <f t="shared" si="152"/>
        <v>782910.94</v>
      </c>
      <c r="U92" s="136">
        <f t="shared" si="153"/>
        <v>660294.06000000006</v>
      </c>
      <c r="V92" s="136">
        <f t="shared" si="154"/>
        <v>540033.41</v>
      </c>
      <c r="W92" s="92"/>
      <c r="X92" s="137">
        <f t="shared" si="138"/>
        <v>1295066.49</v>
      </c>
      <c r="Y92" s="137">
        <f t="shared" si="139"/>
        <v>1057704.68</v>
      </c>
      <c r="Z92" s="136">
        <f t="shared" si="175"/>
        <v>1350754.34907</v>
      </c>
      <c r="AA92" s="136">
        <f t="shared" si="176"/>
        <v>1103185.9812399999</v>
      </c>
      <c r="AB92" s="136">
        <f t="shared" si="177"/>
        <v>1450474.4688000001</v>
      </c>
      <c r="AC92" s="136">
        <f t="shared" si="178"/>
        <v>1184629.2416000001</v>
      </c>
      <c r="AD92" s="138">
        <f t="shared" si="140"/>
        <v>926116.48</v>
      </c>
      <c r="AE92" s="138">
        <f t="shared" si="141"/>
        <v>782910.94</v>
      </c>
      <c r="AF92" s="136">
        <f t="shared" si="179"/>
        <v>965939.48863999988</v>
      </c>
      <c r="AG92" s="136">
        <f t="shared" si="180"/>
        <v>816576.11041999992</v>
      </c>
      <c r="AH92" s="136">
        <f t="shared" si="181"/>
        <v>1037250.4576000001</v>
      </c>
      <c r="AI92" s="136">
        <f t="shared" si="182"/>
        <v>876860.25280000002</v>
      </c>
      <c r="AJ92" s="137">
        <f t="shared" si="142"/>
        <v>660294.06000000006</v>
      </c>
      <c r="AK92" s="137">
        <f t="shared" si="143"/>
        <v>540033.41</v>
      </c>
      <c r="AL92" s="136">
        <f t="shared" si="183"/>
        <v>688686.70458000002</v>
      </c>
      <c r="AM92" s="136">
        <f t="shared" si="184"/>
        <v>563254.84663000004</v>
      </c>
      <c r="AN92" s="136">
        <f t="shared" si="185"/>
        <v>739529.34720000008</v>
      </c>
      <c r="AO92" s="136">
        <f t="shared" si="186"/>
        <v>604837.41920000012</v>
      </c>
      <c r="AP92" s="92"/>
      <c r="AQ92" s="140">
        <v>89</v>
      </c>
      <c r="AR92" s="141">
        <f ca="1">+RESUMEN!F92</f>
        <v>0</v>
      </c>
      <c r="AS92" s="141">
        <f ca="1">+RESUMEN!G92</f>
        <v>0</v>
      </c>
      <c r="AT92" s="142">
        <f t="shared" ca="1" si="155"/>
        <v>0</v>
      </c>
      <c r="AU92" s="143">
        <f t="shared" si="187"/>
        <v>0</v>
      </c>
      <c r="AV92" s="143">
        <f t="shared" si="188"/>
        <v>0</v>
      </c>
      <c r="AW92" s="143">
        <f t="shared" si="189"/>
        <v>0</v>
      </c>
      <c r="AX92" s="143">
        <f t="shared" si="190"/>
        <v>0</v>
      </c>
      <c r="AY92" s="143">
        <f t="shared" ca="1" si="191"/>
        <v>0</v>
      </c>
      <c r="AZ92" s="142"/>
      <c r="BA92" s="143">
        <f t="shared" ca="1" si="156"/>
        <v>0</v>
      </c>
      <c r="BB92" s="143">
        <f t="shared" ca="1" si="157"/>
        <v>0</v>
      </c>
      <c r="BC92" s="144"/>
      <c r="BD92" s="145">
        <f t="shared" ca="1" si="192"/>
        <v>0</v>
      </c>
      <c r="BE92" s="145">
        <f t="shared" ca="1" si="108"/>
        <v>0</v>
      </c>
      <c r="BF92" s="146" t="str">
        <f t="shared" ca="1" si="158"/>
        <v/>
      </c>
      <c r="BG92" s="92"/>
      <c r="BH92" s="95">
        <f t="shared" ca="1" si="159"/>
        <v>0</v>
      </c>
      <c r="BI92" s="95">
        <f t="shared" ca="1" si="160"/>
        <v>0</v>
      </c>
      <c r="BJ92" s="144"/>
      <c r="BK92" s="147">
        <f t="shared" ca="1" si="193"/>
        <v>0</v>
      </c>
      <c r="BL92" s="147">
        <f t="shared" ca="1" si="110"/>
        <v>0</v>
      </c>
      <c r="BM92" s="148" t="str">
        <f t="shared" ca="1" si="161"/>
        <v/>
      </c>
      <c r="BN92" s="92"/>
      <c r="BO92" s="149">
        <f t="shared" ca="1" si="162"/>
        <v>0</v>
      </c>
      <c r="BP92" s="149">
        <f t="shared" ca="1" si="163"/>
        <v>0</v>
      </c>
      <c r="BQ92" s="144"/>
      <c r="BR92" s="150">
        <f t="shared" ca="1" si="194"/>
        <v>0</v>
      </c>
      <c r="BS92" s="150">
        <f t="shared" ca="1" si="109"/>
        <v>0</v>
      </c>
      <c r="BT92" s="151" t="str">
        <f t="shared" ca="1" si="164"/>
        <v/>
      </c>
      <c r="BU92" s="92"/>
      <c r="BV92" s="152">
        <f t="shared" ca="1" si="165"/>
        <v>0</v>
      </c>
      <c r="BW92" s="152">
        <f t="shared" ca="1" si="166"/>
        <v>0</v>
      </c>
      <c r="BX92" s="144"/>
      <c r="BY92" s="153">
        <f t="shared" ca="1" si="195"/>
        <v>0</v>
      </c>
      <c r="BZ92" s="153">
        <f t="shared" ca="1" si="111"/>
        <v>0</v>
      </c>
      <c r="CA92" s="154" t="str">
        <f t="shared" ca="1" si="167"/>
        <v/>
      </c>
      <c r="CB92" s="92"/>
      <c r="CC92" s="155">
        <f t="shared" ca="1" si="168"/>
        <v>0</v>
      </c>
      <c r="CD92" s="155">
        <f t="shared" ca="1" si="169"/>
        <v>0</v>
      </c>
      <c r="CE92" s="144"/>
      <c r="CF92" s="156">
        <f t="shared" ca="1" si="196"/>
        <v>0</v>
      </c>
      <c r="CG92" s="156">
        <f t="shared" ca="1" si="112"/>
        <v>0</v>
      </c>
      <c r="CH92" s="157" t="str">
        <f t="shared" ca="1" si="170"/>
        <v/>
      </c>
      <c r="CI92" s="92"/>
      <c r="CJ92" s="158">
        <f t="shared" ca="1" si="171"/>
        <v>0</v>
      </c>
      <c r="CK92" s="158">
        <f t="shared" ca="1" si="172"/>
        <v>0</v>
      </c>
      <c r="CL92" s="144"/>
      <c r="CM92" s="159">
        <f t="shared" ca="1" si="197"/>
        <v>0</v>
      </c>
      <c r="CN92" s="159">
        <f t="shared" ca="1" si="113"/>
        <v>0</v>
      </c>
      <c r="CO92" s="160" t="str">
        <f t="shared" ca="1" si="173"/>
        <v/>
      </c>
      <c r="CP92" s="92"/>
      <c r="CQ92" s="140">
        <v>89</v>
      </c>
      <c r="CR92" s="330">
        <v>0.12</v>
      </c>
      <c r="CS92" s="92">
        <f t="shared" si="198"/>
        <v>0</v>
      </c>
      <c r="CT92" s="335">
        <f t="shared" si="199"/>
        <v>0.12</v>
      </c>
      <c r="CU92" s="92">
        <f t="shared" si="200"/>
        <v>1</v>
      </c>
      <c r="CV92" s="348">
        <f t="shared" si="148"/>
        <v>1</v>
      </c>
      <c r="CW92" s="367">
        <f t="shared" si="144"/>
        <v>127.65</v>
      </c>
      <c r="CX92" s="367">
        <f t="shared" si="145"/>
        <v>62.61</v>
      </c>
      <c r="CY92" s="367">
        <f t="shared" si="146"/>
        <v>252.75</v>
      </c>
      <c r="CZ92" s="380">
        <f t="shared" si="147"/>
        <v>141.72999999999999</v>
      </c>
      <c r="DA92"/>
      <c r="DB92" s="391">
        <v>89</v>
      </c>
      <c r="DC92" s="59">
        <v>354297.7</v>
      </c>
      <c r="DD92" s="59">
        <v>250917.85</v>
      </c>
      <c r="DE92" s="59">
        <v>314494.49</v>
      </c>
      <c r="DF92" s="59">
        <v>222728.74</v>
      </c>
      <c r="DG92" s="59">
        <v>278458.65999999997</v>
      </c>
      <c r="DH92" s="59">
        <v>197207.74</v>
      </c>
      <c r="DI92" s="137">
        <v>1295066.49</v>
      </c>
      <c r="DJ92" s="137">
        <v>1057704.68</v>
      </c>
      <c r="DK92" s="138">
        <v>926116.48</v>
      </c>
      <c r="DL92" s="138">
        <v>782910.94</v>
      </c>
      <c r="DM92" s="137">
        <v>660294.06000000006</v>
      </c>
      <c r="DN92" s="139">
        <v>540033.41</v>
      </c>
      <c r="DP92" s="384" t="s">
        <v>217</v>
      </c>
      <c r="DQ92" s="389">
        <v>7462.1</v>
      </c>
      <c r="DR92" s="389">
        <v>9504.91</v>
      </c>
    </row>
    <row r="93" spans="1:122">
      <c r="A93" s="178">
        <v>57</v>
      </c>
      <c r="B93" s="173">
        <f ca="1">RESUMEN!J60</f>
        <v>0</v>
      </c>
      <c r="C93" s="173">
        <f ca="1">+RESUMEN!K60</f>
        <v>0</v>
      </c>
      <c r="D93" s="174">
        <f t="shared" ca="1" si="174"/>
        <v>0</v>
      </c>
      <c r="E93" s="91"/>
      <c r="F93"/>
      <c r="G93" s="539" t="s">
        <v>454</v>
      </c>
      <c r="H93" s="540"/>
      <c r="I93" s="353"/>
      <c r="J93" s="164">
        <v>90</v>
      </c>
      <c r="K93" s="59">
        <f t="shared" si="132"/>
        <v>354297.7</v>
      </c>
      <c r="L93" s="59">
        <f t="shared" si="133"/>
        <v>250917.85</v>
      </c>
      <c r="M93" s="59">
        <f t="shared" si="134"/>
        <v>314494.49</v>
      </c>
      <c r="N93" s="59">
        <f t="shared" si="135"/>
        <v>222728.74</v>
      </c>
      <c r="O93" s="59">
        <f t="shared" si="136"/>
        <v>278458.65999999997</v>
      </c>
      <c r="P93" s="59">
        <f t="shared" si="137"/>
        <v>197207.74</v>
      </c>
      <c r="Q93" s="136">
        <f t="shared" si="149"/>
        <v>1295066.49</v>
      </c>
      <c r="R93" s="136">
        <f t="shared" si="150"/>
        <v>1057704.68</v>
      </c>
      <c r="S93" s="136">
        <f t="shared" si="151"/>
        <v>926116.48</v>
      </c>
      <c r="T93" s="136">
        <f t="shared" si="152"/>
        <v>782910.94</v>
      </c>
      <c r="U93" s="136">
        <f t="shared" si="153"/>
        <v>660294.06000000006</v>
      </c>
      <c r="V93" s="136">
        <f t="shared" si="154"/>
        <v>540033.41</v>
      </c>
      <c r="W93" s="92"/>
      <c r="X93" s="137">
        <f t="shared" si="138"/>
        <v>1295066.49</v>
      </c>
      <c r="Y93" s="137">
        <f t="shared" si="139"/>
        <v>1057704.68</v>
      </c>
      <c r="Z93" s="136">
        <f t="shared" si="175"/>
        <v>1350754.34907</v>
      </c>
      <c r="AA93" s="136">
        <f t="shared" si="176"/>
        <v>1103185.9812399999</v>
      </c>
      <c r="AB93" s="136">
        <f t="shared" si="177"/>
        <v>1450474.4688000001</v>
      </c>
      <c r="AC93" s="136">
        <f t="shared" si="178"/>
        <v>1184629.2416000001</v>
      </c>
      <c r="AD93" s="138">
        <f t="shared" si="140"/>
        <v>926116.48</v>
      </c>
      <c r="AE93" s="138">
        <f t="shared" si="141"/>
        <v>782910.94</v>
      </c>
      <c r="AF93" s="136">
        <f t="shared" si="179"/>
        <v>965939.48863999988</v>
      </c>
      <c r="AG93" s="136">
        <f t="shared" si="180"/>
        <v>816576.11041999992</v>
      </c>
      <c r="AH93" s="136">
        <f t="shared" si="181"/>
        <v>1037250.4576000001</v>
      </c>
      <c r="AI93" s="136">
        <f t="shared" si="182"/>
        <v>876860.25280000002</v>
      </c>
      <c r="AJ93" s="137">
        <f t="shared" si="142"/>
        <v>660294.06000000006</v>
      </c>
      <c r="AK93" s="137">
        <f t="shared" si="143"/>
        <v>540033.41</v>
      </c>
      <c r="AL93" s="136">
        <f t="shared" si="183"/>
        <v>688686.70458000002</v>
      </c>
      <c r="AM93" s="136">
        <f t="shared" si="184"/>
        <v>563254.84663000004</v>
      </c>
      <c r="AN93" s="136">
        <f t="shared" si="185"/>
        <v>739529.34720000008</v>
      </c>
      <c r="AO93" s="136">
        <f t="shared" si="186"/>
        <v>604837.41920000012</v>
      </c>
      <c r="AP93" s="92"/>
      <c r="AQ93" s="140">
        <v>90</v>
      </c>
      <c r="AR93" s="141">
        <f ca="1">+RESUMEN!F93</f>
        <v>0</v>
      </c>
      <c r="AS93" s="141">
        <f ca="1">+RESUMEN!G93</f>
        <v>0</v>
      </c>
      <c r="AT93" s="142">
        <f t="shared" ca="1" si="155"/>
        <v>0</v>
      </c>
      <c r="AU93" s="143">
        <f t="shared" si="187"/>
        <v>0</v>
      </c>
      <c r="AV93" s="143">
        <f t="shared" si="188"/>
        <v>0</v>
      </c>
      <c r="AW93" s="143">
        <f t="shared" si="189"/>
        <v>0</v>
      </c>
      <c r="AX93" s="143">
        <f t="shared" si="190"/>
        <v>0</v>
      </c>
      <c r="AY93" s="143">
        <f t="shared" ca="1" si="191"/>
        <v>0</v>
      </c>
      <c r="AZ93" s="142"/>
      <c r="BA93" s="143">
        <f t="shared" ca="1" si="156"/>
        <v>0</v>
      </c>
      <c r="BB93" s="143">
        <f t="shared" ca="1" si="157"/>
        <v>0</v>
      </c>
      <c r="BC93" s="144"/>
      <c r="BD93" s="145">
        <f t="shared" ca="1" si="192"/>
        <v>0</v>
      </c>
      <c r="BE93" s="145">
        <f t="shared" ca="1" si="108"/>
        <v>0</v>
      </c>
      <c r="BF93" s="146" t="str">
        <f t="shared" ca="1" si="158"/>
        <v/>
      </c>
      <c r="BG93" s="92"/>
      <c r="BH93" s="95">
        <f t="shared" ca="1" si="159"/>
        <v>0</v>
      </c>
      <c r="BI93" s="95">
        <f t="shared" ca="1" si="160"/>
        <v>0</v>
      </c>
      <c r="BJ93" s="144"/>
      <c r="BK93" s="147">
        <f t="shared" ca="1" si="193"/>
        <v>0</v>
      </c>
      <c r="BL93" s="147">
        <f t="shared" ca="1" si="110"/>
        <v>0</v>
      </c>
      <c r="BM93" s="148" t="str">
        <f t="shared" ca="1" si="161"/>
        <v/>
      </c>
      <c r="BN93" s="92"/>
      <c r="BO93" s="149">
        <f t="shared" ca="1" si="162"/>
        <v>0</v>
      </c>
      <c r="BP93" s="149">
        <f t="shared" ca="1" si="163"/>
        <v>0</v>
      </c>
      <c r="BQ93" s="144"/>
      <c r="BR93" s="150">
        <f t="shared" ca="1" si="194"/>
        <v>0</v>
      </c>
      <c r="BS93" s="150">
        <f t="shared" ca="1" si="109"/>
        <v>0</v>
      </c>
      <c r="BT93" s="151" t="str">
        <f t="shared" ca="1" si="164"/>
        <v/>
      </c>
      <c r="BU93" s="92"/>
      <c r="BV93" s="152">
        <f t="shared" ca="1" si="165"/>
        <v>0</v>
      </c>
      <c r="BW93" s="152">
        <f t="shared" ca="1" si="166"/>
        <v>0</v>
      </c>
      <c r="BX93" s="144"/>
      <c r="BY93" s="153">
        <f t="shared" ca="1" si="195"/>
        <v>0</v>
      </c>
      <c r="BZ93" s="153">
        <f t="shared" ca="1" si="111"/>
        <v>0</v>
      </c>
      <c r="CA93" s="154" t="str">
        <f t="shared" ca="1" si="167"/>
        <v/>
      </c>
      <c r="CB93" s="92"/>
      <c r="CC93" s="155">
        <f t="shared" ca="1" si="168"/>
        <v>0</v>
      </c>
      <c r="CD93" s="155">
        <f t="shared" ca="1" si="169"/>
        <v>0</v>
      </c>
      <c r="CE93" s="144"/>
      <c r="CF93" s="156">
        <f t="shared" ca="1" si="196"/>
        <v>0</v>
      </c>
      <c r="CG93" s="156">
        <f t="shared" ca="1" si="112"/>
        <v>0</v>
      </c>
      <c r="CH93" s="157" t="str">
        <f t="shared" ca="1" si="170"/>
        <v/>
      </c>
      <c r="CI93" s="92"/>
      <c r="CJ93" s="158">
        <f t="shared" ca="1" si="171"/>
        <v>0</v>
      </c>
      <c r="CK93" s="158">
        <f t="shared" ca="1" si="172"/>
        <v>0</v>
      </c>
      <c r="CL93" s="144"/>
      <c r="CM93" s="159">
        <f t="shared" ca="1" si="197"/>
        <v>0</v>
      </c>
      <c r="CN93" s="159">
        <f t="shared" ca="1" si="113"/>
        <v>0</v>
      </c>
      <c r="CO93" s="160" t="str">
        <f t="shared" ca="1" si="173"/>
        <v/>
      </c>
      <c r="CP93" s="92"/>
      <c r="CQ93" s="140">
        <v>90</v>
      </c>
      <c r="CR93" s="330">
        <v>0.12</v>
      </c>
      <c r="CS93" s="92">
        <f t="shared" si="198"/>
        <v>0</v>
      </c>
      <c r="CT93" s="335">
        <f t="shared" si="199"/>
        <v>0.12</v>
      </c>
      <c r="CU93" s="92">
        <f t="shared" si="200"/>
        <v>1</v>
      </c>
      <c r="CV93" s="348">
        <f t="shared" si="148"/>
        <v>1</v>
      </c>
      <c r="CW93" s="367">
        <f t="shared" si="144"/>
        <v>127.65</v>
      </c>
      <c r="CX93" s="367">
        <f t="shared" si="145"/>
        <v>62.61</v>
      </c>
      <c r="CY93" s="367">
        <f t="shared" si="146"/>
        <v>252.75</v>
      </c>
      <c r="CZ93" s="380">
        <f t="shared" si="147"/>
        <v>141.72999999999999</v>
      </c>
      <c r="DA93"/>
      <c r="DB93" s="391">
        <v>90</v>
      </c>
      <c r="DC93" s="59">
        <v>354297.7</v>
      </c>
      <c r="DD93" s="59">
        <v>250917.85</v>
      </c>
      <c r="DE93" s="59">
        <v>314494.49</v>
      </c>
      <c r="DF93" s="59">
        <v>222728.74</v>
      </c>
      <c r="DG93" s="59">
        <v>278458.65999999997</v>
      </c>
      <c r="DH93" s="59">
        <v>197207.74</v>
      </c>
      <c r="DI93" s="137">
        <v>1295066.49</v>
      </c>
      <c r="DJ93" s="137">
        <v>1057704.68</v>
      </c>
      <c r="DK93" s="138">
        <v>926116.48</v>
      </c>
      <c r="DL93" s="138">
        <v>782910.94</v>
      </c>
      <c r="DM93" s="137">
        <v>660294.06000000006</v>
      </c>
      <c r="DN93" s="139">
        <v>540033.41</v>
      </c>
      <c r="DP93" s="384" t="s">
        <v>218</v>
      </c>
      <c r="DQ93" s="389">
        <v>7462.1</v>
      </c>
      <c r="DR93" s="389">
        <v>9504.91</v>
      </c>
    </row>
    <row r="94" spans="1:122">
      <c r="A94" s="178">
        <v>58</v>
      </c>
      <c r="B94" s="173">
        <f ca="1">RESUMEN!J61</f>
        <v>0</v>
      </c>
      <c r="C94" s="173">
        <f ca="1">+RESUMEN!K61</f>
        <v>0</v>
      </c>
      <c r="D94" s="174">
        <f t="shared" ca="1" si="174"/>
        <v>0</v>
      </c>
      <c r="E94" s="91"/>
      <c r="F94" s="194"/>
      <c r="G94" s="383" t="s">
        <v>455</v>
      </c>
      <c r="H94" s="385" t="s">
        <v>267</v>
      </c>
      <c r="I94" s="353"/>
      <c r="J94" s="164">
        <v>91</v>
      </c>
      <c r="K94" s="59">
        <f t="shared" si="132"/>
        <v>354297.7</v>
      </c>
      <c r="L94" s="59">
        <f t="shared" si="133"/>
        <v>250917.85</v>
      </c>
      <c r="M94" s="59">
        <f t="shared" si="134"/>
        <v>314494.49</v>
      </c>
      <c r="N94" s="59">
        <f t="shared" si="135"/>
        <v>222728.74</v>
      </c>
      <c r="O94" s="59">
        <f t="shared" si="136"/>
        <v>278458.65999999997</v>
      </c>
      <c r="P94" s="59">
        <f t="shared" si="137"/>
        <v>197207.74</v>
      </c>
      <c r="Q94" s="136">
        <f t="shared" si="149"/>
        <v>1295066.49</v>
      </c>
      <c r="R94" s="136">
        <f t="shared" si="150"/>
        <v>1057704.68</v>
      </c>
      <c r="S94" s="136">
        <f t="shared" si="151"/>
        <v>926116.48</v>
      </c>
      <c r="T94" s="136">
        <f t="shared" si="152"/>
        <v>782910.94</v>
      </c>
      <c r="U94" s="136">
        <f t="shared" si="153"/>
        <v>660294.06000000006</v>
      </c>
      <c r="V94" s="136">
        <f t="shared" si="154"/>
        <v>540033.41</v>
      </c>
      <c r="W94" s="92"/>
      <c r="X94" s="137">
        <f t="shared" si="138"/>
        <v>1295066.49</v>
      </c>
      <c r="Y94" s="137">
        <f t="shared" si="139"/>
        <v>1057704.68</v>
      </c>
      <c r="Z94" s="136">
        <f t="shared" si="175"/>
        <v>1350754.34907</v>
      </c>
      <c r="AA94" s="136">
        <f t="shared" si="176"/>
        <v>1103185.9812399999</v>
      </c>
      <c r="AB94" s="136">
        <f t="shared" si="177"/>
        <v>1450474.4688000001</v>
      </c>
      <c r="AC94" s="136">
        <f t="shared" si="178"/>
        <v>1184629.2416000001</v>
      </c>
      <c r="AD94" s="138">
        <f t="shared" si="140"/>
        <v>926116.48</v>
      </c>
      <c r="AE94" s="138">
        <f t="shared" si="141"/>
        <v>782910.94</v>
      </c>
      <c r="AF94" s="136">
        <f t="shared" si="179"/>
        <v>965939.48863999988</v>
      </c>
      <c r="AG94" s="136">
        <f t="shared" si="180"/>
        <v>816576.11041999992</v>
      </c>
      <c r="AH94" s="136">
        <f t="shared" si="181"/>
        <v>1037250.4576000001</v>
      </c>
      <c r="AI94" s="136">
        <f t="shared" si="182"/>
        <v>876860.25280000002</v>
      </c>
      <c r="AJ94" s="137">
        <f t="shared" si="142"/>
        <v>660294.06000000006</v>
      </c>
      <c r="AK94" s="137">
        <f t="shared" si="143"/>
        <v>540033.41</v>
      </c>
      <c r="AL94" s="136">
        <f t="shared" si="183"/>
        <v>688686.70458000002</v>
      </c>
      <c r="AM94" s="136">
        <f t="shared" si="184"/>
        <v>563254.84663000004</v>
      </c>
      <c r="AN94" s="136">
        <f t="shared" si="185"/>
        <v>739529.34720000008</v>
      </c>
      <c r="AO94" s="136">
        <f t="shared" si="186"/>
        <v>604837.41920000012</v>
      </c>
      <c r="AP94" s="92"/>
      <c r="AQ94" s="140">
        <v>91</v>
      </c>
      <c r="AR94" s="141">
        <f ca="1">+RESUMEN!F94</f>
        <v>0</v>
      </c>
      <c r="AS94" s="141">
        <f ca="1">+RESUMEN!G94</f>
        <v>0</v>
      </c>
      <c r="AT94" s="142">
        <f t="shared" ca="1" si="155"/>
        <v>0</v>
      </c>
      <c r="AU94" s="143">
        <f t="shared" si="187"/>
        <v>0</v>
      </c>
      <c r="AV94" s="143">
        <f t="shared" si="188"/>
        <v>0</v>
      </c>
      <c r="AW94" s="143">
        <f t="shared" si="189"/>
        <v>0</v>
      </c>
      <c r="AX94" s="143">
        <f t="shared" si="190"/>
        <v>0</v>
      </c>
      <c r="AY94" s="143">
        <f t="shared" ca="1" si="191"/>
        <v>0</v>
      </c>
      <c r="AZ94" s="142"/>
      <c r="BA94" s="143">
        <f t="shared" ca="1" si="156"/>
        <v>0</v>
      </c>
      <c r="BB94" s="143">
        <f t="shared" ca="1" si="157"/>
        <v>0</v>
      </c>
      <c r="BC94" s="144"/>
      <c r="BD94" s="145">
        <f t="shared" ca="1" si="192"/>
        <v>0</v>
      </c>
      <c r="BE94" s="145">
        <f t="shared" ca="1" si="108"/>
        <v>0</v>
      </c>
      <c r="BF94" s="146" t="str">
        <f t="shared" ca="1" si="158"/>
        <v/>
      </c>
      <c r="BG94" s="92"/>
      <c r="BH94" s="95">
        <f t="shared" ca="1" si="159"/>
        <v>0</v>
      </c>
      <c r="BI94" s="95">
        <f t="shared" ca="1" si="160"/>
        <v>0</v>
      </c>
      <c r="BJ94" s="144"/>
      <c r="BK94" s="147">
        <f t="shared" ca="1" si="193"/>
        <v>0</v>
      </c>
      <c r="BL94" s="147">
        <f t="shared" ca="1" si="110"/>
        <v>0</v>
      </c>
      <c r="BM94" s="148" t="str">
        <f t="shared" ca="1" si="161"/>
        <v/>
      </c>
      <c r="BN94" s="92"/>
      <c r="BO94" s="149">
        <f t="shared" ca="1" si="162"/>
        <v>0</v>
      </c>
      <c r="BP94" s="149">
        <f t="shared" ca="1" si="163"/>
        <v>0</v>
      </c>
      <c r="BQ94" s="144"/>
      <c r="BR94" s="150">
        <f t="shared" ca="1" si="194"/>
        <v>0</v>
      </c>
      <c r="BS94" s="150">
        <f t="shared" ca="1" si="109"/>
        <v>0</v>
      </c>
      <c r="BT94" s="151" t="str">
        <f t="shared" ca="1" si="164"/>
        <v/>
      </c>
      <c r="BU94" s="92"/>
      <c r="BV94" s="152">
        <f t="shared" ca="1" si="165"/>
        <v>0</v>
      </c>
      <c r="BW94" s="152">
        <f t="shared" ca="1" si="166"/>
        <v>0</v>
      </c>
      <c r="BX94" s="144"/>
      <c r="BY94" s="153">
        <f t="shared" ca="1" si="195"/>
        <v>0</v>
      </c>
      <c r="BZ94" s="153">
        <f t="shared" ca="1" si="111"/>
        <v>0</v>
      </c>
      <c r="CA94" s="154" t="str">
        <f t="shared" ca="1" si="167"/>
        <v/>
      </c>
      <c r="CB94" s="92"/>
      <c r="CC94" s="155">
        <f t="shared" ca="1" si="168"/>
        <v>0</v>
      </c>
      <c r="CD94" s="155">
        <f t="shared" ca="1" si="169"/>
        <v>0</v>
      </c>
      <c r="CE94" s="144"/>
      <c r="CF94" s="156">
        <f t="shared" ca="1" si="196"/>
        <v>0</v>
      </c>
      <c r="CG94" s="156">
        <f t="shared" ca="1" si="112"/>
        <v>0</v>
      </c>
      <c r="CH94" s="157" t="str">
        <f t="shared" ca="1" si="170"/>
        <v/>
      </c>
      <c r="CI94" s="92"/>
      <c r="CJ94" s="158">
        <f t="shared" ca="1" si="171"/>
        <v>0</v>
      </c>
      <c r="CK94" s="158">
        <f t="shared" ca="1" si="172"/>
        <v>0</v>
      </c>
      <c r="CL94" s="144"/>
      <c r="CM94" s="159">
        <f t="shared" ca="1" si="197"/>
        <v>0</v>
      </c>
      <c r="CN94" s="159">
        <f t="shared" ca="1" si="113"/>
        <v>0</v>
      </c>
      <c r="CO94" s="160" t="str">
        <f t="shared" ca="1" si="173"/>
        <v/>
      </c>
      <c r="CP94" s="92"/>
      <c r="CQ94" s="140">
        <v>91</v>
      </c>
      <c r="CR94" s="330">
        <v>0.12</v>
      </c>
      <c r="CS94" s="92">
        <f t="shared" si="198"/>
        <v>0</v>
      </c>
      <c r="CT94" s="335">
        <f t="shared" si="199"/>
        <v>0.12</v>
      </c>
      <c r="CU94" s="92">
        <f t="shared" si="200"/>
        <v>1</v>
      </c>
      <c r="CV94" s="348">
        <f t="shared" si="148"/>
        <v>1</v>
      </c>
      <c r="CW94" s="367">
        <f t="shared" si="144"/>
        <v>127.65</v>
      </c>
      <c r="CX94" s="367">
        <f t="shared" si="145"/>
        <v>62.61</v>
      </c>
      <c r="CY94" s="367">
        <f t="shared" si="146"/>
        <v>252.75</v>
      </c>
      <c r="CZ94" s="380">
        <f t="shared" si="147"/>
        <v>141.72999999999999</v>
      </c>
      <c r="DA94"/>
      <c r="DB94" s="391">
        <v>91</v>
      </c>
      <c r="DC94" s="59">
        <v>354297.7</v>
      </c>
      <c r="DD94" s="59">
        <v>250917.85</v>
      </c>
      <c r="DE94" s="59">
        <v>314494.49</v>
      </c>
      <c r="DF94" s="59">
        <v>222728.74</v>
      </c>
      <c r="DG94" s="59">
        <v>278458.65999999997</v>
      </c>
      <c r="DH94" s="59">
        <v>197207.74</v>
      </c>
      <c r="DI94" s="137">
        <v>1295066.49</v>
      </c>
      <c r="DJ94" s="137">
        <v>1057704.68</v>
      </c>
      <c r="DK94" s="138">
        <v>926116.48</v>
      </c>
      <c r="DL94" s="138">
        <v>782910.94</v>
      </c>
      <c r="DM94" s="137">
        <v>660294.06000000006</v>
      </c>
      <c r="DN94" s="139">
        <v>540033.41</v>
      </c>
      <c r="DP94" s="384" t="s">
        <v>219</v>
      </c>
      <c r="DQ94" s="389">
        <v>7462.1</v>
      </c>
      <c r="DR94" s="389">
        <v>9504.91</v>
      </c>
    </row>
    <row r="95" spans="1:122">
      <c r="A95" s="178">
        <v>59</v>
      </c>
      <c r="B95" s="173">
        <f ca="1">RESUMEN!J62</f>
        <v>0</v>
      </c>
      <c r="C95" s="173">
        <f ca="1">+RESUMEN!K62</f>
        <v>0</v>
      </c>
      <c r="D95" s="174">
        <f t="shared" ca="1" si="174"/>
        <v>0</v>
      </c>
      <c r="E95" s="91"/>
      <c r="F95" s="92">
        <v>1</v>
      </c>
      <c r="G95" s="390" t="s">
        <v>463</v>
      </c>
      <c r="H95" s="386">
        <v>1</v>
      </c>
      <c r="I95" s="353"/>
      <c r="J95" s="164">
        <v>92</v>
      </c>
      <c r="K95" s="59">
        <f t="shared" si="132"/>
        <v>354297.7</v>
      </c>
      <c r="L95" s="59">
        <f t="shared" si="133"/>
        <v>250917.85</v>
      </c>
      <c r="M95" s="59">
        <f t="shared" si="134"/>
        <v>314494.49</v>
      </c>
      <c r="N95" s="59">
        <f t="shared" si="135"/>
        <v>222728.74</v>
      </c>
      <c r="O95" s="59">
        <f t="shared" si="136"/>
        <v>278458.65999999997</v>
      </c>
      <c r="P95" s="59">
        <f t="shared" si="137"/>
        <v>197207.74</v>
      </c>
      <c r="Q95" s="136">
        <f t="shared" si="149"/>
        <v>1295066.49</v>
      </c>
      <c r="R95" s="136">
        <f t="shared" si="150"/>
        <v>1057704.68</v>
      </c>
      <c r="S95" s="136">
        <f t="shared" si="151"/>
        <v>926116.48</v>
      </c>
      <c r="T95" s="136">
        <f t="shared" si="152"/>
        <v>782910.94</v>
      </c>
      <c r="U95" s="136">
        <f t="shared" si="153"/>
        <v>660294.06000000006</v>
      </c>
      <c r="V95" s="136">
        <f t="shared" si="154"/>
        <v>540033.41</v>
      </c>
      <c r="W95" s="92"/>
      <c r="X95" s="137">
        <f t="shared" si="138"/>
        <v>1295066.49</v>
      </c>
      <c r="Y95" s="137">
        <f t="shared" si="139"/>
        <v>1057704.68</v>
      </c>
      <c r="Z95" s="136">
        <f t="shared" si="175"/>
        <v>1350754.34907</v>
      </c>
      <c r="AA95" s="136">
        <f t="shared" si="176"/>
        <v>1103185.9812399999</v>
      </c>
      <c r="AB95" s="136">
        <f t="shared" si="177"/>
        <v>1450474.4688000001</v>
      </c>
      <c r="AC95" s="136">
        <f t="shared" si="178"/>
        <v>1184629.2416000001</v>
      </c>
      <c r="AD95" s="138">
        <f t="shared" si="140"/>
        <v>926116.48</v>
      </c>
      <c r="AE95" s="138">
        <f t="shared" si="141"/>
        <v>782910.94</v>
      </c>
      <c r="AF95" s="136">
        <f t="shared" si="179"/>
        <v>965939.48863999988</v>
      </c>
      <c r="AG95" s="136">
        <f t="shared" si="180"/>
        <v>816576.11041999992</v>
      </c>
      <c r="AH95" s="136">
        <f t="shared" si="181"/>
        <v>1037250.4576000001</v>
      </c>
      <c r="AI95" s="136">
        <f t="shared" si="182"/>
        <v>876860.25280000002</v>
      </c>
      <c r="AJ95" s="137">
        <f t="shared" si="142"/>
        <v>660294.06000000006</v>
      </c>
      <c r="AK95" s="137">
        <f t="shared" si="143"/>
        <v>540033.41</v>
      </c>
      <c r="AL95" s="136">
        <f t="shared" si="183"/>
        <v>688686.70458000002</v>
      </c>
      <c r="AM95" s="136">
        <f t="shared" si="184"/>
        <v>563254.84663000004</v>
      </c>
      <c r="AN95" s="136">
        <f t="shared" si="185"/>
        <v>739529.34720000008</v>
      </c>
      <c r="AO95" s="136">
        <f t="shared" si="186"/>
        <v>604837.41920000012</v>
      </c>
      <c r="AP95" s="92"/>
      <c r="AQ95" s="140">
        <v>92</v>
      </c>
      <c r="AR95" s="141">
        <f ca="1">+RESUMEN!F95</f>
        <v>0</v>
      </c>
      <c r="AS95" s="141">
        <f ca="1">+RESUMEN!G95</f>
        <v>0</v>
      </c>
      <c r="AT95" s="142">
        <f t="shared" ca="1" si="155"/>
        <v>0</v>
      </c>
      <c r="AU95" s="143">
        <f t="shared" si="187"/>
        <v>0</v>
      </c>
      <c r="AV95" s="143">
        <f t="shared" si="188"/>
        <v>0</v>
      </c>
      <c r="AW95" s="143">
        <f t="shared" si="189"/>
        <v>0</v>
      </c>
      <c r="AX95" s="143">
        <f t="shared" si="190"/>
        <v>0</v>
      </c>
      <c r="AY95" s="143">
        <f t="shared" ca="1" si="191"/>
        <v>0</v>
      </c>
      <c r="AZ95" s="142"/>
      <c r="BA95" s="143">
        <f t="shared" ca="1" si="156"/>
        <v>0</v>
      </c>
      <c r="BB95" s="143">
        <f t="shared" ca="1" si="157"/>
        <v>0</v>
      </c>
      <c r="BC95" s="144"/>
      <c r="BD95" s="145">
        <f t="shared" ca="1" si="192"/>
        <v>0</v>
      </c>
      <c r="BE95" s="145">
        <f t="shared" ca="1" si="108"/>
        <v>0</v>
      </c>
      <c r="BF95" s="146" t="str">
        <f t="shared" ca="1" si="158"/>
        <v/>
      </c>
      <c r="BG95" s="92"/>
      <c r="BH95" s="95">
        <f t="shared" ca="1" si="159"/>
        <v>0</v>
      </c>
      <c r="BI95" s="95">
        <f t="shared" ca="1" si="160"/>
        <v>0</v>
      </c>
      <c r="BJ95" s="144"/>
      <c r="BK95" s="147">
        <f t="shared" ca="1" si="193"/>
        <v>0</v>
      </c>
      <c r="BL95" s="147">
        <f t="shared" ca="1" si="110"/>
        <v>0</v>
      </c>
      <c r="BM95" s="148" t="str">
        <f t="shared" ca="1" si="161"/>
        <v/>
      </c>
      <c r="BN95" s="92"/>
      <c r="BO95" s="149">
        <f t="shared" ca="1" si="162"/>
        <v>0</v>
      </c>
      <c r="BP95" s="149">
        <f t="shared" ca="1" si="163"/>
        <v>0</v>
      </c>
      <c r="BQ95" s="144"/>
      <c r="BR95" s="150">
        <f t="shared" ca="1" si="194"/>
        <v>0</v>
      </c>
      <c r="BS95" s="150">
        <f t="shared" ca="1" si="109"/>
        <v>0</v>
      </c>
      <c r="BT95" s="151" t="str">
        <f t="shared" ca="1" si="164"/>
        <v/>
      </c>
      <c r="BU95" s="92"/>
      <c r="BV95" s="152">
        <f t="shared" ca="1" si="165"/>
        <v>0</v>
      </c>
      <c r="BW95" s="152">
        <f t="shared" ca="1" si="166"/>
        <v>0</v>
      </c>
      <c r="BX95" s="144"/>
      <c r="BY95" s="153">
        <f t="shared" ca="1" si="195"/>
        <v>0</v>
      </c>
      <c r="BZ95" s="153">
        <f t="shared" ca="1" si="111"/>
        <v>0</v>
      </c>
      <c r="CA95" s="154" t="str">
        <f t="shared" ca="1" si="167"/>
        <v/>
      </c>
      <c r="CB95" s="92"/>
      <c r="CC95" s="155">
        <f t="shared" ca="1" si="168"/>
        <v>0</v>
      </c>
      <c r="CD95" s="155">
        <f t="shared" ca="1" si="169"/>
        <v>0</v>
      </c>
      <c r="CE95" s="144"/>
      <c r="CF95" s="156">
        <f t="shared" ca="1" si="196"/>
        <v>0</v>
      </c>
      <c r="CG95" s="156">
        <f t="shared" ca="1" si="112"/>
        <v>0</v>
      </c>
      <c r="CH95" s="157" t="str">
        <f t="shared" ca="1" si="170"/>
        <v/>
      </c>
      <c r="CI95" s="92"/>
      <c r="CJ95" s="158">
        <f t="shared" ca="1" si="171"/>
        <v>0</v>
      </c>
      <c r="CK95" s="158">
        <f t="shared" ca="1" si="172"/>
        <v>0</v>
      </c>
      <c r="CL95" s="144"/>
      <c r="CM95" s="159">
        <f t="shared" ca="1" si="197"/>
        <v>0</v>
      </c>
      <c r="CN95" s="159">
        <f t="shared" ca="1" si="113"/>
        <v>0</v>
      </c>
      <c r="CO95" s="160" t="str">
        <f t="shared" ca="1" si="173"/>
        <v/>
      </c>
      <c r="CP95" s="92"/>
      <c r="CQ95" s="140">
        <v>92</v>
      </c>
      <c r="CR95" s="330">
        <v>0.12</v>
      </c>
      <c r="CS95" s="92">
        <f t="shared" si="198"/>
        <v>0</v>
      </c>
      <c r="CT95" s="335">
        <f t="shared" si="199"/>
        <v>0.12</v>
      </c>
      <c r="CU95" s="92">
        <f t="shared" si="200"/>
        <v>1</v>
      </c>
      <c r="CV95" s="348">
        <f t="shared" si="148"/>
        <v>1</v>
      </c>
      <c r="CW95" s="367">
        <f t="shared" si="144"/>
        <v>127.65</v>
      </c>
      <c r="CX95" s="367">
        <f t="shared" si="145"/>
        <v>62.61</v>
      </c>
      <c r="CY95" s="367">
        <f t="shared" si="146"/>
        <v>252.75</v>
      </c>
      <c r="CZ95" s="380">
        <f t="shared" si="147"/>
        <v>141.72999999999999</v>
      </c>
      <c r="DA95"/>
      <c r="DB95" s="391">
        <v>92</v>
      </c>
      <c r="DC95" s="59">
        <v>354297.7</v>
      </c>
      <c r="DD95" s="59">
        <v>250917.85</v>
      </c>
      <c r="DE95" s="59">
        <v>314494.49</v>
      </c>
      <c r="DF95" s="59">
        <v>222728.74</v>
      </c>
      <c r="DG95" s="59">
        <v>278458.65999999997</v>
      </c>
      <c r="DH95" s="59">
        <v>197207.74</v>
      </c>
      <c r="DI95" s="137">
        <v>1295066.49</v>
      </c>
      <c r="DJ95" s="137">
        <v>1057704.68</v>
      </c>
      <c r="DK95" s="138">
        <v>926116.48</v>
      </c>
      <c r="DL95" s="138">
        <v>782910.94</v>
      </c>
      <c r="DM95" s="137">
        <v>660294.06000000006</v>
      </c>
      <c r="DN95" s="139">
        <v>540033.41</v>
      </c>
      <c r="DP95" s="384" t="s">
        <v>220</v>
      </c>
      <c r="DQ95" s="389">
        <v>7462.1</v>
      </c>
      <c r="DR95" s="389">
        <v>9504.91</v>
      </c>
    </row>
    <row r="96" spans="1:122">
      <c r="A96" s="178">
        <v>60</v>
      </c>
      <c r="B96" s="173">
        <f ca="1">RESUMEN!J63</f>
        <v>0</v>
      </c>
      <c r="C96" s="173">
        <f ca="1">+RESUMEN!K63</f>
        <v>0</v>
      </c>
      <c r="D96" s="174">
        <f t="shared" ca="1" si="174"/>
        <v>0</v>
      </c>
      <c r="E96" s="91"/>
      <c r="F96" s="92">
        <v>2</v>
      </c>
      <c r="G96" s="390" t="s">
        <v>464</v>
      </c>
      <c r="H96" s="386">
        <v>2</v>
      </c>
      <c r="I96" s="353"/>
      <c r="J96" s="164">
        <v>93</v>
      </c>
      <c r="K96" s="59">
        <f t="shared" si="132"/>
        <v>354297.7</v>
      </c>
      <c r="L96" s="59">
        <f t="shared" si="133"/>
        <v>250917.85</v>
      </c>
      <c r="M96" s="59">
        <f t="shared" si="134"/>
        <v>314494.49</v>
      </c>
      <c r="N96" s="59">
        <f t="shared" si="135"/>
        <v>222728.74</v>
      </c>
      <c r="O96" s="59">
        <f t="shared" si="136"/>
        <v>278458.65999999997</v>
      </c>
      <c r="P96" s="59">
        <f t="shared" si="137"/>
        <v>197207.74</v>
      </c>
      <c r="Q96" s="136">
        <f t="shared" si="149"/>
        <v>1295066.49</v>
      </c>
      <c r="R96" s="136">
        <f t="shared" si="150"/>
        <v>1057704.68</v>
      </c>
      <c r="S96" s="136">
        <f t="shared" si="151"/>
        <v>926116.48</v>
      </c>
      <c r="T96" s="136">
        <f t="shared" si="152"/>
        <v>782910.94</v>
      </c>
      <c r="U96" s="136">
        <f t="shared" si="153"/>
        <v>660294.06000000006</v>
      </c>
      <c r="V96" s="136">
        <f t="shared" si="154"/>
        <v>540033.41</v>
      </c>
      <c r="W96" s="92"/>
      <c r="X96" s="137">
        <f t="shared" si="138"/>
        <v>1295066.49</v>
      </c>
      <c r="Y96" s="137">
        <f t="shared" si="139"/>
        <v>1057704.68</v>
      </c>
      <c r="Z96" s="136">
        <f t="shared" si="175"/>
        <v>1350754.34907</v>
      </c>
      <c r="AA96" s="136">
        <f t="shared" si="176"/>
        <v>1103185.9812399999</v>
      </c>
      <c r="AB96" s="136">
        <f t="shared" si="177"/>
        <v>1450474.4688000001</v>
      </c>
      <c r="AC96" s="136">
        <f t="shared" si="178"/>
        <v>1184629.2416000001</v>
      </c>
      <c r="AD96" s="138">
        <f t="shared" si="140"/>
        <v>926116.48</v>
      </c>
      <c r="AE96" s="138">
        <f t="shared" si="141"/>
        <v>782910.94</v>
      </c>
      <c r="AF96" s="136">
        <f t="shared" si="179"/>
        <v>965939.48863999988</v>
      </c>
      <c r="AG96" s="136">
        <f t="shared" si="180"/>
        <v>816576.11041999992</v>
      </c>
      <c r="AH96" s="136">
        <f t="shared" si="181"/>
        <v>1037250.4576000001</v>
      </c>
      <c r="AI96" s="136">
        <f t="shared" si="182"/>
        <v>876860.25280000002</v>
      </c>
      <c r="AJ96" s="137">
        <f t="shared" si="142"/>
        <v>660294.06000000006</v>
      </c>
      <c r="AK96" s="137">
        <f t="shared" si="143"/>
        <v>540033.41</v>
      </c>
      <c r="AL96" s="136">
        <f t="shared" si="183"/>
        <v>688686.70458000002</v>
      </c>
      <c r="AM96" s="136">
        <f t="shared" si="184"/>
        <v>563254.84663000004</v>
      </c>
      <c r="AN96" s="136">
        <f t="shared" si="185"/>
        <v>739529.34720000008</v>
      </c>
      <c r="AO96" s="136">
        <f t="shared" si="186"/>
        <v>604837.41920000012</v>
      </c>
      <c r="AP96" s="92"/>
      <c r="AQ96" s="140">
        <v>93</v>
      </c>
      <c r="AR96" s="141">
        <f ca="1">+RESUMEN!F96</f>
        <v>0</v>
      </c>
      <c r="AS96" s="141">
        <f ca="1">+RESUMEN!G96</f>
        <v>0</v>
      </c>
      <c r="AT96" s="142">
        <f t="shared" ca="1" si="155"/>
        <v>0</v>
      </c>
      <c r="AU96" s="143">
        <f t="shared" si="187"/>
        <v>0</v>
      </c>
      <c r="AV96" s="143">
        <f t="shared" si="188"/>
        <v>0</v>
      </c>
      <c r="AW96" s="143">
        <f t="shared" si="189"/>
        <v>0</v>
      </c>
      <c r="AX96" s="143">
        <f t="shared" si="190"/>
        <v>0</v>
      </c>
      <c r="AY96" s="143">
        <f t="shared" ca="1" si="191"/>
        <v>0</v>
      </c>
      <c r="AZ96" s="142"/>
      <c r="BA96" s="143">
        <f t="shared" ca="1" si="156"/>
        <v>0</v>
      </c>
      <c r="BB96" s="143">
        <f t="shared" ca="1" si="157"/>
        <v>0</v>
      </c>
      <c r="BC96" s="144"/>
      <c r="BD96" s="145">
        <f t="shared" ca="1" si="192"/>
        <v>0</v>
      </c>
      <c r="BE96" s="145">
        <f t="shared" ca="1" si="108"/>
        <v>0</v>
      </c>
      <c r="BF96" s="146" t="str">
        <f t="shared" ca="1" si="158"/>
        <v/>
      </c>
      <c r="BG96" s="92"/>
      <c r="BH96" s="95">
        <f t="shared" ca="1" si="159"/>
        <v>0</v>
      </c>
      <c r="BI96" s="95">
        <f t="shared" ca="1" si="160"/>
        <v>0</v>
      </c>
      <c r="BJ96" s="144"/>
      <c r="BK96" s="147">
        <f t="shared" ca="1" si="193"/>
        <v>0</v>
      </c>
      <c r="BL96" s="147">
        <f t="shared" ca="1" si="110"/>
        <v>0</v>
      </c>
      <c r="BM96" s="148" t="str">
        <f t="shared" ca="1" si="161"/>
        <v/>
      </c>
      <c r="BN96" s="92"/>
      <c r="BO96" s="149">
        <f t="shared" ca="1" si="162"/>
        <v>0</v>
      </c>
      <c r="BP96" s="149">
        <f t="shared" ca="1" si="163"/>
        <v>0</v>
      </c>
      <c r="BQ96" s="144"/>
      <c r="BR96" s="150">
        <f t="shared" ca="1" si="194"/>
        <v>0</v>
      </c>
      <c r="BS96" s="150">
        <f t="shared" ca="1" si="109"/>
        <v>0</v>
      </c>
      <c r="BT96" s="151" t="str">
        <f t="shared" ca="1" si="164"/>
        <v/>
      </c>
      <c r="BU96" s="92"/>
      <c r="BV96" s="152">
        <f t="shared" ca="1" si="165"/>
        <v>0</v>
      </c>
      <c r="BW96" s="152">
        <f t="shared" ca="1" si="166"/>
        <v>0</v>
      </c>
      <c r="BX96" s="144"/>
      <c r="BY96" s="153">
        <f t="shared" ca="1" si="195"/>
        <v>0</v>
      </c>
      <c r="BZ96" s="153">
        <f t="shared" ca="1" si="111"/>
        <v>0</v>
      </c>
      <c r="CA96" s="154" t="str">
        <f t="shared" ca="1" si="167"/>
        <v/>
      </c>
      <c r="CB96" s="92"/>
      <c r="CC96" s="155">
        <f t="shared" ca="1" si="168"/>
        <v>0</v>
      </c>
      <c r="CD96" s="155">
        <f t="shared" ca="1" si="169"/>
        <v>0</v>
      </c>
      <c r="CE96" s="144"/>
      <c r="CF96" s="156">
        <f t="shared" ca="1" si="196"/>
        <v>0</v>
      </c>
      <c r="CG96" s="156">
        <f t="shared" ca="1" si="112"/>
        <v>0</v>
      </c>
      <c r="CH96" s="157" t="str">
        <f t="shared" ca="1" si="170"/>
        <v/>
      </c>
      <c r="CI96" s="92"/>
      <c r="CJ96" s="158">
        <f t="shared" ca="1" si="171"/>
        <v>0</v>
      </c>
      <c r="CK96" s="158">
        <f t="shared" ca="1" si="172"/>
        <v>0</v>
      </c>
      <c r="CL96" s="144"/>
      <c r="CM96" s="159">
        <f t="shared" ca="1" si="197"/>
        <v>0</v>
      </c>
      <c r="CN96" s="159">
        <f t="shared" ca="1" si="113"/>
        <v>0</v>
      </c>
      <c r="CO96" s="160" t="str">
        <f t="shared" ca="1" si="173"/>
        <v/>
      </c>
      <c r="CP96" s="92"/>
      <c r="CQ96" s="140">
        <v>93</v>
      </c>
      <c r="CR96" s="330">
        <v>0.12</v>
      </c>
      <c r="CS96" s="92">
        <f t="shared" si="198"/>
        <v>0</v>
      </c>
      <c r="CT96" s="335">
        <f t="shared" si="199"/>
        <v>0.12</v>
      </c>
      <c r="CU96" s="92">
        <f t="shared" si="200"/>
        <v>1</v>
      </c>
      <c r="CV96" s="348">
        <f t="shared" si="148"/>
        <v>1</v>
      </c>
      <c r="CW96" s="367">
        <f t="shared" si="144"/>
        <v>127.65</v>
      </c>
      <c r="CX96" s="367">
        <f t="shared" si="145"/>
        <v>62.61</v>
      </c>
      <c r="CY96" s="367">
        <f t="shared" si="146"/>
        <v>252.75</v>
      </c>
      <c r="CZ96" s="380">
        <f t="shared" si="147"/>
        <v>141.72999999999999</v>
      </c>
      <c r="DA96"/>
      <c r="DB96" s="391">
        <v>93</v>
      </c>
      <c r="DC96" s="59">
        <v>354297.7</v>
      </c>
      <c r="DD96" s="59">
        <v>250917.85</v>
      </c>
      <c r="DE96" s="59">
        <v>314494.49</v>
      </c>
      <c r="DF96" s="59">
        <v>222728.74</v>
      </c>
      <c r="DG96" s="59">
        <v>278458.65999999997</v>
      </c>
      <c r="DH96" s="59">
        <v>197207.74</v>
      </c>
      <c r="DI96" s="137">
        <v>1295066.49</v>
      </c>
      <c r="DJ96" s="137">
        <v>1057704.68</v>
      </c>
      <c r="DK96" s="138">
        <v>926116.48</v>
      </c>
      <c r="DL96" s="138">
        <v>782910.94</v>
      </c>
      <c r="DM96" s="137">
        <v>660294.06000000006</v>
      </c>
      <c r="DN96" s="139">
        <v>540033.41</v>
      </c>
      <c r="DP96" s="384" t="s">
        <v>221</v>
      </c>
      <c r="DQ96" s="389">
        <v>7462.1</v>
      </c>
      <c r="DR96" s="389">
        <v>9504.91</v>
      </c>
    </row>
    <row r="97" spans="1:122">
      <c r="A97" s="178">
        <v>61</v>
      </c>
      <c r="B97" s="173">
        <f ca="1">RESUMEN!J64</f>
        <v>0</v>
      </c>
      <c r="C97" s="173">
        <f ca="1">+RESUMEN!K64</f>
        <v>0</v>
      </c>
      <c r="D97" s="174">
        <f t="shared" ca="1" si="174"/>
        <v>0</v>
      </c>
      <c r="E97" s="91"/>
      <c r="F97" s="92">
        <v>3</v>
      </c>
      <c r="G97" s="390" t="s">
        <v>465</v>
      </c>
      <c r="H97" s="386">
        <v>3</v>
      </c>
      <c r="I97" s="353"/>
      <c r="J97" s="164">
        <v>94</v>
      </c>
      <c r="K97" s="59">
        <f t="shared" si="132"/>
        <v>354297.7</v>
      </c>
      <c r="L97" s="59">
        <f t="shared" si="133"/>
        <v>250917.85</v>
      </c>
      <c r="M97" s="59">
        <f t="shared" si="134"/>
        <v>314494.49</v>
      </c>
      <c r="N97" s="59">
        <f t="shared" si="135"/>
        <v>222728.74</v>
      </c>
      <c r="O97" s="59">
        <f t="shared" si="136"/>
        <v>278458.65999999997</v>
      </c>
      <c r="P97" s="59">
        <f t="shared" si="137"/>
        <v>197207.74</v>
      </c>
      <c r="Q97" s="136">
        <f t="shared" si="149"/>
        <v>1295066.49</v>
      </c>
      <c r="R97" s="136">
        <f t="shared" si="150"/>
        <v>1057704.68</v>
      </c>
      <c r="S97" s="136">
        <f t="shared" si="151"/>
        <v>926116.48</v>
      </c>
      <c r="T97" s="136">
        <f t="shared" si="152"/>
        <v>782910.94</v>
      </c>
      <c r="U97" s="136">
        <f t="shared" si="153"/>
        <v>660294.06000000006</v>
      </c>
      <c r="V97" s="136">
        <f t="shared" si="154"/>
        <v>540033.41</v>
      </c>
      <c r="W97" s="92"/>
      <c r="X97" s="137">
        <f t="shared" si="138"/>
        <v>1295066.49</v>
      </c>
      <c r="Y97" s="137">
        <f t="shared" si="139"/>
        <v>1057704.68</v>
      </c>
      <c r="Z97" s="136">
        <f t="shared" si="175"/>
        <v>1350754.34907</v>
      </c>
      <c r="AA97" s="136">
        <f t="shared" si="176"/>
        <v>1103185.9812399999</v>
      </c>
      <c r="AB97" s="136">
        <f t="shared" si="177"/>
        <v>1450474.4688000001</v>
      </c>
      <c r="AC97" s="136">
        <f t="shared" si="178"/>
        <v>1184629.2416000001</v>
      </c>
      <c r="AD97" s="138">
        <f t="shared" si="140"/>
        <v>926116.48</v>
      </c>
      <c r="AE97" s="138">
        <f t="shared" si="141"/>
        <v>782910.94</v>
      </c>
      <c r="AF97" s="136">
        <f t="shared" si="179"/>
        <v>965939.48863999988</v>
      </c>
      <c r="AG97" s="136">
        <f t="shared" si="180"/>
        <v>816576.11041999992</v>
      </c>
      <c r="AH97" s="136">
        <f t="shared" si="181"/>
        <v>1037250.4576000001</v>
      </c>
      <c r="AI97" s="136">
        <f t="shared" si="182"/>
        <v>876860.25280000002</v>
      </c>
      <c r="AJ97" s="137">
        <f t="shared" si="142"/>
        <v>660294.06000000006</v>
      </c>
      <c r="AK97" s="137">
        <f t="shared" si="143"/>
        <v>540033.41</v>
      </c>
      <c r="AL97" s="136">
        <f t="shared" si="183"/>
        <v>688686.70458000002</v>
      </c>
      <c r="AM97" s="136">
        <f t="shared" si="184"/>
        <v>563254.84663000004</v>
      </c>
      <c r="AN97" s="136">
        <f t="shared" si="185"/>
        <v>739529.34720000008</v>
      </c>
      <c r="AO97" s="136">
        <f t="shared" si="186"/>
        <v>604837.41920000012</v>
      </c>
      <c r="AP97" s="92"/>
      <c r="AQ97" s="140">
        <v>94</v>
      </c>
      <c r="AR97" s="141">
        <f ca="1">+RESUMEN!F97</f>
        <v>0</v>
      </c>
      <c r="AS97" s="141">
        <f ca="1">+RESUMEN!G97</f>
        <v>0</v>
      </c>
      <c r="AT97" s="142">
        <f t="shared" ca="1" si="155"/>
        <v>0</v>
      </c>
      <c r="AU97" s="143">
        <f t="shared" si="187"/>
        <v>0</v>
      </c>
      <c r="AV97" s="143">
        <f t="shared" si="188"/>
        <v>0</v>
      </c>
      <c r="AW97" s="143">
        <f t="shared" si="189"/>
        <v>0</v>
      </c>
      <c r="AX97" s="143">
        <f t="shared" si="190"/>
        <v>0</v>
      </c>
      <c r="AY97" s="143">
        <f t="shared" ca="1" si="191"/>
        <v>0</v>
      </c>
      <c r="AZ97" s="142"/>
      <c r="BA97" s="143">
        <f t="shared" ca="1" si="156"/>
        <v>0</v>
      </c>
      <c r="BB97" s="143">
        <f t="shared" ca="1" si="157"/>
        <v>0</v>
      </c>
      <c r="BC97" s="144"/>
      <c r="BD97" s="145">
        <f t="shared" ca="1" si="192"/>
        <v>0</v>
      </c>
      <c r="BE97" s="145">
        <f t="shared" ca="1" si="108"/>
        <v>0</v>
      </c>
      <c r="BF97" s="146" t="str">
        <f t="shared" ca="1" si="158"/>
        <v/>
      </c>
      <c r="BG97" s="92"/>
      <c r="BH97" s="95">
        <f t="shared" ca="1" si="159"/>
        <v>0</v>
      </c>
      <c r="BI97" s="95">
        <f t="shared" ca="1" si="160"/>
        <v>0</v>
      </c>
      <c r="BJ97" s="144"/>
      <c r="BK97" s="147">
        <f t="shared" ca="1" si="193"/>
        <v>0</v>
      </c>
      <c r="BL97" s="147">
        <f t="shared" ca="1" si="110"/>
        <v>0</v>
      </c>
      <c r="BM97" s="148" t="str">
        <f t="shared" ca="1" si="161"/>
        <v/>
      </c>
      <c r="BN97" s="92"/>
      <c r="BO97" s="149">
        <f t="shared" ca="1" si="162"/>
        <v>0</v>
      </c>
      <c r="BP97" s="149">
        <f t="shared" ca="1" si="163"/>
        <v>0</v>
      </c>
      <c r="BQ97" s="144"/>
      <c r="BR97" s="150">
        <f t="shared" ca="1" si="194"/>
        <v>0</v>
      </c>
      <c r="BS97" s="150">
        <f t="shared" ca="1" si="109"/>
        <v>0</v>
      </c>
      <c r="BT97" s="151" t="str">
        <f t="shared" ca="1" si="164"/>
        <v/>
      </c>
      <c r="BU97" s="92"/>
      <c r="BV97" s="152">
        <f t="shared" ca="1" si="165"/>
        <v>0</v>
      </c>
      <c r="BW97" s="152">
        <f t="shared" ca="1" si="166"/>
        <v>0</v>
      </c>
      <c r="BX97" s="144"/>
      <c r="BY97" s="153">
        <f t="shared" ca="1" si="195"/>
        <v>0</v>
      </c>
      <c r="BZ97" s="153">
        <f t="shared" ca="1" si="111"/>
        <v>0</v>
      </c>
      <c r="CA97" s="154" t="str">
        <f t="shared" ca="1" si="167"/>
        <v/>
      </c>
      <c r="CB97" s="92"/>
      <c r="CC97" s="155">
        <f t="shared" ca="1" si="168"/>
        <v>0</v>
      </c>
      <c r="CD97" s="155">
        <f t="shared" ca="1" si="169"/>
        <v>0</v>
      </c>
      <c r="CE97" s="144"/>
      <c r="CF97" s="156">
        <f t="shared" ca="1" si="196"/>
        <v>0</v>
      </c>
      <c r="CG97" s="156">
        <f t="shared" ca="1" si="112"/>
        <v>0</v>
      </c>
      <c r="CH97" s="157" t="str">
        <f t="shared" ca="1" si="170"/>
        <v/>
      </c>
      <c r="CI97" s="92"/>
      <c r="CJ97" s="158">
        <f t="shared" ca="1" si="171"/>
        <v>0</v>
      </c>
      <c r="CK97" s="158">
        <f t="shared" ca="1" si="172"/>
        <v>0</v>
      </c>
      <c r="CL97" s="144"/>
      <c r="CM97" s="159">
        <f t="shared" ca="1" si="197"/>
        <v>0</v>
      </c>
      <c r="CN97" s="159">
        <f t="shared" ca="1" si="113"/>
        <v>0</v>
      </c>
      <c r="CO97" s="160" t="str">
        <f t="shared" ca="1" si="173"/>
        <v/>
      </c>
      <c r="CP97" s="92"/>
      <c r="CQ97" s="140">
        <v>94</v>
      </c>
      <c r="CR97" s="330">
        <v>0.12</v>
      </c>
      <c r="CS97" s="92">
        <f t="shared" si="198"/>
        <v>0</v>
      </c>
      <c r="CT97" s="335">
        <f t="shared" si="199"/>
        <v>0.12</v>
      </c>
      <c r="CU97" s="92">
        <f t="shared" si="200"/>
        <v>1</v>
      </c>
      <c r="CV97" s="348">
        <f t="shared" si="148"/>
        <v>1</v>
      </c>
      <c r="CW97" s="367">
        <f t="shared" si="144"/>
        <v>127.65</v>
      </c>
      <c r="CX97" s="367">
        <f t="shared" si="145"/>
        <v>62.61</v>
      </c>
      <c r="CY97" s="367">
        <f t="shared" si="146"/>
        <v>252.75</v>
      </c>
      <c r="CZ97" s="380">
        <f t="shared" si="147"/>
        <v>141.72999999999999</v>
      </c>
      <c r="DA97"/>
      <c r="DB97" s="391">
        <v>94</v>
      </c>
      <c r="DC97" s="59">
        <v>354297.7</v>
      </c>
      <c r="DD97" s="59">
        <v>250917.85</v>
      </c>
      <c r="DE97" s="59">
        <v>314494.49</v>
      </c>
      <c r="DF97" s="59">
        <v>222728.74</v>
      </c>
      <c r="DG97" s="59">
        <v>278458.65999999997</v>
      </c>
      <c r="DH97" s="59">
        <v>197207.74</v>
      </c>
      <c r="DI97" s="137">
        <v>1295066.49</v>
      </c>
      <c r="DJ97" s="137">
        <v>1057704.68</v>
      </c>
      <c r="DK97" s="138">
        <v>926116.48</v>
      </c>
      <c r="DL97" s="138">
        <v>782910.94</v>
      </c>
      <c r="DM97" s="137">
        <v>660294.06000000006</v>
      </c>
      <c r="DN97" s="139">
        <v>540033.41</v>
      </c>
      <c r="DP97" s="384" t="s">
        <v>222</v>
      </c>
      <c r="DQ97" s="389">
        <v>7462.1</v>
      </c>
      <c r="DR97" s="389">
        <v>9504.91</v>
      </c>
    </row>
    <row r="98" spans="1:122">
      <c r="A98" s="178">
        <v>62</v>
      </c>
      <c r="B98" s="173">
        <f ca="1">RESUMEN!J65</f>
        <v>0</v>
      </c>
      <c r="C98" s="173">
        <f ca="1">+RESUMEN!K65</f>
        <v>0</v>
      </c>
      <c r="D98" s="174">
        <f t="shared" ca="1" si="174"/>
        <v>0</v>
      </c>
      <c r="E98" s="91"/>
      <c r="F98" s="92">
        <v>4</v>
      </c>
      <c r="G98" s="390" t="s">
        <v>466</v>
      </c>
      <c r="H98" s="386">
        <v>4</v>
      </c>
      <c r="I98" s="353"/>
      <c r="J98" s="164">
        <v>95</v>
      </c>
      <c r="K98" s="59">
        <f t="shared" si="132"/>
        <v>354297.7</v>
      </c>
      <c r="L98" s="59">
        <f t="shared" si="133"/>
        <v>250917.85</v>
      </c>
      <c r="M98" s="59">
        <f t="shared" si="134"/>
        <v>314494.49</v>
      </c>
      <c r="N98" s="59">
        <f t="shared" si="135"/>
        <v>222728.74</v>
      </c>
      <c r="O98" s="59">
        <f t="shared" si="136"/>
        <v>278458.65999999997</v>
      </c>
      <c r="P98" s="59">
        <f t="shared" si="137"/>
        <v>197207.74</v>
      </c>
      <c r="Q98" s="136">
        <f t="shared" si="149"/>
        <v>1295066.49</v>
      </c>
      <c r="R98" s="136">
        <f t="shared" si="150"/>
        <v>1057704.68</v>
      </c>
      <c r="S98" s="136">
        <f t="shared" si="151"/>
        <v>926116.48</v>
      </c>
      <c r="T98" s="136">
        <f t="shared" si="152"/>
        <v>782910.94</v>
      </c>
      <c r="U98" s="136">
        <f t="shared" si="153"/>
        <v>660294.06000000006</v>
      </c>
      <c r="V98" s="136">
        <f t="shared" si="154"/>
        <v>540033.41</v>
      </c>
      <c r="W98" s="92"/>
      <c r="X98" s="137">
        <f t="shared" si="138"/>
        <v>1295066.49</v>
      </c>
      <c r="Y98" s="137">
        <f t="shared" si="139"/>
        <v>1057704.68</v>
      </c>
      <c r="Z98" s="136">
        <f t="shared" si="175"/>
        <v>1350754.34907</v>
      </c>
      <c r="AA98" s="136">
        <f t="shared" si="176"/>
        <v>1103185.9812399999</v>
      </c>
      <c r="AB98" s="136">
        <f t="shared" si="177"/>
        <v>1450474.4688000001</v>
      </c>
      <c r="AC98" s="136">
        <f t="shared" si="178"/>
        <v>1184629.2416000001</v>
      </c>
      <c r="AD98" s="138">
        <f t="shared" si="140"/>
        <v>926116.48</v>
      </c>
      <c r="AE98" s="138">
        <f t="shared" si="141"/>
        <v>782910.94</v>
      </c>
      <c r="AF98" s="136">
        <f t="shared" si="179"/>
        <v>965939.48863999988</v>
      </c>
      <c r="AG98" s="136">
        <f t="shared" si="180"/>
        <v>816576.11041999992</v>
      </c>
      <c r="AH98" s="136">
        <f t="shared" si="181"/>
        <v>1037250.4576000001</v>
      </c>
      <c r="AI98" s="136">
        <f t="shared" si="182"/>
        <v>876860.25280000002</v>
      </c>
      <c r="AJ98" s="137">
        <f t="shared" si="142"/>
        <v>660294.06000000006</v>
      </c>
      <c r="AK98" s="137">
        <f t="shared" si="143"/>
        <v>540033.41</v>
      </c>
      <c r="AL98" s="136">
        <f t="shared" si="183"/>
        <v>688686.70458000002</v>
      </c>
      <c r="AM98" s="136">
        <f t="shared" si="184"/>
        <v>563254.84663000004</v>
      </c>
      <c r="AN98" s="136">
        <f t="shared" si="185"/>
        <v>739529.34720000008</v>
      </c>
      <c r="AO98" s="136">
        <f t="shared" si="186"/>
        <v>604837.41920000012</v>
      </c>
      <c r="AP98" s="92"/>
      <c r="AQ98" s="140">
        <v>95</v>
      </c>
      <c r="AR98" s="141">
        <f ca="1">+RESUMEN!F98</f>
        <v>0</v>
      </c>
      <c r="AS98" s="141">
        <f ca="1">+RESUMEN!G98</f>
        <v>0</v>
      </c>
      <c r="AT98" s="142">
        <f t="shared" ca="1" si="155"/>
        <v>0</v>
      </c>
      <c r="AU98" s="143">
        <f t="shared" si="187"/>
        <v>0</v>
      </c>
      <c r="AV98" s="143">
        <f t="shared" si="188"/>
        <v>0</v>
      </c>
      <c r="AW98" s="143">
        <f t="shared" si="189"/>
        <v>0</v>
      </c>
      <c r="AX98" s="143">
        <f t="shared" si="190"/>
        <v>0</v>
      </c>
      <c r="AY98" s="143">
        <f t="shared" ca="1" si="191"/>
        <v>0</v>
      </c>
      <c r="AZ98" s="142"/>
      <c r="BA98" s="143">
        <f t="shared" ca="1" si="156"/>
        <v>0</v>
      </c>
      <c r="BB98" s="143">
        <f t="shared" ca="1" si="157"/>
        <v>0</v>
      </c>
      <c r="BC98" s="144"/>
      <c r="BD98" s="145">
        <f t="shared" ca="1" si="192"/>
        <v>0</v>
      </c>
      <c r="BE98" s="145">
        <f t="shared" ca="1" si="108"/>
        <v>0</v>
      </c>
      <c r="BF98" s="146" t="str">
        <f t="shared" ca="1" si="158"/>
        <v/>
      </c>
      <c r="BG98" s="92"/>
      <c r="BH98" s="95">
        <f t="shared" ca="1" si="159"/>
        <v>0</v>
      </c>
      <c r="BI98" s="95">
        <f t="shared" ca="1" si="160"/>
        <v>0</v>
      </c>
      <c r="BJ98" s="144"/>
      <c r="BK98" s="147">
        <f t="shared" ca="1" si="193"/>
        <v>0</v>
      </c>
      <c r="BL98" s="147">
        <f t="shared" ca="1" si="110"/>
        <v>0</v>
      </c>
      <c r="BM98" s="148" t="str">
        <f t="shared" ca="1" si="161"/>
        <v/>
      </c>
      <c r="BN98" s="92"/>
      <c r="BO98" s="149">
        <f t="shared" ca="1" si="162"/>
        <v>0</v>
      </c>
      <c r="BP98" s="149">
        <f t="shared" ca="1" si="163"/>
        <v>0</v>
      </c>
      <c r="BQ98" s="144"/>
      <c r="BR98" s="150">
        <f t="shared" ca="1" si="194"/>
        <v>0</v>
      </c>
      <c r="BS98" s="150">
        <f t="shared" ca="1" si="109"/>
        <v>0</v>
      </c>
      <c r="BT98" s="151" t="str">
        <f t="shared" ca="1" si="164"/>
        <v/>
      </c>
      <c r="BU98" s="92"/>
      <c r="BV98" s="152">
        <f t="shared" ca="1" si="165"/>
        <v>0</v>
      </c>
      <c r="BW98" s="152">
        <f t="shared" ca="1" si="166"/>
        <v>0</v>
      </c>
      <c r="BX98" s="144"/>
      <c r="BY98" s="153">
        <f t="shared" ca="1" si="195"/>
        <v>0</v>
      </c>
      <c r="BZ98" s="153">
        <f t="shared" ca="1" si="111"/>
        <v>0</v>
      </c>
      <c r="CA98" s="154" t="str">
        <f t="shared" ca="1" si="167"/>
        <v/>
      </c>
      <c r="CB98" s="92"/>
      <c r="CC98" s="155">
        <f t="shared" ca="1" si="168"/>
        <v>0</v>
      </c>
      <c r="CD98" s="155">
        <f t="shared" ca="1" si="169"/>
        <v>0</v>
      </c>
      <c r="CE98" s="144"/>
      <c r="CF98" s="156">
        <f t="shared" ca="1" si="196"/>
        <v>0</v>
      </c>
      <c r="CG98" s="156">
        <f t="shared" ca="1" si="112"/>
        <v>0</v>
      </c>
      <c r="CH98" s="157" t="str">
        <f t="shared" ca="1" si="170"/>
        <v/>
      </c>
      <c r="CI98" s="92"/>
      <c r="CJ98" s="158">
        <f t="shared" ca="1" si="171"/>
        <v>0</v>
      </c>
      <c r="CK98" s="158">
        <f t="shared" ca="1" si="172"/>
        <v>0</v>
      </c>
      <c r="CL98" s="144"/>
      <c r="CM98" s="159">
        <f t="shared" ca="1" si="197"/>
        <v>0</v>
      </c>
      <c r="CN98" s="159">
        <f t="shared" ca="1" si="113"/>
        <v>0</v>
      </c>
      <c r="CO98" s="160" t="str">
        <f t="shared" ca="1" si="173"/>
        <v/>
      </c>
      <c r="CP98" s="92"/>
      <c r="CQ98" s="140">
        <v>95</v>
      </c>
      <c r="CR98" s="330">
        <v>0.12</v>
      </c>
      <c r="CS98" s="92">
        <f t="shared" si="198"/>
        <v>0</v>
      </c>
      <c r="CT98" s="335">
        <f t="shared" si="199"/>
        <v>0.12</v>
      </c>
      <c r="CU98" s="92">
        <f t="shared" si="200"/>
        <v>1</v>
      </c>
      <c r="CV98" s="348">
        <f t="shared" si="148"/>
        <v>1</v>
      </c>
      <c r="CW98" s="367">
        <f t="shared" si="144"/>
        <v>127.65</v>
      </c>
      <c r="CX98" s="367">
        <f t="shared" si="145"/>
        <v>62.61</v>
      </c>
      <c r="CY98" s="367">
        <f t="shared" si="146"/>
        <v>252.75</v>
      </c>
      <c r="CZ98" s="380">
        <f t="shared" si="147"/>
        <v>141.72999999999999</v>
      </c>
      <c r="DA98"/>
      <c r="DB98" s="391">
        <v>95</v>
      </c>
      <c r="DC98" s="59">
        <v>354297.7</v>
      </c>
      <c r="DD98" s="59">
        <v>250917.85</v>
      </c>
      <c r="DE98" s="59">
        <v>314494.49</v>
      </c>
      <c r="DF98" s="59">
        <v>222728.74</v>
      </c>
      <c r="DG98" s="59">
        <v>278458.65999999997</v>
      </c>
      <c r="DH98" s="59">
        <v>197207.74</v>
      </c>
      <c r="DI98" s="137">
        <v>1295066.49</v>
      </c>
      <c r="DJ98" s="137">
        <v>1057704.68</v>
      </c>
      <c r="DK98" s="138">
        <v>926116.48</v>
      </c>
      <c r="DL98" s="138">
        <v>782910.94</v>
      </c>
      <c r="DM98" s="137">
        <v>660294.06000000006</v>
      </c>
      <c r="DN98" s="139">
        <v>540033.41</v>
      </c>
      <c r="DP98" s="384" t="s">
        <v>223</v>
      </c>
      <c r="DQ98" s="389">
        <v>7462.1</v>
      </c>
      <c r="DR98" s="389">
        <v>9504.91</v>
      </c>
    </row>
    <row r="99" spans="1:122">
      <c r="A99" s="178">
        <v>63</v>
      </c>
      <c r="B99" s="173">
        <f ca="1">RESUMEN!J66</f>
        <v>0</v>
      </c>
      <c r="C99" s="173">
        <f ca="1">+RESUMEN!K66</f>
        <v>0</v>
      </c>
      <c r="D99" s="174">
        <f t="shared" ca="1" si="174"/>
        <v>0</v>
      </c>
      <c r="E99" s="91"/>
      <c r="F99" s="92">
        <v>5</v>
      </c>
      <c r="G99" s="390" t="s">
        <v>467</v>
      </c>
      <c r="H99" s="386">
        <v>5</v>
      </c>
      <c r="I99" s="353"/>
      <c r="J99" s="164">
        <v>96</v>
      </c>
      <c r="K99" s="59">
        <f t="shared" si="132"/>
        <v>354297.7</v>
      </c>
      <c r="L99" s="59">
        <f t="shared" si="133"/>
        <v>250917.85</v>
      </c>
      <c r="M99" s="59">
        <f t="shared" si="134"/>
        <v>314494.49</v>
      </c>
      <c r="N99" s="59">
        <f t="shared" si="135"/>
        <v>222728.74</v>
      </c>
      <c r="O99" s="59">
        <f t="shared" si="136"/>
        <v>278458.65999999997</v>
      </c>
      <c r="P99" s="59">
        <f t="shared" si="137"/>
        <v>197207.74</v>
      </c>
      <c r="Q99" s="136">
        <f t="shared" si="149"/>
        <v>1295066.49</v>
      </c>
      <c r="R99" s="136">
        <f t="shared" si="150"/>
        <v>1057704.68</v>
      </c>
      <c r="S99" s="136">
        <f t="shared" si="151"/>
        <v>926116.48</v>
      </c>
      <c r="T99" s="136">
        <f t="shared" si="152"/>
        <v>782910.94</v>
      </c>
      <c r="U99" s="136">
        <f t="shared" si="153"/>
        <v>660294.06000000006</v>
      </c>
      <c r="V99" s="136">
        <f t="shared" si="154"/>
        <v>540033.41</v>
      </c>
      <c r="W99" s="92"/>
      <c r="X99" s="137">
        <f t="shared" si="138"/>
        <v>1295066.49</v>
      </c>
      <c r="Y99" s="137">
        <f t="shared" si="139"/>
        <v>1057704.68</v>
      </c>
      <c r="Z99" s="136">
        <f t="shared" si="175"/>
        <v>1350754.34907</v>
      </c>
      <c r="AA99" s="136">
        <f t="shared" si="176"/>
        <v>1103185.9812399999</v>
      </c>
      <c r="AB99" s="136">
        <f t="shared" si="177"/>
        <v>1450474.4688000001</v>
      </c>
      <c r="AC99" s="136">
        <f t="shared" si="178"/>
        <v>1184629.2416000001</v>
      </c>
      <c r="AD99" s="138">
        <f t="shared" si="140"/>
        <v>926116.48</v>
      </c>
      <c r="AE99" s="138">
        <f t="shared" si="141"/>
        <v>782910.94</v>
      </c>
      <c r="AF99" s="136">
        <f t="shared" si="179"/>
        <v>965939.48863999988</v>
      </c>
      <c r="AG99" s="136">
        <f t="shared" si="180"/>
        <v>816576.11041999992</v>
      </c>
      <c r="AH99" s="136">
        <f t="shared" si="181"/>
        <v>1037250.4576000001</v>
      </c>
      <c r="AI99" s="136">
        <f t="shared" si="182"/>
        <v>876860.25280000002</v>
      </c>
      <c r="AJ99" s="137">
        <f t="shared" si="142"/>
        <v>660294.06000000006</v>
      </c>
      <c r="AK99" s="137">
        <f t="shared" si="143"/>
        <v>540033.41</v>
      </c>
      <c r="AL99" s="136">
        <f t="shared" si="183"/>
        <v>688686.70458000002</v>
      </c>
      <c r="AM99" s="136">
        <f t="shared" si="184"/>
        <v>563254.84663000004</v>
      </c>
      <c r="AN99" s="136">
        <f t="shared" si="185"/>
        <v>739529.34720000008</v>
      </c>
      <c r="AO99" s="136">
        <f t="shared" si="186"/>
        <v>604837.41920000012</v>
      </c>
      <c r="AP99" s="92"/>
      <c r="AQ99" s="140">
        <v>96</v>
      </c>
      <c r="AR99" s="141">
        <f ca="1">+RESUMEN!F99</f>
        <v>0</v>
      </c>
      <c r="AS99" s="141">
        <f ca="1">+RESUMEN!G99</f>
        <v>0</v>
      </c>
      <c r="AT99" s="142">
        <f ca="1">AR99+AS99</f>
        <v>0</v>
      </c>
      <c r="AU99" s="143">
        <f t="shared" si="187"/>
        <v>0</v>
      </c>
      <c r="AV99" s="143">
        <f t="shared" si="188"/>
        <v>0</v>
      </c>
      <c r="AW99" s="143">
        <f t="shared" si="189"/>
        <v>0</v>
      </c>
      <c r="AX99" s="143">
        <f t="shared" si="190"/>
        <v>0</v>
      </c>
      <c r="AY99" s="143">
        <f t="shared" ca="1" si="191"/>
        <v>0</v>
      </c>
      <c r="AZ99" s="142"/>
      <c r="BA99" s="143">
        <f t="shared" ca="1" si="156"/>
        <v>0</v>
      </c>
      <c r="BB99" s="143">
        <f t="shared" ca="1" si="157"/>
        <v>0</v>
      </c>
      <c r="BC99" s="144"/>
      <c r="BD99" s="145">
        <f t="shared" ca="1" si="192"/>
        <v>0</v>
      </c>
      <c r="BE99" s="145">
        <f t="shared" ca="1" si="108"/>
        <v>0</v>
      </c>
      <c r="BF99" s="146" t="str">
        <f ca="1">IF(BA99=0,"",(SUM(BD99:BE99)))</f>
        <v/>
      </c>
      <c r="BG99" s="92"/>
      <c r="BH99" s="95">
        <f t="shared" ca="1" si="159"/>
        <v>0</v>
      </c>
      <c r="BI99" s="95">
        <f t="shared" ca="1" si="160"/>
        <v>0</v>
      </c>
      <c r="BJ99" s="144"/>
      <c r="BK99" s="147">
        <f t="shared" ca="1" si="193"/>
        <v>0</v>
      </c>
      <c r="BL99" s="147">
        <f t="shared" ca="1" si="110"/>
        <v>0</v>
      </c>
      <c r="BM99" s="148" t="str">
        <f ca="1">IF(BH99=0,"",(SUM(BK99:BL99)))</f>
        <v/>
      </c>
      <c r="BN99" s="92"/>
      <c r="BO99" s="149">
        <f t="shared" ca="1" si="162"/>
        <v>0</v>
      </c>
      <c r="BP99" s="149">
        <f t="shared" ca="1" si="163"/>
        <v>0</v>
      </c>
      <c r="BQ99" s="144"/>
      <c r="BR99" s="150">
        <f t="shared" ca="1" si="194"/>
        <v>0</v>
      </c>
      <c r="BS99" s="150">
        <f t="shared" ca="1" si="109"/>
        <v>0</v>
      </c>
      <c r="BT99" s="151" t="str">
        <f ca="1">IF(BO99=0,"",(SUM(BR99:BS99)))</f>
        <v/>
      </c>
      <c r="BU99" s="92"/>
      <c r="BV99" s="152">
        <f t="shared" ca="1" si="165"/>
        <v>0</v>
      </c>
      <c r="BW99" s="152">
        <f t="shared" ca="1" si="166"/>
        <v>0</v>
      </c>
      <c r="BX99" s="144"/>
      <c r="BY99" s="153">
        <f t="shared" ca="1" si="195"/>
        <v>0</v>
      </c>
      <c r="BZ99" s="153">
        <f t="shared" ca="1" si="111"/>
        <v>0</v>
      </c>
      <c r="CA99" s="154" t="str">
        <f ca="1">IF(BV99=0,"",(SUM(BY99:BZ99)))</f>
        <v/>
      </c>
      <c r="CB99" s="92"/>
      <c r="CC99" s="155">
        <f t="shared" ca="1" si="168"/>
        <v>0</v>
      </c>
      <c r="CD99" s="155">
        <f t="shared" ca="1" si="169"/>
        <v>0</v>
      </c>
      <c r="CE99" s="144"/>
      <c r="CF99" s="156">
        <f t="shared" ca="1" si="196"/>
        <v>0</v>
      </c>
      <c r="CG99" s="156">
        <f t="shared" ca="1" si="112"/>
        <v>0</v>
      </c>
      <c r="CH99" s="157" t="str">
        <f ca="1">IF(CC99=0,"",(SUM(CF99:CG99)))</f>
        <v/>
      </c>
      <c r="CI99" s="92"/>
      <c r="CJ99" s="158">
        <f t="shared" ca="1" si="171"/>
        <v>0</v>
      </c>
      <c r="CK99" s="158">
        <f t="shared" ca="1" si="172"/>
        <v>0</v>
      </c>
      <c r="CL99" s="144"/>
      <c r="CM99" s="159">
        <f t="shared" ca="1" si="197"/>
        <v>0</v>
      </c>
      <c r="CN99" s="159">
        <f t="shared" ca="1" si="113"/>
        <v>0</v>
      </c>
      <c r="CO99" s="160" t="str">
        <f ca="1">IF(CJ99=0,"",(SUM(CM99:CN99)))</f>
        <v/>
      </c>
      <c r="CP99" s="92"/>
      <c r="CQ99" s="140">
        <v>96</v>
      </c>
      <c r="CR99" s="330">
        <v>0.12</v>
      </c>
      <c r="CS99" s="92">
        <f t="shared" si="198"/>
        <v>0</v>
      </c>
      <c r="CT99" s="335">
        <f t="shared" si="199"/>
        <v>0.12</v>
      </c>
      <c r="CU99" s="92">
        <f t="shared" si="200"/>
        <v>1</v>
      </c>
      <c r="CV99" s="348">
        <f t="shared" si="148"/>
        <v>1</v>
      </c>
      <c r="CW99" s="367">
        <f t="shared" si="144"/>
        <v>127.65</v>
      </c>
      <c r="CX99" s="367">
        <f t="shared" si="145"/>
        <v>62.61</v>
      </c>
      <c r="CY99" s="367">
        <f t="shared" si="146"/>
        <v>252.75</v>
      </c>
      <c r="CZ99" s="380">
        <f t="shared" si="147"/>
        <v>141.72999999999999</v>
      </c>
      <c r="DA99"/>
      <c r="DB99" s="391">
        <v>96</v>
      </c>
      <c r="DC99" s="59">
        <v>354297.7</v>
      </c>
      <c r="DD99" s="59">
        <v>250917.85</v>
      </c>
      <c r="DE99" s="59">
        <v>314494.49</v>
      </c>
      <c r="DF99" s="59">
        <v>222728.74</v>
      </c>
      <c r="DG99" s="59">
        <v>278458.65999999997</v>
      </c>
      <c r="DH99" s="59">
        <v>197207.74</v>
      </c>
      <c r="DI99" s="137">
        <v>1295066.49</v>
      </c>
      <c r="DJ99" s="137">
        <v>1057704.68</v>
      </c>
      <c r="DK99" s="138">
        <v>926116.48</v>
      </c>
      <c r="DL99" s="138">
        <v>782910.94</v>
      </c>
      <c r="DM99" s="137">
        <v>660294.06000000006</v>
      </c>
      <c r="DN99" s="139">
        <v>540033.41</v>
      </c>
      <c r="DP99" s="384" t="s">
        <v>224</v>
      </c>
      <c r="DQ99" s="389">
        <v>7462.1</v>
      </c>
      <c r="DR99" s="389">
        <v>9504.91</v>
      </c>
    </row>
    <row r="100" spans="1:122">
      <c r="A100" s="178">
        <v>64</v>
      </c>
      <c r="B100" s="173">
        <f ca="1">RESUMEN!J67</f>
        <v>0</v>
      </c>
      <c r="C100" s="173">
        <f ca="1">+RESUMEN!K67</f>
        <v>0</v>
      </c>
      <c r="D100" s="174">
        <f t="shared" ref="D100:D131" ca="1" si="201">B100+C100</f>
        <v>0</v>
      </c>
      <c r="E100" s="91"/>
      <c r="F100" s="91"/>
      <c r="G100" s="91"/>
      <c r="H100" s="165"/>
      <c r="I100" s="353"/>
      <c r="J100" s="164">
        <v>97</v>
      </c>
      <c r="K100" s="59">
        <f t="shared" si="132"/>
        <v>354297.7</v>
      </c>
      <c r="L100" s="59">
        <f t="shared" si="133"/>
        <v>250917.85</v>
      </c>
      <c r="M100" s="59">
        <f t="shared" si="134"/>
        <v>314494.49</v>
      </c>
      <c r="N100" s="59">
        <f t="shared" si="135"/>
        <v>222728.74</v>
      </c>
      <c r="O100" s="59">
        <f t="shared" si="136"/>
        <v>278458.65999999997</v>
      </c>
      <c r="P100" s="59">
        <f t="shared" si="137"/>
        <v>197207.74</v>
      </c>
      <c r="Q100" s="136">
        <f t="shared" si="149"/>
        <v>1295066.49</v>
      </c>
      <c r="R100" s="136">
        <f t="shared" si="150"/>
        <v>1057704.68</v>
      </c>
      <c r="S100" s="136">
        <f t="shared" si="151"/>
        <v>926116.48</v>
      </c>
      <c r="T100" s="136">
        <f t="shared" si="152"/>
        <v>782910.94</v>
      </c>
      <c r="U100" s="136">
        <f t="shared" si="153"/>
        <v>660294.06000000006</v>
      </c>
      <c r="V100" s="136">
        <f t="shared" si="154"/>
        <v>540033.41</v>
      </c>
      <c r="W100" s="92"/>
      <c r="X100" s="137">
        <f t="shared" si="138"/>
        <v>1295066.49</v>
      </c>
      <c r="Y100" s="137">
        <f t="shared" si="139"/>
        <v>1057704.68</v>
      </c>
      <c r="Z100" s="136">
        <f t="shared" si="175"/>
        <v>1350754.34907</v>
      </c>
      <c r="AA100" s="136">
        <f t="shared" si="176"/>
        <v>1103185.9812399999</v>
      </c>
      <c r="AB100" s="136">
        <f t="shared" si="177"/>
        <v>1450474.4688000001</v>
      </c>
      <c r="AC100" s="136">
        <f t="shared" si="178"/>
        <v>1184629.2416000001</v>
      </c>
      <c r="AD100" s="138">
        <f t="shared" si="140"/>
        <v>926116.48</v>
      </c>
      <c r="AE100" s="138">
        <f t="shared" si="141"/>
        <v>782910.94</v>
      </c>
      <c r="AF100" s="136">
        <f t="shared" si="179"/>
        <v>965939.48863999988</v>
      </c>
      <c r="AG100" s="136">
        <f t="shared" si="180"/>
        <v>816576.11041999992</v>
      </c>
      <c r="AH100" s="136">
        <f t="shared" si="181"/>
        <v>1037250.4576000001</v>
      </c>
      <c r="AI100" s="136">
        <f t="shared" si="182"/>
        <v>876860.25280000002</v>
      </c>
      <c r="AJ100" s="137">
        <f t="shared" si="142"/>
        <v>660294.06000000006</v>
      </c>
      <c r="AK100" s="137">
        <f t="shared" si="143"/>
        <v>540033.41</v>
      </c>
      <c r="AL100" s="136">
        <f t="shared" si="183"/>
        <v>688686.70458000002</v>
      </c>
      <c r="AM100" s="136">
        <f t="shared" si="184"/>
        <v>563254.84663000004</v>
      </c>
      <c r="AN100" s="136">
        <f t="shared" si="185"/>
        <v>739529.34720000008</v>
      </c>
      <c r="AO100" s="136">
        <f t="shared" si="186"/>
        <v>604837.41920000012</v>
      </c>
      <c r="AP100" s="92"/>
      <c r="AQ100" s="140">
        <v>97</v>
      </c>
      <c r="AR100" s="141">
        <f ca="1">+RESUMEN!F100</f>
        <v>0</v>
      </c>
      <c r="AS100" s="141">
        <f ca="1">+RESUMEN!G100</f>
        <v>0</v>
      </c>
      <c r="AT100" s="142">
        <f ca="1">AR100+AS100</f>
        <v>0</v>
      </c>
      <c r="AU100" s="143">
        <f t="shared" si="187"/>
        <v>0</v>
      </c>
      <c r="AV100" s="143">
        <f t="shared" si="188"/>
        <v>0</v>
      </c>
      <c r="AW100" s="143">
        <f t="shared" si="189"/>
        <v>0</v>
      </c>
      <c r="AX100" s="143">
        <f t="shared" si="190"/>
        <v>0</v>
      </c>
      <c r="AY100" s="143">
        <f t="shared" ca="1" si="191"/>
        <v>0</v>
      </c>
      <c r="AZ100" s="142"/>
      <c r="BA100" s="143">
        <f t="shared" ca="1" si="156"/>
        <v>0</v>
      </c>
      <c r="BB100" s="143">
        <f t="shared" ca="1" si="157"/>
        <v>0</v>
      </c>
      <c r="BC100" s="144"/>
      <c r="BD100" s="145">
        <f t="shared" ca="1" si="192"/>
        <v>0</v>
      </c>
      <c r="BE100" s="145">
        <f t="shared" ca="1" si="108"/>
        <v>0</v>
      </c>
      <c r="BF100" s="146" t="str">
        <f ca="1">IF(BA100=0,"",(SUM(BD100:BE100)))</f>
        <v/>
      </c>
      <c r="BG100" s="92"/>
      <c r="BH100" s="95">
        <f t="shared" ca="1" si="159"/>
        <v>0</v>
      </c>
      <c r="BI100" s="95">
        <f t="shared" ca="1" si="160"/>
        <v>0</v>
      </c>
      <c r="BJ100" s="144"/>
      <c r="BK100" s="147">
        <f t="shared" ca="1" si="193"/>
        <v>0</v>
      </c>
      <c r="BL100" s="147">
        <f t="shared" ca="1" si="110"/>
        <v>0</v>
      </c>
      <c r="BM100" s="148" t="str">
        <f ca="1">IF(BH100=0,"",(SUM(BK100:BL100)))</f>
        <v/>
      </c>
      <c r="BN100" s="92"/>
      <c r="BO100" s="149">
        <f t="shared" ca="1" si="162"/>
        <v>0</v>
      </c>
      <c r="BP100" s="149">
        <f t="shared" ca="1" si="163"/>
        <v>0</v>
      </c>
      <c r="BQ100" s="144"/>
      <c r="BR100" s="150">
        <f t="shared" ca="1" si="194"/>
        <v>0</v>
      </c>
      <c r="BS100" s="150">
        <f t="shared" ca="1" si="109"/>
        <v>0</v>
      </c>
      <c r="BT100" s="151" t="str">
        <f ca="1">IF(BO100=0,"",(SUM(BR100:BS100)))</f>
        <v/>
      </c>
      <c r="BU100" s="92"/>
      <c r="BV100" s="152">
        <f t="shared" ca="1" si="165"/>
        <v>0</v>
      </c>
      <c r="BW100" s="152">
        <f t="shared" ca="1" si="166"/>
        <v>0</v>
      </c>
      <c r="BX100" s="144"/>
      <c r="BY100" s="153">
        <f t="shared" ca="1" si="195"/>
        <v>0</v>
      </c>
      <c r="BZ100" s="153">
        <f t="shared" ca="1" si="111"/>
        <v>0</v>
      </c>
      <c r="CA100" s="154" t="str">
        <f ca="1">IF(BV100=0,"",(SUM(BY100:BZ100)))</f>
        <v/>
      </c>
      <c r="CB100" s="92"/>
      <c r="CC100" s="155">
        <f t="shared" ca="1" si="168"/>
        <v>0</v>
      </c>
      <c r="CD100" s="155">
        <f t="shared" ca="1" si="169"/>
        <v>0</v>
      </c>
      <c r="CE100" s="144"/>
      <c r="CF100" s="156">
        <f t="shared" ca="1" si="196"/>
        <v>0</v>
      </c>
      <c r="CG100" s="156">
        <f t="shared" ca="1" si="112"/>
        <v>0</v>
      </c>
      <c r="CH100" s="157" t="str">
        <f ca="1">IF(CC100=0,"",(SUM(CF100:CG100)))</f>
        <v/>
      </c>
      <c r="CI100" s="92"/>
      <c r="CJ100" s="158">
        <f t="shared" ca="1" si="171"/>
        <v>0</v>
      </c>
      <c r="CK100" s="158">
        <f t="shared" ca="1" si="172"/>
        <v>0</v>
      </c>
      <c r="CL100" s="144"/>
      <c r="CM100" s="159">
        <f t="shared" ca="1" si="197"/>
        <v>0</v>
      </c>
      <c r="CN100" s="159">
        <f t="shared" ca="1" si="113"/>
        <v>0</v>
      </c>
      <c r="CO100" s="160" t="str">
        <f ca="1">IF(CJ100=0,"",(SUM(CM100:CN100)))</f>
        <v/>
      </c>
      <c r="CP100" s="92"/>
      <c r="CQ100" s="140">
        <v>97</v>
      </c>
      <c r="CR100" s="330">
        <v>0.12</v>
      </c>
      <c r="CS100" s="92">
        <f t="shared" si="198"/>
        <v>0</v>
      </c>
      <c r="CT100" s="335">
        <f t="shared" si="199"/>
        <v>0.12</v>
      </c>
      <c r="CU100" s="92">
        <f t="shared" si="200"/>
        <v>1</v>
      </c>
      <c r="CV100" s="348">
        <f t="shared" si="148"/>
        <v>1</v>
      </c>
      <c r="CW100" s="367">
        <f t="shared" si="144"/>
        <v>127.65</v>
      </c>
      <c r="CX100" s="367">
        <f t="shared" si="145"/>
        <v>62.61</v>
      </c>
      <c r="CY100" s="367">
        <f t="shared" si="146"/>
        <v>252.75</v>
      </c>
      <c r="CZ100" s="380">
        <f t="shared" si="147"/>
        <v>141.72999999999999</v>
      </c>
      <c r="DA100"/>
      <c r="DB100" s="391">
        <v>97</v>
      </c>
      <c r="DC100" s="59">
        <v>354297.7</v>
      </c>
      <c r="DD100" s="59">
        <v>250917.85</v>
      </c>
      <c r="DE100" s="59">
        <v>314494.49</v>
      </c>
      <c r="DF100" s="59">
        <v>222728.74</v>
      </c>
      <c r="DG100" s="59">
        <v>278458.65999999997</v>
      </c>
      <c r="DH100" s="59">
        <v>197207.74</v>
      </c>
      <c r="DI100" s="137">
        <v>1295066.49</v>
      </c>
      <c r="DJ100" s="137">
        <v>1057704.68</v>
      </c>
      <c r="DK100" s="138">
        <v>926116.48</v>
      </c>
      <c r="DL100" s="138">
        <v>782910.94</v>
      </c>
      <c r="DM100" s="137">
        <v>660294.06000000006</v>
      </c>
      <c r="DN100" s="139">
        <v>540033.41</v>
      </c>
      <c r="DP100" s="384" t="s">
        <v>225</v>
      </c>
      <c r="DQ100" s="389">
        <v>7462.1</v>
      </c>
      <c r="DR100" s="389">
        <v>9504.91</v>
      </c>
    </row>
    <row r="101" spans="1:122">
      <c r="A101" s="178">
        <v>65</v>
      </c>
      <c r="B101" s="173">
        <f ca="1">RESUMEN!J68</f>
        <v>0</v>
      </c>
      <c r="C101" s="173">
        <f ca="1">+RESUMEN!K68</f>
        <v>0</v>
      </c>
      <c r="D101" s="174">
        <f t="shared" ca="1" si="201"/>
        <v>0</v>
      </c>
      <c r="E101" s="91"/>
      <c r="F101" s="91"/>
      <c r="G101" s="91"/>
      <c r="H101" s="165"/>
      <c r="I101" s="353"/>
      <c r="J101" s="164">
        <v>98</v>
      </c>
      <c r="K101" s="59">
        <f t="shared" si="132"/>
        <v>354297.7</v>
      </c>
      <c r="L101" s="59">
        <f t="shared" si="133"/>
        <v>250917.85</v>
      </c>
      <c r="M101" s="59">
        <f t="shared" si="134"/>
        <v>314494.49</v>
      </c>
      <c r="N101" s="59">
        <f t="shared" si="135"/>
        <v>222728.74</v>
      </c>
      <c r="O101" s="59">
        <f t="shared" si="136"/>
        <v>278458.65999999997</v>
      </c>
      <c r="P101" s="59">
        <f t="shared" si="137"/>
        <v>197207.74</v>
      </c>
      <c r="Q101" s="136">
        <f t="shared" si="149"/>
        <v>1295066.49</v>
      </c>
      <c r="R101" s="136">
        <f t="shared" si="150"/>
        <v>1057704.68</v>
      </c>
      <c r="S101" s="136">
        <f t="shared" si="151"/>
        <v>926116.48</v>
      </c>
      <c r="T101" s="136">
        <f t="shared" si="152"/>
        <v>782910.94</v>
      </c>
      <c r="U101" s="136">
        <f t="shared" si="153"/>
        <v>660294.06000000006</v>
      </c>
      <c r="V101" s="136">
        <f t="shared" si="154"/>
        <v>540033.41</v>
      </c>
      <c r="W101" s="92"/>
      <c r="X101" s="137">
        <f t="shared" si="138"/>
        <v>1295066.49</v>
      </c>
      <c r="Y101" s="137">
        <f t="shared" si="139"/>
        <v>1057704.68</v>
      </c>
      <c r="Z101" s="136">
        <f t="shared" si="175"/>
        <v>1350754.34907</v>
      </c>
      <c r="AA101" s="136">
        <f t="shared" si="176"/>
        <v>1103185.9812399999</v>
      </c>
      <c r="AB101" s="136">
        <f t="shared" si="177"/>
        <v>1450474.4688000001</v>
      </c>
      <c r="AC101" s="136">
        <f t="shared" si="178"/>
        <v>1184629.2416000001</v>
      </c>
      <c r="AD101" s="138">
        <f t="shared" si="140"/>
        <v>926116.48</v>
      </c>
      <c r="AE101" s="138">
        <f t="shared" si="141"/>
        <v>782910.94</v>
      </c>
      <c r="AF101" s="136">
        <f t="shared" si="179"/>
        <v>965939.48863999988</v>
      </c>
      <c r="AG101" s="136">
        <f t="shared" si="180"/>
        <v>816576.11041999992</v>
      </c>
      <c r="AH101" s="136">
        <f t="shared" si="181"/>
        <v>1037250.4576000001</v>
      </c>
      <c r="AI101" s="136">
        <f t="shared" si="182"/>
        <v>876860.25280000002</v>
      </c>
      <c r="AJ101" s="137">
        <f t="shared" si="142"/>
        <v>660294.06000000006</v>
      </c>
      <c r="AK101" s="137">
        <f t="shared" si="143"/>
        <v>540033.41</v>
      </c>
      <c r="AL101" s="136">
        <f t="shared" si="183"/>
        <v>688686.70458000002</v>
      </c>
      <c r="AM101" s="136">
        <f t="shared" si="184"/>
        <v>563254.84663000004</v>
      </c>
      <c r="AN101" s="136">
        <f t="shared" si="185"/>
        <v>739529.34720000008</v>
      </c>
      <c r="AO101" s="136">
        <f t="shared" si="186"/>
        <v>604837.41920000012</v>
      </c>
      <c r="AP101" s="92"/>
      <c r="AQ101" s="140">
        <v>98</v>
      </c>
      <c r="AR101" s="141">
        <f ca="1">+RESUMEN!F101</f>
        <v>0</v>
      </c>
      <c r="AS101" s="141">
        <f ca="1">+RESUMEN!G101</f>
        <v>0</v>
      </c>
      <c r="AT101" s="142">
        <f ca="1">AR101+AS101</f>
        <v>0</v>
      </c>
      <c r="AU101" s="143">
        <f t="shared" si="187"/>
        <v>0</v>
      </c>
      <c r="AV101" s="143">
        <f t="shared" si="188"/>
        <v>0</v>
      </c>
      <c r="AW101" s="143">
        <f t="shared" si="189"/>
        <v>0</v>
      </c>
      <c r="AX101" s="143">
        <f t="shared" si="190"/>
        <v>0</v>
      </c>
      <c r="AY101" s="143">
        <f t="shared" ca="1" si="191"/>
        <v>0</v>
      </c>
      <c r="AZ101" s="142"/>
      <c r="BA101" s="143">
        <f t="shared" ca="1" si="156"/>
        <v>0</v>
      </c>
      <c r="BB101" s="143">
        <f t="shared" ca="1" si="157"/>
        <v>0</v>
      </c>
      <c r="BC101" s="144"/>
      <c r="BD101" s="145">
        <f t="shared" ca="1" si="192"/>
        <v>0</v>
      </c>
      <c r="BE101" s="145">
        <f t="shared" ca="1" si="108"/>
        <v>0</v>
      </c>
      <c r="BF101" s="146" t="str">
        <f ca="1">IF(BA101=0,"",(SUM(BD101:BE101)))</f>
        <v/>
      </c>
      <c r="BG101" s="92"/>
      <c r="BH101" s="95">
        <f t="shared" ca="1" si="159"/>
        <v>0</v>
      </c>
      <c r="BI101" s="95">
        <f t="shared" ca="1" si="160"/>
        <v>0</v>
      </c>
      <c r="BJ101" s="144"/>
      <c r="BK101" s="147">
        <f t="shared" ca="1" si="193"/>
        <v>0</v>
      </c>
      <c r="BL101" s="147">
        <f t="shared" ca="1" si="110"/>
        <v>0</v>
      </c>
      <c r="BM101" s="148" t="str">
        <f ca="1">IF(BH101=0,"",(SUM(BK101:BL101)))</f>
        <v/>
      </c>
      <c r="BN101" s="92"/>
      <c r="BO101" s="149">
        <f t="shared" ca="1" si="162"/>
        <v>0</v>
      </c>
      <c r="BP101" s="149">
        <f t="shared" ca="1" si="163"/>
        <v>0</v>
      </c>
      <c r="BQ101" s="144"/>
      <c r="BR101" s="150">
        <f t="shared" ca="1" si="194"/>
        <v>0</v>
      </c>
      <c r="BS101" s="150">
        <f t="shared" ca="1" si="109"/>
        <v>0</v>
      </c>
      <c r="BT101" s="151" t="str">
        <f ca="1">IF(BO101=0,"",(SUM(BR101:BS101)))</f>
        <v/>
      </c>
      <c r="BU101" s="92"/>
      <c r="BV101" s="152">
        <f t="shared" ca="1" si="165"/>
        <v>0</v>
      </c>
      <c r="BW101" s="152">
        <f t="shared" ca="1" si="166"/>
        <v>0</v>
      </c>
      <c r="BX101" s="144"/>
      <c r="BY101" s="153">
        <f t="shared" ca="1" si="195"/>
        <v>0</v>
      </c>
      <c r="BZ101" s="153">
        <f t="shared" ca="1" si="111"/>
        <v>0</v>
      </c>
      <c r="CA101" s="154" t="str">
        <f ca="1">IF(BV101=0,"",(SUM(BY101:BZ101)))</f>
        <v/>
      </c>
      <c r="CB101" s="92"/>
      <c r="CC101" s="155">
        <f t="shared" ca="1" si="168"/>
        <v>0</v>
      </c>
      <c r="CD101" s="155">
        <f t="shared" ca="1" si="169"/>
        <v>0</v>
      </c>
      <c r="CE101" s="144"/>
      <c r="CF101" s="156">
        <f t="shared" ca="1" si="196"/>
        <v>0</v>
      </c>
      <c r="CG101" s="156">
        <f t="shared" ca="1" si="112"/>
        <v>0</v>
      </c>
      <c r="CH101" s="157" t="str">
        <f ca="1">IF(CC101=0,"",(SUM(CF101:CG101)))</f>
        <v/>
      </c>
      <c r="CI101" s="92"/>
      <c r="CJ101" s="158">
        <f t="shared" ca="1" si="171"/>
        <v>0</v>
      </c>
      <c r="CK101" s="158">
        <f t="shared" ca="1" si="172"/>
        <v>0</v>
      </c>
      <c r="CL101" s="144"/>
      <c r="CM101" s="159">
        <f t="shared" ca="1" si="197"/>
        <v>0</v>
      </c>
      <c r="CN101" s="159">
        <f t="shared" ca="1" si="113"/>
        <v>0</v>
      </c>
      <c r="CO101" s="160" t="str">
        <f ca="1">IF(CJ101=0,"",(SUM(CM101:CN101)))</f>
        <v/>
      </c>
      <c r="CP101" s="92"/>
      <c r="CQ101" s="140">
        <v>98</v>
      </c>
      <c r="CR101" s="330">
        <v>0.12</v>
      </c>
      <c r="CS101" s="92">
        <f t="shared" si="198"/>
        <v>0</v>
      </c>
      <c r="CT101" s="335">
        <f t="shared" si="199"/>
        <v>0.12</v>
      </c>
      <c r="CU101" s="92">
        <f t="shared" si="200"/>
        <v>1</v>
      </c>
      <c r="CV101" s="348">
        <f t="shared" si="148"/>
        <v>1</v>
      </c>
      <c r="CW101" s="367">
        <f t="shared" si="144"/>
        <v>127.65</v>
      </c>
      <c r="CX101" s="367">
        <f t="shared" si="145"/>
        <v>62.61</v>
      </c>
      <c r="CY101" s="367">
        <f t="shared" si="146"/>
        <v>252.75</v>
      </c>
      <c r="CZ101" s="380">
        <f t="shared" si="147"/>
        <v>141.72999999999999</v>
      </c>
      <c r="DA101"/>
      <c r="DB101" s="391">
        <v>98</v>
      </c>
      <c r="DC101" s="59">
        <v>354297.7</v>
      </c>
      <c r="DD101" s="59">
        <v>250917.85</v>
      </c>
      <c r="DE101" s="59">
        <v>314494.49</v>
      </c>
      <c r="DF101" s="59">
        <v>222728.74</v>
      </c>
      <c r="DG101" s="59">
        <v>278458.65999999997</v>
      </c>
      <c r="DH101" s="59">
        <v>197207.74</v>
      </c>
      <c r="DI101" s="137">
        <v>1295066.49</v>
      </c>
      <c r="DJ101" s="137">
        <v>1057704.68</v>
      </c>
      <c r="DK101" s="138">
        <v>926116.48</v>
      </c>
      <c r="DL101" s="138">
        <v>782910.94</v>
      </c>
      <c r="DM101" s="137">
        <v>660294.06000000006</v>
      </c>
      <c r="DN101" s="139">
        <v>540033.41</v>
      </c>
      <c r="DP101" s="384" t="s">
        <v>226</v>
      </c>
      <c r="DQ101" s="389">
        <v>7462.1</v>
      </c>
      <c r="DR101" s="389">
        <v>9504.91</v>
      </c>
    </row>
    <row r="102" spans="1:122">
      <c r="A102" s="178">
        <v>66</v>
      </c>
      <c r="B102" s="173">
        <f ca="1">RESUMEN!J69</f>
        <v>0</v>
      </c>
      <c r="C102" s="173">
        <f ca="1">+RESUMEN!K69</f>
        <v>0</v>
      </c>
      <c r="D102" s="174">
        <f t="shared" ca="1" si="201"/>
        <v>0</v>
      </c>
      <c r="E102" s="91"/>
      <c r="F102" s="91"/>
      <c r="G102" s="91"/>
      <c r="H102" s="165"/>
      <c r="I102" s="353"/>
      <c r="J102" s="164">
        <v>99</v>
      </c>
      <c r="K102" s="59">
        <f t="shared" si="132"/>
        <v>354297.7</v>
      </c>
      <c r="L102" s="59">
        <f t="shared" si="133"/>
        <v>250917.85</v>
      </c>
      <c r="M102" s="59">
        <f t="shared" si="134"/>
        <v>314494.49</v>
      </c>
      <c r="N102" s="59">
        <f t="shared" si="135"/>
        <v>222728.74</v>
      </c>
      <c r="O102" s="59">
        <f t="shared" si="136"/>
        <v>278458.65999999997</v>
      </c>
      <c r="P102" s="59">
        <f t="shared" si="137"/>
        <v>197207.74</v>
      </c>
      <c r="Q102" s="136">
        <f t="shared" si="149"/>
        <v>1295066.49</v>
      </c>
      <c r="R102" s="136">
        <f t="shared" si="150"/>
        <v>1057704.68</v>
      </c>
      <c r="S102" s="136">
        <f t="shared" si="151"/>
        <v>926116.48</v>
      </c>
      <c r="T102" s="136">
        <f t="shared" si="152"/>
        <v>782910.94</v>
      </c>
      <c r="U102" s="136">
        <f t="shared" si="153"/>
        <v>660294.06000000006</v>
      </c>
      <c r="V102" s="136">
        <f t="shared" si="154"/>
        <v>540033.41</v>
      </c>
      <c r="W102" s="92"/>
      <c r="X102" s="137">
        <f t="shared" si="138"/>
        <v>1295066.49</v>
      </c>
      <c r="Y102" s="137">
        <f t="shared" si="139"/>
        <v>1057704.68</v>
      </c>
      <c r="Z102" s="136">
        <f t="shared" si="175"/>
        <v>1350754.34907</v>
      </c>
      <c r="AA102" s="136">
        <f t="shared" si="176"/>
        <v>1103185.9812399999</v>
      </c>
      <c r="AB102" s="136">
        <f t="shared" si="177"/>
        <v>1450474.4688000001</v>
      </c>
      <c r="AC102" s="136">
        <f t="shared" si="178"/>
        <v>1184629.2416000001</v>
      </c>
      <c r="AD102" s="138">
        <f t="shared" si="140"/>
        <v>926116.48</v>
      </c>
      <c r="AE102" s="138">
        <f t="shared" si="141"/>
        <v>782910.94</v>
      </c>
      <c r="AF102" s="136">
        <f t="shared" si="179"/>
        <v>965939.48863999988</v>
      </c>
      <c r="AG102" s="136">
        <f t="shared" si="180"/>
        <v>816576.11041999992</v>
      </c>
      <c r="AH102" s="136">
        <f t="shared" si="181"/>
        <v>1037250.4576000001</v>
      </c>
      <c r="AI102" s="136">
        <f t="shared" si="182"/>
        <v>876860.25280000002</v>
      </c>
      <c r="AJ102" s="137">
        <f t="shared" si="142"/>
        <v>660294.06000000006</v>
      </c>
      <c r="AK102" s="137">
        <f t="shared" si="143"/>
        <v>540033.41</v>
      </c>
      <c r="AL102" s="136">
        <f t="shared" si="183"/>
        <v>688686.70458000002</v>
      </c>
      <c r="AM102" s="136">
        <f t="shared" si="184"/>
        <v>563254.84663000004</v>
      </c>
      <c r="AN102" s="136">
        <f t="shared" si="185"/>
        <v>739529.34720000008</v>
      </c>
      <c r="AO102" s="136">
        <f t="shared" si="186"/>
        <v>604837.41920000012</v>
      </c>
      <c r="AP102" s="92"/>
      <c r="AQ102" s="140">
        <v>99</v>
      </c>
      <c r="AR102" s="141">
        <f ca="1">+RESUMEN!F102</f>
        <v>0</v>
      </c>
      <c r="AS102" s="141">
        <f ca="1">+RESUMEN!G102</f>
        <v>0</v>
      </c>
      <c r="AT102" s="142">
        <f ca="1">AR102+AS102</f>
        <v>0</v>
      </c>
      <c r="AU102" s="143">
        <f t="shared" si="187"/>
        <v>0</v>
      </c>
      <c r="AV102" s="143">
        <f t="shared" si="188"/>
        <v>0</v>
      </c>
      <c r="AW102" s="143">
        <f t="shared" si="189"/>
        <v>0</v>
      </c>
      <c r="AX102" s="143">
        <f t="shared" si="190"/>
        <v>0</v>
      </c>
      <c r="AY102" s="143">
        <f t="shared" ca="1" si="191"/>
        <v>0</v>
      </c>
      <c r="AZ102" s="142"/>
      <c r="BA102" s="143">
        <f t="shared" ca="1" si="156"/>
        <v>0</v>
      </c>
      <c r="BB102" s="143">
        <f t="shared" ca="1" si="157"/>
        <v>0</v>
      </c>
      <c r="BC102" s="144"/>
      <c r="BD102" s="145">
        <f t="shared" ca="1" si="192"/>
        <v>0</v>
      </c>
      <c r="BE102" s="145">
        <f t="shared" ca="1" si="108"/>
        <v>0</v>
      </c>
      <c r="BF102" s="146" t="str">
        <f ca="1">IF(BA102=0,"",(SUM(BD102:BE102)))</f>
        <v/>
      </c>
      <c r="BG102" s="92"/>
      <c r="BH102" s="95">
        <f t="shared" ca="1" si="159"/>
        <v>0</v>
      </c>
      <c r="BI102" s="95">
        <f t="shared" ca="1" si="160"/>
        <v>0</v>
      </c>
      <c r="BJ102" s="144"/>
      <c r="BK102" s="147">
        <f t="shared" ca="1" si="193"/>
        <v>0</v>
      </c>
      <c r="BL102" s="147">
        <f t="shared" ca="1" si="110"/>
        <v>0</v>
      </c>
      <c r="BM102" s="148" t="str">
        <f ca="1">IF(BH102=0,"",(SUM(BK102:BL102)))</f>
        <v/>
      </c>
      <c r="BN102" s="92"/>
      <c r="BO102" s="149">
        <f t="shared" ca="1" si="162"/>
        <v>0</v>
      </c>
      <c r="BP102" s="149">
        <f t="shared" ca="1" si="163"/>
        <v>0</v>
      </c>
      <c r="BQ102" s="144"/>
      <c r="BR102" s="150">
        <f t="shared" ca="1" si="194"/>
        <v>0</v>
      </c>
      <c r="BS102" s="150">
        <f t="shared" ca="1" si="109"/>
        <v>0</v>
      </c>
      <c r="BT102" s="151" t="str">
        <f ca="1">IF(BO102=0,"",(SUM(BR102:BS102)))</f>
        <v/>
      </c>
      <c r="BU102" s="92"/>
      <c r="BV102" s="152">
        <f t="shared" ca="1" si="165"/>
        <v>0</v>
      </c>
      <c r="BW102" s="152">
        <f t="shared" ca="1" si="166"/>
        <v>0</v>
      </c>
      <c r="BX102" s="144"/>
      <c r="BY102" s="153">
        <f t="shared" ca="1" si="195"/>
        <v>0</v>
      </c>
      <c r="BZ102" s="153">
        <f t="shared" ca="1" si="111"/>
        <v>0</v>
      </c>
      <c r="CA102" s="154" t="str">
        <f ca="1">IF(BV102=0,"",(SUM(BY102:BZ102)))</f>
        <v/>
      </c>
      <c r="CB102" s="92"/>
      <c r="CC102" s="155">
        <f t="shared" ca="1" si="168"/>
        <v>0</v>
      </c>
      <c r="CD102" s="155">
        <f t="shared" ca="1" si="169"/>
        <v>0</v>
      </c>
      <c r="CE102" s="144"/>
      <c r="CF102" s="156">
        <f t="shared" ca="1" si="196"/>
        <v>0</v>
      </c>
      <c r="CG102" s="156">
        <f t="shared" ca="1" si="112"/>
        <v>0</v>
      </c>
      <c r="CH102" s="157" t="str">
        <f ca="1">IF(CC102=0,"",(SUM(CF102:CG102)))</f>
        <v/>
      </c>
      <c r="CI102" s="92"/>
      <c r="CJ102" s="158">
        <f t="shared" ca="1" si="171"/>
        <v>0</v>
      </c>
      <c r="CK102" s="158">
        <f t="shared" ca="1" si="172"/>
        <v>0</v>
      </c>
      <c r="CL102" s="144"/>
      <c r="CM102" s="159">
        <f t="shared" ca="1" si="197"/>
        <v>0</v>
      </c>
      <c r="CN102" s="159">
        <f t="shared" ca="1" si="113"/>
        <v>0</v>
      </c>
      <c r="CO102" s="160" t="str">
        <f ca="1">IF(CJ102=0,"",(SUM(CM102:CN102)))</f>
        <v/>
      </c>
      <c r="CP102" s="92"/>
      <c r="CQ102" s="140">
        <v>99</v>
      </c>
      <c r="CR102" s="330">
        <v>0.12</v>
      </c>
      <c r="CS102" s="92">
        <f t="shared" si="198"/>
        <v>0</v>
      </c>
      <c r="CT102" s="335">
        <f t="shared" si="199"/>
        <v>0.12</v>
      </c>
      <c r="CU102" s="92">
        <f t="shared" si="200"/>
        <v>1</v>
      </c>
      <c r="CV102" s="348">
        <f t="shared" si="148"/>
        <v>1</v>
      </c>
      <c r="CW102" s="367">
        <f t="shared" si="144"/>
        <v>127.65</v>
      </c>
      <c r="CX102" s="367">
        <f t="shared" si="145"/>
        <v>62.61</v>
      </c>
      <c r="CY102" s="367">
        <f t="shared" si="146"/>
        <v>252.75</v>
      </c>
      <c r="CZ102" s="380">
        <f t="shared" si="147"/>
        <v>141.72999999999999</v>
      </c>
      <c r="DA102"/>
      <c r="DB102" s="391">
        <v>99</v>
      </c>
      <c r="DC102" s="59">
        <v>354297.7</v>
      </c>
      <c r="DD102" s="59">
        <v>250917.85</v>
      </c>
      <c r="DE102" s="59">
        <v>314494.49</v>
      </c>
      <c r="DF102" s="59">
        <v>222728.74</v>
      </c>
      <c r="DG102" s="59">
        <v>278458.65999999997</v>
      </c>
      <c r="DH102" s="59">
        <v>197207.74</v>
      </c>
      <c r="DI102" s="137">
        <v>1295066.49</v>
      </c>
      <c r="DJ102" s="137">
        <v>1057704.68</v>
      </c>
      <c r="DK102" s="138">
        <v>926116.48</v>
      </c>
      <c r="DL102" s="138">
        <v>782910.94</v>
      </c>
      <c r="DM102" s="137">
        <v>660294.06000000006</v>
      </c>
      <c r="DN102" s="139">
        <v>540033.41</v>
      </c>
      <c r="DP102" s="384" t="s">
        <v>227</v>
      </c>
      <c r="DQ102" s="389">
        <v>7462.1</v>
      </c>
      <c r="DR102" s="389">
        <v>9504.91</v>
      </c>
    </row>
    <row r="103" spans="1:122">
      <c r="A103" s="178">
        <v>67</v>
      </c>
      <c r="B103" s="173">
        <f ca="1">RESUMEN!J70</f>
        <v>0</v>
      </c>
      <c r="C103" s="173">
        <f ca="1">+RESUMEN!K70</f>
        <v>0</v>
      </c>
      <c r="D103" s="174">
        <f t="shared" ca="1" si="201"/>
        <v>0</v>
      </c>
      <c r="E103" s="91"/>
      <c r="F103" s="91"/>
      <c r="G103" s="91"/>
      <c r="H103" s="165"/>
      <c r="I103" s="353"/>
      <c r="J103" s="164">
        <v>100</v>
      </c>
      <c r="K103" s="59">
        <f t="shared" si="132"/>
        <v>354297.7</v>
      </c>
      <c r="L103" s="59">
        <f t="shared" si="133"/>
        <v>250917.85</v>
      </c>
      <c r="M103" s="59">
        <f t="shared" si="134"/>
        <v>314494.49</v>
      </c>
      <c r="N103" s="59">
        <f t="shared" si="135"/>
        <v>222728.74</v>
      </c>
      <c r="O103" s="59">
        <f t="shared" si="136"/>
        <v>278458.65999999997</v>
      </c>
      <c r="P103" s="59">
        <f t="shared" si="137"/>
        <v>197207.74</v>
      </c>
      <c r="Q103" s="136">
        <f t="shared" si="149"/>
        <v>1295066.49</v>
      </c>
      <c r="R103" s="136">
        <f t="shared" si="150"/>
        <v>1057704.68</v>
      </c>
      <c r="S103" s="136">
        <f t="shared" si="151"/>
        <v>926116.48</v>
      </c>
      <c r="T103" s="136">
        <f t="shared" si="152"/>
        <v>782910.94</v>
      </c>
      <c r="U103" s="136">
        <f t="shared" si="153"/>
        <v>660294.06000000006</v>
      </c>
      <c r="V103" s="136">
        <f t="shared" si="154"/>
        <v>540033.41</v>
      </c>
      <c r="W103" s="92"/>
      <c r="X103" s="137">
        <f t="shared" si="138"/>
        <v>1295066.49</v>
      </c>
      <c r="Y103" s="137">
        <f t="shared" si="139"/>
        <v>1057704.68</v>
      </c>
      <c r="Z103" s="136">
        <f t="shared" si="175"/>
        <v>1350754.34907</v>
      </c>
      <c r="AA103" s="136">
        <f t="shared" si="176"/>
        <v>1103185.9812399999</v>
      </c>
      <c r="AB103" s="136">
        <f t="shared" si="177"/>
        <v>1450474.4688000001</v>
      </c>
      <c r="AC103" s="136">
        <f t="shared" si="178"/>
        <v>1184629.2416000001</v>
      </c>
      <c r="AD103" s="138">
        <f t="shared" si="140"/>
        <v>926116.48</v>
      </c>
      <c r="AE103" s="138">
        <f t="shared" si="141"/>
        <v>782910.94</v>
      </c>
      <c r="AF103" s="136">
        <f t="shared" si="179"/>
        <v>965939.48863999988</v>
      </c>
      <c r="AG103" s="136">
        <f t="shared" si="180"/>
        <v>816576.11041999992</v>
      </c>
      <c r="AH103" s="136">
        <f t="shared" si="181"/>
        <v>1037250.4576000001</v>
      </c>
      <c r="AI103" s="136">
        <f t="shared" si="182"/>
        <v>876860.25280000002</v>
      </c>
      <c r="AJ103" s="137">
        <f t="shared" si="142"/>
        <v>660294.06000000006</v>
      </c>
      <c r="AK103" s="137">
        <f t="shared" si="143"/>
        <v>540033.41</v>
      </c>
      <c r="AL103" s="136">
        <f t="shared" si="183"/>
        <v>688686.70458000002</v>
      </c>
      <c r="AM103" s="136">
        <f t="shared" si="184"/>
        <v>563254.84663000004</v>
      </c>
      <c r="AN103" s="136">
        <f t="shared" si="185"/>
        <v>739529.34720000008</v>
      </c>
      <c r="AO103" s="136">
        <f t="shared" si="186"/>
        <v>604837.41920000012</v>
      </c>
      <c r="AP103" s="92"/>
      <c r="AQ103" s="140">
        <v>100</v>
      </c>
      <c r="AR103" s="141">
        <f ca="1">+RESUMEN!F103</f>
        <v>0</v>
      </c>
      <c r="AS103" s="141">
        <f ca="1">+RESUMEN!G103</f>
        <v>0</v>
      </c>
      <c r="AT103" s="142">
        <f ca="1">AR103+AS103</f>
        <v>0</v>
      </c>
      <c r="AU103" s="143">
        <f t="shared" si="187"/>
        <v>0</v>
      </c>
      <c r="AV103" s="143">
        <f t="shared" si="188"/>
        <v>0</v>
      </c>
      <c r="AW103" s="143">
        <f t="shared" si="189"/>
        <v>0</v>
      </c>
      <c r="AX103" s="143">
        <f t="shared" si="190"/>
        <v>0</v>
      </c>
      <c r="AY103" s="143">
        <f t="shared" ca="1" si="191"/>
        <v>0</v>
      </c>
      <c r="AZ103" s="142"/>
      <c r="BA103" s="143">
        <f t="shared" ca="1" si="156"/>
        <v>0</v>
      </c>
      <c r="BB103" s="143">
        <f t="shared" ca="1" si="157"/>
        <v>0</v>
      </c>
      <c r="BC103" s="144"/>
      <c r="BD103" s="145">
        <f t="shared" ca="1" si="192"/>
        <v>0</v>
      </c>
      <c r="BE103" s="145">
        <f t="shared" ca="1" si="108"/>
        <v>0</v>
      </c>
      <c r="BF103" s="146" t="str">
        <f ca="1">IF(BA103=0,"",(SUM(BD103:BE103)))</f>
        <v/>
      </c>
      <c r="BG103" s="92"/>
      <c r="BH103" s="95">
        <f t="shared" ca="1" si="159"/>
        <v>0</v>
      </c>
      <c r="BI103" s="95">
        <f t="shared" ca="1" si="160"/>
        <v>0</v>
      </c>
      <c r="BJ103" s="144"/>
      <c r="BK103" s="147">
        <f t="shared" ca="1" si="193"/>
        <v>0</v>
      </c>
      <c r="BL103" s="147">
        <f t="shared" ca="1" si="110"/>
        <v>0</v>
      </c>
      <c r="BM103" s="148" t="str">
        <f ca="1">IF(BH103=0,"",(SUM(BK103:BL103)))</f>
        <v/>
      </c>
      <c r="BN103" s="92"/>
      <c r="BO103" s="149">
        <f t="shared" ca="1" si="162"/>
        <v>0</v>
      </c>
      <c r="BP103" s="149">
        <f t="shared" ca="1" si="163"/>
        <v>0</v>
      </c>
      <c r="BQ103" s="144"/>
      <c r="BR103" s="150">
        <f t="shared" ca="1" si="194"/>
        <v>0</v>
      </c>
      <c r="BS103" s="150">
        <f t="shared" ca="1" si="109"/>
        <v>0</v>
      </c>
      <c r="BT103" s="151" t="str">
        <f ca="1">IF(BO103=0,"",(SUM(BR103:BS103)))</f>
        <v/>
      </c>
      <c r="BU103" s="92"/>
      <c r="BV103" s="152">
        <f t="shared" ca="1" si="165"/>
        <v>0</v>
      </c>
      <c r="BW103" s="152">
        <f t="shared" ca="1" si="166"/>
        <v>0</v>
      </c>
      <c r="BX103" s="144"/>
      <c r="BY103" s="153">
        <f t="shared" ca="1" si="195"/>
        <v>0</v>
      </c>
      <c r="BZ103" s="153">
        <f t="shared" ca="1" si="111"/>
        <v>0</v>
      </c>
      <c r="CA103" s="154" t="str">
        <f ca="1">IF(BV103=0,"",(SUM(BY103:BZ103)))</f>
        <v/>
      </c>
      <c r="CB103" s="92"/>
      <c r="CC103" s="155">
        <f t="shared" ca="1" si="168"/>
        <v>0</v>
      </c>
      <c r="CD103" s="155">
        <f t="shared" ca="1" si="169"/>
        <v>0</v>
      </c>
      <c r="CE103" s="144"/>
      <c r="CF103" s="156">
        <f t="shared" ca="1" si="196"/>
        <v>0</v>
      </c>
      <c r="CG103" s="156">
        <f t="shared" ca="1" si="112"/>
        <v>0</v>
      </c>
      <c r="CH103" s="157" t="str">
        <f ca="1">IF(CC103=0,"",(SUM(CF103:CG103)))</f>
        <v/>
      </c>
      <c r="CI103" s="92"/>
      <c r="CJ103" s="158">
        <f t="shared" ca="1" si="171"/>
        <v>0</v>
      </c>
      <c r="CK103" s="158">
        <f t="shared" ca="1" si="172"/>
        <v>0</v>
      </c>
      <c r="CL103" s="144"/>
      <c r="CM103" s="159">
        <f t="shared" ca="1" si="197"/>
        <v>0</v>
      </c>
      <c r="CN103" s="159">
        <f t="shared" ca="1" si="113"/>
        <v>0</v>
      </c>
      <c r="CO103" s="160" t="str">
        <f ca="1">IF(CJ103=0,"",(SUM(CM103:CN103)))</f>
        <v/>
      </c>
      <c r="CP103" s="92"/>
      <c r="CQ103" s="140">
        <v>100</v>
      </c>
      <c r="CR103" s="330">
        <v>0.12</v>
      </c>
      <c r="CS103" s="92">
        <f t="shared" si="198"/>
        <v>0</v>
      </c>
      <c r="CT103" s="335">
        <f t="shared" si="199"/>
        <v>0.12</v>
      </c>
      <c r="CU103" s="92">
        <f t="shared" si="200"/>
        <v>1</v>
      </c>
      <c r="CV103" s="348">
        <f t="shared" si="148"/>
        <v>1</v>
      </c>
      <c r="CW103" s="367">
        <f t="shared" si="144"/>
        <v>127.65</v>
      </c>
      <c r="CX103" s="367">
        <f t="shared" si="145"/>
        <v>62.61</v>
      </c>
      <c r="CY103" s="367">
        <f t="shared" si="146"/>
        <v>252.75</v>
      </c>
      <c r="CZ103" s="380">
        <f t="shared" si="147"/>
        <v>141.72999999999999</v>
      </c>
      <c r="DA103"/>
      <c r="DB103" s="391">
        <v>100</v>
      </c>
      <c r="DC103" s="59">
        <v>354297.7</v>
      </c>
      <c r="DD103" s="59">
        <v>250917.85</v>
      </c>
      <c r="DE103" s="59">
        <v>314494.49</v>
      </c>
      <c r="DF103" s="59">
        <v>222728.74</v>
      </c>
      <c r="DG103" s="59">
        <v>278458.65999999997</v>
      </c>
      <c r="DH103" s="59">
        <v>197207.74</v>
      </c>
      <c r="DI103" s="137">
        <v>1295066.49</v>
      </c>
      <c r="DJ103" s="137">
        <v>1057704.68</v>
      </c>
      <c r="DK103" s="138">
        <v>926116.48</v>
      </c>
      <c r="DL103" s="138">
        <v>782910.94</v>
      </c>
      <c r="DM103" s="137">
        <v>660294.06000000006</v>
      </c>
      <c r="DN103" s="139">
        <v>540033.41</v>
      </c>
      <c r="DP103" s="384" t="s">
        <v>228</v>
      </c>
      <c r="DQ103" s="389">
        <v>7462.1</v>
      </c>
      <c r="DR103" s="389">
        <v>9504.91</v>
      </c>
    </row>
    <row r="104" spans="1:122" ht="16" thickBot="1">
      <c r="A104" s="178">
        <v>68</v>
      </c>
      <c r="B104" s="173">
        <f ca="1">RESUMEN!J71</f>
        <v>0</v>
      </c>
      <c r="C104" s="173">
        <f ca="1">+RESUMEN!K71</f>
        <v>0</v>
      </c>
      <c r="D104" s="174">
        <f t="shared" ca="1" si="201"/>
        <v>0</v>
      </c>
      <c r="E104" s="91"/>
      <c r="F104" s="91"/>
      <c r="G104" s="91"/>
      <c r="H104" s="165"/>
      <c r="I104" s="165"/>
      <c r="J104" s="181"/>
      <c r="K104" s="182"/>
      <c r="L104" s="182"/>
      <c r="M104" s="182"/>
      <c r="N104" s="182"/>
      <c r="O104" s="314"/>
      <c r="P104" s="314"/>
      <c r="Q104" s="192" t="s">
        <v>314</v>
      </c>
      <c r="R104" s="192"/>
      <c r="S104" s="192"/>
      <c r="T104" s="192"/>
      <c r="U104" s="192"/>
      <c r="V104" s="192"/>
      <c r="W104" s="192"/>
      <c r="X104" s="192"/>
      <c r="Y104" s="192"/>
      <c r="Z104" s="192"/>
      <c r="AA104" s="192"/>
      <c r="AB104" s="192"/>
      <c r="AC104" s="192"/>
      <c r="AD104" s="192"/>
      <c r="AE104" s="192"/>
      <c r="AF104" s="92"/>
      <c r="AG104" s="92"/>
      <c r="AH104" s="92"/>
      <c r="AI104" s="92"/>
      <c r="AJ104" s="92"/>
      <c r="AK104" s="92"/>
      <c r="AL104" s="182"/>
      <c r="AM104" s="182"/>
      <c r="AN104" s="182"/>
      <c r="AO104" s="182"/>
      <c r="AP104" s="92"/>
      <c r="AQ104" s="183" t="s">
        <v>52</v>
      </c>
      <c r="AR104" s="179">
        <f ca="1">+SUM(AR3:AR103)</f>
        <v>0</v>
      </c>
      <c r="AS104" s="179">
        <f ca="1">+SUM(AS3:AS103)</f>
        <v>0</v>
      </c>
      <c r="AT104" s="179">
        <f ca="1">+SUM(AT3:AT103)</f>
        <v>0</v>
      </c>
      <c r="AU104" s="184"/>
      <c r="AV104" s="184"/>
      <c r="AW104" s="184"/>
      <c r="AX104" s="184"/>
      <c r="AY104" s="184"/>
      <c r="AZ104" s="179"/>
      <c r="BA104" s="184"/>
      <c r="BB104" s="184"/>
      <c r="BC104" s="184"/>
      <c r="BD104" s="184">
        <f ca="1">+SUM(BD3:BD103)</f>
        <v>0</v>
      </c>
      <c r="BE104" s="184">
        <f ca="1">+SUM(BE3:BE103)</f>
        <v>0</v>
      </c>
      <c r="BF104" s="184">
        <f ca="1">+SUM(BF3:BF103)</f>
        <v>0</v>
      </c>
      <c r="BG104" s="92"/>
      <c r="BH104" s="185"/>
      <c r="BI104" s="185"/>
      <c r="BJ104" s="185"/>
      <c r="BK104" s="185">
        <f ca="1">+SUM(BK3:BK103)</f>
        <v>0</v>
      </c>
      <c r="BL104" s="185">
        <f ca="1">+SUM(BL3:BL103)</f>
        <v>0</v>
      </c>
      <c r="BM104" s="185">
        <f ca="1">+SUM(BM3:BM103)</f>
        <v>0</v>
      </c>
      <c r="BN104" s="92"/>
      <c r="BO104" s="186"/>
      <c r="BP104" s="186"/>
      <c r="BQ104" s="186"/>
      <c r="BR104" s="186">
        <f ca="1">+SUM(BR3:BR103)</f>
        <v>0</v>
      </c>
      <c r="BS104" s="186">
        <f ca="1">+SUM(BS3:BS103)</f>
        <v>0</v>
      </c>
      <c r="BT104" s="186">
        <f ca="1">+SUM(BT3:BT103)</f>
        <v>0</v>
      </c>
      <c r="BU104" s="92"/>
      <c r="BV104" s="187"/>
      <c r="BW104" s="187"/>
      <c r="BX104" s="187"/>
      <c r="BY104" s="187">
        <f ca="1">+SUM(BY3:BY103)</f>
        <v>0</v>
      </c>
      <c r="BZ104" s="187">
        <f ca="1">+SUM(BZ3:BZ103)</f>
        <v>0</v>
      </c>
      <c r="CA104" s="187">
        <f ca="1">+SUM(CA3:CA103)</f>
        <v>0</v>
      </c>
      <c r="CB104" s="92"/>
      <c r="CC104" s="188"/>
      <c r="CD104" s="188"/>
      <c r="CE104" s="188"/>
      <c r="CF104" s="188">
        <f ca="1">+SUM(CF3:CF103)</f>
        <v>0</v>
      </c>
      <c r="CG104" s="188">
        <f ca="1">+SUM(CG3:CG103)</f>
        <v>0</v>
      </c>
      <c r="CH104" s="188">
        <f ca="1">+SUM(CH3:CH103)</f>
        <v>0</v>
      </c>
      <c r="CI104" s="92"/>
      <c r="CJ104" s="189"/>
      <c r="CK104" s="189"/>
      <c r="CL104" s="189"/>
      <c r="CM104" s="189">
        <f ca="1">+SUM(CM3:CM103)</f>
        <v>0</v>
      </c>
      <c r="CN104" s="189">
        <f ca="1">+SUM(CN3:CN103)</f>
        <v>0</v>
      </c>
      <c r="CO104" s="189">
        <f ca="1">+SUM(CO3:CO103)</f>
        <v>0</v>
      </c>
      <c r="CP104" s="92"/>
      <c r="CQ104" s="92"/>
      <c r="CR104" s="189"/>
      <c r="CS104" s="92"/>
      <c r="CT104" s="92"/>
      <c r="CU104" s="92"/>
      <c r="CV104" s="92"/>
    </row>
    <row r="105" spans="1:122">
      <c r="A105" s="178">
        <v>69</v>
      </c>
      <c r="B105" s="173">
        <f ca="1">RESUMEN!J72</f>
        <v>0</v>
      </c>
      <c r="C105" s="173">
        <f ca="1">+RESUMEN!K72</f>
        <v>0</v>
      </c>
      <c r="D105" s="174">
        <f t="shared" ca="1" si="201"/>
        <v>0</v>
      </c>
      <c r="E105" s="91"/>
      <c r="F105" s="535" t="s">
        <v>454</v>
      </c>
      <c r="G105" s="536"/>
      <c r="H105" s="536"/>
      <c r="I105" s="165"/>
      <c r="J105" s="537" t="s">
        <v>11</v>
      </c>
      <c r="K105" s="538"/>
      <c r="L105"/>
      <c r="M105" s="190"/>
      <c r="N105" s="190"/>
      <c r="O105" s="92"/>
      <c r="P105" s="92"/>
      <c r="Q105" s="191" t="s">
        <v>17</v>
      </c>
      <c r="R105" s="192" t="s">
        <v>230</v>
      </c>
      <c r="S105" s="192" t="s">
        <v>63</v>
      </c>
      <c r="T105" s="192" t="s">
        <v>231</v>
      </c>
      <c r="U105" s="192" t="s">
        <v>232</v>
      </c>
      <c r="V105" s="92"/>
      <c r="W105" s="191" t="s">
        <v>300</v>
      </c>
      <c r="X105" s="192" t="s">
        <v>231</v>
      </c>
      <c r="Y105" s="192" t="s">
        <v>63</v>
      </c>
      <c r="Z105" s="192" t="s">
        <v>230</v>
      </c>
      <c r="AA105" s="192" t="s">
        <v>60</v>
      </c>
      <c r="AB105" s="192" t="s">
        <v>231</v>
      </c>
      <c r="AC105" s="192" t="s">
        <v>63</v>
      </c>
      <c r="AD105" s="192" t="s">
        <v>230</v>
      </c>
      <c r="AE105" s="192" t="s">
        <v>60</v>
      </c>
      <c r="AF105" s="92"/>
      <c r="AG105"/>
      <c r="AH105"/>
      <c r="AI105"/>
      <c r="AJ105" s="92"/>
      <c r="AK105" s="92"/>
      <c r="AL105" s="182"/>
      <c r="AM105" s="182"/>
      <c r="AN105" s="182"/>
      <c r="AO105" s="182"/>
      <c r="AP105" s="92"/>
      <c r="AQ105" s="92">
        <v>1</v>
      </c>
      <c r="AR105" s="92">
        <v>2</v>
      </c>
      <c r="AS105" s="92">
        <v>3</v>
      </c>
      <c r="AT105" s="92">
        <v>4</v>
      </c>
      <c r="AU105" s="92">
        <v>5</v>
      </c>
      <c r="AV105" s="92">
        <v>6</v>
      </c>
      <c r="AW105" s="92">
        <v>7</v>
      </c>
      <c r="AX105" s="92">
        <v>8</v>
      </c>
      <c r="AY105" s="92">
        <v>9</v>
      </c>
      <c r="AZ105" s="92">
        <v>10</v>
      </c>
      <c r="BA105" s="92">
        <v>11</v>
      </c>
      <c r="BB105" s="92">
        <v>12</v>
      </c>
      <c r="BC105" s="92">
        <v>13</v>
      </c>
      <c r="BD105" s="92">
        <v>14</v>
      </c>
      <c r="BE105" s="92">
        <v>15</v>
      </c>
      <c r="BF105" s="92">
        <v>16</v>
      </c>
      <c r="BG105" s="92">
        <v>17</v>
      </c>
      <c r="BH105" s="92">
        <v>18</v>
      </c>
      <c r="BI105" s="92">
        <v>19</v>
      </c>
      <c r="BJ105" s="92">
        <v>20</v>
      </c>
      <c r="BK105" s="92">
        <v>21</v>
      </c>
      <c r="BL105" s="92">
        <v>22</v>
      </c>
      <c r="BM105" s="92">
        <v>23</v>
      </c>
      <c r="BN105" s="92">
        <v>24</v>
      </c>
      <c r="BO105" s="92">
        <v>25</v>
      </c>
      <c r="BP105" s="92">
        <v>26</v>
      </c>
      <c r="BQ105" s="92">
        <v>27</v>
      </c>
      <c r="BR105" s="92">
        <v>28</v>
      </c>
      <c r="BS105" s="92">
        <v>29</v>
      </c>
      <c r="BT105" s="92">
        <v>30</v>
      </c>
      <c r="BU105" s="92">
        <v>31</v>
      </c>
      <c r="BV105" s="92">
        <v>32</v>
      </c>
      <c r="BW105" s="92">
        <v>33</v>
      </c>
      <c r="BX105" s="92">
        <v>34</v>
      </c>
      <c r="BY105" s="92">
        <v>35</v>
      </c>
      <c r="BZ105" s="92">
        <v>36</v>
      </c>
      <c r="CA105" s="92">
        <v>37</v>
      </c>
      <c r="CB105" s="92">
        <v>38</v>
      </c>
      <c r="CC105" s="92">
        <v>39</v>
      </c>
      <c r="CD105" s="92">
        <v>40</v>
      </c>
      <c r="CE105" s="92">
        <v>41</v>
      </c>
      <c r="CF105" s="92">
        <v>42</v>
      </c>
      <c r="CG105" s="92">
        <v>43</v>
      </c>
      <c r="CH105" s="92">
        <v>44</v>
      </c>
      <c r="CI105" s="92">
        <v>45</v>
      </c>
      <c r="CJ105" s="92">
        <v>46</v>
      </c>
      <c r="CK105" s="92">
        <v>47</v>
      </c>
      <c r="CL105" s="92">
        <v>48</v>
      </c>
      <c r="CM105" s="92">
        <v>49</v>
      </c>
      <c r="CN105" s="92">
        <v>50</v>
      </c>
      <c r="CO105" s="92">
        <v>51</v>
      </c>
      <c r="CP105" s="92"/>
      <c r="CQ105" s="92"/>
      <c r="CR105" s="92"/>
      <c r="CS105" s="92"/>
      <c r="CT105" s="92"/>
      <c r="CU105" s="92"/>
      <c r="CV105" s="92"/>
    </row>
    <row r="106" spans="1:122">
      <c r="A106" s="178">
        <v>70</v>
      </c>
      <c r="B106" s="173">
        <f ca="1">RESUMEN!J73</f>
        <v>0</v>
      </c>
      <c r="C106" s="173">
        <f ca="1">+RESUMEN!K73</f>
        <v>0</v>
      </c>
      <c r="D106" s="174">
        <f t="shared" ca="1" si="201"/>
        <v>0</v>
      </c>
      <c r="E106" s="91"/>
      <c r="F106" s="383" t="s">
        <v>17</v>
      </c>
      <c r="G106" s="385" t="s">
        <v>5</v>
      </c>
      <c r="H106" s="385" t="s">
        <v>6</v>
      </c>
      <c r="I106" s="165"/>
      <c r="J106" s="190" t="s">
        <v>17</v>
      </c>
      <c r="K106" s="193" t="s">
        <v>127</v>
      </c>
      <c r="L106" s="194"/>
      <c r="M106" s="190" t="s">
        <v>85</v>
      </c>
      <c r="N106" s="193" t="s">
        <v>267</v>
      </c>
      <c r="O106" s="92"/>
      <c r="P106" s="92"/>
      <c r="Q106" s="195">
        <v>18</v>
      </c>
      <c r="R106" s="196">
        <v>41</v>
      </c>
      <c r="S106" s="196">
        <v>39</v>
      </c>
      <c r="T106" s="196">
        <v>37</v>
      </c>
      <c r="U106" s="196">
        <v>77.47821975085985</v>
      </c>
      <c r="V106" s="92"/>
      <c r="W106" s="197">
        <v>1</v>
      </c>
      <c r="X106" s="198">
        <v>1E-4</v>
      </c>
      <c r="Y106" s="198">
        <v>1E-4</v>
      </c>
      <c r="Z106" s="198">
        <v>1E-4</v>
      </c>
      <c r="AA106" s="198">
        <v>1E-4</v>
      </c>
      <c r="AB106" s="199">
        <v>18000</v>
      </c>
      <c r="AC106" s="199">
        <v>19000</v>
      </c>
      <c r="AD106" s="199">
        <v>20000</v>
      </c>
      <c r="AE106" s="199">
        <v>25000</v>
      </c>
      <c r="AF106" s="92"/>
      <c r="AG106"/>
      <c r="AH106"/>
      <c r="AI106"/>
      <c r="AJ106" s="92"/>
      <c r="AK106" s="92"/>
      <c r="AL106" s="182"/>
      <c r="AM106" s="182"/>
      <c r="AN106" s="182"/>
      <c r="AO106" s="18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2"/>
      <c r="BL106" s="92"/>
      <c r="BM106" s="92"/>
      <c r="BN106" s="92"/>
      <c r="BO106" s="92"/>
      <c r="BP106" s="92"/>
      <c r="BQ106" s="92"/>
      <c r="BR106" s="92"/>
      <c r="BS106" s="92"/>
      <c r="BT106" s="92"/>
      <c r="BU106" s="92"/>
      <c r="BV106" s="92"/>
      <c r="BW106" s="92"/>
      <c r="BX106" s="92"/>
      <c r="BY106" s="92"/>
      <c r="BZ106" s="92"/>
      <c r="CA106" s="92"/>
      <c r="CB106" s="92"/>
      <c r="CC106" s="92"/>
      <c r="CD106" s="92"/>
      <c r="CE106" s="92"/>
      <c r="CF106" s="92"/>
      <c r="CG106" s="92"/>
      <c r="CH106" s="92"/>
      <c r="CI106" s="92"/>
      <c r="CJ106" s="92"/>
      <c r="CK106" s="92"/>
      <c r="CL106" s="92"/>
      <c r="CM106" s="92"/>
      <c r="CN106" s="92"/>
      <c r="CO106" s="92"/>
      <c r="CP106" s="92"/>
      <c r="CQ106" s="92"/>
      <c r="CR106" s="92"/>
      <c r="CS106" s="92"/>
      <c r="CT106" s="92"/>
      <c r="CU106" s="92"/>
      <c r="CV106" s="92"/>
    </row>
    <row r="107" spans="1:122">
      <c r="A107" s="178">
        <v>71</v>
      </c>
      <c r="B107" s="173">
        <f ca="1">RESUMEN!J74</f>
        <v>0</v>
      </c>
      <c r="C107" s="173">
        <f ca="1">+RESUMEN!K74</f>
        <v>0</v>
      </c>
      <c r="D107" s="174">
        <f t="shared" ca="1" si="201"/>
        <v>0</v>
      </c>
      <c r="E107" s="91"/>
      <c r="F107" s="384" t="s">
        <v>128</v>
      </c>
      <c r="G107" s="387">
        <f>+DQ3</f>
        <v>357.94</v>
      </c>
      <c r="H107" s="387">
        <f>+DR3</f>
        <v>393.73</v>
      </c>
      <c r="I107" s="165"/>
      <c r="J107" s="200" t="s">
        <v>128</v>
      </c>
      <c r="K107" s="201">
        <v>17.32</v>
      </c>
      <c r="L107" s="92">
        <v>1</v>
      </c>
      <c r="M107" s="202" t="s">
        <v>233</v>
      </c>
      <c r="N107" s="203">
        <v>1</v>
      </c>
      <c r="O107" s="316"/>
      <c r="P107" s="317"/>
      <c r="Q107" s="204">
        <v>19</v>
      </c>
      <c r="R107" s="196">
        <v>84</v>
      </c>
      <c r="S107" s="196">
        <v>80</v>
      </c>
      <c r="T107" s="196">
        <v>76</v>
      </c>
      <c r="U107" s="196">
        <v>151.00909845754322</v>
      </c>
      <c r="V107" s="92"/>
      <c r="W107" s="205">
        <v>2</v>
      </c>
      <c r="X107" s="198">
        <v>0.1111</v>
      </c>
      <c r="Y107" s="198">
        <v>5.2600000000000001E-2</v>
      </c>
      <c r="Z107" s="198">
        <v>0.5</v>
      </c>
      <c r="AA107" s="198">
        <v>0.19999999999999996</v>
      </c>
      <c r="AB107" s="199">
        <v>20000</v>
      </c>
      <c r="AC107" s="199">
        <v>20000</v>
      </c>
      <c r="AD107" s="199">
        <v>30000</v>
      </c>
      <c r="AE107" s="199">
        <v>30000</v>
      </c>
      <c r="AF107" s="92"/>
      <c r="AG107"/>
      <c r="AH107"/>
      <c r="AI107"/>
      <c r="AJ107" s="92"/>
      <c r="AK107" s="92"/>
      <c r="AL107" s="345"/>
      <c r="AM107" s="194"/>
      <c r="AN107" s="194"/>
      <c r="AO107" s="194"/>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2"/>
      <c r="BL107" s="92"/>
      <c r="BM107" s="92"/>
      <c r="BN107" s="92"/>
      <c r="BO107" s="92"/>
      <c r="BP107" s="92"/>
      <c r="BQ107" s="92"/>
      <c r="BR107" s="92"/>
      <c r="BS107" s="92"/>
      <c r="BT107" s="92"/>
      <c r="BU107" s="92"/>
      <c r="BV107" s="92"/>
      <c r="BW107" s="92"/>
      <c r="BX107" s="92"/>
      <c r="BY107" s="92"/>
      <c r="BZ107" s="92"/>
      <c r="CA107" s="92"/>
      <c r="CB107" s="92"/>
      <c r="CC107" s="92"/>
      <c r="CD107" s="92"/>
      <c r="CE107" s="92"/>
      <c r="CF107" s="92"/>
      <c r="CG107" s="92"/>
      <c r="CH107" s="92"/>
      <c r="CI107" s="92"/>
      <c r="CJ107" s="92"/>
      <c r="CK107" s="92"/>
      <c r="CL107" s="92"/>
      <c r="CM107" s="92"/>
      <c r="CN107" s="92"/>
      <c r="CO107" s="92"/>
      <c r="CP107" s="92"/>
      <c r="CQ107" s="92"/>
      <c r="CR107" s="92"/>
      <c r="CS107" s="92"/>
      <c r="CT107" s="92"/>
      <c r="CU107" s="92"/>
      <c r="CV107" s="92"/>
    </row>
    <row r="108" spans="1:122">
      <c r="A108" s="178">
        <v>72</v>
      </c>
      <c r="B108" s="173">
        <f ca="1">RESUMEN!J75</f>
        <v>0</v>
      </c>
      <c r="C108" s="173">
        <f ca="1">+RESUMEN!K75</f>
        <v>0</v>
      </c>
      <c r="D108" s="174">
        <f t="shared" ca="1" si="201"/>
        <v>0</v>
      </c>
      <c r="E108" s="91"/>
      <c r="F108" s="384" t="s">
        <v>129</v>
      </c>
      <c r="G108" s="387">
        <f t="shared" ref="G108:H108" si="202">+DQ4</f>
        <v>366.96</v>
      </c>
      <c r="H108" s="387">
        <f t="shared" si="202"/>
        <v>380.75</v>
      </c>
      <c r="I108" s="165"/>
      <c r="J108" s="200" t="s">
        <v>129</v>
      </c>
      <c r="K108" s="201">
        <v>17.32</v>
      </c>
      <c r="L108" s="92">
        <v>2</v>
      </c>
      <c r="M108" s="202" t="s">
        <v>234</v>
      </c>
      <c r="N108" s="203">
        <v>1.2186999999999999</v>
      </c>
      <c r="O108" s="316"/>
      <c r="P108" s="317"/>
      <c r="Q108" s="204">
        <v>20</v>
      </c>
      <c r="R108" s="196">
        <v>160</v>
      </c>
      <c r="S108" s="196">
        <v>152</v>
      </c>
      <c r="T108" s="196">
        <v>144</v>
      </c>
      <c r="U108" s="196">
        <v>275.77813988359367</v>
      </c>
      <c r="V108" s="92"/>
      <c r="W108" s="205">
        <v>3</v>
      </c>
      <c r="X108" s="198">
        <v>0.66659999999999997</v>
      </c>
      <c r="Y108" s="198">
        <v>0.57889999999999997</v>
      </c>
      <c r="Z108" s="198">
        <v>1</v>
      </c>
      <c r="AA108" s="198">
        <v>0.60000000000000009</v>
      </c>
      <c r="AB108" s="199">
        <v>30000</v>
      </c>
      <c r="AC108" s="199">
        <v>30000</v>
      </c>
      <c r="AD108" s="199">
        <v>40000</v>
      </c>
      <c r="AE108" s="199">
        <v>40000</v>
      </c>
      <c r="AF108" s="92"/>
      <c r="AJ108" s="206"/>
      <c r="AK108" s="206"/>
      <c r="AL108" s="207"/>
      <c r="AM108" s="207"/>
      <c r="AN108" s="207"/>
      <c r="AO108" s="207"/>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2"/>
      <c r="BL108" s="92"/>
      <c r="BM108" s="92"/>
      <c r="BN108" s="92"/>
      <c r="BO108" s="92"/>
      <c r="BP108" s="92"/>
      <c r="BQ108" s="92"/>
      <c r="BR108" s="92"/>
      <c r="BS108" s="92"/>
      <c r="BT108" s="92"/>
      <c r="BU108" s="92"/>
      <c r="BV108" s="92"/>
      <c r="BW108" s="92"/>
      <c r="BX108" s="92"/>
      <c r="BY108" s="92"/>
      <c r="BZ108" s="92"/>
      <c r="CA108" s="92"/>
      <c r="CB108" s="92"/>
      <c r="CC108" s="92"/>
      <c r="CD108" s="92"/>
      <c r="CE108" s="92"/>
      <c r="CF108" s="92"/>
      <c r="CG108" s="92"/>
      <c r="CH108" s="92"/>
      <c r="CI108" s="92"/>
      <c r="CJ108" s="92"/>
      <c r="CK108" s="92"/>
      <c r="CL108" s="92"/>
      <c r="CM108" s="92"/>
      <c r="CN108" s="92"/>
      <c r="CO108" s="92"/>
      <c r="CP108" s="92"/>
      <c r="CQ108" s="92"/>
      <c r="CR108" s="92"/>
      <c r="CS108" s="92"/>
      <c r="CT108" s="92"/>
      <c r="CU108" s="92"/>
      <c r="CV108" s="92"/>
    </row>
    <row r="109" spans="1:122">
      <c r="A109" s="178">
        <v>73</v>
      </c>
      <c r="B109" s="173">
        <f ca="1">RESUMEN!J76</f>
        <v>0</v>
      </c>
      <c r="C109" s="173">
        <f ca="1">+RESUMEN!K76</f>
        <v>0</v>
      </c>
      <c r="D109" s="174">
        <f t="shared" ca="1" si="201"/>
        <v>0</v>
      </c>
      <c r="E109" s="91"/>
      <c r="F109" s="384" t="s">
        <v>130</v>
      </c>
      <c r="G109" s="387">
        <f t="shared" ref="G109:H109" si="203">+DQ5</f>
        <v>375.98</v>
      </c>
      <c r="H109" s="387">
        <f t="shared" si="203"/>
        <v>367.77</v>
      </c>
      <c r="I109" s="165"/>
      <c r="J109" s="200" t="s">
        <v>130</v>
      </c>
      <c r="K109" s="201">
        <v>17.36</v>
      </c>
      <c r="L109" s="92">
        <v>3</v>
      </c>
      <c r="M109" s="202" t="s">
        <v>235</v>
      </c>
      <c r="N109" s="203">
        <v>1.4249000000000001</v>
      </c>
      <c r="O109" s="316"/>
      <c r="P109" s="317"/>
      <c r="Q109" s="204">
        <v>21</v>
      </c>
      <c r="R109" s="196">
        <v>286</v>
      </c>
      <c r="S109" s="196">
        <v>271</v>
      </c>
      <c r="T109" s="196">
        <v>257</v>
      </c>
      <c r="U109" s="196">
        <v>472.9912583800014</v>
      </c>
      <c r="V109" s="92"/>
      <c r="W109" s="205">
        <v>4</v>
      </c>
      <c r="X109" s="198">
        <v>0.66659999999999997</v>
      </c>
      <c r="Y109" s="198">
        <v>1.1052</v>
      </c>
      <c r="Z109" s="198">
        <v>1.5</v>
      </c>
      <c r="AA109" s="198">
        <v>1</v>
      </c>
      <c r="AB109" s="199">
        <v>30000</v>
      </c>
      <c r="AC109" s="199">
        <v>40000</v>
      </c>
      <c r="AD109" s="199">
        <v>50000</v>
      </c>
      <c r="AE109" s="199">
        <v>50000</v>
      </c>
      <c r="AF109" s="92"/>
      <c r="AG109" s="208"/>
      <c r="AH109" s="208"/>
      <c r="AI109" s="92"/>
      <c r="AJ109" s="208"/>
      <c r="AK109" s="208"/>
      <c r="AL109" s="92"/>
      <c r="AM109" s="209"/>
      <c r="AN109" s="209"/>
      <c r="AO109" s="92"/>
      <c r="AP109" s="92"/>
      <c r="AQ109" s="92"/>
      <c r="AR109" s="92"/>
      <c r="AS109" s="92"/>
      <c r="AT109" s="92"/>
      <c r="AU109" s="206"/>
      <c r="AV109" s="206"/>
      <c r="AW109" s="206"/>
      <c r="AX109" s="206"/>
      <c r="AY109" s="206"/>
      <c r="AZ109" s="92"/>
      <c r="BA109" s="206"/>
      <c r="BB109" s="206"/>
      <c r="BC109" s="206"/>
      <c r="BD109" s="206"/>
      <c r="BE109" s="207"/>
      <c r="BF109" s="207"/>
      <c r="BG109" s="207"/>
      <c r="BH109" s="207"/>
      <c r="BI109" s="207"/>
      <c r="BJ109" s="207"/>
      <c r="BK109" s="207"/>
      <c r="BL109" s="207"/>
      <c r="BM109" s="207"/>
      <c r="BN109" s="207"/>
      <c r="BO109" s="207"/>
      <c r="BP109" s="207"/>
      <c r="BQ109" s="207"/>
      <c r="BR109" s="207"/>
      <c r="BS109" s="92"/>
      <c r="BT109" s="92"/>
      <c r="BU109" s="92"/>
      <c r="BV109" s="92"/>
      <c r="BW109" s="92"/>
      <c r="BX109" s="92"/>
      <c r="BY109" s="92"/>
      <c r="BZ109" s="92"/>
      <c r="CA109" s="92"/>
      <c r="CB109" s="92"/>
      <c r="CC109" s="92"/>
      <c r="CD109" s="92"/>
      <c r="CE109" s="92"/>
      <c r="CF109" s="92"/>
      <c r="CG109" s="92"/>
      <c r="CH109" s="92"/>
      <c r="CI109" s="92"/>
      <c r="CJ109" s="92"/>
      <c r="CK109" s="92"/>
      <c r="CL109" s="92"/>
      <c r="CM109" s="92"/>
      <c r="CN109" s="92"/>
      <c r="CO109" s="92"/>
      <c r="CP109" s="92"/>
      <c r="CQ109" s="92"/>
      <c r="CR109" s="92"/>
      <c r="CS109" s="92"/>
      <c r="CT109" s="92"/>
      <c r="CU109" s="92"/>
      <c r="CV109" s="92"/>
    </row>
    <row r="110" spans="1:122">
      <c r="A110" s="178">
        <v>74</v>
      </c>
      <c r="B110" s="173">
        <f ca="1">RESUMEN!J77</f>
        <v>0</v>
      </c>
      <c r="C110" s="173">
        <f ca="1">+RESUMEN!K77</f>
        <v>0</v>
      </c>
      <c r="D110" s="174">
        <f t="shared" ca="1" si="201"/>
        <v>0</v>
      </c>
      <c r="E110" s="91"/>
      <c r="F110" s="384" t="s">
        <v>131</v>
      </c>
      <c r="G110" s="387">
        <f t="shared" ref="G110:H110" si="204">+DQ6</f>
        <v>385</v>
      </c>
      <c r="H110" s="387">
        <f t="shared" si="204"/>
        <v>354.79</v>
      </c>
      <c r="I110" s="165"/>
      <c r="J110" s="200" t="s">
        <v>131</v>
      </c>
      <c r="K110" s="201">
        <v>17.36</v>
      </c>
      <c r="L110" s="92">
        <v>4</v>
      </c>
      <c r="M110" s="202" t="s">
        <v>236</v>
      </c>
      <c r="N110" s="203">
        <v>1.6185</v>
      </c>
      <c r="O110" s="316"/>
      <c r="P110" s="317"/>
      <c r="Q110" s="204">
        <v>22</v>
      </c>
      <c r="R110" s="196">
        <v>479</v>
      </c>
      <c r="S110" s="196">
        <v>455</v>
      </c>
      <c r="T110" s="196">
        <v>431</v>
      </c>
      <c r="U110" s="196">
        <v>763.45368554182585</v>
      </c>
      <c r="V110" s="92"/>
      <c r="W110" s="205">
        <v>5</v>
      </c>
      <c r="X110" s="198">
        <v>0.66659999999999997</v>
      </c>
      <c r="Y110" s="198">
        <v>1.6315</v>
      </c>
      <c r="Z110" s="198">
        <v>1.5</v>
      </c>
      <c r="AA110" s="198">
        <v>1</v>
      </c>
      <c r="AB110" s="199">
        <v>30000</v>
      </c>
      <c r="AC110" s="199">
        <v>50000</v>
      </c>
      <c r="AD110" s="199">
        <v>50000</v>
      </c>
      <c r="AE110" s="199">
        <v>50000</v>
      </c>
      <c r="AF110" s="92"/>
      <c r="AG110" s="208"/>
      <c r="AH110" s="208"/>
      <c r="AI110" s="92"/>
      <c r="AJ110" s="208"/>
      <c r="AK110" s="208"/>
      <c r="AL110" s="92"/>
      <c r="AM110" s="209"/>
      <c r="AN110" s="209"/>
      <c r="AO110" s="92"/>
      <c r="AP110" s="92"/>
      <c r="AQ110" s="92"/>
      <c r="AR110" s="92"/>
      <c r="AS110" s="92"/>
      <c r="AT110" s="92"/>
      <c r="AU110" s="206"/>
      <c r="AV110" s="206"/>
      <c r="AW110" s="206"/>
      <c r="AX110" s="206"/>
      <c r="AY110" s="206"/>
      <c r="AZ110" s="92"/>
      <c r="BA110" s="206"/>
      <c r="BB110" s="206"/>
      <c r="BC110" s="206"/>
      <c r="BD110" s="206"/>
      <c r="BE110" s="207"/>
      <c r="BF110" s="207"/>
      <c r="BG110" s="207"/>
      <c r="BH110" s="207"/>
      <c r="BI110" s="207"/>
      <c r="BJ110" s="207"/>
      <c r="BK110" s="207"/>
      <c r="BL110" s="207"/>
      <c r="BM110" s="207"/>
      <c r="BN110" s="207"/>
      <c r="BO110" s="207"/>
      <c r="BP110" s="207"/>
      <c r="BQ110" s="207"/>
      <c r="BR110" s="207"/>
      <c r="BS110" s="92"/>
      <c r="BT110" s="92"/>
      <c r="BU110" s="92"/>
      <c r="BV110" s="92"/>
      <c r="BW110" s="92"/>
      <c r="BX110" s="92"/>
      <c r="BY110" s="92"/>
      <c r="BZ110" s="92"/>
      <c r="CA110" s="92"/>
      <c r="CB110" s="92"/>
      <c r="CC110" s="92"/>
      <c r="CD110" s="92"/>
      <c r="CE110" s="92"/>
      <c r="CF110" s="92"/>
      <c r="CG110" s="92"/>
      <c r="CH110" s="92"/>
      <c r="CI110" s="92"/>
      <c r="CJ110" s="92"/>
      <c r="CK110" s="92"/>
      <c r="CL110" s="92"/>
      <c r="CM110" s="92"/>
      <c r="CN110" s="92"/>
      <c r="CO110" s="92"/>
      <c r="CP110" s="92"/>
      <c r="CQ110" s="92"/>
      <c r="CR110" s="92"/>
      <c r="CS110" s="92"/>
      <c r="CT110" s="92"/>
      <c r="CU110" s="92"/>
      <c r="CV110" s="92"/>
    </row>
    <row r="111" spans="1:122">
      <c r="A111" s="178">
        <v>75</v>
      </c>
      <c r="B111" s="173">
        <f ca="1">RESUMEN!J78</f>
        <v>0</v>
      </c>
      <c r="C111" s="173">
        <f ca="1">+RESUMEN!K78</f>
        <v>0</v>
      </c>
      <c r="D111" s="174">
        <f t="shared" ca="1" si="201"/>
        <v>0</v>
      </c>
      <c r="E111" s="91"/>
      <c r="F111" s="384" t="s">
        <v>132</v>
      </c>
      <c r="G111" s="387">
        <f t="shared" ref="G111:H111" si="205">+DQ7</f>
        <v>394.02</v>
      </c>
      <c r="H111" s="387">
        <f t="shared" si="205"/>
        <v>341.81</v>
      </c>
      <c r="I111" s="165"/>
      <c r="J111" s="200" t="s">
        <v>132</v>
      </c>
      <c r="K111" s="201">
        <v>17.399999999999999</v>
      </c>
      <c r="L111" s="92">
        <v>5</v>
      </c>
      <c r="M111" s="202" t="s">
        <v>237</v>
      </c>
      <c r="N111" s="203">
        <v>1.7997000000000001</v>
      </c>
      <c r="O111" s="316"/>
      <c r="P111" s="317"/>
      <c r="Q111" s="204">
        <v>23</v>
      </c>
      <c r="R111" s="196">
        <v>754</v>
      </c>
      <c r="S111" s="196">
        <v>717</v>
      </c>
      <c r="T111" s="196">
        <v>679</v>
      </c>
      <c r="U111" s="196">
        <v>1161.8716986623269</v>
      </c>
      <c r="V111" s="92"/>
      <c r="W111" s="92"/>
      <c r="X111" s="165"/>
      <c r="Y111" s="165"/>
      <c r="Z111" s="165"/>
      <c r="AA111" s="165"/>
      <c r="AB111" s="92"/>
      <c r="AC111" s="165"/>
      <c r="AD111" s="92"/>
      <c r="AE111" s="92"/>
      <c r="AF111" s="92"/>
      <c r="AG111" s="92"/>
      <c r="AH111" s="208"/>
      <c r="AI111" s="92"/>
      <c r="AJ111" s="208"/>
      <c r="AK111" s="208"/>
      <c r="AL111" s="92"/>
      <c r="AM111" s="209"/>
      <c r="AN111" s="209"/>
      <c r="AO111" s="92"/>
      <c r="AP111" s="92"/>
      <c r="AQ111" s="92"/>
      <c r="AR111" s="92"/>
      <c r="AS111" s="92"/>
      <c r="AT111" s="92"/>
      <c r="AU111" s="206"/>
      <c r="AV111" s="206"/>
      <c r="AW111" s="206"/>
      <c r="AX111" s="206"/>
      <c r="AY111" s="206"/>
      <c r="AZ111" s="92"/>
      <c r="BA111" s="206"/>
      <c r="BB111" s="206"/>
      <c r="BC111" s="206"/>
      <c r="BD111" s="206"/>
      <c r="BE111" s="207"/>
      <c r="BF111" s="207"/>
      <c r="BG111" s="207"/>
      <c r="BH111" s="207"/>
      <c r="BI111" s="207"/>
      <c r="BJ111" s="207"/>
      <c r="BK111" s="207"/>
      <c r="BL111" s="207"/>
      <c r="BM111" s="207"/>
      <c r="BN111" s="207"/>
      <c r="BO111" s="207"/>
      <c r="BP111" s="207"/>
      <c r="BQ111" s="207"/>
      <c r="BR111" s="207"/>
      <c r="BS111" s="92"/>
      <c r="BT111" s="92"/>
      <c r="BU111" s="92"/>
      <c r="BV111" s="92"/>
      <c r="BW111" s="92"/>
      <c r="BX111" s="92"/>
      <c r="BY111" s="92"/>
      <c r="BZ111" s="92"/>
      <c r="CA111" s="92"/>
      <c r="CB111" s="92"/>
      <c r="CC111" s="92"/>
      <c r="CD111" s="92"/>
      <c r="CE111" s="92"/>
      <c r="CF111" s="92"/>
      <c r="CG111" s="92"/>
      <c r="CH111" s="92"/>
      <c r="CI111" s="92"/>
      <c r="CJ111" s="92"/>
      <c r="CK111" s="92"/>
      <c r="CL111" s="92"/>
      <c r="CM111" s="92"/>
      <c r="CN111" s="92"/>
      <c r="CO111" s="92"/>
      <c r="CP111" s="92"/>
      <c r="CQ111" s="92"/>
      <c r="CR111" s="92"/>
      <c r="CS111" s="92"/>
      <c r="CT111" s="92"/>
      <c r="CU111" s="92"/>
      <c r="CV111" s="92"/>
    </row>
    <row r="112" spans="1:122">
      <c r="A112" s="178">
        <v>76</v>
      </c>
      <c r="B112" s="173">
        <f ca="1">RESUMEN!J79</f>
        <v>0</v>
      </c>
      <c r="C112" s="173">
        <f ca="1">+RESUMEN!K79</f>
        <v>0</v>
      </c>
      <c r="D112" s="174">
        <f t="shared" ca="1" si="201"/>
        <v>0</v>
      </c>
      <c r="E112" s="91"/>
      <c r="F112" s="384" t="s">
        <v>133</v>
      </c>
      <c r="G112" s="387">
        <f t="shared" ref="G112:H112" si="206">+DQ8</f>
        <v>414.9</v>
      </c>
      <c r="H112" s="387">
        <f t="shared" si="206"/>
        <v>358.41</v>
      </c>
      <c r="I112" s="91"/>
      <c r="J112" s="200" t="s">
        <v>133</v>
      </c>
      <c r="K112" s="201">
        <v>17.440000000000001</v>
      </c>
      <c r="L112" s="92">
        <v>6</v>
      </c>
      <c r="M112" s="202" t="s">
        <v>238</v>
      </c>
      <c r="N112" s="203">
        <v>1.9682999999999999</v>
      </c>
      <c r="O112" s="316"/>
      <c r="P112" s="317"/>
      <c r="Q112" s="204">
        <v>24</v>
      </c>
      <c r="R112" s="196">
        <v>1120</v>
      </c>
      <c r="S112" s="196">
        <v>1064</v>
      </c>
      <c r="T112" s="196">
        <v>1008</v>
      </c>
      <c r="U112" s="196">
        <v>1669.9753723840431</v>
      </c>
      <c r="V112" s="92"/>
      <c r="W112" s="165"/>
      <c r="X112" s="165"/>
      <c r="Y112" s="165"/>
      <c r="Z112" s="165"/>
      <c r="AA112" s="165"/>
      <c r="AB112" s="210"/>
      <c r="AC112" s="92"/>
      <c r="AD112" s="92"/>
      <c r="AE112" s="92"/>
      <c r="AF112" s="92"/>
      <c r="AG112" s="92"/>
      <c r="AH112" s="208"/>
      <c r="AI112" s="92"/>
      <c r="AJ112" s="208"/>
      <c r="AK112" s="208"/>
      <c r="AL112" s="92"/>
      <c r="AM112" s="209"/>
      <c r="AN112" s="209"/>
      <c r="AO112" s="92"/>
      <c r="AP112" s="92"/>
      <c r="AQ112" s="92"/>
      <c r="AR112" s="92"/>
      <c r="AS112" s="92"/>
      <c r="AT112" s="92"/>
      <c r="AU112" s="206"/>
      <c r="AV112" s="206"/>
      <c r="AW112" s="206"/>
      <c r="AX112" s="206"/>
      <c r="AY112" s="206"/>
      <c r="AZ112" s="92"/>
      <c r="BA112" s="206"/>
      <c r="BB112" s="206"/>
      <c r="BC112" s="206"/>
      <c r="BD112" s="206"/>
      <c r="BE112" s="207"/>
      <c r="BF112" s="207"/>
      <c r="BG112" s="207"/>
      <c r="BH112" s="207"/>
      <c r="BI112" s="207"/>
      <c r="BJ112" s="207"/>
      <c r="BK112" s="207"/>
      <c r="BL112" s="207"/>
      <c r="BM112" s="207"/>
      <c r="BN112" s="207"/>
      <c r="BO112" s="207"/>
      <c r="BP112" s="207"/>
      <c r="BQ112" s="207"/>
      <c r="BR112" s="207"/>
      <c r="BS112" s="92"/>
      <c r="BT112" s="92"/>
      <c r="BU112" s="92"/>
      <c r="BV112" s="92"/>
      <c r="BW112" s="92"/>
      <c r="BX112" s="92"/>
      <c r="BY112" s="92"/>
      <c r="BZ112" s="92"/>
      <c r="CA112" s="92"/>
      <c r="CB112" s="92"/>
      <c r="CC112" s="92"/>
      <c r="CD112" s="92"/>
      <c r="CE112" s="92"/>
      <c r="CF112" s="92"/>
      <c r="CG112" s="92"/>
      <c r="CH112" s="92"/>
      <c r="CI112" s="92"/>
      <c r="CJ112" s="92"/>
      <c r="CK112" s="92"/>
      <c r="CL112" s="92"/>
      <c r="CM112" s="92"/>
      <c r="CN112" s="92"/>
      <c r="CO112" s="92"/>
      <c r="CP112" s="92"/>
      <c r="CQ112" s="92"/>
      <c r="CR112" s="92"/>
      <c r="CS112" s="92"/>
      <c r="CT112" s="92"/>
      <c r="CU112" s="92"/>
      <c r="CV112" s="92"/>
    </row>
    <row r="113" spans="1:100">
      <c r="A113" s="178">
        <v>77</v>
      </c>
      <c r="B113" s="173">
        <f ca="1">RESUMEN!J80</f>
        <v>0</v>
      </c>
      <c r="C113" s="173">
        <f ca="1">+RESUMEN!K80</f>
        <v>0</v>
      </c>
      <c r="D113" s="174">
        <f t="shared" ca="1" si="201"/>
        <v>0</v>
      </c>
      <c r="E113" s="91"/>
      <c r="F113" s="384" t="s">
        <v>134</v>
      </c>
      <c r="G113" s="387">
        <f t="shared" ref="G113:H113" si="207">+DQ9</f>
        <v>435.77</v>
      </c>
      <c r="H113" s="387">
        <f t="shared" si="207"/>
        <v>375</v>
      </c>
      <c r="I113" s="91"/>
      <c r="J113" s="200" t="s">
        <v>134</v>
      </c>
      <c r="K113" s="201">
        <v>17.52</v>
      </c>
      <c r="L113" s="92">
        <v>7</v>
      </c>
      <c r="M113" s="202" t="s">
        <v>239</v>
      </c>
      <c r="N113" s="203">
        <v>2.1244000000000001</v>
      </c>
      <c r="O113" s="316"/>
      <c r="P113" s="317"/>
      <c r="Q113" s="204">
        <v>25</v>
      </c>
      <c r="R113" s="196">
        <v>1567</v>
      </c>
      <c r="S113" s="196">
        <v>1489</v>
      </c>
      <c r="T113" s="196">
        <v>1411</v>
      </c>
      <c r="U113" s="196">
        <v>2270.3827737650236</v>
      </c>
      <c r="V113" s="92"/>
      <c r="W113" s="165"/>
      <c r="X113" s="165"/>
      <c r="Y113" s="165"/>
      <c r="Z113" s="165"/>
      <c r="AA113" s="165"/>
      <c r="AB113" s="92"/>
      <c r="AC113" s="92"/>
      <c r="AD113" s="92"/>
      <c r="AE113" s="92"/>
      <c r="AF113" s="92"/>
      <c r="AG113" s="92"/>
      <c r="AH113" s="208"/>
      <c r="AI113" s="92"/>
      <c r="AJ113" s="208"/>
      <c r="AK113" s="208"/>
      <c r="AL113" s="92"/>
      <c r="AM113" s="209"/>
      <c r="AN113" s="209"/>
      <c r="AO113" s="92"/>
      <c r="AP113" s="92"/>
      <c r="AQ113" s="92"/>
      <c r="AR113" s="92"/>
      <c r="AS113" s="92"/>
      <c r="AT113" s="92"/>
      <c r="AU113" s="206"/>
      <c r="AV113" s="206"/>
      <c r="AW113" s="206"/>
      <c r="AX113" s="206"/>
      <c r="AY113" s="206"/>
      <c r="AZ113" s="92"/>
      <c r="BA113" s="206"/>
      <c r="BB113" s="206"/>
      <c r="BC113" s="206"/>
      <c r="BD113" s="206"/>
      <c r="BE113" s="207"/>
      <c r="BF113" s="207"/>
      <c r="BG113" s="207"/>
      <c r="BH113" s="207"/>
      <c r="BI113" s="207"/>
      <c r="BJ113" s="207"/>
      <c r="BK113" s="207"/>
      <c r="BL113" s="207"/>
      <c r="BM113" s="207"/>
      <c r="BN113" s="207"/>
      <c r="BO113" s="207"/>
      <c r="BP113" s="207"/>
      <c r="BQ113" s="207"/>
      <c r="BR113" s="207"/>
      <c r="BS113" s="92"/>
      <c r="BT113" s="92"/>
      <c r="BU113" s="92"/>
      <c r="BV113" s="92"/>
      <c r="BW113" s="92"/>
      <c r="BX113" s="92"/>
      <c r="BY113" s="92"/>
      <c r="BZ113" s="92"/>
      <c r="CA113" s="92"/>
      <c r="CB113" s="92"/>
      <c r="CC113" s="92"/>
      <c r="CD113" s="92"/>
      <c r="CE113" s="92"/>
      <c r="CF113" s="92"/>
      <c r="CG113" s="92"/>
      <c r="CH113" s="92"/>
      <c r="CI113" s="92"/>
      <c r="CJ113" s="92"/>
      <c r="CK113" s="92"/>
      <c r="CL113" s="92"/>
      <c r="CM113" s="92"/>
      <c r="CN113" s="92"/>
      <c r="CO113" s="92"/>
      <c r="CP113" s="92"/>
      <c r="CQ113" s="92"/>
      <c r="CR113" s="92"/>
      <c r="CS113" s="92"/>
      <c r="CT113" s="92"/>
      <c r="CU113" s="92"/>
      <c r="CV113" s="92"/>
    </row>
    <row r="114" spans="1:100">
      <c r="A114" s="178">
        <v>78</v>
      </c>
      <c r="B114" s="173">
        <f ca="1">RESUMEN!J81</f>
        <v>0</v>
      </c>
      <c r="C114" s="173">
        <f ca="1">+RESUMEN!K81</f>
        <v>0</v>
      </c>
      <c r="D114" s="174">
        <f t="shared" ca="1" si="201"/>
        <v>0</v>
      </c>
      <c r="E114" s="91"/>
      <c r="F114" s="384" t="s">
        <v>135</v>
      </c>
      <c r="G114" s="387">
        <f t="shared" ref="G114:H114" si="208">+DQ10</f>
        <v>456.64</v>
      </c>
      <c r="H114" s="387">
        <f t="shared" si="208"/>
        <v>391.6</v>
      </c>
      <c r="I114" s="91"/>
      <c r="J114" s="200" t="s">
        <v>135</v>
      </c>
      <c r="K114" s="201">
        <v>17.600000000000001</v>
      </c>
      <c r="L114" s="92">
        <v>8</v>
      </c>
      <c r="M114" s="202" t="s">
        <v>240</v>
      </c>
      <c r="N114" s="203">
        <v>2.2679999999999998</v>
      </c>
      <c r="O114" s="316"/>
      <c r="P114" s="317"/>
      <c r="Q114" s="204">
        <v>26</v>
      </c>
      <c r="R114" s="196">
        <v>2072</v>
      </c>
      <c r="S114" s="196">
        <v>1969</v>
      </c>
      <c r="T114" s="196">
        <v>1865</v>
      </c>
      <c r="U114" s="196">
        <v>2923.6399857007091</v>
      </c>
      <c r="V114" s="92"/>
      <c r="W114" s="165"/>
      <c r="X114" s="92"/>
      <c r="Y114" s="92"/>
      <c r="Z114" s="92"/>
      <c r="AA114" s="92"/>
      <c r="AB114" s="92"/>
      <c r="AC114" s="92"/>
      <c r="AD114" s="92"/>
      <c r="AE114" s="92"/>
      <c r="AF114" s="92"/>
      <c r="AG114" s="92"/>
      <c r="AH114" s="208"/>
      <c r="AI114" s="92"/>
      <c r="AJ114" s="208"/>
      <c r="AK114" s="208"/>
      <c r="AL114" s="92"/>
      <c r="AM114" s="209"/>
      <c r="AN114" s="209"/>
      <c r="AO114" s="92"/>
      <c r="AP114" s="92"/>
      <c r="AQ114" s="92"/>
      <c r="AR114" s="92"/>
      <c r="AS114" s="92"/>
      <c r="AT114" s="92"/>
      <c r="AU114" s="206"/>
      <c r="AV114" s="206"/>
      <c r="AW114" s="206"/>
      <c r="AX114" s="206"/>
      <c r="AY114" s="206"/>
      <c r="AZ114" s="92"/>
      <c r="BA114" s="206"/>
      <c r="BB114" s="206"/>
      <c r="BC114" s="206"/>
      <c r="BD114" s="206"/>
      <c r="BE114" s="207"/>
      <c r="BF114" s="207"/>
      <c r="BG114" s="207"/>
      <c r="BH114" s="207"/>
      <c r="BI114" s="207"/>
      <c r="BJ114" s="207"/>
      <c r="BK114" s="207"/>
      <c r="BL114" s="207"/>
      <c r="BM114" s="207"/>
      <c r="BN114" s="207"/>
      <c r="BO114" s="207"/>
      <c r="BP114" s="207"/>
      <c r="BQ114" s="207"/>
      <c r="BR114" s="207"/>
      <c r="BS114" s="92"/>
      <c r="BT114" s="92"/>
      <c r="BU114" s="92"/>
      <c r="BV114" s="92"/>
      <c r="BW114" s="92"/>
      <c r="BX114" s="92"/>
      <c r="BY114" s="92"/>
      <c r="BZ114" s="92"/>
      <c r="CA114" s="92"/>
      <c r="CB114" s="92"/>
      <c r="CC114" s="92"/>
      <c r="CD114" s="92"/>
      <c r="CE114" s="92"/>
      <c r="CF114" s="92"/>
      <c r="CG114" s="92"/>
      <c r="CH114" s="92"/>
      <c r="CI114" s="92"/>
      <c r="CJ114" s="92"/>
      <c r="CK114" s="92"/>
      <c r="CL114" s="92"/>
      <c r="CM114" s="92"/>
      <c r="CN114" s="92"/>
      <c r="CO114" s="92"/>
      <c r="CP114" s="92"/>
      <c r="CQ114" s="92"/>
      <c r="CR114" s="92"/>
      <c r="CS114" s="92"/>
      <c r="CT114" s="92"/>
      <c r="CU114" s="92"/>
      <c r="CV114" s="92"/>
    </row>
    <row r="115" spans="1:100">
      <c r="A115" s="178">
        <v>79</v>
      </c>
      <c r="B115" s="173">
        <f ca="1">RESUMEN!J82</f>
        <v>0</v>
      </c>
      <c r="C115" s="173">
        <f ca="1">+RESUMEN!K82</f>
        <v>0</v>
      </c>
      <c r="D115" s="174">
        <f t="shared" ca="1" si="201"/>
        <v>0</v>
      </c>
      <c r="E115" s="91"/>
      <c r="F115" s="384" t="s">
        <v>136</v>
      </c>
      <c r="G115" s="387">
        <f t="shared" ref="G115:H115" si="209">+DQ11</f>
        <v>477.51</v>
      </c>
      <c r="H115" s="387">
        <f t="shared" si="209"/>
        <v>408.19</v>
      </c>
      <c r="I115" s="91"/>
      <c r="J115" s="200" t="s">
        <v>136</v>
      </c>
      <c r="K115" s="201">
        <v>17.72</v>
      </c>
      <c r="L115" s="92">
        <v>9</v>
      </c>
      <c r="M115" s="202" t="s">
        <v>241</v>
      </c>
      <c r="N115" s="203">
        <v>2.3990999999999998</v>
      </c>
      <c r="O115" s="316"/>
      <c r="P115" s="317"/>
      <c r="Q115" s="204">
        <v>27</v>
      </c>
      <c r="R115" s="196">
        <v>2590</v>
      </c>
      <c r="S115" s="196">
        <v>2461</v>
      </c>
      <c r="T115" s="196">
        <v>2331</v>
      </c>
      <c r="U115" s="196">
        <v>3570.4890692911358</v>
      </c>
      <c r="V115" s="92"/>
      <c r="W115" s="165"/>
      <c r="X115" s="92"/>
      <c r="Y115" s="92"/>
      <c r="Z115" s="92"/>
      <c r="AA115" s="92"/>
      <c r="AB115" s="92"/>
      <c r="AC115" s="92"/>
      <c r="AD115" s="92"/>
      <c r="AE115" s="92"/>
      <c r="AF115" s="92"/>
      <c r="AG115" s="92"/>
      <c r="AH115" s="208"/>
      <c r="AI115" s="92"/>
      <c r="AJ115" s="208"/>
      <c r="AK115" s="208"/>
      <c r="AL115" s="92"/>
      <c r="AM115" s="209"/>
      <c r="AN115" s="209"/>
      <c r="AO115" s="92"/>
      <c r="AP115" s="92"/>
      <c r="AQ115" s="92"/>
      <c r="AR115" s="92"/>
      <c r="AS115" s="92"/>
      <c r="AT115" s="92"/>
      <c r="AU115" s="206"/>
      <c r="AV115" s="206"/>
      <c r="AW115" s="206"/>
      <c r="AX115" s="206"/>
      <c r="AY115" s="206"/>
      <c r="AZ115" s="92"/>
      <c r="BA115" s="206"/>
      <c r="BB115" s="206"/>
      <c r="BC115" s="206"/>
      <c r="BD115" s="206"/>
      <c r="BE115" s="207"/>
      <c r="BF115" s="207"/>
      <c r="BG115" s="207"/>
      <c r="BH115" s="207"/>
      <c r="BI115" s="207"/>
      <c r="BJ115" s="207"/>
      <c r="BK115" s="207"/>
      <c r="BL115" s="207"/>
      <c r="BM115" s="207"/>
      <c r="BN115" s="207"/>
      <c r="BO115" s="207"/>
      <c r="BP115" s="207"/>
      <c r="BQ115" s="207"/>
      <c r="BR115" s="207"/>
      <c r="BS115" s="92"/>
      <c r="BT115" s="92"/>
      <c r="BU115" s="92"/>
      <c r="BV115" s="92"/>
      <c r="BW115" s="92"/>
      <c r="BX115" s="92"/>
      <c r="BY115" s="92"/>
      <c r="BZ115" s="92"/>
      <c r="CA115" s="92"/>
      <c r="CB115" s="92"/>
      <c r="CC115" s="92"/>
      <c r="CD115" s="92"/>
      <c r="CE115" s="92"/>
      <c r="CF115" s="92"/>
      <c r="CG115" s="92"/>
      <c r="CH115" s="92"/>
      <c r="CI115" s="92"/>
      <c r="CJ115" s="92"/>
      <c r="CK115" s="92"/>
      <c r="CL115" s="92"/>
      <c r="CM115" s="92"/>
      <c r="CN115" s="92"/>
      <c r="CO115" s="92"/>
      <c r="CP115" s="92"/>
      <c r="CQ115" s="92"/>
      <c r="CR115" s="92"/>
      <c r="CS115" s="92"/>
      <c r="CT115" s="92"/>
      <c r="CU115" s="92"/>
      <c r="CV115" s="92"/>
    </row>
    <row r="116" spans="1:100">
      <c r="A116" s="178">
        <v>80</v>
      </c>
      <c r="B116" s="173">
        <f ca="1">RESUMEN!J83</f>
        <v>0</v>
      </c>
      <c r="C116" s="173">
        <f ca="1">+RESUMEN!K83</f>
        <v>0</v>
      </c>
      <c r="D116" s="174">
        <f t="shared" ca="1" si="201"/>
        <v>0</v>
      </c>
      <c r="E116" s="91"/>
      <c r="F116" s="384" t="s">
        <v>137</v>
      </c>
      <c r="G116" s="387">
        <f t="shared" ref="G116:H116" si="210">+DQ12</f>
        <v>498.38</v>
      </c>
      <c r="H116" s="387">
        <f t="shared" si="210"/>
        <v>424.78</v>
      </c>
      <c r="I116" s="91"/>
      <c r="J116" s="200" t="s">
        <v>137</v>
      </c>
      <c r="K116" s="201">
        <v>17.84</v>
      </c>
      <c r="L116" s="92">
        <v>10</v>
      </c>
      <c r="M116" s="202" t="s">
        <v>242</v>
      </c>
      <c r="N116" s="203">
        <v>2.5177</v>
      </c>
      <c r="O116" s="316"/>
      <c r="P116" s="317"/>
      <c r="Q116" s="204">
        <v>28</v>
      </c>
      <c r="R116" s="196">
        <v>3064</v>
      </c>
      <c r="S116" s="196">
        <v>2911</v>
      </c>
      <c r="T116" s="196">
        <v>2757</v>
      </c>
      <c r="U116" s="196">
        <v>4140.0336677344321</v>
      </c>
      <c r="V116" s="92"/>
      <c r="W116" s="165"/>
      <c r="X116" s="165"/>
      <c r="Y116" s="165"/>
      <c r="Z116" s="165"/>
      <c r="AA116" s="165"/>
      <c r="AB116" s="92"/>
      <c r="AC116" s="92"/>
      <c r="AD116" s="92"/>
      <c r="AE116" s="92"/>
      <c r="AF116" s="92"/>
      <c r="AG116" s="92"/>
      <c r="AH116" s="208"/>
      <c r="AI116" s="92"/>
      <c r="AJ116" s="208"/>
      <c r="AK116" s="208"/>
      <c r="AL116" s="92"/>
      <c r="AM116" s="209"/>
      <c r="AN116" s="209"/>
      <c r="AO116" s="92"/>
      <c r="AP116" s="92"/>
      <c r="AQ116" s="92"/>
      <c r="AR116" s="92"/>
      <c r="AS116" s="92"/>
      <c r="AT116" s="92"/>
      <c r="AU116" s="206"/>
      <c r="AV116" s="206"/>
      <c r="AW116" s="206"/>
      <c r="AX116" s="206"/>
      <c r="AY116" s="206"/>
      <c r="AZ116" s="92"/>
      <c r="BA116" s="206"/>
      <c r="BB116" s="206"/>
      <c r="BC116" s="206"/>
      <c r="BD116" s="206"/>
      <c r="BE116" s="207"/>
      <c r="BF116" s="207"/>
      <c r="BG116" s="207"/>
      <c r="BH116" s="207"/>
      <c r="BI116" s="207"/>
      <c r="BJ116" s="207"/>
      <c r="BK116" s="207"/>
      <c r="BL116" s="207"/>
      <c r="BM116" s="207"/>
      <c r="BN116" s="207"/>
      <c r="BO116" s="207"/>
      <c r="BP116" s="207"/>
      <c r="BQ116" s="207"/>
      <c r="BR116" s="207"/>
      <c r="BS116" s="92"/>
      <c r="BT116" s="92"/>
      <c r="BU116" s="92"/>
      <c r="BV116" s="92"/>
      <c r="BW116" s="92"/>
      <c r="BX116" s="92"/>
      <c r="BY116" s="92"/>
      <c r="BZ116" s="92"/>
      <c r="CA116" s="92"/>
      <c r="CB116" s="92"/>
      <c r="CC116" s="92"/>
      <c r="CD116" s="92"/>
      <c r="CE116" s="92"/>
      <c r="CF116" s="92"/>
      <c r="CG116" s="92"/>
      <c r="CH116" s="92"/>
      <c r="CI116" s="92"/>
      <c r="CJ116" s="92"/>
      <c r="CK116" s="92"/>
      <c r="CL116" s="92"/>
      <c r="CM116" s="92"/>
      <c r="CN116" s="92"/>
      <c r="CO116" s="92"/>
      <c r="CP116" s="92"/>
      <c r="CQ116" s="92"/>
      <c r="CR116" s="92"/>
      <c r="CS116" s="92"/>
      <c r="CT116" s="92"/>
      <c r="CU116" s="92"/>
      <c r="CV116" s="92"/>
    </row>
    <row r="117" spans="1:100">
      <c r="A117" s="178">
        <v>81</v>
      </c>
      <c r="B117" s="173">
        <f ca="1">RESUMEN!J84</f>
        <v>0</v>
      </c>
      <c r="C117" s="173">
        <f ca="1">+RESUMEN!K84</f>
        <v>0</v>
      </c>
      <c r="D117" s="174">
        <f t="shared" ca="1" si="201"/>
        <v>0</v>
      </c>
      <c r="E117" s="91"/>
      <c r="F117" s="384" t="s">
        <v>138</v>
      </c>
      <c r="G117" s="387">
        <f t="shared" ref="G117:H117" si="211">+DQ13</f>
        <v>487.59</v>
      </c>
      <c r="H117" s="387">
        <f t="shared" si="211"/>
        <v>440.26</v>
      </c>
      <c r="I117" s="91"/>
      <c r="J117" s="200" t="s">
        <v>138</v>
      </c>
      <c r="K117" s="201">
        <v>17.96</v>
      </c>
      <c r="L117" s="92">
        <v>11</v>
      </c>
      <c r="M117" s="202" t="s">
        <v>243</v>
      </c>
      <c r="N117" s="203">
        <v>2.6238000000000001</v>
      </c>
      <c r="O117" s="316"/>
      <c r="P117" s="317"/>
      <c r="Q117" s="204">
        <v>29</v>
      </c>
      <c r="R117" s="196">
        <v>3433</v>
      </c>
      <c r="S117" s="196">
        <v>3262</v>
      </c>
      <c r="T117" s="196">
        <v>3090</v>
      </c>
      <c r="U117" s="196">
        <v>4562.4765666878784</v>
      </c>
      <c r="V117" s="92"/>
      <c r="W117" s="165"/>
      <c r="X117" s="165"/>
      <c r="Y117" s="165"/>
      <c r="Z117" s="165"/>
      <c r="AA117" s="165"/>
      <c r="AB117" s="92"/>
      <c r="AC117" s="92"/>
      <c r="AD117" s="92"/>
      <c r="AE117" s="92"/>
      <c r="AF117" s="92"/>
      <c r="AG117" s="92"/>
      <c r="AH117" s="208"/>
      <c r="AI117" s="92"/>
      <c r="AJ117" s="208"/>
      <c r="AK117" s="208"/>
      <c r="AL117" s="92"/>
      <c r="AM117" s="209"/>
      <c r="AN117" s="209"/>
      <c r="AO117" s="92"/>
      <c r="AP117" s="92"/>
      <c r="AQ117" s="92"/>
      <c r="AR117" s="92"/>
      <c r="AS117" s="92"/>
      <c r="AT117" s="92"/>
      <c r="AU117" s="206"/>
      <c r="AV117" s="206"/>
      <c r="AW117" s="206"/>
      <c r="AX117" s="206"/>
      <c r="AY117" s="206"/>
      <c r="AZ117" s="92"/>
      <c r="BA117" s="206"/>
      <c r="BB117" s="206"/>
      <c r="BC117" s="206"/>
      <c r="BD117" s="206"/>
      <c r="BE117" s="207"/>
      <c r="BF117" s="207"/>
      <c r="BG117" s="207"/>
      <c r="BH117" s="207"/>
      <c r="BI117" s="207"/>
      <c r="BJ117" s="207"/>
      <c r="BK117" s="207"/>
      <c r="BL117" s="207"/>
      <c r="BM117" s="207"/>
      <c r="BN117" s="207"/>
      <c r="BO117" s="207"/>
      <c r="BP117" s="207"/>
      <c r="BQ117" s="207"/>
      <c r="BR117" s="207"/>
      <c r="BS117" s="92"/>
      <c r="BT117" s="92"/>
      <c r="BU117" s="92"/>
      <c r="BV117" s="92"/>
      <c r="BW117" s="92"/>
      <c r="BX117" s="92"/>
      <c r="BY117" s="92"/>
      <c r="BZ117" s="92"/>
      <c r="CA117" s="92"/>
      <c r="CB117" s="92"/>
      <c r="CC117" s="92"/>
      <c r="CD117" s="92"/>
      <c r="CE117" s="92"/>
      <c r="CF117" s="92"/>
      <c r="CG117" s="92"/>
      <c r="CH117" s="92"/>
      <c r="CI117" s="92"/>
      <c r="CJ117" s="92"/>
      <c r="CK117" s="92"/>
      <c r="CL117" s="92"/>
      <c r="CM117" s="92"/>
      <c r="CN117" s="92"/>
      <c r="CO117" s="92"/>
      <c r="CP117" s="92"/>
      <c r="CQ117" s="92"/>
      <c r="CR117" s="92"/>
      <c r="CS117" s="92"/>
      <c r="CT117" s="92"/>
      <c r="CU117" s="92"/>
      <c r="CV117" s="92"/>
    </row>
    <row r="118" spans="1:100">
      <c r="A118" s="178">
        <v>82</v>
      </c>
      <c r="B118" s="173">
        <f ca="1">RESUMEN!J85</f>
        <v>0</v>
      </c>
      <c r="C118" s="173">
        <f ca="1">+RESUMEN!K85</f>
        <v>0</v>
      </c>
      <c r="D118" s="174">
        <f t="shared" ca="1" si="201"/>
        <v>0</v>
      </c>
      <c r="E118" s="91"/>
      <c r="F118" s="384" t="s">
        <v>139</v>
      </c>
      <c r="G118" s="387">
        <f t="shared" ref="G118:H118" si="212">+DQ14</f>
        <v>476.79</v>
      </c>
      <c r="H118" s="387">
        <f t="shared" si="212"/>
        <v>455.73</v>
      </c>
      <c r="I118" s="91"/>
      <c r="J118" s="200" t="s">
        <v>139</v>
      </c>
      <c r="K118" s="201">
        <v>18.12</v>
      </c>
      <c r="L118" s="92">
        <v>12</v>
      </c>
      <c r="M118" s="202" t="s">
        <v>244</v>
      </c>
      <c r="N118" s="203">
        <v>2.7172999999999998</v>
      </c>
      <c r="O118" s="316"/>
      <c r="P118" s="317"/>
      <c r="Q118" s="204">
        <v>30</v>
      </c>
      <c r="R118" s="196">
        <v>3648</v>
      </c>
      <c r="S118" s="196">
        <v>3465</v>
      </c>
      <c r="T118" s="196">
        <v>3283</v>
      </c>
      <c r="U118" s="196">
        <v>4783.2744938507612</v>
      </c>
      <c r="V118" s="92"/>
      <c r="W118" s="165"/>
      <c r="X118" s="165"/>
      <c r="Y118" s="165"/>
      <c r="Z118" s="165"/>
      <c r="AA118" s="165"/>
      <c r="AB118" s="92"/>
      <c r="AC118" s="92"/>
      <c r="AD118" s="92"/>
      <c r="AE118" s="92"/>
      <c r="AF118" s="92"/>
      <c r="AG118" s="92"/>
      <c r="AH118" s="208"/>
      <c r="AI118" s="92"/>
      <c r="AJ118" s="208"/>
      <c r="AK118" s="208"/>
      <c r="AL118" s="92"/>
      <c r="AM118" s="209"/>
      <c r="AN118" s="209"/>
      <c r="AO118" s="92"/>
      <c r="AP118" s="92"/>
      <c r="AQ118" s="92"/>
      <c r="AR118" s="92"/>
      <c r="AS118" s="92"/>
      <c r="AT118" s="92"/>
      <c r="AU118" s="206"/>
      <c r="AV118" s="206"/>
      <c r="AW118" s="206"/>
      <c r="AX118" s="206"/>
      <c r="AY118" s="206"/>
      <c r="AZ118" s="92"/>
      <c r="BA118" s="206"/>
      <c r="BB118" s="206"/>
      <c r="BC118" s="206"/>
      <c r="BD118" s="206"/>
      <c r="BE118" s="207"/>
      <c r="BF118" s="207"/>
      <c r="BG118" s="207"/>
      <c r="BH118" s="207"/>
      <c r="BI118" s="207"/>
      <c r="BJ118" s="207"/>
      <c r="BK118" s="207"/>
      <c r="BL118" s="207"/>
      <c r="BM118" s="207"/>
      <c r="BN118" s="207"/>
      <c r="BO118" s="207"/>
      <c r="BP118" s="207"/>
      <c r="BQ118" s="207"/>
      <c r="BR118" s="207"/>
      <c r="BS118" s="92"/>
      <c r="BT118" s="92"/>
      <c r="BU118" s="92"/>
      <c r="BV118" s="92"/>
      <c r="BW118" s="92"/>
      <c r="BX118" s="92"/>
      <c r="BY118" s="92"/>
      <c r="BZ118" s="92"/>
      <c r="CA118" s="92"/>
      <c r="CB118" s="92"/>
      <c r="CC118" s="92"/>
      <c r="CD118" s="92"/>
      <c r="CE118" s="92"/>
      <c r="CF118" s="92"/>
      <c r="CG118" s="92"/>
      <c r="CH118" s="92"/>
      <c r="CI118" s="92"/>
      <c r="CJ118" s="92"/>
      <c r="CK118" s="92"/>
      <c r="CL118" s="92"/>
      <c r="CM118" s="92"/>
      <c r="CN118" s="92"/>
      <c r="CO118" s="92"/>
      <c r="CP118" s="92"/>
      <c r="CQ118" s="92"/>
      <c r="CR118" s="92"/>
      <c r="CS118" s="92"/>
      <c r="CT118" s="92"/>
      <c r="CU118" s="92"/>
      <c r="CV118" s="92"/>
    </row>
    <row r="119" spans="1:100">
      <c r="A119" s="178">
        <v>83</v>
      </c>
      <c r="B119" s="173">
        <f ca="1">RESUMEN!J86</f>
        <v>0</v>
      </c>
      <c r="C119" s="173">
        <f ca="1">+RESUMEN!K86</f>
        <v>0</v>
      </c>
      <c r="D119" s="174">
        <f t="shared" ca="1" si="201"/>
        <v>0</v>
      </c>
      <c r="E119" s="91"/>
      <c r="F119" s="384" t="s">
        <v>140</v>
      </c>
      <c r="G119" s="387">
        <f t="shared" ref="G119:H119" si="213">+DQ15</f>
        <v>466</v>
      </c>
      <c r="H119" s="387">
        <f t="shared" si="213"/>
        <v>471.21</v>
      </c>
      <c r="I119" s="91"/>
      <c r="J119" s="200" t="s">
        <v>140</v>
      </c>
      <c r="K119" s="201">
        <v>18.28</v>
      </c>
      <c r="L119" s="92">
        <v>13</v>
      </c>
      <c r="M119" s="202" t="s">
        <v>245</v>
      </c>
      <c r="N119" s="203">
        <v>2.7984</v>
      </c>
      <c r="O119" s="316"/>
      <c r="P119" s="317"/>
      <c r="Q119" s="204">
        <v>31</v>
      </c>
      <c r="R119" s="196">
        <v>3677</v>
      </c>
      <c r="S119" s="196">
        <v>3493</v>
      </c>
      <c r="T119" s="196">
        <v>3309</v>
      </c>
      <c r="U119" s="196">
        <v>4774.7173503070117</v>
      </c>
      <c r="V119" s="92"/>
      <c r="W119" s="165"/>
      <c r="X119" s="165"/>
      <c r="Y119" s="165"/>
      <c r="Z119" s="165"/>
      <c r="AA119" s="165"/>
      <c r="AB119" s="92"/>
      <c r="AC119" s="92"/>
      <c r="AD119" s="92"/>
      <c r="AE119" s="92"/>
      <c r="AF119" s="92"/>
      <c r="AG119" s="92"/>
      <c r="AH119" s="208"/>
      <c r="AI119" s="92"/>
      <c r="AJ119" s="208"/>
      <c r="AK119" s="208"/>
      <c r="AL119" s="92"/>
      <c r="AM119" s="209"/>
      <c r="AN119" s="209"/>
      <c r="AO119" s="92"/>
      <c r="AP119" s="92"/>
      <c r="AQ119" s="92"/>
      <c r="AR119" s="92"/>
      <c r="AS119" s="92"/>
      <c r="AT119" s="92"/>
      <c r="AU119" s="206"/>
      <c r="AV119" s="206"/>
      <c r="AW119" s="206"/>
      <c r="AX119" s="206"/>
      <c r="AY119" s="206"/>
      <c r="AZ119" s="92"/>
      <c r="BA119" s="206"/>
      <c r="BB119" s="206"/>
      <c r="BC119" s="206"/>
      <c r="BD119" s="206"/>
      <c r="BE119" s="207"/>
      <c r="BF119" s="207"/>
      <c r="BG119" s="207"/>
      <c r="BH119" s="207"/>
      <c r="BI119" s="207"/>
      <c r="BJ119" s="207"/>
      <c r="BK119" s="207"/>
      <c r="BL119" s="207"/>
      <c r="BM119" s="207"/>
      <c r="BN119" s="207"/>
      <c r="BO119" s="207"/>
      <c r="BP119" s="207"/>
      <c r="BQ119" s="207"/>
      <c r="BR119" s="207"/>
      <c r="BS119" s="92"/>
      <c r="BT119" s="92"/>
      <c r="BU119" s="92"/>
      <c r="BV119" s="92"/>
      <c r="BW119" s="92"/>
      <c r="BX119" s="92"/>
      <c r="BY119" s="92"/>
      <c r="BZ119" s="92"/>
      <c r="CA119" s="92"/>
      <c r="CB119" s="92"/>
      <c r="CC119" s="92"/>
      <c r="CD119" s="92"/>
      <c r="CE119" s="92"/>
      <c r="CF119" s="92"/>
      <c r="CG119" s="92"/>
      <c r="CH119" s="92"/>
      <c r="CI119" s="92"/>
      <c r="CJ119" s="92"/>
      <c r="CK119" s="92"/>
      <c r="CL119" s="92"/>
      <c r="CM119" s="92"/>
      <c r="CN119" s="92"/>
      <c r="CO119" s="92"/>
      <c r="CP119" s="92"/>
      <c r="CQ119" s="92"/>
      <c r="CR119" s="92"/>
      <c r="CS119" s="92"/>
      <c r="CT119" s="92"/>
      <c r="CU119" s="92"/>
      <c r="CV119" s="92"/>
    </row>
    <row r="120" spans="1:100">
      <c r="A120" s="178">
        <v>84</v>
      </c>
      <c r="B120" s="173">
        <f ca="1">RESUMEN!J87</f>
        <v>0</v>
      </c>
      <c r="C120" s="173">
        <f ca="1">+RESUMEN!K87</f>
        <v>0</v>
      </c>
      <c r="D120" s="174">
        <f t="shared" ca="1" si="201"/>
        <v>0</v>
      </c>
      <c r="E120" s="91"/>
      <c r="F120" s="384" t="s">
        <v>141</v>
      </c>
      <c r="G120" s="387">
        <f t="shared" ref="G120:H120" si="214">+DQ16</f>
        <v>455.2</v>
      </c>
      <c r="H120" s="387">
        <f t="shared" si="214"/>
        <v>486.68</v>
      </c>
      <c r="I120" s="91"/>
      <c r="J120" s="200" t="s">
        <v>141</v>
      </c>
      <c r="K120" s="201">
        <v>18.52</v>
      </c>
      <c r="L120" s="92">
        <v>14</v>
      </c>
      <c r="M120" s="202" t="s">
        <v>246</v>
      </c>
      <c r="N120" s="203">
        <v>2.867</v>
      </c>
      <c r="O120" s="316"/>
      <c r="P120" s="317"/>
      <c r="Q120" s="204">
        <v>32</v>
      </c>
      <c r="R120" s="196">
        <v>3519</v>
      </c>
      <c r="S120" s="196">
        <v>3343</v>
      </c>
      <c r="T120" s="196">
        <v>3167</v>
      </c>
      <c r="U120" s="196">
        <v>4541.5401938368141</v>
      </c>
      <c r="V120" s="92"/>
      <c r="W120" s="165"/>
      <c r="X120" s="165"/>
      <c r="Y120" s="165"/>
      <c r="Z120" s="165"/>
      <c r="AA120" s="165"/>
      <c r="AB120" s="92"/>
      <c r="AC120" s="92"/>
      <c r="AD120" s="92"/>
      <c r="AE120" s="92"/>
      <c r="AF120" s="92"/>
      <c r="AG120" s="92"/>
      <c r="AH120" s="208"/>
      <c r="AI120" s="92"/>
      <c r="AJ120" s="208"/>
      <c r="AK120" s="208"/>
      <c r="AL120" s="92"/>
      <c r="AM120" s="209"/>
      <c r="AN120" s="209"/>
      <c r="AO120" s="92"/>
      <c r="AP120" s="92"/>
      <c r="AQ120" s="92"/>
      <c r="AR120" s="92"/>
      <c r="AS120" s="92"/>
      <c r="AT120" s="92"/>
      <c r="AU120" s="206"/>
      <c r="AV120" s="206"/>
      <c r="AW120" s="206"/>
      <c r="AX120" s="206"/>
      <c r="AY120" s="206"/>
      <c r="AZ120" s="92"/>
      <c r="BA120" s="206"/>
      <c r="BB120" s="206"/>
      <c r="BC120" s="206"/>
      <c r="BD120" s="206"/>
      <c r="BE120" s="207"/>
      <c r="BF120" s="207"/>
      <c r="BG120" s="207"/>
      <c r="BH120" s="207"/>
      <c r="BI120" s="207"/>
      <c r="BJ120" s="207"/>
      <c r="BK120" s="207"/>
      <c r="BL120" s="207"/>
      <c r="BM120" s="207"/>
      <c r="BN120" s="207"/>
      <c r="BO120" s="207"/>
      <c r="BP120" s="207"/>
      <c r="BQ120" s="207"/>
      <c r="BR120" s="207"/>
      <c r="BS120" s="92"/>
      <c r="BT120" s="92"/>
      <c r="BU120" s="92"/>
      <c r="BV120" s="92"/>
      <c r="BW120" s="92"/>
      <c r="BX120" s="92"/>
      <c r="BY120" s="92"/>
      <c r="BZ120" s="92"/>
      <c r="CA120" s="92"/>
      <c r="CB120" s="92"/>
      <c r="CC120" s="92"/>
      <c r="CD120" s="92"/>
      <c r="CE120" s="92"/>
      <c r="CF120" s="92"/>
      <c r="CG120" s="92"/>
      <c r="CH120" s="92"/>
      <c r="CI120" s="92"/>
      <c r="CJ120" s="92"/>
      <c r="CK120" s="92"/>
      <c r="CL120" s="92"/>
      <c r="CM120" s="92"/>
      <c r="CN120" s="92"/>
      <c r="CO120" s="92"/>
      <c r="CP120" s="92"/>
      <c r="CQ120" s="92"/>
      <c r="CR120" s="92"/>
      <c r="CS120" s="92"/>
      <c r="CT120" s="92"/>
      <c r="CU120" s="92"/>
      <c r="CV120" s="92"/>
    </row>
    <row r="121" spans="1:100">
      <c r="A121" s="178">
        <v>85</v>
      </c>
      <c r="B121" s="173">
        <f ca="1">RESUMEN!J88</f>
        <v>0</v>
      </c>
      <c r="C121" s="173">
        <f ca="1">+RESUMEN!K88</f>
        <v>0</v>
      </c>
      <c r="D121" s="174">
        <f t="shared" ca="1" si="201"/>
        <v>0</v>
      </c>
      <c r="E121" s="91"/>
      <c r="F121" s="384" t="s">
        <v>142</v>
      </c>
      <c r="G121" s="387">
        <f t="shared" ref="G121:H121" si="215">+DQ17</f>
        <v>444.4</v>
      </c>
      <c r="H121" s="387">
        <f t="shared" si="215"/>
        <v>502.15</v>
      </c>
      <c r="I121" s="91"/>
      <c r="J121" s="200" t="s">
        <v>142</v>
      </c>
      <c r="K121" s="201">
        <v>18.72</v>
      </c>
      <c r="L121" s="92">
        <v>15</v>
      </c>
      <c r="M121" s="202" t="s">
        <v>247</v>
      </c>
      <c r="N121" s="203">
        <v>2.9230999999999998</v>
      </c>
      <c r="O121" s="316"/>
      <c r="P121" s="317"/>
      <c r="Q121" s="204">
        <v>33</v>
      </c>
      <c r="R121" s="196">
        <v>3199</v>
      </c>
      <c r="S121" s="196">
        <v>3039</v>
      </c>
      <c r="T121" s="196">
        <v>2879</v>
      </c>
      <c r="U121" s="196">
        <v>4119.0347544766682</v>
      </c>
      <c r="V121" s="92"/>
      <c r="W121" s="165"/>
      <c r="X121" s="165"/>
      <c r="Y121" s="165"/>
      <c r="Z121" s="165"/>
      <c r="AA121" s="165"/>
      <c r="AB121" s="92"/>
      <c r="AC121" s="92"/>
      <c r="AD121" s="92"/>
      <c r="AE121" s="92"/>
      <c r="AF121" s="92"/>
      <c r="AG121" s="92"/>
      <c r="AH121" s="208"/>
      <c r="AI121" s="92"/>
      <c r="AJ121" s="208"/>
      <c r="AK121" s="208"/>
      <c r="AL121" s="92"/>
      <c r="AM121" s="209"/>
      <c r="AN121" s="209"/>
      <c r="AO121" s="92"/>
      <c r="AP121" s="92"/>
      <c r="AQ121" s="92"/>
      <c r="AR121" s="92"/>
      <c r="AS121" s="92"/>
      <c r="AT121" s="92"/>
      <c r="AU121" s="206"/>
      <c r="AV121" s="206"/>
      <c r="AW121" s="206"/>
      <c r="AX121" s="206"/>
      <c r="AY121" s="206"/>
      <c r="AZ121" s="92"/>
      <c r="BA121" s="206"/>
      <c r="BB121" s="206"/>
      <c r="BC121" s="206"/>
      <c r="BD121" s="206"/>
      <c r="BE121" s="207"/>
      <c r="BF121" s="207"/>
      <c r="BG121" s="207"/>
      <c r="BH121" s="207"/>
      <c r="BI121" s="207"/>
      <c r="BJ121" s="207"/>
      <c r="BK121" s="207"/>
      <c r="BL121" s="207"/>
      <c r="BM121" s="207"/>
      <c r="BN121" s="207"/>
      <c r="BO121" s="207"/>
      <c r="BP121" s="207"/>
      <c r="BQ121" s="207"/>
      <c r="BR121" s="207"/>
      <c r="BS121" s="92"/>
      <c r="BT121" s="92"/>
      <c r="BU121" s="92"/>
      <c r="BV121" s="92"/>
      <c r="BW121" s="92"/>
      <c r="BX121" s="92"/>
      <c r="BY121" s="92"/>
      <c r="BZ121" s="92"/>
      <c r="CA121" s="92"/>
      <c r="CB121" s="92"/>
      <c r="CC121" s="92"/>
      <c r="CD121" s="92"/>
      <c r="CE121" s="92"/>
      <c r="CF121" s="92"/>
      <c r="CG121" s="92"/>
      <c r="CH121" s="92"/>
      <c r="CI121" s="92"/>
      <c r="CJ121" s="92"/>
      <c r="CK121" s="92"/>
      <c r="CL121" s="92"/>
      <c r="CM121" s="92"/>
      <c r="CN121" s="92"/>
      <c r="CO121" s="92"/>
      <c r="CP121" s="92"/>
      <c r="CQ121" s="92"/>
      <c r="CR121" s="92"/>
      <c r="CS121" s="92"/>
      <c r="CT121" s="92"/>
      <c r="CU121" s="92"/>
      <c r="CV121" s="92"/>
    </row>
    <row r="122" spans="1:100">
      <c r="A122" s="178">
        <v>86</v>
      </c>
      <c r="B122" s="173">
        <f ca="1">RESUMEN!J89</f>
        <v>0</v>
      </c>
      <c r="C122" s="173">
        <f ca="1">+RESUMEN!K89</f>
        <v>0</v>
      </c>
      <c r="D122" s="174">
        <f t="shared" ca="1" si="201"/>
        <v>0</v>
      </c>
      <c r="E122" s="91"/>
      <c r="F122" s="384" t="s">
        <v>143</v>
      </c>
      <c r="G122" s="387">
        <f t="shared" ref="G122:H122" si="216">+DQ18</f>
        <v>447.33</v>
      </c>
      <c r="H122" s="387">
        <f t="shared" si="216"/>
        <v>500.41</v>
      </c>
      <c r="I122" s="91"/>
      <c r="J122" s="200" t="s">
        <v>143</v>
      </c>
      <c r="K122" s="201">
        <v>19</v>
      </c>
      <c r="L122" s="92">
        <v>16</v>
      </c>
      <c r="M122" s="202" t="s">
        <v>248</v>
      </c>
      <c r="N122" s="203">
        <v>2.9666999999999999</v>
      </c>
      <c r="O122" s="316"/>
      <c r="P122" s="317"/>
      <c r="Q122" s="204">
        <v>34</v>
      </c>
      <c r="R122" s="196">
        <v>2763</v>
      </c>
      <c r="S122" s="196">
        <v>2625</v>
      </c>
      <c r="T122" s="196">
        <v>2487</v>
      </c>
      <c r="U122" s="196">
        <v>3564.5011181424761</v>
      </c>
      <c r="V122" s="92"/>
      <c r="W122" s="165"/>
      <c r="X122" s="165"/>
      <c r="Y122" s="165"/>
      <c r="Z122" s="165"/>
      <c r="AA122" s="165"/>
      <c r="AB122" s="92"/>
      <c r="AC122" s="92"/>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2"/>
      <c r="BL122" s="92"/>
      <c r="BM122" s="92"/>
      <c r="BN122" s="92"/>
      <c r="BO122" s="92"/>
      <c r="BP122" s="92"/>
      <c r="BQ122" s="92"/>
      <c r="BR122" s="92"/>
      <c r="BS122" s="92"/>
      <c r="BT122" s="92"/>
      <c r="BU122" s="92"/>
      <c r="BV122" s="92"/>
      <c r="BW122" s="92"/>
      <c r="BX122" s="92"/>
      <c r="BY122" s="92"/>
      <c r="BZ122" s="92"/>
      <c r="CA122" s="92"/>
      <c r="CB122" s="92"/>
      <c r="CC122" s="92"/>
      <c r="CD122" s="92"/>
      <c r="CE122" s="92"/>
      <c r="CF122" s="92"/>
      <c r="CG122" s="92"/>
      <c r="CH122" s="92"/>
      <c r="CI122" s="92"/>
      <c r="CJ122" s="92"/>
      <c r="CK122" s="92"/>
      <c r="CL122" s="92"/>
      <c r="CM122" s="92"/>
      <c r="CN122" s="92"/>
      <c r="CO122" s="92"/>
      <c r="CP122" s="92"/>
      <c r="CQ122" s="92"/>
      <c r="CR122" s="92"/>
      <c r="CS122" s="92"/>
      <c r="CT122" s="92"/>
      <c r="CU122" s="92"/>
      <c r="CV122" s="92"/>
    </row>
    <row r="123" spans="1:100">
      <c r="A123" s="178">
        <v>87</v>
      </c>
      <c r="B123" s="173">
        <f ca="1">RESUMEN!J90</f>
        <v>0</v>
      </c>
      <c r="C123" s="173">
        <f ca="1">+RESUMEN!K90</f>
        <v>0</v>
      </c>
      <c r="D123" s="174">
        <f t="shared" ca="1" si="201"/>
        <v>0</v>
      </c>
      <c r="E123" s="91"/>
      <c r="F123" s="384" t="s">
        <v>144</v>
      </c>
      <c r="G123" s="387">
        <f t="shared" ref="G123:H123" si="217">+DQ19</f>
        <v>450.26</v>
      </c>
      <c r="H123" s="387">
        <f t="shared" si="217"/>
        <v>498.66</v>
      </c>
      <c r="I123" s="91"/>
      <c r="J123" s="200" t="s">
        <v>144</v>
      </c>
      <c r="K123" s="201">
        <v>19.28</v>
      </c>
      <c r="L123" s="92">
        <v>17</v>
      </c>
      <c r="M123" s="202" t="s">
        <v>249</v>
      </c>
      <c r="N123" s="211">
        <v>2.9977999999999998</v>
      </c>
      <c r="O123" s="316"/>
      <c r="P123" s="317"/>
      <c r="Q123" s="204">
        <v>35</v>
      </c>
      <c r="R123" s="196">
        <v>2270</v>
      </c>
      <c r="S123" s="196">
        <v>2156</v>
      </c>
      <c r="T123" s="196">
        <v>2043</v>
      </c>
      <c r="U123" s="196">
        <v>2944.8270181963135</v>
      </c>
      <c r="V123" s="92"/>
      <c r="W123" s="165"/>
      <c r="X123" s="165"/>
      <c r="Y123" s="165"/>
      <c r="Z123" s="165"/>
      <c r="AA123" s="165"/>
      <c r="AB123" s="92"/>
      <c r="AC123" s="92"/>
      <c r="AD123" s="92"/>
      <c r="AE123" s="92"/>
      <c r="AF123" s="92"/>
      <c r="AG123" s="92"/>
      <c r="AH123" s="165"/>
      <c r="AI123" s="165"/>
      <c r="AJ123" s="165"/>
      <c r="AK123" s="165"/>
      <c r="AL123" s="165"/>
      <c r="AM123" s="165"/>
      <c r="AN123" s="165"/>
      <c r="AO123" s="165"/>
      <c r="AP123" s="165"/>
      <c r="AQ123" s="165"/>
      <c r="AR123" s="165"/>
      <c r="AS123" s="165"/>
      <c r="AT123" s="165"/>
      <c r="AU123" s="165"/>
      <c r="AV123" s="165"/>
      <c r="AW123" s="165"/>
      <c r="AX123" s="165"/>
      <c r="AY123" s="165"/>
      <c r="AZ123" s="165"/>
      <c r="BA123" s="165"/>
      <c r="BB123" s="165"/>
      <c r="BC123" s="165"/>
      <c r="BD123" s="165"/>
      <c r="BE123" s="165"/>
      <c r="BF123" s="165"/>
      <c r="BG123" s="92"/>
      <c r="BH123" s="92"/>
      <c r="BI123" s="92"/>
      <c r="BJ123" s="92"/>
      <c r="BK123" s="92"/>
      <c r="BL123" s="92"/>
      <c r="BM123" s="92"/>
      <c r="BN123" s="92"/>
      <c r="BO123" s="92"/>
      <c r="BP123" s="92"/>
      <c r="BQ123" s="92"/>
      <c r="BR123" s="92"/>
      <c r="BS123" s="92"/>
      <c r="BT123" s="92"/>
      <c r="BU123" s="92"/>
      <c r="BV123" s="92"/>
      <c r="BW123" s="92"/>
      <c r="BX123" s="92"/>
      <c r="BY123" s="92"/>
      <c r="BZ123" s="92"/>
      <c r="CA123" s="92"/>
      <c r="CB123" s="92"/>
      <c r="CC123" s="92"/>
      <c r="CD123" s="92"/>
      <c r="CE123" s="92"/>
      <c r="CF123" s="92"/>
      <c r="CG123" s="92"/>
      <c r="CH123" s="92"/>
      <c r="CI123" s="92"/>
      <c r="CJ123" s="92"/>
      <c r="CK123" s="92"/>
      <c r="CL123" s="92"/>
      <c r="CM123" s="92"/>
      <c r="CN123" s="92"/>
      <c r="CO123" s="92"/>
      <c r="CP123" s="92"/>
      <c r="CQ123" s="92"/>
      <c r="CR123" s="92"/>
      <c r="CS123" s="92"/>
      <c r="CT123" s="92"/>
      <c r="CU123" s="92"/>
      <c r="CV123" s="92"/>
    </row>
    <row r="124" spans="1:100">
      <c r="A124" s="178">
        <v>88</v>
      </c>
      <c r="B124" s="173">
        <f ca="1">RESUMEN!J91</f>
        <v>0</v>
      </c>
      <c r="C124" s="173">
        <f ca="1">+RESUMEN!K91</f>
        <v>0</v>
      </c>
      <c r="D124" s="174">
        <f t="shared" ca="1" si="201"/>
        <v>0</v>
      </c>
      <c r="E124" s="91"/>
      <c r="F124" s="384" t="s">
        <v>145</v>
      </c>
      <c r="G124" s="387">
        <f t="shared" ref="G124:H124" si="218">+DQ20</f>
        <v>453.19</v>
      </c>
      <c r="H124" s="387">
        <f t="shared" si="218"/>
        <v>496.91</v>
      </c>
      <c r="I124" s="91"/>
      <c r="J124" s="200" t="s">
        <v>145</v>
      </c>
      <c r="K124" s="201">
        <v>19.559999999999999</v>
      </c>
      <c r="L124" s="92"/>
      <c r="M124" s="92"/>
      <c r="N124" s="92"/>
      <c r="O124" s="92"/>
      <c r="P124" s="92"/>
      <c r="Q124" s="204">
        <v>36</v>
      </c>
      <c r="R124" s="196">
        <v>1773</v>
      </c>
      <c r="S124" s="196">
        <v>1684</v>
      </c>
      <c r="T124" s="196">
        <v>1596</v>
      </c>
      <c r="U124" s="196">
        <v>2323.8042287414173</v>
      </c>
      <c r="V124" s="92"/>
      <c r="W124" s="165"/>
      <c r="X124" s="92"/>
      <c r="Y124" s="92"/>
      <c r="Z124" s="92"/>
      <c r="AA124" s="92"/>
      <c r="AB124" s="92"/>
      <c r="AC124" s="92"/>
      <c r="AD124" s="92"/>
      <c r="AE124" s="92"/>
      <c r="AF124" s="92"/>
      <c r="AG124" s="92"/>
      <c r="AH124" s="165"/>
      <c r="AI124" s="165"/>
      <c r="AJ124" s="165"/>
      <c r="AK124" s="165"/>
      <c r="AL124" s="165"/>
      <c r="AM124" s="165"/>
      <c r="AN124" s="165"/>
      <c r="AO124" s="165"/>
      <c r="AP124" s="165"/>
      <c r="AQ124" s="165"/>
      <c r="AR124" s="165"/>
      <c r="AS124" s="165"/>
      <c r="AT124" s="165"/>
      <c r="AU124" s="165"/>
      <c r="AV124" s="165"/>
      <c r="AW124" s="165"/>
      <c r="AX124" s="165"/>
      <c r="AY124" s="165"/>
      <c r="AZ124" s="165"/>
      <c r="BA124" s="165"/>
      <c r="BB124" s="165"/>
      <c r="BC124" s="165"/>
      <c r="BD124" s="165"/>
      <c r="BE124" s="165"/>
      <c r="BF124" s="165"/>
      <c r="BG124" s="92"/>
      <c r="BH124" s="92"/>
      <c r="BI124" s="92"/>
      <c r="BJ124" s="92"/>
      <c r="BK124" s="92"/>
      <c r="BL124" s="92"/>
      <c r="BM124" s="92"/>
      <c r="BN124" s="92"/>
      <c r="BO124" s="92"/>
      <c r="BP124" s="92"/>
      <c r="BQ124" s="92"/>
      <c r="BR124" s="92"/>
      <c r="BS124" s="92"/>
      <c r="BT124" s="92"/>
      <c r="BU124" s="92"/>
      <c r="BV124" s="92"/>
      <c r="BW124" s="92"/>
      <c r="BX124" s="92"/>
      <c r="BY124" s="92"/>
      <c r="BZ124" s="92"/>
      <c r="CA124" s="92"/>
      <c r="CB124" s="92"/>
      <c r="CC124" s="92"/>
      <c r="CD124" s="92"/>
      <c r="CE124" s="92"/>
      <c r="CF124" s="92"/>
      <c r="CG124" s="92"/>
      <c r="CH124" s="92"/>
      <c r="CI124" s="92"/>
      <c r="CJ124" s="92"/>
      <c r="CK124" s="92"/>
      <c r="CL124" s="92"/>
      <c r="CM124" s="92"/>
      <c r="CN124" s="92"/>
      <c r="CO124" s="92"/>
      <c r="CP124" s="92"/>
      <c r="CQ124" s="92"/>
      <c r="CR124" s="92"/>
      <c r="CS124" s="92"/>
      <c r="CT124" s="92"/>
      <c r="CU124" s="92"/>
      <c r="CV124" s="92"/>
    </row>
    <row r="125" spans="1:100">
      <c r="A125" s="178">
        <v>89</v>
      </c>
      <c r="B125" s="173">
        <f ca="1">RESUMEN!J92</f>
        <v>0</v>
      </c>
      <c r="C125" s="173">
        <f ca="1">+RESUMEN!K92</f>
        <v>0</v>
      </c>
      <c r="D125" s="174">
        <f t="shared" ca="1" si="201"/>
        <v>0</v>
      </c>
      <c r="E125" s="91"/>
      <c r="F125" s="384" t="s">
        <v>146</v>
      </c>
      <c r="G125" s="387">
        <f t="shared" ref="G125:H125" si="219">+DQ21</f>
        <v>456.12</v>
      </c>
      <c r="H125" s="387">
        <f t="shared" si="219"/>
        <v>495.17</v>
      </c>
      <c r="I125" s="91"/>
      <c r="J125" s="200" t="s">
        <v>146</v>
      </c>
      <c r="K125" s="201">
        <v>19.920000000000002</v>
      </c>
      <c r="L125" s="92"/>
      <c r="M125" s="92"/>
      <c r="N125" s="92"/>
      <c r="O125" s="92"/>
      <c r="P125" s="92"/>
      <c r="Q125" s="204">
        <v>37</v>
      </c>
      <c r="R125" s="196">
        <v>1318</v>
      </c>
      <c r="S125" s="196">
        <v>1252</v>
      </c>
      <c r="T125" s="196">
        <v>1186</v>
      </c>
      <c r="U125" s="196">
        <v>1752.325276563982</v>
      </c>
      <c r="V125" s="92"/>
      <c r="W125" s="165"/>
      <c r="X125" s="92"/>
      <c r="Y125" s="92"/>
      <c r="Z125" s="92"/>
      <c r="AA125" s="92"/>
      <c r="AB125" s="92"/>
      <c r="AC125" s="92"/>
      <c r="AD125" s="92"/>
      <c r="AE125" s="92"/>
      <c r="AF125" s="92"/>
      <c r="AG125" s="92"/>
      <c r="AH125" s="165"/>
      <c r="AI125" s="165"/>
      <c r="AJ125" s="165"/>
      <c r="AK125" s="165"/>
      <c r="AL125" s="165"/>
      <c r="AM125" s="165"/>
      <c r="AN125" s="165"/>
      <c r="AO125" s="165"/>
      <c r="AP125" s="165"/>
      <c r="AQ125" s="165"/>
      <c r="AR125" s="165"/>
      <c r="AS125" s="165"/>
      <c r="AT125" s="165"/>
      <c r="AU125" s="165"/>
      <c r="AV125" s="165"/>
      <c r="AW125" s="165"/>
      <c r="AX125" s="165"/>
      <c r="AY125" s="165"/>
      <c r="AZ125" s="165"/>
      <c r="BA125" s="165"/>
      <c r="BB125" s="165"/>
      <c r="BC125" s="165"/>
      <c r="BD125" s="165"/>
      <c r="BE125" s="165"/>
      <c r="BF125" s="165"/>
      <c r="BG125" s="92"/>
      <c r="BH125" s="92"/>
      <c r="BI125" s="92"/>
      <c r="BJ125" s="92"/>
      <c r="BK125" s="92"/>
      <c r="BL125" s="92"/>
      <c r="BM125" s="92"/>
      <c r="BN125" s="92"/>
      <c r="BO125" s="92"/>
      <c r="BP125" s="92"/>
      <c r="BQ125" s="92"/>
      <c r="BR125" s="92"/>
      <c r="BS125" s="92"/>
      <c r="BT125" s="92"/>
      <c r="BU125" s="92"/>
      <c r="BV125" s="527"/>
      <c r="BW125" s="527"/>
      <c r="BX125" s="194"/>
      <c r="BY125" s="527"/>
      <c r="BZ125" s="527"/>
      <c r="CA125" s="92"/>
      <c r="CB125" s="92"/>
      <c r="CC125" s="92"/>
      <c r="CD125" s="92"/>
      <c r="CE125" s="92"/>
      <c r="CF125" s="92"/>
      <c r="CG125" s="92"/>
      <c r="CH125" s="92"/>
      <c r="CI125" s="92"/>
      <c r="CJ125" s="92"/>
      <c r="CK125" s="92"/>
      <c r="CL125" s="92"/>
      <c r="CM125" s="92"/>
      <c r="CN125" s="92"/>
      <c r="CO125" s="92"/>
      <c r="CP125" s="92"/>
      <c r="CQ125" s="92"/>
      <c r="CR125" s="92"/>
      <c r="CS125" s="92"/>
      <c r="CT125" s="92"/>
      <c r="CU125" s="92"/>
      <c r="CV125" s="92"/>
    </row>
    <row r="126" spans="1:100">
      <c r="A126" s="178">
        <v>90</v>
      </c>
      <c r="B126" s="173">
        <f ca="1">RESUMEN!J93</f>
        <v>0</v>
      </c>
      <c r="C126" s="173">
        <f ca="1">+RESUMEN!K93</f>
        <v>0</v>
      </c>
      <c r="D126" s="174">
        <f t="shared" ca="1" si="201"/>
        <v>0</v>
      </c>
      <c r="E126" s="91"/>
      <c r="F126" s="384" t="s">
        <v>147</v>
      </c>
      <c r="G126" s="387">
        <f t="shared" ref="G126:H126" si="220">+DQ22</f>
        <v>459.05</v>
      </c>
      <c r="H126" s="387">
        <f t="shared" si="220"/>
        <v>493.42</v>
      </c>
      <c r="I126" s="91"/>
      <c r="J126" s="200" t="s">
        <v>147</v>
      </c>
      <c r="K126" s="201">
        <v>20.28</v>
      </c>
      <c r="L126" s="92"/>
      <c r="M126" s="92"/>
      <c r="N126" s="92"/>
      <c r="O126" s="92"/>
      <c r="P126" s="92"/>
      <c r="Q126" s="204">
        <v>38</v>
      </c>
      <c r="R126" s="196">
        <v>932</v>
      </c>
      <c r="S126" s="196">
        <v>885</v>
      </c>
      <c r="T126" s="196">
        <v>839</v>
      </c>
      <c r="U126" s="196">
        <v>1263.2203435123859</v>
      </c>
      <c r="V126" s="92"/>
      <c r="W126" s="165"/>
      <c r="X126" s="92"/>
      <c r="Y126" s="92"/>
      <c r="Z126" s="92"/>
      <c r="AA126" s="92"/>
      <c r="AB126" s="92"/>
      <c r="AC126" s="92"/>
      <c r="AD126" s="92"/>
      <c r="AE126" s="92"/>
      <c r="AF126" s="92"/>
      <c r="AG126" s="92"/>
      <c r="AH126" s="165"/>
      <c r="AI126" s="165"/>
      <c r="AJ126" s="165"/>
      <c r="AK126" s="165"/>
      <c r="AL126" s="165"/>
      <c r="AM126" s="165"/>
      <c r="AN126" s="165"/>
      <c r="AO126" s="165"/>
      <c r="AP126" s="165"/>
      <c r="AQ126" s="165"/>
      <c r="AR126" s="165"/>
      <c r="AS126" s="165"/>
      <c r="AT126" s="165"/>
      <c r="AU126" s="165"/>
      <c r="AV126" s="165"/>
      <c r="AW126" s="165"/>
      <c r="AX126" s="165"/>
      <c r="AY126" s="165"/>
      <c r="AZ126" s="165"/>
      <c r="BA126" s="165"/>
      <c r="BB126" s="165"/>
      <c r="BC126" s="165"/>
      <c r="BD126" s="165"/>
      <c r="BE126" s="165"/>
      <c r="BF126" s="165"/>
      <c r="BG126" s="92"/>
      <c r="BH126" s="92"/>
      <c r="BI126" s="92"/>
      <c r="BJ126" s="92"/>
      <c r="BK126" s="92"/>
      <c r="BL126" s="92"/>
      <c r="BM126" s="92"/>
      <c r="BN126" s="92"/>
      <c r="BO126" s="92"/>
      <c r="BP126" s="92"/>
      <c r="BQ126" s="92"/>
      <c r="BR126" s="92"/>
      <c r="BS126" s="92"/>
      <c r="BT126" s="92"/>
      <c r="BU126" s="92"/>
      <c r="BV126" s="163"/>
      <c r="BW126" s="163"/>
      <c r="BX126" s="163"/>
      <c r="BY126" s="163"/>
      <c r="BZ126" s="163"/>
      <c r="CA126" s="92"/>
      <c r="CB126" s="92"/>
      <c r="CC126" s="92"/>
      <c r="CD126" s="92"/>
      <c r="CE126" s="92"/>
      <c r="CF126" s="92"/>
      <c r="CG126" s="92"/>
      <c r="CH126" s="92"/>
      <c r="CI126" s="92"/>
      <c r="CJ126" s="92"/>
      <c r="CK126" s="92"/>
      <c r="CL126" s="92"/>
      <c r="CM126" s="92"/>
      <c r="CN126" s="92"/>
      <c r="CO126" s="92"/>
      <c r="CP126" s="92"/>
      <c r="CQ126" s="92"/>
      <c r="CR126" s="92"/>
      <c r="CS126" s="92"/>
      <c r="CT126" s="92"/>
      <c r="CU126" s="92"/>
      <c r="CV126" s="92"/>
    </row>
    <row r="127" spans="1:100">
      <c r="A127" s="178">
        <v>91</v>
      </c>
      <c r="B127" s="173">
        <f ca="1">RESUMEN!J94</f>
        <v>0</v>
      </c>
      <c r="C127" s="173">
        <f ca="1">+RESUMEN!K94</f>
        <v>0</v>
      </c>
      <c r="D127" s="174">
        <f t="shared" ca="1" si="201"/>
        <v>0</v>
      </c>
      <c r="E127" s="91"/>
      <c r="F127" s="384" t="s">
        <v>148</v>
      </c>
      <c r="G127" s="387">
        <f t="shared" ref="G127:H127" si="221">+DQ23</f>
        <v>466.92</v>
      </c>
      <c r="H127" s="387">
        <f t="shared" si="221"/>
        <v>488.89</v>
      </c>
      <c r="I127" s="91"/>
      <c r="J127" s="200" t="s">
        <v>148</v>
      </c>
      <c r="K127" s="212">
        <v>20.68</v>
      </c>
      <c r="L127" s="92"/>
      <c r="M127" s="92"/>
      <c r="N127" s="92"/>
      <c r="O127" s="92"/>
      <c r="P127" s="92"/>
      <c r="Q127" s="204">
        <v>39</v>
      </c>
      <c r="R127" s="196">
        <v>627</v>
      </c>
      <c r="S127" s="196">
        <v>596</v>
      </c>
      <c r="T127" s="196">
        <v>564</v>
      </c>
      <c r="U127" s="196">
        <v>870.85248638048324</v>
      </c>
      <c r="V127" s="92"/>
      <c r="W127" s="165"/>
      <c r="X127" s="92"/>
      <c r="Y127" s="92"/>
      <c r="Z127" s="92"/>
      <c r="AA127" s="92"/>
      <c r="AB127" s="92"/>
      <c r="AC127" s="92"/>
      <c r="AD127" s="92"/>
      <c r="AE127" s="92"/>
      <c r="AF127" s="92"/>
      <c r="AG127" s="92"/>
      <c r="AH127" s="165"/>
      <c r="AI127" s="165"/>
      <c r="AJ127" s="165"/>
      <c r="AK127" s="165"/>
      <c r="AL127" s="165"/>
      <c r="AM127" s="165"/>
      <c r="AN127" s="165"/>
      <c r="AO127" s="165"/>
      <c r="AP127" s="165"/>
      <c r="AQ127" s="165"/>
      <c r="AR127" s="165"/>
      <c r="AS127" s="165"/>
      <c r="AT127" s="165"/>
      <c r="AU127" s="165"/>
      <c r="AV127" s="165"/>
      <c r="AW127" s="165"/>
      <c r="AX127" s="165"/>
      <c r="AY127" s="165"/>
      <c r="AZ127" s="165"/>
      <c r="BA127" s="165"/>
      <c r="BB127" s="165"/>
      <c r="BC127" s="165"/>
      <c r="BD127" s="165"/>
      <c r="BE127" s="165"/>
      <c r="BF127" s="165"/>
      <c r="BG127" s="92"/>
      <c r="BH127" s="92"/>
      <c r="BI127" s="92"/>
      <c r="BJ127" s="92"/>
      <c r="BK127" s="92"/>
      <c r="BL127" s="92"/>
      <c r="BM127" s="92"/>
      <c r="BN127" s="92"/>
      <c r="BO127" s="92"/>
      <c r="BP127" s="92"/>
      <c r="BQ127" s="92"/>
      <c r="BR127" s="92"/>
      <c r="BS127" s="92"/>
      <c r="BT127" s="92"/>
      <c r="BU127" s="92"/>
      <c r="BV127" s="92"/>
      <c r="BW127" s="92"/>
      <c r="BX127" s="92"/>
      <c r="BY127" s="92"/>
      <c r="BZ127" s="92"/>
      <c r="CA127" s="92"/>
      <c r="CB127" s="92"/>
      <c r="CC127" s="92"/>
      <c r="CD127" s="92"/>
      <c r="CE127" s="92"/>
      <c r="CF127" s="92"/>
      <c r="CG127" s="92"/>
      <c r="CH127" s="92"/>
      <c r="CI127" s="92"/>
      <c r="CJ127" s="92"/>
      <c r="CK127" s="92"/>
      <c r="CL127" s="92"/>
      <c r="CM127" s="92"/>
      <c r="CN127" s="92"/>
      <c r="CO127" s="92"/>
      <c r="CP127" s="92"/>
      <c r="CQ127" s="92"/>
      <c r="CR127" s="92"/>
      <c r="CS127" s="92"/>
      <c r="CT127" s="92"/>
      <c r="CU127" s="92"/>
      <c r="CV127" s="92"/>
    </row>
    <row r="128" spans="1:100">
      <c r="A128" s="178">
        <v>92</v>
      </c>
      <c r="B128" s="173">
        <f ca="1">RESUMEN!J95</f>
        <v>0</v>
      </c>
      <c r="C128" s="173">
        <f ca="1">+RESUMEN!K95</f>
        <v>0</v>
      </c>
      <c r="D128" s="174">
        <f t="shared" ca="1" si="201"/>
        <v>0</v>
      </c>
      <c r="E128" s="91"/>
      <c r="F128" s="384" t="s">
        <v>149</v>
      </c>
      <c r="G128" s="387">
        <f t="shared" ref="G128:H128" si="222">+DQ24</f>
        <v>474.78</v>
      </c>
      <c r="H128" s="387">
        <f t="shared" si="222"/>
        <v>484.36</v>
      </c>
      <c r="I128" s="91"/>
      <c r="J128" s="200" t="s">
        <v>149</v>
      </c>
      <c r="K128" s="212">
        <v>21.12</v>
      </c>
      <c r="L128" s="92"/>
      <c r="M128" s="92"/>
      <c r="N128" s="92"/>
      <c r="O128" s="92"/>
      <c r="P128" s="92"/>
      <c r="Q128" s="204">
        <v>40</v>
      </c>
      <c r="R128" s="196">
        <v>402</v>
      </c>
      <c r="S128" s="196">
        <v>382</v>
      </c>
      <c r="T128" s="196">
        <v>362</v>
      </c>
      <c r="U128" s="196">
        <v>574.30443602798869</v>
      </c>
      <c r="V128" s="92"/>
      <c r="W128" s="165"/>
      <c r="X128" s="92"/>
      <c r="Y128" s="92"/>
      <c r="Z128" s="92"/>
      <c r="AA128" s="92"/>
      <c r="AB128" s="92"/>
      <c r="AC128" s="92"/>
      <c r="AD128" s="92"/>
      <c r="AE128" s="92"/>
      <c r="AF128" s="92"/>
      <c r="AG128" s="92"/>
      <c r="AH128" s="165"/>
      <c r="AI128" s="165"/>
      <c r="AJ128" s="165"/>
      <c r="AK128" s="165"/>
      <c r="AL128" s="165"/>
      <c r="AM128" s="165"/>
      <c r="AN128" s="165"/>
      <c r="AO128" s="165"/>
      <c r="AP128" s="165"/>
      <c r="AQ128" s="165"/>
      <c r="AR128" s="165"/>
      <c r="AS128" s="165"/>
      <c r="AT128" s="165"/>
      <c r="AU128" s="165"/>
      <c r="AV128" s="165"/>
      <c r="AW128" s="165"/>
      <c r="AX128" s="165"/>
      <c r="AY128" s="165"/>
      <c r="AZ128" s="165"/>
      <c r="BA128" s="165"/>
      <c r="BB128" s="165"/>
      <c r="BC128" s="165"/>
      <c r="BD128" s="165"/>
      <c r="BE128" s="165"/>
      <c r="BF128" s="165"/>
      <c r="BG128" s="92"/>
      <c r="BH128" s="92"/>
      <c r="BI128" s="92"/>
      <c r="BJ128" s="92"/>
      <c r="BK128" s="92"/>
      <c r="BL128" s="92"/>
      <c r="BM128" s="92"/>
      <c r="BN128" s="92"/>
      <c r="BO128" s="92"/>
      <c r="BP128" s="92"/>
      <c r="BQ128" s="92"/>
      <c r="BR128" s="92"/>
      <c r="BS128" s="92"/>
      <c r="BT128" s="92"/>
      <c r="BU128" s="92"/>
      <c r="BV128" s="163"/>
      <c r="BW128" s="163"/>
      <c r="BX128" s="163"/>
      <c r="BY128" s="163"/>
      <c r="BZ128" s="92"/>
      <c r="CA128" s="92"/>
      <c r="CB128" s="92"/>
      <c r="CC128" s="92"/>
      <c r="CD128" s="92"/>
      <c r="CE128" s="92"/>
      <c r="CF128" s="92"/>
      <c r="CG128" s="92"/>
      <c r="CH128" s="92"/>
      <c r="CI128" s="92"/>
      <c r="CJ128" s="92"/>
      <c r="CK128" s="92"/>
      <c r="CL128" s="92"/>
      <c r="CM128" s="92"/>
      <c r="CN128" s="92"/>
      <c r="CO128" s="92"/>
      <c r="CP128" s="92"/>
      <c r="CQ128" s="92"/>
      <c r="CR128" s="92"/>
      <c r="CS128" s="92"/>
      <c r="CT128" s="92"/>
      <c r="CU128" s="92"/>
      <c r="CV128" s="92"/>
    </row>
    <row r="129" spans="1:100">
      <c r="A129" s="178">
        <v>93</v>
      </c>
      <c r="B129" s="173">
        <f ca="1">RESUMEN!J96</f>
        <v>0</v>
      </c>
      <c r="C129" s="173">
        <f ca="1">+RESUMEN!K96</f>
        <v>0</v>
      </c>
      <c r="D129" s="174">
        <f t="shared" ca="1" si="201"/>
        <v>0</v>
      </c>
      <c r="E129" s="91"/>
      <c r="F129" s="384" t="s">
        <v>150</v>
      </c>
      <c r="G129" s="387">
        <f t="shared" ref="G129:H129" si="223">+DQ25</f>
        <v>482.65</v>
      </c>
      <c r="H129" s="387">
        <f t="shared" si="223"/>
        <v>479.84</v>
      </c>
      <c r="I129" s="91"/>
      <c r="J129" s="200" t="s">
        <v>150</v>
      </c>
      <c r="K129" s="212">
        <v>21.6</v>
      </c>
      <c r="L129" s="92"/>
      <c r="M129" s="92"/>
      <c r="N129" s="92"/>
      <c r="O129" s="92"/>
      <c r="P129" s="92"/>
      <c r="Q129" s="204">
        <v>41</v>
      </c>
      <c r="R129" s="196">
        <v>245</v>
      </c>
      <c r="S129" s="196">
        <v>233</v>
      </c>
      <c r="T129" s="196">
        <v>220</v>
      </c>
      <c r="U129" s="196">
        <v>362.39543025218876</v>
      </c>
      <c r="V129" s="92"/>
      <c r="W129" s="165"/>
      <c r="X129" s="92"/>
      <c r="Y129" s="92"/>
      <c r="Z129" s="92"/>
      <c r="AA129" s="92"/>
      <c r="AB129" s="92"/>
      <c r="AC129" s="92"/>
      <c r="AD129" s="92"/>
      <c r="AE129" s="92"/>
      <c r="AF129" s="92"/>
      <c r="AG129" s="92"/>
      <c r="AH129" s="165"/>
      <c r="AI129" s="165"/>
      <c r="AJ129" s="165"/>
      <c r="AK129" s="165"/>
      <c r="AL129" s="165"/>
      <c r="AM129" s="165"/>
      <c r="AN129" s="165"/>
      <c r="AO129" s="165"/>
      <c r="AP129" s="165"/>
      <c r="AQ129" s="165"/>
      <c r="AR129" s="165"/>
      <c r="AS129" s="165"/>
      <c r="AT129" s="165"/>
      <c r="AU129" s="165"/>
      <c r="AV129" s="165"/>
      <c r="AW129" s="165"/>
      <c r="AX129" s="165"/>
      <c r="AY129" s="165"/>
      <c r="AZ129" s="165"/>
      <c r="BA129" s="165"/>
      <c r="BB129" s="165"/>
      <c r="BC129" s="165"/>
      <c r="BD129" s="165"/>
      <c r="BE129" s="165"/>
      <c r="BF129" s="165"/>
      <c r="BG129" s="92"/>
      <c r="BH129" s="92"/>
      <c r="BI129" s="92"/>
      <c r="BJ129" s="92"/>
      <c r="BK129" s="92"/>
      <c r="BL129" s="92"/>
      <c r="BM129" s="92"/>
      <c r="BN129" s="92"/>
      <c r="BO129" s="92"/>
      <c r="BP129" s="92"/>
      <c r="BQ129" s="92"/>
      <c r="BR129" s="92"/>
      <c r="BS129" s="92"/>
      <c r="BT129" s="92"/>
      <c r="BU129" s="92"/>
      <c r="BV129" s="92"/>
      <c r="BW129" s="92"/>
      <c r="BX129" s="92"/>
      <c r="BY129" s="92"/>
      <c r="BZ129" s="92"/>
      <c r="CA129" s="92"/>
      <c r="CB129" s="92"/>
      <c r="CC129" s="92"/>
      <c r="CD129" s="92"/>
      <c r="CE129" s="92"/>
      <c r="CF129" s="92"/>
      <c r="CG129" s="92"/>
      <c r="CH129" s="92"/>
      <c r="CI129" s="92"/>
      <c r="CJ129" s="92"/>
      <c r="CK129" s="92"/>
      <c r="CL129" s="92"/>
      <c r="CM129" s="92"/>
      <c r="CN129" s="92"/>
      <c r="CO129" s="92"/>
      <c r="CP129" s="92"/>
      <c r="CQ129" s="92"/>
      <c r="CR129" s="92"/>
      <c r="CS129" s="92"/>
      <c r="CT129" s="92"/>
      <c r="CU129" s="92"/>
      <c r="CV129" s="92"/>
    </row>
    <row r="130" spans="1:100">
      <c r="A130" s="178">
        <v>94</v>
      </c>
      <c r="B130" s="173">
        <f ca="1">RESUMEN!J97</f>
        <v>0</v>
      </c>
      <c r="C130" s="173">
        <f ca="1">+RESUMEN!K97</f>
        <v>0</v>
      </c>
      <c r="D130" s="174">
        <f t="shared" ca="1" si="201"/>
        <v>0</v>
      </c>
      <c r="E130" s="91"/>
      <c r="F130" s="384" t="s">
        <v>151</v>
      </c>
      <c r="G130" s="387">
        <f t="shared" ref="G130:H130" si="224">+DQ26</f>
        <v>490.52</v>
      </c>
      <c r="H130" s="387">
        <f t="shared" si="224"/>
        <v>475.31</v>
      </c>
      <c r="I130" s="91"/>
      <c r="J130" s="200" t="s">
        <v>151</v>
      </c>
      <c r="K130" s="212">
        <v>22.12</v>
      </c>
      <c r="L130" s="92"/>
      <c r="M130" s="92"/>
      <c r="N130" s="92"/>
      <c r="O130" s="92"/>
      <c r="P130" s="92"/>
      <c r="Q130" s="204">
        <v>42</v>
      </c>
      <c r="R130" s="196">
        <v>142</v>
      </c>
      <c r="S130" s="196">
        <v>135</v>
      </c>
      <c r="T130" s="196">
        <v>128</v>
      </c>
      <c r="U130" s="196">
        <v>218.85559261526132</v>
      </c>
      <c r="V130" s="92"/>
      <c r="W130" s="165"/>
      <c r="X130" s="92"/>
      <c r="Y130" s="92"/>
      <c r="Z130" s="92"/>
      <c r="AA130" s="92"/>
      <c r="AB130" s="92"/>
      <c r="AC130" s="92"/>
      <c r="AD130" s="92"/>
      <c r="AE130" s="92"/>
      <c r="AF130" s="92"/>
      <c r="AG130" s="92"/>
      <c r="AH130" s="165"/>
      <c r="AI130" s="165"/>
      <c r="AJ130" s="165"/>
      <c r="AK130" s="165"/>
      <c r="AL130" s="165"/>
      <c r="AM130" s="165"/>
      <c r="AN130" s="165"/>
      <c r="AO130" s="165"/>
      <c r="AP130" s="165"/>
      <c r="AQ130" s="165"/>
      <c r="AR130" s="165"/>
      <c r="AS130" s="165"/>
      <c r="AT130" s="165"/>
      <c r="AU130" s="165"/>
      <c r="AV130" s="165"/>
      <c r="AW130" s="165"/>
      <c r="AX130" s="165"/>
      <c r="AY130" s="165"/>
      <c r="AZ130" s="165"/>
      <c r="BA130" s="165"/>
      <c r="BB130" s="165"/>
      <c r="BC130" s="165"/>
      <c r="BD130" s="165"/>
      <c r="BE130" s="165"/>
      <c r="BF130" s="165"/>
      <c r="BG130" s="92"/>
      <c r="BH130" s="92"/>
      <c r="BI130" s="92"/>
      <c r="BJ130" s="92"/>
      <c r="BK130" s="92"/>
      <c r="BL130" s="92"/>
      <c r="BM130" s="92"/>
      <c r="BN130" s="92"/>
      <c r="BO130" s="92"/>
      <c r="BP130" s="92"/>
      <c r="BQ130" s="92"/>
      <c r="BR130" s="92"/>
      <c r="BS130" s="92"/>
      <c r="BT130" s="92"/>
      <c r="BU130" s="92"/>
      <c r="BV130" s="92"/>
      <c r="BW130" s="92"/>
      <c r="BX130" s="92"/>
      <c r="BY130" s="92"/>
      <c r="BZ130" s="92"/>
      <c r="CA130" s="92"/>
      <c r="CB130" s="92"/>
      <c r="CC130" s="92"/>
      <c r="CD130" s="92"/>
      <c r="CE130" s="92"/>
      <c r="CF130" s="92"/>
      <c r="CG130" s="92"/>
      <c r="CH130" s="92"/>
      <c r="CI130" s="92"/>
      <c r="CJ130" s="92"/>
      <c r="CK130" s="92"/>
      <c r="CL130" s="92"/>
      <c r="CM130" s="92"/>
      <c r="CN130" s="92"/>
      <c r="CO130" s="92"/>
      <c r="CP130" s="92"/>
      <c r="CQ130" s="92"/>
      <c r="CR130" s="92"/>
      <c r="CS130" s="92"/>
      <c r="CT130" s="92"/>
      <c r="CU130" s="92"/>
      <c r="CV130" s="92"/>
    </row>
    <row r="131" spans="1:100">
      <c r="A131" s="178">
        <v>95</v>
      </c>
      <c r="B131" s="173">
        <f ca="1">RESUMEN!J98</f>
        <v>0</v>
      </c>
      <c r="C131" s="173">
        <f ca="1">+RESUMEN!K98</f>
        <v>0</v>
      </c>
      <c r="D131" s="174">
        <f t="shared" ca="1" si="201"/>
        <v>0</v>
      </c>
      <c r="E131" s="91"/>
      <c r="F131" s="384" t="s">
        <v>152</v>
      </c>
      <c r="G131" s="387">
        <f t="shared" ref="G131:H131" si="225">+DQ27</f>
        <v>498.38</v>
      </c>
      <c r="H131" s="387">
        <f t="shared" si="225"/>
        <v>470.78</v>
      </c>
      <c r="I131" s="91"/>
      <c r="J131" s="200" t="s">
        <v>152</v>
      </c>
      <c r="K131" s="212">
        <v>22.68</v>
      </c>
      <c r="L131" s="92"/>
      <c r="M131" s="92"/>
      <c r="N131" s="92"/>
      <c r="O131" s="92"/>
      <c r="P131" s="92"/>
      <c r="Q131" s="204">
        <v>43</v>
      </c>
      <c r="R131" s="196">
        <v>79</v>
      </c>
      <c r="S131" s="196">
        <v>75</v>
      </c>
      <c r="T131" s="196">
        <v>71</v>
      </c>
      <c r="U131" s="196">
        <v>126.51426474609394</v>
      </c>
      <c r="V131" s="92"/>
      <c r="W131" s="165"/>
      <c r="X131" s="92"/>
      <c r="Y131" s="92"/>
      <c r="Z131" s="92"/>
      <c r="AA131" s="92"/>
      <c r="AB131" s="92"/>
      <c r="AC131" s="92"/>
      <c r="AD131" s="92"/>
      <c r="AE131" s="92"/>
      <c r="AF131" s="92"/>
      <c r="AG131" s="92"/>
      <c r="AH131" s="165"/>
      <c r="AI131" s="165"/>
      <c r="AJ131" s="165"/>
      <c r="AK131" s="165"/>
      <c r="AL131" s="165"/>
      <c r="AM131" s="165"/>
      <c r="AN131" s="165"/>
      <c r="AO131" s="165"/>
      <c r="AP131" s="165"/>
      <c r="AQ131" s="165"/>
      <c r="AR131" s="165"/>
      <c r="AS131" s="165"/>
      <c r="AT131" s="165"/>
      <c r="AU131" s="165"/>
      <c r="AV131" s="165"/>
      <c r="AW131" s="165"/>
      <c r="AX131" s="165"/>
      <c r="AY131" s="165"/>
      <c r="AZ131" s="165"/>
      <c r="BA131" s="165"/>
      <c r="BB131" s="165"/>
      <c r="BC131" s="165"/>
      <c r="BD131" s="165"/>
      <c r="BE131" s="165"/>
      <c r="BF131" s="165"/>
      <c r="BG131" s="92"/>
      <c r="BH131" s="92"/>
      <c r="BI131" s="92"/>
      <c r="BJ131" s="92"/>
      <c r="BK131" s="92"/>
      <c r="BL131" s="92"/>
      <c r="BM131" s="92"/>
      <c r="BN131" s="92"/>
      <c r="BO131" s="92"/>
      <c r="BP131" s="92"/>
      <c r="BQ131" s="92"/>
      <c r="BR131" s="92"/>
      <c r="BS131" s="92"/>
      <c r="BT131" s="92"/>
      <c r="BU131" s="92"/>
      <c r="BV131" s="92"/>
      <c r="BW131" s="92"/>
      <c r="BX131" s="92"/>
      <c r="BY131" s="92"/>
      <c r="BZ131" s="92"/>
      <c r="CA131" s="92"/>
      <c r="CB131" s="92"/>
      <c r="CC131" s="92"/>
      <c r="CD131" s="92"/>
      <c r="CE131" s="92"/>
      <c r="CF131" s="92"/>
      <c r="CG131" s="92"/>
      <c r="CH131" s="92"/>
      <c r="CI131" s="92"/>
      <c r="CJ131" s="92"/>
      <c r="CK131" s="92"/>
      <c r="CL131" s="92"/>
      <c r="CM131" s="92"/>
      <c r="CN131" s="92"/>
      <c r="CO131" s="92"/>
      <c r="CP131" s="92"/>
      <c r="CQ131" s="92"/>
      <c r="CR131" s="92"/>
      <c r="CS131" s="92"/>
      <c r="CT131" s="92"/>
      <c r="CU131" s="92"/>
      <c r="CV131" s="92"/>
    </row>
    <row r="132" spans="1:100">
      <c r="A132" s="178">
        <v>96</v>
      </c>
      <c r="B132" s="173">
        <f ca="1">RESUMEN!J99</f>
        <v>0</v>
      </c>
      <c r="C132" s="173">
        <f ca="1">+RESUMEN!K99</f>
        <v>0</v>
      </c>
      <c r="D132" s="174">
        <f ca="1">B132+C132</f>
        <v>0</v>
      </c>
      <c r="E132" s="91"/>
      <c r="F132" s="384" t="s">
        <v>153</v>
      </c>
      <c r="G132" s="387">
        <f t="shared" ref="G132:H132" si="226">+DQ28</f>
        <v>508.33</v>
      </c>
      <c r="H132" s="387">
        <f t="shared" si="226"/>
        <v>488.29</v>
      </c>
      <c r="I132" s="91"/>
      <c r="J132" s="200" t="s">
        <v>153</v>
      </c>
      <c r="K132" s="212">
        <v>23.28</v>
      </c>
      <c r="L132" s="92"/>
      <c r="M132" s="92"/>
      <c r="N132" s="92"/>
      <c r="O132" s="92"/>
      <c r="P132" s="92"/>
      <c r="Q132" s="204">
        <v>44</v>
      </c>
      <c r="R132" s="196">
        <v>41</v>
      </c>
      <c r="S132" s="196">
        <v>39</v>
      </c>
      <c r="T132" s="196">
        <v>37</v>
      </c>
      <c r="U132" s="196">
        <v>70.013579066858313</v>
      </c>
      <c r="V132" s="92"/>
      <c r="W132" s="165"/>
      <c r="X132" s="92"/>
      <c r="Y132" s="92"/>
      <c r="Z132" s="92"/>
      <c r="AA132" s="92"/>
      <c r="AB132" s="92"/>
      <c r="AC132" s="92"/>
      <c r="AD132" s="92"/>
      <c r="AE132" s="92"/>
      <c r="AF132" s="92"/>
      <c r="AG132" s="92"/>
      <c r="AH132" s="165"/>
      <c r="AI132" s="165"/>
      <c r="AJ132" s="165"/>
      <c r="AK132" s="165"/>
      <c r="AL132" s="165"/>
      <c r="AM132" s="165"/>
      <c r="AN132" s="165"/>
      <c r="AO132" s="165"/>
      <c r="AP132" s="165"/>
      <c r="AQ132" s="165"/>
      <c r="AR132" s="165"/>
      <c r="AS132" s="165"/>
      <c r="AT132" s="165"/>
      <c r="AU132" s="165"/>
      <c r="AV132" s="165"/>
      <c r="AW132" s="165"/>
      <c r="AX132" s="165"/>
      <c r="AY132" s="165"/>
      <c r="AZ132" s="165"/>
      <c r="BA132" s="165"/>
      <c r="BB132" s="165"/>
      <c r="BC132" s="165"/>
      <c r="BD132" s="165"/>
      <c r="BE132" s="165"/>
      <c r="BF132" s="165"/>
      <c r="BG132" s="92"/>
      <c r="BH132" s="92"/>
      <c r="BI132" s="92"/>
      <c r="BJ132" s="92"/>
      <c r="BK132" s="92"/>
      <c r="BL132" s="92"/>
      <c r="BM132" s="92"/>
      <c r="BN132" s="92"/>
      <c r="BO132" s="92"/>
      <c r="BP132" s="92"/>
      <c r="BQ132" s="92"/>
      <c r="BR132" s="92"/>
      <c r="BS132" s="92"/>
      <c r="BT132" s="92"/>
      <c r="BU132" s="92"/>
      <c r="BV132" s="92"/>
      <c r="BW132" s="92"/>
      <c r="BX132" s="92"/>
      <c r="BY132" s="92"/>
      <c r="BZ132" s="92"/>
      <c r="CA132" s="92"/>
      <c r="CB132" s="92"/>
      <c r="CC132" s="92"/>
      <c r="CD132" s="92"/>
      <c r="CE132" s="92"/>
      <c r="CF132" s="92"/>
      <c r="CG132" s="92"/>
      <c r="CH132" s="92"/>
      <c r="CI132" s="92"/>
      <c r="CJ132" s="92"/>
      <c r="CK132" s="92"/>
      <c r="CL132" s="92"/>
      <c r="CM132" s="92"/>
      <c r="CN132" s="92"/>
      <c r="CO132" s="92"/>
      <c r="CP132" s="92"/>
      <c r="CQ132" s="92"/>
      <c r="CR132" s="92"/>
      <c r="CS132" s="92"/>
      <c r="CT132" s="92"/>
      <c r="CU132" s="92"/>
      <c r="CV132" s="92"/>
    </row>
    <row r="133" spans="1:100">
      <c r="A133" s="178">
        <v>97</v>
      </c>
      <c r="B133" s="173">
        <f ca="1">RESUMEN!J100</f>
        <v>0</v>
      </c>
      <c r="C133" s="173">
        <f ca="1">+RESUMEN!K100</f>
        <v>0</v>
      </c>
      <c r="D133" s="174">
        <f ca="1">B133+C133</f>
        <v>0</v>
      </c>
      <c r="E133" s="91"/>
      <c r="F133" s="384" t="s">
        <v>154</v>
      </c>
      <c r="G133" s="387">
        <f t="shared" ref="G133:H133" si="227">+DQ29</f>
        <v>518.28</v>
      </c>
      <c r="H133" s="387">
        <f t="shared" si="227"/>
        <v>505.8</v>
      </c>
      <c r="I133" s="91"/>
      <c r="J133" s="200" t="s">
        <v>154</v>
      </c>
      <c r="K133" s="212">
        <v>23.92</v>
      </c>
      <c r="L133" s="92"/>
      <c r="M133" s="92"/>
      <c r="N133" s="92"/>
      <c r="O133" s="92"/>
      <c r="P133" s="92"/>
      <c r="Q133" s="92"/>
      <c r="R133" s="92"/>
      <c r="S133" s="92"/>
      <c r="T133" s="92"/>
      <c r="U133" s="92"/>
      <c r="V133" s="92"/>
      <c r="W133" s="165"/>
      <c r="X133" s="92"/>
      <c r="Y133" s="92"/>
      <c r="Z133" s="92"/>
      <c r="AA133" s="92"/>
      <c r="AB133" s="92"/>
      <c r="AC133" s="92"/>
      <c r="AD133" s="92"/>
      <c r="AE133" s="92"/>
      <c r="AF133" s="92"/>
      <c r="AG133" s="92"/>
      <c r="AH133" s="165"/>
      <c r="AI133" s="165"/>
      <c r="AJ133" s="165"/>
      <c r="AK133" s="165"/>
      <c r="AL133" s="165"/>
      <c r="AM133" s="165"/>
      <c r="AN133" s="165"/>
      <c r="AO133" s="165"/>
      <c r="AP133" s="165"/>
      <c r="AQ133" s="165"/>
      <c r="AR133" s="165"/>
      <c r="AS133" s="165"/>
      <c r="AT133" s="165"/>
      <c r="AU133" s="165"/>
      <c r="AV133" s="165"/>
      <c r="AW133" s="165"/>
      <c r="AX133" s="165"/>
      <c r="AY133" s="165"/>
      <c r="AZ133" s="165"/>
      <c r="BA133" s="165"/>
      <c r="BB133" s="165"/>
      <c r="BC133" s="165"/>
      <c r="BD133" s="165"/>
      <c r="BE133" s="165"/>
      <c r="BF133" s="165"/>
      <c r="BG133" s="92"/>
      <c r="BH133" s="92"/>
      <c r="BI133" s="92"/>
      <c r="BJ133" s="92"/>
      <c r="BK133" s="92"/>
      <c r="BL133" s="92"/>
      <c r="BM133" s="92"/>
      <c r="BN133" s="92"/>
      <c r="BO133" s="92"/>
      <c r="BP133" s="92"/>
      <c r="BQ133" s="92"/>
      <c r="BR133" s="92"/>
      <c r="BS133" s="92"/>
      <c r="BT133" s="92"/>
      <c r="BU133" s="92"/>
      <c r="BV133" s="92"/>
      <c r="BW133" s="92"/>
      <c r="BX133" s="92"/>
      <c r="BY133" s="92"/>
      <c r="BZ133" s="92"/>
      <c r="CA133" s="92"/>
      <c r="CB133" s="92"/>
      <c r="CC133" s="92"/>
      <c r="CD133" s="92"/>
      <c r="CE133" s="92"/>
      <c r="CF133" s="92"/>
      <c r="CG133" s="92"/>
      <c r="CH133" s="92"/>
      <c r="CI133" s="92"/>
      <c r="CJ133" s="92"/>
      <c r="CK133" s="92"/>
      <c r="CL133" s="92"/>
      <c r="CM133" s="92"/>
      <c r="CN133" s="92"/>
      <c r="CO133" s="92"/>
      <c r="CP133" s="92"/>
      <c r="CQ133" s="92"/>
      <c r="CR133" s="92"/>
      <c r="CS133" s="92"/>
      <c r="CT133" s="92"/>
      <c r="CU133" s="92"/>
      <c r="CV133" s="92"/>
    </row>
    <row r="134" spans="1:100">
      <c r="A134" s="178">
        <v>98</v>
      </c>
      <c r="B134" s="173">
        <f ca="1">RESUMEN!J101</f>
        <v>0</v>
      </c>
      <c r="C134" s="173">
        <f ca="1">+RESUMEN!K101</f>
        <v>0</v>
      </c>
      <c r="D134" s="174">
        <f ca="1">B134+C134</f>
        <v>0</v>
      </c>
      <c r="E134" s="91"/>
      <c r="F134" s="384" t="s">
        <v>155</v>
      </c>
      <c r="G134" s="387">
        <f t="shared" ref="G134:H134" si="228">+DQ30</f>
        <v>528.23</v>
      </c>
      <c r="H134" s="387">
        <f t="shared" si="228"/>
        <v>523.32000000000005</v>
      </c>
      <c r="I134" s="91"/>
      <c r="J134" s="200" t="s">
        <v>155</v>
      </c>
      <c r="K134" s="212">
        <v>24.64</v>
      </c>
      <c r="L134" s="92"/>
      <c r="M134" s="92"/>
      <c r="N134" s="92"/>
      <c r="O134" s="92"/>
      <c r="P134" s="92"/>
      <c r="Q134" s="92"/>
      <c r="R134" s="92"/>
      <c r="S134" s="92"/>
      <c r="T134" s="92"/>
      <c r="U134" s="92"/>
      <c r="V134" s="92"/>
      <c r="W134" s="165"/>
      <c r="X134" s="92"/>
      <c r="Y134" s="92"/>
      <c r="Z134" s="92"/>
      <c r="AA134" s="92"/>
      <c r="AB134" s="92"/>
      <c r="AC134" s="92"/>
      <c r="AD134" s="92"/>
      <c r="AE134" s="92"/>
      <c r="AF134" s="92"/>
      <c r="AG134" s="92"/>
      <c r="AH134" s="165"/>
      <c r="AI134" s="165"/>
      <c r="AJ134" s="165"/>
      <c r="AK134" s="165"/>
      <c r="AL134" s="165"/>
      <c r="AM134" s="165"/>
      <c r="AN134" s="165"/>
      <c r="AO134" s="165"/>
      <c r="AP134" s="165"/>
      <c r="AQ134" s="165"/>
      <c r="AR134" s="165"/>
      <c r="AS134" s="165"/>
      <c r="AT134" s="165"/>
      <c r="AU134" s="165"/>
      <c r="AV134" s="165"/>
      <c r="AW134" s="165"/>
      <c r="AX134" s="165"/>
      <c r="AY134" s="165"/>
      <c r="AZ134" s="165"/>
      <c r="BA134" s="165"/>
      <c r="BB134" s="165"/>
      <c r="BC134" s="165"/>
      <c r="BD134" s="165"/>
      <c r="BE134" s="165"/>
      <c r="BF134" s="165"/>
      <c r="BG134" s="92"/>
      <c r="BH134" s="92"/>
      <c r="BI134" s="92"/>
      <c r="BJ134" s="92"/>
      <c r="BK134" s="92"/>
      <c r="BL134" s="92"/>
      <c r="BM134" s="92"/>
      <c r="BN134" s="92"/>
      <c r="BO134" s="92"/>
      <c r="BP134" s="92"/>
      <c r="BQ134" s="92"/>
      <c r="BR134" s="92"/>
      <c r="BS134" s="92"/>
      <c r="BT134" s="92"/>
      <c r="BU134" s="92"/>
      <c r="BV134" s="92"/>
      <c r="BW134" s="92"/>
      <c r="BX134" s="92"/>
      <c r="BY134" s="92"/>
      <c r="BZ134" s="92"/>
      <c r="CA134" s="92"/>
      <c r="CB134" s="92"/>
      <c r="CC134" s="92"/>
      <c r="CD134" s="92"/>
      <c r="CE134" s="92"/>
      <c r="CF134" s="92"/>
      <c r="CG134" s="92"/>
      <c r="CH134" s="92"/>
      <c r="CI134" s="92"/>
      <c r="CJ134" s="92"/>
      <c r="CK134" s="92"/>
      <c r="CL134" s="92"/>
      <c r="CM134" s="92"/>
      <c r="CN134" s="92"/>
      <c r="CO134" s="92"/>
      <c r="CP134" s="92"/>
      <c r="CQ134" s="92"/>
      <c r="CR134" s="92"/>
      <c r="CS134" s="92"/>
      <c r="CT134" s="92"/>
      <c r="CU134" s="92"/>
      <c r="CV134" s="92"/>
    </row>
    <row r="135" spans="1:100">
      <c r="A135" s="178">
        <v>99</v>
      </c>
      <c r="B135" s="173">
        <f ca="1">RESUMEN!J102</f>
        <v>0</v>
      </c>
      <c r="C135" s="173">
        <f ca="1">+RESUMEN!K102</f>
        <v>0</v>
      </c>
      <c r="D135" s="174">
        <f ca="1">B135+C135</f>
        <v>0</v>
      </c>
      <c r="E135" s="91"/>
      <c r="F135" s="384" t="s">
        <v>156</v>
      </c>
      <c r="G135" s="387">
        <f t="shared" ref="G135:H135" si="229">+DQ31</f>
        <v>538.17999999999995</v>
      </c>
      <c r="H135" s="387">
        <f t="shared" si="229"/>
        <v>540.83000000000004</v>
      </c>
      <c r="I135" s="91"/>
      <c r="J135" s="200" t="s">
        <v>156</v>
      </c>
      <c r="K135" s="212">
        <v>25.4</v>
      </c>
      <c r="L135" s="92"/>
      <c r="M135" s="92"/>
      <c r="N135" s="92"/>
      <c r="O135" s="92"/>
      <c r="P135" s="92"/>
      <c r="Q135" s="92"/>
      <c r="R135" s="92"/>
      <c r="S135" s="92"/>
      <c r="T135" s="92"/>
      <c r="U135" s="92"/>
      <c r="V135" s="92"/>
      <c r="W135" s="165"/>
      <c r="X135" s="92"/>
      <c r="Y135" s="92"/>
      <c r="Z135" s="92"/>
      <c r="AA135" s="92"/>
      <c r="AB135" s="92"/>
      <c r="AC135" s="92"/>
      <c r="AD135" s="92"/>
      <c r="AE135" s="92"/>
      <c r="AF135" s="92"/>
      <c r="AG135" s="92"/>
      <c r="AH135" s="165"/>
      <c r="AI135" s="165"/>
      <c r="AJ135" s="165"/>
      <c r="AK135" s="165"/>
      <c r="AL135" s="165"/>
      <c r="AM135" s="165"/>
      <c r="AN135" s="165"/>
      <c r="AO135" s="165"/>
      <c r="AP135" s="165"/>
      <c r="AQ135" s="165"/>
      <c r="AR135" s="165"/>
      <c r="AS135" s="165"/>
      <c r="AT135" s="165"/>
      <c r="AU135" s="165"/>
      <c r="AV135" s="165"/>
      <c r="AW135" s="165"/>
      <c r="AX135" s="165"/>
      <c r="AY135" s="165"/>
      <c r="AZ135" s="165"/>
      <c r="BA135" s="165"/>
      <c r="BB135" s="165"/>
      <c r="BC135" s="165"/>
      <c r="BD135" s="165"/>
      <c r="BE135" s="165"/>
      <c r="BF135" s="165"/>
      <c r="BG135" s="92"/>
      <c r="BH135" s="92"/>
      <c r="BI135" s="92"/>
      <c r="BJ135" s="92"/>
      <c r="BK135" s="92"/>
      <c r="BL135" s="92"/>
      <c r="BM135" s="92"/>
      <c r="BN135" s="92"/>
      <c r="BO135" s="92"/>
      <c r="BP135" s="92"/>
      <c r="BQ135" s="92"/>
      <c r="BR135" s="92"/>
      <c r="BS135" s="92"/>
      <c r="BT135" s="92"/>
      <c r="BU135" s="92"/>
      <c r="BV135" s="92"/>
      <c r="BW135" s="92"/>
      <c r="BX135" s="92"/>
      <c r="BY135" s="92"/>
      <c r="BZ135" s="92"/>
      <c r="CA135" s="92"/>
      <c r="CB135" s="92"/>
      <c r="CC135" s="92"/>
      <c r="CD135" s="92"/>
      <c r="CE135" s="92"/>
      <c r="CF135" s="92"/>
      <c r="CG135" s="92"/>
      <c r="CH135" s="92"/>
      <c r="CI135" s="92"/>
      <c r="CJ135" s="92"/>
      <c r="CK135" s="92"/>
      <c r="CL135" s="92"/>
      <c r="CM135" s="92"/>
      <c r="CN135" s="92"/>
      <c r="CO135" s="92"/>
      <c r="CP135" s="92"/>
      <c r="CQ135" s="92"/>
      <c r="CR135" s="92"/>
      <c r="CS135" s="92"/>
      <c r="CT135" s="92"/>
      <c r="CU135" s="92"/>
      <c r="CV135" s="92"/>
    </row>
    <row r="136" spans="1:100" ht="16" thickBot="1">
      <c r="A136" s="213">
        <v>100</v>
      </c>
      <c r="B136" s="173">
        <f ca="1">RESUMEN!J103</f>
        <v>0</v>
      </c>
      <c r="C136" s="173">
        <f ca="1">+RESUMEN!K103</f>
        <v>0</v>
      </c>
      <c r="D136" s="214">
        <f ca="1">B136+C136</f>
        <v>0</v>
      </c>
      <c r="E136" s="91"/>
      <c r="F136" s="384" t="s">
        <v>157</v>
      </c>
      <c r="G136" s="387">
        <f t="shared" ref="G136:H136" si="230">+DQ32</f>
        <v>548.13</v>
      </c>
      <c r="H136" s="387">
        <f t="shared" si="230"/>
        <v>558.34</v>
      </c>
      <c r="I136" s="91"/>
      <c r="J136" s="200" t="s">
        <v>157</v>
      </c>
      <c r="K136" s="212">
        <v>26.24</v>
      </c>
      <c r="L136" s="92"/>
      <c r="M136" s="92"/>
      <c r="N136" s="92"/>
      <c r="O136" s="92"/>
      <c r="P136" s="92"/>
      <c r="Q136" s="92"/>
      <c r="R136" s="92"/>
      <c r="S136" s="92"/>
      <c r="T136" s="92"/>
      <c r="U136" s="92"/>
      <c r="V136" s="92"/>
      <c r="W136" s="165"/>
      <c r="X136" s="92"/>
      <c r="Y136" s="92"/>
      <c r="Z136" s="92"/>
      <c r="AA136" s="92"/>
      <c r="AB136" s="92"/>
      <c r="AC136" s="92"/>
      <c r="AD136" s="92"/>
      <c r="AE136" s="92"/>
      <c r="AF136" s="92"/>
      <c r="AG136" s="92"/>
      <c r="AH136" s="165"/>
      <c r="AI136" s="165"/>
      <c r="AJ136" s="165"/>
      <c r="AK136" s="165"/>
      <c r="AL136" s="165"/>
      <c r="AM136" s="165"/>
      <c r="AN136" s="165"/>
      <c r="AO136" s="165"/>
      <c r="AP136" s="165"/>
      <c r="AQ136" s="165"/>
      <c r="AR136" s="165"/>
      <c r="AS136" s="165"/>
      <c r="AT136" s="165"/>
      <c r="AU136" s="165"/>
      <c r="AV136" s="165"/>
      <c r="AW136" s="165"/>
      <c r="AX136" s="165"/>
      <c r="AY136" s="165"/>
      <c r="AZ136" s="165"/>
      <c r="BA136" s="165"/>
      <c r="BB136" s="165"/>
      <c r="BC136" s="165"/>
      <c r="BD136" s="165"/>
      <c r="BE136" s="165"/>
      <c r="BF136" s="165"/>
      <c r="BG136" s="92"/>
      <c r="BH136" s="92"/>
      <c r="BI136" s="92"/>
      <c r="BJ136" s="92"/>
      <c r="BK136" s="92"/>
      <c r="BL136" s="92"/>
      <c r="BM136" s="92"/>
      <c r="BN136" s="92"/>
      <c r="BO136" s="92"/>
      <c r="BP136" s="92"/>
      <c r="BQ136" s="92"/>
      <c r="BR136" s="92"/>
      <c r="BS136" s="92"/>
      <c r="BT136" s="92"/>
      <c r="BU136" s="92"/>
      <c r="BV136" s="92"/>
      <c r="BW136" s="92"/>
      <c r="BX136" s="92"/>
      <c r="BY136" s="92"/>
      <c r="BZ136" s="92"/>
      <c r="CA136" s="92"/>
      <c r="CB136" s="92"/>
      <c r="CC136" s="92"/>
      <c r="CD136" s="92"/>
      <c r="CE136" s="92"/>
      <c r="CF136" s="92"/>
      <c r="CG136" s="92"/>
      <c r="CH136" s="92"/>
      <c r="CI136" s="92"/>
      <c r="CJ136" s="92"/>
      <c r="CK136" s="92"/>
      <c r="CL136" s="92"/>
      <c r="CM136" s="92"/>
      <c r="CN136" s="92"/>
      <c r="CO136" s="92"/>
      <c r="CP136" s="92"/>
      <c r="CQ136" s="92"/>
      <c r="CR136" s="92"/>
      <c r="CS136" s="92"/>
      <c r="CT136" s="92"/>
      <c r="CU136" s="92"/>
      <c r="CV136" s="92"/>
    </row>
    <row r="137" spans="1:100" ht="16" thickBot="1">
      <c r="A137" s="215" t="s">
        <v>52</v>
      </c>
      <c r="B137" s="215">
        <f ca="1">SUM(B36:B136)</f>
        <v>0</v>
      </c>
      <c r="C137" s="215">
        <f ca="1">SUM(C36:C136)</f>
        <v>0</v>
      </c>
      <c r="D137" s="215">
        <f ca="1">SUM(D36:D136)</f>
        <v>0</v>
      </c>
      <c r="E137" s="91"/>
      <c r="F137" s="384" t="s">
        <v>158</v>
      </c>
      <c r="G137" s="387">
        <f t="shared" ref="G137:H137" si="231">+DQ33</f>
        <v>594.55999999999995</v>
      </c>
      <c r="H137" s="387">
        <f t="shared" si="231"/>
        <v>590.87</v>
      </c>
      <c r="I137" s="91"/>
      <c r="J137" s="200" t="s">
        <v>158</v>
      </c>
      <c r="K137" s="212">
        <v>27.12</v>
      </c>
      <c r="L137" s="92"/>
      <c r="M137" s="92"/>
      <c r="N137" s="92"/>
      <c r="O137" s="92"/>
      <c r="P137" s="92"/>
      <c r="Q137" s="92"/>
      <c r="R137" s="92"/>
      <c r="S137" s="92"/>
      <c r="T137" s="92"/>
      <c r="U137" s="92"/>
      <c r="V137" s="92"/>
      <c r="W137" s="165"/>
      <c r="X137" s="92"/>
      <c r="Y137" s="92"/>
      <c r="Z137" s="92"/>
      <c r="AA137" s="92"/>
      <c r="AB137" s="92"/>
      <c r="AC137" s="92"/>
      <c r="AD137" s="92"/>
      <c r="AE137" s="92"/>
      <c r="AF137" s="92"/>
      <c r="AG137" s="92"/>
      <c r="AH137" s="165"/>
      <c r="AI137" s="165"/>
      <c r="AJ137" s="165"/>
      <c r="AK137" s="165"/>
      <c r="AL137" s="165"/>
      <c r="AM137" s="165"/>
      <c r="AN137" s="165"/>
      <c r="AO137" s="165"/>
      <c r="AP137" s="165"/>
      <c r="AQ137" s="165"/>
      <c r="AR137" s="165"/>
      <c r="AS137" s="165"/>
      <c r="AT137" s="165"/>
      <c r="AU137" s="165"/>
      <c r="AV137" s="165"/>
      <c r="AW137" s="165"/>
      <c r="AX137" s="165"/>
      <c r="AY137" s="165"/>
      <c r="AZ137" s="165"/>
      <c r="BA137" s="165"/>
      <c r="BB137" s="165"/>
      <c r="BC137" s="165"/>
      <c r="BD137" s="165"/>
      <c r="BE137" s="165"/>
      <c r="BF137" s="165"/>
      <c r="BG137" s="92"/>
      <c r="BH137" s="92"/>
      <c r="BI137" s="92"/>
      <c r="BJ137" s="92"/>
      <c r="BK137" s="92"/>
      <c r="BL137" s="92"/>
      <c r="BM137" s="92"/>
      <c r="BN137" s="92"/>
      <c r="BO137" s="92"/>
      <c r="BP137" s="92"/>
      <c r="BQ137" s="92"/>
      <c r="BR137" s="92"/>
      <c r="BS137" s="92"/>
      <c r="BT137" s="92"/>
      <c r="BU137" s="92"/>
      <c r="BV137" s="92"/>
      <c r="BW137" s="92"/>
      <c r="BX137" s="92"/>
      <c r="BY137" s="92"/>
      <c r="BZ137" s="92"/>
      <c r="CA137" s="92"/>
      <c r="CB137" s="92"/>
      <c r="CC137" s="92"/>
      <c r="CD137" s="92"/>
      <c r="CE137" s="92"/>
      <c r="CF137" s="92"/>
      <c r="CG137" s="92"/>
      <c r="CH137" s="92"/>
      <c r="CI137" s="92"/>
      <c r="CJ137" s="92"/>
      <c r="CK137" s="92"/>
      <c r="CL137" s="92"/>
      <c r="CM137" s="92"/>
      <c r="CN137" s="92"/>
      <c r="CO137" s="92"/>
      <c r="CP137" s="92"/>
      <c r="CQ137" s="92"/>
      <c r="CR137" s="92"/>
      <c r="CS137" s="92"/>
      <c r="CT137" s="92"/>
      <c r="CU137" s="92"/>
      <c r="CV137" s="92"/>
    </row>
    <row r="138" spans="1:100">
      <c r="A138" s="92"/>
      <c r="B138" s="165"/>
      <c r="C138" s="91"/>
      <c r="D138" s="91"/>
      <c r="E138" s="91"/>
      <c r="F138" s="384" t="s">
        <v>159</v>
      </c>
      <c r="G138" s="387">
        <f t="shared" ref="G138:H138" si="232">+DQ34</f>
        <v>640.99</v>
      </c>
      <c r="H138" s="387">
        <f t="shared" si="232"/>
        <v>623.4</v>
      </c>
      <c r="I138" s="91"/>
      <c r="J138" s="200" t="s">
        <v>159</v>
      </c>
      <c r="K138" s="212">
        <v>28.12</v>
      </c>
      <c r="L138" s="92"/>
      <c r="M138" s="92"/>
      <c r="N138" s="92"/>
      <c r="O138" s="92"/>
      <c r="P138" s="92"/>
      <c r="Q138" s="92"/>
      <c r="R138" s="92"/>
      <c r="S138" s="92"/>
      <c r="T138" s="92"/>
      <c r="U138" s="92"/>
      <c r="V138" s="92"/>
      <c r="W138" s="165"/>
      <c r="X138" s="92"/>
      <c r="Y138" s="92"/>
      <c r="Z138" s="92"/>
      <c r="AA138" s="92"/>
      <c r="AB138" s="92"/>
      <c r="AC138" s="92"/>
      <c r="AD138" s="92"/>
      <c r="AE138" s="92"/>
      <c r="AF138" s="92"/>
      <c r="AG138" s="92"/>
      <c r="AH138" s="165"/>
      <c r="AI138" s="165"/>
      <c r="AJ138" s="165"/>
      <c r="AK138" s="165"/>
      <c r="AL138" s="165"/>
      <c r="AM138" s="165"/>
      <c r="AN138" s="165"/>
      <c r="AO138" s="165"/>
      <c r="AP138" s="165"/>
      <c r="AQ138" s="165"/>
      <c r="AR138" s="165"/>
      <c r="AS138" s="165"/>
      <c r="AT138" s="165"/>
      <c r="AU138" s="165"/>
      <c r="AV138" s="165"/>
      <c r="AW138" s="165"/>
      <c r="AX138" s="165"/>
      <c r="AY138" s="165"/>
      <c r="AZ138" s="165"/>
      <c r="BA138" s="165"/>
      <c r="BB138" s="165"/>
      <c r="BC138" s="165"/>
      <c r="BD138" s="165"/>
      <c r="BE138" s="165"/>
      <c r="BF138" s="165"/>
      <c r="BG138" s="92"/>
      <c r="BH138" s="92"/>
      <c r="BI138" s="92"/>
      <c r="BJ138" s="92"/>
      <c r="BK138" s="92"/>
      <c r="BL138" s="92"/>
      <c r="BM138" s="92"/>
      <c r="BN138" s="92"/>
      <c r="BO138" s="92"/>
      <c r="BP138" s="92"/>
      <c r="BQ138" s="92"/>
      <c r="BR138" s="92"/>
      <c r="BS138" s="92"/>
      <c r="BT138" s="92"/>
      <c r="BU138" s="92"/>
      <c r="BV138" s="92"/>
      <c r="BW138" s="92"/>
      <c r="BX138" s="92"/>
      <c r="BY138" s="92"/>
      <c r="BZ138" s="92"/>
      <c r="CA138" s="92"/>
      <c r="CB138" s="92"/>
      <c r="CC138" s="92"/>
      <c r="CD138" s="92"/>
      <c r="CE138" s="92"/>
      <c r="CF138" s="92"/>
      <c r="CG138" s="92"/>
      <c r="CH138" s="92"/>
      <c r="CI138" s="92"/>
      <c r="CJ138" s="92"/>
      <c r="CK138" s="92"/>
      <c r="CL138" s="92"/>
      <c r="CM138" s="92"/>
      <c r="CN138" s="92"/>
      <c r="CO138" s="92"/>
      <c r="CP138" s="92"/>
      <c r="CQ138" s="92"/>
      <c r="CR138" s="92"/>
      <c r="CS138" s="92"/>
      <c r="CT138" s="92"/>
      <c r="CU138" s="92"/>
      <c r="CV138" s="92"/>
    </row>
    <row r="139" spans="1:100" ht="16" thickBot="1">
      <c r="A139" s="92"/>
      <c r="B139" s="165"/>
      <c r="C139" s="91"/>
      <c r="D139" s="91"/>
      <c r="E139" s="91"/>
      <c r="F139" s="384" t="s">
        <v>160</v>
      </c>
      <c r="G139" s="387">
        <f t="shared" ref="G139:H139" si="233">+DQ35</f>
        <v>687.42</v>
      </c>
      <c r="H139" s="387">
        <f t="shared" si="233"/>
        <v>655.93</v>
      </c>
      <c r="I139" s="91"/>
      <c r="J139" s="200" t="s">
        <v>160</v>
      </c>
      <c r="K139" s="212">
        <v>29.16</v>
      </c>
      <c r="L139" s="92"/>
      <c r="M139" s="92"/>
      <c r="N139" s="92"/>
      <c r="O139" s="92"/>
      <c r="P139" s="92"/>
      <c r="Q139" s="92"/>
      <c r="R139" s="92"/>
      <c r="S139" s="92"/>
      <c r="T139" s="92"/>
      <c r="U139" s="92"/>
      <c r="V139" s="92"/>
      <c r="W139" s="165"/>
      <c r="X139" s="92"/>
      <c r="Y139" s="92"/>
      <c r="Z139" s="92"/>
      <c r="AA139" s="92"/>
      <c r="AB139" s="92"/>
      <c r="AC139" s="92"/>
      <c r="AD139" s="92"/>
      <c r="AE139" s="92"/>
      <c r="AF139" s="92"/>
      <c r="AG139" s="92"/>
      <c r="AH139" s="165"/>
      <c r="AI139" s="165"/>
      <c r="AJ139" s="165"/>
      <c r="AK139" s="165"/>
      <c r="AL139" s="165"/>
      <c r="AM139" s="165"/>
      <c r="AN139" s="165"/>
      <c r="AO139" s="165"/>
      <c r="AP139" s="165"/>
      <c r="AQ139" s="165"/>
      <c r="AR139" s="165"/>
      <c r="AS139" s="165"/>
      <c r="AT139" s="165"/>
      <c r="AU139" s="165"/>
      <c r="AV139" s="165"/>
      <c r="AW139" s="165"/>
      <c r="AX139" s="165"/>
      <c r="AY139" s="165"/>
      <c r="AZ139" s="165"/>
      <c r="BA139" s="165"/>
      <c r="BB139" s="165"/>
      <c r="BC139" s="165"/>
      <c r="BD139" s="165"/>
      <c r="BE139" s="165"/>
      <c r="BF139" s="165"/>
      <c r="BG139" s="92"/>
      <c r="BH139" s="92"/>
      <c r="BI139" s="92"/>
      <c r="BJ139" s="92"/>
      <c r="BK139" s="92"/>
      <c r="BL139" s="92"/>
      <c r="BM139" s="92"/>
      <c r="BN139" s="92"/>
      <c r="BO139" s="92"/>
      <c r="BP139" s="92"/>
      <c r="BQ139" s="92"/>
      <c r="BR139" s="92"/>
      <c r="BS139" s="92"/>
      <c r="BT139" s="92"/>
      <c r="BU139" s="92"/>
      <c r="BV139" s="92"/>
      <c r="BW139" s="92"/>
      <c r="BX139" s="92"/>
      <c r="BY139" s="92"/>
      <c r="BZ139" s="92"/>
      <c r="CA139" s="92"/>
      <c r="CB139" s="92"/>
      <c r="CC139" s="92"/>
      <c r="CD139" s="92"/>
      <c r="CE139" s="92"/>
      <c r="CF139" s="92"/>
      <c r="CG139" s="92"/>
      <c r="CH139" s="92"/>
      <c r="CI139" s="92"/>
      <c r="CJ139" s="92"/>
      <c r="CK139" s="92"/>
      <c r="CL139" s="92"/>
      <c r="CM139" s="92"/>
      <c r="CN139" s="92"/>
      <c r="CO139" s="92"/>
      <c r="CP139" s="92"/>
      <c r="CQ139" s="92"/>
      <c r="CR139" s="92"/>
      <c r="CS139" s="92"/>
      <c r="CT139" s="92"/>
      <c r="CU139" s="92"/>
      <c r="CV139" s="92"/>
    </row>
    <row r="140" spans="1:100">
      <c r="A140" s="166" t="s">
        <v>4</v>
      </c>
      <c r="B140" s="167" t="s">
        <v>342</v>
      </c>
      <c r="C140" s="167"/>
      <c r="D140" s="168"/>
      <c r="E140" s="91"/>
      <c r="F140" s="384" t="s">
        <v>161</v>
      </c>
      <c r="G140" s="387">
        <f t="shared" ref="G140:H140" si="234">+DQ36</f>
        <v>733.85</v>
      </c>
      <c r="H140" s="387">
        <f t="shared" si="234"/>
        <v>688.46</v>
      </c>
      <c r="I140" s="91"/>
      <c r="J140" s="200" t="s">
        <v>161</v>
      </c>
      <c r="K140" s="212">
        <v>30.28</v>
      </c>
      <c r="L140" s="92"/>
      <c r="M140" s="92"/>
      <c r="N140" s="92"/>
      <c r="O140" s="92"/>
      <c r="P140" s="92"/>
      <c r="Q140" s="92"/>
      <c r="R140" s="92"/>
      <c r="S140" s="92"/>
      <c r="T140" s="92"/>
      <c r="U140" s="92"/>
      <c r="V140" s="92"/>
      <c r="W140" s="165"/>
      <c r="X140" s="92"/>
      <c r="Y140" s="92"/>
      <c r="Z140" s="92"/>
      <c r="AA140" s="92"/>
      <c r="AB140" s="92"/>
      <c r="AC140" s="92"/>
      <c r="AD140" s="92"/>
      <c r="AE140" s="92"/>
      <c r="AF140" s="92"/>
      <c r="AG140" s="92"/>
      <c r="AH140" s="165"/>
      <c r="AI140" s="165"/>
      <c r="AJ140" s="165"/>
      <c r="AK140" s="165"/>
      <c r="AL140" s="165"/>
      <c r="AM140" s="165"/>
      <c r="AN140" s="165"/>
      <c r="AO140" s="165"/>
      <c r="AP140" s="165"/>
      <c r="AQ140" s="165"/>
      <c r="AR140" s="165"/>
      <c r="AS140" s="165"/>
      <c r="AT140" s="165"/>
      <c r="AU140" s="165"/>
      <c r="AV140" s="165"/>
      <c r="AW140" s="165"/>
      <c r="AX140" s="165"/>
      <c r="AY140" s="165"/>
      <c r="AZ140" s="165"/>
      <c r="BA140" s="165"/>
      <c r="BB140" s="165"/>
      <c r="BC140" s="165"/>
      <c r="BD140" s="165"/>
      <c r="BE140" s="165"/>
      <c r="BF140" s="165"/>
      <c r="BG140" s="92"/>
      <c r="BH140" s="92"/>
      <c r="BI140" s="92"/>
      <c r="BJ140" s="92"/>
      <c r="BK140" s="92"/>
      <c r="BL140" s="92"/>
      <c r="BM140" s="92"/>
      <c r="BN140" s="92"/>
      <c r="BO140" s="92"/>
      <c r="BP140" s="92"/>
      <c r="BQ140" s="92"/>
      <c r="BR140" s="92"/>
      <c r="BS140" s="92"/>
      <c r="BT140" s="92"/>
      <c r="BU140" s="92"/>
      <c r="BV140" s="92"/>
      <c r="BW140" s="92"/>
      <c r="BX140" s="92"/>
      <c r="BY140" s="92"/>
      <c r="BZ140" s="92"/>
      <c r="CA140" s="92"/>
      <c r="CB140" s="92"/>
      <c r="CC140" s="92"/>
      <c r="CD140" s="92"/>
      <c r="CE140" s="92"/>
      <c r="CF140" s="92"/>
      <c r="CG140" s="92"/>
      <c r="CH140" s="92"/>
      <c r="CI140" s="92"/>
      <c r="CJ140" s="92"/>
      <c r="CK140" s="92"/>
      <c r="CL140" s="92"/>
      <c r="CM140" s="92"/>
      <c r="CN140" s="92"/>
      <c r="CO140" s="92"/>
      <c r="CP140" s="92"/>
      <c r="CQ140" s="92"/>
      <c r="CR140" s="92"/>
      <c r="CS140" s="92"/>
      <c r="CT140" s="92"/>
      <c r="CU140" s="92"/>
      <c r="CV140" s="92"/>
    </row>
    <row r="141" spans="1:100">
      <c r="A141" s="169" t="s">
        <v>25</v>
      </c>
      <c r="B141" s="170" t="s">
        <v>5</v>
      </c>
      <c r="C141" s="170" t="s">
        <v>6</v>
      </c>
      <c r="D141" s="171" t="s">
        <v>36</v>
      </c>
      <c r="E141" s="91"/>
      <c r="F141" s="384" t="s">
        <v>162</v>
      </c>
      <c r="G141" s="387">
        <f t="shared" ref="G141:H141" si="235">+DQ37</f>
        <v>780.28</v>
      </c>
      <c r="H141" s="387">
        <f t="shared" si="235"/>
        <v>720.99</v>
      </c>
      <c r="I141" s="91"/>
      <c r="J141" s="200" t="s">
        <v>162</v>
      </c>
      <c r="K141" s="212">
        <v>31.52</v>
      </c>
      <c r="L141" s="92"/>
      <c r="M141" s="92"/>
      <c r="N141" s="92"/>
      <c r="O141" s="92"/>
      <c r="P141" s="92"/>
      <c r="Q141" s="92"/>
      <c r="R141" s="92"/>
      <c r="S141" s="92"/>
      <c r="T141" s="92"/>
      <c r="U141" s="92"/>
      <c r="V141" s="92"/>
      <c r="W141" s="165"/>
      <c r="X141" s="92"/>
      <c r="Y141" s="92"/>
      <c r="Z141" s="92"/>
      <c r="AA141" s="92"/>
      <c r="AB141" s="92"/>
      <c r="AC141" s="92"/>
      <c r="AD141" s="92"/>
      <c r="AE141" s="92"/>
      <c r="AF141" s="92"/>
      <c r="AG141" s="92"/>
      <c r="AH141" s="165"/>
      <c r="AI141" s="165"/>
      <c r="AJ141" s="165"/>
      <c r="AK141" s="165"/>
      <c r="AL141" s="165"/>
      <c r="AM141" s="165"/>
      <c r="AN141" s="165"/>
      <c r="AO141" s="165"/>
      <c r="AP141" s="165"/>
      <c r="AQ141" s="165"/>
      <c r="AR141" s="165"/>
      <c r="AS141" s="165"/>
      <c r="AT141" s="165"/>
      <c r="AU141" s="165"/>
      <c r="AV141" s="165"/>
      <c r="AW141" s="165"/>
      <c r="AX141" s="165"/>
      <c r="AY141" s="165"/>
      <c r="AZ141" s="165"/>
      <c r="BA141" s="165"/>
      <c r="BB141" s="165"/>
      <c r="BC141" s="165"/>
      <c r="BD141" s="165"/>
      <c r="BE141" s="165"/>
      <c r="BF141" s="165"/>
      <c r="BG141" s="92"/>
      <c r="BH141" s="92"/>
      <c r="BI141" s="92"/>
      <c r="BJ141" s="92"/>
      <c r="BK141" s="92"/>
      <c r="BL141" s="92"/>
      <c r="BM141" s="92"/>
      <c r="BN141" s="92"/>
      <c r="BO141" s="92"/>
      <c r="BP141" s="92"/>
      <c r="BQ141" s="92"/>
      <c r="BR141" s="92"/>
      <c r="BS141" s="92"/>
      <c r="BT141" s="92"/>
      <c r="BU141" s="92"/>
      <c r="BV141" s="92"/>
      <c r="BW141" s="92"/>
      <c r="BX141" s="92"/>
      <c r="BY141" s="92"/>
      <c r="BZ141" s="92"/>
      <c r="CA141" s="92"/>
      <c r="CB141" s="92"/>
      <c r="CC141" s="92"/>
      <c r="CD141" s="92"/>
      <c r="CE141" s="92"/>
      <c r="CF141" s="92"/>
      <c r="CG141" s="92"/>
      <c r="CH141" s="92"/>
      <c r="CI141" s="92"/>
      <c r="CJ141" s="92"/>
      <c r="CK141" s="92"/>
      <c r="CL141" s="92"/>
      <c r="CM141" s="92"/>
      <c r="CN141" s="92"/>
      <c r="CO141" s="92"/>
      <c r="CP141" s="92"/>
      <c r="CQ141" s="92"/>
      <c r="CR141" s="92"/>
      <c r="CS141" s="92"/>
      <c r="CT141" s="92"/>
      <c r="CU141" s="92"/>
      <c r="CV141" s="92"/>
    </row>
    <row r="142" spans="1:100">
      <c r="A142" s="172">
        <v>0</v>
      </c>
      <c r="B142" s="173">
        <f ca="1">+RESUMEN!Y3</f>
        <v>0</v>
      </c>
      <c r="C142" s="173">
        <f ca="1">+RESUMEN!Z3</f>
        <v>0</v>
      </c>
      <c r="D142" s="174">
        <f t="shared" ref="D142:D205" ca="1" si="236">B142+C142</f>
        <v>0</v>
      </c>
      <c r="E142" s="91"/>
      <c r="F142" s="384" t="s">
        <v>163</v>
      </c>
      <c r="G142" s="387">
        <f t="shared" ref="G142:H142" si="237">+DQ38</f>
        <v>808.98</v>
      </c>
      <c r="H142" s="387">
        <f t="shared" si="237"/>
        <v>773.7</v>
      </c>
      <c r="I142" s="91"/>
      <c r="J142" s="200" t="s">
        <v>163</v>
      </c>
      <c r="K142" s="216">
        <v>32.840000000000003</v>
      </c>
      <c r="L142" s="92"/>
      <c r="M142" s="92"/>
      <c r="N142" s="92"/>
      <c r="O142" s="92"/>
      <c r="P142" s="92"/>
      <c r="Q142" s="92"/>
      <c r="R142" s="92"/>
      <c r="S142" s="92"/>
      <c r="T142" s="92"/>
      <c r="U142" s="92"/>
      <c r="V142" s="92"/>
      <c r="W142" s="165"/>
      <c r="X142" s="92"/>
      <c r="Y142" s="92"/>
      <c r="Z142" s="92"/>
      <c r="AA142" s="92"/>
      <c r="AB142" s="92"/>
      <c r="AC142" s="92"/>
      <c r="AD142" s="92"/>
      <c r="AE142" s="92"/>
      <c r="AF142" s="92"/>
      <c r="AG142" s="92"/>
      <c r="AH142" s="165"/>
      <c r="AI142" s="165"/>
      <c r="AJ142" s="165"/>
      <c r="AK142" s="165"/>
      <c r="AL142" s="165"/>
      <c r="AM142" s="165"/>
      <c r="AN142" s="165"/>
      <c r="AO142" s="165"/>
      <c r="AP142" s="165"/>
      <c r="AQ142" s="165"/>
      <c r="AR142" s="165"/>
      <c r="AS142" s="165"/>
      <c r="AT142" s="165"/>
      <c r="AU142" s="165"/>
      <c r="AV142" s="165"/>
      <c r="AW142" s="165"/>
      <c r="AX142" s="165"/>
      <c r="AY142" s="165"/>
      <c r="AZ142" s="165"/>
      <c r="BA142" s="165"/>
      <c r="BB142" s="165"/>
      <c r="BC142" s="165"/>
      <c r="BD142" s="165"/>
      <c r="BE142" s="165"/>
      <c r="BF142" s="165"/>
      <c r="BG142" s="92"/>
      <c r="BH142" s="92"/>
      <c r="BI142" s="92"/>
      <c r="BJ142" s="92"/>
      <c r="BK142" s="92"/>
      <c r="BL142" s="92"/>
      <c r="BM142" s="92"/>
      <c r="BN142" s="92"/>
      <c r="BO142" s="92"/>
      <c r="BP142" s="92"/>
      <c r="BQ142" s="92"/>
      <c r="BR142" s="92"/>
      <c r="BS142" s="92"/>
      <c r="BT142" s="92"/>
      <c r="BU142" s="92"/>
      <c r="BV142" s="92"/>
      <c r="BW142" s="92"/>
      <c r="BX142" s="92"/>
      <c r="BY142" s="92"/>
      <c r="BZ142" s="92"/>
      <c r="CA142" s="92"/>
      <c r="CB142" s="92"/>
      <c r="CC142" s="92"/>
      <c r="CD142" s="92"/>
      <c r="CE142" s="92"/>
      <c r="CF142" s="92"/>
      <c r="CG142" s="92"/>
      <c r="CH142" s="92"/>
      <c r="CI142" s="92"/>
      <c r="CJ142" s="92"/>
      <c r="CK142" s="92"/>
      <c r="CL142" s="92"/>
      <c r="CM142" s="92"/>
      <c r="CN142" s="92"/>
      <c r="CO142" s="92"/>
      <c r="CP142" s="92"/>
      <c r="CQ142" s="92"/>
      <c r="CR142" s="92"/>
      <c r="CS142" s="92"/>
      <c r="CT142" s="92"/>
      <c r="CU142" s="92"/>
      <c r="CV142" s="92"/>
    </row>
    <row r="143" spans="1:100">
      <c r="A143" s="172">
        <v>1</v>
      </c>
      <c r="B143" s="173">
        <f ca="1">+RESUMEN!Y4</f>
        <v>0</v>
      </c>
      <c r="C143" s="173">
        <f ca="1">+RESUMEN!Z4</f>
        <v>0</v>
      </c>
      <c r="D143" s="174">
        <f t="shared" ca="1" si="236"/>
        <v>0</v>
      </c>
      <c r="E143" s="91"/>
      <c r="F143" s="384" t="s">
        <v>164</v>
      </c>
      <c r="G143" s="387">
        <f t="shared" ref="G143:H143" si="238">+DQ39</f>
        <v>837.68</v>
      </c>
      <c r="H143" s="387">
        <f t="shared" si="238"/>
        <v>826.41</v>
      </c>
      <c r="I143" s="91"/>
      <c r="J143" s="200" t="s">
        <v>164</v>
      </c>
      <c r="K143" s="216">
        <v>34.28</v>
      </c>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165"/>
      <c r="AI143" s="165"/>
      <c r="AJ143" s="165"/>
      <c r="AK143" s="165"/>
      <c r="AL143" s="165"/>
      <c r="AM143" s="165"/>
      <c r="AN143" s="165"/>
      <c r="AO143" s="165"/>
      <c r="AP143" s="165"/>
      <c r="AQ143" s="165"/>
      <c r="AR143" s="165"/>
      <c r="AS143" s="165"/>
      <c r="AT143" s="165"/>
      <c r="AU143" s="165"/>
      <c r="AV143" s="165"/>
      <c r="AW143" s="165"/>
      <c r="AX143" s="165"/>
      <c r="AY143" s="165"/>
      <c r="AZ143" s="165"/>
      <c r="BA143" s="165"/>
      <c r="BB143" s="165"/>
      <c r="BC143" s="165"/>
      <c r="BD143" s="165"/>
      <c r="BE143" s="165"/>
      <c r="BF143" s="165"/>
      <c r="BG143" s="92"/>
      <c r="BH143" s="92"/>
      <c r="BI143" s="92"/>
      <c r="BJ143" s="92"/>
      <c r="BK143" s="92"/>
      <c r="BL143" s="92"/>
      <c r="BM143" s="92"/>
      <c r="BN143" s="92"/>
      <c r="BO143" s="92"/>
      <c r="BP143" s="92"/>
      <c r="BQ143" s="92"/>
      <c r="BR143" s="92"/>
      <c r="BS143" s="92"/>
      <c r="BT143" s="92"/>
      <c r="BU143" s="92"/>
      <c r="BV143" s="92"/>
      <c r="BW143" s="92"/>
      <c r="BX143" s="92"/>
      <c r="BY143" s="92"/>
      <c r="BZ143" s="92"/>
      <c r="CA143" s="92"/>
      <c r="CB143" s="92"/>
      <c r="CC143" s="92"/>
      <c r="CD143" s="92"/>
      <c r="CE143" s="92"/>
      <c r="CF143" s="92"/>
      <c r="CG143" s="92"/>
      <c r="CH143" s="92"/>
      <c r="CI143" s="92"/>
      <c r="CJ143" s="92"/>
      <c r="CK143" s="92"/>
      <c r="CL143" s="92"/>
      <c r="CM143" s="92"/>
      <c r="CN143" s="92"/>
      <c r="CO143" s="92"/>
      <c r="CP143" s="92"/>
      <c r="CQ143" s="92"/>
      <c r="CR143" s="92"/>
      <c r="CS143" s="92"/>
      <c r="CT143" s="92"/>
      <c r="CU143" s="92"/>
      <c r="CV143" s="92"/>
    </row>
    <row r="144" spans="1:100">
      <c r="A144" s="172">
        <v>2</v>
      </c>
      <c r="B144" s="173">
        <f ca="1">+RESUMEN!Y5</f>
        <v>0</v>
      </c>
      <c r="C144" s="173">
        <f ca="1">+RESUMEN!Z5</f>
        <v>0</v>
      </c>
      <c r="D144" s="174">
        <f t="shared" ca="1" si="236"/>
        <v>0</v>
      </c>
      <c r="E144" s="91"/>
      <c r="F144" s="384" t="s">
        <v>165</v>
      </c>
      <c r="G144" s="387">
        <f t="shared" ref="G144:H144" si="239">+DQ40</f>
        <v>866.38</v>
      </c>
      <c r="H144" s="387">
        <f t="shared" si="239"/>
        <v>879.12</v>
      </c>
      <c r="I144" s="91"/>
      <c r="J144" s="200" t="s">
        <v>165</v>
      </c>
      <c r="K144" s="216">
        <v>35.840000000000003</v>
      </c>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165"/>
      <c r="AI144" s="165"/>
      <c r="AJ144" s="165"/>
      <c r="AK144" s="165"/>
      <c r="AL144" s="165"/>
      <c r="AM144" s="165"/>
      <c r="AN144" s="165"/>
      <c r="AO144" s="165"/>
      <c r="AP144" s="165"/>
      <c r="AQ144" s="165"/>
      <c r="AR144" s="165"/>
      <c r="AS144" s="165"/>
      <c r="AT144" s="165"/>
      <c r="AU144" s="165"/>
      <c r="AV144" s="165"/>
      <c r="AW144" s="165"/>
      <c r="AX144" s="165"/>
      <c r="AY144" s="165"/>
      <c r="AZ144" s="165"/>
      <c r="BA144" s="165"/>
      <c r="BB144" s="165"/>
      <c r="BC144" s="165"/>
      <c r="BD144" s="165"/>
      <c r="BE144" s="165"/>
      <c r="BF144" s="165"/>
      <c r="BG144" s="92"/>
      <c r="BH144" s="92"/>
      <c r="BI144" s="92"/>
      <c r="BJ144" s="92"/>
      <c r="BK144" s="92"/>
      <c r="BL144" s="92"/>
      <c r="BM144" s="92"/>
      <c r="BN144" s="92"/>
      <c r="BO144" s="92"/>
      <c r="BP144" s="92"/>
      <c r="BQ144" s="92"/>
      <c r="BR144" s="92"/>
      <c r="BS144" s="92"/>
      <c r="BT144" s="92"/>
      <c r="BU144" s="92"/>
      <c r="BV144" s="92"/>
      <c r="BW144" s="92"/>
      <c r="BX144" s="92"/>
      <c r="BY144" s="92"/>
      <c r="BZ144" s="92"/>
      <c r="CA144" s="92"/>
      <c r="CB144" s="92"/>
      <c r="CC144" s="92"/>
      <c r="CD144" s="92"/>
      <c r="CE144" s="92"/>
      <c r="CF144" s="92"/>
      <c r="CG144" s="92"/>
      <c r="CH144" s="92"/>
      <c r="CI144" s="92"/>
      <c r="CJ144" s="92"/>
      <c r="CK144" s="92"/>
      <c r="CL144" s="92"/>
      <c r="CM144" s="92"/>
      <c r="CN144" s="92"/>
      <c r="CO144" s="92"/>
      <c r="CP144" s="92"/>
      <c r="CQ144" s="92"/>
      <c r="CR144" s="92"/>
      <c r="CS144" s="92"/>
      <c r="CT144" s="92"/>
      <c r="CU144" s="92"/>
      <c r="CV144" s="92"/>
    </row>
    <row r="145" spans="1:100">
      <c r="A145" s="172">
        <v>3</v>
      </c>
      <c r="B145" s="173">
        <f ca="1">+RESUMEN!Y6</f>
        <v>0</v>
      </c>
      <c r="C145" s="173">
        <f ca="1">+RESUMEN!Z6</f>
        <v>0</v>
      </c>
      <c r="D145" s="174">
        <f t="shared" ca="1" si="236"/>
        <v>0</v>
      </c>
      <c r="E145" s="91"/>
      <c r="F145" s="384" t="s">
        <v>166</v>
      </c>
      <c r="G145" s="387">
        <f t="shared" ref="G145:H145" si="240">+DQ41</f>
        <v>895.08</v>
      </c>
      <c r="H145" s="387">
        <f t="shared" si="240"/>
        <v>931.83</v>
      </c>
      <c r="I145" s="91"/>
      <c r="J145" s="200" t="s">
        <v>166</v>
      </c>
      <c r="K145" s="216">
        <v>37.520000000000003</v>
      </c>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165"/>
      <c r="AI145" s="165"/>
      <c r="AJ145" s="165"/>
      <c r="AK145" s="165"/>
      <c r="AL145" s="165"/>
      <c r="AM145" s="165"/>
      <c r="AN145" s="165"/>
      <c r="AO145" s="165"/>
      <c r="AP145" s="165"/>
      <c r="AQ145" s="165"/>
      <c r="AR145" s="165"/>
      <c r="AS145" s="165"/>
      <c r="AT145" s="165"/>
      <c r="AU145" s="165"/>
      <c r="AV145" s="165"/>
      <c r="AW145" s="165"/>
      <c r="AX145" s="165"/>
      <c r="AY145" s="165"/>
      <c r="AZ145" s="165"/>
      <c r="BA145" s="165"/>
      <c r="BB145" s="165"/>
      <c r="BC145" s="165"/>
      <c r="BD145" s="165"/>
      <c r="BE145" s="165"/>
      <c r="BF145" s="165"/>
      <c r="BG145" s="92"/>
      <c r="BH145" s="92"/>
      <c r="BI145" s="92"/>
      <c r="BJ145" s="92"/>
      <c r="BK145" s="92"/>
      <c r="BL145" s="92"/>
      <c r="BM145" s="92"/>
      <c r="BN145" s="92"/>
      <c r="BO145" s="92"/>
      <c r="BP145" s="92"/>
      <c r="BQ145" s="92"/>
      <c r="BR145" s="92"/>
      <c r="BS145" s="92"/>
      <c r="BT145" s="92"/>
      <c r="BU145" s="92"/>
      <c r="BV145" s="92"/>
      <c r="BW145" s="92"/>
      <c r="BX145" s="92"/>
      <c r="BY145" s="92"/>
      <c r="BZ145" s="92"/>
      <c r="CA145" s="92"/>
      <c r="CB145" s="92"/>
      <c r="CC145" s="92"/>
      <c r="CD145" s="92"/>
      <c r="CE145" s="92"/>
      <c r="CF145" s="92"/>
      <c r="CG145" s="92"/>
      <c r="CH145" s="92"/>
      <c r="CI145" s="92"/>
      <c r="CJ145" s="92"/>
      <c r="CK145" s="92"/>
      <c r="CL145" s="92"/>
      <c r="CM145" s="92"/>
      <c r="CN145" s="92"/>
      <c r="CO145" s="92"/>
      <c r="CP145" s="92"/>
      <c r="CQ145" s="92"/>
      <c r="CR145" s="92"/>
      <c r="CS145" s="92"/>
      <c r="CT145" s="92"/>
      <c r="CU145" s="92"/>
      <c r="CV145" s="92"/>
    </row>
    <row r="146" spans="1:100">
      <c r="A146" s="172">
        <v>4</v>
      </c>
      <c r="B146" s="173">
        <f ca="1">+RESUMEN!Y7</f>
        <v>0</v>
      </c>
      <c r="C146" s="173">
        <f ca="1">+RESUMEN!Z7</f>
        <v>0</v>
      </c>
      <c r="D146" s="174">
        <f t="shared" ca="1" si="236"/>
        <v>0</v>
      </c>
      <c r="E146" s="91"/>
      <c r="F146" s="384" t="s">
        <v>167</v>
      </c>
      <c r="G146" s="387">
        <f t="shared" ref="G146:H146" si="241">+DQ42</f>
        <v>923.78</v>
      </c>
      <c r="H146" s="387">
        <f t="shared" si="241"/>
        <v>984.53</v>
      </c>
      <c r="I146" s="91"/>
      <c r="J146" s="200" t="s">
        <v>167</v>
      </c>
      <c r="K146" s="216">
        <v>39.32</v>
      </c>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165"/>
      <c r="AI146" s="165"/>
      <c r="AJ146" s="165"/>
      <c r="AK146" s="165"/>
      <c r="AL146" s="165"/>
      <c r="AM146" s="165"/>
      <c r="AN146" s="165"/>
      <c r="AO146" s="165"/>
      <c r="AP146" s="165"/>
      <c r="AQ146" s="165"/>
      <c r="AR146" s="165"/>
      <c r="AS146" s="165"/>
      <c r="AT146" s="165"/>
      <c r="AU146" s="165"/>
      <c r="AV146" s="165"/>
      <c r="AW146" s="165"/>
      <c r="AX146" s="165"/>
      <c r="AY146" s="165"/>
      <c r="AZ146" s="165"/>
      <c r="BA146" s="165"/>
      <c r="BB146" s="165"/>
      <c r="BC146" s="165"/>
      <c r="BD146" s="165"/>
      <c r="BE146" s="165"/>
      <c r="BF146" s="165"/>
      <c r="BG146" s="92"/>
      <c r="BH146" s="92"/>
      <c r="BI146" s="92"/>
      <c r="BJ146" s="92"/>
      <c r="BK146" s="92"/>
      <c r="BL146" s="92"/>
      <c r="BM146" s="92"/>
      <c r="BN146" s="92"/>
      <c r="BO146" s="92"/>
      <c r="BP146" s="92"/>
      <c r="BQ146" s="92"/>
      <c r="BR146" s="92"/>
      <c r="BS146" s="92"/>
      <c r="BT146" s="92"/>
      <c r="BU146" s="92"/>
      <c r="BV146" s="92"/>
      <c r="BW146" s="92"/>
      <c r="BX146" s="92"/>
      <c r="BY146" s="92"/>
      <c r="BZ146" s="92"/>
      <c r="CA146" s="92"/>
      <c r="CB146" s="92"/>
      <c r="CC146" s="92"/>
      <c r="CD146" s="92"/>
      <c r="CE146" s="92"/>
      <c r="CF146" s="92"/>
      <c r="CG146" s="92"/>
      <c r="CH146" s="92"/>
      <c r="CI146" s="92"/>
      <c r="CJ146" s="92"/>
      <c r="CK146" s="92"/>
      <c r="CL146" s="92"/>
      <c r="CM146" s="92"/>
      <c r="CN146" s="92"/>
      <c r="CO146" s="92"/>
      <c r="CP146" s="92"/>
      <c r="CQ146" s="92"/>
      <c r="CR146" s="92"/>
      <c r="CS146" s="92"/>
      <c r="CT146" s="92"/>
      <c r="CU146" s="92"/>
      <c r="CV146" s="92"/>
    </row>
    <row r="147" spans="1:100">
      <c r="A147" s="172">
        <v>5</v>
      </c>
      <c r="B147" s="173">
        <f ca="1">+RESUMEN!Y8</f>
        <v>0</v>
      </c>
      <c r="C147" s="173">
        <f ca="1">+RESUMEN!Z8</f>
        <v>0</v>
      </c>
      <c r="D147" s="174">
        <f t="shared" ca="1" si="236"/>
        <v>0</v>
      </c>
      <c r="E147" s="91"/>
      <c r="F147" s="384" t="s">
        <v>168</v>
      </c>
      <c r="G147" s="387">
        <f t="shared" ref="G147:H147" si="242">+DQ43</f>
        <v>991.55</v>
      </c>
      <c r="H147" s="387">
        <f t="shared" si="242"/>
        <v>1067.68</v>
      </c>
      <c r="I147" s="91"/>
      <c r="J147" s="200" t="s">
        <v>168</v>
      </c>
      <c r="K147" s="216">
        <v>41.32</v>
      </c>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165"/>
      <c r="AI147" s="165"/>
      <c r="AJ147" s="165"/>
      <c r="AK147" s="165"/>
      <c r="AL147" s="165"/>
      <c r="AM147" s="165"/>
      <c r="AN147" s="165"/>
      <c r="AO147" s="165"/>
      <c r="AP147" s="165"/>
      <c r="AQ147" s="165"/>
      <c r="AR147" s="165"/>
      <c r="AS147" s="165"/>
      <c r="AT147" s="165"/>
      <c r="AU147" s="165"/>
      <c r="AV147" s="165"/>
      <c r="AW147" s="165"/>
      <c r="AX147" s="165"/>
      <c r="AY147" s="165"/>
      <c r="AZ147" s="165"/>
      <c r="BA147" s="165"/>
      <c r="BB147" s="165"/>
      <c r="BC147" s="165"/>
      <c r="BD147" s="165"/>
      <c r="BE147" s="165"/>
      <c r="BF147" s="165"/>
      <c r="BG147" s="92"/>
      <c r="BH147" s="92"/>
      <c r="BI147" s="92"/>
      <c r="BJ147" s="92"/>
      <c r="BK147" s="92"/>
      <c r="BL147" s="92"/>
      <c r="BM147" s="92"/>
      <c r="BN147" s="92"/>
      <c r="BO147" s="92"/>
      <c r="BP147" s="92"/>
      <c r="BQ147" s="92"/>
      <c r="BR147" s="92"/>
      <c r="BS147" s="92"/>
      <c r="BT147" s="92"/>
      <c r="BU147" s="92"/>
      <c r="BV147" s="92"/>
      <c r="BW147" s="92"/>
      <c r="BX147" s="92"/>
      <c r="BY147" s="92"/>
      <c r="BZ147" s="92"/>
      <c r="CA147" s="92"/>
      <c r="CB147" s="92"/>
      <c r="CC147" s="92"/>
      <c r="CD147" s="92"/>
      <c r="CE147" s="92"/>
      <c r="CF147" s="92"/>
      <c r="CG147" s="92"/>
      <c r="CH147" s="92"/>
      <c r="CI147" s="92"/>
      <c r="CJ147" s="92"/>
      <c r="CK147" s="92"/>
      <c r="CL147" s="92"/>
      <c r="CM147" s="92"/>
      <c r="CN147" s="92"/>
      <c r="CO147" s="92"/>
      <c r="CP147" s="92"/>
      <c r="CQ147" s="92"/>
      <c r="CR147" s="92"/>
      <c r="CS147" s="92"/>
      <c r="CT147" s="92"/>
      <c r="CU147" s="92"/>
      <c r="CV147" s="92"/>
    </row>
    <row r="148" spans="1:100">
      <c r="A148" s="172">
        <v>6</v>
      </c>
      <c r="B148" s="173">
        <f ca="1">+RESUMEN!Y9</f>
        <v>0</v>
      </c>
      <c r="C148" s="173">
        <f ca="1">+RESUMEN!Z9</f>
        <v>0</v>
      </c>
      <c r="D148" s="174">
        <f t="shared" ca="1" si="236"/>
        <v>0</v>
      </c>
      <c r="E148" s="91"/>
      <c r="F148" s="384" t="s">
        <v>169</v>
      </c>
      <c r="G148" s="387">
        <f t="shared" ref="G148:H148" si="243">+DQ44</f>
        <v>1059.32</v>
      </c>
      <c r="H148" s="387">
        <f t="shared" si="243"/>
        <v>1150.82</v>
      </c>
      <c r="I148" s="91"/>
      <c r="J148" s="200" t="s">
        <v>169</v>
      </c>
      <c r="K148" s="216">
        <v>43.48</v>
      </c>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165"/>
      <c r="AI148" s="165"/>
      <c r="AJ148" s="165"/>
      <c r="AK148" s="165"/>
      <c r="AL148" s="165"/>
      <c r="AM148" s="165"/>
      <c r="AN148" s="165"/>
      <c r="AO148" s="165"/>
      <c r="AP148" s="165"/>
      <c r="AQ148" s="165"/>
      <c r="AR148" s="165"/>
      <c r="AS148" s="165"/>
      <c r="AT148" s="165"/>
      <c r="AU148" s="165"/>
      <c r="AV148" s="165"/>
      <c r="AW148" s="165"/>
      <c r="AX148" s="165"/>
      <c r="AY148" s="165"/>
      <c r="AZ148" s="165"/>
      <c r="BA148" s="165"/>
      <c r="BB148" s="165"/>
      <c r="BC148" s="165"/>
      <c r="BD148" s="165"/>
      <c r="BE148" s="165"/>
      <c r="BF148" s="165"/>
      <c r="BG148" s="92"/>
      <c r="BH148" s="92"/>
      <c r="BI148" s="92"/>
      <c r="BJ148" s="92"/>
      <c r="BK148" s="92"/>
      <c r="BL148" s="92"/>
      <c r="BM148" s="92"/>
      <c r="BN148" s="92"/>
      <c r="BO148" s="92"/>
      <c r="BP148" s="92"/>
      <c r="BQ148" s="92"/>
      <c r="BR148" s="92"/>
      <c r="BS148" s="92"/>
      <c r="BT148" s="92"/>
      <c r="BU148" s="92"/>
      <c r="BV148" s="92"/>
      <c r="BW148" s="92"/>
      <c r="BX148" s="92"/>
      <c r="BY148" s="92"/>
      <c r="BZ148" s="92"/>
      <c r="CA148" s="92"/>
      <c r="CB148" s="92"/>
      <c r="CC148" s="92"/>
      <c r="CD148" s="92"/>
      <c r="CE148" s="92"/>
      <c r="CF148" s="92"/>
      <c r="CG148" s="92"/>
      <c r="CH148" s="92"/>
      <c r="CI148" s="92"/>
      <c r="CJ148" s="92"/>
      <c r="CK148" s="92"/>
      <c r="CL148" s="92"/>
      <c r="CM148" s="92"/>
      <c r="CN148" s="92"/>
      <c r="CO148" s="92"/>
      <c r="CP148" s="92"/>
      <c r="CQ148" s="92"/>
      <c r="CR148" s="92"/>
      <c r="CS148" s="92"/>
      <c r="CT148" s="92"/>
      <c r="CU148" s="92"/>
      <c r="CV148" s="92"/>
    </row>
    <row r="149" spans="1:100">
      <c r="A149" s="172">
        <v>7</v>
      </c>
      <c r="B149" s="173">
        <f ca="1">+RESUMEN!Y10</f>
        <v>0</v>
      </c>
      <c r="C149" s="173">
        <f ca="1">+RESUMEN!Z10</f>
        <v>0</v>
      </c>
      <c r="D149" s="174">
        <f t="shared" ca="1" si="236"/>
        <v>0</v>
      </c>
      <c r="E149" s="91"/>
      <c r="F149" s="384" t="s">
        <v>170</v>
      </c>
      <c r="G149" s="387">
        <f t="shared" ref="G149:H149" si="244">+DQ45</f>
        <v>1127.0899999999999</v>
      </c>
      <c r="H149" s="387">
        <f t="shared" si="244"/>
        <v>1233.96</v>
      </c>
      <c r="I149" s="91"/>
      <c r="J149" s="200" t="s">
        <v>170</v>
      </c>
      <c r="K149" s="216">
        <v>45.8</v>
      </c>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165"/>
      <c r="AI149" s="165"/>
      <c r="AJ149" s="165"/>
      <c r="AK149" s="165"/>
      <c r="AL149" s="165"/>
      <c r="AM149" s="165"/>
      <c r="AN149" s="165"/>
      <c r="AO149" s="165"/>
      <c r="AP149" s="165"/>
      <c r="AQ149" s="165"/>
      <c r="AR149" s="165"/>
      <c r="AS149" s="165"/>
      <c r="AT149" s="165"/>
      <c r="AU149" s="165"/>
      <c r="AV149" s="165"/>
      <c r="AW149" s="165"/>
      <c r="AX149" s="165"/>
      <c r="AY149" s="165"/>
      <c r="AZ149" s="165"/>
      <c r="BA149" s="165"/>
      <c r="BB149" s="165"/>
      <c r="BC149" s="165"/>
      <c r="BD149" s="165"/>
      <c r="BE149" s="165"/>
      <c r="BF149" s="165"/>
      <c r="BG149" s="92"/>
      <c r="BH149" s="92"/>
      <c r="BI149" s="92"/>
      <c r="BJ149" s="92"/>
      <c r="BK149" s="92"/>
      <c r="BL149" s="92"/>
      <c r="BM149" s="92"/>
      <c r="BN149" s="92"/>
      <c r="BO149" s="92"/>
      <c r="BP149" s="92"/>
      <c r="BQ149" s="92"/>
      <c r="BR149" s="92"/>
      <c r="BS149" s="92"/>
      <c r="BT149" s="92"/>
      <c r="BU149" s="92"/>
      <c r="BV149" s="92"/>
      <c r="BW149" s="92"/>
      <c r="BX149" s="92"/>
      <c r="BY149" s="92"/>
      <c r="BZ149" s="92"/>
      <c r="CA149" s="92"/>
      <c r="CB149" s="92"/>
      <c r="CC149" s="92"/>
      <c r="CD149" s="92"/>
      <c r="CE149" s="92"/>
      <c r="CF149" s="92"/>
      <c r="CG149" s="92"/>
      <c r="CH149" s="92"/>
      <c r="CI149" s="92"/>
      <c r="CJ149" s="92"/>
      <c r="CK149" s="92"/>
      <c r="CL149" s="92"/>
      <c r="CM149" s="92"/>
      <c r="CN149" s="92"/>
      <c r="CO149" s="92"/>
      <c r="CP149" s="92"/>
      <c r="CQ149" s="92"/>
      <c r="CR149" s="92"/>
      <c r="CS149" s="92"/>
      <c r="CT149" s="92"/>
      <c r="CU149" s="92"/>
      <c r="CV149" s="92"/>
    </row>
    <row r="150" spans="1:100">
      <c r="A150" s="172">
        <v>8</v>
      </c>
      <c r="B150" s="173">
        <f ca="1">+RESUMEN!Y11</f>
        <v>0</v>
      </c>
      <c r="C150" s="173">
        <f ca="1">+RESUMEN!Z11</f>
        <v>0</v>
      </c>
      <c r="D150" s="174">
        <f t="shared" ca="1" si="236"/>
        <v>0</v>
      </c>
      <c r="E150" s="91"/>
      <c r="F150" s="384" t="s">
        <v>171</v>
      </c>
      <c r="G150" s="387">
        <f t="shared" ref="G150:H150" si="245">+DQ46</f>
        <v>1194.8599999999999</v>
      </c>
      <c r="H150" s="387">
        <f t="shared" si="245"/>
        <v>1317.11</v>
      </c>
      <c r="I150" s="91"/>
      <c r="J150" s="200" t="s">
        <v>171</v>
      </c>
      <c r="K150" s="216">
        <v>48.32</v>
      </c>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165"/>
      <c r="AI150" s="165"/>
      <c r="AJ150" s="165"/>
      <c r="AK150" s="165"/>
      <c r="AL150" s="165"/>
      <c r="AM150" s="165"/>
      <c r="AN150" s="165"/>
      <c r="AO150" s="165"/>
      <c r="AP150" s="165"/>
      <c r="AQ150" s="165"/>
      <c r="AR150" s="165"/>
      <c r="AS150" s="165"/>
      <c r="AT150" s="165"/>
      <c r="AU150" s="165"/>
      <c r="AV150" s="165"/>
      <c r="AW150" s="165"/>
      <c r="AX150" s="165"/>
      <c r="AY150" s="165"/>
      <c r="AZ150" s="165"/>
      <c r="BA150" s="165"/>
      <c r="BB150" s="165"/>
      <c r="BC150" s="165"/>
      <c r="BD150" s="165"/>
      <c r="BE150" s="165"/>
      <c r="BF150" s="165"/>
      <c r="BG150" s="92"/>
      <c r="BH150" s="92"/>
      <c r="BI150" s="92"/>
      <c r="BJ150" s="92"/>
      <c r="BK150" s="92"/>
      <c r="BL150" s="92"/>
      <c r="BM150" s="92"/>
      <c r="BN150" s="92"/>
      <c r="BO150" s="92"/>
      <c r="BP150" s="92"/>
      <c r="BQ150" s="92"/>
      <c r="BR150" s="92"/>
      <c r="BS150" s="92"/>
      <c r="BT150" s="92"/>
      <c r="BU150" s="92"/>
      <c r="BV150" s="92"/>
      <c r="BW150" s="92"/>
      <c r="BX150" s="92"/>
      <c r="BY150" s="92"/>
      <c r="BZ150" s="92"/>
      <c r="CA150" s="92"/>
      <c r="CB150" s="92"/>
      <c r="CC150" s="92"/>
      <c r="CD150" s="92"/>
      <c r="CE150" s="92"/>
      <c r="CF150" s="92"/>
      <c r="CG150" s="92"/>
      <c r="CH150" s="92"/>
      <c r="CI150" s="92"/>
      <c r="CJ150" s="92"/>
      <c r="CK150" s="92"/>
      <c r="CL150" s="92"/>
      <c r="CM150" s="92"/>
      <c r="CN150" s="92"/>
      <c r="CO150" s="92"/>
      <c r="CP150" s="92"/>
      <c r="CQ150" s="92"/>
      <c r="CR150" s="92"/>
      <c r="CS150" s="92"/>
      <c r="CT150" s="92"/>
      <c r="CU150" s="92"/>
      <c r="CV150" s="92"/>
    </row>
    <row r="151" spans="1:100">
      <c r="A151" s="172">
        <v>9</v>
      </c>
      <c r="B151" s="173">
        <f ca="1">+RESUMEN!Y12</f>
        <v>0</v>
      </c>
      <c r="C151" s="173">
        <f ca="1">+RESUMEN!Z12</f>
        <v>0</v>
      </c>
      <c r="D151" s="174">
        <f t="shared" ca="1" si="236"/>
        <v>0</v>
      </c>
      <c r="E151" s="91"/>
      <c r="F151" s="384" t="s">
        <v>172</v>
      </c>
      <c r="G151" s="387">
        <f t="shared" ref="G151:H151" si="246">+DQ47</f>
        <v>1262.6199999999999</v>
      </c>
      <c r="H151" s="387">
        <f t="shared" si="246"/>
        <v>1400.25</v>
      </c>
      <c r="I151" s="91"/>
      <c r="J151" s="200" t="s">
        <v>172</v>
      </c>
      <c r="K151" s="216">
        <v>51.12</v>
      </c>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165"/>
      <c r="AI151" s="165"/>
      <c r="AJ151" s="165"/>
      <c r="AK151" s="165"/>
      <c r="AL151" s="165"/>
      <c r="AM151" s="165"/>
      <c r="AN151" s="165"/>
      <c r="AO151" s="165"/>
      <c r="AP151" s="165"/>
      <c r="AQ151" s="165"/>
      <c r="AR151" s="165"/>
      <c r="AS151" s="165"/>
      <c r="AT151" s="165"/>
      <c r="AU151" s="165"/>
      <c r="AV151" s="165"/>
      <c r="AW151" s="165"/>
      <c r="AX151" s="165"/>
      <c r="AY151" s="165"/>
      <c r="AZ151" s="165"/>
      <c r="BA151" s="165"/>
      <c r="BB151" s="165"/>
      <c r="BC151" s="165"/>
      <c r="BD151" s="165"/>
      <c r="BE151" s="165"/>
      <c r="BF151" s="165"/>
      <c r="BG151" s="92"/>
      <c r="BH151" s="92"/>
      <c r="BI151" s="92"/>
      <c r="BJ151" s="92"/>
      <c r="BK151" s="92"/>
      <c r="BL151" s="92"/>
      <c r="BM151" s="92"/>
      <c r="BN151" s="92"/>
      <c r="BO151" s="92"/>
      <c r="BP151" s="92"/>
      <c r="BQ151" s="92"/>
      <c r="BR151" s="92"/>
      <c r="BS151" s="92"/>
      <c r="BT151" s="92"/>
      <c r="BU151" s="92"/>
      <c r="BV151" s="92"/>
      <c r="BW151" s="92"/>
      <c r="BX151" s="92"/>
      <c r="BY151" s="92"/>
      <c r="BZ151" s="92"/>
      <c r="CA151" s="92"/>
      <c r="CB151" s="92"/>
      <c r="CC151" s="92"/>
      <c r="CD151" s="92"/>
      <c r="CE151" s="92"/>
      <c r="CF151" s="92"/>
      <c r="CG151" s="92"/>
      <c r="CH151" s="92"/>
      <c r="CI151" s="92"/>
      <c r="CJ151" s="92"/>
      <c r="CK151" s="92"/>
      <c r="CL151" s="92"/>
      <c r="CM151" s="92"/>
      <c r="CN151" s="92"/>
      <c r="CO151" s="92"/>
      <c r="CP151" s="92"/>
      <c r="CQ151" s="92"/>
      <c r="CR151" s="92"/>
      <c r="CS151" s="92"/>
      <c r="CT151" s="92"/>
      <c r="CU151" s="92"/>
      <c r="CV151" s="92"/>
    </row>
    <row r="152" spans="1:100">
      <c r="A152" s="172">
        <v>10</v>
      </c>
      <c r="B152" s="173">
        <f ca="1">+RESUMEN!Y13</f>
        <v>0</v>
      </c>
      <c r="C152" s="173">
        <f ca="1">+RESUMEN!Z13</f>
        <v>0</v>
      </c>
      <c r="D152" s="174">
        <f t="shared" ca="1" si="236"/>
        <v>0</v>
      </c>
      <c r="E152" s="91"/>
      <c r="F152" s="384" t="s">
        <v>173</v>
      </c>
      <c r="G152" s="387">
        <f t="shared" ref="G152:H152" si="247">+DQ48</f>
        <v>1349.27</v>
      </c>
      <c r="H152" s="387">
        <f t="shared" si="247"/>
        <v>1521.38</v>
      </c>
      <c r="I152" s="91"/>
      <c r="J152" s="200" t="s">
        <v>173</v>
      </c>
      <c r="K152" s="216">
        <v>54.12</v>
      </c>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165"/>
      <c r="AI152" s="165"/>
      <c r="AJ152" s="165"/>
      <c r="AK152" s="165"/>
      <c r="AL152" s="165"/>
      <c r="AM152" s="165"/>
      <c r="AN152" s="165"/>
      <c r="AO152" s="165"/>
      <c r="AP152" s="165"/>
      <c r="AQ152" s="165"/>
      <c r="AR152" s="165"/>
      <c r="AS152" s="165"/>
      <c r="AT152" s="165"/>
      <c r="AU152" s="165"/>
      <c r="AV152" s="165"/>
      <c r="AW152" s="165"/>
      <c r="AX152" s="165"/>
      <c r="AY152" s="165"/>
      <c r="AZ152" s="165"/>
      <c r="BA152" s="165"/>
      <c r="BB152" s="165"/>
      <c r="BC152" s="165"/>
      <c r="BD152" s="165"/>
      <c r="BE152" s="165"/>
      <c r="BF152" s="165"/>
      <c r="BG152" s="92"/>
      <c r="BH152" s="92"/>
      <c r="BI152" s="92"/>
      <c r="BJ152" s="92"/>
      <c r="BK152" s="92"/>
      <c r="BL152" s="92"/>
      <c r="BM152" s="92"/>
      <c r="BN152" s="92"/>
      <c r="BO152" s="92"/>
      <c r="BP152" s="92"/>
      <c r="BQ152" s="92"/>
      <c r="BR152" s="92"/>
      <c r="BS152" s="92"/>
      <c r="BT152" s="92"/>
      <c r="BU152" s="92"/>
      <c r="BV152" s="92"/>
      <c r="BW152" s="92"/>
      <c r="BX152" s="92"/>
      <c r="BY152" s="92"/>
      <c r="BZ152" s="92"/>
      <c r="CA152" s="92"/>
      <c r="CB152" s="92"/>
      <c r="CC152" s="92"/>
      <c r="CD152" s="92"/>
      <c r="CE152" s="92"/>
      <c r="CF152" s="92"/>
      <c r="CG152" s="92"/>
      <c r="CH152" s="92"/>
      <c r="CI152" s="92"/>
      <c r="CJ152" s="92"/>
      <c r="CK152" s="92"/>
      <c r="CL152" s="92"/>
      <c r="CM152" s="92"/>
      <c r="CN152" s="92"/>
      <c r="CO152" s="92"/>
      <c r="CP152" s="92"/>
      <c r="CQ152" s="92"/>
      <c r="CR152" s="92"/>
      <c r="CS152" s="92"/>
      <c r="CT152" s="92"/>
      <c r="CU152" s="92"/>
      <c r="CV152" s="92"/>
    </row>
    <row r="153" spans="1:100">
      <c r="A153" s="172">
        <v>11</v>
      </c>
      <c r="B153" s="173">
        <f ca="1">+RESUMEN!Y14</f>
        <v>0</v>
      </c>
      <c r="C153" s="173">
        <f ca="1">+RESUMEN!Z14</f>
        <v>0</v>
      </c>
      <c r="D153" s="174">
        <f t="shared" ca="1" si="236"/>
        <v>0</v>
      </c>
      <c r="E153" s="91"/>
      <c r="F153" s="384" t="s">
        <v>174</v>
      </c>
      <c r="G153" s="387">
        <f t="shared" ref="G153:H153" si="248">+DQ49</f>
        <v>1435.92</v>
      </c>
      <c r="H153" s="387">
        <f t="shared" si="248"/>
        <v>1642.51</v>
      </c>
      <c r="I153" s="91"/>
      <c r="J153" s="200" t="s">
        <v>174</v>
      </c>
      <c r="K153" s="216">
        <v>57.4</v>
      </c>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165"/>
      <c r="AI153" s="165"/>
      <c r="AJ153" s="165"/>
      <c r="AK153" s="165"/>
      <c r="AL153" s="165"/>
      <c r="AM153" s="165"/>
      <c r="AN153" s="165"/>
      <c r="AO153" s="165"/>
      <c r="AP153" s="165"/>
      <c r="AQ153" s="165"/>
      <c r="AR153" s="165"/>
      <c r="AS153" s="165"/>
      <c r="AT153" s="165"/>
      <c r="AU153" s="165"/>
      <c r="AV153" s="165"/>
      <c r="AW153" s="165"/>
      <c r="AX153" s="165"/>
      <c r="AY153" s="165"/>
      <c r="AZ153" s="165"/>
      <c r="BA153" s="165"/>
      <c r="BB153" s="165"/>
      <c r="BC153" s="165"/>
      <c r="BD153" s="165"/>
      <c r="BE153" s="165"/>
      <c r="BF153" s="165"/>
      <c r="BG153" s="92"/>
      <c r="BH153" s="92"/>
      <c r="BI153" s="92"/>
      <c r="BJ153" s="92"/>
      <c r="BK153" s="92"/>
      <c r="BL153" s="92"/>
      <c r="BM153" s="92"/>
      <c r="BN153" s="92"/>
      <c r="BO153" s="92"/>
      <c r="BP153" s="92"/>
      <c r="BQ153" s="92"/>
      <c r="BR153" s="92"/>
      <c r="BS153" s="92"/>
      <c r="BT153" s="92"/>
      <c r="BU153" s="92"/>
      <c r="BV153" s="92"/>
      <c r="BW153" s="92"/>
      <c r="BX153" s="92"/>
      <c r="BY153" s="92"/>
      <c r="BZ153" s="92"/>
      <c r="CA153" s="92"/>
      <c r="CB153" s="92"/>
      <c r="CC153" s="92"/>
      <c r="CD153" s="92"/>
      <c r="CE153" s="92"/>
      <c r="CF153" s="92"/>
      <c r="CG153" s="92"/>
      <c r="CH153" s="92"/>
      <c r="CI153" s="92"/>
      <c r="CJ153" s="92"/>
      <c r="CK153" s="92"/>
      <c r="CL153" s="92"/>
      <c r="CM153" s="92"/>
      <c r="CN153" s="92"/>
      <c r="CO153" s="92"/>
      <c r="CP153" s="92"/>
      <c r="CQ153" s="92"/>
      <c r="CR153" s="92"/>
      <c r="CS153" s="92"/>
      <c r="CT153" s="92"/>
      <c r="CU153" s="92"/>
      <c r="CV153" s="92"/>
    </row>
    <row r="154" spans="1:100">
      <c r="A154" s="172">
        <v>12</v>
      </c>
      <c r="B154" s="173">
        <f ca="1">+RESUMEN!Y15</f>
        <v>0</v>
      </c>
      <c r="C154" s="173">
        <f ca="1">+RESUMEN!Z15</f>
        <v>0</v>
      </c>
      <c r="D154" s="174">
        <f t="shared" ca="1" si="236"/>
        <v>0</v>
      </c>
      <c r="E154" s="91"/>
      <c r="F154" s="384" t="s">
        <v>175</v>
      </c>
      <c r="G154" s="387">
        <f t="shared" ref="G154:H154" si="249">+DQ50</f>
        <v>1522.57</v>
      </c>
      <c r="H154" s="387">
        <f t="shared" si="249"/>
        <v>1763.65</v>
      </c>
      <c r="I154" s="91"/>
      <c r="J154" s="200" t="s">
        <v>175</v>
      </c>
      <c r="K154" s="216">
        <v>61</v>
      </c>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210"/>
      <c r="AI154" s="210"/>
      <c r="AJ154" s="210"/>
      <c r="AK154" s="210"/>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2"/>
      <c r="BL154" s="92"/>
      <c r="BM154" s="92"/>
      <c r="BN154" s="92"/>
      <c r="BO154" s="92"/>
      <c r="BP154" s="92"/>
      <c r="BQ154" s="92"/>
      <c r="BR154" s="92"/>
      <c r="BS154" s="92"/>
      <c r="BT154" s="92"/>
      <c r="BU154" s="92"/>
      <c r="BV154" s="92"/>
      <c r="BW154" s="92"/>
      <c r="BX154" s="92"/>
      <c r="BY154" s="92"/>
      <c r="BZ154" s="92"/>
      <c r="CA154" s="92"/>
      <c r="CB154" s="92"/>
      <c r="CC154" s="92"/>
      <c r="CD154" s="92"/>
      <c r="CE154" s="92"/>
      <c r="CF154" s="92"/>
      <c r="CG154" s="92"/>
      <c r="CH154" s="92"/>
      <c r="CI154" s="92"/>
      <c r="CJ154" s="92"/>
      <c r="CK154" s="92"/>
      <c r="CL154" s="92"/>
      <c r="CM154" s="92"/>
      <c r="CN154" s="92"/>
      <c r="CO154" s="92"/>
      <c r="CP154" s="92"/>
      <c r="CQ154" s="92"/>
      <c r="CR154" s="92"/>
      <c r="CS154" s="92"/>
      <c r="CT154" s="92"/>
      <c r="CU154" s="92"/>
      <c r="CV154" s="92"/>
    </row>
    <row r="155" spans="1:100">
      <c r="A155" s="172">
        <v>13</v>
      </c>
      <c r="B155" s="173">
        <f ca="1">+RESUMEN!Y16</f>
        <v>0</v>
      </c>
      <c r="C155" s="173">
        <f ca="1">+RESUMEN!Z16</f>
        <v>0</v>
      </c>
      <c r="D155" s="174">
        <f t="shared" ca="1" si="236"/>
        <v>0</v>
      </c>
      <c r="E155" s="91"/>
      <c r="F155" s="384" t="s">
        <v>176</v>
      </c>
      <c r="G155" s="387">
        <f t="shared" ref="G155:H155" si="250">+DQ51</f>
        <v>1609.21</v>
      </c>
      <c r="H155" s="387">
        <f t="shared" si="250"/>
        <v>1884.78</v>
      </c>
      <c r="I155" s="91"/>
      <c r="J155" s="200" t="s">
        <v>176</v>
      </c>
      <c r="K155" s="216">
        <v>64.92</v>
      </c>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210"/>
      <c r="AI155" s="210"/>
      <c r="AJ155" s="210"/>
      <c r="AK155" s="210"/>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2"/>
      <c r="BL155" s="92"/>
      <c r="BM155" s="92"/>
      <c r="BN155" s="92"/>
      <c r="BO155" s="92"/>
      <c r="BP155" s="92"/>
      <c r="BQ155" s="92"/>
      <c r="BR155" s="92"/>
      <c r="BS155" s="92"/>
      <c r="BT155" s="92"/>
      <c r="BU155" s="92"/>
      <c r="BV155" s="92"/>
      <c r="BW155" s="92"/>
      <c r="BX155" s="92"/>
      <c r="BY155" s="92"/>
      <c r="BZ155" s="92"/>
      <c r="CA155" s="92"/>
      <c r="CB155" s="92"/>
      <c r="CC155" s="92"/>
      <c r="CD155" s="92"/>
      <c r="CE155" s="92"/>
      <c r="CF155" s="92"/>
      <c r="CG155" s="92"/>
      <c r="CH155" s="92"/>
      <c r="CI155" s="92"/>
      <c r="CJ155" s="92"/>
      <c r="CK155" s="92"/>
      <c r="CL155" s="92"/>
      <c r="CM155" s="92"/>
      <c r="CN155" s="92"/>
      <c r="CO155" s="92"/>
      <c r="CP155" s="92"/>
      <c r="CQ155" s="92"/>
      <c r="CR155" s="92"/>
      <c r="CS155" s="92"/>
      <c r="CT155" s="92"/>
      <c r="CU155" s="92"/>
      <c r="CV155" s="92"/>
    </row>
    <row r="156" spans="1:100">
      <c r="A156" s="172">
        <v>14</v>
      </c>
      <c r="B156" s="173">
        <f ca="1">+RESUMEN!Y17</f>
        <v>0</v>
      </c>
      <c r="C156" s="173">
        <f ca="1">+RESUMEN!Z17</f>
        <v>0</v>
      </c>
      <c r="D156" s="174">
        <f t="shared" ca="1" si="236"/>
        <v>0</v>
      </c>
      <c r="E156" s="91"/>
      <c r="F156" s="384" t="s">
        <v>177</v>
      </c>
      <c r="G156" s="387">
        <f t="shared" ref="G156:H156" si="251">+DQ52</f>
        <v>1695.86</v>
      </c>
      <c r="H156" s="387">
        <f t="shared" si="251"/>
        <v>2005.91</v>
      </c>
      <c r="I156" s="91"/>
      <c r="J156" s="200" t="s">
        <v>177</v>
      </c>
      <c r="K156" s="216">
        <v>69.2</v>
      </c>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210"/>
      <c r="AI156" s="210"/>
      <c r="AJ156" s="210"/>
      <c r="AK156" s="210"/>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2"/>
      <c r="BL156" s="92"/>
      <c r="BM156" s="92"/>
      <c r="BN156" s="92"/>
      <c r="BO156" s="92"/>
      <c r="BP156" s="92"/>
      <c r="BQ156" s="92"/>
      <c r="BR156" s="92"/>
      <c r="BS156" s="92"/>
      <c r="BT156" s="92"/>
      <c r="BU156" s="92"/>
      <c r="BV156" s="92"/>
      <c r="BW156" s="92"/>
      <c r="BX156" s="92"/>
      <c r="BY156" s="92"/>
      <c r="BZ156" s="92"/>
      <c r="CA156" s="92"/>
      <c r="CB156" s="92"/>
      <c r="CC156" s="92"/>
      <c r="CD156" s="92"/>
      <c r="CE156" s="92"/>
      <c r="CF156" s="92"/>
      <c r="CG156" s="92"/>
      <c r="CH156" s="92"/>
      <c r="CI156" s="92"/>
      <c r="CJ156" s="92"/>
      <c r="CK156" s="92"/>
      <c r="CL156" s="92"/>
      <c r="CM156" s="92"/>
      <c r="CN156" s="92"/>
      <c r="CO156" s="92"/>
      <c r="CP156" s="92"/>
      <c r="CQ156" s="92"/>
      <c r="CR156" s="92"/>
      <c r="CS156" s="92"/>
      <c r="CT156" s="92"/>
      <c r="CU156" s="92"/>
      <c r="CV156" s="92"/>
    </row>
    <row r="157" spans="1:100">
      <c r="A157" s="172">
        <v>15</v>
      </c>
      <c r="B157" s="173">
        <f ca="1">+RESUMEN!Y18</f>
        <v>0</v>
      </c>
      <c r="C157" s="173">
        <f ca="1">+RESUMEN!Z18</f>
        <v>0</v>
      </c>
      <c r="D157" s="174">
        <f t="shared" ca="1" si="236"/>
        <v>0</v>
      </c>
      <c r="E157" s="91"/>
      <c r="F157" s="384" t="s">
        <v>178</v>
      </c>
      <c r="G157" s="387">
        <f>ROUND(DQ53*$G$21,2)</f>
        <v>1663.49</v>
      </c>
      <c r="H157" s="387">
        <f>ROUND(DR53*$G$21,2)</f>
        <v>2009.21</v>
      </c>
      <c r="I157" s="91"/>
      <c r="J157" s="200" t="s">
        <v>178</v>
      </c>
      <c r="K157" s="216">
        <v>69.739999999999995</v>
      </c>
      <c r="L157" s="240"/>
      <c r="M157" s="92"/>
      <c r="N157" s="92"/>
      <c r="O157" s="92"/>
      <c r="P157" s="92"/>
      <c r="Q157" s="92"/>
      <c r="R157" s="92"/>
      <c r="S157" s="92"/>
      <c r="T157" s="92"/>
      <c r="U157" s="92"/>
      <c r="V157" s="92"/>
      <c r="W157" s="92"/>
      <c r="X157" s="92"/>
      <c r="Y157" s="92"/>
      <c r="Z157" s="92"/>
      <c r="AA157" s="92"/>
      <c r="AB157" s="92"/>
      <c r="AC157" s="92"/>
      <c r="AD157" s="92"/>
      <c r="AE157" s="92"/>
      <c r="AF157" s="92"/>
      <c r="AG157" s="92"/>
      <c r="AH157" s="210"/>
      <c r="AI157" s="210"/>
      <c r="AJ157" s="210"/>
      <c r="AK157" s="210"/>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2"/>
      <c r="BL157" s="92"/>
      <c r="BM157" s="92"/>
      <c r="BN157" s="92"/>
      <c r="BO157" s="92"/>
      <c r="BP157" s="92"/>
      <c r="BQ157" s="92"/>
      <c r="BR157" s="92"/>
      <c r="BS157" s="92"/>
      <c r="BT157" s="92"/>
      <c r="BU157" s="92"/>
      <c r="BV157" s="92"/>
      <c r="BW157" s="92"/>
      <c r="BX157" s="92"/>
      <c r="BY157" s="92"/>
      <c r="BZ157" s="92"/>
      <c r="CA157" s="92"/>
      <c r="CB157" s="92"/>
      <c r="CC157" s="92"/>
      <c r="CD157" s="92"/>
      <c r="CE157" s="92"/>
      <c r="CF157" s="92"/>
      <c r="CG157" s="92"/>
      <c r="CH157" s="92"/>
      <c r="CI157" s="92"/>
      <c r="CJ157" s="92"/>
      <c r="CK157" s="92"/>
      <c r="CL157" s="92"/>
      <c r="CM157" s="92"/>
      <c r="CN157" s="92"/>
      <c r="CO157" s="92"/>
      <c r="CP157" s="92"/>
      <c r="CQ157" s="92"/>
      <c r="CR157" s="92"/>
      <c r="CS157" s="92"/>
      <c r="CT157" s="92"/>
      <c r="CU157" s="92"/>
      <c r="CV157" s="92"/>
    </row>
    <row r="158" spans="1:100">
      <c r="A158" s="172">
        <v>16</v>
      </c>
      <c r="B158" s="173">
        <f ca="1">+RESUMEN!Y19</f>
        <v>0</v>
      </c>
      <c r="C158" s="173">
        <f ca="1">+RESUMEN!Z19</f>
        <v>0</v>
      </c>
      <c r="D158" s="174">
        <f t="shared" ca="1" si="236"/>
        <v>0</v>
      </c>
      <c r="E158" s="91"/>
      <c r="F158" s="384" t="s">
        <v>179</v>
      </c>
      <c r="G158" s="387">
        <f t="shared" ref="G158:H158" si="252">ROUND(DQ54*$G$21,2)</f>
        <v>1714.52</v>
      </c>
      <c r="H158" s="387">
        <f t="shared" si="252"/>
        <v>2111.16</v>
      </c>
      <c r="I158" s="91"/>
      <c r="J158" s="200" t="s">
        <v>179</v>
      </c>
      <c r="K158" s="216">
        <v>74.599999999999994</v>
      </c>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210"/>
      <c r="AI158" s="210"/>
      <c r="AJ158" s="210"/>
      <c r="AK158" s="210"/>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2"/>
      <c r="BL158" s="92"/>
      <c r="BM158" s="92"/>
      <c r="BN158" s="92"/>
      <c r="BO158" s="92"/>
      <c r="BP158" s="92"/>
      <c r="BQ158" s="92"/>
      <c r="BR158" s="92"/>
      <c r="BS158" s="92"/>
      <c r="BT158" s="92"/>
      <c r="BU158" s="92"/>
      <c r="BV158" s="92"/>
      <c r="BW158" s="92"/>
      <c r="BX158" s="92"/>
      <c r="BY158" s="92"/>
      <c r="BZ158" s="92"/>
      <c r="CA158" s="92"/>
      <c r="CB158" s="92"/>
      <c r="CC158" s="92"/>
      <c r="CD158" s="92"/>
      <c r="CE158" s="92"/>
      <c r="CF158" s="92"/>
      <c r="CG158" s="92"/>
      <c r="CH158" s="92"/>
      <c r="CI158" s="92"/>
      <c r="CJ158" s="92"/>
      <c r="CK158" s="92"/>
      <c r="CL158" s="92"/>
      <c r="CM158" s="92"/>
      <c r="CN158" s="92"/>
      <c r="CO158" s="92"/>
      <c r="CP158" s="92"/>
      <c r="CQ158" s="92"/>
      <c r="CR158" s="92"/>
      <c r="CS158" s="92"/>
      <c r="CT158" s="92"/>
      <c r="CU158" s="92"/>
      <c r="CV158" s="92"/>
    </row>
    <row r="159" spans="1:100">
      <c r="A159" s="172">
        <v>17</v>
      </c>
      <c r="B159" s="173">
        <f ca="1">+RESUMEN!Y20</f>
        <v>0</v>
      </c>
      <c r="C159" s="173">
        <f ca="1">+RESUMEN!Z20</f>
        <v>0</v>
      </c>
      <c r="D159" s="174">
        <f t="shared" ca="1" si="236"/>
        <v>0</v>
      </c>
      <c r="E159" s="91"/>
      <c r="F159" s="384" t="s">
        <v>180</v>
      </c>
      <c r="G159" s="387">
        <f t="shared" ref="G159:H159" si="253">ROUND(DQ55*$G$21,2)</f>
        <v>1765.56</v>
      </c>
      <c r="H159" s="387">
        <f t="shared" si="253"/>
        <v>2213.1</v>
      </c>
      <c r="I159" s="91"/>
      <c r="J159" s="200" t="s">
        <v>180</v>
      </c>
      <c r="K159" s="216">
        <v>79.959999999999994</v>
      </c>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210"/>
      <c r="AI159" s="210"/>
      <c r="AJ159" s="210"/>
      <c r="AK159" s="210"/>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2"/>
      <c r="BL159" s="92"/>
      <c r="BM159" s="92"/>
      <c r="BN159" s="92"/>
      <c r="BO159" s="92"/>
      <c r="BP159" s="92"/>
      <c r="BQ159" s="92"/>
      <c r="BR159" s="92"/>
      <c r="BS159" s="92"/>
      <c r="BT159" s="92"/>
      <c r="BU159" s="92"/>
      <c r="BV159" s="92"/>
      <c r="BW159" s="92"/>
      <c r="BX159" s="92"/>
      <c r="BY159" s="92"/>
      <c r="BZ159" s="92"/>
      <c r="CA159" s="92"/>
      <c r="CB159" s="92"/>
      <c r="CC159" s="92"/>
      <c r="CD159" s="92"/>
      <c r="CE159" s="92"/>
      <c r="CF159" s="92"/>
      <c r="CG159" s="92"/>
      <c r="CH159" s="92"/>
      <c r="CI159" s="92"/>
      <c r="CJ159" s="92"/>
      <c r="CK159" s="92"/>
      <c r="CL159" s="92"/>
      <c r="CM159" s="92"/>
      <c r="CN159" s="92"/>
      <c r="CO159" s="92"/>
      <c r="CP159" s="92"/>
      <c r="CQ159" s="92"/>
      <c r="CR159" s="92"/>
      <c r="CS159" s="92"/>
      <c r="CT159" s="92"/>
      <c r="CU159" s="92"/>
      <c r="CV159" s="92"/>
    </row>
    <row r="160" spans="1:100">
      <c r="A160" s="172">
        <v>18</v>
      </c>
      <c r="B160" s="173">
        <f ca="1">+RESUMEN!Y21</f>
        <v>0</v>
      </c>
      <c r="C160" s="173">
        <f ca="1">+RESUMEN!Z21</f>
        <v>0</v>
      </c>
      <c r="D160" s="174">
        <f t="shared" ca="1" si="236"/>
        <v>0</v>
      </c>
      <c r="E160" s="91"/>
      <c r="F160" s="384" t="s">
        <v>181</v>
      </c>
      <c r="G160" s="387">
        <f t="shared" ref="G160:H160" si="254">ROUND(DQ56*$G$21,2)</f>
        <v>1816.59</v>
      </c>
      <c r="H160" s="387">
        <f t="shared" si="254"/>
        <v>2315.0500000000002</v>
      </c>
      <c r="I160" s="91"/>
      <c r="J160" s="200" t="s">
        <v>181</v>
      </c>
      <c r="K160" s="216">
        <v>85.81</v>
      </c>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210"/>
      <c r="AI160" s="210"/>
      <c r="AJ160" s="210"/>
      <c r="AK160" s="210"/>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2"/>
      <c r="BL160" s="92"/>
      <c r="BM160" s="92"/>
      <c r="BN160" s="92"/>
      <c r="BO160" s="92"/>
      <c r="BP160" s="92"/>
      <c r="BQ160" s="92"/>
      <c r="BR160" s="92"/>
      <c r="BS160" s="92"/>
      <c r="BT160" s="92"/>
      <c r="BU160" s="92"/>
      <c r="BV160" s="92"/>
      <c r="BW160" s="92"/>
      <c r="BX160" s="92"/>
      <c r="BY160" s="92"/>
      <c r="BZ160" s="92"/>
      <c r="CA160" s="92"/>
      <c r="CB160" s="92"/>
      <c r="CC160" s="92"/>
      <c r="CD160" s="92"/>
      <c r="CE160" s="92"/>
      <c r="CF160" s="92"/>
      <c r="CG160" s="92"/>
      <c r="CH160" s="92"/>
      <c r="CI160" s="92"/>
      <c r="CJ160" s="92"/>
      <c r="CK160" s="92"/>
      <c r="CL160" s="92"/>
      <c r="CM160" s="92"/>
      <c r="CN160" s="92"/>
      <c r="CO160" s="92"/>
      <c r="CP160" s="92"/>
      <c r="CQ160" s="92"/>
      <c r="CR160" s="92"/>
      <c r="CS160" s="92"/>
      <c r="CT160" s="92"/>
      <c r="CU160" s="92"/>
      <c r="CV160" s="92"/>
    </row>
    <row r="161" spans="1:100">
      <c r="A161" s="172">
        <v>19</v>
      </c>
      <c r="B161" s="173">
        <f ca="1">+RESUMEN!Y22</f>
        <v>0</v>
      </c>
      <c r="C161" s="173">
        <f ca="1">+RESUMEN!Z22</f>
        <v>0</v>
      </c>
      <c r="D161" s="174">
        <f t="shared" ca="1" si="236"/>
        <v>0</v>
      </c>
      <c r="E161" s="91"/>
      <c r="F161" s="384" t="s">
        <v>182</v>
      </c>
      <c r="G161" s="387">
        <f t="shared" ref="G161:H161" si="255">ROUND(DQ57*$G$21,2)</f>
        <v>1867.62</v>
      </c>
      <c r="H161" s="387">
        <f t="shared" si="255"/>
        <v>2417</v>
      </c>
      <c r="I161" s="91"/>
      <c r="J161" s="200" t="s">
        <v>182</v>
      </c>
      <c r="K161" s="216">
        <v>92.3</v>
      </c>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2"/>
      <c r="BL161" s="92"/>
      <c r="BM161" s="92"/>
      <c r="BN161" s="92"/>
      <c r="BO161" s="92"/>
      <c r="BP161" s="92"/>
      <c r="BQ161" s="92"/>
      <c r="BR161" s="92"/>
      <c r="BS161" s="92"/>
      <c r="BT161" s="92"/>
      <c r="BU161" s="92"/>
      <c r="BV161" s="92"/>
      <c r="BW161" s="92"/>
      <c r="BX161" s="92"/>
      <c r="BY161" s="92"/>
      <c r="BZ161" s="92"/>
      <c r="CA161" s="92"/>
      <c r="CB161" s="92"/>
      <c r="CC161" s="92"/>
      <c r="CD161" s="92"/>
      <c r="CE161" s="92"/>
      <c r="CF161" s="92"/>
      <c r="CG161" s="92"/>
      <c r="CH161" s="92"/>
      <c r="CI161" s="92"/>
      <c r="CJ161" s="92"/>
      <c r="CK161" s="92"/>
      <c r="CL161" s="92"/>
      <c r="CM161" s="92"/>
      <c r="CN161" s="92"/>
      <c r="CO161" s="92"/>
      <c r="CP161" s="92"/>
      <c r="CQ161" s="92"/>
      <c r="CR161" s="92"/>
      <c r="CS161" s="92"/>
      <c r="CT161" s="92"/>
      <c r="CU161" s="92"/>
      <c r="CV161" s="92"/>
    </row>
    <row r="162" spans="1:100">
      <c r="A162" s="178">
        <v>20</v>
      </c>
      <c r="B162" s="173">
        <f ca="1">+RESUMEN!Y23</f>
        <v>0</v>
      </c>
      <c r="C162" s="173">
        <f ca="1">+RESUMEN!Z23</f>
        <v>0</v>
      </c>
      <c r="D162" s="174">
        <f t="shared" ca="1" si="236"/>
        <v>0</v>
      </c>
      <c r="E162" s="91"/>
      <c r="F162" s="384" t="s">
        <v>183</v>
      </c>
      <c r="G162" s="387">
        <f t="shared" ref="G162:H162" si="256">ROUND(DQ58*$G$21,2)</f>
        <v>1998.95</v>
      </c>
      <c r="H162" s="387">
        <f t="shared" si="256"/>
        <v>2632.45</v>
      </c>
      <c r="I162" s="91"/>
      <c r="J162" s="200" t="s">
        <v>183</v>
      </c>
      <c r="K162" s="216">
        <v>99.43</v>
      </c>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2"/>
      <c r="BL162" s="92"/>
      <c r="BM162" s="92"/>
      <c r="BN162" s="92"/>
      <c r="BO162" s="92"/>
      <c r="BP162" s="92"/>
      <c r="BQ162" s="92"/>
      <c r="BR162" s="92"/>
      <c r="BS162" s="92"/>
      <c r="BT162" s="92"/>
      <c r="BU162" s="92"/>
      <c r="BV162" s="92"/>
      <c r="BW162" s="92"/>
      <c r="BX162" s="92"/>
      <c r="BY162" s="92"/>
      <c r="BZ162" s="92"/>
      <c r="CA162" s="92"/>
      <c r="CB162" s="92"/>
      <c r="CC162" s="92"/>
      <c r="CD162" s="92"/>
      <c r="CE162" s="92"/>
      <c r="CF162" s="92"/>
      <c r="CG162" s="92"/>
      <c r="CH162" s="92"/>
      <c r="CI162" s="92"/>
      <c r="CJ162" s="92"/>
      <c r="CK162" s="92"/>
      <c r="CL162" s="92"/>
      <c r="CM162" s="92"/>
      <c r="CN162" s="92"/>
      <c r="CO162" s="92"/>
      <c r="CP162" s="92"/>
      <c r="CQ162" s="92"/>
      <c r="CR162" s="92"/>
      <c r="CS162" s="92"/>
      <c r="CT162" s="92"/>
      <c r="CU162" s="92"/>
      <c r="CV162" s="92"/>
    </row>
    <row r="163" spans="1:100">
      <c r="A163" s="178">
        <v>21</v>
      </c>
      <c r="B163" s="173">
        <f ca="1">+RESUMEN!Y24</f>
        <v>0</v>
      </c>
      <c r="C163" s="173">
        <f ca="1">+RESUMEN!Z24</f>
        <v>0</v>
      </c>
      <c r="D163" s="174">
        <f t="shared" ca="1" si="236"/>
        <v>0</v>
      </c>
      <c r="E163" s="91"/>
      <c r="F163" s="384" t="s">
        <v>184</v>
      </c>
      <c r="G163" s="387">
        <f t="shared" ref="G163:H163" si="257">ROUND(DQ59*$G$21,2)</f>
        <v>2130.29</v>
      </c>
      <c r="H163" s="387">
        <f t="shared" si="257"/>
        <v>2847.9</v>
      </c>
      <c r="I163" s="91"/>
      <c r="J163" s="200" t="s">
        <v>184</v>
      </c>
      <c r="K163" s="216">
        <v>107.32</v>
      </c>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2"/>
      <c r="BL163" s="92"/>
      <c r="BM163" s="92"/>
      <c r="BN163" s="92"/>
      <c r="BO163" s="92"/>
      <c r="BP163" s="92"/>
      <c r="BQ163" s="92"/>
      <c r="BR163" s="92"/>
      <c r="BS163" s="92"/>
      <c r="BT163" s="92"/>
      <c r="BU163" s="92"/>
      <c r="BV163" s="92"/>
      <c r="BW163" s="92"/>
      <c r="BX163" s="92"/>
      <c r="BY163" s="92"/>
      <c r="BZ163" s="92"/>
      <c r="CA163" s="92"/>
      <c r="CB163" s="92"/>
      <c r="CC163" s="92"/>
      <c r="CD163" s="92"/>
      <c r="CE163" s="92"/>
      <c r="CF163" s="92"/>
      <c r="CG163" s="92"/>
      <c r="CH163" s="92"/>
      <c r="CI163" s="92"/>
      <c r="CJ163" s="92"/>
      <c r="CK163" s="92"/>
      <c r="CL163" s="92"/>
      <c r="CM163" s="92"/>
      <c r="CN163" s="92"/>
      <c r="CO163" s="92"/>
      <c r="CP163" s="92"/>
      <c r="CQ163" s="92"/>
      <c r="CR163" s="92"/>
      <c r="CS163" s="92"/>
      <c r="CT163" s="92"/>
      <c r="CU163" s="92"/>
      <c r="CV163" s="92"/>
    </row>
    <row r="164" spans="1:100">
      <c r="A164" s="178">
        <v>22</v>
      </c>
      <c r="B164" s="173">
        <f ca="1">+RESUMEN!Y25</f>
        <v>0</v>
      </c>
      <c r="C164" s="173">
        <f ca="1">+RESUMEN!Z25</f>
        <v>0</v>
      </c>
      <c r="D164" s="174">
        <f t="shared" ca="1" si="236"/>
        <v>0</v>
      </c>
      <c r="E164" s="91"/>
      <c r="F164" s="384" t="s">
        <v>185</v>
      </c>
      <c r="G164" s="387">
        <f t="shared" ref="G164:H164" si="258">ROUND(DQ60*$G$21,2)</f>
        <v>2261.62</v>
      </c>
      <c r="H164" s="387">
        <f t="shared" si="258"/>
        <v>3063.35</v>
      </c>
      <c r="I164" s="91"/>
      <c r="J164" s="200" t="s">
        <v>185</v>
      </c>
      <c r="K164" s="216">
        <v>116</v>
      </c>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2"/>
      <c r="BL164" s="92"/>
      <c r="BM164" s="92"/>
      <c r="BN164" s="92"/>
      <c r="BO164" s="92"/>
      <c r="BP164" s="92"/>
      <c r="BQ164" s="92"/>
      <c r="BR164" s="92"/>
      <c r="BS164" s="92"/>
      <c r="BT164" s="92"/>
      <c r="BU164" s="92"/>
      <c r="BV164" s="92"/>
      <c r="BW164" s="92"/>
      <c r="BX164" s="92"/>
      <c r="BY164" s="92"/>
      <c r="BZ164" s="92"/>
      <c r="CA164" s="92"/>
      <c r="CB164" s="92"/>
      <c r="CC164" s="92"/>
      <c r="CD164" s="92"/>
      <c r="CE164" s="92"/>
      <c r="CF164" s="92"/>
      <c r="CG164" s="92"/>
      <c r="CH164" s="92"/>
      <c r="CI164" s="92"/>
      <c r="CJ164" s="92"/>
      <c r="CK164" s="92"/>
      <c r="CL164" s="92"/>
      <c r="CM164" s="92"/>
      <c r="CN164" s="92"/>
      <c r="CO164" s="92"/>
      <c r="CP164" s="92"/>
      <c r="CQ164" s="92"/>
      <c r="CR164" s="92"/>
      <c r="CS164" s="92"/>
      <c r="CT164" s="92"/>
      <c r="CU164" s="92"/>
      <c r="CV164" s="92"/>
    </row>
    <row r="165" spans="1:100">
      <c r="A165" s="178">
        <v>23</v>
      </c>
      <c r="B165" s="173">
        <f ca="1">+RESUMEN!Y26</f>
        <v>0</v>
      </c>
      <c r="C165" s="173">
        <f ca="1">+RESUMEN!Z26</f>
        <v>0</v>
      </c>
      <c r="D165" s="174">
        <f t="shared" ca="1" si="236"/>
        <v>0</v>
      </c>
      <c r="E165" s="91"/>
      <c r="F165" s="384" t="s">
        <v>186</v>
      </c>
      <c r="G165" s="387">
        <f t="shared" ref="G165:H165" si="259">ROUND(DQ61*$G$21,2)</f>
        <v>2392.96</v>
      </c>
      <c r="H165" s="387">
        <f t="shared" si="259"/>
        <v>3278.81</v>
      </c>
      <c r="I165" s="91"/>
      <c r="J165" s="200" t="s">
        <v>186</v>
      </c>
      <c r="K165" s="216">
        <v>125.62</v>
      </c>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2"/>
      <c r="BL165" s="92"/>
      <c r="BM165" s="92"/>
      <c r="BN165" s="92"/>
      <c r="BO165" s="92"/>
      <c r="BP165" s="92"/>
      <c r="BQ165" s="92"/>
      <c r="BR165" s="92"/>
      <c r="BS165" s="92"/>
      <c r="BT165" s="92"/>
      <c r="BU165" s="92"/>
      <c r="BV165" s="92"/>
      <c r="BW165" s="92"/>
      <c r="BX165" s="92"/>
      <c r="BY165" s="92"/>
      <c r="BZ165" s="92"/>
      <c r="CA165" s="92"/>
      <c r="CB165" s="92"/>
      <c r="CC165" s="92"/>
      <c r="CD165" s="92"/>
      <c r="CE165" s="92"/>
      <c r="CF165" s="92"/>
      <c r="CG165" s="92"/>
      <c r="CH165" s="92"/>
      <c r="CI165" s="92"/>
      <c r="CJ165" s="92"/>
      <c r="CK165" s="92"/>
      <c r="CL165" s="92"/>
      <c r="CM165" s="92"/>
      <c r="CN165" s="92"/>
      <c r="CO165" s="92"/>
      <c r="CP165" s="92"/>
      <c r="CQ165" s="92"/>
      <c r="CR165" s="92"/>
      <c r="CS165" s="92"/>
      <c r="CT165" s="92"/>
      <c r="CU165" s="92"/>
      <c r="CV165" s="92"/>
    </row>
    <row r="166" spans="1:100">
      <c r="A166" s="178">
        <v>24</v>
      </c>
      <c r="B166" s="173">
        <f ca="1">+RESUMEN!Y27</f>
        <v>0</v>
      </c>
      <c r="C166" s="173">
        <f ca="1">+RESUMEN!Z27</f>
        <v>0</v>
      </c>
      <c r="D166" s="174">
        <f t="shared" ca="1" si="236"/>
        <v>0</v>
      </c>
      <c r="E166" s="91"/>
      <c r="F166" s="384" t="s">
        <v>187</v>
      </c>
      <c r="G166" s="387">
        <f t="shared" ref="G166:H166" si="260">ROUND(DQ62*$G$21,2)</f>
        <v>2524.29</v>
      </c>
      <c r="H166" s="387">
        <f t="shared" si="260"/>
        <v>3494.26</v>
      </c>
      <c r="I166" s="91"/>
      <c r="J166" s="200" t="s">
        <v>187</v>
      </c>
      <c r="K166" s="216">
        <v>136.30000000000001</v>
      </c>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2"/>
      <c r="BL166" s="92"/>
      <c r="BM166" s="92"/>
      <c r="BN166" s="92"/>
      <c r="BO166" s="92"/>
      <c r="BP166" s="92"/>
      <c r="BQ166" s="92"/>
      <c r="BR166" s="92"/>
      <c r="BS166" s="92"/>
      <c r="BT166" s="92"/>
      <c r="BU166" s="92"/>
      <c r="BV166" s="92"/>
      <c r="BW166" s="92"/>
      <c r="BX166" s="92"/>
      <c r="BY166" s="92"/>
      <c r="BZ166" s="92"/>
      <c r="CA166" s="92"/>
      <c r="CB166" s="92"/>
      <c r="CC166" s="92"/>
      <c r="CD166" s="92"/>
      <c r="CE166" s="92"/>
      <c r="CF166" s="92"/>
      <c r="CG166" s="92"/>
      <c r="CH166" s="92"/>
      <c r="CI166" s="92"/>
      <c r="CJ166" s="92"/>
      <c r="CK166" s="92"/>
      <c r="CL166" s="92"/>
      <c r="CM166" s="92"/>
      <c r="CN166" s="92"/>
      <c r="CO166" s="92"/>
      <c r="CP166" s="92"/>
      <c r="CQ166" s="92"/>
      <c r="CR166" s="92"/>
      <c r="CS166" s="92"/>
      <c r="CT166" s="92"/>
      <c r="CU166" s="92"/>
      <c r="CV166" s="92"/>
    </row>
    <row r="167" spans="1:100">
      <c r="A167" s="178">
        <v>25</v>
      </c>
      <c r="B167" s="173">
        <f ca="1">+RESUMEN!Y28</f>
        <v>0</v>
      </c>
      <c r="C167" s="173">
        <f ca="1">+RESUMEN!Z28</f>
        <v>0</v>
      </c>
      <c r="D167" s="174">
        <f t="shared" ca="1" si="236"/>
        <v>0</v>
      </c>
      <c r="E167" s="91"/>
      <c r="F167" s="384" t="s">
        <v>188</v>
      </c>
      <c r="G167" s="387">
        <f>ROUND(DQ63*$G$22,2)</f>
        <v>2566.91</v>
      </c>
      <c r="H167" s="387">
        <f>ROUND(DR63*$G$22,2)</f>
        <v>3554.94</v>
      </c>
      <c r="I167" s="91"/>
      <c r="J167" s="200" t="s">
        <v>188</v>
      </c>
      <c r="K167" s="216">
        <v>140.21</v>
      </c>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2"/>
      <c r="BL167" s="92"/>
      <c r="BM167" s="92"/>
      <c r="BN167" s="92"/>
      <c r="BO167" s="92"/>
      <c r="BP167" s="92"/>
      <c r="BQ167" s="92"/>
      <c r="BR167" s="92"/>
      <c r="BS167" s="92"/>
      <c r="BT167" s="92"/>
      <c r="BU167" s="92"/>
      <c r="BV167" s="92"/>
      <c r="BW167" s="92"/>
      <c r="BX167" s="92"/>
      <c r="BY167" s="92"/>
      <c r="BZ167" s="92"/>
      <c r="CA167" s="92"/>
      <c r="CB167" s="92"/>
      <c r="CC167" s="92"/>
      <c r="CD167" s="92"/>
      <c r="CE167" s="92"/>
      <c r="CF167" s="92"/>
      <c r="CG167" s="92"/>
      <c r="CH167" s="92"/>
      <c r="CI167" s="92"/>
      <c r="CJ167" s="92"/>
      <c r="CK167" s="92"/>
      <c r="CL167" s="92"/>
      <c r="CM167" s="92"/>
      <c r="CN167" s="92"/>
      <c r="CO167" s="92"/>
      <c r="CP167" s="92"/>
      <c r="CQ167" s="92"/>
      <c r="CR167" s="92"/>
      <c r="CS167" s="92"/>
      <c r="CT167" s="92"/>
      <c r="CU167" s="92"/>
      <c r="CV167" s="92"/>
    </row>
    <row r="168" spans="1:100">
      <c r="A168" s="178">
        <v>26</v>
      </c>
      <c r="B168" s="173">
        <f ca="1">+RESUMEN!Y29</f>
        <v>0</v>
      </c>
      <c r="C168" s="173">
        <f ca="1">+RESUMEN!Z29</f>
        <v>0</v>
      </c>
      <c r="D168" s="174">
        <f t="shared" ca="1" si="236"/>
        <v>0</v>
      </c>
      <c r="E168" s="91"/>
      <c r="F168" s="384" t="s">
        <v>189</v>
      </c>
      <c r="G168" s="387">
        <f t="shared" ref="G168:H168" si="261">ROUND(DQ64*$G$22,2)</f>
        <v>2727.85</v>
      </c>
      <c r="H168" s="387">
        <f t="shared" si="261"/>
        <v>3779.41</v>
      </c>
      <c r="I168" s="91"/>
      <c r="J168" s="200" t="s">
        <v>189</v>
      </c>
      <c r="K168" s="216">
        <v>152.68</v>
      </c>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2"/>
      <c r="BL168" s="92"/>
      <c r="BM168" s="92"/>
      <c r="BN168" s="92"/>
      <c r="BO168" s="92"/>
      <c r="BP168" s="92"/>
      <c r="BQ168" s="92"/>
      <c r="BR168" s="92"/>
      <c r="BS168" s="92"/>
      <c r="BT168" s="92"/>
      <c r="BU168" s="92"/>
      <c r="BV168" s="92"/>
      <c r="BW168" s="92"/>
      <c r="BX168" s="92"/>
      <c r="BY168" s="92"/>
      <c r="BZ168" s="92"/>
      <c r="CA168" s="92"/>
      <c r="CB168" s="92"/>
      <c r="CC168" s="92"/>
      <c r="CD168" s="92"/>
      <c r="CE168" s="92"/>
      <c r="CF168" s="92"/>
      <c r="CG168" s="92"/>
      <c r="CH168" s="92"/>
      <c r="CI168" s="92"/>
      <c r="CJ168" s="92"/>
      <c r="CK168" s="92"/>
      <c r="CL168" s="92"/>
      <c r="CM168" s="92"/>
      <c r="CN168" s="92"/>
      <c r="CO168" s="92"/>
      <c r="CP168" s="92"/>
      <c r="CQ168" s="92"/>
      <c r="CR168" s="92"/>
      <c r="CS168" s="92"/>
      <c r="CT168" s="92"/>
      <c r="CU168" s="92"/>
      <c r="CV168" s="92"/>
    </row>
    <row r="169" spans="1:100">
      <c r="A169" s="178">
        <v>27</v>
      </c>
      <c r="B169" s="173">
        <f ca="1">+RESUMEN!Y30</f>
        <v>0</v>
      </c>
      <c r="C169" s="173">
        <f ca="1">+RESUMEN!Z30</f>
        <v>0</v>
      </c>
      <c r="D169" s="174">
        <f t="shared" ca="1" si="236"/>
        <v>0</v>
      </c>
      <c r="E169" s="91"/>
      <c r="F169" s="384" t="s">
        <v>190</v>
      </c>
      <c r="G169" s="387">
        <f t="shared" ref="G169:H169" si="262">ROUND(DQ65*$G$22,2)</f>
        <v>2888.79</v>
      </c>
      <c r="H169" s="387">
        <f t="shared" si="262"/>
        <v>4003.88</v>
      </c>
      <c r="I169" s="91"/>
      <c r="J169" s="200" t="s">
        <v>190</v>
      </c>
      <c r="K169" s="216">
        <v>166.57</v>
      </c>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2"/>
      <c r="BL169" s="92"/>
      <c r="BM169" s="92"/>
      <c r="BN169" s="92"/>
      <c r="BO169" s="92"/>
      <c r="BP169" s="92"/>
      <c r="BQ169" s="92"/>
      <c r="BR169" s="92"/>
      <c r="BS169" s="92"/>
      <c r="BT169" s="92"/>
      <c r="BU169" s="92"/>
      <c r="BV169" s="92"/>
      <c r="BW169" s="92"/>
      <c r="BX169" s="92"/>
      <c r="BY169" s="92"/>
      <c r="BZ169" s="92"/>
      <c r="CA169" s="92"/>
      <c r="CB169" s="92"/>
      <c r="CC169" s="92"/>
      <c r="CD169" s="92"/>
      <c r="CE169" s="92"/>
      <c r="CF169" s="92"/>
      <c r="CG169" s="92"/>
      <c r="CH169" s="92"/>
      <c r="CI169" s="92"/>
      <c r="CJ169" s="92"/>
      <c r="CK169" s="92"/>
      <c r="CL169" s="92"/>
      <c r="CM169" s="92"/>
      <c r="CN169" s="92"/>
      <c r="CO169" s="92"/>
      <c r="CP169" s="92"/>
      <c r="CQ169" s="92"/>
      <c r="CR169" s="92"/>
      <c r="CS169" s="92"/>
      <c r="CT169" s="92"/>
      <c r="CU169" s="92"/>
      <c r="CV169" s="92"/>
    </row>
    <row r="170" spans="1:100">
      <c r="A170" s="178">
        <v>28</v>
      </c>
      <c r="B170" s="173">
        <f ca="1">+RESUMEN!Y31</f>
        <v>0</v>
      </c>
      <c r="C170" s="173">
        <f ca="1">+RESUMEN!Z31</f>
        <v>0</v>
      </c>
      <c r="D170" s="174">
        <f t="shared" ca="1" si="236"/>
        <v>0</v>
      </c>
      <c r="E170" s="91"/>
      <c r="F170" s="384" t="s">
        <v>191</v>
      </c>
      <c r="G170" s="387">
        <f t="shared" ref="G170:H170" si="263">ROUND(DQ66*$G$22,2)</f>
        <v>3049.73</v>
      </c>
      <c r="H170" s="387">
        <f t="shared" si="263"/>
        <v>4228.3599999999997</v>
      </c>
      <c r="I170" s="91"/>
      <c r="J170" s="200" t="s">
        <v>191</v>
      </c>
      <c r="K170" s="216">
        <v>182</v>
      </c>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2"/>
      <c r="BL170" s="92"/>
      <c r="BM170" s="92"/>
      <c r="BN170" s="92"/>
      <c r="BO170" s="92"/>
      <c r="BP170" s="92"/>
      <c r="BQ170" s="92"/>
      <c r="BR170" s="92"/>
      <c r="BS170" s="92"/>
      <c r="BT170" s="92"/>
      <c r="BU170" s="92"/>
      <c r="BV170" s="92"/>
      <c r="BW170" s="92"/>
      <c r="BX170" s="92"/>
      <c r="BY170" s="92"/>
      <c r="BZ170" s="92"/>
      <c r="CA170" s="92"/>
      <c r="CB170" s="92"/>
      <c r="CC170" s="92"/>
      <c r="CD170" s="92"/>
      <c r="CE170" s="92"/>
      <c r="CF170" s="92"/>
      <c r="CG170" s="92"/>
      <c r="CH170" s="92"/>
      <c r="CI170" s="92"/>
      <c r="CJ170" s="92"/>
      <c r="CK170" s="92"/>
      <c r="CL170" s="92"/>
      <c r="CM170" s="92"/>
      <c r="CN170" s="92"/>
      <c r="CO170" s="92"/>
      <c r="CP170" s="92"/>
      <c r="CQ170" s="92"/>
      <c r="CR170" s="92"/>
      <c r="CS170" s="92"/>
      <c r="CT170" s="92"/>
      <c r="CU170" s="92"/>
      <c r="CV170" s="92"/>
    </row>
    <row r="171" spans="1:100">
      <c r="A171" s="178">
        <v>29</v>
      </c>
      <c r="B171" s="173">
        <f ca="1">+RESUMEN!Y32</f>
        <v>0</v>
      </c>
      <c r="C171" s="173">
        <f ca="1">+RESUMEN!Z32</f>
        <v>0</v>
      </c>
      <c r="D171" s="174">
        <f t="shared" ca="1" si="236"/>
        <v>0</v>
      </c>
      <c r="E171" s="91"/>
      <c r="F171" s="384" t="s">
        <v>192</v>
      </c>
      <c r="G171" s="387">
        <f t="shared" ref="G171:H171" si="264">ROUND(DQ67*$G$22,2)</f>
        <v>3210.68</v>
      </c>
      <c r="H171" s="387">
        <f t="shared" si="264"/>
        <v>4452.83</v>
      </c>
      <c r="I171" s="91"/>
      <c r="J171" s="200" t="s">
        <v>192</v>
      </c>
      <c r="K171" s="216">
        <v>199.25</v>
      </c>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2"/>
      <c r="BL171" s="92"/>
      <c r="BM171" s="92"/>
      <c r="BN171" s="92"/>
      <c r="BO171" s="92"/>
      <c r="BP171" s="92"/>
      <c r="BQ171" s="92"/>
      <c r="BR171" s="92"/>
      <c r="BS171" s="92"/>
      <c r="BT171" s="92"/>
      <c r="BU171" s="92"/>
      <c r="BV171" s="92"/>
      <c r="BW171" s="92"/>
      <c r="BX171" s="92"/>
      <c r="BY171" s="92"/>
      <c r="BZ171" s="92"/>
      <c r="CA171" s="92"/>
      <c r="CB171" s="92"/>
      <c r="CC171" s="92"/>
      <c r="CD171" s="92"/>
      <c r="CE171" s="92"/>
      <c r="CF171" s="92"/>
      <c r="CG171" s="92"/>
      <c r="CH171" s="92"/>
      <c r="CI171" s="92"/>
      <c r="CJ171" s="92"/>
      <c r="CK171" s="92"/>
      <c r="CL171" s="92"/>
      <c r="CM171" s="92"/>
      <c r="CN171" s="92"/>
      <c r="CO171" s="92"/>
      <c r="CP171" s="92"/>
      <c r="CQ171" s="92"/>
      <c r="CR171" s="92"/>
      <c r="CS171" s="92"/>
      <c r="CT171" s="92"/>
      <c r="CU171" s="92"/>
      <c r="CV171" s="92"/>
    </row>
    <row r="172" spans="1:100">
      <c r="A172" s="178">
        <v>30</v>
      </c>
      <c r="B172" s="173">
        <f ca="1">+RESUMEN!Y33</f>
        <v>0</v>
      </c>
      <c r="C172" s="173">
        <f ca="1">+RESUMEN!Z33</f>
        <v>0</v>
      </c>
      <c r="D172" s="174">
        <f t="shared" ca="1" si="236"/>
        <v>0</v>
      </c>
      <c r="E172" s="91"/>
      <c r="F172" s="384" t="s">
        <v>193</v>
      </c>
      <c r="G172" s="387">
        <f t="shared" ref="G172:H172" si="265">ROUND(DQ68*$G$22,2)</f>
        <v>3472.95</v>
      </c>
      <c r="H172" s="387">
        <f t="shared" si="265"/>
        <v>4606.3999999999996</v>
      </c>
      <c r="I172" s="91"/>
      <c r="J172" s="200" t="s">
        <v>193</v>
      </c>
      <c r="K172" s="216">
        <v>218.54</v>
      </c>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2"/>
      <c r="BL172" s="92"/>
      <c r="BM172" s="92"/>
      <c r="BN172" s="92"/>
      <c r="BO172" s="92"/>
      <c r="BP172" s="92"/>
      <c r="BQ172" s="92"/>
      <c r="BR172" s="92"/>
      <c r="BS172" s="92"/>
      <c r="BT172" s="92"/>
      <c r="BU172" s="92"/>
      <c r="BV172" s="92"/>
      <c r="BW172" s="92"/>
      <c r="BX172" s="92"/>
      <c r="BY172" s="92"/>
      <c r="BZ172" s="92"/>
      <c r="CA172" s="92"/>
      <c r="CB172" s="92"/>
      <c r="CC172" s="92"/>
      <c r="CD172" s="92"/>
      <c r="CE172" s="92"/>
      <c r="CF172" s="92"/>
      <c r="CG172" s="92"/>
      <c r="CH172" s="92"/>
      <c r="CI172" s="92"/>
      <c r="CJ172" s="92"/>
      <c r="CK172" s="92"/>
      <c r="CL172" s="92"/>
      <c r="CM172" s="92"/>
      <c r="CN172" s="92"/>
      <c r="CO172" s="92"/>
      <c r="CP172" s="92"/>
      <c r="CQ172" s="92"/>
      <c r="CR172" s="92"/>
      <c r="CS172" s="92"/>
      <c r="CT172" s="92"/>
      <c r="CU172" s="92"/>
      <c r="CV172" s="92"/>
    </row>
    <row r="173" spans="1:100">
      <c r="A173" s="178">
        <v>31</v>
      </c>
      <c r="B173" s="173">
        <f ca="1">+RESUMEN!Y34</f>
        <v>0</v>
      </c>
      <c r="C173" s="173">
        <f ca="1">+RESUMEN!Z34</f>
        <v>0</v>
      </c>
      <c r="D173" s="174">
        <f t="shared" ca="1" si="236"/>
        <v>0</v>
      </c>
      <c r="E173" s="91"/>
      <c r="F173" s="384" t="s">
        <v>194</v>
      </c>
      <c r="G173" s="387">
        <f t="shared" ref="G173:H173" si="266">ROUND(DQ69*$G$22,2)</f>
        <v>3735.23</v>
      </c>
      <c r="H173" s="387">
        <f t="shared" si="266"/>
        <v>4759.9799999999996</v>
      </c>
      <c r="I173" s="91"/>
      <c r="J173" s="200" t="s">
        <v>194</v>
      </c>
      <c r="K173" s="216">
        <v>240.11</v>
      </c>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2"/>
      <c r="BL173" s="92"/>
      <c r="BM173" s="92"/>
      <c r="BN173" s="92"/>
      <c r="BO173" s="92"/>
      <c r="BP173" s="92"/>
      <c r="BQ173" s="92"/>
      <c r="BR173" s="92"/>
      <c r="BS173" s="92"/>
      <c r="BT173" s="92"/>
      <c r="BU173" s="92"/>
      <c r="BV173" s="92"/>
      <c r="BW173" s="92"/>
      <c r="BX173" s="92"/>
      <c r="BY173" s="92"/>
      <c r="BZ173" s="92"/>
      <c r="CA173" s="92"/>
      <c r="CB173" s="92"/>
      <c r="CC173" s="92"/>
      <c r="CD173" s="92"/>
      <c r="CE173" s="92"/>
      <c r="CF173" s="92"/>
      <c r="CG173" s="92"/>
      <c r="CH173" s="92"/>
      <c r="CI173" s="92"/>
      <c r="CJ173" s="92"/>
      <c r="CK173" s="92"/>
      <c r="CL173" s="92"/>
      <c r="CM173" s="92"/>
      <c r="CN173" s="92"/>
      <c r="CO173" s="92"/>
      <c r="CP173" s="92"/>
      <c r="CQ173" s="92"/>
      <c r="CR173" s="92"/>
      <c r="CS173" s="92"/>
      <c r="CT173" s="92"/>
      <c r="CU173" s="92"/>
      <c r="CV173" s="92"/>
    </row>
    <row r="174" spans="1:100">
      <c r="A174" s="178">
        <v>32</v>
      </c>
      <c r="B174" s="173">
        <f ca="1">+RESUMEN!Y35</f>
        <v>0</v>
      </c>
      <c r="C174" s="173">
        <f ca="1">+RESUMEN!Z35</f>
        <v>0</v>
      </c>
      <c r="D174" s="174">
        <f t="shared" ca="1" si="236"/>
        <v>0</v>
      </c>
      <c r="E174" s="91"/>
      <c r="F174" s="384" t="s">
        <v>195</v>
      </c>
      <c r="G174" s="387">
        <f t="shared" ref="G174:H174" si="267">ROUND(DQ70*$G$22,2)</f>
        <v>3997.51</v>
      </c>
      <c r="H174" s="387">
        <f t="shared" si="267"/>
        <v>4913.5600000000004</v>
      </c>
      <c r="I174" s="91"/>
      <c r="J174" s="200" t="s">
        <v>195</v>
      </c>
      <c r="K174" s="216">
        <v>264.29000000000002</v>
      </c>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2"/>
      <c r="BL174" s="92"/>
      <c r="BM174" s="92"/>
      <c r="BN174" s="92"/>
      <c r="BO174" s="92"/>
      <c r="BP174" s="92"/>
      <c r="BQ174" s="92"/>
      <c r="BR174" s="92"/>
      <c r="BS174" s="92"/>
      <c r="BT174" s="92"/>
      <c r="BU174" s="92"/>
      <c r="BV174" s="92"/>
      <c r="BW174" s="92"/>
      <c r="BX174" s="92"/>
      <c r="BY174" s="92"/>
      <c r="BZ174" s="92"/>
      <c r="CA174" s="92"/>
      <c r="CB174" s="92"/>
      <c r="CC174" s="92"/>
      <c r="CD174" s="92"/>
      <c r="CE174" s="92"/>
      <c r="CF174" s="92"/>
      <c r="CG174" s="92"/>
      <c r="CH174" s="92"/>
      <c r="CI174" s="92"/>
      <c r="CJ174" s="92"/>
      <c r="CK174" s="92"/>
      <c r="CL174" s="92"/>
      <c r="CM174" s="92"/>
      <c r="CN174" s="92"/>
      <c r="CO174" s="92"/>
      <c r="CP174" s="92"/>
      <c r="CQ174" s="92"/>
      <c r="CR174" s="92"/>
      <c r="CS174" s="92"/>
      <c r="CT174" s="92"/>
      <c r="CU174" s="92"/>
      <c r="CV174" s="92"/>
    </row>
    <row r="175" spans="1:100">
      <c r="A175" s="178">
        <v>33</v>
      </c>
      <c r="B175" s="173">
        <f ca="1">+RESUMEN!Y36</f>
        <v>0</v>
      </c>
      <c r="C175" s="173">
        <f ca="1">+RESUMEN!Z36</f>
        <v>0</v>
      </c>
      <c r="D175" s="174">
        <f t="shared" ca="1" si="236"/>
        <v>0</v>
      </c>
      <c r="E175" s="91"/>
      <c r="F175" s="384" t="s">
        <v>196</v>
      </c>
      <c r="G175" s="387">
        <f t="shared" ref="G175:H175" si="268">ROUND(DQ71*$G$22,2)</f>
        <v>4259.78</v>
      </c>
      <c r="H175" s="387">
        <f t="shared" si="268"/>
        <v>5067.1400000000003</v>
      </c>
      <c r="I175" s="91"/>
      <c r="J175" s="200" t="s">
        <v>196</v>
      </c>
      <c r="K175" s="216">
        <v>291.43</v>
      </c>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2"/>
      <c r="BL175" s="92"/>
      <c r="BM175" s="92"/>
      <c r="BN175" s="92"/>
      <c r="BO175" s="92"/>
      <c r="BP175" s="92"/>
      <c r="BQ175" s="92"/>
      <c r="BR175" s="92"/>
      <c r="BS175" s="92"/>
      <c r="BT175" s="92"/>
      <c r="BU175" s="92"/>
      <c r="BV175" s="92"/>
      <c r="BW175" s="92"/>
      <c r="BX175" s="92"/>
      <c r="BY175" s="92"/>
      <c r="BZ175" s="92"/>
      <c r="CA175" s="92"/>
      <c r="CB175" s="92"/>
      <c r="CC175" s="92"/>
      <c r="CD175" s="92"/>
      <c r="CE175" s="92"/>
      <c r="CF175" s="92"/>
      <c r="CG175" s="92"/>
      <c r="CH175" s="92"/>
      <c r="CI175" s="92"/>
      <c r="CJ175" s="92"/>
      <c r="CK175" s="92"/>
      <c r="CL175" s="92"/>
      <c r="CM175" s="92"/>
      <c r="CN175" s="92"/>
      <c r="CO175" s="92"/>
      <c r="CP175" s="92"/>
      <c r="CQ175" s="92"/>
      <c r="CR175" s="92"/>
      <c r="CS175" s="92"/>
      <c r="CT175" s="92"/>
      <c r="CU175" s="92"/>
      <c r="CV175" s="92"/>
    </row>
    <row r="176" spans="1:100">
      <c r="A176" s="178">
        <v>34</v>
      </c>
      <c r="B176" s="173">
        <f ca="1">+RESUMEN!Y37</f>
        <v>0</v>
      </c>
      <c r="C176" s="173">
        <f ca="1">+RESUMEN!Z37</f>
        <v>0</v>
      </c>
      <c r="D176" s="174">
        <f t="shared" ca="1" si="236"/>
        <v>0</v>
      </c>
      <c r="E176" s="91"/>
      <c r="F176" s="384" t="s">
        <v>197</v>
      </c>
      <c r="G176" s="387">
        <f t="shared" ref="G176:H176" si="269">ROUND(DQ72*$G$22,2)</f>
        <v>4522.0600000000004</v>
      </c>
      <c r="H176" s="387">
        <f t="shared" si="269"/>
        <v>5220.71</v>
      </c>
      <c r="I176" s="91"/>
      <c r="J176" s="200" t="s">
        <v>197</v>
      </c>
      <c r="K176" s="216">
        <v>321.95999999999998</v>
      </c>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2"/>
      <c r="BL176" s="92"/>
      <c r="BM176" s="92"/>
      <c r="BN176" s="92"/>
      <c r="BO176" s="92"/>
      <c r="BP176" s="92"/>
      <c r="BQ176" s="92"/>
      <c r="BR176" s="92"/>
      <c r="BS176" s="92"/>
      <c r="BT176" s="92"/>
      <c r="BU176" s="92"/>
      <c r="BV176" s="92"/>
      <c r="BW176" s="92"/>
      <c r="BX176" s="92"/>
      <c r="BY176" s="92"/>
      <c r="BZ176" s="92"/>
      <c r="CA176" s="92"/>
      <c r="CB176" s="92"/>
      <c r="CC176" s="92"/>
      <c r="CD176" s="92"/>
      <c r="CE176" s="92"/>
      <c r="CF176" s="92"/>
      <c r="CG176" s="92"/>
      <c r="CH176" s="92"/>
      <c r="CI176" s="92"/>
      <c r="CJ176" s="92"/>
      <c r="CK176" s="92"/>
      <c r="CL176" s="92"/>
      <c r="CM176" s="92"/>
      <c r="CN176" s="92"/>
      <c r="CO176" s="92"/>
      <c r="CP176" s="92"/>
      <c r="CQ176" s="92"/>
      <c r="CR176" s="92"/>
      <c r="CS176" s="92"/>
      <c r="CT176" s="92"/>
      <c r="CU176" s="92"/>
      <c r="CV176" s="92"/>
    </row>
    <row r="177" spans="1:100">
      <c r="A177" s="178">
        <v>35</v>
      </c>
      <c r="B177" s="173">
        <f ca="1">+RESUMEN!Y38</f>
        <v>0</v>
      </c>
      <c r="C177" s="173">
        <f ca="1">+RESUMEN!Z38</f>
        <v>0</v>
      </c>
      <c r="D177" s="174">
        <f t="shared" ca="1" si="236"/>
        <v>0</v>
      </c>
      <c r="E177" s="91"/>
      <c r="F177" s="384" t="s">
        <v>198</v>
      </c>
      <c r="G177" s="387">
        <f t="shared" ref="G177:H177" si="270">ROUND(DQ73*$G$22,2)</f>
        <v>4796.26</v>
      </c>
      <c r="H177" s="387">
        <f t="shared" si="270"/>
        <v>5676.69</v>
      </c>
      <c r="I177" s="91"/>
      <c r="J177" s="200" t="s">
        <v>198</v>
      </c>
      <c r="K177" s="216">
        <v>356.32</v>
      </c>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2"/>
      <c r="BL177" s="92"/>
      <c r="BM177" s="92"/>
      <c r="BN177" s="92"/>
      <c r="BO177" s="92"/>
      <c r="BP177" s="92"/>
      <c r="BQ177" s="92"/>
      <c r="BR177" s="92"/>
      <c r="BS177" s="92"/>
      <c r="BT177" s="92"/>
      <c r="BU177" s="92"/>
      <c r="BV177" s="92"/>
      <c r="BW177" s="92"/>
      <c r="BX177" s="92"/>
      <c r="BY177" s="92"/>
      <c r="BZ177" s="92"/>
      <c r="CA177" s="92"/>
      <c r="CB177" s="92"/>
      <c r="CC177" s="92"/>
      <c r="CD177" s="92"/>
      <c r="CE177" s="92"/>
      <c r="CF177" s="92"/>
      <c r="CG177" s="92"/>
      <c r="CH177" s="92"/>
      <c r="CI177" s="92"/>
      <c r="CJ177" s="92"/>
      <c r="CK177" s="92"/>
      <c r="CL177" s="92"/>
      <c r="CM177" s="92"/>
      <c r="CN177" s="92"/>
      <c r="CO177" s="92"/>
      <c r="CP177" s="92"/>
      <c r="CQ177" s="92"/>
      <c r="CR177" s="92"/>
      <c r="CS177" s="92"/>
      <c r="CT177" s="92"/>
      <c r="CU177" s="92"/>
      <c r="CV177" s="92"/>
    </row>
    <row r="178" spans="1:100">
      <c r="A178" s="178">
        <v>36</v>
      </c>
      <c r="B178" s="173">
        <f ca="1">+RESUMEN!Y39</f>
        <v>0</v>
      </c>
      <c r="C178" s="173">
        <f ca="1">+RESUMEN!Z39</f>
        <v>0</v>
      </c>
      <c r="D178" s="174">
        <f t="shared" ca="1" si="236"/>
        <v>0</v>
      </c>
      <c r="E178" s="91"/>
      <c r="F178" s="384" t="s">
        <v>199</v>
      </c>
      <c r="G178" s="387">
        <f t="shared" ref="G178:G207" si="271">ROUND(DQ74*$G$22,2)</f>
        <v>5070.46</v>
      </c>
      <c r="H178" s="387">
        <f t="shared" ref="H178:H207" si="272">ROUND(DR74*$G$22,2)</f>
        <v>6132.67</v>
      </c>
      <c r="I178" s="91"/>
      <c r="J178" s="200" t="s">
        <v>199</v>
      </c>
      <c r="K178" s="216">
        <v>395.04</v>
      </c>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2"/>
      <c r="BL178" s="92"/>
      <c r="BM178" s="92"/>
      <c r="BN178" s="92"/>
      <c r="BO178" s="92"/>
      <c r="BP178" s="92"/>
      <c r="BQ178" s="92"/>
      <c r="BR178" s="92"/>
      <c r="BS178" s="92"/>
      <c r="BT178" s="92"/>
      <c r="BU178" s="92"/>
      <c r="BV178" s="92"/>
      <c r="BW178" s="92"/>
      <c r="BX178" s="92"/>
      <c r="BY178" s="92"/>
      <c r="BZ178" s="92"/>
      <c r="CA178" s="92"/>
      <c r="CB178" s="92"/>
      <c r="CC178" s="92"/>
      <c r="CD178" s="92"/>
      <c r="CE178" s="92"/>
      <c r="CF178" s="92"/>
      <c r="CG178" s="92"/>
      <c r="CH178" s="92"/>
      <c r="CI178" s="92"/>
      <c r="CJ178" s="92"/>
      <c r="CK178" s="92"/>
      <c r="CL178" s="92"/>
      <c r="CM178" s="92"/>
      <c r="CN178" s="92"/>
      <c r="CO178" s="92"/>
      <c r="CP178" s="92"/>
      <c r="CQ178" s="92"/>
      <c r="CR178" s="92"/>
      <c r="CS178" s="92"/>
      <c r="CT178" s="92"/>
      <c r="CU178" s="92"/>
      <c r="CV178" s="92"/>
    </row>
    <row r="179" spans="1:100">
      <c r="A179" s="178">
        <v>37</v>
      </c>
      <c r="B179" s="173">
        <f ca="1">+RESUMEN!Y40</f>
        <v>0</v>
      </c>
      <c r="C179" s="173">
        <f ca="1">+RESUMEN!Z40</f>
        <v>0</v>
      </c>
      <c r="D179" s="174">
        <f t="shared" ca="1" si="236"/>
        <v>0</v>
      </c>
      <c r="E179" s="91"/>
      <c r="F179" s="384" t="s">
        <v>200</v>
      </c>
      <c r="G179" s="387">
        <f t="shared" si="271"/>
        <v>5344.66</v>
      </c>
      <c r="H179" s="387">
        <f t="shared" si="272"/>
        <v>6588.66</v>
      </c>
      <c r="I179" s="91"/>
      <c r="J179" s="200" t="s">
        <v>200</v>
      </c>
      <c r="K179" s="216">
        <v>438.75</v>
      </c>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2"/>
      <c r="BL179" s="92"/>
      <c r="BM179" s="92"/>
      <c r="BN179" s="92"/>
      <c r="BO179" s="92"/>
      <c r="BP179" s="92"/>
      <c r="BQ179" s="92"/>
      <c r="BR179" s="92"/>
      <c r="BS179" s="92"/>
      <c r="BT179" s="92"/>
      <c r="BU179" s="92"/>
      <c r="BV179" s="92"/>
      <c r="BW179" s="92"/>
      <c r="BX179" s="92"/>
      <c r="BY179" s="92"/>
      <c r="BZ179" s="92"/>
      <c r="CA179" s="92"/>
      <c r="CB179" s="92"/>
      <c r="CC179" s="92"/>
      <c r="CD179" s="92"/>
      <c r="CE179" s="92"/>
      <c r="CF179" s="92"/>
      <c r="CG179" s="92"/>
      <c r="CH179" s="92"/>
      <c r="CI179" s="92"/>
      <c r="CJ179" s="92"/>
      <c r="CK179" s="92"/>
      <c r="CL179" s="92"/>
      <c r="CM179" s="92"/>
      <c r="CN179" s="92"/>
      <c r="CO179" s="92"/>
      <c r="CP179" s="92"/>
      <c r="CQ179" s="92"/>
      <c r="CR179" s="92"/>
      <c r="CS179" s="92"/>
      <c r="CT179" s="92"/>
      <c r="CU179" s="92"/>
      <c r="CV179" s="92"/>
    </row>
    <row r="180" spans="1:100">
      <c r="A180" s="178">
        <v>38</v>
      </c>
      <c r="B180" s="173">
        <f ca="1">+RESUMEN!Y41</f>
        <v>0</v>
      </c>
      <c r="C180" s="173">
        <f ca="1">+RESUMEN!Z41</f>
        <v>0</v>
      </c>
      <c r="D180" s="174">
        <f t="shared" ca="1" si="236"/>
        <v>0</v>
      </c>
      <c r="E180" s="91"/>
      <c r="F180" s="384" t="s">
        <v>201</v>
      </c>
      <c r="G180" s="387">
        <f t="shared" si="271"/>
        <v>5618.86</v>
      </c>
      <c r="H180" s="387">
        <f t="shared" si="272"/>
        <v>7044.64</v>
      </c>
      <c r="I180" s="91"/>
      <c r="J180" s="200" t="s">
        <v>201</v>
      </c>
      <c r="K180" s="216">
        <v>488.14</v>
      </c>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2"/>
      <c r="BL180" s="92"/>
      <c r="BM180" s="92"/>
      <c r="BN180" s="92"/>
      <c r="BO180" s="92"/>
      <c r="BP180" s="92"/>
      <c r="BQ180" s="92"/>
      <c r="BR180" s="92"/>
      <c r="BS180" s="92"/>
      <c r="BT180" s="92"/>
      <c r="BU180" s="92"/>
      <c r="BV180" s="92"/>
      <c r="BW180" s="92"/>
      <c r="BX180" s="92"/>
      <c r="BY180" s="92"/>
      <c r="BZ180" s="92"/>
      <c r="CA180" s="92"/>
      <c r="CB180" s="92"/>
      <c r="CC180" s="92"/>
      <c r="CD180" s="92"/>
      <c r="CE180" s="92"/>
      <c r="CF180" s="92"/>
      <c r="CG180" s="92"/>
      <c r="CH180" s="92"/>
      <c r="CI180" s="92"/>
      <c r="CJ180" s="92"/>
      <c r="CK180" s="92"/>
      <c r="CL180" s="92"/>
      <c r="CM180" s="92"/>
      <c r="CN180" s="92"/>
      <c r="CO180" s="92"/>
      <c r="CP180" s="92"/>
      <c r="CQ180" s="92"/>
      <c r="CR180" s="92"/>
      <c r="CS180" s="92"/>
      <c r="CT180" s="92"/>
      <c r="CU180" s="92"/>
      <c r="CV180" s="92"/>
    </row>
    <row r="181" spans="1:100">
      <c r="A181" s="178">
        <v>39</v>
      </c>
      <c r="B181" s="173">
        <f ca="1">+RESUMEN!Y42</f>
        <v>0</v>
      </c>
      <c r="C181" s="173">
        <f ca="1">+RESUMEN!Z42</f>
        <v>0</v>
      </c>
      <c r="D181" s="174">
        <f t="shared" ca="1" si="236"/>
        <v>0</v>
      </c>
      <c r="E181" s="91"/>
      <c r="F181" s="384" t="s">
        <v>202</v>
      </c>
      <c r="G181" s="387">
        <f t="shared" si="271"/>
        <v>5893.05</v>
      </c>
      <c r="H181" s="387">
        <f t="shared" si="272"/>
        <v>7500.62</v>
      </c>
      <c r="I181" s="91"/>
      <c r="J181" s="200" t="s">
        <v>202</v>
      </c>
      <c r="K181" s="216">
        <v>544.11</v>
      </c>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2"/>
      <c r="BL181" s="92"/>
      <c r="BM181" s="92"/>
      <c r="BN181" s="92"/>
      <c r="BO181" s="92"/>
      <c r="BP181" s="92"/>
      <c r="BQ181" s="92"/>
      <c r="BR181" s="92"/>
      <c r="BS181" s="92"/>
      <c r="BT181" s="92"/>
      <c r="BU181" s="92"/>
      <c r="BV181" s="92"/>
      <c r="BW181" s="92"/>
      <c r="BX181" s="92"/>
      <c r="BY181" s="92"/>
      <c r="BZ181" s="92"/>
      <c r="CA181" s="92"/>
      <c r="CB181" s="92"/>
      <c r="CC181" s="92"/>
      <c r="CD181" s="92"/>
      <c r="CE181" s="92"/>
      <c r="CF181" s="92"/>
      <c r="CG181" s="92"/>
      <c r="CH181" s="92"/>
      <c r="CI181" s="92"/>
      <c r="CJ181" s="92"/>
      <c r="CK181" s="92"/>
      <c r="CL181" s="92"/>
      <c r="CM181" s="92"/>
      <c r="CN181" s="92"/>
      <c r="CO181" s="92"/>
      <c r="CP181" s="92"/>
      <c r="CQ181" s="92"/>
      <c r="CR181" s="92"/>
      <c r="CS181" s="92"/>
      <c r="CT181" s="92"/>
      <c r="CU181" s="92"/>
      <c r="CV181" s="92"/>
    </row>
    <row r="182" spans="1:100">
      <c r="A182" s="178">
        <v>40</v>
      </c>
      <c r="B182" s="173">
        <f ca="1">+RESUMEN!Y43</f>
        <v>0</v>
      </c>
      <c r="C182" s="173">
        <f ca="1">+RESUMEN!Z43</f>
        <v>0</v>
      </c>
      <c r="D182" s="174">
        <f t="shared" ca="1" si="236"/>
        <v>0</v>
      </c>
      <c r="E182" s="91"/>
      <c r="F182" s="384" t="s">
        <v>203</v>
      </c>
      <c r="G182" s="387">
        <f t="shared" si="271"/>
        <v>6161.29</v>
      </c>
      <c r="H182" s="387">
        <f t="shared" si="272"/>
        <v>7855.9</v>
      </c>
      <c r="I182" s="91"/>
      <c r="J182" s="200" t="s">
        <v>203</v>
      </c>
      <c r="K182" s="216">
        <v>607.46</v>
      </c>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2"/>
      <c r="BL182" s="92"/>
      <c r="BM182" s="92"/>
      <c r="BN182" s="92"/>
      <c r="BO182" s="92"/>
      <c r="BP182" s="92"/>
      <c r="BQ182" s="92"/>
      <c r="BR182" s="92"/>
      <c r="BS182" s="92"/>
      <c r="BT182" s="92"/>
      <c r="BU182" s="92"/>
      <c r="BV182" s="92"/>
      <c r="BW182" s="92"/>
      <c r="BX182" s="92"/>
      <c r="BY182" s="92"/>
      <c r="BZ182" s="92"/>
      <c r="CA182" s="92"/>
      <c r="CB182" s="92"/>
      <c r="CC182" s="92"/>
      <c r="CD182" s="92"/>
      <c r="CE182" s="92"/>
      <c r="CF182" s="92"/>
      <c r="CG182" s="92"/>
      <c r="CH182" s="92"/>
      <c r="CI182" s="92"/>
      <c r="CJ182" s="92"/>
      <c r="CK182" s="92"/>
      <c r="CL182" s="92"/>
      <c r="CM182" s="92"/>
      <c r="CN182" s="92"/>
      <c r="CO182" s="92"/>
      <c r="CP182" s="92"/>
      <c r="CQ182" s="92"/>
      <c r="CR182" s="92"/>
      <c r="CS182" s="92"/>
      <c r="CT182" s="92"/>
      <c r="CU182" s="92"/>
      <c r="CV182" s="92"/>
    </row>
    <row r="183" spans="1:100">
      <c r="A183" s="178">
        <v>41</v>
      </c>
      <c r="B183" s="173">
        <f ca="1">+RESUMEN!Y44</f>
        <v>0</v>
      </c>
      <c r="C183" s="173">
        <f ca="1">+RESUMEN!Z44</f>
        <v>0</v>
      </c>
      <c r="D183" s="174">
        <f t="shared" ca="1" si="236"/>
        <v>0</v>
      </c>
      <c r="E183" s="91"/>
      <c r="F183" s="384" t="s">
        <v>204</v>
      </c>
      <c r="G183" s="387">
        <f t="shared" si="271"/>
        <v>6429.53</v>
      </c>
      <c r="H183" s="387">
        <f t="shared" si="272"/>
        <v>8211.19</v>
      </c>
      <c r="I183" s="91"/>
      <c r="J183" s="200" t="s">
        <v>204</v>
      </c>
      <c r="K183" s="216">
        <v>679.43</v>
      </c>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2"/>
      <c r="BL183" s="92"/>
      <c r="BM183" s="92"/>
      <c r="BN183" s="92"/>
      <c r="BO183" s="92"/>
      <c r="BP183" s="92"/>
      <c r="BQ183" s="92"/>
      <c r="BR183" s="92"/>
      <c r="BS183" s="92"/>
      <c r="BT183" s="92"/>
      <c r="BU183" s="92"/>
      <c r="BV183" s="92"/>
      <c r="BW183" s="92"/>
      <c r="BX183" s="92"/>
      <c r="BY183" s="92"/>
      <c r="BZ183" s="92"/>
      <c r="CA183" s="92"/>
      <c r="CB183" s="92"/>
      <c r="CC183" s="92"/>
      <c r="CD183" s="92"/>
      <c r="CE183" s="92"/>
      <c r="CF183" s="92"/>
      <c r="CG183" s="92"/>
      <c r="CH183" s="92"/>
      <c r="CI183" s="92"/>
      <c r="CJ183" s="92"/>
      <c r="CK183" s="92"/>
      <c r="CL183" s="92"/>
      <c r="CM183" s="92"/>
      <c r="CN183" s="92"/>
      <c r="CO183" s="92"/>
      <c r="CP183" s="92"/>
      <c r="CQ183" s="92"/>
      <c r="CR183" s="92"/>
      <c r="CS183" s="92"/>
      <c r="CT183" s="92"/>
      <c r="CU183" s="92"/>
      <c r="CV183" s="92"/>
    </row>
    <row r="184" spans="1:100">
      <c r="A184" s="178">
        <v>42</v>
      </c>
      <c r="B184" s="173">
        <f ca="1">+RESUMEN!Y45</f>
        <v>0</v>
      </c>
      <c r="C184" s="173">
        <f ca="1">+RESUMEN!Z45</f>
        <v>0</v>
      </c>
      <c r="D184" s="174">
        <f t="shared" ca="1" si="236"/>
        <v>0</v>
      </c>
      <c r="E184" s="91"/>
      <c r="F184" s="384" t="s">
        <v>205</v>
      </c>
      <c r="G184" s="387">
        <f t="shared" si="271"/>
        <v>6697.77</v>
      </c>
      <c r="H184" s="387">
        <f t="shared" si="272"/>
        <v>8566.4699999999993</v>
      </c>
      <c r="I184" s="91"/>
      <c r="J184" s="200" t="s">
        <v>205</v>
      </c>
      <c r="K184" s="216">
        <v>761.14</v>
      </c>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2"/>
      <c r="BL184" s="92"/>
      <c r="BM184" s="92"/>
      <c r="BN184" s="92"/>
      <c r="BO184" s="92"/>
      <c r="BP184" s="92"/>
      <c r="BQ184" s="92"/>
      <c r="BR184" s="92"/>
      <c r="BS184" s="92"/>
      <c r="BT184" s="92"/>
      <c r="BU184" s="92"/>
      <c r="BV184" s="92"/>
      <c r="BW184" s="92"/>
      <c r="BX184" s="92"/>
      <c r="BY184" s="92"/>
      <c r="BZ184" s="92"/>
      <c r="CA184" s="92"/>
      <c r="CB184" s="92"/>
      <c r="CC184" s="92"/>
      <c r="CD184" s="92"/>
      <c r="CE184" s="92"/>
      <c r="CF184" s="92"/>
      <c r="CG184" s="92"/>
      <c r="CH184" s="92"/>
      <c r="CI184" s="92"/>
      <c r="CJ184" s="92"/>
      <c r="CK184" s="92"/>
      <c r="CL184" s="92"/>
      <c r="CM184" s="92"/>
      <c r="CN184" s="92"/>
      <c r="CO184" s="92"/>
      <c r="CP184" s="92"/>
      <c r="CQ184" s="92"/>
      <c r="CR184" s="92"/>
      <c r="CS184" s="92"/>
      <c r="CT184" s="92"/>
      <c r="CU184" s="92"/>
      <c r="CV184" s="92"/>
    </row>
    <row r="185" spans="1:100">
      <c r="A185" s="178">
        <v>43</v>
      </c>
      <c r="B185" s="173">
        <f ca="1">+RESUMEN!Y46</f>
        <v>0</v>
      </c>
      <c r="C185" s="173">
        <f ca="1">+RESUMEN!Z46</f>
        <v>0</v>
      </c>
      <c r="D185" s="174">
        <f t="shared" ca="1" si="236"/>
        <v>0</v>
      </c>
      <c r="E185" s="91"/>
      <c r="F185" s="384" t="s">
        <v>206</v>
      </c>
      <c r="G185" s="387">
        <f t="shared" si="271"/>
        <v>6966</v>
      </c>
      <c r="H185" s="387">
        <f t="shared" si="272"/>
        <v>8921.76</v>
      </c>
      <c r="I185" s="91"/>
      <c r="J185" s="200" t="s">
        <v>206</v>
      </c>
      <c r="K185" s="216">
        <v>854.11</v>
      </c>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2"/>
      <c r="BL185" s="92"/>
      <c r="BM185" s="92"/>
      <c r="BN185" s="92"/>
      <c r="BO185" s="92"/>
      <c r="BP185" s="92"/>
      <c r="BQ185" s="92"/>
      <c r="BR185" s="92"/>
      <c r="BS185" s="92"/>
      <c r="BT185" s="92"/>
      <c r="BU185" s="92"/>
      <c r="BV185" s="92"/>
      <c r="BW185" s="92"/>
      <c r="BX185" s="92"/>
      <c r="BY185" s="92"/>
      <c r="BZ185" s="92"/>
      <c r="CA185" s="92"/>
      <c r="CB185" s="92"/>
      <c r="CC185" s="92"/>
      <c r="CD185" s="92"/>
      <c r="CE185" s="92"/>
      <c r="CF185" s="92"/>
      <c r="CG185" s="92"/>
      <c r="CH185" s="92"/>
      <c r="CI185" s="92"/>
      <c r="CJ185" s="92"/>
      <c r="CK185" s="92"/>
      <c r="CL185" s="92"/>
      <c r="CM185" s="92"/>
      <c r="CN185" s="92"/>
      <c r="CO185" s="92"/>
      <c r="CP185" s="92"/>
      <c r="CQ185" s="92"/>
      <c r="CR185" s="92"/>
      <c r="CS185" s="92"/>
      <c r="CT185" s="92"/>
      <c r="CU185" s="92"/>
      <c r="CV185" s="92"/>
    </row>
    <row r="186" spans="1:100">
      <c r="A186" s="178">
        <v>44</v>
      </c>
      <c r="B186" s="173">
        <f ca="1">+RESUMEN!Y47</f>
        <v>0</v>
      </c>
      <c r="C186" s="173">
        <f ca="1">+RESUMEN!Z47</f>
        <v>0</v>
      </c>
      <c r="D186" s="174">
        <f t="shared" ca="1" si="236"/>
        <v>0</v>
      </c>
      <c r="E186" s="91"/>
      <c r="F186" s="384" t="s">
        <v>207</v>
      </c>
      <c r="G186" s="387">
        <f t="shared" si="271"/>
        <v>7234.24</v>
      </c>
      <c r="H186" s="387">
        <f t="shared" si="272"/>
        <v>9277.0400000000009</v>
      </c>
      <c r="I186" s="91"/>
      <c r="J186" s="200" t="s">
        <v>207</v>
      </c>
      <c r="K186" s="216">
        <v>959.96</v>
      </c>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2"/>
      <c r="BL186" s="92"/>
      <c r="BM186" s="92"/>
      <c r="BN186" s="92"/>
      <c r="BO186" s="92"/>
      <c r="BP186" s="92"/>
      <c r="BQ186" s="92"/>
      <c r="BR186" s="92"/>
      <c r="BS186" s="92"/>
      <c r="BT186" s="92"/>
      <c r="BU186" s="92"/>
      <c r="BV186" s="92"/>
      <c r="BW186" s="92"/>
      <c r="BX186" s="92"/>
      <c r="BY186" s="92"/>
      <c r="BZ186" s="92"/>
      <c r="CA186" s="92"/>
      <c r="CB186" s="92"/>
      <c r="CC186" s="92"/>
      <c r="CD186" s="92"/>
      <c r="CE186" s="92"/>
      <c r="CF186" s="92"/>
      <c r="CG186" s="92"/>
      <c r="CH186" s="92"/>
      <c r="CI186" s="92"/>
      <c r="CJ186" s="92"/>
      <c r="CK186" s="92"/>
      <c r="CL186" s="92"/>
      <c r="CM186" s="92"/>
      <c r="CN186" s="92"/>
      <c r="CO186" s="92"/>
      <c r="CP186" s="92"/>
      <c r="CQ186" s="92"/>
      <c r="CR186" s="92"/>
      <c r="CS186" s="92"/>
      <c r="CT186" s="92"/>
      <c r="CU186" s="92"/>
      <c r="CV186" s="92"/>
    </row>
    <row r="187" spans="1:100">
      <c r="A187" s="178">
        <v>45</v>
      </c>
      <c r="B187" s="173">
        <f ca="1">+RESUMEN!Y48</f>
        <v>0</v>
      </c>
      <c r="C187" s="173">
        <f ca="1">+RESUMEN!Z48</f>
        <v>0</v>
      </c>
      <c r="D187" s="174">
        <f t="shared" ca="1" si="236"/>
        <v>0</v>
      </c>
      <c r="E187" s="91"/>
      <c r="F187" s="384" t="s">
        <v>208</v>
      </c>
      <c r="G187" s="387">
        <f t="shared" si="271"/>
        <v>7462.1</v>
      </c>
      <c r="H187" s="387">
        <f t="shared" si="272"/>
        <v>9504.91</v>
      </c>
      <c r="I187" s="91"/>
      <c r="J187" s="200" t="s">
        <v>208</v>
      </c>
      <c r="K187" s="216">
        <v>1080.6099999999999</v>
      </c>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2"/>
      <c r="BL187" s="92"/>
      <c r="BM187" s="92"/>
      <c r="BN187" s="92"/>
      <c r="BO187" s="92"/>
      <c r="BP187" s="92"/>
      <c r="BQ187" s="92"/>
      <c r="BR187" s="92"/>
      <c r="BS187" s="92"/>
      <c r="BT187" s="92"/>
      <c r="BU187" s="92"/>
      <c r="BV187" s="92"/>
      <c r="BW187" s="92"/>
      <c r="BX187" s="92"/>
      <c r="BY187" s="92"/>
      <c r="BZ187" s="92"/>
      <c r="CA187" s="92"/>
      <c r="CB187" s="92"/>
      <c r="CC187" s="92"/>
      <c r="CD187" s="92"/>
      <c r="CE187" s="92"/>
      <c r="CF187" s="92"/>
      <c r="CG187" s="92"/>
      <c r="CH187" s="92"/>
      <c r="CI187" s="92"/>
      <c r="CJ187" s="92"/>
      <c r="CK187" s="92"/>
      <c r="CL187" s="92"/>
      <c r="CM187" s="92"/>
      <c r="CN187" s="92"/>
      <c r="CO187" s="92"/>
      <c r="CP187" s="92"/>
      <c r="CQ187" s="92"/>
      <c r="CR187" s="92"/>
      <c r="CS187" s="92"/>
      <c r="CT187" s="92"/>
      <c r="CU187" s="92"/>
      <c r="CV187" s="92"/>
    </row>
    <row r="188" spans="1:100">
      <c r="A188" s="178">
        <v>46</v>
      </c>
      <c r="B188" s="173">
        <f ca="1">+RESUMEN!Y49</f>
        <v>0</v>
      </c>
      <c r="C188" s="173">
        <f ca="1">+RESUMEN!Z49</f>
        <v>0</v>
      </c>
      <c r="D188" s="174">
        <f t="shared" ca="1" si="236"/>
        <v>0</v>
      </c>
      <c r="E188" s="91"/>
      <c r="F188" s="384" t="s">
        <v>209</v>
      </c>
      <c r="G188" s="387">
        <f t="shared" si="271"/>
        <v>7462.1</v>
      </c>
      <c r="H188" s="387">
        <f t="shared" si="272"/>
        <v>9504.91</v>
      </c>
      <c r="I188" s="91"/>
      <c r="J188" s="200" t="s">
        <v>209</v>
      </c>
      <c r="K188" s="216">
        <v>1218.21</v>
      </c>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2"/>
      <c r="BL188" s="92"/>
      <c r="BM188" s="92"/>
      <c r="BN188" s="92"/>
      <c r="BO188" s="92"/>
      <c r="BP188" s="92"/>
      <c r="BQ188" s="92"/>
      <c r="BR188" s="92"/>
      <c r="BS188" s="92"/>
      <c r="BT188" s="92"/>
      <c r="BU188" s="92"/>
      <c r="BV188" s="92"/>
      <c r="BW188" s="92"/>
      <c r="BX188" s="92"/>
      <c r="BY188" s="92"/>
      <c r="BZ188" s="92"/>
      <c r="CA188" s="92"/>
      <c r="CB188" s="92"/>
      <c r="CC188" s="92"/>
      <c r="CD188" s="92"/>
      <c r="CE188" s="92"/>
      <c r="CF188" s="92"/>
      <c r="CG188" s="92"/>
      <c r="CH188" s="92"/>
      <c r="CI188" s="92"/>
      <c r="CJ188" s="92"/>
      <c r="CK188" s="92"/>
      <c r="CL188" s="92"/>
      <c r="CM188" s="92"/>
      <c r="CN188" s="92"/>
      <c r="CO188" s="92"/>
      <c r="CP188" s="92"/>
      <c r="CQ188" s="92"/>
      <c r="CR188" s="92"/>
      <c r="CS188" s="92"/>
      <c r="CT188" s="92"/>
      <c r="CU188" s="92"/>
      <c r="CV188" s="92"/>
    </row>
    <row r="189" spans="1:100">
      <c r="A189" s="178">
        <v>47</v>
      </c>
      <c r="B189" s="173">
        <f ca="1">+RESUMEN!Y50</f>
        <v>0</v>
      </c>
      <c r="C189" s="173">
        <f ca="1">+RESUMEN!Z50</f>
        <v>0</v>
      </c>
      <c r="D189" s="174">
        <f t="shared" ca="1" si="236"/>
        <v>0</v>
      </c>
      <c r="E189" s="91"/>
      <c r="F189" s="384" t="s">
        <v>210</v>
      </c>
      <c r="G189" s="387">
        <f t="shared" si="271"/>
        <v>7462.1</v>
      </c>
      <c r="H189" s="387">
        <f t="shared" si="272"/>
        <v>9504.91</v>
      </c>
      <c r="I189" s="91"/>
      <c r="J189" s="200" t="s">
        <v>210</v>
      </c>
      <c r="K189" s="216">
        <v>1375.32</v>
      </c>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2"/>
      <c r="BL189" s="92"/>
      <c r="BM189" s="92"/>
      <c r="BN189" s="92"/>
      <c r="BO189" s="92"/>
      <c r="BP189" s="92"/>
      <c r="BQ189" s="92"/>
      <c r="BR189" s="92"/>
      <c r="BS189" s="92"/>
      <c r="BT189" s="92"/>
      <c r="BU189" s="92"/>
      <c r="BV189" s="92"/>
      <c r="BW189" s="92"/>
      <c r="BX189" s="92"/>
      <c r="BY189" s="92"/>
      <c r="BZ189" s="92"/>
      <c r="CA189" s="92"/>
      <c r="CB189" s="92"/>
      <c r="CC189" s="92"/>
      <c r="CD189" s="92"/>
      <c r="CE189" s="92"/>
      <c r="CF189" s="92"/>
      <c r="CG189" s="92"/>
      <c r="CH189" s="92"/>
      <c r="CI189" s="92"/>
      <c r="CJ189" s="92"/>
      <c r="CK189" s="92"/>
      <c r="CL189" s="92"/>
      <c r="CM189" s="92"/>
      <c r="CN189" s="92"/>
      <c r="CO189" s="92"/>
      <c r="CP189" s="92"/>
      <c r="CQ189" s="92"/>
      <c r="CR189" s="92"/>
      <c r="CS189" s="92"/>
      <c r="CT189" s="92"/>
      <c r="CU189" s="92"/>
      <c r="CV189" s="92"/>
    </row>
    <row r="190" spans="1:100">
      <c r="A190" s="178">
        <v>48</v>
      </c>
      <c r="B190" s="173">
        <f ca="1">+RESUMEN!Y51</f>
        <v>0</v>
      </c>
      <c r="C190" s="173">
        <f ca="1">+RESUMEN!Z51</f>
        <v>0</v>
      </c>
      <c r="D190" s="174">
        <f t="shared" ca="1" si="236"/>
        <v>0</v>
      </c>
      <c r="E190" s="91"/>
      <c r="F190" s="384" t="s">
        <v>211</v>
      </c>
      <c r="G190" s="387">
        <f t="shared" si="271"/>
        <v>7462.1</v>
      </c>
      <c r="H190" s="387">
        <f t="shared" si="272"/>
        <v>9504.91</v>
      </c>
      <c r="I190" s="91"/>
      <c r="J190" s="200" t="s">
        <v>211</v>
      </c>
      <c r="K190" s="216">
        <v>1554.75</v>
      </c>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2"/>
      <c r="BL190" s="92"/>
      <c r="BM190" s="92"/>
      <c r="BN190" s="92"/>
      <c r="BO190" s="92"/>
      <c r="BP190" s="92"/>
      <c r="BQ190" s="92"/>
      <c r="BR190" s="92"/>
      <c r="BS190" s="92"/>
      <c r="BT190" s="92"/>
      <c r="BU190" s="92"/>
      <c r="BV190" s="92"/>
      <c r="BW190" s="92"/>
      <c r="BX190" s="92"/>
      <c r="BY190" s="92"/>
      <c r="BZ190" s="92"/>
      <c r="CA190" s="92"/>
      <c r="CB190" s="92"/>
      <c r="CC190" s="92"/>
      <c r="CD190" s="92"/>
      <c r="CE190" s="92"/>
      <c r="CF190" s="92"/>
      <c r="CG190" s="92"/>
      <c r="CH190" s="92"/>
      <c r="CI190" s="92"/>
      <c r="CJ190" s="92"/>
      <c r="CK190" s="92"/>
      <c r="CL190" s="92"/>
      <c r="CM190" s="92"/>
      <c r="CN190" s="92"/>
      <c r="CO190" s="92"/>
      <c r="CP190" s="92"/>
      <c r="CQ190" s="92"/>
      <c r="CR190" s="92"/>
      <c r="CS190" s="92"/>
      <c r="CT190" s="92"/>
      <c r="CU190" s="92"/>
      <c r="CV190" s="92"/>
    </row>
    <row r="191" spans="1:100">
      <c r="A191" s="178">
        <v>49</v>
      </c>
      <c r="B191" s="173">
        <f ca="1">+RESUMEN!Y52</f>
        <v>0</v>
      </c>
      <c r="C191" s="173">
        <f ca="1">+RESUMEN!Z52</f>
        <v>0</v>
      </c>
      <c r="D191" s="174">
        <f t="shared" ca="1" si="236"/>
        <v>0</v>
      </c>
      <c r="E191" s="91"/>
      <c r="F191" s="384" t="s">
        <v>212</v>
      </c>
      <c r="G191" s="387">
        <f t="shared" si="271"/>
        <v>7462.1</v>
      </c>
      <c r="H191" s="387">
        <f t="shared" si="272"/>
        <v>9504.91</v>
      </c>
      <c r="I191" s="91"/>
      <c r="J191" s="200" t="s">
        <v>212</v>
      </c>
      <c r="K191" s="216">
        <v>1759.79</v>
      </c>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2"/>
      <c r="BL191" s="92"/>
      <c r="BM191" s="92"/>
      <c r="BN191" s="92"/>
      <c r="BO191" s="92"/>
      <c r="BP191" s="92"/>
      <c r="BQ191" s="92"/>
      <c r="BR191" s="92"/>
      <c r="BS191" s="92"/>
      <c r="BT191" s="92"/>
      <c r="BU191" s="92"/>
      <c r="BV191" s="92"/>
      <c r="BW191" s="92"/>
      <c r="BX191" s="92"/>
      <c r="BY191" s="92"/>
      <c r="BZ191" s="92"/>
      <c r="CA191" s="92"/>
      <c r="CB191" s="92"/>
      <c r="CC191" s="92"/>
      <c r="CD191" s="92"/>
      <c r="CE191" s="92"/>
      <c r="CF191" s="92"/>
      <c r="CG191" s="92"/>
      <c r="CH191" s="92"/>
      <c r="CI191" s="92"/>
      <c r="CJ191" s="92"/>
      <c r="CK191" s="92"/>
      <c r="CL191" s="92"/>
      <c r="CM191" s="92"/>
      <c r="CN191" s="92"/>
      <c r="CO191" s="92"/>
      <c r="CP191" s="92"/>
      <c r="CQ191" s="92"/>
      <c r="CR191" s="92"/>
      <c r="CS191" s="92"/>
      <c r="CT191" s="92"/>
      <c r="CU191" s="92"/>
      <c r="CV191" s="92"/>
    </row>
    <row r="192" spans="1:100">
      <c r="A192" s="178">
        <v>50</v>
      </c>
      <c r="B192" s="173">
        <f ca="1">+RESUMEN!Y53</f>
        <v>0</v>
      </c>
      <c r="C192" s="173">
        <f ca="1">+RESUMEN!Z53</f>
        <v>0</v>
      </c>
      <c r="D192" s="174">
        <f t="shared" ca="1" si="236"/>
        <v>0</v>
      </c>
      <c r="E192" s="91"/>
      <c r="F192" s="384" t="s">
        <v>213</v>
      </c>
      <c r="G192" s="387">
        <f t="shared" si="271"/>
        <v>7462.1</v>
      </c>
      <c r="H192" s="387">
        <f t="shared" si="272"/>
        <v>9504.91</v>
      </c>
      <c r="I192" s="91"/>
      <c r="J192" s="200" t="s">
        <v>213</v>
      </c>
      <c r="K192" s="216">
        <v>1994.04</v>
      </c>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2"/>
      <c r="BL192" s="92"/>
      <c r="BM192" s="92"/>
      <c r="BN192" s="92"/>
      <c r="BO192" s="92"/>
      <c r="BP192" s="92"/>
      <c r="BQ192" s="92"/>
      <c r="BR192" s="92"/>
      <c r="BS192" s="92"/>
      <c r="BT192" s="92"/>
      <c r="BU192" s="92"/>
      <c r="BV192" s="92"/>
      <c r="BW192" s="92"/>
      <c r="BX192" s="92"/>
      <c r="BY192" s="92"/>
      <c r="BZ192" s="92"/>
      <c r="CA192" s="92"/>
      <c r="CB192" s="92"/>
      <c r="CC192" s="92"/>
      <c r="CD192" s="92"/>
      <c r="CE192" s="92"/>
      <c r="CF192" s="92"/>
      <c r="CG192" s="92"/>
      <c r="CH192" s="92"/>
      <c r="CI192" s="92"/>
      <c r="CJ192" s="92"/>
      <c r="CK192" s="92"/>
      <c r="CL192" s="92"/>
      <c r="CM192" s="92"/>
      <c r="CN192" s="92"/>
      <c r="CO192" s="92"/>
      <c r="CP192" s="92"/>
      <c r="CQ192" s="92"/>
      <c r="CR192" s="92"/>
      <c r="CS192" s="92"/>
      <c r="CT192" s="92"/>
      <c r="CU192" s="92"/>
      <c r="CV192" s="92"/>
    </row>
    <row r="193" spans="1:100">
      <c r="A193" s="178">
        <v>51</v>
      </c>
      <c r="B193" s="173">
        <f ca="1">+RESUMEN!Y54</f>
        <v>0</v>
      </c>
      <c r="C193" s="173">
        <f ca="1">+RESUMEN!Z54</f>
        <v>0</v>
      </c>
      <c r="D193" s="174">
        <f t="shared" ca="1" si="236"/>
        <v>0</v>
      </c>
      <c r="E193" s="91"/>
      <c r="F193" s="384" t="s">
        <v>214</v>
      </c>
      <c r="G193" s="387">
        <f t="shared" si="271"/>
        <v>7462.1</v>
      </c>
      <c r="H193" s="387">
        <f t="shared" si="272"/>
        <v>9504.91</v>
      </c>
      <c r="I193" s="91"/>
      <c r="J193" s="200" t="s">
        <v>214</v>
      </c>
      <c r="K193" s="216">
        <v>2261.75</v>
      </c>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2"/>
      <c r="BL193" s="92"/>
      <c r="BM193" s="92"/>
      <c r="BN193" s="92"/>
      <c r="BO193" s="92"/>
      <c r="BP193" s="92"/>
      <c r="BQ193" s="92"/>
      <c r="BR193" s="92"/>
      <c r="BS193" s="92"/>
      <c r="BT193" s="92"/>
      <c r="BU193" s="92"/>
      <c r="BV193" s="92"/>
      <c r="BW193" s="92"/>
      <c r="BX193" s="92"/>
      <c r="BY193" s="92"/>
      <c r="BZ193" s="92"/>
      <c r="CA193" s="92"/>
      <c r="CB193" s="92"/>
      <c r="CC193" s="92"/>
      <c r="CD193" s="92"/>
      <c r="CE193" s="92"/>
      <c r="CF193" s="92"/>
      <c r="CG193" s="92"/>
      <c r="CH193" s="92"/>
      <c r="CI193" s="92"/>
      <c r="CJ193" s="92"/>
      <c r="CK193" s="92"/>
      <c r="CL193" s="92"/>
      <c r="CM193" s="92"/>
      <c r="CN193" s="92"/>
      <c r="CO193" s="92"/>
      <c r="CP193" s="92"/>
      <c r="CQ193" s="92"/>
      <c r="CR193" s="92"/>
      <c r="CS193" s="92"/>
      <c r="CT193" s="92"/>
      <c r="CU193" s="92"/>
      <c r="CV193" s="92"/>
    </row>
    <row r="194" spans="1:100">
      <c r="A194" s="178">
        <v>52</v>
      </c>
      <c r="B194" s="173">
        <f ca="1">+RESUMEN!Y55</f>
        <v>0</v>
      </c>
      <c r="C194" s="173">
        <f ca="1">+RESUMEN!Z55</f>
        <v>0</v>
      </c>
      <c r="D194" s="174">
        <f t="shared" ca="1" si="236"/>
        <v>0</v>
      </c>
      <c r="E194" s="91"/>
      <c r="F194" s="384" t="s">
        <v>215</v>
      </c>
      <c r="G194" s="387">
        <f t="shared" si="271"/>
        <v>7462.1</v>
      </c>
      <c r="H194" s="387">
        <f t="shared" si="272"/>
        <v>9504.91</v>
      </c>
      <c r="I194" s="91"/>
      <c r="J194" s="200" t="s">
        <v>215</v>
      </c>
      <c r="K194" s="216">
        <v>2567.46</v>
      </c>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2"/>
      <c r="BL194" s="92"/>
      <c r="BM194" s="92"/>
      <c r="BN194" s="92"/>
      <c r="BO194" s="92"/>
      <c r="BP194" s="92"/>
      <c r="BQ194" s="92"/>
      <c r="BR194" s="92"/>
      <c r="BS194" s="92"/>
      <c r="BT194" s="92"/>
      <c r="BU194" s="92"/>
      <c r="BV194" s="92"/>
      <c r="BW194" s="92"/>
      <c r="BX194" s="92"/>
      <c r="BY194" s="92"/>
      <c r="BZ194" s="92"/>
      <c r="CA194" s="92"/>
      <c r="CB194" s="92"/>
      <c r="CC194" s="92"/>
      <c r="CD194" s="92"/>
      <c r="CE194" s="92"/>
      <c r="CF194" s="92"/>
      <c r="CG194" s="92"/>
      <c r="CH194" s="92"/>
      <c r="CI194" s="92"/>
      <c r="CJ194" s="92"/>
      <c r="CK194" s="92"/>
      <c r="CL194" s="92"/>
      <c r="CM194" s="92"/>
      <c r="CN194" s="92"/>
      <c r="CO194" s="92"/>
      <c r="CP194" s="92"/>
      <c r="CQ194" s="92"/>
      <c r="CR194" s="92"/>
      <c r="CS194" s="92"/>
      <c r="CT194" s="92"/>
      <c r="CU194" s="92"/>
      <c r="CV194" s="92"/>
    </row>
    <row r="195" spans="1:100">
      <c r="A195" s="178">
        <v>53</v>
      </c>
      <c r="B195" s="173">
        <f ca="1">+RESUMEN!Y56</f>
        <v>0</v>
      </c>
      <c r="C195" s="173">
        <f ca="1">+RESUMEN!Z56</f>
        <v>0</v>
      </c>
      <c r="D195" s="174">
        <f t="shared" ca="1" si="236"/>
        <v>0</v>
      </c>
      <c r="E195" s="91"/>
      <c r="F195" s="384" t="s">
        <v>216</v>
      </c>
      <c r="G195" s="387">
        <f t="shared" si="271"/>
        <v>7462.1</v>
      </c>
      <c r="H195" s="387">
        <f t="shared" si="272"/>
        <v>9504.91</v>
      </c>
      <c r="I195" s="91"/>
      <c r="J195" s="200" t="s">
        <v>216</v>
      </c>
      <c r="K195" s="216">
        <v>2916.43</v>
      </c>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2"/>
      <c r="BL195" s="92"/>
      <c r="BM195" s="92"/>
      <c r="BN195" s="92"/>
      <c r="BO195" s="92"/>
      <c r="BP195" s="92"/>
      <c r="BQ195" s="92"/>
      <c r="BR195" s="92"/>
      <c r="BS195" s="92"/>
      <c r="BT195" s="92"/>
      <c r="BU195" s="92"/>
      <c r="BV195" s="92"/>
      <c r="BW195" s="92"/>
      <c r="BX195" s="92"/>
      <c r="BY195" s="92"/>
      <c r="BZ195" s="92"/>
      <c r="CA195" s="92"/>
      <c r="CB195" s="92"/>
      <c r="CC195" s="92"/>
      <c r="CD195" s="92"/>
      <c r="CE195" s="92"/>
      <c r="CF195" s="92"/>
      <c r="CG195" s="92"/>
      <c r="CH195" s="92"/>
      <c r="CI195" s="92"/>
      <c r="CJ195" s="92"/>
      <c r="CK195" s="92"/>
      <c r="CL195" s="92"/>
      <c r="CM195" s="92"/>
      <c r="CN195" s="92"/>
      <c r="CO195" s="92"/>
      <c r="CP195" s="92"/>
      <c r="CQ195" s="92"/>
      <c r="CR195" s="92"/>
      <c r="CS195" s="92"/>
      <c r="CT195" s="92"/>
      <c r="CU195" s="92"/>
      <c r="CV195" s="92"/>
    </row>
    <row r="196" spans="1:100">
      <c r="A196" s="178">
        <v>54</v>
      </c>
      <c r="B196" s="173">
        <f ca="1">+RESUMEN!Y57</f>
        <v>0</v>
      </c>
      <c r="C196" s="173">
        <f ca="1">+RESUMEN!Z57</f>
        <v>0</v>
      </c>
      <c r="D196" s="174">
        <f t="shared" ca="1" si="236"/>
        <v>0</v>
      </c>
      <c r="E196" s="91"/>
      <c r="F196" s="384" t="s">
        <v>217</v>
      </c>
      <c r="G196" s="387">
        <f t="shared" si="271"/>
        <v>7462.1</v>
      </c>
      <c r="H196" s="387">
        <f t="shared" si="272"/>
        <v>9504.91</v>
      </c>
      <c r="I196" s="91"/>
      <c r="J196" s="200" t="s">
        <v>217</v>
      </c>
      <c r="K196" s="216">
        <v>3314.21</v>
      </c>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2"/>
      <c r="BL196" s="92"/>
      <c r="BM196" s="92"/>
      <c r="BN196" s="92"/>
      <c r="BO196" s="92"/>
      <c r="BP196" s="92"/>
      <c r="BQ196" s="92"/>
      <c r="BR196" s="92"/>
      <c r="BS196" s="92"/>
      <c r="BT196" s="92"/>
      <c r="BU196" s="92"/>
      <c r="BV196" s="92"/>
      <c r="BW196" s="92"/>
      <c r="BX196" s="92"/>
      <c r="BY196" s="92"/>
      <c r="BZ196" s="92"/>
      <c r="CA196" s="92"/>
      <c r="CB196" s="92"/>
      <c r="CC196" s="92"/>
      <c r="CD196" s="92"/>
      <c r="CE196" s="92"/>
      <c r="CF196" s="92"/>
      <c r="CG196" s="92"/>
      <c r="CH196" s="92"/>
      <c r="CI196" s="92"/>
      <c r="CJ196" s="92"/>
      <c r="CK196" s="92"/>
      <c r="CL196" s="92"/>
      <c r="CM196" s="92"/>
      <c r="CN196" s="92"/>
      <c r="CO196" s="92"/>
      <c r="CP196" s="92"/>
      <c r="CQ196" s="92"/>
      <c r="CR196" s="92"/>
      <c r="CS196" s="92"/>
      <c r="CT196" s="92"/>
      <c r="CU196" s="92"/>
      <c r="CV196" s="92"/>
    </row>
    <row r="197" spans="1:100">
      <c r="A197" s="178">
        <v>55</v>
      </c>
      <c r="B197" s="173">
        <f ca="1">+RESUMEN!Y58</f>
        <v>0</v>
      </c>
      <c r="C197" s="173">
        <f ca="1">+RESUMEN!Z58</f>
        <v>0</v>
      </c>
      <c r="D197" s="174">
        <f t="shared" ca="1" si="236"/>
        <v>0</v>
      </c>
      <c r="E197" s="91"/>
      <c r="F197" s="384" t="s">
        <v>218</v>
      </c>
      <c r="G197" s="387">
        <f t="shared" si="271"/>
        <v>7462.1</v>
      </c>
      <c r="H197" s="387">
        <f t="shared" si="272"/>
        <v>9504.91</v>
      </c>
      <c r="I197" s="91"/>
      <c r="J197" s="200" t="s">
        <v>218</v>
      </c>
      <c r="K197" s="216">
        <v>3767</v>
      </c>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2"/>
      <c r="BL197" s="92"/>
      <c r="BM197" s="92"/>
      <c r="BN197" s="92"/>
      <c r="BO197" s="92"/>
      <c r="BP197" s="92"/>
      <c r="BQ197" s="92"/>
      <c r="BR197" s="92"/>
      <c r="BS197" s="92"/>
      <c r="BT197" s="92"/>
      <c r="BU197" s="92"/>
      <c r="BV197" s="92"/>
      <c r="BW197" s="92"/>
      <c r="BX197" s="92"/>
      <c r="BY197" s="92"/>
      <c r="BZ197" s="92"/>
      <c r="CA197" s="92"/>
      <c r="CB197" s="92"/>
      <c r="CC197" s="92"/>
      <c r="CD197" s="92"/>
      <c r="CE197" s="92"/>
      <c r="CF197" s="92"/>
      <c r="CG197" s="92"/>
      <c r="CH197" s="92"/>
      <c r="CI197" s="92"/>
      <c r="CJ197" s="92"/>
      <c r="CK197" s="92"/>
      <c r="CL197" s="92"/>
      <c r="CM197" s="92"/>
      <c r="CN197" s="92"/>
      <c r="CO197" s="92"/>
      <c r="CP197" s="92"/>
      <c r="CQ197" s="92"/>
      <c r="CR197" s="92"/>
      <c r="CS197" s="92"/>
      <c r="CT197" s="92"/>
      <c r="CU197" s="92"/>
      <c r="CV197" s="92"/>
    </row>
    <row r="198" spans="1:100">
      <c r="A198" s="178">
        <v>56</v>
      </c>
      <c r="B198" s="173">
        <f ca="1">+RESUMEN!Y59</f>
        <v>0</v>
      </c>
      <c r="C198" s="173">
        <f ca="1">+RESUMEN!Z59</f>
        <v>0</v>
      </c>
      <c r="D198" s="174">
        <f t="shared" ca="1" si="236"/>
        <v>0</v>
      </c>
      <c r="E198" s="91"/>
      <c r="F198" s="384" t="s">
        <v>219</v>
      </c>
      <c r="G198" s="387">
        <f t="shared" si="271"/>
        <v>7462.1</v>
      </c>
      <c r="H198" s="387">
        <f t="shared" si="272"/>
        <v>9504.91</v>
      </c>
      <c r="I198" s="91"/>
      <c r="J198" s="200" t="s">
        <v>219</v>
      </c>
      <c r="K198" s="216">
        <v>4281.25</v>
      </c>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2"/>
      <c r="BL198" s="92"/>
      <c r="BM198" s="92"/>
      <c r="BN198" s="92"/>
      <c r="BO198" s="92"/>
      <c r="BP198" s="92"/>
      <c r="BQ198" s="92"/>
      <c r="BR198" s="92"/>
      <c r="BS198" s="92"/>
      <c r="BT198" s="92"/>
      <c r="BU198" s="92"/>
      <c r="BV198" s="92"/>
      <c r="BW198" s="92"/>
      <c r="BX198" s="92"/>
      <c r="BY198" s="92"/>
      <c r="BZ198" s="92"/>
      <c r="CA198" s="92"/>
      <c r="CB198" s="92"/>
      <c r="CC198" s="92"/>
      <c r="CD198" s="92"/>
      <c r="CE198" s="92"/>
      <c r="CF198" s="92"/>
      <c r="CG198" s="92"/>
      <c r="CH198" s="92"/>
      <c r="CI198" s="92"/>
      <c r="CJ198" s="92"/>
      <c r="CK198" s="92"/>
      <c r="CL198" s="92"/>
      <c r="CM198" s="92"/>
      <c r="CN198" s="92"/>
      <c r="CO198" s="92"/>
      <c r="CP198" s="92"/>
      <c r="CQ198" s="92"/>
      <c r="CR198" s="92"/>
      <c r="CS198" s="92"/>
      <c r="CT198" s="92"/>
      <c r="CU198" s="92"/>
      <c r="CV198" s="92"/>
    </row>
    <row r="199" spans="1:100">
      <c r="A199" s="178">
        <v>57</v>
      </c>
      <c r="B199" s="173">
        <f ca="1">+RESUMEN!Y60</f>
        <v>0</v>
      </c>
      <c r="C199" s="173">
        <f ca="1">+RESUMEN!Z60</f>
        <v>0</v>
      </c>
      <c r="D199" s="174">
        <f t="shared" ca="1" si="236"/>
        <v>0</v>
      </c>
      <c r="E199" s="91"/>
      <c r="F199" s="384" t="s">
        <v>220</v>
      </c>
      <c r="G199" s="387">
        <f t="shared" si="271"/>
        <v>7462.1</v>
      </c>
      <c r="H199" s="387">
        <f t="shared" si="272"/>
        <v>9504.91</v>
      </c>
      <c r="I199" s="91"/>
      <c r="J199" s="200" t="s">
        <v>220</v>
      </c>
      <c r="K199" s="216">
        <v>4863.71</v>
      </c>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2"/>
      <c r="BL199" s="92"/>
      <c r="BM199" s="92"/>
      <c r="BN199" s="92"/>
      <c r="BO199" s="92"/>
      <c r="BP199" s="92"/>
      <c r="BQ199" s="92"/>
      <c r="BR199" s="92"/>
      <c r="BS199" s="92"/>
      <c r="BT199" s="92"/>
      <c r="BU199" s="92"/>
      <c r="BV199" s="92"/>
      <c r="BW199" s="92"/>
      <c r="BX199" s="92"/>
      <c r="BY199" s="92"/>
      <c r="BZ199" s="92"/>
      <c r="CA199" s="92"/>
      <c r="CB199" s="92"/>
      <c r="CC199" s="92"/>
      <c r="CD199" s="92"/>
      <c r="CE199" s="92"/>
      <c r="CF199" s="92"/>
      <c r="CG199" s="92"/>
      <c r="CH199" s="92"/>
      <c r="CI199" s="92"/>
      <c r="CJ199" s="92"/>
      <c r="CK199" s="92"/>
      <c r="CL199" s="92"/>
      <c r="CM199" s="92"/>
      <c r="CN199" s="92"/>
      <c r="CO199" s="92"/>
      <c r="CP199" s="92"/>
      <c r="CQ199" s="92"/>
      <c r="CR199" s="92"/>
      <c r="CS199" s="92"/>
      <c r="CT199" s="92"/>
      <c r="CU199" s="92"/>
      <c r="CV199" s="92"/>
    </row>
    <row r="200" spans="1:100">
      <c r="A200" s="178">
        <v>58</v>
      </c>
      <c r="B200" s="173">
        <f ca="1">+RESUMEN!Y61</f>
        <v>0</v>
      </c>
      <c r="C200" s="173">
        <f ca="1">+RESUMEN!Z61</f>
        <v>0</v>
      </c>
      <c r="D200" s="174">
        <f t="shared" ca="1" si="236"/>
        <v>0</v>
      </c>
      <c r="E200" s="91"/>
      <c r="F200" s="384" t="s">
        <v>221</v>
      </c>
      <c r="G200" s="387">
        <f t="shared" si="271"/>
        <v>7462.1</v>
      </c>
      <c r="H200" s="387">
        <f t="shared" si="272"/>
        <v>9504.91</v>
      </c>
      <c r="I200" s="91"/>
      <c r="J200" s="200" t="s">
        <v>221</v>
      </c>
      <c r="K200" s="216">
        <v>5521.21</v>
      </c>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2"/>
      <c r="BL200" s="92"/>
      <c r="BM200" s="92"/>
      <c r="BN200" s="92"/>
      <c r="BO200" s="92"/>
      <c r="BP200" s="92"/>
      <c r="BQ200" s="92"/>
      <c r="BR200" s="92"/>
      <c r="BS200" s="92"/>
      <c r="BT200" s="92"/>
      <c r="BU200" s="92"/>
      <c r="BV200" s="92"/>
      <c r="BW200" s="92"/>
      <c r="BX200" s="92"/>
      <c r="BY200" s="92"/>
      <c r="BZ200" s="92"/>
      <c r="CA200" s="92"/>
      <c r="CB200" s="92"/>
      <c r="CC200" s="92"/>
      <c r="CD200" s="92"/>
      <c r="CE200" s="92"/>
      <c r="CF200" s="92"/>
      <c r="CG200" s="92"/>
      <c r="CH200" s="92"/>
      <c r="CI200" s="92"/>
      <c r="CJ200" s="92"/>
      <c r="CK200" s="92"/>
      <c r="CL200" s="92"/>
      <c r="CM200" s="92"/>
      <c r="CN200" s="92"/>
      <c r="CO200" s="92"/>
      <c r="CP200" s="92"/>
      <c r="CQ200" s="92"/>
      <c r="CR200" s="92"/>
      <c r="CS200" s="92"/>
      <c r="CT200" s="92"/>
      <c r="CU200" s="92"/>
      <c r="CV200" s="92"/>
    </row>
    <row r="201" spans="1:100">
      <c r="A201" s="178">
        <v>59</v>
      </c>
      <c r="B201" s="173">
        <f ca="1">+RESUMEN!Y62</f>
        <v>0</v>
      </c>
      <c r="C201" s="173">
        <f ca="1">+RESUMEN!Z62</f>
        <v>0</v>
      </c>
      <c r="D201" s="174">
        <f t="shared" ca="1" si="236"/>
        <v>0</v>
      </c>
      <c r="E201" s="91"/>
      <c r="F201" s="384" t="s">
        <v>222</v>
      </c>
      <c r="G201" s="387">
        <f t="shared" si="271"/>
        <v>7462.1</v>
      </c>
      <c r="H201" s="387">
        <f t="shared" si="272"/>
        <v>9504.91</v>
      </c>
      <c r="I201" s="91"/>
      <c r="J201" s="200" t="s">
        <v>222</v>
      </c>
      <c r="K201" s="216">
        <v>6260.39</v>
      </c>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2"/>
      <c r="BL201" s="92"/>
      <c r="BM201" s="92"/>
      <c r="BN201" s="92"/>
      <c r="BO201" s="92"/>
      <c r="BP201" s="92"/>
      <c r="BQ201" s="92"/>
      <c r="BR201" s="92"/>
      <c r="BS201" s="92"/>
      <c r="BT201" s="92"/>
      <c r="BU201" s="92"/>
      <c r="BV201" s="92"/>
      <c r="BW201" s="92"/>
      <c r="BX201" s="92"/>
      <c r="BY201" s="92"/>
      <c r="BZ201" s="92"/>
      <c r="CA201" s="92"/>
      <c r="CB201" s="92"/>
      <c r="CC201" s="92"/>
      <c r="CD201" s="92"/>
      <c r="CE201" s="92"/>
      <c r="CF201" s="92"/>
      <c r="CG201" s="92"/>
      <c r="CH201" s="92"/>
      <c r="CI201" s="92"/>
      <c r="CJ201" s="92"/>
      <c r="CK201" s="92"/>
      <c r="CL201" s="92"/>
      <c r="CM201" s="92"/>
      <c r="CN201" s="92"/>
      <c r="CO201" s="92"/>
      <c r="CP201" s="92"/>
      <c r="CQ201" s="92"/>
      <c r="CR201" s="92"/>
      <c r="CS201" s="92"/>
      <c r="CT201" s="92"/>
      <c r="CU201" s="92"/>
      <c r="CV201" s="92"/>
    </row>
    <row r="202" spans="1:100">
      <c r="A202" s="178">
        <v>60</v>
      </c>
      <c r="B202" s="173">
        <f ca="1">+RESUMEN!Y63</f>
        <v>0</v>
      </c>
      <c r="C202" s="173">
        <f ca="1">+RESUMEN!Z63</f>
        <v>0</v>
      </c>
      <c r="D202" s="174">
        <f t="shared" ca="1" si="236"/>
        <v>0</v>
      </c>
      <c r="E202" s="91"/>
      <c r="F202" s="384" t="s">
        <v>223</v>
      </c>
      <c r="G202" s="387">
        <f t="shared" si="271"/>
        <v>7462.1</v>
      </c>
      <c r="H202" s="387">
        <f t="shared" si="272"/>
        <v>9504.91</v>
      </c>
      <c r="I202" s="91"/>
      <c r="J202" s="200" t="s">
        <v>223</v>
      </c>
      <c r="K202" s="216">
        <v>7087.18</v>
      </c>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2"/>
      <c r="BL202" s="92"/>
      <c r="BM202" s="92"/>
      <c r="BN202" s="92"/>
      <c r="BO202" s="92"/>
      <c r="BP202" s="92"/>
      <c r="BQ202" s="92"/>
      <c r="BR202" s="92"/>
      <c r="BS202" s="92"/>
      <c r="BT202" s="92"/>
      <c r="BU202" s="92"/>
      <c r="BV202" s="92"/>
      <c r="BW202" s="92"/>
      <c r="BX202" s="92"/>
      <c r="BY202" s="92"/>
      <c r="BZ202" s="92"/>
      <c r="CA202" s="92"/>
      <c r="CB202" s="92"/>
      <c r="CC202" s="92"/>
      <c r="CD202" s="92"/>
      <c r="CE202" s="92"/>
      <c r="CF202" s="92"/>
      <c r="CG202" s="92"/>
      <c r="CH202" s="92"/>
      <c r="CI202" s="92"/>
      <c r="CJ202" s="92"/>
      <c r="CK202" s="92"/>
      <c r="CL202" s="92"/>
      <c r="CM202" s="92"/>
      <c r="CN202" s="92"/>
      <c r="CO202" s="92"/>
      <c r="CP202" s="92"/>
      <c r="CQ202" s="92"/>
      <c r="CR202" s="92"/>
      <c r="CS202" s="92"/>
      <c r="CT202" s="92"/>
      <c r="CU202" s="92"/>
      <c r="CV202" s="92"/>
    </row>
    <row r="203" spans="1:100">
      <c r="A203" s="178">
        <v>61</v>
      </c>
      <c r="B203" s="173">
        <f ca="1">+RESUMEN!Y64</f>
        <v>0</v>
      </c>
      <c r="C203" s="173">
        <f ca="1">+RESUMEN!Z64</f>
        <v>0</v>
      </c>
      <c r="D203" s="174">
        <f t="shared" ca="1" si="236"/>
        <v>0</v>
      </c>
      <c r="E203" s="91"/>
      <c r="F203" s="384" t="s">
        <v>224</v>
      </c>
      <c r="G203" s="387">
        <f t="shared" si="271"/>
        <v>7462.1</v>
      </c>
      <c r="H203" s="387">
        <f t="shared" si="272"/>
        <v>9504.91</v>
      </c>
      <c r="I203" s="91"/>
      <c r="J203" s="200" t="s">
        <v>224</v>
      </c>
      <c r="K203" s="216">
        <v>8006.57</v>
      </c>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2"/>
      <c r="BL203" s="92"/>
      <c r="BM203" s="92"/>
      <c r="BN203" s="92"/>
      <c r="BO203" s="92"/>
      <c r="BP203" s="92"/>
      <c r="BQ203" s="92"/>
      <c r="BR203" s="92"/>
      <c r="BS203" s="92"/>
      <c r="BT203" s="92"/>
      <c r="BU203" s="92"/>
      <c r="BV203" s="92"/>
      <c r="BW203" s="92"/>
      <c r="BX203" s="92"/>
      <c r="BY203" s="92"/>
      <c r="BZ203" s="92"/>
      <c r="CA203" s="92"/>
      <c r="CB203" s="92"/>
      <c r="CC203" s="92"/>
      <c r="CD203" s="92"/>
      <c r="CE203" s="92"/>
      <c r="CF203" s="92"/>
      <c r="CG203" s="92"/>
      <c r="CH203" s="92"/>
      <c r="CI203" s="92"/>
      <c r="CJ203" s="92"/>
      <c r="CK203" s="92"/>
      <c r="CL203" s="92"/>
      <c r="CM203" s="92"/>
      <c r="CN203" s="92"/>
      <c r="CO203" s="92"/>
      <c r="CP203" s="92"/>
      <c r="CQ203" s="92"/>
      <c r="CR203" s="92"/>
      <c r="CS203" s="92"/>
      <c r="CT203" s="92"/>
      <c r="CU203" s="92"/>
      <c r="CV203" s="92"/>
    </row>
    <row r="204" spans="1:100">
      <c r="A204" s="178">
        <v>62</v>
      </c>
      <c r="B204" s="173">
        <f ca="1">+RESUMEN!Y65</f>
        <v>0</v>
      </c>
      <c r="C204" s="173">
        <f ca="1">+RESUMEN!Z65</f>
        <v>0</v>
      </c>
      <c r="D204" s="174">
        <f t="shared" ca="1" si="236"/>
        <v>0</v>
      </c>
      <c r="E204" s="91"/>
      <c r="F204" s="384" t="s">
        <v>225</v>
      </c>
      <c r="G204" s="387">
        <f t="shared" si="271"/>
        <v>7462.1</v>
      </c>
      <c r="H204" s="387">
        <f t="shared" si="272"/>
        <v>9504.91</v>
      </c>
      <c r="I204" s="91"/>
      <c r="J204" s="200" t="s">
        <v>225</v>
      </c>
      <c r="K204" s="216">
        <v>9021.89</v>
      </c>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2"/>
      <c r="BL204" s="92"/>
      <c r="BM204" s="92"/>
      <c r="BN204" s="92"/>
      <c r="BO204" s="92"/>
      <c r="BP204" s="92"/>
      <c r="BQ204" s="92"/>
      <c r="BR204" s="92"/>
      <c r="BS204" s="92"/>
      <c r="BT204" s="92"/>
      <c r="BU204" s="92"/>
      <c r="BV204" s="92"/>
      <c r="BW204" s="92"/>
      <c r="BX204" s="92"/>
      <c r="BY204" s="92"/>
      <c r="BZ204" s="92"/>
      <c r="CA204" s="92"/>
      <c r="CB204" s="92"/>
      <c r="CC204" s="92"/>
      <c r="CD204" s="92"/>
      <c r="CE204" s="92"/>
      <c r="CF204" s="92"/>
      <c r="CG204" s="92"/>
      <c r="CH204" s="92"/>
      <c r="CI204" s="92"/>
      <c r="CJ204" s="92"/>
      <c r="CK204" s="92"/>
      <c r="CL204" s="92"/>
      <c r="CM204" s="92"/>
      <c r="CN204" s="92"/>
      <c r="CO204" s="92"/>
      <c r="CP204" s="92"/>
      <c r="CQ204" s="92"/>
      <c r="CR204" s="92"/>
      <c r="CS204" s="92"/>
      <c r="CT204" s="92"/>
      <c r="CU204" s="92"/>
      <c r="CV204" s="92"/>
    </row>
    <row r="205" spans="1:100">
      <c r="A205" s="178">
        <v>63</v>
      </c>
      <c r="B205" s="173">
        <f ca="1">+RESUMEN!Y66</f>
        <v>0</v>
      </c>
      <c r="C205" s="173">
        <f ca="1">+RESUMEN!Z66</f>
        <v>0</v>
      </c>
      <c r="D205" s="174">
        <f t="shared" ca="1" si="236"/>
        <v>0</v>
      </c>
      <c r="E205" s="91"/>
      <c r="F205" s="384" t="s">
        <v>226</v>
      </c>
      <c r="G205" s="387">
        <f t="shared" si="271"/>
        <v>7462.1</v>
      </c>
      <c r="H205" s="387">
        <f t="shared" si="272"/>
        <v>9504.91</v>
      </c>
      <c r="I205" s="91"/>
      <c r="J205" s="200" t="s">
        <v>226</v>
      </c>
      <c r="K205" s="216">
        <v>10134.290000000001</v>
      </c>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2"/>
      <c r="BL205" s="92"/>
      <c r="BM205" s="92"/>
      <c r="BN205" s="92"/>
      <c r="BO205" s="92"/>
      <c r="BP205" s="92"/>
      <c r="BQ205" s="92"/>
      <c r="BR205" s="92"/>
      <c r="BS205" s="92"/>
      <c r="BT205" s="92"/>
      <c r="BU205" s="92"/>
      <c r="BV205" s="92"/>
      <c r="BW205" s="92"/>
      <c r="BX205" s="92"/>
      <c r="BY205" s="92"/>
      <c r="BZ205" s="92"/>
      <c r="CA205" s="92"/>
      <c r="CB205" s="92"/>
      <c r="CC205" s="92"/>
      <c r="CD205" s="92"/>
      <c r="CE205" s="92"/>
      <c r="CF205" s="92"/>
      <c r="CG205" s="92"/>
      <c r="CH205" s="92"/>
      <c r="CI205" s="92"/>
      <c r="CJ205" s="92"/>
      <c r="CK205" s="92"/>
      <c r="CL205" s="92"/>
      <c r="CM205" s="92"/>
      <c r="CN205" s="92"/>
      <c r="CO205" s="92"/>
      <c r="CP205" s="92"/>
      <c r="CQ205" s="92"/>
      <c r="CR205" s="92"/>
      <c r="CS205" s="92"/>
      <c r="CT205" s="92"/>
      <c r="CU205" s="92"/>
      <c r="CV205" s="92"/>
    </row>
    <row r="206" spans="1:100">
      <c r="A206" s="178">
        <v>64</v>
      </c>
      <c r="B206" s="173">
        <f ca="1">+RESUMEN!Y67</f>
        <v>0</v>
      </c>
      <c r="C206" s="173">
        <f ca="1">+RESUMEN!Z67</f>
        <v>0</v>
      </c>
      <c r="D206" s="174">
        <f t="shared" ref="D206:D242" ca="1" si="273">B206+C206</f>
        <v>0</v>
      </c>
      <c r="E206" s="91"/>
      <c r="F206" s="384" t="s">
        <v>227</v>
      </c>
      <c r="G206" s="387">
        <f t="shared" si="271"/>
        <v>7462.1</v>
      </c>
      <c r="H206" s="387">
        <f t="shared" si="272"/>
        <v>9504.91</v>
      </c>
      <c r="I206" s="91"/>
      <c r="J206" s="200" t="s">
        <v>227</v>
      </c>
      <c r="K206" s="216">
        <v>11342</v>
      </c>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2"/>
      <c r="BL206" s="92"/>
      <c r="BM206" s="92"/>
      <c r="BN206" s="92"/>
      <c r="BO206" s="92"/>
      <c r="BP206" s="92"/>
      <c r="BQ206" s="92"/>
      <c r="BR206" s="92"/>
      <c r="BS206" s="92"/>
      <c r="BT206" s="92"/>
      <c r="BU206" s="92"/>
      <c r="BV206" s="92"/>
      <c r="BW206" s="92"/>
      <c r="BX206" s="92"/>
      <c r="BY206" s="92"/>
      <c r="BZ206" s="92"/>
      <c r="CA206" s="92"/>
      <c r="CB206" s="92"/>
      <c r="CC206" s="92"/>
      <c r="CD206" s="92"/>
      <c r="CE206" s="92"/>
      <c r="CF206" s="92"/>
      <c r="CG206" s="92"/>
      <c r="CH206" s="92"/>
      <c r="CI206" s="92"/>
      <c r="CJ206" s="92"/>
      <c r="CK206" s="92"/>
      <c r="CL206" s="92"/>
      <c r="CM206" s="92"/>
      <c r="CN206" s="92"/>
      <c r="CO206" s="92"/>
      <c r="CP206" s="92"/>
      <c r="CQ206" s="92"/>
      <c r="CR206" s="92"/>
      <c r="CS206" s="92"/>
      <c r="CT206" s="92"/>
      <c r="CU206" s="92"/>
      <c r="CV206" s="92"/>
    </row>
    <row r="207" spans="1:100">
      <c r="A207" s="178">
        <v>65</v>
      </c>
      <c r="B207" s="173">
        <f ca="1">+RESUMEN!Y68</f>
        <v>0</v>
      </c>
      <c r="C207" s="173">
        <f ca="1">+RESUMEN!Z68</f>
        <v>0</v>
      </c>
      <c r="D207" s="174">
        <f t="shared" ca="1" si="273"/>
        <v>0</v>
      </c>
      <c r="E207" s="91"/>
      <c r="F207" s="384" t="s">
        <v>228</v>
      </c>
      <c r="G207" s="387">
        <f t="shared" si="271"/>
        <v>7462.1</v>
      </c>
      <c r="H207" s="387">
        <f t="shared" si="272"/>
        <v>9504.91</v>
      </c>
      <c r="I207" s="91"/>
      <c r="J207" s="200" t="s">
        <v>228</v>
      </c>
      <c r="K207" s="216">
        <v>12639.96</v>
      </c>
      <c r="L207" s="337"/>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2"/>
      <c r="BL207" s="92"/>
      <c r="BM207" s="92"/>
      <c r="BN207" s="92"/>
      <c r="BO207" s="92"/>
      <c r="BP207" s="92"/>
      <c r="BQ207" s="92"/>
      <c r="BR207" s="92"/>
      <c r="BS207" s="92"/>
      <c r="BT207" s="92"/>
      <c r="BU207" s="92"/>
      <c r="BV207" s="92"/>
      <c r="BW207" s="92"/>
      <c r="BX207" s="92"/>
      <c r="BY207" s="92"/>
      <c r="BZ207" s="92"/>
      <c r="CA207" s="92"/>
      <c r="CB207" s="92"/>
      <c r="CC207" s="92"/>
      <c r="CD207" s="92"/>
      <c r="CE207" s="92"/>
      <c r="CF207" s="92"/>
      <c r="CG207" s="92"/>
      <c r="CH207" s="92"/>
      <c r="CI207" s="92"/>
      <c r="CJ207" s="92"/>
      <c r="CK207" s="92"/>
      <c r="CL207" s="92"/>
      <c r="CM207" s="92"/>
      <c r="CN207" s="92"/>
      <c r="CO207" s="92"/>
      <c r="CP207" s="92"/>
      <c r="CQ207" s="92"/>
      <c r="CR207" s="92"/>
      <c r="CS207" s="92"/>
      <c r="CT207" s="92"/>
      <c r="CU207" s="92"/>
      <c r="CV207" s="92"/>
    </row>
    <row r="208" spans="1:100">
      <c r="A208" s="178">
        <v>66</v>
      </c>
      <c r="B208" s="173">
        <f ca="1">+RESUMEN!Y69</f>
        <v>0</v>
      </c>
      <c r="C208" s="173">
        <f ca="1">+RESUMEN!Z69</f>
        <v>0</v>
      </c>
      <c r="D208" s="174">
        <f t="shared" ca="1" si="273"/>
        <v>0</v>
      </c>
      <c r="E208" s="91"/>
      <c r="F208" s="91"/>
      <c r="G208" s="91"/>
      <c r="H208" s="91"/>
      <c r="I208" s="91"/>
      <c r="J208" s="91"/>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2"/>
      <c r="BL208" s="92"/>
      <c r="BM208" s="92"/>
      <c r="BN208" s="92"/>
      <c r="BO208" s="92"/>
      <c r="BP208" s="92"/>
      <c r="BQ208" s="92"/>
      <c r="BR208" s="92"/>
      <c r="BS208" s="92"/>
      <c r="BT208" s="92"/>
      <c r="BU208" s="92"/>
      <c r="BV208" s="92"/>
      <c r="BW208" s="92"/>
      <c r="BX208" s="92"/>
      <c r="BY208" s="92"/>
      <c r="BZ208" s="92"/>
      <c r="CA208" s="92"/>
      <c r="CB208" s="92"/>
      <c r="CC208" s="92"/>
      <c r="CD208" s="92"/>
      <c r="CE208" s="92"/>
      <c r="CF208" s="92"/>
      <c r="CG208" s="92"/>
      <c r="CH208" s="92"/>
      <c r="CI208" s="92"/>
      <c r="CJ208" s="92"/>
      <c r="CK208" s="92"/>
      <c r="CL208" s="92"/>
      <c r="CM208" s="92"/>
      <c r="CN208" s="92"/>
      <c r="CO208" s="92"/>
      <c r="CP208" s="92"/>
      <c r="CQ208" s="92"/>
      <c r="CR208" s="92"/>
      <c r="CS208" s="92"/>
      <c r="CT208" s="92"/>
      <c r="CU208" s="92"/>
      <c r="CV208" s="92"/>
    </row>
    <row r="209" spans="1:100">
      <c r="A209" s="178">
        <v>67</v>
      </c>
      <c r="B209" s="173">
        <f ca="1">+RESUMEN!Y70</f>
        <v>0</v>
      </c>
      <c r="C209" s="173">
        <f ca="1">+RESUMEN!Z70</f>
        <v>0</v>
      </c>
      <c r="D209" s="174">
        <f t="shared" ca="1" si="273"/>
        <v>0</v>
      </c>
      <c r="E209" s="91"/>
      <c r="F209" s="91"/>
      <c r="G209" s="91"/>
      <c r="H209" s="91"/>
      <c r="I209" s="91"/>
      <c r="J209" s="91"/>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2"/>
      <c r="BL209" s="92"/>
      <c r="BM209" s="92"/>
      <c r="BN209" s="92"/>
      <c r="BO209" s="92"/>
      <c r="BP209" s="92"/>
      <c r="BQ209" s="92"/>
      <c r="BR209" s="92"/>
      <c r="BS209" s="92"/>
      <c r="BT209" s="92"/>
      <c r="BU209" s="92"/>
      <c r="BV209" s="92"/>
      <c r="BW209" s="92"/>
      <c r="BX209" s="92"/>
      <c r="BY209" s="92"/>
      <c r="BZ209" s="92"/>
      <c r="CA209" s="92"/>
      <c r="CB209" s="92"/>
      <c r="CC209" s="92"/>
      <c r="CD209" s="92"/>
      <c r="CE209" s="92"/>
      <c r="CF209" s="92"/>
      <c r="CG209" s="92"/>
      <c r="CH209" s="92"/>
      <c r="CI209" s="92"/>
      <c r="CJ209" s="92"/>
      <c r="CK209" s="92"/>
      <c r="CL209" s="92"/>
      <c r="CM209" s="92"/>
      <c r="CN209" s="92"/>
      <c r="CO209" s="92"/>
      <c r="CP209" s="92"/>
      <c r="CQ209" s="92"/>
      <c r="CR209" s="92"/>
      <c r="CS209" s="92"/>
      <c r="CT209" s="92"/>
      <c r="CU209" s="92"/>
      <c r="CV209" s="92"/>
    </row>
    <row r="210" spans="1:100">
      <c r="A210" s="178">
        <v>68</v>
      </c>
      <c r="B210" s="173">
        <f ca="1">+RESUMEN!Y71</f>
        <v>0</v>
      </c>
      <c r="C210" s="173">
        <f ca="1">+RESUMEN!Z71</f>
        <v>0</v>
      </c>
      <c r="D210" s="174">
        <f t="shared" ca="1" si="273"/>
        <v>0</v>
      </c>
      <c r="E210" s="91"/>
      <c r="F210" s="91"/>
      <c r="G210" s="91"/>
      <c r="H210" s="91"/>
      <c r="I210" s="91"/>
      <c r="J210" s="91"/>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2"/>
      <c r="BL210" s="92"/>
      <c r="BM210" s="92"/>
      <c r="BN210" s="92"/>
      <c r="BO210" s="92"/>
      <c r="BP210" s="92"/>
      <c r="BQ210" s="92"/>
      <c r="BR210" s="92"/>
      <c r="BS210" s="92"/>
      <c r="BT210" s="92"/>
      <c r="BU210" s="92"/>
      <c r="BV210" s="92"/>
      <c r="BW210" s="92"/>
      <c r="BX210" s="92"/>
      <c r="BY210" s="92"/>
      <c r="BZ210" s="92"/>
      <c r="CA210" s="92"/>
      <c r="CB210" s="92"/>
      <c r="CC210" s="92"/>
      <c r="CD210" s="92"/>
      <c r="CE210" s="92"/>
      <c r="CF210" s="92"/>
      <c r="CG210" s="92"/>
      <c r="CH210" s="92"/>
      <c r="CI210" s="92"/>
      <c r="CJ210" s="92"/>
      <c r="CK210" s="92"/>
      <c r="CL210" s="92"/>
      <c r="CM210" s="92"/>
      <c r="CN210" s="92"/>
      <c r="CO210" s="92"/>
      <c r="CP210" s="92"/>
      <c r="CQ210" s="92"/>
      <c r="CR210" s="92"/>
      <c r="CS210" s="92"/>
      <c r="CT210" s="92"/>
      <c r="CU210" s="92"/>
      <c r="CV210" s="92"/>
    </row>
    <row r="211" spans="1:100">
      <c r="A211" s="178">
        <v>69</v>
      </c>
      <c r="B211" s="173">
        <f ca="1">+RESUMEN!Y72</f>
        <v>0</v>
      </c>
      <c r="C211" s="173">
        <f ca="1">+RESUMEN!Z72</f>
        <v>0</v>
      </c>
      <c r="D211" s="174">
        <f t="shared" ca="1" si="273"/>
        <v>0</v>
      </c>
      <c r="E211" s="91"/>
      <c r="F211" s="91"/>
      <c r="G211" s="91"/>
      <c r="H211" s="91"/>
      <c r="I211" s="91"/>
      <c r="J211" s="91"/>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2"/>
      <c r="BL211" s="92"/>
      <c r="BM211" s="92"/>
      <c r="BN211" s="92"/>
      <c r="BO211" s="92"/>
      <c r="BP211" s="92"/>
      <c r="BQ211" s="92"/>
      <c r="BR211" s="92"/>
      <c r="BS211" s="92"/>
      <c r="BT211" s="92"/>
      <c r="BU211" s="92"/>
      <c r="BV211" s="92"/>
      <c r="BW211" s="92"/>
      <c r="BX211" s="92"/>
      <c r="BY211" s="92"/>
      <c r="BZ211" s="92"/>
      <c r="CA211" s="92"/>
      <c r="CB211" s="92"/>
      <c r="CC211" s="92"/>
      <c r="CD211" s="92"/>
      <c r="CE211" s="92"/>
      <c r="CF211" s="92"/>
      <c r="CG211" s="92"/>
      <c r="CH211" s="92"/>
      <c r="CI211" s="92"/>
      <c r="CJ211" s="92"/>
      <c r="CK211" s="92"/>
      <c r="CL211" s="92"/>
      <c r="CM211" s="92"/>
      <c r="CN211" s="92"/>
      <c r="CO211" s="92"/>
      <c r="CP211" s="92"/>
      <c r="CQ211" s="92"/>
      <c r="CR211" s="92"/>
      <c r="CS211" s="92"/>
      <c r="CT211" s="92"/>
      <c r="CU211" s="92"/>
      <c r="CV211" s="92"/>
    </row>
    <row r="212" spans="1:100">
      <c r="A212" s="178">
        <v>70</v>
      </c>
      <c r="B212" s="173">
        <f ca="1">+RESUMEN!Y73</f>
        <v>0</v>
      </c>
      <c r="C212" s="173">
        <f ca="1">+RESUMEN!Z73</f>
        <v>0</v>
      </c>
      <c r="D212" s="174">
        <f t="shared" ca="1" si="273"/>
        <v>0</v>
      </c>
      <c r="E212" s="91"/>
      <c r="F212" s="91"/>
      <c r="G212" s="91"/>
      <c r="H212" s="91"/>
      <c r="I212" s="91"/>
      <c r="J212" s="91"/>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2"/>
      <c r="BL212" s="92"/>
      <c r="BM212" s="92"/>
      <c r="BN212" s="92"/>
      <c r="BO212" s="92"/>
      <c r="BP212" s="92"/>
      <c r="BQ212" s="92"/>
      <c r="BR212" s="92"/>
      <c r="BS212" s="92"/>
      <c r="BT212" s="92"/>
      <c r="BU212" s="92"/>
      <c r="BV212" s="92"/>
      <c r="BW212" s="92"/>
      <c r="BX212" s="92"/>
      <c r="BY212" s="92"/>
      <c r="BZ212" s="92"/>
      <c r="CA212" s="92"/>
      <c r="CB212" s="92"/>
      <c r="CC212" s="92"/>
      <c r="CD212" s="92"/>
      <c r="CE212" s="92"/>
      <c r="CF212" s="92"/>
      <c r="CG212" s="92"/>
      <c r="CH212" s="92"/>
      <c r="CI212" s="92"/>
      <c r="CJ212" s="92"/>
      <c r="CK212" s="92"/>
      <c r="CL212" s="92"/>
      <c r="CM212" s="92"/>
      <c r="CN212" s="92"/>
      <c r="CO212" s="92"/>
      <c r="CP212" s="92"/>
      <c r="CQ212" s="92"/>
      <c r="CR212" s="92"/>
      <c r="CS212" s="92"/>
      <c r="CT212" s="92"/>
      <c r="CU212" s="92"/>
      <c r="CV212" s="92"/>
    </row>
    <row r="213" spans="1:100">
      <c r="A213" s="178">
        <v>71</v>
      </c>
      <c r="B213" s="173">
        <f ca="1">+RESUMEN!Y74</f>
        <v>0</v>
      </c>
      <c r="C213" s="173">
        <f ca="1">+RESUMEN!Z74</f>
        <v>0</v>
      </c>
      <c r="D213" s="174">
        <f t="shared" ca="1" si="273"/>
        <v>0</v>
      </c>
      <c r="E213" s="91"/>
      <c r="F213" s="91"/>
      <c r="G213" s="91"/>
      <c r="H213" s="91"/>
      <c r="I213" s="91"/>
      <c r="J213" s="91"/>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2"/>
      <c r="BL213" s="92"/>
      <c r="BM213" s="92"/>
      <c r="BN213" s="92"/>
      <c r="BO213" s="92"/>
      <c r="BP213" s="92"/>
      <c r="BQ213" s="92"/>
      <c r="BR213" s="92"/>
      <c r="BS213" s="92"/>
      <c r="BT213" s="92"/>
      <c r="BU213" s="92"/>
      <c r="BV213" s="92"/>
      <c r="BW213" s="92"/>
      <c r="BX213" s="92"/>
      <c r="BY213" s="92"/>
      <c r="BZ213" s="92"/>
      <c r="CA213" s="92"/>
      <c r="CB213" s="92"/>
      <c r="CC213" s="92"/>
      <c r="CD213" s="92"/>
      <c r="CE213" s="92"/>
      <c r="CF213" s="92"/>
      <c r="CG213" s="92"/>
      <c r="CH213" s="92"/>
      <c r="CI213" s="92"/>
      <c r="CJ213" s="92"/>
      <c r="CK213" s="92"/>
      <c r="CL213" s="92"/>
      <c r="CM213" s="92"/>
      <c r="CN213" s="92"/>
      <c r="CO213" s="92"/>
      <c r="CP213" s="92"/>
      <c r="CQ213" s="92"/>
      <c r="CR213" s="92"/>
      <c r="CS213" s="92"/>
      <c r="CT213" s="92"/>
      <c r="CU213" s="92"/>
      <c r="CV213" s="92"/>
    </row>
    <row r="214" spans="1:100">
      <c r="A214" s="178">
        <v>72</v>
      </c>
      <c r="B214" s="173">
        <f ca="1">+RESUMEN!Y75</f>
        <v>0</v>
      </c>
      <c r="C214" s="173">
        <f ca="1">+RESUMEN!Z75</f>
        <v>0</v>
      </c>
      <c r="D214" s="174">
        <f t="shared" ca="1" si="273"/>
        <v>0</v>
      </c>
      <c r="E214" s="91"/>
      <c r="F214" s="91"/>
      <c r="G214" s="91"/>
      <c r="H214" s="91"/>
      <c r="I214" s="91"/>
      <c r="J214" s="91"/>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2"/>
      <c r="BL214" s="92"/>
      <c r="BM214" s="92"/>
      <c r="BN214" s="92"/>
      <c r="BO214" s="92"/>
      <c r="BP214" s="92"/>
      <c r="BQ214" s="92"/>
      <c r="BR214" s="92"/>
      <c r="BS214" s="92"/>
      <c r="BT214" s="92"/>
      <c r="BU214" s="92"/>
      <c r="BV214" s="92"/>
      <c r="BW214" s="92"/>
      <c r="BX214" s="92"/>
      <c r="BY214" s="92"/>
      <c r="BZ214" s="92"/>
      <c r="CA214" s="92"/>
      <c r="CB214" s="92"/>
      <c r="CC214" s="92"/>
      <c r="CD214" s="92"/>
      <c r="CE214" s="92"/>
      <c r="CF214" s="92"/>
      <c r="CG214" s="92"/>
      <c r="CH214" s="92"/>
      <c r="CI214" s="92"/>
      <c r="CJ214" s="92"/>
      <c r="CK214" s="92"/>
      <c r="CL214" s="92"/>
      <c r="CM214" s="92"/>
      <c r="CN214" s="92"/>
      <c r="CO214" s="92"/>
      <c r="CP214" s="92"/>
      <c r="CQ214" s="92"/>
      <c r="CR214" s="92"/>
      <c r="CS214" s="92"/>
      <c r="CT214" s="92"/>
      <c r="CU214" s="92"/>
      <c r="CV214" s="92"/>
    </row>
    <row r="215" spans="1:100">
      <c r="A215" s="178">
        <v>73</v>
      </c>
      <c r="B215" s="173">
        <f ca="1">+RESUMEN!Y76</f>
        <v>0</v>
      </c>
      <c r="C215" s="173">
        <f ca="1">+RESUMEN!Z76</f>
        <v>0</v>
      </c>
      <c r="D215" s="174">
        <f t="shared" ca="1" si="273"/>
        <v>0</v>
      </c>
      <c r="E215" s="91"/>
      <c r="F215" s="91"/>
      <c r="G215" s="91"/>
      <c r="H215" s="91"/>
      <c r="I215" s="91"/>
      <c r="J215" s="91"/>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2"/>
      <c r="BL215" s="92"/>
      <c r="BM215" s="92"/>
      <c r="BN215" s="92"/>
      <c r="BO215" s="92"/>
      <c r="BP215" s="92"/>
      <c r="BQ215" s="92"/>
      <c r="BR215" s="92"/>
      <c r="BS215" s="92"/>
      <c r="BT215" s="92"/>
      <c r="BU215" s="92"/>
      <c r="BV215" s="92"/>
      <c r="BW215" s="92"/>
      <c r="BX215" s="92"/>
      <c r="BY215" s="92"/>
      <c r="BZ215" s="92"/>
      <c r="CA215" s="92"/>
      <c r="CB215" s="92"/>
      <c r="CC215" s="92"/>
      <c r="CD215" s="92"/>
      <c r="CE215" s="92"/>
      <c r="CF215" s="92"/>
      <c r="CG215" s="92"/>
      <c r="CH215" s="92"/>
      <c r="CI215" s="92"/>
      <c r="CJ215" s="92"/>
      <c r="CK215" s="92"/>
      <c r="CL215" s="92"/>
      <c r="CM215" s="92"/>
      <c r="CN215" s="92"/>
      <c r="CO215" s="92"/>
      <c r="CP215" s="92"/>
      <c r="CQ215" s="92"/>
      <c r="CR215" s="92"/>
      <c r="CS215" s="92"/>
      <c r="CT215" s="92"/>
      <c r="CU215" s="92"/>
      <c r="CV215" s="92"/>
    </row>
    <row r="216" spans="1:100">
      <c r="A216" s="178">
        <v>74</v>
      </c>
      <c r="B216" s="173">
        <f ca="1">+RESUMEN!Y77</f>
        <v>0</v>
      </c>
      <c r="C216" s="173">
        <f ca="1">+RESUMEN!Z77</f>
        <v>0</v>
      </c>
      <c r="D216" s="174">
        <f t="shared" ca="1" si="273"/>
        <v>0</v>
      </c>
      <c r="E216" s="91"/>
      <c r="F216" s="91"/>
      <c r="G216" s="91"/>
      <c r="H216" s="91"/>
      <c r="I216" s="91"/>
      <c r="J216" s="91"/>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2"/>
      <c r="BL216" s="92"/>
      <c r="BM216" s="92"/>
      <c r="BN216" s="92"/>
      <c r="BO216" s="92"/>
      <c r="BP216" s="92"/>
      <c r="BQ216" s="92"/>
      <c r="BR216" s="92"/>
      <c r="BS216" s="92"/>
      <c r="BT216" s="92"/>
      <c r="BU216" s="92"/>
      <c r="BV216" s="92"/>
      <c r="BW216" s="92"/>
      <c r="BX216" s="92"/>
      <c r="BY216" s="92"/>
      <c r="BZ216" s="92"/>
      <c r="CA216" s="92"/>
      <c r="CB216" s="92"/>
      <c r="CC216" s="92"/>
      <c r="CD216" s="92"/>
      <c r="CE216" s="92"/>
      <c r="CF216" s="92"/>
      <c r="CG216" s="92"/>
      <c r="CH216" s="92"/>
      <c r="CI216" s="92"/>
      <c r="CJ216" s="92"/>
      <c r="CK216" s="92"/>
      <c r="CL216" s="92"/>
      <c r="CM216" s="92"/>
      <c r="CN216" s="92"/>
      <c r="CO216" s="92"/>
      <c r="CP216" s="92"/>
      <c r="CQ216" s="92"/>
      <c r="CR216" s="92"/>
      <c r="CS216" s="92"/>
      <c r="CT216" s="92"/>
      <c r="CU216" s="92"/>
      <c r="CV216" s="92"/>
    </row>
    <row r="217" spans="1:100">
      <c r="A217" s="178">
        <v>75</v>
      </c>
      <c r="B217" s="173">
        <f ca="1">+RESUMEN!Y78</f>
        <v>0</v>
      </c>
      <c r="C217" s="173">
        <f ca="1">+RESUMEN!Z78</f>
        <v>0</v>
      </c>
      <c r="D217" s="174">
        <f t="shared" ca="1" si="273"/>
        <v>0</v>
      </c>
      <c r="E217" s="91"/>
      <c r="F217" s="91"/>
      <c r="G217" s="91"/>
      <c r="H217" s="91"/>
      <c r="I217" s="91"/>
      <c r="J217" s="91"/>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2"/>
      <c r="BL217" s="92"/>
      <c r="BM217" s="92"/>
      <c r="BN217" s="92"/>
      <c r="BO217" s="92"/>
      <c r="BP217" s="92"/>
      <c r="BQ217" s="92"/>
      <c r="BR217" s="92"/>
      <c r="BS217" s="92"/>
      <c r="BT217" s="92"/>
      <c r="BU217" s="92"/>
      <c r="BV217" s="92"/>
      <c r="BW217" s="92"/>
      <c r="BX217" s="92"/>
      <c r="BY217" s="92"/>
      <c r="BZ217" s="92"/>
      <c r="CA217" s="92"/>
      <c r="CB217" s="92"/>
      <c r="CC217" s="92"/>
      <c r="CD217" s="92"/>
      <c r="CE217" s="92"/>
      <c r="CF217" s="92"/>
      <c r="CG217" s="92"/>
      <c r="CH217" s="92"/>
      <c r="CI217" s="92"/>
      <c r="CJ217" s="92"/>
      <c r="CK217" s="92"/>
      <c r="CL217" s="92"/>
      <c r="CM217" s="92"/>
      <c r="CN217" s="92"/>
      <c r="CO217" s="92"/>
      <c r="CP217" s="92"/>
      <c r="CQ217" s="92"/>
      <c r="CR217" s="92"/>
      <c r="CS217" s="92"/>
      <c r="CT217" s="92"/>
      <c r="CU217" s="92"/>
      <c r="CV217" s="92"/>
    </row>
    <row r="218" spans="1:100">
      <c r="A218" s="178">
        <v>76</v>
      </c>
      <c r="B218" s="173">
        <f ca="1">+RESUMEN!Y79</f>
        <v>0</v>
      </c>
      <c r="C218" s="173">
        <f ca="1">+RESUMEN!Z79</f>
        <v>0</v>
      </c>
      <c r="D218" s="174">
        <f t="shared" ca="1" si="273"/>
        <v>0</v>
      </c>
      <c r="E218" s="91"/>
      <c r="F218" s="91"/>
      <c r="G218" s="91"/>
      <c r="H218" s="91"/>
      <c r="I218" s="91"/>
      <c r="J218" s="91"/>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2"/>
      <c r="BL218" s="92"/>
      <c r="BM218" s="92"/>
      <c r="BN218" s="92"/>
      <c r="BO218" s="92"/>
      <c r="BP218" s="92"/>
      <c r="BQ218" s="92"/>
      <c r="BR218" s="92"/>
      <c r="BS218" s="92"/>
      <c r="BT218" s="92"/>
      <c r="BU218" s="92"/>
      <c r="BV218" s="92"/>
      <c r="BW218" s="92"/>
      <c r="BX218" s="92"/>
      <c r="BY218" s="92"/>
      <c r="BZ218" s="92"/>
      <c r="CA218" s="92"/>
      <c r="CB218" s="92"/>
      <c r="CC218" s="92"/>
      <c r="CD218" s="92"/>
      <c r="CE218" s="92"/>
      <c r="CF218" s="92"/>
      <c r="CG218" s="92"/>
      <c r="CH218" s="92"/>
      <c r="CI218" s="92"/>
      <c r="CJ218" s="92"/>
      <c r="CK218" s="92"/>
      <c r="CL218" s="92"/>
      <c r="CM218" s="92"/>
      <c r="CN218" s="92"/>
      <c r="CO218" s="92"/>
      <c r="CP218" s="92"/>
      <c r="CQ218" s="92"/>
      <c r="CR218" s="92"/>
      <c r="CS218" s="92"/>
      <c r="CT218" s="92"/>
      <c r="CU218" s="92"/>
      <c r="CV218" s="92"/>
    </row>
    <row r="219" spans="1:100">
      <c r="A219" s="178">
        <v>77</v>
      </c>
      <c r="B219" s="173">
        <f ca="1">+RESUMEN!Y80</f>
        <v>0</v>
      </c>
      <c r="C219" s="173">
        <f ca="1">+RESUMEN!Z80</f>
        <v>0</v>
      </c>
      <c r="D219" s="174">
        <f t="shared" ca="1" si="273"/>
        <v>0</v>
      </c>
      <c r="E219" s="91"/>
      <c r="F219" s="91"/>
      <c r="G219" s="91"/>
      <c r="H219" s="91"/>
      <c r="I219" s="91"/>
      <c r="J219" s="91"/>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2"/>
      <c r="BL219" s="92"/>
      <c r="BM219" s="92"/>
      <c r="BN219" s="92"/>
      <c r="BO219" s="92"/>
      <c r="BP219" s="92"/>
      <c r="BQ219" s="92"/>
      <c r="BR219" s="92"/>
      <c r="BS219" s="92"/>
      <c r="BT219" s="92"/>
      <c r="BU219" s="92"/>
      <c r="BV219" s="92"/>
      <c r="BW219" s="92"/>
      <c r="BX219" s="92"/>
      <c r="BY219" s="92"/>
      <c r="BZ219" s="92"/>
      <c r="CA219" s="92"/>
      <c r="CB219" s="92"/>
      <c r="CC219" s="92"/>
      <c r="CD219" s="92"/>
      <c r="CE219" s="92"/>
      <c r="CF219" s="92"/>
      <c r="CG219" s="92"/>
      <c r="CH219" s="92"/>
      <c r="CI219" s="92"/>
      <c r="CJ219" s="92"/>
      <c r="CK219" s="92"/>
      <c r="CL219" s="92"/>
      <c r="CM219" s="92"/>
      <c r="CN219" s="92"/>
      <c r="CO219" s="92"/>
      <c r="CP219" s="92"/>
      <c r="CQ219" s="92"/>
      <c r="CR219" s="92"/>
      <c r="CS219" s="92"/>
      <c r="CT219" s="92"/>
      <c r="CU219" s="92"/>
      <c r="CV219" s="92"/>
    </row>
    <row r="220" spans="1:100">
      <c r="A220" s="178">
        <v>78</v>
      </c>
      <c r="B220" s="173">
        <f ca="1">+RESUMEN!Y81</f>
        <v>0</v>
      </c>
      <c r="C220" s="173">
        <f ca="1">+RESUMEN!Z81</f>
        <v>0</v>
      </c>
      <c r="D220" s="174">
        <f t="shared" ca="1" si="273"/>
        <v>0</v>
      </c>
      <c r="E220" s="91"/>
      <c r="F220" s="91"/>
      <c r="G220" s="91"/>
      <c r="H220" s="91"/>
      <c r="I220" s="91"/>
      <c r="J220" s="91"/>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2"/>
      <c r="BL220" s="92"/>
      <c r="BM220" s="92"/>
      <c r="BN220" s="92"/>
      <c r="BO220" s="92"/>
      <c r="BP220" s="92"/>
      <c r="BQ220" s="92"/>
      <c r="BR220" s="92"/>
      <c r="BS220" s="92"/>
      <c r="BT220" s="92"/>
      <c r="BU220" s="92"/>
      <c r="BV220" s="92"/>
      <c r="BW220" s="92"/>
      <c r="BX220" s="92"/>
      <c r="BY220" s="92"/>
      <c r="BZ220" s="92"/>
      <c r="CA220" s="92"/>
      <c r="CB220" s="92"/>
      <c r="CC220" s="92"/>
      <c r="CD220" s="92"/>
      <c r="CE220" s="92"/>
      <c r="CF220" s="92"/>
      <c r="CG220" s="92"/>
      <c r="CH220" s="92"/>
      <c r="CI220" s="92"/>
      <c r="CJ220" s="92"/>
      <c r="CK220" s="92"/>
      <c r="CL220" s="92"/>
      <c r="CM220" s="92"/>
      <c r="CN220" s="92"/>
      <c r="CO220" s="92"/>
      <c r="CP220" s="92"/>
      <c r="CQ220" s="92"/>
      <c r="CR220" s="92"/>
      <c r="CS220" s="92"/>
      <c r="CT220" s="92"/>
      <c r="CU220" s="92"/>
      <c r="CV220" s="92"/>
    </row>
    <row r="221" spans="1:100">
      <c r="A221" s="178">
        <v>79</v>
      </c>
      <c r="B221" s="173">
        <f ca="1">+RESUMEN!Y82</f>
        <v>0</v>
      </c>
      <c r="C221" s="173">
        <f ca="1">+RESUMEN!Z82</f>
        <v>0</v>
      </c>
      <c r="D221" s="174">
        <f t="shared" ca="1" si="273"/>
        <v>0</v>
      </c>
      <c r="E221" s="91"/>
      <c r="F221" s="91"/>
      <c r="G221" s="91"/>
      <c r="H221" s="91"/>
      <c r="I221" s="91"/>
      <c r="J221" s="91"/>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2"/>
      <c r="BL221" s="92"/>
      <c r="BM221" s="92"/>
      <c r="BN221" s="92"/>
      <c r="BO221" s="92"/>
      <c r="BP221" s="92"/>
      <c r="BQ221" s="92"/>
      <c r="BR221" s="92"/>
      <c r="BS221" s="92"/>
      <c r="BT221" s="92"/>
      <c r="BU221" s="92"/>
      <c r="BV221" s="92"/>
      <c r="BW221" s="92"/>
      <c r="BX221" s="92"/>
      <c r="BY221" s="92"/>
      <c r="BZ221" s="92"/>
      <c r="CA221" s="92"/>
      <c r="CB221" s="92"/>
      <c r="CC221" s="92"/>
      <c r="CD221" s="92"/>
      <c r="CE221" s="92"/>
      <c r="CF221" s="92"/>
      <c r="CG221" s="92"/>
      <c r="CH221" s="92"/>
      <c r="CI221" s="92"/>
      <c r="CJ221" s="92"/>
      <c r="CK221" s="92"/>
      <c r="CL221" s="92"/>
      <c r="CM221" s="92"/>
      <c r="CN221" s="92"/>
      <c r="CO221" s="92"/>
      <c r="CP221" s="92"/>
      <c r="CQ221" s="92"/>
      <c r="CR221" s="92"/>
      <c r="CS221" s="92"/>
      <c r="CT221" s="92"/>
      <c r="CU221" s="92"/>
      <c r="CV221" s="92"/>
    </row>
    <row r="222" spans="1:100">
      <c r="A222" s="178">
        <v>80</v>
      </c>
      <c r="B222" s="173">
        <f ca="1">+RESUMEN!Y83</f>
        <v>0</v>
      </c>
      <c r="C222" s="173">
        <f ca="1">+RESUMEN!Z83</f>
        <v>0</v>
      </c>
      <c r="D222" s="174">
        <f t="shared" ca="1" si="273"/>
        <v>0</v>
      </c>
      <c r="E222" s="91"/>
      <c r="F222" s="91"/>
      <c r="G222" s="91"/>
      <c r="H222" s="91"/>
      <c r="I222" s="91"/>
      <c r="J222" s="91"/>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2"/>
      <c r="BL222" s="92"/>
      <c r="BM222" s="92"/>
      <c r="BN222" s="92"/>
      <c r="BO222" s="92"/>
      <c r="BP222" s="92"/>
      <c r="BQ222" s="92"/>
      <c r="BR222" s="92"/>
      <c r="BS222" s="92"/>
      <c r="BT222" s="92"/>
      <c r="BU222" s="92"/>
      <c r="BV222" s="92"/>
      <c r="BW222" s="92"/>
      <c r="BX222" s="92"/>
      <c r="BY222" s="92"/>
      <c r="BZ222" s="92"/>
      <c r="CA222" s="92"/>
      <c r="CB222" s="92"/>
      <c r="CC222" s="92"/>
      <c r="CD222" s="92"/>
      <c r="CE222" s="92"/>
      <c r="CF222" s="92"/>
      <c r="CG222" s="92"/>
      <c r="CH222" s="92"/>
      <c r="CI222" s="92"/>
      <c r="CJ222" s="92"/>
      <c r="CK222" s="92"/>
      <c r="CL222" s="92"/>
      <c r="CM222" s="92"/>
      <c r="CN222" s="92"/>
      <c r="CO222" s="92"/>
      <c r="CP222" s="92"/>
      <c r="CQ222" s="92"/>
      <c r="CR222" s="92"/>
      <c r="CS222" s="92"/>
      <c r="CT222" s="92"/>
      <c r="CU222" s="92"/>
      <c r="CV222" s="92"/>
    </row>
    <row r="223" spans="1:100">
      <c r="A223" s="178">
        <v>81</v>
      </c>
      <c r="B223" s="173">
        <f ca="1">+RESUMEN!Y84</f>
        <v>0</v>
      </c>
      <c r="C223" s="173">
        <f ca="1">+RESUMEN!Z84</f>
        <v>0</v>
      </c>
      <c r="D223" s="174">
        <f t="shared" ca="1" si="273"/>
        <v>0</v>
      </c>
      <c r="E223" s="91"/>
      <c r="F223" s="91"/>
      <c r="G223" s="91"/>
      <c r="H223" s="91"/>
      <c r="I223" s="91"/>
      <c r="J223" s="91"/>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2"/>
      <c r="BL223" s="92"/>
      <c r="BM223" s="92"/>
      <c r="BN223" s="92"/>
      <c r="BO223" s="92"/>
      <c r="BP223" s="92"/>
      <c r="BQ223" s="92"/>
      <c r="BR223" s="92"/>
      <c r="BS223" s="92"/>
      <c r="BT223" s="92"/>
      <c r="BU223" s="92"/>
      <c r="BV223" s="92"/>
      <c r="BW223" s="92"/>
      <c r="BX223" s="92"/>
      <c r="BY223" s="92"/>
      <c r="BZ223" s="92"/>
      <c r="CA223" s="92"/>
      <c r="CB223" s="92"/>
      <c r="CC223" s="92"/>
      <c r="CD223" s="92"/>
      <c r="CE223" s="92"/>
      <c r="CF223" s="92"/>
      <c r="CG223" s="92"/>
      <c r="CH223" s="92"/>
      <c r="CI223" s="92"/>
      <c r="CJ223" s="92"/>
      <c r="CK223" s="92"/>
      <c r="CL223" s="92"/>
      <c r="CM223" s="92"/>
      <c r="CN223" s="92"/>
      <c r="CO223" s="92"/>
      <c r="CP223" s="92"/>
      <c r="CQ223" s="92"/>
      <c r="CR223" s="92"/>
      <c r="CS223" s="92"/>
      <c r="CT223" s="92"/>
      <c r="CU223" s="92"/>
      <c r="CV223" s="92"/>
    </row>
    <row r="224" spans="1:100">
      <c r="A224" s="178">
        <v>82</v>
      </c>
      <c r="B224" s="173">
        <f ca="1">+RESUMEN!Y85</f>
        <v>0</v>
      </c>
      <c r="C224" s="173">
        <f ca="1">+RESUMEN!Z85</f>
        <v>0</v>
      </c>
      <c r="D224" s="174">
        <f t="shared" ca="1" si="273"/>
        <v>0</v>
      </c>
      <c r="E224" s="91"/>
      <c r="F224" s="91"/>
      <c r="G224" s="91"/>
      <c r="H224" s="91"/>
      <c r="I224" s="91"/>
      <c r="J224" s="91"/>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2"/>
      <c r="BL224" s="92"/>
      <c r="BM224" s="92"/>
      <c r="BN224" s="92"/>
      <c r="BO224" s="92"/>
      <c r="BP224" s="92"/>
      <c r="BQ224" s="92"/>
      <c r="BR224" s="92"/>
      <c r="BS224" s="92"/>
      <c r="BT224" s="92"/>
      <c r="BU224" s="92"/>
      <c r="BV224" s="92"/>
      <c r="BW224" s="92"/>
      <c r="BX224" s="92"/>
      <c r="BY224" s="92"/>
      <c r="BZ224" s="92"/>
      <c r="CA224" s="92"/>
      <c r="CB224" s="92"/>
      <c r="CC224" s="92"/>
      <c r="CD224" s="92"/>
      <c r="CE224" s="92"/>
      <c r="CF224" s="92"/>
      <c r="CG224" s="92"/>
      <c r="CH224" s="92"/>
      <c r="CI224" s="92"/>
      <c r="CJ224" s="92"/>
      <c r="CK224" s="92"/>
      <c r="CL224" s="92"/>
      <c r="CM224" s="92"/>
      <c r="CN224" s="92"/>
      <c r="CO224" s="92"/>
      <c r="CP224" s="92"/>
      <c r="CQ224" s="92"/>
      <c r="CR224" s="92"/>
      <c r="CS224" s="92"/>
      <c r="CT224" s="92"/>
      <c r="CU224" s="92"/>
      <c r="CV224" s="92"/>
    </row>
    <row r="225" spans="1:100">
      <c r="A225" s="178">
        <v>83</v>
      </c>
      <c r="B225" s="173">
        <f ca="1">+RESUMEN!Y86</f>
        <v>0</v>
      </c>
      <c r="C225" s="173">
        <f ca="1">+RESUMEN!Z86</f>
        <v>0</v>
      </c>
      <c r="D225" s="174">
        <f t="shared" ca="1" si="273"/>
        <v>0</v>
      </c>
      <c r="E225" s="91"/>
      <c r="F225" s="91"/>
      <c r="G225" s="91"/>
      <c r="H225" s="91"/>
      <c r="I225" s="91"/>
      <c r="J225" s="91"/>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2"/>
      <c r="BL225" s="92"/>
      <c r="BM225" s="92"/>
      <c r="BN225" s="92"/>
      <c r="BO225" s="92"/>
      <c r="BP225" s="92"/>
      <c r="BQ225" s="92"/>
      <c r="BR225" s="92"/>
      <c r="BS225" s="92"/>
      <c r="BT225" s="92"/>
      <c r="BU225" s="92"/>
      <c r="BV225" s="92"/>
      <c r="BW225" s="92"/>
      <c r="BX225" s="92"/>
      <c r="BY225" s="92"/>
      <c r="BZ225" s="92"/>
      <c r="CA225" s="92"/>
      <c r="CB225" s="92"/>
      <c r="CC225" s="92"/>
      <c r="CD225" s="92"/>
      <c r="CE225" s="92"/>
      <c r="CF225" s="92"/>
      <c r="CG225" s="92"/>
      <c r="CH225" s="92"/>
      <c r="CI225" s="92"/>
      <c r="CJ225" s="92"/>
      <c r="CK225" s="92"/>
      <c r="CL225" s="92"/>
      <c r="CM225" s="92"/>
      <c r="CN225" s="92"/>
      <c r="CO225" s="92"/>
      <c r="CP225" s="92"/>
      <c r="CQ225" s="92"/>
      <c r="CR225" s="92"/>
      <c r="CS225" s="92"/>
      <c r="CT225" s="92"/>
      <c r="CU225" s="92"/>
      <c r="CV225" s="92"/>
    </row>
    <row r="226" spans="1:100">
      <c r="A226" s="178">
        <v>84</v>
      </c>
      <c r="B226" s="173">
        <f ca="1">+RESUMEN!Y87</f>
        <v>0</v>
      </c>
      <c r="C226" s="173">
        <f ca="1">+RESUMEN!Z87</f>
        <v>0</v>
      </c>
      <c r="D226" s="174">
        <f t="shared" ca="1" si="273"/>
        <v>0</v>
      </c>
      <c r="E226" s="91"/>
      <c r="F226" s="91"/>
      <c r="G226" s="91"/>
      <c r="H226" s="91"/>
      <c r="I226" s="91"/>
      <c r="J226" s="91"/>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2"/>
      <c r="BL226" s="92"/>
      <c r="BM226" s="92"/>
      <c r="BN226" s="92"/>
      <c r="BO226" s="92"/>
      <c r="BP226" s="92"/>
      <c r="BQ226" s="92"/>
      <c r="BR226" s="92"/>
      <c r="BS226" s="92"/>
      <c r="BT226" s="92"/>
      <c r="BU226" s="92"/>
      <c r="BV226" s="92"/>
      <c r="BW226" s="92"/>
      <c r="BX226" s="92"/>
      <c r="BY226" s="92"/>
      <c r="BZ226" s="92"/>
      <c r="CA226" s="92"/>
      <c r="CB226" s="92"/>
      <c r="CC226" s="92"/>
      <c r="CD226" s="92"/>
      <c r="CE226" s="92"/>
      <c r="CF226" s="92"/>
      <c r="CG226" s="92"/>
      <c r="CH226" s="92"/>
      <c r="CI226" s="92"/>
      <c r="CJ226" s="92"/>
      <c r="CK226" s="92"/>
      <c r="CL226" s="92"/>
      <c r="CM226" s="92"/>
      <c r="CN226" s="92"/>
      <c r="CO226" s="92"/>
      <c r="CP226" s="92"/>
      <c r="CQ226" s="92"/>
      <c r="CR226" s="92"/>
      <c r="CS226" s="92"/>
      <c r="CT226" s="92"/>
      <c r="CU226" s="92"/>
      <c r="CV226" s="92"/>
    </row>
    <row r="227" spans="1:100">
      <c r="A227" s="178">
        <v>85</v>
      </c>
      <c r="B227" s="173">
        <f ca="1">+RESUMEN!Y88</f>
        <v>0</v>
      </c>
      <c r="C227" s="173">
        <f ca="1">+RESUMEN!Z88</f>
        <v>0</v>
      </c>
      <c r="D227" s="174">
        <f t="shared" ca="1" si="273"/>
        <v>0</v>
      </c>
      <c r="E227" s="91"/>
      <c r="F227" s="91"/>
      <c r="G227" s="91"/>
      <c r="H227" s="91"/>
      <c r="I227" s="91"/>
      <c r="J227" s="91"/>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2"/>
      <c r="BL227" s="92"/>
      <c r="BM227" s="92"/>
      <c r="BN227" s="92"/>
      <c r="BO227" s="92"/>
      <c r="BP227" s="92"/>
      <c r="BQ227" s="92"/>
      <c r="BR227" s="92"/>
      <c r="BS227" s="92"/>
      <c r="BT227" s="92"/>
      <c r="BU227" s="92"/>
      <c r="BV227" s="92"/>
      <c r="BW227" s="92"/>
      <c r="BX227" s="92"/>
      <c r="BY227" s="92"/>
      <c r="BZ227" s="92"/>
      <c r="CA227" s="92"/>
      <c r="CB227" s="92"/>
      <c r="CC227" s="92"/>
      <c r="CD227" s="92"/>
      <c r="CE227" s="92"/>
      <c r="CF227" s="92"/>
      <c r="CG227" s="92"/>
      <c r="CH227" s="92"/>
      <c r="CI227" s="92"/>
      <c r="CJ227" s="92"/>
      <c r="CK227" s="92"/>
      <c r="CL227" s="92"/>
      <c r="CM227" s="92"/>
      <c r="CN227" s="92"/>
      <c r="CO227" s="92"/>
      <c r="CP227" s="92"/>
      <c r="CQ227" s="92"/>
      <c r="CR227" s="92"/>
      <c r="CS227" s="92"/>
      <c r="CT227" s="92"/>
      <c r="CU227" s="92"/>
      <c r="CV227" s="92"/>
    </row>
    <row r="228" spans="1:100">
      <c r="A228" s="178">
        <v>86</v>
      </c>
      <c r="B228" s="173">
        <f ca="1">+RESUMEN!Y89</f>
        <v>0</v>
      </c>
      <c r="C228" s="173">
        <f ca="1">+RESUMEN!Z89</f>
        <v>0</v>
      </c>
      <c r="D228" s="174">
        <f t="shared" ca="1" si="273"/>
        <v>0</v>
      </c>
      <c r="E228" s="91"/>
      <c r="F228" s="91"/>
      <c r="G228" s="91"/>
      <c r="H228" s="91"/>
      <c r="I228" s="91"/>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2"/>
      <c r="BL228" s="92"/>
      <c r="BM228" s="92"/>
      <c r="BN228" s="92"/>
      <c r="BO228" s="92"/>
      <c r="BP228" s="92"/>
      <c r="BQ228" s="92"/>
      <c r="BR228" s="92"/>
      <c r="BS228" s="92"/>
      <c r="BT228" s="92"/>
      <c r="BU228" s="92"/>
      <c r="BV228" s="92"/>
      <c r="BW228" s="92"/>
      <c r="BX228" s="92"/>
      <c r="BY228" s="92"/>
      <c r="BZ228" s="92"/>
      <c r="CA228" s="92"/>
      <c r="CB228" s="92"/>
      <c r="CC228" s="92"/>
      <c r="CD228" s="92"/>
      <c r="CE228" s="92"/>
      <c r="CF228" s="92"/>
      <c r="CG228" s="92"/>
      <c r="CH228" s="92"/>
      <c r="CI228" s="92"/>
      <c r="CJ228" s="92"/>
      <c r="CK228" s="92"/>
      <c r="CL228" s="92"/>
      <c r="CM228" s="92"/>
      <c r="CN228" s="92"/>
      <c r="CO228" s="92"/>
      <c r="CP228" s="92"/>
      <c r="CQ228" s="92"/>
      <c r="CR228" s="92"/>
      <c r="CS228" s="92"/>
      <c r="CT228" s="92"/>
      <c r="CU228" s="92"/>
      <c r="CV228" s="92"/>
    </row>
    <row r="229" spans="1:100">
      <c r="A229" s="178">
        <v>87</v>
      </c>
      <c r="B229" s="173">
        <f ca="1">+RESUMEN!Y90</f>
        <v>0</v>
      </c>
      <c r="C229" s="173">
        <f ca="1">+RESUMEN!Z90</f>
        <v>0</v>
      </c>
      <c r="D229" s="174">
        <f t="shared" ca="1" si="273"/>
        <v>0</v>
      </c>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2"/>
      <c r="BL229" s="92"/>
      <c r="BM229" s="92"/>
      <c r="BN229" s="92"/>
      <c r="BO229" s="92"/>
      <c r="BP229" s="92"/>
      <c r="BQ229" s="92"/>
      <c r="BR229" s="92"/>
      <c r="BS229" s="92"/>
      <c r="BT229" s="92"/>
      <c r="BU229" s="92"/>
      <c r="BV229" s="92"/>
      <c r="BW229" s="92"/>
      <c r="BX229" s="92"/>
      <c r="BY229" s="92"/>
      <c r="BZ229" s="92"/>
      <c r="CA229" s="92"/>
      <c r="CB229" s="92"/>
      <c r="CC229" s="92"/>
      <c r="CD229" s="92"/>
      <c r="CE229" s="92"/>
      <c r="CF229" s="92"/>
      <c r="CG229" s="92"/>
      <c r="CH229" s="92"/>
      <c r="CI229" s="92"/>
      <c r="CJ229" s="92"/>
      <c r="CK229" s="92"/>
      <c r="CL229" s="92"/>
      <c r="CM229" s="92"/>
      <c r="CN229" s="92"/>
      <c r="CO229" s="92"/>
      <c r="CP229" s="92"/>
      <c r="CQ229" s="92"/>
      <c r="CR229" s="92"/>
      <c r="CS229" s="92"/>
      <c r="CT229" s="92"/>
      <c r="CU229" s="92"/>
      <c r="CV229" s="92"/>
    </row>
    <row r="230" spans="1:100">
      <c r="A230" s="178">
        <v>88</v>
      </c>
      <c r="B230" s="173">
        <f ca="1">+RESUMEN!Y91</f>
        <v>0</v>
      </c>
      <c r="C230" s="173">
        <f ca="1">+RESUMEN!Z91</f>
        <v>0</v>
      </c>
      <c r="D230" s="174">
        <f t="shared" ca="1" si="273"/>
        <v>0</v>
      </c>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2"/>
      <c r="BL230" s="92"/>
      <c r="BM230" s="92"/>
      <c r="BN230" s="92"/>
      <c r="BO230" s="92"/>
      <c r="BP230" s="92"/>
      <c r="BQ230" s="92"/>
      <c r="BR230" s="92"/>
      <c r="BS230" s="92"/>
      <c r="BT230" s="92"/>
      <c r="BU230" s="92"/>
      <c r="BV230" s="92"/>
      <c r="BW230" s="92"/>
      <c r="BX230" s="92"/>
      <c r="BY230" s="92"/>
      <c r="BZ230" s="92"/>
      <c r="CA230" s="92"/>
      <c r="CB230" s="92"/>
      <c r="CC230" s="92"/>
      <c r="CD230" s="92"/>
      <c r="CE230" s="92"/>
      <c r="CF230" s="92"/>
      <c r="CG230" s="92"/>
      <c r="CH230" s="92"/>
      <c r="CI230" s="92"/>
      <c r="CJ230" s="92"/>
      <c r="CK230" s="92"/>
      <c r="CL230" s="92"/>
      <c r="CM230" s="92"/>
      <c r="CN230" s="92"/>
      <c r="CO230" s="92"/>
      <c r="CP230" s="92"/>
      <c r="CQ230" s="92"/>
      <c r="CR230" s="92"/>
      <c r="CS230" s="92"/>
      <c r="CT230" s="92"/>
      <c r="CU230" s="92"/>
      <c r="CV230" s="92"/>
    </row>
    <row r="231" spans="1:100">
      <c r="A231" s="178">
        <v>89</v>
      </c>
      <c r="B231" s="173">
        <f ca="1">+RESUMEN!Y92</f>
        <v>0</v>
      </c>
      <c r="C231" s="173">
        <f ca="1">+RESUMEN!Z92</f>
        <v>0</v>
      </c>
      <c r="D231" s="174">
        <f t="shared" ca="1" si="273"/>
        <v>0</v>
      </c>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2"/>
      <c r="BL231" s="92"/>
      <c r="BM231" s="92"/>
      <c r="BN231" s="92"/>
      <c r="BO231" s="92"/>
      <c r="BP231" s="92"/>
      <c r="BQ231" s="92"/>
      <c r="BR231" s="92"/>
      <c r="BS231" s="92"/>
      <c r="BT231" s="92"/>
      <c r="BU231" s="92"/>
      <c r="BV231" s="92"/>
      <c r="BW231" s="92"/>
      <c r="BX231" s="92"/>
      <c r="BY231" s="92"/>
      <c r="BZ231" s="92"/>
      <c r="CA231" s="92"/>
      <c r="CB231" s="92"/>
      <c r="CC231" s="92"/>
      <c r="CD231" s="92"/>
      <c r="CE231" s="92"/>
      <c r="CF231" s="92"/>
      <c r="CG231" s="92"/>
      <c r="CH231" s="92"/>
      <c r="CI231" s="92"/>
      <c r="CJ231" s="92"/>
      <c r="CK231" s="92"/>
      <c r="CL231" s="92"/>
      <c r="CM231" s="92"/>
      <c r="CN231" s="92"/>
      <c r="CO231" s="92"/>
      <c r="CP231" s="92"/>
      <c r="CQ231" s="92"/>
      <c r="CR231" s="92"/>
      <c r="CS231" s="92"/>
      <c r="CT231" s="92"/>
      <c r="CU231" s="92"/>
      <c r="CV231" s="92"/>
    </row>
    <row r="232" spans="1:100">
      <c r="A232" s="178">
        <v>90</v>
      </c>
      <c r="B232" s="173">
        <f ca="1">+RESUMEN!Y93</f>
        <v>0</v>
      </c>
      <c r="C232" s="173">
        <f ca="1">+RESUMEN!Z93</f>
        <v>0</v>
      </c>
      <c r="D232" s="174">
        <f t="shared" ca="1" si="273"/>
        <v>0</v>
      </c>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2"/>
      <c r="BL232" s="92"/>
      <c r="BM232" s="92"/>
      <c r="BN232" s="92"/>
      <c r="BO232" s="92"/>
      <c r="BP232" s="92"/>
      <c r="BQ232" s="92"/>
      <c r="BR232" s="92"/>
      <c r="BS232" s="92"/>
      <c r="BT232" s="92"/>
      <c r="BU232" s="92"/>
      <c r="BV232" s="92"/>
      <c r="BW232" s="92"/>
      <c r="BX232" s="92"/>
      <c r="BY232" s="92"/>
      <c r="BZ232" s="92"/>
      <c r="CA232" s="92"/>
      <c r="CB232" s="92"/>
      <c r="CC232" s="92"/>
      <c r="CD232" s="92"/>
      <c r="CE232" s="92"/>
      <c r="CF232" s="92"/>
      <c r="CG232" s="92"/>
      <c r="CH232" s="92"/>
      <c r="CI232" s="92"/>
      <c r="CJ232" s="92"/>
      <c r="CK232" s="92"/>
      <c r="CL232" s="92"/>
      <c r="CM232" s="92"/>
      <c r="CN232" s="92"/>
      <c r="CO232" s="92"/>
      <c r="CP232" s="92"/>
      <c r="CQ232" s="92"/>
      <c r="CR232" s="92"/>
      <c r="CS232" s="92"/>
      <c r="CT232" s="92"/>
      <c r="CU232" s="92"/>
      <c r="CV232" s="92"/>
    </row>
    <row r="233" spans="1:100">
      <c r="A233" s="178">
        <v>91</v>
      </c>
      <c r="B233" s="173">
        <f ca="1">+RESUMEN!Y94</f>
        <v>0</v>
      </c>
      <c r="C233" s="173">
        <f ca="1">+RESUMEN!Z94</f>
        <v>0</v>
      </c>
      <c r="D233" s="174">
        <f t="shared" ca="1" si="273"/>
        <v>0</v>
      </c>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2"/>
      <c r="BL233" s="92"/>
      <c r="BM233" s="92"/>
      <c r="BN233" s="92"/>
      <c r="BO233" s="92"/>
      <c r="BP233" s="92"/>
      <c r="BQ233" s="92"/>
      <c r="BR233" s="92"/>
      <c r="BS233" s="92"/>
      <c r="BT233" s="92"/>
      <c r="BU233" s="92"/>
      <c r="BV233" s="92"/>
      <c r="BW233" s="92"/>
      <c r="BX233" s="92"/>
      <c r="BY233" s="92"/>
      <c r="BZ233" s="92"/>
      <c r="CA233" s="92"/>
      <c r="CB233" s="92"/>
      <c r="CC233" s="92"/>
      <c r="CD233" s="92"/>
      <c r="CE233" s="92"/>
      <c r="CF233" s="92"/>
      <c r="CG233" s="92"/>
      <c r="CH233" s="92"/>
      <c r="CI233" s="92"/>
      <c r="CJ233" s="92"/>
      <c r="CK233" s="92"/>
      <c r="CL233" s="92"/>
      <c r="CM233" s="92"/>
      <c r="CN233" s="92"/>
      <c r="CO233" s="92"/>
      <c r="CP233" s="92"/>
      <c r="CQ233" s="92"/>
      <c r="CR233" s="92"/>
      <c r="CS233" s="92"/>
      <c r="CT233" s="92"/>
      <c r="CU233" s="92"/>
      <c r="CV233" s="92"/>
    </row>
    <row r="234" spans="1:100">
      <c r="A234" s="178">
        <v>92</v>
      </c>
      <c r="B234" s="173">
        <f ca="1">+RESUMEN!Y95</f>
        <v>0</v>
      </c>
      <c r="C234" s="173">
        <f ca="1">+RESUMEN!Z95</f>
        <v>0</v>
      </c>
      <c r="D234" s="174">
        <f t="shared" ca="1" si="273"/>
        <v>0</v>
      </c>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2"/>
      <c r="BL234" s="92"/>
      <c r="BM234" s="92"/>
      <c r="BN234" s="92"/>
      <c r="BO234" s="92"/>
      <c r="BP234" s="92"/>
      <c r="BQ234" s="92"/>
      <c r="BR234" s="92"/>
      <c r="BS234" s="92"/>
      <c r="BT234" s="92"/>
      <c r="BU234" s="92"/>
      <c r="BV234" s="92"/>
      <c r="BW234" s="92"/>
      <c r="BX234" s="92"/>
      <c r="BY234" s="92"/>
      <c r="BZ234" s="92"/>
      <c r="CA234" s="92"/>
      <c r="CB234" s="92"/>
      <c r="CC234" s="92"/>
      <c r="CD234" s="92"/>
      <c r="CE234" s="92"/>
      <c r="CF234" s="92"/>
      <c r="CG234" s="92"/>
      <c r="CH234" s="92"/>
      <c r="CI234" s="92"/>
      <c r="CJ234" s="92"/>
      <c r="CK234" s="92"/>
      <c r="CL234" s="92"/>
      <c r="CM234" s="92"/>
      <c r="CN234" s="92"/>
      <c r="CO234" s="92"/>
      <c r="CP234" s="92"/>
      <c r="CQ234" s="92"/>
      <c r="CR234" s="92"/>
      <c r="CS234" s="92"/>
      <c r="CT234" s="92"/>
      <c r="CU234" s="92"/>
      <c r="CV234" s="92"/>
    </row>
    <row r="235" spans="1:100">
      <c r="A235" s="178">
        <v>93</v>
      </c>
      <c r="B235" s="173">
        <f ca="1">+RESUMEN!Y96</f>
        <v>0</v>
      </c>
      <c r="C235" s="173">
        <f ca="1">+RESUMEN!Z96</f>
        <v>0</v>
      </c>
      <c r="D235" s="174">
        <f t="shared" ca="1" si="273"/>
        <v>0</v>
      </c>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2"/>
      <c r="BL235" s="92"/>
      <c r="BM235" s="92"/>
      <c r="BN235" s="92"/>
      <c r="BO235" s="92"/>
      <c r="BP235" s="92"/>
      <c r="BQ235" s="92"/>
      <c r="BR235" s="92"/>
      <c r="BS235" s="92"/>
      <c r="BT235" s="92"/>
      <c r="BU235" s="92"/>
      <c r="BV235" s="92"/>
      <c r="BW235" s="92"/>
      <c r="BX235" s="92"/>
      <c r="BY235" s="92"/>
      <c r="BZ235" s="92"/>
      <c r="CA235" s="92"/>
      <c r="CB235" s="92"/>
      <c r="CC235" s="92"/>
      <c r="CD235" s="92"/>
      <c r="CE235" s="92"/>
      <c r="CF235" s="92"/>
      <c r="CG235" s="92"/>
      <c r="CH235" s="92"/>
      <c r="CI235" s="92"/>
      <c r="CJ235" s="92"/>
      <c r="CK235" s="92"/>
      <c r="CL235" s="92"/>
      <c r="CM235" s="92"/>
      <c r="CN235" s="92"/>
      <c r="CO235" s="92"/>
      <c r="CP235" s="92"/>
      <c r="CQ235" s="92"/>
      <c r="CR235" s="92"/>
      <c r="CS235" s="92"/>
      <c r="CT235" s="92"/>
      <c r="CU235" s="92"/>
      <c r="CV235" s="92"/>
    </row>
    <row r="236" spans="1:100">
      <c r="A236" s="178">
        <v>94</v>
      </c>
      <c r="B236" s="173">
        <f ca="1">+RESUMEN!Y97</f>
        <v>0</v>
      </c>
      <c r="C236" s="173">
        <f ca="1">+RESUMEN!Z97</f>
        <v>0</v>
      </c>
      <c r="D236" s="174">
        <f t="shared" ca="1" si="273"/>
        <v>0</v>
      </c>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2"/>
      <c r="BL236" s="92"/>
      <c r="BM236" s="92"/>
      <c r="BN236" s="92"/>
      <c r="BO236" s="92"/>
      <c r="BP236" s="92"/>
      <c r="BQ236" s="92"/>
      <c r="BR236" s="92"/>
      <c r="BS236" s="92"/>
      <c r="BT236" s="92"/>
      <c r="BU236" s="92"/>
      <c r="BV236" s="92"/>
      <c r="BW236" s="92"/>
      <c r="BX236" s="92"/>
      <c r="BY236" s="92"/>
      <c r="BZ236" s="92"/>
      <c r="CA236" s="92"/>
      <c r="CB236" s="92"/>
      <c r="CC236" s="92"/>
      <c r="CD236" s="92"/>
      <c r="CE236" s="92"/>
      <c r="CF236" s="92"/>
      <c r="CG236" s="92"/>
      <c r="CH236" s="92"/>
      <c r="CI236" s="92"/>
      <c r="CJ236" s="92"/>
      <c r="CK236" s="92"/>
      <c r="CL236" s="92"/>
      <c r="CM236" s="92"/>
      <c r="CN236" s="92"/>
      <c r="CO236" s="92"/>
      <c r="CP236" s="92"/>
      <c r="CQ236" s="92"/>
      <c r="CR236" s="92"/>
      <c r="CS236" s="92"/>
      <c r="CT236" s="92"/>
      <c r="CU236" s="92"/>
      <c r="CV236" s="92"/>
    </row>
    <row r="237" spans="1:100">
      <c r="A237" s="178">
        <v>95</v>
      </c>
      <c r="B237" s="173">
        <f ca="1">+RESUMEN!Y98</f>
        <v>0</v>
      </c>
      <c r="C237" s="173">
        <f ca="1">+RESUMEN!Z98</f>
        <v>0</v>
      </c>
      <c r="D237" s="174">
        <f t="shared" ca="1" si="273"/>
        <v>0</v>
      </c>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2"/>
      <c r="BL237" s="92"/>
      <c r="BM237" s="92"/>
      <c r="BN237" s="92"/>
      <c r="BO237" s="92"/>
      <c r="BP237" s="92"/>
      <c r="BQ237" s="92"/>
      <c r="BR237" s="92"/>
      <c r="BS237" s="92"/>
      <c r="BT237" s="92"/>
      <c r="BU237" s="92"/>
      <c r="BV237" s="92"/>
      <c r="BW237" s="92"/>
      <c r="BX237" s="92"/>
      <c r="BY237" s="92"/>
      <c r="BZ237" s="92"/>
      <c r="CA237" s="92"/>
      <c r="CB237" s="92"/>
      <c r="CC237" s="92"/>
      <c r="CD237" s="92"/>
      <c r="CE237" s="92"/>
      <c r="CF237" s="92"/>
      <c r="CG237" s="92"/>
      <c r="CH237" s="92"/>
      <c r="CI237" s="92"/>
      <c r="CJ237" s="92"/>
      <c r="CK237" s="92"/>
      <c r="CL237" s="92"/>
      <c r="CM237" s="92"/>
      <c r="CN237" s="92"/>
      <c r="CO237" s="92"/>
      <c r="CP237" s="92"/>
      <c r="CQ237" s="92"/>
      <c r="CR237" s="92"/>
      <c r="CS237" s="92"/>
      <c r="CT237" s="92"/>
      <c r="CU237" s="92"/>
      <c r="CV237" s="92"/>
    </row>
    <row r="238" spans="1:100">
      <c r="A238" s="178">
        <v>96</v>
      </c>
      <c r="B238" s="173">
        <f ca="1">+RESUMEN!Y99</f>
        <v>0</v>
      </c>
      <c r="C238" s="173">
        <f ca="1">+RESUMEN!Z99</f>
        <v>0</v>
      </c>
      <c r="D238" s="174">
        <f t="shared" ca="1" si="273"/>
        <v>0</v>
      </c>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2"/>
      <c r="BL238" s="92"/>
      <c r="BM238" s="92"/>
      <c r="BN238" s="92"/>
      <c r="BO238" s="92"/>
      <c r="BP238" s="92"/>
      <c r="BQ238" s="92"/>
      <c r="BR238" s="92"/>
      <c r="BS238" s="92"/>
      <c r="BT238" s="92"/>
      <c r="BU238" s="92"/>
      <c r="BV238" s="92"/>
      <c r="BW238" s="92"/>
      <c r="BX238" s="92"/>
      <c r="BY238" s="92"/>
      <c r="BZ238" s="92"/>
      <c r="CA238" s="92"/>
      <c r="CB238" s="92"/>
      <c r="CC238" s="92"/>
      <c r="CD238" s="92"/>
      <c r="CE238" s="92"/>
      <c r="CF238" s="92"/>
      <c r="CG238" s="92"/>
      <c r="CH238" s="92"/>
      <c r="CI238" s="92"/>
      <c r="CJ238" s="92"/>
      <c r="CK238" s="92"/>
      <c r="CL238" s="92"/>
      <c r="CM238" s="92"/>
      <c r="CN238" s="92"/>
      <c r="CO238" s="92"/>
      <c r="CP238" s="92"/>
      <c r="CQ238" s="92"/>
      <c r="CR238" s="92"/>
      <c r="CS238" s="92"/>
      <c r="CT238" s="92"/>
      <c r="CU238" s="92"/>
      <c r="CV238" s="92"/>
    </row>
    <row r="239" spans="1:100">
      <c r="A239" s="178">
        <v>97</v>
      </c>
      <c r="B239" s="173">
        <f ca="1">+RESUMEN!Y100</f>
        <v>0</v>
      </c>
      <c r="C239" s="173">
        <f ca="1">+RESUMEN!Z100</f>
        <v>0</v>
      </c>
      <c r="D239" s="174">
        <f t="shared" ca="1" si="273"/>
        <v>0</v>
      </c>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2"/>
      <c r="BL239" s="92"/>
      <c r="BM239" s="92"/>
      <c r="BN239" s="92"/>
      <c r="BO239" s="92"/>
      <c r="BP239" s="92"/>
      <c r="BQ239" s="92"/>
      <c r="BR239" s="92"/>
      <c r="BS239" s="92"/>
      <c r="BT239" s="92"/>
      <c r="BU239" s="92"/>
      <c r="BV239" s="92"/>
      <c r="BW239" s="92"/>
      <c r="BX239" s="92"/>
      <c r="BY239" s="92"/>
      <c r="BZ239" s="92"/>
      <c r="CA239" s="92"/>
      <c r="CB239" s="92"/>
      <c r="CC239" s="92"/>
      <c r="CD239" s="92"/>
      <c r="CE239" s="92"/>
      <c r="CF239" s="92"/>
      <c r="CG239" s="92"/>
      <c r="CH239" s="92"/>
      <c r="CI239" s="92"/>
      <c r="CJ239" s="92"/>
      <c r="CK239" s="92"/>
      <c r="CL239" s="92"/>
      <c r="CM239" s="92"/>
      <c r="CN239" s="92"/>
      <c r="CO239" s="92"/>
      <c r="CP239" s="92"/>
      <c r="CQ239" s="92"/>
      <c r="CR239" s="92"/>
      <c r="CS239" s="92"/>
      <c r="CT239" s="92"/>
      <c r="CU239" s="92"/>
      <c r="CV239" s="92"/>
    </row>
    <row r="240" spans="1:100">
      <c r="A240" s="178">
        <v>98</v>
      </c>
      <c r="B240" s="173">
        <f ca="1">+RESUMEN!Y101</f>
        <v>0</v>
      </c>
      <c r="C240" s="173">
        <f ca="1">+RESUMEN!Z101</f>
        <v>0</v>
      </c>
      <c r="D240" s="174">
        <f t="shared" ca="1" si="273"/>
        <v>0</v>
      </c>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2"/>
      <c r="BL240" s="92"/>
      <c r="BM240" s="92"/>
      <c r="BN240" s="92"/>
      <c r="BO240" s="92"/>
      <c r="BP240" s="92"/>
      <c r="BQ240" s="92"/>
      <c r="BR240" s="92"/>
      <c r="BS240" s="92"/>
      <c r="BT240" s="92"/>
      <c r="BU240" s="92"/>
      <c r="BV240" s="92"/>
      <c r="BW240" s="92"/>
      <c r="BX240" s="92"/>
      <c r="BY240" s="92"/>
      <c r="BZ240" s="92"/>
      <c r="CA240" s="92"/>
      <c r="CB240" s="92"/>
      <c r="CC240" s="92"/>
      <c r="CD240" s="92"/>
      <c r="CE240" s="92"/>
      <c r="CF240" s="92"/>
      <c r="CG240" s="92"/>
      <c r="CH240" s="92"/>
      <c r="CI240" s="92"/>
      <c r="CJ240" s="92"/>
      <c r="CK240" s="92"/>
      <c r="CL240" s="92"/>
      <c r="CM240" s="92"/>
      <c r="CN240" s="92"/>
      <c r="CO240" s="92"/>
      <c r="CP240" s="92"/>
      <c r="CQ240" s="92"/>
      <c r="CR240" s="92"/>
      <c r="CS240" s="92"/>
      <c r="CT240" s="92"/>
      <c r="CU240" s="92"/>
      <c r="CV240" s="92"/>
    </row>
    <row r="241" spans="1:100">
      <c r="A241" s="178">
        <v>99</v>
      </c>
      <c r="B241" s="173">
        <f ca="1">+RESUMEN!Y102</f>
        <v>0</v>
      </c>
      <c r="C241" s="173">
        <f ca="1">+RESUMEN!Z102</f>
        <v>0</v>
      </c>
      <c r="D241" s="174">
        <f t="shared" ca="1" si="273"/>
        <v>0</v>
      </c>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2"/>
      <c r="BL241" s="92"/>
      <c r="BM241" s="92"/>
      <c r="BN241" s="92"/>
      <c r="BO241" s="92"/>
      <c r="BP241" s="92"/>
      <c r="BQ241" s="92"/>
      <c r="BR241" s="92"/>
      <c r="BS241" s="92"/>
      <c r="BT241" s="92"/>
      <c r="BU241" s="92"/>
      <c r="BV241" s="92"/>
      <c r="BW241" s="92"/>
      <c r="BX241" s="92"/>
      <c r="BY241" s="92"/>
      <c r="BZ241" s="92"/>
      <c r="CA241" s="92"/>
      <c r="CB241" s="92"/>
      <c r="CC241" s="92"/>
      <c r="CD241" s="92"/>
      <c r="CE241" s="92"/>
      <c r="CF241" s="92"/>
      <c r="CG241" s="92"/>
      <c r="CH241" s="92"/>
      <c r="CI241" s="92"/>
      <c r="CJ241" s="92"/>
      <c r="CK241" s="92"/>
      <c r="CL241" s="92"/>
      <c r="CM241" s="92"/>
      <c r="CN241" s="92"/>
      <c r="CO241" s="92"/>
      <c r="CP241" s="92"/>
      <c r="CQ241" s="92"/>
      <c r="CR241" s="92"/>
      <c r="CS241" s="92"/>
      <c r="CT241" s="92"/>
      <c r="CU241" s="92"/>
      <c r="CV241" s="92"/>
    </row>
    <row r="242" spans="1:100" ht="16" thickBot="1">
      <c r="A242" s="213">
        <v>100</v>
      </c>
      <c r="B242" s="173">
        <f ca="1">+RESUMEN!Y103</f>
        <v>0</v>
      </c>
      <c r="C242" s="173">
        <f ca="1">+RESUMEN!Z103</f>
        <v>0</v>
      </c>
      <c r="D242" s="214">
        <f t="shared" ca="1" si="273"/>
        <v>0</v>
      </c>
      <c r="E242" s="92"/>
      <c r="F242" s="92"/>
      <c r="G242" s="92"/>
      <c r="H242" s="92"/>
      <c r="I242" s="92"/>
      <c r="J242" s="58"/>
    </row>
    <row r="243" spans="1:100" ht="16" thickBot="1">
      <c r="A243" s="215" t="s">
        <v>52</v>
      </c>
      <c r="B243" s="215">
        <f ca="1">SUM(B142:B242)</f>
        <v>0</v>
      </c>
      <c r="C243" s="215">
        <f ca="1">SUM(C142:C242)</f>
        <v>0</v>
      </c>
      <c r="D243" s="215">
        <f ca="1">SUM(D142:D242)</f>
        <v>0</v>
      </c>
      <c r="E243" s="58"/>
      <c r="F243" s="58"/>
      <c r="G243" s="58"/>
      <c r="H243" s="58"/>
      <c r="I243" s="58"/>
      <c r="J243" s="58"/>
    </row>
    <row r="244" spans="1:100">
      <c r="B244" s="58"/>
      <c r="C244" s="58"/>
      <c r="D244" s="58"/>
      <c r="E244" s="58"/>
      <c r="F244" s="58"/>
      <c r="G244" s="58"/>
      <c r="H244" s="58"/>
      <c r="I244" s="58"/>
      <c r="J244" s="58"/>
    </row>
    <row r="245" spans="1:100">
      <c r="B245" s="58"/>
      <c r="C245" s="58"/>
      <c r="D245" s="58"/>
      <c r="E245" s="58"/>
      <c r="F245" s="58"/>
      <c r="G245" s="58"/>
      <c r="H245" s="58"/>
      <c r="I245" s="58"/>
      <c r="J245" s="58"/>
    </row>
    <row r="246" spans="1:100">
      <c r="B246" s="58"/>
      <c r="C246" s="58"/>
      <c r="D246" s="58"/>
      <c r="E246" s="58"/>
      <c r="F246" s="58"/>
      <c r="G246" s="58"/>
      <c r="H246" s="58"/>
      <c r="I246" s="58"/>
      <c r="J246" s="58"/>
    </row>
    <row r="247" spans="1:100">
      <c r="B247" s="58"/>
      <c r="C247" s="58"/>
      <c r="D247" s="58"/>
      <c r="E247" s="58"/>
      <c r="F247" s="58"/>
      <c r="G247" s="58"/>
      <c r="H247" s="58"/>
      <c r="I247" s="58"/>
      <c r="J247" s="58"/>
    </row>
    <row r="248" spans="1:100">
      <c r="B248" s="58"/>
      <c r="C248" s="58"/>
      <c r="D248" s="58"/>
      <c r="E248" s="58"/>
      <c r="F248" s="58"/>
      <c r="G248" s="58"/>
      <c r="H248" s="58"/>
      <c r="I248" s="58"/>
      <c r="J248" s="58"/>
    </row>
    <row r="249" spans="1:100">
      <c r="B249" s="58"/>
      <c r="C249" s="58"/>
      <c r="D249" s="58"/>
      <c r="E249" s="58"/>
      <c r="F249" s="58"/>
      <c r="G249" s="58"/>
      <c r="H249" s="58"/>
      <c r="I249" s="58"/>
      <c r="J249" s="58"/>
    </row>
    <row r="250" spans="1:100">
      <c r="B250" s="58"/>
      <c r="C250" s="58"/>
      <c r="D250" s="58"/>
      <c r="E250" s="58"/>
      <c r="F250" s="58"/>
      <c r="G250" s="58"/>
      <c r="H250" s="58"/>
      <c r="I250" s="58"/>
      <c r="J250" s="58"/>
    </row>
    <row r="251" spans="1:100">
      <c r="B251" s="58"/>
      <c r="C251" s="58"/>
      <c r="D251" s="58"/>
      <c r="E251" s="58"/>
      <c r="F251" s="58"/>
      <c r="G251" s="58"/>
      <c r="H251" s="58"/>
      <c r="I251" s="58"/>
      <c r="J251" s="58"/>
    </row>
    <row r="252" spans="1:100">
      <c r="B252" s="58"/>
      <c r="C252" s="58"/>
      <c r="D252" s="58"/>
      <c r="E252" s="58"/>
      <c r="F252" s="58"/>
      <c r="G252" s="58"/>
      <c r="H252" s="58"/>
      <c r="I252" s="58"/>
      <c r="J252" s="58"/>
    </row>
    <row r="253" spans="1:100">
      <c r="B253" s="58"/>
      <c r="C253" s="58"/>
      <c r="D253" s="58"/>
      <c r="E253" s="58"/>
      <c r="F253" s="58"/>
      <c r="G253" s="58"/>
      <c r="H253" s="58"/>
      <c r="I253" s="58"/>
      <c r="J253" s="58"/>
    </row>
    <row r="254" spans="1:100">
      <c r="B254" s="58"/>
      <c r="C254" s="58"/>
      <c r="D254" s="58"/>
      <c r="E254" s="58"/>
      <c r="F254" s="58"/>
      <c r="G254" s="58"/>
      <c r="H254" s="58"/>
      <c r="I254" s="58"/>
      <c r="J254" s="58"/>
    </row>
    <row r="255" spans="1:100">
      <c r="B255" s="58"/>
      <c r="C255" s="58"/>
      <c r="D255" s="58"/>
      <c r="E255" s="58"/>
      <c r="F255" s="58"/>
      <c r="G255" s="58"/>
      <c r="H255" s="58"/>
      <c r="I255" s="58"/>
      <c r="J255" s="58"/>
    </row>
    <row r="256" spans="1:100">
      <c r="B256" s="58"/>
      <c r="C256" s="58"/>
      <c r="D256" s="58"/>
      <c r="E256" s="58"/>
      <c r="F256" s="58"/>
      <c r="G256" s="58"/>
      <c r="H256" s="58"/>
      <c r="I256" s="58"/>
      <c r="J256" s="58"/>
    </row>
    <row r="257" spans="2:10">
      <c r="B257" s="58"/>
      <c r="C257" s="58"/>
      <c r="D257" s="58"/>
      <c r="E257" s="58"/>
      <c r="F257" s="58"/>
      <c r="G257" s="58"/>
      <c r="H257" s="58"/>
      <c r="I257" s="58"/>
      <c r="J257" s="58"/>
    </row>
    <row r="258" spans="2:10">
      <c r="B258" s="58"/>
      <c r="C258" s="58"/>
      <c r="D258" s="58"/>
      <c r="E258" s="58"/>
      <c r="F258" s="58"/>
      <c r="G258" s="58"/>
      <c r="H258" s="58"/>
      <c r="I258" s="58"/>
      <c r="J258" s="58"/>
    </row>
    <row r="259" spans="2:10">
      <c r="B259" s="58"/>
      <c r="C259" s="58"/>
      <c r="D259" s="58"/>
      <c r="E259" s="58"/>
      <c r="F259" s="58"/>
      <c r="G259" s="58"/>
      <c r="H259" s="58"/>
      <c r="I259" s="58"/>
      <c r="J259" s="58"/>
    </row>
    <row r="260" spans="2:10">
      <c r="B260" s="58"/>
      <c r="C260" s="58"/>
      <c r="D260" s="58"/>
      <c r="E260" s="58"/>
      <c r="F260" s="58"/>
      <c r="G260" s="58"/>
      <c r="H260" s="58"/>
      <c r="I260" s="58"/>
      <c r="J260" s="58"/>
    </row>
    <row r="261" spans="2:10">
      <c r="B261" s="58"/>
      <c r="C261" s="58"/>
      <c r="D261" s="58"/>
      <c r="E261" s="58"/>
      <c r="F261" s="58"/>
      <c r="G261" s="58"/>
      <c r="H261" s="58"/>
      <c r="I261" s="58"/>
      <c r="J261" s="58"/>
    </row>
    <row r="262" spans="2:10">
      <c r="B262" s="58"/>
      <c r="C262" s="58"/>
      <c r="D262" s="58"/>
      <c r="E262" s="58"/>
      <c r="F262" s="58"/>
      <c r="G262" s="58"/>
      <c r="H262" s="58"/>
      <c r="I262" s="58"/>
      <c r="J262" s="58"/>
    </row>
    <row r="263" spans="2:10">
      <c r="B263" s="58"/>
      <c r="C263" s="58"/>
      <c r="D263" s="58"/>
      <c r="E263" s="58"/>
      <c r="F263" s="58"/>
      <c r="G263" s="58"/>
      <c r="H263" s="58"/>
      <c r="I263" s="58"/>
      <c r="J263" s="58"/>
    </row>
    <row r="264" spans="2:10">
      <c r="B264" s="58"/>
      <c r="C264" s="58"/>
      <c r="D264" s="58"/>
      <c r="E264" s="58"/>
      <c r="F264" s="58"/>
      <c r="G264" s="58"/>
      <c r="H264" s="58"/>
      <c r="I264" s="58"/>
      <c r="J264" s="58"/>
    </row>
    <row r="265" spans="2:10">
      <c r="B265" s="58"/>
      <c r="C265" s="58"/>
      <c r="D265" s="58"/>
      <c r="E265" s="58"/>
      <c r="F265" s="58"/>
      <c r="G265" s="58"/>
      <c r="H265" s="58"/>
      <c r="I265" s="58"/>
      <c r="J265" s="58"/>
    </row>
    <row r="266" spans="2:10">
      <c r="B266" s="58"/>
      <c r="C266" s="58"/>
      <c r="D266" s="58"/>
      <c r="E266" s="58"/>
      <c r="F266" s="58"/>
      <c r="G266" s="58"/>
      <c r="H266" s="58"/>
      <c r="I266" s="58"/>
      <c r="J266" s="58"/>
    </row>
    <row r="267" spans="2:10">
      <c r="B267" s="58"/>
      <c r="C267" s="58"/>
      <c r="D267" s="58"/>
      <c r="E267" s="58"/>
      <c r="F267" s="58"/>
      <c r="G267" s="58"/>
      <c r="H267" s="58"/>
      <c r="I267" s="58"/>
      <c r="J267" s="58"/>
    </row>
    <row r="268" spans="2:10">
      <c r="B268" s="58"/>
      <c r="C268" s="58"/>
      <c r="D268" s="58"/>
      <c r="E268" s="58"/>
      <c r="F268" s="58"/>
      <c r="G268" s="58"/>
      <c r="H268" s="58"/>
      <c r="I268" s="58"/>
      <c r="J268" s="58"/>
    </row>
    <row r="269" spans="2:10">
      <c r="B269" s="58"/>
      <c r="C269" s="58"/>
      <c r="D269" s="58"/>
      <c r="E269" s="58"/>
      <c r="F269" s="58"/>
      <c r="G269" s="58"/>
      <c r="H269" s="58"/>
      <c r="I269" s="58"/>
      <c r="J269" s="58"/>
    </row>
    <row r="270" spans="2:10">
      <c r="B270" s="58"/>
      <c r="C270" s="58"/>
      <c r="D270" s="58"/>
      <c r="E270" s="58"/>
      <c r="F270" s="58"/>
      <c r="G270" s="58"/>
      <c r="H270" s="58"/>
      <c r="I270" s="58"/>
      <c r="J270" s="58"/>
    </row>
    <row r="271" spans="2:10">
      <c r="B271" s="58"/>
      <c r="C271" s="58"/>
      <c r="D271" s="58"/>
      <c r="E271" s="58"/>
      <c r="F271" s="58"/>
      <c r="G271" s="58"/>
      <c r="H271" s="58"/>
      <c r="I271" s="58"/>
    </row>
  </sheetData>
  <sheetProtection selectLockedCells="1" selectUnlockedCells="1"/>
  <mergeCells count="18">
    <mergeCell ref="DP1:DR1"/>
    <mergeCell ref="DG1:DH1"/>
    <mergeCell ref="DI1:DJ1"/>
    <mergeCell ref="DK1:DL1"/>
    <mergeCell ref="DM1:DN1"/>
    <mergeCell ref="F105:H105"/>
    <mergeCell ref="J105:K105"/>
    <mergeCell ref="G93:H93"/>
    <mergeCell ref="DC1:DD1"/>
    <mergeCell ref="DE1:DF1"/>
    <mergeCell ref="AR1:AT1"/>
    <mergeCell ref="CC1:CD1"/>
    <mergeCell ref="BV125:BW125"/>
    <mergeCell ref="BY125:BZ125"/>
    <mergeCell ref="BA1:BB1"/>
    <mergeCell ref="BD1:BF1"/>
    <mergeCell ref="BH1:BI1"/>
    <mergeCell ref="BO1:BP1"/>
  </mergeCells>
  <phoneticPr fontId="9" type="noConversion"/>
  <printOptions horizontalCentered="1" verticalCentered="1" gridLines="1" gridLinesSet="0"/>
  <pageMargins left="0.25" right="0.25" top="0.45" bottom="0.84" header="0.23622047244094491" footer="0.53"/>
  <pageSetup scale="85" orientation="portrait" r:id="rId1"/>
  <headerFooter alignWithMargins="0">
    <oddFooter>&amp;L&amp;"Comic Sans MS,Regular" Elaborado   por:    ______________________&amp;RFecha: &amp;D</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R18"/>
  <sheetViews>
    <sheetView showGridLines="0" topLeftCell="B1" zoomScaleNormal="100" workbookViewId="0">
      <pane ySplit="3" topLeftCell="A4" activePane="bottomLeft" state="frozen"/>
      <selection activeCell="H4" sqref="H4"/>
      <selection pane="bottomLeft" activeCell="B7" sqref="B7"/>
    </sheetView>
  </sheetViews>
  <sheetFormatPr baseColWidth="10" defaultColWidth="0" defaultRowHeight="12.5" zeroHeight="1"/>
  <cols>
    <col min="1" max="1" width="13.26953125" hidden="1" customWidth="1"/>
    <col min="2" max="3" width="21.7265625" style="44" customWidth="1"/>
    <col min="4" max="4" width="21.7265625" style="53" customWidth="1"/>
    <col min="5" max="5" width="32" style="42" bestFit="1" customWidth="1"/>
    <col min="6" max="7" width="5.453125" style="42" customWidth="1"/>
    <col min="8" max="8" width="11.26953125" style="42" hidden="1" customWidth="1"/>
    <col min="9" max="9" width="13.1796875" style="42" hidden="1" customWidth="1"/>
    <col min="10" max="13" width="11.453125" style="42" hidden="1" customWidth="1"/>
    <col min="14" max="15" width="11.26953125" style="42" hidden="1" customWidth="1"/>
    <col min="16" max="16384" width="5.453125" style="42" hidden="1"/>
  </cols>
  <sheetData>
    <row r="1" spans="1:18" ht="31.15" customHeight="1" thickBot="1">
      <c r="A1" s="218"/>
      <c r="B1" s="551" t="s">
        <v>90</v>
      </c>
      <c r="C1" s="552"/>
      <c r="D1" s="552"/>
      <c r="E1" s="552"/>
      <c r="F1" s="219"/>
      <c r="G1" s="219"/>
    </row>
    <row r="2" spans="1:18" ht="18.5" hidden="1">
      <c r="A2" s="559" t="str">
        <f>IF(E3=1,"FALTAN DATOS","")</f>
        <v/>
      </c>
      <c r="B2" s="559"/>
      <c r="C2" s="559"/>
      <c r="D2" s="559"/>
      <c r="E2" s="559"/>
      <c r="F2" s="219"/>
      <c r="G2" s="219"/>
    </row>
    <row r="3" spans="1:18" ht="13.15" hidden="1" customHeight="1" thickBot="1">
      <c r="A3" s="220"/>
      <c r="B3" s="221"/>
      <c r="C3" s="222">
        <f>COUNTA(C7:C14)</f>
        <v>0</v>
      </c>
      <c r="D3" s="222">
        <f>COUNTA(D7:D14)</f>
        <v>0</v>
      </c>
      <c r="E3" s="223">
        <f>IF(C3=D3,0,1)</f>
        <v>0</v>
      </c>
      <c r="F3" s="219"/>
      <c r="G3" s="219"/>
    </row>
    <row r="4" spans="1:18" s="43" customFormat="1" ht="14.25" customHeight="1">
      <c r="A4" s="224" t="s">
        <v>40</v>
      </c>
      <c r="B4" s="553" t="s">
        <v>42</v>
      </c>
      <c r="C4" s="560" t="s">
        <v>68</v>
      </c>
      <c r="D4" s="563" t="s">
        <v>69</v>
      </c>
      <c r="E4" s="556" t="s">
        <v>67</v>
      </c>
      <c r="F4" s="225"/>
      <c r="G4" s="225"/>
    </row>
    <row r="5" spans="1:18" ht="12" customHeight="1">
      <c r="A5" s="226" t="s">
        <v>41</v>
      </c>
      <c r="B5" s="554"/>
      <c r="C5" s="561"/>
      <c r="D5" s="564"/>
      <c r="E5" s="557"/>
      <c r="F5" s="219"/>
      <c r="G5" s="219"/>
    </row>
    <row r="6" spans="1:18" ht="13.15" customHeight="1" thickBot="1">
      <c r="A6" s="227" t="s">
        <v>66</v>
      </c>
      <c r="B6" s="555"/>
      <c r="C6" s="562"/>
      <c r="D6" s="565"/>
      <c r="E6" s="558"/>
      <c r="F6" s="219"/>
      <c r="G6" s="219"/>
      <c r="H6" s="260" t="s">
        <v>474</v>
      </c>
      <c r="I6" s="260" t="s">
        <v>475</v>
      </c>
      <c r="J6" s="260" t="s">
        <v>476</v>
      </c>
      <c r="K6" s="260" t="s">
        <v>36</v>
      </c>
      <c r="L6" s="42" t="s">
        <v>56</v>
      </c>
      <c r="M6" s="42" t="s">
        <v>53</v>
      </c>
      <c r="N6" s="260" t="s">
        <v>6</v>
      </c>
      <c r="O6" s="260" t="s">
        <v>28768</v>
      </c>
    </row>
    <row r="7" spans="1:18" ht="24.75" customHeight="1">
      <c r="A7" s="255"/>
      <c r="B7" s="78"/>
      <c r="C7" s="45"/>
      <c r="D7" s="45"/>
      <c r="E7" s="47" t="str">
        <f>IF(COUNTIF(C7:C14,"T")=0,"Debe existir un titular",IF(COUNTIF(C7:C14,"T")&gt;1,"Solo debe existir un titular",""))</f>
        <v>Debe existir un titular</v>
      </c>
      <c r="F7" s="228"/>
      <c r="G7" s="219"/>
      <c r="H7" s="258">
        <f>+IF(AND('CAPTURA LISTADO'!B7&gt;64,b=1),1,0)</f>
        <v>0</v>
      </c>
      <c r="I7" s="258">
        <f>+IF(AND('CAPTURA DP'!$B$4&gt;=4,'CAPTURA DP'!$B$6&gt;1,B7&gt;59,b=1),1,0)</f>
        <v>0</v>
      </c>
      <c r="J7" s="258">
        <f>+IF(AND('CAPTURA DP'!$B$4&lt;=3,'CAPTURA DP'!$B$6&gt;61,B7&gt;59,b=1),1,0)</f>
        <v>0</v>
      </c>
      <c r="K7" s="258">
        <f>+IF(E7="",0,1)+I7+J7+H7</f>
        <v>1</v>
      </c>
      <c r="L7" s="42" t="s">
        <v>13</v>
      </c>
      <c r="M7" s="42" t="s">
        <v>55</v>
      </c>
      <c r="N7" s="496">
        <f>+IF(D7="F",IF(OR(B7&lt;15,B7&gt;55),0,1),0)</f>
        <v>0</v>
      </c>
      <c r="O7" s="496">
        <f>+IF(D7="m",1,0)</f>
        <v>0</v>
      </c>
    </row>
    <row r="8" spans="1:18" ht="24.75" customHeight="1">
      <c r="A8" s="256"/>
      <c r="B8" s="79"/>
      <c r="C8" s="46"/>
      <c r="D8" s="46"/>
      <c r="E8" s="48" t="str">
        <f t="shared" ref="E8:E14" ca="1" si="0">IF(A8&gt;TODAY(),"Error en la fecha de nacimiento.",IF(AND(OR(A8&lt;&gt;"",B8&lt;&gt;""),AND(C8&lt;&gt;"",D8&lt;&gt;"")),"",IF(AND(A8="",B8="",C8="",D8=""),"","FALTAN DATOS")))</f>
        <v/>
      </c>
      <c r="F8" s="228"/>
      <c r="G8" s="219"/>
      <c r="H8" s="258">
        <f>+IF(AND('CAPTURA LISTADO'!B8&gt;64,b=1),1,0)</f>
        <v>0</v>
      </c>
      <c r="I8" s="258">
        <f>+IF(AND('CAPTURA DP'!$B$4&gt;=4,'CAPTURA DP'!$B$6&gt;1,B8&gt;59,b=1),1,0)</f>
        <v>0</v>
      </c>
      <c r="J8" s="258">
        <f>+IF(AND('CAPTURA DP'!$B$4&lt;=3,'CAPTURA DP'!$B$6&gt;61,B8&gt;59,b=1),1,0)</f>
        <v>0</v>
      </c>
      <c r="K8" s="258">
        <f t="shared" ref="K8:K14" ca="1" si="1">+IF(E8="",0,1)+I8+J8+H8</f>
        <v>0</v>
      </c>
      <c r="L8" s="42" t="s">
        <v>64</v>
      </c>
      <c r="N8" s="496">
        <f t="shared" ref="N8:N14" si="2">+IF(D8="F",IF(OR(B8&lt;15,B8&gt;55),0,1),0)</f>
        <v>0</v>
      </c>
      <c r="O8" s="496">
        <f t="shared" ref="O8:O14" si="3">+IF(D8="m",1,0)</f>
        <v>0</v>
      </c>
    </row>
    <row r="9" spans="1:18" ht="24.75" customHeight="1">
      <c r="A9" s="256"/>
      <c r="B9" s="79"/>
      <c r="C9" s="46"/>
      <c r="D9" s="46"/>
      <c r="E9" s="48" t="str">
        <f t="shared" ca="1" si="0"/>
        <v/>
      </c>
      <c r="F9" s="228"/>
      <c r="G9" s="219"/>
      <c r="H9" s="258">
        <f>+IF(AND('CAPTURA LISTADO'!B9&gt;64,b=1),1,0)</f>
        <v>0</v>
      </c>
      <c r="I9" s="258">
        <f>+IF(AND('CAPTURA DP'!$B$4&gt;=4,'CAPTURA DP'!$B$6&gt;1,B9&gt;59,b=1),1,0)</f>
        <v>0</v>
      </c>
      <c r="J9" s="258">
        <f>+IF(AND('CAPTURA DP'!$B$4&lt;=3,'CAPTURA DP'!$B$6&gt;61,B9&gt;59,b=1),1,0)</f>
        <v>0</v>
      </c>
      <c r="K9" s="258">
        <f t="shared" ca="1" si="1"/>
        <v>0</v>
      </c>
      <c r="N9" s="496">
        <f t="shared" si="2"/>
        <v>0</v>
      </c>
      <c r="O9" s="496">
        <f t="shared" si="3"/>
        <v>0</v>
      </c>
    </row>
    <row r="10" spans="1:18" ht="24.75" customHeight="1">
      <c r="A10" s="256"/>
      <c r="B10" s="79"/>
      <c r="C10" s="46"/>
      <c r="D10" s="46"/>
      <c r="E10" s="48" t="str">
        <f t="shared" ca="1" si="0"/>
        <v/>
      </c>
      <c r="F10" s="228"/>
      <c r="G10" s="219"/>
      <c r="H10" s="258">
        <f>+IF(AND('CAPTURA LISTADO'!B10&gt;64,b=1),1,0)</f>
        <v>0</v>
      </c>
      <c r="I10" s="258">
        <f>+IF(AND('CAPTURA DP'!$B$4&gt;=4,'CAPTURA DP'!$B$6&gt;1,B10&gt;59,b=1),1,0)</f>
        <v>0</v>
      </c>
      <c r="J10" s="258">
        <f>+IF(AND('CAPTURA DP'!$B$4&lt;=3,'CAPTURA DP'!$B$6&gt;61,B10&gt;59,b=1),1,0)</f>
        <v>0</v>
      </c>
      <c r="K10" s="258">
        <f t="shared" ca="1" si="1"/>
        <v>0</v>
      </c>
      <c r="N10" s="496">
        <f t="shared" si="2"/>
        <v>0</v>
      </c>
      <c r="O10" s="496">
        <f t="shared" si="3"/>
        <v>0</v>
      </c>
    </row>
    <row r="11" spans="1:18" ht="24.75" customHeight="1">
      <c r="A11" s="256"/>
      <c r="B11" s="79"/>
      <c r="C11" s="46"/>
      <c r="D11" s="46"/>
      <c r="E11" s="48" t="str">
        <f t="shared" ca="1" si="0"/>
        <v/>
      </c>
      <c r="F11" s="228"/>
      <c r="G11" s="219"/>
      <c r="H11" s="258">
        <f>+IF(AND('CAPTURA LISTADO'!B11&gt;64,b=1),1,0)</f>
        <v>0</v>
      </c>
      <c r="I11" s="258">
        <f>+IF(AND('CAPTURA DP'!$B$4&gt;=4,'CAPTURA DP'!$B$6&gt;1,B11&gt;59,b=1),1,0)</f>
        <v>0</v>
      </c>
      <c r="J11" s="258">
        <f>+IF(AND('CAPTURA DP'!$B$4&lt;=3,'CAPTURA DP'!$B$6&gt;61,B11&gt;59,b=1),1,0)</f>
        <v>0</v>
      </c>
      <c r="K11" s="258">
        <f t="shared" ca="1" si="1"/>
        <v>0</v>
      </c>
      <c r="N11" s="496">
        <f t="shared" si="2"/>
        <v>0</v>
      </c>
      <c r="O11" s="496">
        <f t="shared" si="3"/>
        <v>0</v>
      </c>
    </row>
    <row r="12" spans="1:18" ht="24.75" customHeight="1">
      <c r="A12" s="256"/>
      <c r="B12" s="79"/>
      <c r="C12" s="46"/>
      <c r="D12" s="46"/>
      <c r="E12" s="48" t="str">
        <f t="shared" ca="1" si="0"/>
        <v/>
      </c>
      <c r="F12" s="228"/>
      <c r="G12" s="219"/>
      <c r="H12" s="258">
        <f>+IF(AND('CAPTURA LISTADO'!B12&gt;64,b=1),1,0)</f>
        <v>0</v>
      </c>
      <c r="I12" s="258">
        <f>+IF(AND('CAPTURA DP'!$B$4&gt;=4,'CAPTURA DP'!$B$6&gt;1,B12&gt;59,b=1),1,0)</f>
        <v>0</v>
      </c>
      <c r="J12" s="258">
        <f>+IF(AND('CAPTURA DP'!$B$4&lt;=3,'CAPTURA DP'!$B$6&gt;61,B12&gt;59,b=1),1,0)</f>
        <v>0</v>
      </c>
      <c r="K12" s="258">
        <f t="shared" ca="1" si="1"/>
        <v>0</v>
      </c>
      <c r="N12" s="496">
        <f t="shared" si="2"/>
        <v>0</v>
      </c>
      <c r="O12" s="496">
        <f t="shared" si="3"/>
        <v>0</v>
      </c>
    </row>
    <row r="13" spans="1:18" ht="24.75" customHeight="1">
      <c r="A13" s="256"/>
      <c r="B13" s="79"/>
      <c r="C13" s="46"/>
      <c r="D13" s="46"/>
      <c r="E13" s="48" t="str">
        <f t="shared" ca="1" si="0"/>
        <v/>
      </c>
      <c r="F13" s="228"/>
      <c r="G13" s="219"/>
      <c r="H13" s="258">
        <f>+IF(AND('CAPTURA LISTADO'!B13&gt;64,b=1),1,0)</f>
        <v>0</v>
      </c>
      <c r="I13" s="258">
        <f>+IF(AND('CAPTURA DP'!$B$4&gt;=4,'CAPTURA DP'!$B$6&gt;1,B13&gt;59,b=1),1,0)</f>
        <v>0</v>
      </c>
      <c r="J13" s="258">
        <f>+IF(AND('CAPTURA DP'!$B$4&lt;=3,'CAPTURA DP'!$B$6&gt;61,B13&gt;59,b=1),1,0)</f>
        <v>0</v>
      </c>
      <c r="K13" s="258">
        <f t="shared" ca="1" si="1"/>
        <v>0</v>
      </c>
      <c r="N13" s="496">
        <f t="shared" si="2"/>
        <v>0</v>
      </c>
      <c r="O13" s="496">
        <f t="shared" si="3"/>
        <v>0</v>
      </c>
    </row>
    <row r="14" spans="1:18" ht="24.75" customHeight="1" thickBot="1">
      <c r="A14" s="256"/>
      <c r="B14" s="359"/>
      <c r="C14" s="253"/>
      <c r="D14" s="253"/>
      <c r="E14" s="80" t="str">
        <f t="shared" ca="1" si="0"/>
        <v/>
      </c>
      <c r="F14" s="228"/>
      <c r="G14" s="219"/>
      <c r="H14" s="258">
        <f>+IF(AND('CAPTURA LISTADO'!B14&gt;64,b=1),1,0)</f>
        <v>0</v>
      </c>
      <c r="I14" s="258">
        <f>+IF(AND('CAPTURA DP'!$B$4&gt;=4,'CAPTURA DP'!$B$6&gt;1,B14&gt;59,b=1),1,0)</f>
        <v>0</v>
      </c>
      <c r="J14" s="258">
        <f>+IF(AND('CAPTURA DP'!$B$4&lt;=3,'CAPTURA DP'!$B$6&gt;61,B14&gt;59,b=1),1,0)</f>
        <v>0</v>
      </c>
      <c r="K14" s="258">
        <f t="shared" ca="1" si="1"/>
        <v>0</v>
      </c>
      <c r="N14" s="496">
        <f t="shared" si="2"/>
        <v>0</v>
      </c>
      <c r="O14" s="496">
        <f t="shared" si="3"/>
        <v>0</v>
      </c>
    </row>
    <row r="15" spans="1:18" ht="12">
      <c r="A15" s="257"/>
      <c r="B15" s="52"/>
      <c r="C15" s="254"/>
      <c r="D15" s="52"/>
      <c r="E15" s="52"/>
      <c r="F15" s="228"/>
      <c r="G15" s="219"/>
      <c r="Q15" s="259">
        <v>0</v>
      </c>
      <c r="R15" s="42" t="s">
        <v>28769</v>
      </c>
    </row>
    <row r="16" spans="1:18" ht="12">
      <c r="A16" s="256"/>
      <c r="B16" s="52"/>
      <c r="C16" s="52"/>
      <c r="D16" s="52"/>
      <c r="E16" s="52"/>
      <c r="F16" s="228"/>
      <c r="G16" s="219"/>
      <c r="H16" s="259">
        <f>SUM(H7:H14)</f>
        <v>0</v>
      </c>
      <c r="I16" s="259">
        <f>SUM(I7:I14)</f>
        <v>0</v>
      </c>
      <c r="J16" s="259">
        <f>SUM(J7:J14)</f>
        <v>0</v>
      </c>
      <c r="K16" s="259">
        <f ca="1">SUM(K7:K14)</f>
        <v>1</v>
      </c>
      <c r="N16" s="259">
        <f>SUM(N7:N14)</f>
        <v>0</v>
      </c>
      <c r="O16" s="259">
        <f>SUM(O7:O14)</f>
        <v>0</v>
      </c>
      <c r="Q16" s="259">
        <v>1</v>
      </c>
      <c r="R16" s="42" t="s">
        <v>28770</v>
      </c>
    </row>
    <row r="17" spans="1:7" ht="12" hidden="1">
      <c r="A17" s="49"/>
      <c r="B17" s="50"/>
      <c r="C17" s="50"/>
      <c r="D17" s="51"/>
      <c r="E17" s="52"/>
      <c r="F17" s="228"/>
      <c r="G17" s="219"/>
    </row>
    <row r="18" spans="1:7" ht="12" hidden="1">
      <c r="A18" s="49"/>
      <c r="B18" s="50"/>
      <c r="C18" s="50"/>
      <c r="D18" s="51"/>
      <c r="E18" s="52"/>
      <c r="F18" s="228"/>
      <c r="G18" s="219"/>
    </row>
  </sheetData>
  <sheetProtection algorithmName="SHA-512" hashValue="F/5VzuvdEvm+MTCj3c9zxKxZv+16fyIxCiDH44gDAwFXddCrfpyg4kGFGbSbNNsPwI6fwR/Onb6taZCYF+Jfjw==" saltValue="Z2cPEE8ljHfO0dbuzS04HQ==" spinCount="100000" sheet="1" objects="1" scenarios="1"/>
  <dataConsolidate/>
  <mergeCells count="6">
    <mergeCell ref="B1:E1"/>
    <mergeCell ref="B4:B6"/>
    <mergeCell ref="E4:E6"/>
    <mergeCell ref="A2:E2"/>
    <mergeCell ref="C4:C6"/>
    <mergeCell ref="D4:D6"/>
  </mergeCells>
  <phoneticPr fontId="9" type="noConversion"/>
  <conditionalFormatting sqref="B15:E16 D15:D18">
    <cfRule type="expression" dxfId="32" priority="38" stopIfTrue="1">
      <formula>AND(OR(XFC15&lt;&gt;"",XFD15&lt;&gt;""),A15&lt;&gt;"",B15="")</formula>
    </cfRule>
  </conditionalFormatting>
  <conditionalFormatting sqref="C15:C18">
    <cfRule type="expression" dxfId="31" priority="39" stopIfTrue="1">
      <formula>AND(OR(A15&lt;&gt;"",B15&lt;&gt;""),D15&lt;&gt;"",C15="")</formula>
    </cfRule>
  </conditionalFormatting>
  <conditionalFormatting sqref="D9:D13">
    <cfRule type="expression" dxfId="30" priority="26" stopIfTrue="1">
      <formula>AND(OR(A9&lt;&gt;"",B9&lt;&gt;""),C9&lt;&gt;"",D9="")</formula>
    </cfRule>
  </conditionalFormatting>
  <conditionalFormatting sqref="D9:D13">
    <cfRule type="expression" dxfId="29" priority="25" stopIfTrue="1">
      <formula>AND(OR(A9&lt;&gt;"",B9&lt;&gt;""),C9&lt;&gt;"",D9="")</formula>
    </cfRule>
  </conditionalFormatting>
  <conditionalFormatting sqref="D9:D13">
    <cfRule type="expression" dxfId="28" priority="23" stopIfTrue="1">
      <formula>AND(OR(A9&lt;&gt;"",B9&lt;&gt;""),C9&lt;&gt;"",D9="")</formula>
    </cfRule>
  </conditionalFormatting>
  <conditionalFormatting sqref="D7:D8">
    <cfRule type="expression" dxfId="27" priority="20" stopIfTrue="1">
      <formula>AND(OR(A7&lt;&gt;"",B7&lt;&gt;""),C7&lt;&gt;"",D7="")</formula>
    </cfRule>
  </conditionalFormatting>
  <conditionalFormatting sqref="D7:D8">
    <cfRule type="expression" dxfId="26" priority="19" stopIfTrue="1">
      <formula>AND(OR(A7&lt;&gt;"",B7&lt;&gt;""),C7&lt;&gt;"",D7="")</formula>
    </cfRule>
  </conditionalFormatting>
  <conditionalFormatting sqref="D7:D8">
    <cfRule type="expression" dxfId="25" priority="17" stopIfTrue="1">
      <formula>AND(OR(A7&lt;&gt;"",B7&lt;&gt;""),C7&lt;&gt;"",D7="")</formula>
    </cfRule>
  </conditionalFormatting>
  <conditionalFormatting sqref="C7:C13">
    <cfRule type="expression" dxfId="24" priority="15" stopIfTrue="1">
      <formula>AND(OR(#REF!&lt;&gt;"",A7&lt;&gt;""),B7&lt;&gt;"",C7="")</formula>
    </cfRule>
  </conditionalFormatting>
  <conditionalFormatting sqref="C7:C13">
    <cfRule type="expression" dxfId="23" priority="14" stopIfTrue="1">
      <formula>AND(OR(#REF!&lt;&gt;"",A7&lt;&gt;""),B7&lt;&gt;"",C7="")</formula>
    </cfRule>
  </conditionalFormatting>
  <conditionalFormatting sqref="C7:C13">
    <cfRule type="expression" dxfId="22" priority="13" stopIfTrue="1">
      <formula>AND(OR(#REF!&lt;&gt;"",A7&lt;&gt;""),B7&lt;&gt;"",C7="")</formula>
    </cfRule>
  </conditionalFormatting>
  <conditionalFormatting sqref="D14">
    <cfRule type="expression" dxfId="21" priority="6" stopIfTrue="1">
      <formula>AND(OR(A14&lt;&gt;"",B14&lt;&gt;""),C14&lt;&gt;"",D14="")</formula>
    </cfRule>
  </conditionalFormatting>
  <conditionalFormatting sqref="D14">
    <cfRule type="expression" dxfId="20" priority="5" stopIfTrue="1">
      <formula>AND(OR(A14&lt;&gt;"",B14&lt;&gt;""),C14&lt;&gt;"",D14="")</formula>
    </cfRule>
  </conditionalFormatting>
  <conditionalFormatting sqref="D14">
    <cfRule type="expression" dxfId="19" priority="4" stopIfTrue="1">
      <formula>AND(OR(A14&lt;&gt;"",B14&lt;&gt;""),C14&lt;&gt;"",D14="")</formula>
    </cfRule>
  </conditionalFormatting>
  <conditionalFormatting sqref="C14">
    <cfRule type="expression" dxfId="18" priority="3" stopIfTrue="1">
      <formula>AND(OR(#REF!&lt;&gt;"",A14&lt;&gt;""),B14&lt;&gt;"",C14="")</formula>
    </cfRule>
  </conditionalFormatting>
  <conditionalFormatting sqref="C14">
    <cfRule type="expression" dxfId="17" priority="2" stopIfTrue="1">
      <formula>AND(OR(#REF!&lt;&gt;"",A14&lt;&gt;""),B14&lt;&gt;"",C14="")</formula>
    </cfRule>
  </conditionalFormatting>
  <conditionalFormatting sqref="C14">
    <cfRule type="expression" dxfId="16" priority="1" stopIfTrue="1">
      <formula>AND(OR(#REF!&lt;&gt;"",A14&lt;&gt;""),B14&lt;&gt;"",C14="")</formula>
    </cfRule>
  </conditionalFormatting>
  <dataValidations count="6">
    <dataValidation type="whole" operator="lessThanOrEqual" showInputMessage="1" showErrorMessage="1" error="SÓLO ACEPTA HASTA 69 AÑOS" sqref="B15:B18">
      <formula1>69</formula1>
    </dataValidation>
    <dataValidation type="custom" allowBlank="1" showInputMessage="1" showErrorMessage="1" error="Valores Permitidos: T,C o H_x000a__x000a_     Donde:_x000a_         T = Titular_x000a_         C = Cónyuge_x000a_         H = Hijo" sqref="C15:C18">
      <formula1>OR(C15="T",C15="C",C15="H")</formula1>
    </dataValidation>
    <dataValidation type="custom" allowBlank="1" showInputMessage="1" showErrorMessage="1" error="Valores Permitidos: M o F_x000a__x000a_     Donde:_x000a_         M = Masculino_x000a_         F = Femenino" sqref="D15:D18">
      <formula1>OR(D15="m",D15="f")</formula1>
    </dataValidation>
    <dataValidation type="list" allowBlank="1" showInputMessage="1" showErrorMessage="1" error="Valores permitidos: T, C, H_x000a__x000a_Donde:_x000a_T= Titular_x000a_C= Cónyuge_x000a_H= Hijo" sqref="C7:C14">
      <formula1>$L$6:$L$8</formula1>
    </dataValidation>
    <dataValidation type="list" allowBlank="1" showInputMessage="1" showErrorMessage="1" error="Datos permitidos: M o F_x000a__x000a_Donde:_x000a_M= Masculino_x000a_F= Femenino" sqref="D7:D14">
      <formula1>$M$6:$M$7</formula1>
    </dataValidation>
    <dataValidation type="whole" allowBlank="1" showInputMessage="1" showErrorMessage="1" errorTitle="Edad no permitida" error="Las edades permitidas son:_x000a_Mínima 0 y  máxima 64 años." sqref="B7:B14">
      <formula1>0</formula1>
      <formula2>64</formula2>
    </dataValidation>
  </dataValidations>
  <printOptions gridLinesSet="0"/>
  <pageMargins left="0.75" right="0.75" top="1" bottom="1" header="0.511811024" footer="0.511811024"/>
  <pageSetup orientation="portrait" horizontalDpi="300" verticalDpi="300" r:id="rId1"/>
  <headerFooter alignWithMargins="0">
    <oddHeader>&amp;A</oddHeader>
    <oddFooter>Página &amp;P</oddFooter>
  </headerFooter>
  <pictur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X287"/>
  <sheetViews>
    <sheetView showGridLines="0" showRuler="0" zoomScale="90" zoomScaleNormal="90" zoomScalePageLayoutView="70" workbookViewId="0">
      <selection activeCell="B2" sqref="B2"/>
    </sheetView>
  </sheetViews>
  <sheetFormatPr baseColWidth="10" defaultColWidth="8.54296875" defaultRowHeight="13" zeroHeight="1"/>
  <cols>
    <col min="1" max="1" width="1.54296875" style="217" customWidth="1"/>
    <col min="2" max="4" width="14.54296875" style="217" customWidth="1"/>
    <col min="5" max="6" width="2.1796875" style="217" customWidth="1"/>
    <col min="7" max="7" width="37" style="217" customWidth="1"/>
    <col min="8" max="9" width="2.1796875" style="217" customWidth="1"/>
    <col min="10" max="10" width="36.81640625" style="217" customWidth="1"/>
    <col min="11" max="11" width="2.453125" style="217" customWidth="1"/>
    <col min="12" max="12" width="4.453125" style="217" customWidth="1"/>
    <col min="13" max="13" width="38.1796875" style="217" customWidth="1"/>
    <col min="14" max="15" width="2.453125" style="217" customWidth="1"/>
    <col min="16" max="21" width="11.54296875" style="217" customWidth="1"/>
    <col min="22" max="22" width="10.453125" style="217" customWidth="1"/>
    <col min="23" max="23" width="13.26953125" style="217" customWidth="1"/>
    <col min="24" max="24" width="10.26953125" style="217" customWidth="1"/>
    <col min="25" max="16384" width="8.54296875" style="217"/>
  </cols>
  <sheetData>
    <row r="1" spans="1:17" ht="36" customHeight="1">
      <c r="A1" s="81"/>
      <c r="B1" s="642" t="str">
        <f>+IF(b=1,"COTIZACIÓN DE GASTOS MÉDICOS MAYORES INDIVIDUAL",CONCATENATE("COTIZACIÓN DE RENOVACIÓN DE LA PÓLIZA: ",IF('DATOS GENERALES'!C11=""," ",'DATOS GENERALES'!C11)))</f>
        <v>COTIZACIÓN DE GASTOS MÉDICOS MAYORES INDIVIDUAL</v>
      </c>
      <c r="C1" s="642"/>
      <c r="D1" s="642"/>
      <c r="E1" s="642"/>
      <c r="F1" s="642"/>
      <c r="G1" s="642"/>
      <c r="H1" s="642"/>
      <c r="I1" s="642"/>
      <c r="J1" s="642"/>
      <c r="K1" s="642"/>
      <c r="L1" s="642"/>
      <c r="M1" s="642"/>
      <c r="N1" s="642"/>
    </row>
    <row r="2" spans="1:17" ht="38.25" customHeight="1">
      <c r="A2" s="81"/>
      <c r="B2" s="440" t="str">
        <f>IF('DATOS GENERALES'!C3="","","Apreciable: "&amp;CONCATENATE('DATOS GENERALES'!C3))</f>
        <v/>
      </c>
      <c r="C2" s="245"/>
      <c r="D2" s="245"/>
      <c r="E2" s="245"/>
      <c r="F2" s="245"/>
      <c r="G2" s="245"/>
      <c r="H2" s="245"/>
      <c r="I2" s="245"/>
      <c r="J2" s="245"/>
      <c r="K2" s="245"/>
    </row>
    <row r="3" spans="1:17" ht="51.75" customHeight="1">
      <c r="A3" s="81"/>
      <c r="B3" s="644" t="str">
        <f>"Seguros Atlas le proporciona una propuesta de Seguro de Gastos Médicos Mayores que cubra las necesidades de seguridad ante los imprevistos que atenten contra su salud, en el entendido de que lo no especificado operará bajo las condiciones vigentes "&amp;IF(b=2,"del "&amp;'CAPTURA DP'!D4&amp;" "&amp;'CAPTURA DP'!I4&amp;""&amp;".",IF(p&lt;=3,"de los Planes Nacionales.","del Plan Mundial."))</f>
        <v>Seguros Atlas le proporciona una propuesta de Seguro de Gastos Médicos Mayores que cubra las necesidades de seguridad ante los imprevistos que atenten contra su salud, en el entendido de que lo no especificado operará bajo las condiciones vigentes de los Planes Nacionales.</v>
      </c>
      <c r="C3" s="644"/>
      <c r="D3" s="644"/>
      <c r="E3" s="644"/>
      <c r="F3" s="644"/>
      <c r="G3" s="644"/>
      <c r="H3" s="644"/>
      <c r="I3" s="644"/>
      <c r="J3" s="644"/>
      <c r="K3" s="644"/>
      <c r="L3" s="644"/>
      <c r="M3" s="644"/>
      <c r="N3" s="644"/>
    </row>
    <row r="4" spans="1:17" ht="48.75" customHeight="1" thickBot="1">
      <c r="A4" s="81"/>
      <c r="B4" s="643" t="str">
        <f>+IF(b=1,"","Cotización valida sólo para éste número de póliza, siempre y cuando sean las mismas condiciones de la última vigencia. "&amp;"Todo cambio a las condiciones actuales deberá ser valorado por el área de suscripción y sujeto a condiciones y límites establecidos para pólizas nuevas.")</f>
        <v/>
      </c>
      <c r="C4" s="643"/>
      <c r="D4" s="643"/>
      <c r="E4" s="643"/>
      <c r="F4" s="643"/>
      <c r="G4" s="643"/>
      <c r="H4" s="643"/>
      <c r="I4" s="643"/>
      <c r="J4" s="643"/>
      <c r="K4" s="643"/>
      <c r="L4" s="643"/>
      <c r="M4" s="643"/>
      <c r="N4" s="643"/>
    </row>
    <row r="5" spans="1:17" ht="27" customHeight="1" thickTop="1">
      <c r="A5" s="81"/>
      <c r="B5" s="649" t="s">
        <v>399</v>
      </c>
      <c r="C5" s="650"/>
      <c r="D5" s="650"/>
      <c r="E5" s="566" t="str">
        <f ca="1">"Del "&amp;TEXT(DATOS!A27,"dd/mmmm/aaaa")&amp;" al "&amp;TEXT(DATOS!B27,"dd/mmmm/aaaa")</f>
        <v>Del 05/julio/2024 al 20/julio/2024</v>
      </c>
      <c r="F5" s="566"/>
      <c r="G5" s="566"/>
      <c r="H5" s="566"/>
      <c r="I5" s="566"/>
      <c r="J5" s="447"/>
      <c r="K5" s="448"/>
      <c r="L5" s="449" t="s">
        <v>489</v>
      </c>
      <c r="M5" s="450" t="str">
        <f ca="1">+TEXT(TODAY(),"dd/mmmm/aaaa")</f>
        <v>05/julio/2024</v>
      </c>
      <c r="N5" s="451"/>
      <c r="O5" s="426"/>
      <c r="P5" s="426"/>
      <c r="Q5" s="426"/>
    </row>
    <row r="6" spans="1:17" ht="27" customHeight="1" thickBot="1">
      <c r="A6" s="81"/>
      <c r="B6" s="646" t="s">
        <v>398</v>
      </c>
      <c r="C6" s="647"/>
      <c r="D6" s="647"/>
      <c r="E6" s="653" t="str">
        <f>IF(b=1,"Anual","Del "&amp;TEXT(DATOS!A25,"dd/mmmm/aaaa")&amp;"  al  "&amp;TEXT(DATOS!B25,"dd/mmmm/aaaa"))</f>
        <v>Anual</v>
      </c>
      <c r="F6" s="653"/>
      <c r="G6" s="653"/>
      <c r="H6" s="653"/>
      <c r="I6" s="653"/>
      <c r="J6" s="452"/>
      <c r="K6" s="452"/>
      <c r="L6" s="452"/>
      <c r="M6" s="452"/>
      <c r="N6" s="453"/>
    </row>
    <row r="7" spans="1:17" ht="12" customHeight="1" thickTop="1">
      <c r="A7" s="81"/>
      <c r="B7" s="651"/>
      <c r="C7" s="651"/>
      <c r="D7" s="651"/>
      <c r="E7" s="648"/>
      <c r="F7" s="648"/>
      <c r="G7" s="648"/>
      <c r="H7" s="648"/>
      <c r="I7" s="648"/>
      <c r="J7" s="648"/>
      <c r="K7" s="648"/>
      <c r="L7" s="648"/>
      <c r="M7" s="648"/>
    </row>
    <row r="8" spans="1:17" ht="24.75" customHeight="1">
      <c r="A8" s="81"/>
      <c r="B8" s="567" t="s">
        <v>512</v>
      </c>
      <c r="C8" s="567"/>
      <c r="D8" s="567"/>
      <c r="E8" s="567"/>
      <c r="F8" s="567"/>
      <c r="G8" s="567"/>
      <c r="H8" s="567"/>
      <c r="I8" s="567"/>
      <c r="J8" s="567"/>
      <c r="K8" s="567"/>
      <c r="L8" s="567"/>
      <c r="M8" s="567"/>
      <c r="N8" s="567"/>
    </row>
    <row r="9" spans="1:17" ht="30" customHeight="1" thickBot="1">
      <c r="A9" s="81"/>
      <c r="B9" s="313"/>
      <c r="C9" s="313"/>
      <c r="D9" s="313"/>
      <c r="E9" s="652" t="str">
        <f ca="1">IF(vo&gt;=1,"","Plan "&amp;VLOOKUP(IF(p&lt;=3,1,4),DATOS!$A$4:$B$9,2,0))</f>
        <v/>
      </c>
      <c r="F9" s="652"/>
      <c r="G9" s="652"/>
      <c r="H9" s="652"/>
      <c r="I9" s="652" t="str">
        <f ca="1">IF(vp&gt;=1,"",IF(b=2,"Plan "&amp;'CAPTURA DP'!C4,"Plan "&amp;VLOOKUP(IF(p&lt;=3,2,6),DATOS!$A$4:$B$9,2,0)))</f>
        <v/>
      </c>
      <c r="J9" s="652"/>
      <c r="K9" s="652"/>
      <c r="L9" s="652" t="str">
        <f ca="1">IF(ve&gt;=1,"","Plan "&amp;VLOOKUP(IF(p&lt;=3,3,6),DATOS!$A$4:$B$9,2,0))</f>
        <v/>
      </c>
      <c r="M9" s="652"/>
    </row>
    <row r="10" spans="1:17" ht="25" customHeight="1" thickTop="1">
      <c r="A10" s="81"/>
      <c r="B10" s="649" t="s">
        <v>317</v>
      </c>
      <c r="C10" s="650"/>
      <c r="D10" s="650"/>
      <c r="E10" s="654" t="str">
        <f ca="1">IF(vo&gt;=1,"",IF(AND(b=1,'CAPTURA DP'!B6=97),"30,000 UMAM",VLOOKUP('CAPTURA DP'!B6,suma,3,0)))</f>
        <v/>
      </c>
      <c r="F10" s="654"/>
      <c r="G10" s="654"/>
      <c r="H10" s="654"/>
      <c r="I10" s="655" t="str">
        <f ca="1">IF(vp&gt;=1,"",VLOOKUP('CAPTURA DP'!B6,suma,3,0))</f>
        <v/>
      </c>
      <c r="J10" s="655"/>
      <c r="K10" s="655"/>
      <c r="L10" s="654" t="str">
        <f ca="1">IF(ve&gt;=1,"",VLOOKUP('CAPTURA DP'!B6,suma,3,0))</f>
        <v/>
      </c>
      <c r="M10" s="654"/>
      <c r="N10" s="454"/>
    </row>
    <row r="11" spans="1:17" ht="25" customHeight="1">
      <c r="A11" s="81"/>
      <c r="B11" s="638" t="s">
        <v>86</v>
      </c>
      <c r="C11" s="639"/>
      <c r="D11" s="639"/>
      <c r="E11" s="578" t="str">
        <f ca="1">IF(vo&gt;=1,"",CONCATENATE('CAPTURA DP'!C7,'CAPTURA DP'!D7))</f>
        <v/>
      </c>
      <c r="F11" s="578"/>
      <c r="G11" s="578"/>
      <c r="H11" s="578"/>
      <c r="I11" s="578" t="str">
        <f ca="1">IF(vp&gt;=1,"",IF(p&gt;=4,CONCATENATE("Nacional",TEXT('CAPTURA DP'!C7," 0,00")," Dlls."," Ext.",TEXT('CAPTURA DP'!E7," 0,00")," Dlls."),CONCATENATE('CAPTURA DP'!C7,'CAPTURA DP'!D7)))</f>
        <v/>
      </c>
      <c r="J11" s="578"/>
      <c r="K11" s="578"/>
      <c r="L11" s="578" t="str">
        <f ca="1">IF(ve&gt;=1,"",IF(p&gt;=4,"Nac.: 2,000 Dlls., Ext.:4,000 Dlls",CONCATENATE('CAPTURA DP'!C7,'CAPTURA DP'!D7)))</f>
        <v/>
      </c>
      <c r="M11" s="578"/>
      <c r="N11" s="455"/>
    </row>
    <row r="12" spans="1:17" ht="25" customHeight="1">
      <c r="A12" s="81"/>
      <c r="B12" s="638" t="s">
        <v>500</v>
      </c>
      <c r="C12" s="639"/>
      <c r="D12" s="639"/>
      <c r="E12" s="578" t="str">
        <f ca="1">IF(vo&gt;=1,"",IF(AND('CAPTURA DP'!B4&lt;=3,'DATOS GENERALES'!C18="S",'CAPTURA DP'!C7&gt;=6),"Sí aplica Ded. en accidentes.","No aplica Ded. en accidentes"))</f>
        <v/>
      </c>
      <c r="F12" s="578"/>
      <c r="G12" s="578"/>
      <c r="H12" s="578"/>
      <c r="I12" s="578" t="str">
        <f ca="1">IF(vp&gt;=1,"",IF(AND('CAPTURA DP'!B4&lt;=3,'DATOS GENERALES'!C18="S",'CAPTURA DP'!C7&gt;=6),"Sí aplica Ded. en accidentes.","No aplica Ded. en accidentes"))</f>
        <v/>
      </c>
      <c r="J12" s="578"/>
      <c r="K12" s="578"/>
      <c r="L12" s="578" t="str">
        <f ca="1">IF(ve&gt;=1,"",IF(AND('CAPTURA DP'!B4&lt;=3,'DATOS GENERALES'!C18="S",'CAPTURA DP'!C7&gt;=6),"Sí aplica Ded. en accidentes.","No aplica Ded. en accidentes"))</f>
        <v/>
      </c>
      <c r="M12" s="578"/>
      <c r="N12" s="455"/>
    </row>
    <row r="13" spans="1:17" ht="25" customHeight="1">
      <c r="A13" s="81"/>
      <c r="B13" s="638" t="s">
        <v>482</v>
      </c>
      <c r="C13" s="639"/>
      <c r="D13" s="639"/>
      <c r="E13" s="578" t="str">
        <f ca="1">IF(vo&gt;=1,"",IF('DATOS GENERALES'!A23="",(IF(p&gt;=4,CONCATENATE('CAPTURA DP'!C8*100,"% con Tope de ",TEXT('CAPTURA DP'!C9,"###,##")," Dlls."),CONCATENATE('CAPTURA DP'!C8*100,"% con Tope de $ ",TEXT('CAPTURA DP'!C9,"###,##")," M.N."))),""))</f>
        <v/>
      </c>
      <c r="F13" s="578"/>
      <c r="G13" s="578"/>
      <c r="H13" s="578"/>
      <c r="I13" s="578" t="str">
        <f ca="1">IF(vp&gt;=1,"",IF('DATOS GENERALES'!A23="",(IF(p&gt;=4,CONCATENATE('CAPTURA DP'!C8*100,"% con Tope de ",TEXT('CAPTURA DP'!C9,"###,##")," Dlls."),CONCATENATE('CAPTURA DP'!C8*100,"% con Tope de $ ",TEXT('CAPTURA DP'!C9,"###,##")," M.N."))),""))</f>
        <v/>
      </c>
      <c r="J13" s="578"/>
      <c r="K13" s="578"/>
      <c r="L13" s="578" t="str">
        <f ca="1">IF(ve&gt;=1,"",IF('DATOS GENERALES'!A23="",(IF(p&gt;=4,CONCATENATE('CAPTURA DP'!C8*100,"% con Tope de ",TEXT('CAPTURA DP'!C9,"###,##")," Dlls."),CONCATENATE('CAPTURA DP'!C8*100,"% con Tope de $ ",TEXT('CAPTURA DP'!C9,"###,##")," M.N."))),""))</f>
        <v/>
      </c>
      <c r="M13" s="578"/>
      <c r="N13" s="455"/>
    </row>
    <row r="14" spans="1:17" ht="25" customHeight="1">
      <c r="A14" s="81"/>
      <c r="B14" s="638" t="s">
        <v>534</v>
      </c>
      <c r="C14" s="639"/>
      <c r="D14" s="639"/>
      <c r="E14" s="578" t="str">
        <f ca="1">IF(vo&gt;=1,"",VLOOKUP('CAPTURA DP'!B10,DATOS!$AU$4:$AW$7,3,0))</f>
        <v/>
      </c>
      <c r="F14" s="578"/>
      <c r="G14" s="578"/>
      <c r="H14" s="578"/>
      <c r="I14" s="578" t="str">
        <f ca="1">IF(vp&gt;=1,"",VLOOKUP('CAPTURA DP'!B10,DATOS!$AU$4:$AW$7,3,0))</f>
        <v/>
      </c>
      <c r="J14" s="578"/>
      <c r="K14" s="578"/>
      <c r="L14" s="578" t="str">
        <f ca="1">IF(ve&gt;=1,"",VLOOKUP('CAPTURA DP'!B10,DATOS!$AU$4:$AW$7,3,0))</f>
        <v/>
      </c>
      <c r="M14" s="578"/>
      <c r="N14" s="455"/>
    </row>
    <row r="15" spans="1:17" ht="25" customHeight="1">
      <c r="A15" s="81"/>
      <c r="B15" s="638" t="str">
        <f>+IF(p&gt;3,"Cobertura en el extranjero","Emergencia en el extranjero")</f>
        <v>Emergencia en el extranjero</v>
      </c>
      <c r="C15" s="639"/>
      <c r="D15" s="639"/>
      <c r="E15" s="578" t="str">
        <f ca="1">IF(vo&gt;=1,"",(IF(p&gt;3,"Amparada","SA 100,000 Dlls y Ded 100 Dlls")))</f>
        <v/>
      </c>
      <c r="F15" s="578"/>
      <c r="G15" s="578"/>
      <c r="H15" s="578"/>
      <c r="I15" s="578" t="str">
        <f ca="1">IF(vp&gt;=1,"",(IF(p&gt;3,"Amparada","SA 100,000 Dlls y Ded 100 Dlls")))</f>
        <v/>
      </c>
      <c r="J15" s="578"/>
      <c r="K15" s="578"/>
      <c r="L15" s="578" t="str">
        <f ca="1">IF(ve&gt;=1,"",(IF(p&gt;3,"Amparada","SA 100,000 Dlls y Ded 100 Dlls")))</f>
        <v/>
      </c>
      <c r="M15" s="578"/>
      <c r="N15" s="455"/>
    </row>
    <row r="16" spans="1:17" ht="24.75" customHeight="1">
      <c r="A16" s="81"/>
      <c r="B16" s="614" t="s">
        <v>501</v>
      </c>
      <c r="C16" s="615"/>
      <c r="D16" s="615"/>
      <c r="E16" s="578" t="str">
        <f ca="1">IF(vo&gt;=1,"",IF('CAPTURA DP'!F18="NO", "SA de 1,000,000 Dlls", "Excluida"))</f>
        <v/>
      </c>
      <c r="F16" s="578"/>
      <c r="G16" s="578"/>
      <c r="H16" s="578"/>
      <c r="I16" s="578" t="str">
        <f ca="1">IF(vp&gt;=1,"",IF('CAPTURA DP'!F18="NO", "SA de 1,000,000 Dlls", "Excluida"))</f>
        <v/>
      </c>
      <c r="J16" s="578"/>
      <c r="K16" s="578"/>
      <c r="L16" s="578" t="str">
        <f ca="1">IF(ve&gt;=1,"",IF('CAPTURA DP'!F18="NO", "SA de 1,000,000 Dlls", "Excluida"))</f>
        <v/>
      </c>
      <c r="M16" s="578"/>
      <c r="N16" s="455"/>
    </row>
    <row r="17" spans="1:14" ht="25" customHeight="1">
      <c r="A17" s="81"/>
      <c r="B17" s="614" t="str">
        <f>IF(M&gt;=1,"Ayuda por maternidad","")</f>
        <v/>
      </c>
      <c r="C17" s="615"/>
      <c r="D17" s="615"/>
      <c r="E17" s="578" t="str">
        <f>IF(M&gt;=1,IF(vo&gt;=1,"","SA de $ 18,000 MN"),"")</f>
        <v/>
      </c>
      <c r="F17" s="578"/>
      <c r="G17" s="578"/>
      <c r="H17" s="578"/>
      <c r="I17" s="578" t="str">
        <f>IF(M&gt;=1,IF(vp&gt;=1,"",(IF(b=1,IF(p&gt;=4,"SA de $25,000 MN","SA de $ 19,000 MN"),IF('CAPTURA DP'!$B$4&gt;=4,CONCATENATE("Con SA de $ ",TEXT(VLOOKUP('CAPTURA DP'!F16,MATERNIDAD,9,0),"###,###")," MN. "),CONCATENATE("Con SA de $ ",TEXT(VLOOKUP('CAPTURA DP'!F16,MATERNIDAD,(5+p),0),"###,###")," MN. "))))),"")</f>
        <v/>
      </c>
      <c r="J17" s="578"/>
      <c r="K17" s="578"/>
      <c r="L17" s="578" t="str">
        <f>IF(M&gt;=1,IF(ve&gt;=1,"",IF(p&gt;=4,"SAde $25,000 MN","SA de $ 20,000 MN")),"")</f>
        <v/>
      </c>
      <c r="M17" s="578"/>
      <c r="N17" s="455"/>
    </row>
    <row r="18" spans="1:14" ht="25" customHeight="1">
      <c r="A18" s="81"/>
      <c r="B18" s="614" t="s">
        <v>505</v>
      </c>
      <c r="C18" s="615"/>
      <c r="D18" s="615"/>
      <c r="E18" s="578" t="str">
        <f ca="1">IF(vo&gt;=1,"",'CAPTURA DP'!D5)</f>
        <v/>
      </c>
      <c r="F18" s="578"/>
      <c r="G18" s="578"/>
      <c r="H18" s="578"/>
      <c r="I18" s="578" t="str">
        <f ca="1">IF(vp&gt;=1,"",'CAPTURA DP'!D5)</f>
        <v/>
      </c>
      <c r="J18" s="578"/>
      <c r="K18" s="578"/>
      <c r="L18" s="578" t="str">
        <f ca="1">IF(ve&gt;=1,"",'CAPTURA DP'!D5)</f>
        <v/>
      </c>
      <c r="M18" s="578"/>
      <c r="N18" s="455"/>
    </row>
    <row r="19" spans="1:14" ht="25" customHeight="1" thickBot="1">
      <c r="A19" s="81"/>
      <c r="B19" s="618"/>
      <c r="C19" s="619"/>
      <c r="D19" s="619"/>
      <c r="E19" s="630" t="str">
        <f ca="1">IF(vo&gt;=1,"",IF('CAPTURA DP'!$E$5=0,"","Aplica Endoso de Regionalización"))</f>
        <v/>
      </c>
      <c r="F19" s="630"/>
      <c r="G19" s="630"/>
      <c r="H19" s="630"/>
      <c r="I19" s="630" t="str">
        <f ca="1">IF(vp&gt;=1,"",IF('CAPTURA DP'!$E$5=0,"","Aplica Endoso de Regionalización"))</f>
        <v/>
      </c>
      <c r="J19" s="630"/>
      <c r="K19" s="630"/>
      <c r="L19" s="630" t="str">
        <f ca="1">IF(ve&gt;=1,"",IF('CAPTURA DP'!$E$5=0,"","Aplica Endoso de Regionalización"))</f>
        <v/>
      </c>
      <c r="M19" s="630"/>
      <c r="N19" s="453"/>
    </row>
    <row r="20" spans="1:14" ht="12" customHeight="1" thickTop="1">
      <c r="A20" s="81"/>
      <c r="B20" s="424"/>
      <c r="C20" s="424"/>
      <c r="D20" s="424"/>
      <c r="E20" s="248"/>
      <c r="F20" s="248"/>
      <c r="G20" s="248"/>
      <c r="H20" s="248"/>
      <c r="I20" s="248"/>
      <c r="J20" s="248"/>
      <c r="K20" s="248"/>
      <c r="L20" s="248"/>
      <c r="M20" s="248"/>
    </row>
    <row r="21" spans="1:14" ht="24.75" customHeight="1">
      <c r="A21" s="81"/>
      <c r="B21" s="567" t="s">
        <v>513</v>
      </c>
      <c r="C21" s="567"/>
      <c r="D21" s="567"/>
      <c r="E21" s="567"/>
      <c r="F21" s="567"/>
      <c r="G21" s="567"/>
      <c r="H21" s="567"/>
      <c r="I21" s="567"/>
      <c r="J21" s="567"/>
      <c r="K21" s="567"/>
      <c r="L21" s="567"/>
      <c r="M21" s="567"/>
      <c r="N21" s="567"/>
    </row>
    <row r="22" spans="1:14" ht="12" customHeight="1" thickBot="1">
      <c r="A22" s="81"/>
      <c r="B22" s="424"/>
      <c r="C22" s="424"/>
      <c r="D22" s="424"/>
      <c r="E22" s="248"/>
      <c r="F22" s="248"/>
      <c r="G22" s="248"/>
      <c r="H22" s="248"/>
      <c r="I22" s="248"/>
      <c r="J22" s="248"/>
      <c r="K22" s="248"/>
      <c r="L22" s="248"/>
      <c r="M22" s="248"/>
    </row>
    <row r="23" spans="1:14" ht="42" customHeight="1" thickTop="1">
      <c r="A23" s="81"/>
      <c r="B23" s="625" t="s">
        <v>341</v>
      </c>
      <c r="C23" s="626"/>
      <c r="D23" s="456" t="str">
        <f>IF('CAPTURA DP'!$G$9="si",CONCATENATE("Amparada Con Suma Asegurada de $ ",TEXT('CAPTURA DP'!G10,"###,###")," M.N."),"Excluida")</f>
        <v>Excluida</v>
      </c>
      <c r="E23" s="457"/>
      <c r="F23" s="458"/>
      <c r="G23" s="458"/>
      <c r="H23" s="447"/>
      <c r="I23" s="447"/>
      <c r="J23" s="459" t="s">
        <v>87</v>
      </c>
      <c r="K23" s="460" t="str">
        <f>IF('CAPTURA DP'!C13="SI","Amparada","Excluida")</f>
        <v>Excluida</v>
      </c>
      <c r="L23" s="460"/>
      <c r="M23" s="460"/>
      <c r="N23" s="454"/>
    </row>
    <row r="24" spans="1:14" ht="42.75" customHeight="1" thickBot="1">
      <c r="A24" s="81"/>
      <c r="B24" s="627" t="s">
        <v>377</v>
      </c>
      <c r="C24" s="628"/>
      <c r="D24" s="461" t="str">
        <f>IF('CAPTURA DP'!$G$12="si",CONCATENATE("Amparada Con Suma Asegurada de $ ",TEXT('CAPTURA DP'!G13,"###,###")," M.N."),"Excluida")</f>
        <v>Excluida</v>
      </c>
      <c r="E24" s="462"/>
      <c r="F24" s="463"/>
      <c r="G24" s="463"/>
      <c r="H24" s="452"/>
      <c r="I24" s="452"/>
      <c r="J24" s="464" t="str">
        <f>IF(p&gt;3,"","Recuperacion Activa")</f>
        <v>Recuperacion Activa</v>
      </c>
      <c r="K24" s="631" t="str">
        <f>IF(p&gt;3,"",IF('CAPTURA DP'!G26="SI","Amparada con SA de  $ "&amp;'CAPTURA DP'!G27,"Excluida"))</f>
        <v>Excluida</v>
      </c>
      <c r="L24" s="631"/>
      <c r="M24" s="631"/>
      <c r="N24" s="453"/>
    </row>
    <row r="25" spans="1:14" ht="12" customHeight="1" thickTop="1">
      <c r="A25" s="81"/>
      <c r="F25" s="427"/>
      <c r="G25" s="427"/>
      <c r="H25" s="427"/>
      <c r="I25" s="427"/>
      <c r="J25" s="427"/>
      <c r="K25" s="427"/>
      <c r="L25" s="427"/>
      <c r="M25" s="427"/>
    </row>
    <row r="26" spans="1:14" ht="24.75" customHeight="1">
      <c r="A26" s="81"/>
      <c r="B26" s="567" t="s">
        <v>514</v>
      </c>
      <c r="C26" s="567"/>
      <c r="D26" s="567"/>
      <c r="E26" s="567"/>
      <c r="F26" s="567"/>
      <c r="G26" s="567"/>
      <c r="H26" s="567"/>
      <c r="I26" s="567"/>
      <c r="J26" s="567"/>
      <c r="K26" s="567"/>
      <c r="L26" s="567"/>
      <c r="M26" s="567"/>
      <c r="N26" s="567"/>
    </row>
    <row r="27" spans="1:14" ht="12" customHeight="1" thickBot="1">
      <c r="A27" s="81"/>
      <c r="B27" s="424"/>
      <c r="C27" s="424"/>
      <c r="D27" s="424"/>
      <c r="E27" s="248"/>
      <c r="F27" s="248"/>
      <c r="G27" s="248"/>
      <c r="H27" s="248"/>
      <c r="I27" s="248"/>
      <c r="J27" s="248"/>
      <c r="K27" s="248"/>
      <c r="L27" s="248"/>
      <c r="M27" s="248"/>
    </row>
    <row r="28" spans="1:14" ht="43.5" customHeight="1" thickTop="1">
      <c r="A28" s="81"/>
      <c r="B28" s="622" t="s">
        <v>491</v>
      </c>
      <c r="C28" s="623"/>
      <c r="D28" s="609" t="s">
        <v>493</v>
      </c>
      <c r="E28" s="609"/>
      <c r="F28" s="609"/>
      <c r="G28" s="609"/>
      <c r="H28" s="609"/>
      <c r="I28" s="609"/>
      <c r="J28" s="609"/>
      <c r="K28" s="609"/>
      <c r="L28" s="609"/>
      <c r="M28" s="609"/>
      <c r="N28" s="610"/>
    </row>
    <row r="29" spans="1:14" ht="24" customHeight="1">
      <c r="A29" s="81"/>
      <c r="B29" s="624" t="s">
        <v>492</v>
      </c>
      <c r="C29" s="604"/>
      <c r="D29" s="611" t="s">
        <v>508</v>
      </c>
      <c r="E29" s="612"/>
      <c r="F29" s="612"/>
      <c r="G29" s="612"/>
      <c r="H29" s="612"/>
      <c r="I29" s="612"/>
      <c r="J29" s="612"/>
      <c r="K29" s="612"/>
      <c r="L29" s="612"/>
      <c r="M29" s="612"/>
      <c r="N29" s="613"/>
    </row>
    <row r="30" spans="1:14" ht="65.25" customHeight="1">
      <c r="A30" s="81"/>
      <c r="B30" s="624" t="s">
        <v>431</v>
      </c>
      <c r="C30" s="604"/>
      <c r="D30" s="611" t="s">
        <v>494</v>
      </c>
      <c r="E30" s="611"/>
      <c r="F30" s="611"/>
      <c r="G30" s="611"/>
      <c r="H30" s="611"/>
      <c r="I30" s="611"/>
      <c r="J30" s="611"/>
      <c r="K30" s="611"/>
      <c r="L30" s="611"/>
      <c r="M30" s="611"/>
      <c r="N30" s="613"/>
    </row>
    <row r="31" spans="1:14" ht="60" customHeight="1" thickBot="1">
      <c r="A31" s="81"/>
      <c r="B31" s="629" t="s">
        <v>430</v>
      </c>
      <c r="C31" s="587"/>
      <c r="D31" s="607" t="s">
        <v>509</v>
      </c>
      <c r="E31" s="607"/>
      <c r="F31" s="607"/>
      <c r="G31" s="607"/>
      <c r="H31" s="607"/>
      <c r="I31" s="607"/>
      <c r="J31" s="607"/>
      <c r="K31" s="607"/>
      <c r="L31" s="607"/>
      <c r="M31" s="607"/>
      <c r="N31" s="608"/>
    </row>
    <row r="32" spans="1:14" ht="12" customHeight="1" thickTop="1">
      <c r="A32" s="81"/>
      <c r="B32" s="446"/>
      <c r="C32" s="446"/>
      <c r="D32" s="465"/>
      <c r="E32" s="465"/>
      <c r="F32" s="465"/>
      <c r="G32" s="465"/>
      <c r="H32" s="465"/>
      <c r="I32" s="465"/>
      <c r="J32" s="465"/>
      <c r="K32" s="465"/>
      <c r="L32" s="465"/>
      <c r="M32" s="465"/>
      <c r="N32" s="484"/>
    </row>
    <row r="33" spans="1:14" ht="24.75" customHeight="1">
      <c r="A33" s="81"/>
      <c r="B33" s="567" t="s">
        <v>515</v>
      </c>
      <c r="C33" s="567"/>
      <c r="D33" s="567"/>
      <c r="E33" s="567"/>
      <c r="F33" s="567"/>
      <c r="G33" s="567"/>
      <c r="H33" s="567"/>
      <c r="I33" s="567"/>
      <c r="J33" s="567"/>
      <c r="K33" s="567"/>
      <c r="L33" s="567"/>
      <c r="M33" s="567"/>
      <c r="N33" s="567"/>
    </row>
    <row r="34" spans="1:14" ht="12" customHeight="1" thickBot="1">
      <c r="A34" s="81"/>
      <c r="B34" s="428"/>
      <c r="C34" s="428"/>
      <c r="D34" s="428"/>
      <c r="E34" s="429"/>
      <c r="F34" s="429"/>
      <c r="G34" s="429"/>
      <c r="H34" s="429"/>
      <c r="I34" s="429"/>
      <c r="J34" s="429"/>
      <c r="K34" s="429"/>
      <c r="L34" s="429"/>
      <c r="M34" s="429"/>
    </row>
    <row r="35" spans="1:14" ht="24" customHeight="1" thickTop="1">
      <c r="A35" s="81"/>
      <c r="B35" s="616" t="s">
        <v>516</v>
      </c>
      <c r="C35" s="617"/>
      <c r="D35" s="617"/>
      <c r="E35" s="599" t="s">
        <v>28771</v>
      </c>
      <c r="F35" s="599"/>
      <c r="G35" s="599"/>
      <c r="H35" s="600" t="s">
        <v>495</v>
      </c>
      <c r="I35" s="600"/>
      <c r="J35" s="600"/>
      <c r="K35" s="601" t="s">
        <v>517</v>
      </c>
      <c r="L35" s="601"/>
      <c r="M35" s="601"/>
      <c r="N35" s="602"/>
    </row>
    <row r="36" spans="1:14" ht="24" customHeight="1">
      <c r="A36" s="81"/>
      <c r="B36" s="614" t="s">
        <v>518</v>
      </c>
      <c r="C36" s="615"/>
      <c r="D36" s="615"/>
      <c r="E36" s="603" t="s">
        <v>519</v>
      </c>
      <c r="F36" s="603"/>
      <c r="G36" s="603"/>
      <c r="H36" s="604" t="s">
        <v>520</v>
      </c>
      <c r="I36" s="604"/>
      <c r="J36" s="604"/>
      <c r="K36" s="605" t="s">
        <v>521</v>
      </c>
      <c r="L36" s="605"/>
      <c r="M36" s="605"/>
      <c r="N36" s="606"/>
    </row>
    <row r="37" spans="1:14" ht="24" customHeight="1">
      <c r="A37" s="81"/>
      <c r="B37" s="614" t="s">
        <v>522</v>
      </c>
      <c r="C37" s="615"/>
      <c r="D37" s="615"/>
      <c r="E37" s="603" t="s">
        <v>523</v>
      </c>
      <c r="F37" s="603"/>
      <c r="G37" s="603"/>
      <c r="H37" s="604" t="s">
        <v>524</v>
      </c>
      <c r="I37" s="604"/>
      <c r="J37" s="604"/>
      <c r="K37" s="605" t="s">
        <v>525</v>
      </c>
      <c r="L37" s="605"/>
      <c r="M37" s="605"/>
      <c r="N37" s="606"/>
    </row>
    <row r="38" spans="1:14" ht="40.5" customHeight="1" thickBot="1">
      <c r="A38" s="81"/>
      <c r="B38" s="620" t="s">
        <v>526</v>
      </c>
      <c r="C38" s="621"/>
      <c r="D38" s="621"/>
      <c r="E38" s="586" t="s">
        <v>527</v>
      </c>
      <c r="F38" s="586"/>
      <c r="G38" s="586"/>
      <c r="H38" s="587" t="s">
        <v>528</v>
      </c>
      <c r="I38" s="587"/>
      <c r="J38" s="587"/>
      <c r="K38" s="588" t="str">
        <f>IF(H&gt;=1,"Circuncisión
","")</f>
        <v/>
      </c>
      <c r="L38" s="588"/>
      <c r="M38" s="588"/>
      <c r="N38" s="589"/>
    </row>
    <row r="39" spans="1:14" ht="12" customHeight="1" thickTop="1">
      <c r="A39" s="81"/>
      <c r="B39"/>
      <c r="C39"/>
      <c r="D39"/>
      <c r="E39"/>
      <c r="F39"/>
      <c r="G39"/>
      <c r="H39"/>
      <c r="I39"/>
      <c r="J39"/>
      <c r="K39"/>
      <c r="L39"/>
      <c r="M39"/>
      <c r="N39"/>
    </row>
    <row r="40" spans="1:14" ht="24.75" customHeight="1">
      <c r="A40" s="81"/>
      <c r="B40" s="567" t="s">
        <v>529</v>
      </c>
      <c r="C40" s="567"/>
      <c r="D40" s="567"/>
      <c r="E40" s="567"/>
      <c r="F40" s="567"/>
      <c r="G40" s="567"/>
      <c r="H40" s="567"/>
      <c r="I40" s="567"/>
      <c r="J40" s="567"/>
      <c r="K40" s="567"/>
      <c r="L40" s="567"/>
      <c r="M40" s="567"/>
      <c r="N40" s="567"/>
    </row>
    <row r="41" spans="1:14" ht="12" customHeight="1" thickBot="1">
      <c r="A41" s="81"/>
      <c r="B41"/>
      <c r="C41"/>
      <c r="D41"/>
      <c r="E41"/>
      <c r="F41"/>
      <c r="G41"/>
      <c r="H41"/>
      <c r="I41"/>
      <c r="J41"/>
      <c r="K41"/>
      <c r="L41"/>
      <c r="M41"/>
      <c r="N41"/>
    </row>
    <row r="42" spans="1:14" ht="21" customHeight="1" thickTop="1">
      <c r="A42" s="81"/>
      <c r="B42" s="590" t="s">
        <v>510</v>
      </c>
      <c r="C42" s="591"/>
      <c r="D42" s="591"/>
      <c r="E42" s="591"/>
      <c r="F42" s="591"/>
      <c r="G42" s="591"/>
      <c r="H42" s="591"/>
      <c r="I42" s="591"/>
      <c r="J42" s="591"/>
      <c r="K42" s="591"/>
      <c r="L42" s="591"/>
      <c r="M42" s="591"/>
      <c r="N42" s="592"/>
    </row>
    <row r="43" spans="1:14" ht="21" customHeight="1">
      <c r="A43" s="81"/>
      <c r="B43" s="593" t="s">
        <v>506</v>
      </c>
      <c r="C43" s="594"/>
      <c r="D43" s="594"/>
      <c r="E43" s="594"/>
      <c r="F43" s="594"/>
      <c r="G43" s="594"/>
      <c r="H43" s="594"/>
      <c r="I43" s="594"/>
      <c r="J43" s="594"/>
      <c r="K43" s="594"/>
      <c r="L43" s="594"/>
      <c r="M43" s="594"/>
      <c r="N43" s="595"/>
    </row>
    <row r="44" spans="1:14" ht="21" customHeight="1">
      <c r="A44" s="81"/>
      <c r="B44" s="593" t="s">
        <v>507</v>
      </c>
      <c r="C44" s="594"/>
      <c r="D44" s="594"/>
      <c r="E44" s="594"/>
      <c r="F44" s="594"/>
      <c r="G44" s="594"/>
      <c r="H44" s="594"/>
      <c r="I44" s="594"/>
      <c r="J44" s="594"/>
      <c r="K44" s="594"/>
      <c r="L44" s="594"/>
      <c r="M44" s="594"/>
      <c r="N44" s="595"/>
    </row>
    <row r="45" spans="1:14" ht="21" customHeight="1">
      <c r="A45" s="81"/>
      <c r="B45" s="593" t="s">
        <v>502</v>
      </c>
      <c r="C45" s="594"/>
      <c r="D45" s="594"/>
      <c r="E45" s="594"/>
      <c r="F45" s="594"/>
      <c r="G45" s="594"/>
      <c r="H45" s="594"/>
      <c r="I45" s="594"/>
      <c r="J45" s="594"/>
      <c r="K45" s="594"/>
      <c r="L45" s="594"/>
      <c r="M45" s="594"/>
      <c r="N45" s="595"/>
    </row>
    <row r="46" spans="1:14" ht="63" customHeight="1" thickBot="1">
      <c r="A46" s="81"/>
      <c r="B46" s="596" t="s">
        <v>503</v>
      </c>
      <c r="C46" s="597"/>
      <c r="D46" s="597"/>
      <c r="E46" s="597"/>
      <c r="F46" s="597"/>
      <c r="G46" s="597"/>
      <c r="H46" s="597"/>
      <c r="I46" s="597"/>
      <c r="J46" s="597"/>
      <c r="K46" s="597"/>
      <c r="L46" s="597"/>
      <c r="M46" s="597"/>
      <c r="N46" s="598"/>
    </row>
    <row r="47" spans="1:14" ht="12" customHeight="1" thickTop="1">
      <c r="A47" s="81"/>
      <c r="B47" s="432"/>
      <c r="C47" s="432"/>
      <c r="D47" s="432"/>
      <c r="E47" s="433"/>
      <c r="F47" s="433"/>
      <c r="G47" s="433"/>
      <c r="H47" s="433"/>
      <c r="I47" s="433"/>
      <c r="J47" s="433"/>
      <c r="K47" s="433"/>
      <c r="L47" s="433"/>
      <c r="M47" s="433"/>
    </row>
    <row r="48" spans="1:14" ht="24.75" customHeight="1">
      <c r="A48" s="81"/>
      <c r="B48" s="567" t="s">
        <v>530</v>
      </c>
      <c r="C48" s="567"/>
      <c r="D48" s="567"/>
      <c r="E48" s="567"/>
      <c r="F48" s="567"/>
      <c r="G48" s="567"/>
      <c r="H48" s="567"/>
      <c r="I48" s="567"/>
      <c r="J48" s="567"/>
      <c r="K48" s="567"/>
      <c r="L48" s="567"/>
      <c r="M48" s="567"/>
      <c r="N48" s="567"/>
    </row>
    <row r="49" spans="1:24" ht="30" customHeight="1" thickBot="1">
      <c r="A49" s="81"/>
      <c r="B49" s="434"/>
      <c r="C49" s="434"/>
      <c r="D49" s="434"/>
      <c r="E49" s="246"/>
      <c r="F49" s="246"/>
      <c r="G49" s="445" t="str">
        <f ca="1">IF(vo&gt;=1,"","Plan "&amp;VLOOKUP(IF(p&lt;=3,1,4),DATOS!$A$4:$B$9,2,0))</f>
        <v/>
      </c>
      <c r="H49" s="435"/>
      <c r="I49" s="435"/>
      <c r="J49" s="445" t="str">
        <f ca="1">IF(vp&gt;=1,"",IF(b=2,"Plan "&amp;'CAPTURA DP'!C4,"Plan "&amp;VLOOKUP(IF(p&lt;=3,2,6),DATOS!$A$4:$B$9,2,0)))</f>
        <v/>
      </c>
      <c r="K49" s="435"/>
      <c r="L49" s="435"/>
      <c r="M49" s="445" t="str">
        <f ca="1">IF(ve&gt;=1,"","Plan "&amp;VLOOKUP(IF(p&lt;=3,3,6),DATOS!$A$4:$B$9,2,0))</f>
        <v/>
      </c>
      <c r="N49" s="435"/>
      <c r="O49" s="434"/>
    </row>
    <row r="50" spans="1:24" ht="16.5" customHeight="1" thickTop="1">
      <c r="A50" s="81"/>
      <c r="B50" s="466"/>
      <c r="C50" s="467" t="s">
        <v>17</v>
      </c>
      <c r="D50" s="467" t="s">
        <v>250</v>
      </c>
      <c r="E50" s="447"/>
      <c r="F50" s="468"/>
      <c r="G50" s="447"/>
      <c r="H50" s="468"/>
      <c r="I50" s="447"/>
      <c r="J50" s="447"/>
      <c r="K50" s="468"/>
      <c r="L50" s="447"/>
      <c r="M50" s="447"/>
      <c r="N50" s="454"/>
      <c r="S50" s="332"/>
      <c r="T50" s="332"/>
      <c r="U50" s="91"/>
      <c r="V50" s="91"/>
      <c r="W50" s="333"/>
      <c r="X50" s="331"/>
    </row>
    <row r="51" spans="1:24" ht="16.5" customHeight="1">
      <c r="A51" s="85"/>
      <c r="B51" s="469" t="str">
        <f>IF(AND('CAPTURA LISTADO'!B7&gt;64,OR(AND('CAPTURA DP'!$B$4&lt;=3,'CAPTURA DP'!$B$6&gt;13),('CAPTURA DP'!$B$4&gt;=4))),1,"")</f>
        <v/>
      </c>
      <c r="C51" s="470" t="str">
        <f>IF('CAPTURA LISTADO'!B7="","",(IF(B51="",'CAPTURA LISTADO'!B7,"")))</f>
        <v/>
      </c>
      <c r="D51" s="470" t="str">
        <f>UPPER(IF('CAPTURA LISTADO'!B7="","",(IF(B51="",'CAPTURA LISTADO'!D7,""))))</f>
        <v/>
      </c>
      <c r="E51" s="471"/>
      <c r="F51" s="471"/>
      <c r="G51" s="438" t="str">
        <f ca="1">(IF(OR('CAPTURA LISTADO'!B7="",B51=1,vo&gt;=1),"",VLOOKUP(C51,PRIMA_N,VLOOKUP(1,pcosto,IF(D51="m",2,3),0),0)/VLOOKUP(C51,PRIMA_N,IF(D51="m",2,3),0)))</f>
        <v/>
      </c>
      <c r="H51" s="471"/>
      <c r="I51" s="471"/>
      <c r="J51" s="438" t="str">
        <f ca="1">IF(b=1,(IF(OR('CAPTURA LISTADO'!B7="",B51=1,$I$10="no aplica SA",vp&gt;=1),"",VLOOKUP(C51,PRIMA_N,VLOOKUP(IF(p&lt;=3,2,6),pcosto,IF(D51="m",2,3),0),0)/VLOOKUP(C51,PRIMA_N,IF(D51="m",2,3),0))),(IF(OR('CAPTURA LISTADO'!B7="",B51=1),"",VLOOKUP(C51,PRIMA_N,VLOOKUP(p,pcosto,IF(D51="m",2,3),0),0)/VLOOKUP(C51,PRIMA_N,IF(D51="m",2,3),0))))</f>
        <v/>
      </c>
      <c r="K51" s="438"/>
      <c r="L51" s="438"/>
      <c r="M51" s="438" t="str">
        <f ca="1">(IF(OR('CAPTURA LISTADO'!B7="",B51=1,ve&gt;=1,'DATOS GENERALES'!$C$17=4),"",VLOOKUP(C51,PRIMA_N,VLOOKUP(IF('CAPTURA DP'!$B$4&lt;=3,3,6),pcosto,IF(D51="m",2,3),0),0)/VLOOKUP(C51,PRIMA_N,IF(D51="m",2,3),0)))</f>
        <v/>
      </c>
      <c r="N51" s="455"/>
      <c r="S51" s="332"/>
      <c r="T51" s="91"/>
      <c r="U51" s="333"/>
      <c r="V51" s="334"/>
      <c r="W51" s="334"/>
      <c r="X51" s="232"/>
    </row>
    <row r="52" spans="1:24" ht="16.5" customHeight="1">
      <c r="A52" s="81"/>
      <c r="B52" s="469" t="str">
        <f>IF(AND('CAPTURA LISTADO'!B8&gt;64,OR(AND('CAPTURA DP'!$B$4&lt;=3,'CAPTURA DP'!$B$6&gt;13),('CAPTURA DP'!$B$4&gt;=4))),1,"")</f>
        <v/>
      </c>
      <c r="C52" s="470" t="str">
        <f>IF('CAPTURA LISTADO'!B8="","",(IF(B52="",'CAPTURA LISTADO'!B8,"")))</f>
        <v/>
      </c>
      <c r="D52" s="470" t="str">
        <f>UPPER(IF('CAPTURA LISTADO'!B8="","",(IF(B52="",'CAPTURA LISTADO'!D8,""))))</f>
        <v/>
      </c>
      <c r="E52" s="471"/>
      <c r="F52" s="471"/>
      <c r="G52" s="438" t="str">
        <f ca="1">(IF(OR('CAPTURA LISTADO'!B8="",B52=1,vo&gt;=1),"",VLOOKUP(C52,PRIMA_N,VLOOKUP(1,pcosto,IF(D52="m",2,3),0),0)/VLOOKUP(C52,PRIMA_N,IF(D52="m",2,3),0)))</f>
        <v/>
      </c>
      <c r="H52" s="471"/>
      <c r="I52" s="471"/>
      <c r="J52" s="438" t="str">
        <f ca="1">IF(b=1,(IF(OR('CAPTURA LISTADO'!B8="",B52=1,$I$10="no aplica SA",vp&gt;=1),"",VLOOKUP(C52,PRIMA_N,VLOOKUP(IF(p&lt;=3,2,6),pcosto,IF(D52="m",2,3),0),0)/VLOOKUP(C52,PRIMA_N,IF(D52="m",2,3),0))),(IF(OR('CAPTURA LISTADO'!B8="",B52=1),"",VLOOKUP(C52,PRIMA_N,VLOOKUP(p,pcosto,IF(D52="m",2,3),0),0)/VLOOKUP(C52,PRIMA_N,IF(D52="m",2,3),0))))</f>
        <v/>
      </c>
      <c r="K52" s="438"/>
      <c r="L52" s="438"/>
      <c r="M52" s="438" t="str">
        <f ca="1">(IF(OR('CAPTURA LISTADO'!B8="",B52=1,ve&gt;=1,'DATOS GENERALES'!$C$17=4),"",VLOOKUP(C52,PRIMA_N,VLOOKUP(IF('CAPTURA DP'!$B$4&lt;=3,3,6),pcosto,IF(D52="m",2,3),0),0)/VLOOKUP(C52,PRIMA_N,IF(D52="m",2,3),0)))</f>
        <v/>
      </c>
      <c r="N52" s="455"/>
      <c r="S52" s="332"/>
      <c r="T52" s="91"/>
      <c r="U52" s="333"/>
      <c r="V52" s="334"/>
      <c r="W52" s="334"/>
      <c r="X52" s="232"/>
    </row>
    <row r="53" spans="1:24" ht="16.5" customHeight="1">
      <c r="A53" s="81"/>
      <c r="B53" s="469" t="str">
        <f>IF(AND('CAPTURA LISTADO'!B9&gt;64,OR(AND('CAPTURA DP'!$B$4&lt;=3,'CAPTURA DP'!$B$6&gt;13),('CAPTURA DP'!$B$4&gt;=4))),1,"")</f>
        <v/>
      </c>
      <c r="C53" s="470" t="str">
        <f>IF('CAPTURA LISTADO'!B9="","",(IF(B53="",'CAPTURA LISTADO'!B9,"")))</f>
        <v/>
      </c>
      <c r="D53" s="470" t="str">
        <f>UPPER(IF('CAPTURA LISTADO'!B9="","",(IF(B53="",'CAPTURA LISTADO'!D9,""))))</f>
        <v/>
      </c>
      <c r="E53" s="471"/>
      <c r="F53" s="471"/>
      <c r="G53" s="438" t="str">
        <f ca="1">(IF(OR('CAPTURA LISTADO'!B9="",B53=1,vo&gt;=1),"",VLOOKUP(C53,PRIMA_N,VLOOKUP(1,pcosto,IF(D53="m",2,3),0),0)/VLOOKUP(C53,PRIMA_N,IF(D53="m",2,3),0)))</f>
        <v/>
      </c>
      <c r="H53" s="471"/>
      <c r="I53" s="471"/>
      <c r="J53" s="438" t="str">
        <f ca="1">IF(b=1,(IF(OR('CAPTURA LISTADO'!B9="",B53=1,$I$10="no aplica SA",vp&gt;=1),"",VLOOKUP(C53,PRIMA_N,VLOOKUP(IF(p&lt;=3,2,6),pcosto,IF(D53="m",2,3),0),0)/VLOOKUP(C53,PRIMA_N,IF(D53="m",2,3),0))),(IF(OR('CAPTURA LISTADO'!B9="",B53=1),"",VLOOKUP(C53,PRIMA_N,VLOOKUP(p,pcosto,IF(D53="m",2,3),0),0)/VLOOKUP(C53,PRIMA_N,IF(D53="m",2,3),0))))</f>
        <v/>
      </c>
      <c r="K53" s="438"/>
      <c r="L53" s="438"/>
      <c r="M53" s="438" t="str">
        <f ca="1">(IF(OR('CAPTURA LISTADO'!B9="",B53=1,ve&gt;=1,'DATOS GENERALES'!$C$17=4),"",VLOOKUP(C53,PRIMA_N,VLOOKUP(IF('CAPTURA DP'!$B$4&lt;=3,3,6),pcosto,IF(D53="m",2,3),0),0)/VLOOKUP(C53,PRIMA_N,IF(D53="m",2,3),0)))</f>
        <v/>
      </c>
      <c r="N53" s="455"/>
      <c r="S53" s="332"/>
      <c r="T53" s="91"/>
      <c r="U53" s="333"/>
      <c r="V53" s="334"/>
      <c r="W53" s="334"/>
      <c r="X53" s="232"/>
    </row>
    <row r="54" spans="1:24" ht="16.5" customHeight="1">
      <c r="A54" s="81"/>
      <c r="B54" s="469" t="str">
        <f>IF(AND('CAPTURA LISTADO'!B10&gt;64,OR(AND('CAPTURA DP'!$B$4&lt;=3,'CAPTURA DP'!$B$6&gt;13),('CAPTURA DP'!$B$4&gt;=4))),1,"")</f>
        <v/>
      </c>
      <c r="C54" s="470" t="str">
        <f>IF('CAPTURA LISTADO'!B10="","",(IF(B54="",'CAPTURA LISTADO'!B10,"")))</f>
        <v/>
      </c>
      <c r="D54" s="470" t="str">
        <f>UPPER(IF('CAPTURA LISTADO'!B10="","",(IF(B54="",'CAPTURA LISTADO'!D10,""))))</f>
        <v/>
      </c>
      <c r="E54" s="471"/>
      <c r="F54" s="471"/>
      <c r="G54" s="438" t="str">
        <f ca="1">(IF(OR('CAPTURA LISTADO'!B10="",B54=1,vo&gt;=1),"",VLOOKUP(C54,PRIMA_N,VLOOKUP(1,pcosto,IF(D54="m",2,3),0),0)/VLOOKUP(C54,PRIMA_N,IF(D54="m",2,3),0)))</f>
        <v/>
      </c>
      <c r="H54" s="471"/>
      <c r="I54" s="471"/>
      <c r="J54" s="438" t="str">
        <f ca="1">IF(b=1,(IF(OR('CAPTURA LISTADO'!B10="",B54=1,$I$10="no aplica SA",vp&gt;=1),"",VLOOKUP(C54,PRIMA_N,VLOOKUP(IF(p&lt;=3,2,6),pcosto,IF(D54="m",2,3),0),0)/VLOOKUP(C54,PRIMA_N,IF(D54="m",2,3),0))),(IF(OR('CAPTURA LISTADO'!B10="",B54=1),"",VLOOKUP(C54,PRIMA_N,VLOOKUP(p,pcosto,IF(D54="m",2,3),0),0)/VLOOKUP(C54,PRIMA_N,IF(D54="m",2,3),0))))</f>
        <v/>
      </c>
      <c r="K54" s="438"/>
      <c r="L54" s="438"/>
      <c r="M54" s="438" t="str">
        <f ca="1">(IF(OR('CAPTURA LISTADO'!B10="",B54=1,ve&gt;=1,'DATOS GENERALES'!$C$17=4),"",VLOOKUP(C54,PRIMA_N,VLOOKUP(IF('CAPTURA DP'!$B$4&lt;=3,3,6),pcosto,IF(D54="m",2,3),0),0)/VLOOKUP(C54,PRIMA_N,IF(D54="m",2,3),0)))</f>
        <v/>
      </c>
      <c r="N54" s="455"/>
      <c r="S54" s="332"/>
      <c r="T54" s="91"/>
      <c r="U54" s="333"/>
      <c r="V54" s="334"/>
      <c r="W54" s="334"/>
      <c r="X54" s="232"/>
    </row>
    <row r="55" spans="1:24" ht="16.5" customHeight="1">
      <c r="A55" s="81"/>
      <c r="B55" s="469" t="str">
        <f>IF(AND('CAPTURA LISTADO'!B11&gt;64,OR(AND('CAPTURA DP'!$B$4&lt;=3,'CAPTURA DP'!$B$6&gt;13),('CAPTURA DP'!$B$4&gt;=4))),1,"")</f>
        <v/>
      </c>
      <c r="C55" s="470" t="str">
        <f>IF('CAPTURA LISTADO'!B11="","",(IF(B55="",'CAPTURA LISTADO'!B11,"")))</f>
        <v/>
      </c>
      <c r="D55" s="470" t="str">
        <f>UPPER(IF('CAPTURA LISTADO'!B11="","",(IF(B55="",'CAPTURA LISTADO'!D11,""))))</f>
        <v/>
      </c>
      <c r="E55" s="471"/>
      <c r="F55" s="471"/>
      <c r="G55" s="438" t="str">
        <f ca="1">(IF(OR('CAPTURA LISTADO'!B11="",B55=1,vo&gt;=1),"",VLOOKUP(C55,PRIMA_N,VLOOKUP(1,pcosto,IF(D55="m",2,3),0),0)/VLOOKUP(C55,PRIMA_N,IF(D55="m",2,3),0)))</f>
        <v/>
      </c>
      <c r="H55" s="471"/>
      <c r="I55" s="471"/>
      <c r="J55" s="438" t="str">
        <f ca="1">IF(b=1,(IF(OR('CAPTURA LISTADO'!B11="",B55=1,$I$10="no aplica SA",vp&gt;=1),"",VLOOKUP(C55,PRIMA_N,VLOOKUP(IF(p&lt;=3,2,6),pcosto,IF(D55="m",2,3),0),0)/VLOOKUP(C55,PRIMA_N,IF(D55="m",2,3),0))),(IF(OR('CAPTURA LISTADO'!B11="",B55=1),"",VLOOKUP(C55,PRIMA_N,VLOOKUP(p,pcosto,IF(D55="m",2,3),0),0)/VLOOKUP(C55,PRIMA_N,IF(D55="m",2,3),0))))</f>
        <v/>
      </c>
      <c r="K55" s="438"/>
      <c r="L55" s="438"/>
      <c r="M55" s="438" t="str">
        <f ca="1">(IF(OR('CAPTURA LISTADO'!B11="",B55=1,ve&gt;=1,'DATOS GENERALES'!$C$17=4),"",VLOOKUP(C55,PRIMA_N,VLOOKUP(IF('CAPTURA DP'!$B$4&lt;=3,3,6),pcosto,IF(D55="m",2,3),0),0)/VLOOKUP(C55,PRIMA_N,IF(D55="m",2,3),0)))</f>
        <v/>
      </c>
      <c r="N55" s="455"/>
    </row>
    <row r="56" spans="1:24" ht="16.5" customHeight="1">
      <c r="A56" s="81"/>
      <c r="B56" s="469" t="str">
        <f>IF(AND('CAPTURA LISTADO'!B12&gt;64,OR(AND('CAPTURA DP'!$B$4&lt;=3,'CAPTURA DP'!$B$6&gt;13),('CAPTURA DP'!$B$4&gt;=4))),1,"")</f>
        <v/>
      </c>
      <c r="C56" s="470" t="str">
        <f>IF('CAPTURA LISTADO'!B12="","",(IF(B56="",'CAPTURA LISTADO'!B12,"")))</f>
        <v/>
      </c>
      <c r="D56" s="470" t="str">
        <f>UPPER(IF('CAPTURA LISTADO'!B12="","",(IF(B56="",'CAPTURA LISTADO'!D12,""))))</f>
        <v/>
      </c>
      <c r="E56" s="471"/>
      <c r="F56" s="471"/>
      <c r="G56" s="438" t="str">
        <f ca="1">(IF(OR('CAPTURA LISTADO'!B12="",B56=1,vo&gt;=1),"",VLOOKUP(C56,PRIMA_N,VLOOKUP(1,pcosto,IF(D56="m",2,3),0),0)/VLOOKUP(C56,PRIMA_N,IF(D56="m",2,3),0)))</f>
        <v/>
      </c>
      <c r="H56" s="471"/>
      <c r="I56" s="471"/>
      <c r="J56" s="438" t="str">
        <f ca="1">IF(b=1,(IF(OR('CAPTURA LISTADO'!B12="",B56=1,$I$10="no aplica SA",vp&gt;=1),"",VLOOKUP(C56,PRIMA_N,VLOOKUP(IF(p&lt;=3,2,6),pcosto,IF(D56="m",2,3),0),0)/VLOOKUP(C56,PRIMA_N,IF(D56="m",2,3),0))),(IF(OR('CAPTURA LISTADO'!B12="",B56=1),"",VLOOKUP(C56,PRIMA_N,VLOOKUP(p,pcosto,IF(D56="m",2,3),0),0)/VLOOKUP(C56,PRIMA_N,IF(D56="m",2,3),0))))</f>
        <v/>
      </c>
      <c r="K56" s="438"/>
      <c r="L56" s="438"/>
      <c r="M56" s="438" t="str">
        <f ca="1">(IF(OR('CAPTURA LISTADO'!B12="",B56=1,ve&gt;=1,'DATOS GENERALES'!$C$17=4),"",VLOOKUP(C56,PRIMA_N,VLOOKUP(IF('CAPTURA DP'!$B$4&lt;=3,3,6),pcosto,IF(D56="m",2,3),0),0)/VLOOKUP(C56,PRIMA_N,IF(D56="m",2,3),0)))</f>
        <v/>
      </c>
      <c r="N56" s="455"/>
      <c r="T56" s="232"/>
      <c r="V56" s="325"/>
      <c r="W56" s="232"/>
    </row>
    <row r="57" spans="1:24" ht="16.5" customHeight="1">
      <c r="A57" s="81"/>
      <c r="B57" s="469" t="str">
        <f>IF(AND('CAPTURA LISTADO'!B13&gt;64,OR(AND('CAPTURA DP'!$B$4&lt;=3,'CAPTURA DP'!$B$6&gt;13),('CAPTURA DP'!$B$4&gt;=4))),1,"")</f>
        <v/>
      </c>
      <c r="C57" s="470" t="str">
        <f>IF('CAPTURA LISTADO'!B13="","",(IF(B57="",'CAPTURA LISTADO'!B13,"")))</f>
        <v/>
      </c>
      <c r="D57" s="470" t="str">
        <f>UPPER(IF('CAPTURA LISTADO'!B13="","",(IF(B57="",'CAPTURA LISTADO'!D13,""))))</f>
        <v/>
      </c>
      <c r="E57" s="471"/>
      <c r="F57" s="471"/>
      <c r="G57" s="438" t="str">
        <f ca="1">(IF(OR('CAPTURA LISTADO'!B13="",B57=1,vo&gt;=1),"",VLOOKUP(C57,PRIMA_N,VLOOKUP(1,pcosto,IF(D57="m",2,3),0),0)/VLOOKUP(C57,PRIMA_N,IF(D57="m",2,3),0)))</f>
        <v/>
      </c>
      <c r="H57" s="471"/>
      <c r="I57" s="471"/>
      <c r="J57" s="438" t="str">
        <f ca="1">IF(b=1,(IF(OR('CAPTURA LISTADO'!B13="",B57=1,$I$10="no aplica SA",vp&gt;=1),"",VLOOKUP(C57,PRIMA_N,VLOOKUP(IF(p&lt;=3,2,6),pcosto,IF(D57="m",2,3),0),0)/VLOOKUP(C57,PRIMA_N,IF(D57="m",2,3),0))),(IF(OR('CAPTURA LISTADO'!B13="",B57=1),"",VLOOKUP(C57,PRIMA_N,VLOOKUP(p,pcosto,IF(D57="m",2,3),0),0)/VLOOKUP(C57,PRIMA_N,IF(D57="m",2,3),0))))</f>
        <v/>
      </c>
      <c r="K57" s="438"/>
      <c r="L57" s="438"/>
      <c r="M57" s="438" t="str">
        <f ca="1">(IF(OR('CAPTURA LISTADO'!B13="",B57=1,ve&gt;=1,'DATOS GENERALES'!$C$17=4),"",VLOOKUP(C57,PRIMA_N,VLOOKUP(IF('CAPTURA DP'!$B$4&lt;=3,3,6),pcosto,IF(D57="m",2,3),0),0)/VLOOKUP(C57,PRIMA_N,IF(D57="m",2,3),0)))</f>
        <v/>
      </c>
      <c r="N57" s="455"/>
      <c r="T57" s="232"/>
      <c r="U57" s="326"/>
      <c r="V57"/>
      <c r="W57"/>
      <c r="X57"/>
    </row>
    <row r="58" spans="1:24" ht="16.5" customHeight="1">
      <c r="A58" s="81"/>
      <c r="B58" s="469" t="str">
        <f>IF(AND('CAPTURA LISTADO'!B14&gt;64,OR(AND('CAPTURA DP'!$B$4&lt;=3,'CAPTURA DP'!$B$6&gt;13),('CAPTURA DP'!$B$4&gt;=4))),1,"")</f>
        <v/>
      </c>
      <c r="C58" s="470" t="str">
        <f>IF('CAPTURA LISTADO'!B14="","",(IF(B58="",'CAPTURA LISTADO'!B14,"")))</f>
        <v/>
      </c>
      <c r="D58" s="470" t="str">
        <f>UPPER(IF('CAPTURA LISTADO'!B14="","",(IF(B58="",'CAPTURA LISTADO'!D14,""))))</f>
        <v/>
      </c>
      <c r="E58" s="471"/>
      <c r="F58" s="471"/>
      <c r="G58" s="438" t="str">
        <f ca="1">(IF(OR('CAPTURA LISTADO'!B14="",B58=1,vo&gt;=1),"",VLOOKUP(C58,PRIMA_N,VLOOKUP(1,pcosto,IF(D58="m",2,3),0),0)/VLOOKUP(C58,PRIMA_N,IF(D58="m",2,3),0)))</f>
        <v/>
      </c>
      <c r="H58" s="471"/>
      <c r="I58" s="471"/>
      <c r="J58" s="438" t="str">
        <f ca="1">IF(b=1,(IF(OR('CAPTURA LISTADO'!B14="",B58=1,$I$10="no aplica SA",vp&gt;=1),"",VLOOKUP(C58,PRIMA_N,VLOOKUP(IF(p&lt;=3,2,6),pcosto,IF(D58="m",2,3),0),0)/VLOOKUP(C58,PRIMA_N,IF(D58="m",2,3),0))),(IF(OR('CAPTURA LISTADO'!B14="",B58=1),"",VLOOKUP(C58,PRIMA_N,VLOOKUP(p,pcosto,IF(D58="m",2,3),0),0)/VLOOKUP(C58,PRIMA_N,IF(D58="m",2,3),0))))</f>
        <v/>
      </c>
      <c r="K58" s="438"/>
      <c r="L58" s="438"/>
      <c r="M58" s="438" t="str">
        <f ca="1">(IF(OR('CAPTURA LISTADO'!B14="",B58=1,ve&gt;=1,'DATOS GENERALES'!$C$17=4),"",VLOOKUP(C58,PRIMA_N,VLOOKUP(IF('CAPTURA DP'!$B$4&lt;=3,3,6),pcosto,IF(D58="m",2,3),0),0)/VLOOKUP(C58,PRIMA_N,IF(D58="m",2,3),0)))</f>
        <v/>
      </c>
      <c r="N58" s="455"/>
      <c r="V58"/>
      <c r="W58"/>
      <c r="X58"/>
    </row>
    <row r="59" spans="1:24" ht="16.5" customHeight="1">
      <c r="A59" s="81"/>
      <c r="B59" s="632" t="str">
        <f>+IF(b=2,"",IF('CAPTURA LISTADO'!E7="Debe existir un titular","",IF('CAPTURA LISTADO'!K16&gt;=1,"No es posible otorgar la Suma Asegurada solicitada para asegurados mayores a 59 años.","")))</f>
        <v/>
      </c>
      <c r="C59" s="633"/>
      <c r="D59" s="633"/>
      <c r="E59" s="633"/>
      <c r="F59" s="633"/>
      <c r="G59" s="633"/>
      <c r="H59" s="633"/>
      <c r="I59" s="633"/>
      <c r="J59" s="633"/>
      <c r="K59" s="633"/>
      <c r="L59" s="633"/>
      <c r="M59" s="633"/>
      <c r="N59" s="455"/>
      <c r="V59"/>
      <c r="W59"/>
      <c r="X59"/>
    </row>
    <row r="60" spans="1:24" ht="16.5" customHeight="1">
      <c r="A60" s="81"/>
      <c r="B60" s="472"/>
      <c r="C60" s="640" t="s">
        <v>304</v>
      </c>
      <c r="D60" s="641"/>
      <c r="E60" s="91"/>
      <c r="F60" s="91"/>
      <c r="G60" s="488">
        <f ca="1">IF('CAPTURA LISTADO'!K16&gt;=1,0,(IFERROR(VLOOKUP(1,DATOS!A28:B33,2,0),0)))</f>
        <v>0</v>
      </c>
      <c r="H60" s="471"/>
      <c r="I60" s="471"/>
      <c r="J60" s="488">
        <f ca="1">IF(b=1,IF('CAPTURA LISTADO'!K16&gt;=1,0,(IFERROR(VLOOKUP(IF(p&lt;=3,2,6),DATOS!A28:B33,2,0),0))),(IFERROR(VLOOKUP(p,DATOS!$A$28:$B$33,2,0),0)))</f>
        <v>0</v>
      </c>
      <c r="K60" s="473"/>
      <c r="L60" s="473"/>
      <c r="M60" s="488">
        <f ca="1">IF('CAPTURA LISTADO'!K16&gt;=1,0,(IFERROR(VLOOKUP(IF('CAPTURA DP'!$B$4&lt;=3,3,6),DATOS!$A$28:$B$33,2,0),0)))</f>
        <v>0</v>
      </c>
      <c r="N60" s="455"/>
      <c r="T60" s="233"/>
      <c r="V60"/>
      <c r="W60"/>
      <c r="X60"/>
    </row>
    <row r="61" spans="1:24" ht="16.5" customHeight="1">
      <c r="A61" s="81"/>
      <c r="B61" s="472"/>
      <c r="C61" s="634" t="s">
        <v>295</v>
      </c>
      <c r="D61" s="635"/>
      <c r="E61" s="91"/>
      <c r="F61" s="91"/>
      <c r="G61" s="489">
        <f ca="1">IF(G60=0,0,(VLOOKUP(G60,DATOS!AQ6:AS14,3)))</f>
        <v>0</v>
      </c>
      <c r="H61" s="471"/>
      <c r="I61" s="471"/>
      <c r="J61" s="489">
        <f ca="1">IF(J60=0,0,(VLOOKUP(J60,DATOS!AQ6:AS14,3)))</f>
        <v>0</v>
      </c>
      <c r="K61" s="474"/>
      <c r="L61" s="474"/>
      <c r="M61" s="489">
        <f ca="1">IF(M60=0,0,(VLOOKUP(M60,DATOS!AQ6:AS14,3)))</f>
        <v>0</v>
      </c>
      <c r="N61" s="455"/>
      <c r="V61"/>
      <c r="W61"/>
      <c r="X61"/>
    </row>
    <row r="62" spans="1:24" ht="16.5" customHeight="1">
      <c r="A62" s="81"/>
      <c r="B62" s="475"/>
      <c r="C62" s="476"/>
      <c r="D62" s="476"/>
      <c r="E62" s="91"/>
      <c r="F62" s="91"/>
      <c r="G62" s="474"/>
      <c r="H62" s="471"/>
      <c r="I62" s="476"/>
      <c r="J62" s="474"/>
      <c r="K62" s="476"/>
      <c r="L62" s="476"/>
      <c r="M62" s="474"/>
      <c r="N62" s="477"/>
      <c r="V62"/>
      <c r="W62"/>
      <c r="X62"/>
    </row>
    <row r="63" spans="1:24" ht="16.5" customHeight="1">
      <c r="A63" s="81"/>
      <c r="B63" s="478"/>
      <c r="C63" s="634" t="s">
        <v>296</v>
      </c>
      <c r="D63" s="635"/>
      <c r="E63" s="91"/>
      <c r="F63" s="91"/>
      <c r="G63" s="489">
        <f ca="1">+SUM(G60:G61)*IVA</f>
        <v>0</v>
      </c>
      <c r="H63" s="471"/>
      <c r="I63" s="471"/>
      <c r="J63" s="489">
        <f ca="1">+SUM(J60:J61)*IVA</f>
        <v>0</v>
      </c>
      <c r="K63" s="474"/>
      <c r="L63" s="474"/>
      <c r="M63" s="489">
        <f ca="1">+SUM(M60:M61)*IVA</f>
        <v>0</v>
      </c>
      <c r="N63" s="455"/>
      <c r="V63"/>
      <c r="W63"/>
      <c r="X63"/>
    </row>
    <row r="64" spans="1:24" ht="16.5" customHeight="1">
      <c r="A64" s="81"/>
      <c r="B64" s="490" t="s">
        <v>71</v>
      </c>
      <c r="C64" s="636" t="s">
        <v>298</v>
      </c>
      <c r="D64" s="637"/>
      <c r="E64" s="91"/>
      <c r="F64" s="91"/>
      <c r="G64" s="488">
        <f ca="1">+SUM(G60:G63)</f>
        <v>0</v>
      </c>
      <c r="H64" s="471"/>
      <c r="I64" s="471"/>
      <c r="J64" s="488">
        <f ca="1">+SUM(J60:J63)</f>
        <v>0</v>
      </c>
      <c r="K64" s="474"/>
      <c r="L64" s="474"/>
      <c r="M64" s="488">
        <f ca="1">+SUM(M60:M63)</f>
        <v>0</v>
      </c>
      <c r="N64" s="455"/>
    </row>
    <row r="65" spans="1:14" ht="16.5" customHeight="1">
      <c r="A65" s="81"/>
      <c r="B65" s="479"/>
      <c r="C65" s="473"/>
      <c r="D65" s="473"/>
      <c r="E65" s="91"/>
      <c r="F65" s="91"/>
      <c r="G65" s="439"/>
      <c r="H65" s="471"/>
      <c r="I65" s="471"/>
      <c r="J65" s="439"/>
      <c r="K65" s="474"/>
      <c r="L65" s="474"/>
      <c r="M65" s="439"/>
      <c r="N65" s="455"/>
    </row>
    <row r="66" spans="1:14" ht="16.5" customHeight="1">
      <c r="A66" s="81"/>
      <c r="B66" s="478"/>
      <c r="C66" s="634" t="s">
        <v>297</v>
      </c>
      <c r="D66" s="635"/>
      <c r="E66" s="91"/>
      <c r="F66" s="91"/>
      <c r="G66" s="489">
        <f ca="1">+IF(G60=0,0,G60*DATOS!$AO$5)</f>
        <v>0</v>
      </c>
      <c r="H66" s="471"/>
      <c r="I66" s="471"/>
      <c r="J66" s="489">
        <f ca="1">+IF(J60=0,0,J60*DATOS!$AO$5)</f>
        <v>0</v>
      </c>
      <c r="K66" s="474"/>
      <c r="L66" s="474"/>
      <c r="M66" s="489">
        <f ca="1">+IF(M60=0,0,M60*DATOS!$AO$5)</f>
        <v>0</v>
      </c>
      <c r="N66" s="455"/>
    </row>
    <row r="67" spans="1:14" ht="16.5" customHeight="1">
      <c r="A67" s="81"/>
      <c r="B67" s="478"/>
      <c r="C67" s="634" t="s">
        <v>296</v>
      </c>
      <c r="D67" s="635"/>
      <c r="E67" s="91"/>
      <c r="F67" s="91"/>
      <c r="G67" s="489">
        <f ca="1">+SUM(G66,G60,G61)*IVA</f>
        <v>0</v>
      </c>
      <c r="H67" s="471"/>
      <c r="I67" s="471"/>
      <c r="J67" s="489">
        <f ca="1">+SUM(J66,J60,J61)*IVA</f>
        <v>0</v>
      </c>
      <c r="K67" s="474"/>
      <c r="L67" s="474"/>
      <c r="M67" s="489">
        <f ca="1">+SUM(M66,M60,M61)*IVA</f>
        <v>0</v>
      </c>
      <c r="N67" s="455"/>
    </row>
    <row r="68" spans="1:14" ht="16.5" customHeight="1">
      <c r="A68" s="81"/>
      <c r="B68" s="490" t="s">
        <v>72</v>
      </c>
      <c r="C68" s="636" t="s">
        <v>298</v>
      </c>
      <c r="D68" s="637"/>
      <c r="E68" s="91"/>
      <c r="F68" s="91"/>
      <c r="G68" s="488">
        <f ca="1">+SUM(G60,G61,G66,G67)</f>
        <v>0</v>
      </c>
      <c r="H68" s="471"/>
      <c r="I68" s="471"/>
      <c r="J68" s="488">
        <f ca="1">+SUM(J60,J61,J66,J67)</f>
        <v>0</v>
      </c>
      <c r="K68" s="474"/>
      <c r="L68" s="474"/>
      <c r="M68" s="488">
        <f ca="1">+SUM(M60,M61,M66,M67)</f>
        <v>0</v>
      </c>
      <c r="N68" s="455"/>
    </row>
    <row r="69" spans="1:14" ht="16.5" customHeight="1">
      <c r="A69" s="81"/>
      <c r="B69" s="472"/>
      <c r="C69" s="634" t="s">
        <v>293</v>
      </c>
      <c r="D69" s="635"/>
      <c r="E69" s="91"/>
      <c r="F69" s="91"/>
      <c r="G69" s="489">
        <f ca="1">+((($G$60+$G$66)/2)+G61)*(1+IVA)</f>
        <v>0</v>
      </c>
      <c r="H69" s="471"/>
      <c r="I69" s="471"/>
      <c r="J69" s="489">
        <f ca="1">+((($J$60+$J$66)/2)+J61)*(1+IVA)</f>
        <v>0</v>
      </c>
      <c r="K69" s="474"/>
      <c r="L69" s="474"/>
      <c r="M69" s="489">
        <f ca="1">+((($M$60+$M$66)/2)+M61)*(1+IVA)</f>
        <v>0</v>
      </c>
      <c r="N69" s="480"/>
    </row>
    <row r="70" spans="1:14" ht="16.5" customHeight="1">
      <c r="A70" s="81"/>
      <c r="B70" s="472"/>
      <c r="C70" s="634" t="s">
        <v>299</v>
      </c>
      <c r="D70" s="635"/>
      <c r="E70" s="91"/>
      <c r="F70" s="91"/>
      <c r="G70" s="489">
        <f ca="1">++((($G$60+$G$66)/2))*(1+IVA)</f>
        <v>0</v>
      </c>
      <c r="H70" s="471"/>
      <c r="I70" s="471"/>
      <c r="J70" s="489">
        <f ca="1">++((($J$60+$J$66)/2))*(1+IVA)</f>
        <v>0</v>
      </c>
      <c r="K70" s="474"/>
      <c r="L70" s="474"/>
      <c r="M70" s="489">
        <f ca="1">++((($M$60+$M$66)/2))*(1+IVA)</f>
        <v>0</v>
      </c>
      <c r="N70" s="455"/>
    </row>
    <row r="71" spans="1:14" ht="16.5" customHeight="1">
      <c r="A71" s="81"/>
      <c r="B71" s="472"/>
      <c r="C71" s="481"/>
      <c r="D71" s="481"/>
      <c r="E71" s="91"/>
      <c r="F71" s="91"/>
      <c r="G71" s="482"/>
      <c r="H71" s="471"/>
      <c r="I71" s="471"/>
      <c r="J71" s="482"/>
      <c r="K71" s="482"/>
      <c r="L71" s="482"/>
      <c r="M71" s="482"/>
      <c r="N71" s="455"/>
    </row>
    <row r="72" spans="1:14" ht="16.5" customHeight="1">
      <c r="A72" s="81"/>
      <c r="B72" s="472"/>
      <c r="C72" s="634" t="s">
        <v>297</v>
      </c>
      <c r="D72" s="635"/>
      <c r="E72" s="91"/>
      <c r="F72" s="91"/>
      <c r="G72" s="489">
        <f ca="1">+IF(G60=0,0,G60*DATOS!$AO$6)</f>
        <v>0</v>
      </c>
      <c r="H72" s="471"/>
      <c r="I72" s="471"/>
      <c r="J72" s="489">
        <f ca="1">+IF(J60=0,0,J60*DATOS!$AO$6)</f>
        <v>0</v>
      </c>
      <c r="K72" s="482"/>
      <c r="L72" s="482"/>
      <c r="M72" s="489">
        <f ca="1">+IF(M60=0,0,M60*DATOS!$AO$6)</f>
        <v>0</v>
      </c>
      <c r="N72" s="455"/>
    </row>
    <row r="73" spans="1:14" ht="16.5" customHeight="1">
      <c r="A73" s="81"/>
      <c r="B73" s="472"/>
      <c r="C73" s="634" t="s">
        <v>296</v>
      </c>
      <c r="D73" s="635"/>
      <c r="E73" s="91"/>
      <c r="F73" s="91"/>
      <c r="G73" s="489">
        <f ca="1">+SUM(G72,G60,G61)*IVA</f>
        <v>0</v>
      </c>
      <c r="H73" s="471"/>
      <c r="I73" s="471"/>
      <c r="J73" s="489">
        <f ca="1">+SUM(J72,J60,J61)*IVA</f>
        <v>0</v>
      </c>
      <c r="K73" s="482"/>
      <c r="L73" s="482"/>
      <c r="M73" s="489">
        <f ca="1">+SUM(M72,M60,M61)*IVA</f>
        <v>0</v>
      </c>
      <c r="N73" s="455"/>
    </row>
    <row r="74" spans="1:14" ht="16.5" customHeight="1">
      <c r="A74" s="81"/>
      <c r="B74" s="490" t="s">
        <v>75</v>
      </c>
      <c r="C74" s="636" t="s">
        <v>298</v>
      </c>
      <c r="D74" s="637"/>
      <c r="E74" s="91"/>
      <c r="F74" s="91"/>
      <c r="G74" s="488">
        <f ca="1">+SUM(G60,G61,G72,G73)</f>
        <v>0</v>
      </c>
      <c r="H74" s="471"/>
      <c r="I74" s="471"/>
      <c r="J74" s="488">
        <f ca="1">+SUM(J60,J61,J72,J73)</f>
        <v>0</v>
      </c>
      <c r="K74" s="482"/>
      <c r="L74" s="482"/>
      <c r="M74" s="488">
        <f ca="1">+SUM(M60,M61,M72,M73)</f>
        <v>0</v>
      </c>
      <c r="N74" s="455"/>
    </row>
    <row r="75" spans="1:14" ht="16.5" customHeight="1">
      <c r="A75" s="81"/>
      <c r="B75" s="472"/>
      <c r="C75" s="634" t="s">
        <v>293</v>
      </c>
      <c r="D75" s="635"/>
      <c r="E75" s="91"/>
      <c r="F75" s="91"/>
      <c r="G75" s="489">
        <f ca="1">+((($G$60+$G$72)/4)+G61)*(1+IVA)</f>
        <v>0</v>
      </c>
      <c r="H75" s="471"/>
      <c r="I75" s="471"/>
      <c r="J75" s="489">
        <f ca="1">+((($J$60+$J$72)/4)+J61)*(1+IVA)</f>
        <v>0</v>
      </c>
      <c r="K75" s="482"/>
      <c r="L75" s="482"/>
      <c r="M75" s="489">
        <f ca="1">+((($M$60+$M$72)/4)+M61)*(1+IVA)</f>
        <v>0</v>
      </c>
      <c r="N75" s="455"/>
    </row>
    <row r="76" spans="1:14" ht="16.5" customHeight="1">
      <c r="A76" s="81"/>
      <c r="B76" s="472"/>
      <c r="C76" s="634" t="s">
        <v>294</v>
      </c>
      <c r="D76" s="635"/>
      <c r="E76" s="91"/>
      <c r="F76" s="91"/>
      <c r="G76" s="489">
        <f ca="1">++((($G$60+$G$72)/4))*(1+IVA)</f>
        <v>0</v>
      </c>
      <c r="H76" s="471"/>
      <c r="I76" s="471"/>
      <c r="J76" s="489">
        <f ca="1">++((($J$60+$J$72)/4))*(1+IVA)</f>
        <v>0</v>
      </c>
      <c r="K76" s="482"/>
      <c r="L76" s="482"/>
      <c r="M76" s="489">
        <f ca="1">++((($M$60+$M$72)/4))*(1+IVA)</f>
        <v>0</v>
      </c>
      <c r="N76" s="455"/>
    </row>
    <row r="77" spans="1:14" ht="16.5" customHeight="1">
      <c r="A77" s="81"/>
      <c r="B77" s="472"/>
      <c r="C77" s="482"/>
      <c r="D77" s="482"/>
      <c r="E77" s="91"/>
      <c r="F77" s="91"/>
      <c r="G77" s="482"/>
      <c r="H77" s="471"/>
      <c r="I77" s="471"/>
      <c r="J77" s="482"/>
      <c r="K77" s="482"/>
      <c r="L77" s="482"/>
      <c r="M77" s="482"/>
      <c r="N77" s="455"/>
    </row>
    <row r="78" spans="1:14" ht="16.5" customHeight="1">
      <c r="A78" s="81"/>
      <c r="B78" s="472"/>
      <c r="C78" s="634" t="s">
        <v>297</v>
      </c>
      <c r="D78" s="635"/>
      <c r="E78" s="91"/>
      <c r="F78" s="91"/>
      <c r="G78" s="489">
        <f ca="1">+IF(G60=0,0,G60*DATOS!$AO$7)</f>
        <v>0</v>
      </c>
      <c r="H78" s="471"/>
      <c r="I78" s="471"/>
      <c r="J78" s="489">
        <f ca="1">+IF(J60=0,0,J60*DATOS!$AO$7)</f>
        <v>0</v>
      </c>
      <c r="K78" s="482"/>
      <c r="L78" s="482"/>
      <c r="M78" s="489">
        <f ca="1">+IF(M60=0,0,M60*DATOS!$AO$7)</f>
        <v>0</v>
      </c>
      <c r="N78" s="455"/>
    </row>
    <row r="79" spans="1:14" ht="16.5" customHeight="1">
      <c r="A79" s="81"/>
      <c r="B79" s="472"/>
      <c r="C79" s="634" t="s">
        <v>296</v>
      </c>
      <c r="D79" s="635"/>
      <c r="E79" s="91"/>
      <c r="F79" s="91"/>
      <c r="G79" s="489">
        <f ca="1">+SUM(G78,G60,G61)*IVA</f>
        <v>0</v>
      </c>
      <c r="H79" s="471"/>
      <c r="I79" s="471"/>
      <c r="J79" s="489">
        <f ca="1">+SUM(J78,J60,J61)*IVA</f>
        <v>0</v>
      </c>
      <c r="K79" s="482"/>
      <c r="L79" s="482"/>
      <c r="M79" s="489">
        <f ca="1">+SUM(M78,M60,M61)*IVA</f>
        <v>0</v>
      </c>
      <c r="N79" s="455"/>
    </row>
    <row r="80" spans="1:14" ht="16.5" customHeight="1">
      <c r="A80" s="81"/>
      <c r="B80" s="490" t="s">
        <v>73</v>
      </c>
      <c r="C80" s="636" t="s">
        <v>298</v>
      </c>
      <c r="D80" s="637"/>
      <c r="E80" s="91"/>
      <c r="F80" s="91"/>
      <c r="G80" s="488">
        <f ca="1">+SUM(G60,G61,G78,G79)</f>
        <v>0</v>
      </c>
      <c r="H80" s="471"/>
      <c r="I80" s="471"/>
      <c r="J80" s="488">
        <f ca="1">+SUM(J60,J61,J78,J79)</f>
        <v>0</v>
      </c>
      <c r="K80" s="482"/>
      <c r="L80" s="482"/>
      <c r="M80" s="488">
        <f ca="1">+SUM(M60,M61,M78,M79)</f>
        <v>0</v>
      </c>
      <c r="N80" s="455"/>
    </row>
    <row r="81" spans="1:14" ht="16.5" customHeight="1">
      <c r="A81" s="81"/>
      <c r="B81" s="472"/>
      <c r="C81" s="634" t="s">
        <v>293</v>
      </c>
      <c r="D81" s="635"/>
      <c r="E81" s="91"/>
      <c r="F81" s="91"/>
      <c r="G81" s="489">
        <f ca="1">+((($G$60+$G$78)/12)+G61)*(1+IVA)</f>
        <v>0</v>
      </c>
      <c r="H81" s="471"/>
      <c r="I81" s="471"/>
      <c r="J81" s="489">
        <f ca="1">+((($J$60+$J$78)/12)+J61)*(1+IVA)</f>
        <v>0</v>
      </c>
      <c r="K81" s="482"/>
      <c r="L81" s="482"/>
      <c r="M81" s="489">
        <f ca="1">+((($M$60+$M$78)/12)+M61)*(1+IVA)</f>
        <v>0</v>
      </c>
      <c r="N81" s="483"/>
    </row>
    <row r="82" spans="1:14" ht="16.5" customHeight="1">
      <c r="A82" s="81"/>
      <c r="B82" s="472"/>
      <c r="C82" s="634" t="s">
        <v>294</v>
      </c>
      <c r="D82" s="635"/>
      <c r="E82" s="91"/>
      <c r="F82" s="91"/>
      <c r="G82" s="489">
        <f ca="1">++((($G$60+$G$78)/12))*(1+IVA)</f>
        <v>0</v>
      </c>
      <c r="H82" s="471"/>
      <c r="I82" s="471"/>
      <c r="J82" s="489">
        <f ca="1">++((($J$60+$J$78)/12))*(1+IVA)</f>
        <v>0</v>
      </c>
      <c r="K82" s="482"/>
      <c r="L82" s="482"/>
      <c r="M82" s="489">
        <f ca="1">++((($M$60+$M$78)/12))*(1+IVA)</f>
        <v>0</v>
      </c>
      <c r="N82" s="455"/>
    </row>
    <row r="83" spans="1:14" ht="72" customHeight="1">
      <c r="A83" s="81"/>
      <c r="B83" s="580" t="s">
        <v>28767</v>
      </c>
      <c r="C83" s="581"/>
      <c r="D83" s="581"/>
      <c r="E83" s="581"/>
      <c r="F83" s="581"/>
      <c r="G83" s="581"/>
      <c r="H83" s="581"/>
      <c r="I83" s="581"/>
      <c r="J83" s="581"/>
      <c r="K83" s="581"/>
      <c r="L83" s="581"/>
      <c r="M83" s="581"/>
      <c r="N83" s="582"/>
    </row>
    <row r="84" spans="1:14" ht="16.5" customHeight="1" thickBot="1">
      <c r="A84" s="81"/>
      <c r="B84" s="583" t="str">
        <f>+IF('CAPTURA DP'!$C$28="NO","","El impuesto de esta cotización contempla el 8% de IVA Fronterizo.")</f>
        <v/>
      </c>
      <c r="C84" s="584"/>
      <c r="D84" s="584"/>
      <c r="E84" s="584"/>
      <c r="F84" s="584"/>
      <c r="G84" s="584"/>
      <c r="H84" s="584"/>
      <c r="I84" s="584"/>
      <c r="J84" s="584"/>
      <c r="K84" s="584"/>
      <c r="L84" s="584"/>
      <c r="M84" s="584"/>
      <c r="N84" s="585"/>
    </row>
    <row r="85" spans="1:14" ht="12" customHeight="1" thickTop="1" thickBot="1">
      <c r="A85" s="81"/>
      <c r="B85" s="491" t="s">
        <v>28764</v>
      </c>
      <c r="C85" s="492"/>
      <c r="D85" s="492"/>
      <c r="E85" s="492"/>
      <c r="F85" s="492"/>
      <c r="G85" s="493" t="str">
        <f>"ec "&amp;'CAPTURA DP'!F20</f>
        <v>ec 1</v>
      </c>
      <c r="H85" s="492"/>
      <c r="I85" s="492"/>
      <c r="J85" s="494" t="str">
        <f>IF('CAPTURA DP'!F20=1,"cc "&amp;ROUND('DATOS GENERALES'!G15,5),"cc "&amp;ROUND('DATOS GENERALES'!I15,5))</f>
        <v>cc 0</v>
      </c>
      <c r="K85" s="492"/>
      <c r="L85" s="492"/>
      <c r="M85" s="494" t="str">
        <f>"FA "&amp; 'CAPTURA DP'!B23</f>
        <v>FA 1</v>
      </c>
      <c r="N85" s="495"/>
    </row>
    <row r="86" spans="1:14" ht="19.5" customHeight="1" thickTop="1">
      <c r="A86" s="81"/>
      <c r="B86" s="568" t="str">
        <f>IF(LEFT('CAPTURA DP'!B29)="F","",IF('CAPTURA DP'!F20=1,"Esquema de comisiones por rango de edad del asegurado","Esquema de comisiones"))</f>
        <v>Esquema de comisiones por rango de edad del asegurado</v>
      </c>
      <c r="C86" s="569"/>
      <c r="D86" s="569"/>
      <c r="E86" s="569"/>
      <c r="F86" s="569"/>
      <c r="G86" s="569"/>
      <c r="H86" s="569"/>
      <c r="I86" s="569"/>
      <c r="J86" s="569"/>
      <c r="K86" s="569"/>
      <c r="L86" s="569"/>
      <c r="M86" s="569"/>
      <c r="N86" s="570"/>
    </row>
    <row r="87" spans="1:14" ht="27" customHeight="1" thickBot="1">
      <c r="A87" s="81"/>
      <c r="B87" s="571" t="str">
        <f>IF(LEFT('CAPTURA DP'!B29)="F","",IF('CAPTURA DP'!F20=1,(CONCATENATE("Edad de 0 a 49 años, comisión de : ",ROUND((DATOS!C36*100),2)," %.   ","Edad de 50 a 59 años, comisión de: ",ROUND((DATOS!C37*100),2)," %.   ","Edad de 60 años en adelante, comisión de: ",ROUND((DATOS!C38*100),2)," %.")),CONCATENATE("Comisión del ",ROUND(('CAPTURA DP'!C14*100),2)," % para todas las edades.")))</f>
        <v>Edad de 0 a 49 años, comisión de : 18 %.   Edad de 50 a 59 años, comisión de: 15 %.   Edad de 60 años en adelante, comisión de: 12 %.</v>
      </c>
      <c r="C87" s="572"/>
      <c r="D87" s="572"/>
      <c r="E87" s="572"/>
      <c r="F87" s="572"/>
      <c r="G87" s="572"/>
      <c r="H87" s="572"/>
      <c r="I87" s="572"/>
      <c r="J87" s="572"/>
      <c r="K87" s="572"/>
      <c r="L87" s="572"/>
      <c r="M87" s="572"/>
      <c r="N87" s="573"/>
    </row>
    <row r="88" spans="1:14" ht="11.25" customHeight="1" thickTop="1" thickBot="1">
      <c r="A88" s="81"/>
      <c r="B88" s="247"/>
      <c r="C88" s="247"/>
      <c r="D88" s="247"/>
      <c r="E88" s="247"/>
      <c r="F88" s="247"/>
      <c r="G88" s="244"/>
      <c r="H88" s="242"/>
      <c r="I88" s="242"/>
      <c r="J88" s="242"/>
      <c r="K88" s="247"/>
      <c r="L88" s="247"/>
      <c r="M88" s="247"/>
    </row>
    <row r="89" spans="1:14" ht="18" customHeight="1" thickTop="1">
      <c r="A89" s="81"/>
      <c r="B89" s="568" t="s">
        <v>496</v>
      </c>
      <c r="C89" s="569"/>
      <c r="D89" s="569"/>
      <c r="E89" s="569"/>
      <c r="F89" s="569"/>
      <c r="G89" s="569"/>
      <c r="H89" s="569"/>
      <c r="I89" s="569"/>
      <c r="J89" s="569"/>
      <c r="K89" s="569"/>
      <c r="L89" s="569"/>
      <c r="M89" s="569"/>
      <c r="N89" s="570"/>
    </row>
    <row r="90" spans="1:14" ht="18" customHeight="1">
      <c r="A90" s="81"/>
      <c r="B90" s="574" t="str">
        <f>IF('DATOS GENERALES'!B25="","",'DATOS GENERALES'!B25)</f>
        <v/>
      </c>
      <c r="C90" s="575"/>
      <c r="D90" s="575"/>
      <c r="E90" s="575"/>
      <c r="F90" s="575"/>
      <c r="G90" s="575"/>
      <c r="H90" s="575"/>
      <c r="I90" s="575"/>
      <c r="J90" s="575"/>
      <c r="K90" s="575"/>
      <c r="L90" s="575"/>
      <c r="M90" s="575"/>
      <c r="N90" s="576"/>
    </row>
    <row r="91" spans="1:14" ht="18" customHeight="1">
      <c r="A91" s="81"/>
      <c r="B91" s="577" t="str">
        <f>IF('DATOS GENERALES'!F25="","","Celular para contacto:   "&amp;'DATOS GENERALES'!F25)&amp;IF('DATOS GENERALES'!H25="","","                                          E-mail:    "&amp;'DATOS GENERALES'!H25)</f>
        <v/>
      </c>
      <c r="C91" s="578"/>
      <c r="D91" s="578"/>
      <c r="E91" s="578"/>
      <c r="F91" s="578"/>
      <c r="G91" s="578"/>
      <c r="H91" s="578"/>
      <c r="I91" s="578"/>
      <c r="J91" s="578"/>
      <c r="K91" s="578"/>
      <c r="L91" s="578"/>
      <c r="M91" s="578"/>
      <c r="N91" s="579"/>
    </row>
    <row r="92" spans="1:14" ht="18" customHeight="1" thickBot="1">
      <c r="A92" s="81"/>
      <c r="B92" s="485"/>
      <c r="C92" s="486"/>
      <c r="D92" s="486"/>
      <c r="E92" s="486"/>
      <c r="F92" s="486"/>
      <c r="G92" s="486"/>
      <c r="H92" s="486"/>
      <c r="I92" s="486"/>
      <c r="J92" s="486"/>
      <c r="K92" s="486"/>
      <c r="L92" s="486"/>
      <c r="M92" s="486"/>
      <c r="N92" s="487"/>
    </row>
    <row r="93" spans="1:14" ht="15" thickTop="1">
      <c r="B93" s="268" t="s">
        <v>344</v>
      </c>
      <c r="C93" s="243"/>
      <c r="D93" s="243"/>
      <c r="E93" s="243"/>
      <c r="F93" s="243"/>
      <c r="G93" s="243"/>
      <c r="H93" s="645" t="s">
        <v>339</v>
      </c>
      <c r="I93" s="645"/>
      <c r="J93" s="645"/>
      <c r="K93" s="645"/>
      <c r="L93" s="645"/>
      <c r="M93" s="243"/>
    </row>
    <row r="94" spans="1:14" ht="15" customHeight="1">
      <c r="B94" s="269" t="s">
        <v>345</v>
      </c>
      <c r="C94" s="243"/>
      <c r="D94" s="243"/>
      <c r="E94" s="243"/>
      <c r="F94" s="243"/>
      <c r="G94" s="243"/>
      <c r="H94" s="268" t="s">
        <v>343</v>
      </c>
      <c r="I94" s="242"/>
      <c r="J94" s="242"/>
      <c r="K94" s="242"/>
      <c r="L94" s="242"/>
      <c r="M94" s="243"/>
    </row>
    <row r="95" spans="1:14">
      <c r="H95" s="269" t="s">
        <v>440</v>
      </c>
      <c r="L95" s="247"/>
    </row>
    <row r="96" spans="1:14"/>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sheetData>
  <sheetProtection algorithmName="SHA-512" hashValue="k9ApiJl+22T/GVks9oKt34O3BSpDbchuyxVGLVapXZrDYmwG3AuSsQTMT4Mgz6P9sw89n9TbpFsQULAznv8eJA==" saltValue="UWzFHTQqraqcfdmzWi0o6Q==" spinCount="100000" sheet="1" objects="1" scenarios="1"/>
  <mergeCells count="118">
    <mergeCell ref="B1:N1"/>
    <mergeCell ref="B4:N4"/>
    <mergeCell ref="B3:N3"/>
    <mergeCell ref="H93:L93"/>
    <mergeCell ref="C75:D75"/>
    <mergeCell ref="B6:D6"/>
    <mergeCell ref="B11:D11"/>
    <mergeCell ref="E7:M7"/>
    <mergeCell ref="B5:D5"/>
    <mergeCell ref="B7:D7"/>
    <mergeCell ref="E9:H9"/>
    <mergeCell ref="I9:K9"/>
    <mergeCell ref="L9:M9"/>
    <mergeCell ref="E6:I6"/>
    <mergeCell ref="B10:D10"/>
    <mergeCell ref="E10:H10"/>
    <mergeCell ref="I10:K10"/>
    <mergeCell ref="E11:H11"/>
    <mergeCell ref="I11:K11"/>
    <mergeCell ref="L11:M11"/>
    <mergeCell ref="L10:M10"/>
    <mergeCell ref="C79:D79"/>
    <mergeCell ref="C80:D80"/>
    <mergeCell ref="B17:D17"/>
    <mergeCell ref="C76:D76"/>
    <mergeCell ref="C78:D78"/>
    <mergeCell ref="C70:D70"/>
    <mergeCell ref="C72:D72"/>
    <mergeCell ref="C73:D73"/>
    <mergeCell ref="C60:D60"/>
    <mergeCell ref="C61:D61"/>
    <mergeCell ref="C81:D81"/>
    <mergeCell ref="C67:D67"/>
    <mergeCell ref="C68:D68"/>
    <mergeCell ref="B59:M59"/>
    <mergeCell ref="C63:D63"/>
    <mergeCell ref="C69:D69"/>
    <mergeCell ref="C82:D82"/>
    <mergeCell ref="C64:D64"/>
    <mergeCell ref="B12:D12"/>
    <mergeCell ref="B13:D13"/>
    <mergeCell ref="B14:D14"/>
    <mergeCell ref="B15:D15"/>
    <mergeCell ref="E15:H15"/>
    <mergeCell ref="I15:K15"/>
    <mergeCell ref="L15:M15"/>
    <mergeCell ref="B16:D16"/>
    <mergeCell ref="E16:H16"/>
    <mergeCell ref="I16:K16"/>
    <mergeCell ref="L16:M16"/>
    <mergeCell ref="E12:H12"/>
    <mergeCell ref="E13:H13"/>
    <mergeCell ref="E14:H14"/>
    <mergeCell ref="I12:K12"/>
    <mergeCell ref="I13:K13"/>
    <mergeCell ref="C66:D66"/>
    <mergeCell ref="C74:D74"/>
    <mergeCell ref="B18:D18"/>
    <mergeCell ref="B36:D36"/>
    <mergeCell ref="B37:D37"/>
    <mergeCell ref="B35:D35"/>
    <mergeCell ref="L18:M18"/>
    <mergeCell ref="B19:D19"/>
    <mergeCell ref="B38:D38"/>
    <mergeCell ref="B28:C28"/>
    <mergeCell ref="B29:C29"/>
    <mergeCell ref="E37:G37"/>
    <mergeCell ref="H37:J37"/>
    <mergeCell ref="K37:N37"/>
    <mergeCell ref="B23:C23"/>
    <mergeCell ref="B24:C24"/>
    <mergeCell ref="B30:C30"/>
    <mergeCell ref="B31:C31"/>
    <mergeCell ref="E19:H19"/>
    <mergeCell ref="I19:K19"/>
    <mergeCell ref="L19:M19"/>
    <mergeCell ref="E18:H18"/>
    <mergeCell ref="I18:K18"/>
    <mergeCell ref="K24:M24"/>
    <mergeCell ref="B8:N8"/>
    <mergeCell ref="B21:N21"/>
    <mergeCell ref="B26:N26"/>
    <mergeCell ref="D31:N31"/>
    <mergeCell ref="D28:N28"/>
    <mergeCell ref="D29:N29"/>
    <mergeCell ref="D30:N30"/>
    <mergeCell ref="B33:N33"/>
    <mergeCell ref="I14:K14"/>
    <mergeCell ref="L12:M12"/>
    <mergeCell ref="L13:M13"/>
    <mergeCell ref="L14:M14"/>
    <mergeCell ref="E17:H17"/>
    <mergeCell ref="I17:K17"/>
    <mergeCell ref="L17:M17"/>
    <mergeCell ref="E5:I5"/>
    <mergeCell ref="B48:N48"/>
    <mergeCell ref="B86:N86"/>
    <mergeCell ref="B87:N87"/>
    <mergeCell ref="B89:N89"/>
    <mergeCell ref="B90:N90"/>
    <mergeCell ref="B91:N91"/>
    <mergeCell ref="B83:N83"/>
    <mergeCell ref="B84:N84"/>
    <mergeCell ref="E38:G38"/>
    <mergeCell ref="H38:J38"/>
    <mergeCell ref="K38:N38"/>
    <mergeCell ref="B40:N40"/>
    <mergeCell ref="B42:N42"/>
    <mergeCell ref="B43:N43"/>
    <mergeCell ref="B44:N44"/>
    <mergeCell ref="B45:N45"/>
    <mergeCell ref="B46:N46"/>
    <mergeCell ref="E35:G35"/>
    <mergeCell ref="H35:J35"/>
    <mergeCell ref="K35:N35"/>
    <mergeCell ref="E36:G36"/>
    <mergeCell ref="H36:J36"/>
    <mergeCell ref="K36:N36"/>
  </mergeCells>
  <phoneticPr fontId="9" type="noConversion"/>
  <conditionalFormatting sqref="E13 F25:M25 K23 D28:D30">
    <cfRule type="expression" dxfId="15" priority="125" stopIfTrue="1">
      <formula>"Indicar"</formula>
    </cfRule>
  </conditionalFormatting>
  <conditionalFormatting sqref="C61 C72:C76 C78:C82 C63:C64 C66:C70">
    <cfRule type="expression" dxfId="14" priority="152" stopIfTrue="1">
      <formula>#REF!&lt;&gt;""</formula>
    </cfRule>
  </conditionalFormatting>
  <conditionalFormatting sqref="L11:M11">
    <cfRule type="expression" dxfId="13" priority="44">
      <formula>$L$11="El deducible mínimo para Elite es 5 UMAM"</formula>
    </cfRule>
  </conditionalFormatting>
  <conditionalFormatting sqref="C51:D58">
    <cfRule type="cellIs" dxfId="12" priority="41" stopIfTrue="1" operator="notEqual">
      <formula>""</formula>
    </cfRule>
  </conditionalFormatting>
  <conditionalFormatting sqref="C51:C58">
    <cfRule type="expression" dxfId="11" priority="42" stopIfTrue="1">
      <formula>$D51&lt;&gt;""</formula>
    </cfRule>
  </conditionalFormatting>
  <conditionalFormatting sqref="G51:G58">
    <cfRule type="cellIs" dxfId="10" priority="40" stopIfTrue="1" operator="notEqual">
      <formula>""</formula>
    </cfRule>
  </conditionalFormatting>
  <conditionalFormatting sqref="J51:J58">
    <cfRule type="cellIs" dxfId="9" priority="38" stopIfTrue="1" operator="notEqual">
      <formula>""</formula>
    </cfRule>
  </conditionalFormatting>
  <conditionalFormatting sqref="M51:M58">
    <cfRule type="cellIs" dxfId="8" priority="36" stopIfTrue="1" operator="notEqual">
      <formula>""</formula>
    </cfRule>
  </conditionalFormatting>
  <conditionalFormatting sqref="I13">
    <cfRule type="expression" dxfId="7" priority="31" stopIfTrue="1">
      <formula>"Indicar"</formula>
    </cfRule>
  </conditionalFormatting>
  <conditionalFormatting sqref="L13">
    <cfRule type="expression" dxfId="6" priority="30" stopIfTrue="1">
      <formula>"Indicar"</formula>
    </cfRule>
  </conditionalFormatting>
  <conditionalFormatting sqref="E34:M34">
    <cfRule type="expression" dxfId="5" priority="23" stopIfTrue="1">
      <formula>"Indicar"</formula>
    </cfRule>
  </conditionalFormatting>
  <conditionalFormatting sqref="E47:M47">
    <cfRule type="expression" dxfId="4" priority="10" stopIfTrue="1">
      <formula>"Indicar"</formula>
    </cfRule>
  </conditionalFormatting>
  <conditionalFormatting sqref="G60:G61 G63:G64 G66:G70 G72:G76 G78:G82">
    <cfRule type="expression" dxfId="3" priority="154">
      <formula>$G$49=""</formula>
    </cfRule>
  </conditionalFormatting>
  <conditionalFormatting sqref="J60:J61 J63:J64 J66:J70 J72:J76 J78:J82">
    <cfRule type="expression" dxfId="2" priority="155">
      <formula>$J$49=""</formula>
    </cfRule>
  </conditionalFormatting>
  <conditionalFormatting sqref="M60:M61 M63:M64 M66:M70 M72:M76 M78:M82">
    <cfRule type="expression" dxfId="1" priority="156">
      <formula>$M$49=""</formula>
    </cfRule>
  </conditionalFormatting>
  <conditionalFormatting sqref="D31:D32">
    <cfRule type="expression" dxfId="0" priority="1" stopIfTrue="1">
      <formula>"Indicar"</formula>
    </cfRule>
  </conditionalFormatting>
  <hyperlinks>
    <hyperlink ref="H95" r:id="rId1"/>
    <hyperlink ref="B94" r:id="rId2"/>
  </hyperlinks>
  <printOptions horizontalCentered="1"/>
  <pageMargins left="0.15748031496062992" right="0.15748031496062992" top="0.82677165354330717" bottom="0.43307086614173229" header="0.27559055118110237" footer="0.23622047244094491"/>
  <pageSetup paperSize="9" scale="59" fitToHeight="2" orientation="portrait" r:id="rId3"/>
  <headerFooter alignWithMargins="0">
    <oddFooter>&amp;L&amp;"Book Antiqua,Normal"&amp;7&amp;K000000&amp;F / &amp;A
Cotización elaborada el : &amp;D&amp;C&amp;P&amp;R&amp;"Book Antiqua,Normal"&amp;7Cotizador de G.M.M.I.
Versión: TARIFA JULIO 2024 V.1</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BE235"/>
  <sheetViews>
    <sheetView zoomScaleNormal="100" workbookViewId="0">
      <pane ySplit="3" topLeftCell="A4" activePane="bottomLeft" state="frozen"/>
      <selection pane="bottomLeft" activeCell="B12" sqref="B12"/>
    </sheetView>
  </sheetViews>
  <sheetFormatPr baseColWidth="10" defaultColWidth="6" defaultRowHeight="14.5"/>
  <cols>
    <col min="1" max="1" width="35.54296875" style="23" bestFit="1" customWidth="1"/>
    <col min="2" max="2" width="13.1796875" style="23" bestFit="1" customWidth="1"/>
    <col min="3" max="3" width="25.81640625" style="23" bestFit="1" customWidth="1"/>
    <col min="4" max="4" width="13.1796875" style="23" customWidth="1"/>
    <col min="5" max="5" width="8.26953125" style="23" customWidth="1"/>
    <col min="6" max="6" width="12.7265625" style="23" bestFit="1" customWidth="1"/>
    <col min="7" max="7" width="20" style="23" bestFit="1" customWidth="1"/>
    <col min="8" max="8" width="8.26953125" style="23" customWidth="1"/>
    <col min="9" max="9" width="10.7265625" style="23" bestFit="1" customWidth="1"/>
    <col min="10" max="10" width="11.26953125" style="23" customWidth="1"/>
    <col min="11" max="11" width="14.54296875" style="23" customWidth="1"/>
    <col min="12" max="12" width="13.1796875" style="23" customWidth="1"/>
    <col min="13" max="13" width="10.81640625" style="23" customWidth="1"/>
    <col min="14" max="14" width="10.54296875" style="23" bestFit="1" customWidth="1"/>
    <col min="15" max="15" width="11.26953125" style="23" customWidth="1"/>
    <col min="16" max="17" width="12.453125" style="23" bestFit="1" customWidth="1"/>
    <col min="18" max="18" width="4.54296875" style="23" customWidth="1"/>
    <col min="19" max="19" width="9.81640625" style="23" customWidth="1"/>
    <col min="20" max="20" width="19.26953125" style="23" customWidth="1"/>
    <col min="21" max="21" width="14.54296875" style="23" bestFit="1" customWidth="1"/>
    <col min="22" max="22" width="12.81640625" style="23" customWidth="1"/>
    <col min="23" max="23" width="24" style="23" bestFit="1" customWidth="1"/>
    <col min="24" max="24" width="22.81640625" style="23" bestFit="1" customWidth="1"/>
    <col min="25" max="25" width="19.453125" style="23" bestFit="1" customWidth="1"/>
    <col min="26" max="26" width="16.7265625" style="23" customWidth="1"/>
    <col min="27" max="27" width="9.453125" style="23" customWidth="1"/>
    <col min="28" max="28" width="15.54296875" style="23" bestFit="1" customWidth="1"/>
    <col min="29" max="29" width="39.54296875" style="23" customWidth="1"/>
    <col min="30" max="30" width="18.1796875" style="23" customWidth="1"/>
    <col min="31" max="31" width="4.54296875" style="23" customWidth="1"/>
    <col min="32" max="32" width="10.7265625" style="23" customWidth="1"/>
    <col min="33" max="33" width="14.453125" style="23" customWidth="1"/>
    <col min="34" max="34" width="10.7265625" style="23" customWidth="1"/>
    <col min="35" max="35" width="4.54296875" style="23" customWidth="1"/>
    <col min="36" max="36" width="10" style="23" customWidth="1"/>
    <col min="37" max="37" width="9" style="23" bestFit="1" customWidth="1"/>
    <col min="38" max="38" width="19.26953125" style="23" customWidth="1"/>
    <col min="39" max="39" width="6" style="23"/>
    <col min="40" max="40" width="33.26953125" style="23" bestFit="1" customWidth="1"/>
    <col min="41" max="41" width="10.81640625" style="23" customWidth="1"/>
    <col min="42" max="42" width="6" style="23"/>
    <col min="43" max="43" width="12.1796875" style="23" bestFit="1" customWidth="1"/>
    <col min="44" max="44" width="16.453125" style="23" bestFit="1" customWidth="1"/>
    <col min="45" max="45" width="18.1796875" style="23" bestFit="1" customWidth="1"/>
    <col min="46" max="46" width="6" style="23"/>
    <col min="47" max="47" width="10.81640625" style="23" customWidth="1"/>
    <col min="48" max="48" width="29.7265625" style="23" bestFit="1" customWidth="1"/>
    <col min="49" max="49" width="69.81640625" style="23" bestFit="1" customWidth="1"/>
    <col min="50" max="50" width="10.26953125" style="23" customWidth="1"/>
    <col min="51" max="51" width="13.7265625" style="23" customWidth="1"/>
    <col min="52" max="52" width="6" style="23"/>
    <col min="53" max="53" width="19" style="23" bestFit="1" customWidth="1"/>
    <col min="54" max="54" width="7.453125" style="23" bestFit="1" customWidth="1"/>
    <col min="55" max="55" width="10.26953125" style="23" bestFit="1" customWidth="1"/>
    <col min="56" max="56" width="5.1796875" style="23" bestFit="1" customWidth="1"/>
    <col min="57" max="57" width="5.26953125" style="23" customWidth="1"/>
    <col min="58" max="58" width="24" style="23" customWidth="1"/>
    <col min="59" max="16384" width="6" style="23"/>
  </cols>
  <sheetData>
    <row r="1" spans="1:57">
      <c r="A1"/>
      <c r="B1"/>
      <c r="I1" s="23" t="s">
        <v>428</v>
      </c>
      <c r="L1" s="23" t="s">
        <v>391</v>
      </c>
      <c r="Y1" s="23" t="s">
        <v>391</v>
      </c>
      <c r="Z1" s="23" t="s">
        <v>391</v>
      </c>
      <c r="BA1" s="23" t="s">
        <v>413</v>
      </c>
      <c r="BB1" s="23">
        <f>b</f>
        <v>1</v>
      </c>
      <c r="BC1" s="23" t="s">
        <v>417</v>
      </c>
      <c r="BD1" s="23" t="s">
        <v>421</v>
      </c>
      <c r="BE1" s="23" t="s">
        <v>416</v>
      </c>
    </row>
    <row r="2" spans="1:57">
      <c r="F2" s="54"/>
      <c r="G2" s="54"/>
      <c r="H2" s="54"/>
      <c r="I2" s="23" t="s">
        <v>429</v>
      </c>
      <c r="J2" s="55"/>
      <c r="K2" s="55"/>
      <c r="L2" s="23" t="s">
        <v>396</v>
      </c>
      <c r="P2" s="62" t="s">
        <v>322</v>
      </c>
      <c r="Q2" s="62" t="s">
        <v>323</v>
      </c>
      <c r="V2" s="57"/>
      <c r="W2" s="57"/>
      <c r="X2" s="57"/>
      <c r="Y2" s="23" t="s">
        <v>396</v>
      </c>
      <c r="Z2" s="23" t="s">
        <v>396</v>
      </c>
      <c r="AV2" s="23">
        <f>+VLOOKUP('CAPTURA DP'!B5,DATOS!$S$4:$Y$51,7,0)</f>
        <v>0</v>
      </c>
      <c r="BA2" s="23" t="s">
        <v>419</v>
      </c>
      <c r="BB2" s="23">
        <f>p</f>
        <v>3</v>
      </c>
      <c r="BD2" s="23" t="s">
        <v>422</v>
      </c>
      <c r="BE2" s="23" t="s">
        <v>418</v>
      </c>
    </row>
    <row r="3" spans="1:57" ht="31">
      <c r="A3" s="286" t="s">
        <v>356</v>
      </c>
      <c r="B3" s="286" t="s">
        <v>355</v>
      </c>
      <c r="C3" s="286" t="s">
        <v>354</v>
      </c>
      <c r="D3" s="279" t="s">
        <v>479</v>
      </c>
      <c r="E3" s="280" t="s">
        <v>356</v>
      </c>
      <c r="F3" s="280" t="s">
        <v>59</v>
      </c>
      <c r="G3" s="280" t="s">
        <v>362</v>
      </c>
      <c r="H3" s="280" t="s">
        <v>356</v>
      </c>
      <c r="I3" s="280" t="s">
        <v>365</v>
      </c>
      <c r="J3" s="280" t="s">
        <v>363</v>
      </c>
      <c r="K3" s="280" t="s">
        <v>364</v>
      </c>
      <c r="L3" s="280" t="s">
        <v>390</v>
      </c>
      <c r="M3" s="281" t="s">
        <v>356</v>
      </c>
      <c r="N3" s="281" t="s">
        <v>86</v>
      </c>
      <c r="O3" s="281" t="s">
        <v>366</v>
      </c>
      <c r="P3" s="281" t="s">
        <v>350</v>
      </c>
      <c r="Q3" s="281" t="s">
        <v>351</v>
      </c>
      <c r="R3" s="279"/>
      <c r="S3" s="282" t="s">
        <v>356</v>
      </c>
      <c r="T3" s="282" t="s">
        <v>355</v>
      </c>
      <c r="U3" s="282" t="s">
        <v>357</v>
      </c>
      <c r="V3" s="282" t="s">
        <v>358</v>
      </c>
      <c r="W3" s="282" t="s">
        <v>359</v>
      </c>
      <c r="X3" s="282" t="s">
        <v>360</v>
      </c>
      <c r="Y3" s="282" t="s">
        <v>361</v>
      </c>
      <c r="Z3" s="282" t="s">
        <v>490</v>
      </c>
      <c r="AA3" s="283" t="s">
        <v>356</v>
      </c>
      <c r="AB3" s="283" t="s">
        <v>85</v>
      </c>
      <c r="AC3" s="283" t="s">
        <v>85</v>
      </c>
      <c r="AD3" s="283" t="s">
        <v>267</v>
      </c>
      <c r="AE3" s="279"/>
      <c r="AF3" s="292"/>
      <c r="AG3" s="292"/>
      <c r="AH3" s="292" t="s">
        <v>367</v>
      </c>
      <c r="AI3" s="279"/>
      <c r="AJ3" s="292"/>
      <c r="AK3" s="292"/>
      <c r="AL3" s="292" t="s">
        <v>368</v>
      </c>
      <c r="AM3" s="279"/>
      <c r="AN3" s="284" t="s">
        <v>74</v>
      </c>
      <c r="AO3" s="284" t="s">
        <v>352</v>
      </c>
      <c r="AP3" s="279"/>
      <c r="AQ3" s="656" t="s">
        <v>76</v>
      </c>
      <c r="AR3" s="656"/>
      <c r="AS3" s="656"/>
      <c r="AT3" s="279"/>
      <c r="AU3" s="285" t="s">
        <v>356</v>
      </c>
      <c r="AV3" s="285" t="s">
        <v>355</v>
      </c>
      <c r="AW3" s="285" t="s">
        <v>354</v>
      </c>
      <c r="AX3" s="285" t="s">
        <v>388</v>
      </c>
      <c r="AY3" s="285" t="s">
        <v>389</v>
      </c>
      <c r="BA3" s="356" t="s">
        <v>409</v>
      </c>
      <c r="BB3" s="356" t="s">
        <v>410</v>
      </c>
      <c r="BC3" s="356" t="s">
        <v>411</v>
      </c>
      <c r="BD3" s="356" t="s">
        <v>412</v>
      </c>
    </row>
    <row r="4" spans="1:57">
      <c r="A4" s="287">
        <v>1</v>
      </c>
      <c r="B4" s="287" t="s">
        <v>231</v>
      </c>
      <c r="C4" s="287" t="s">
        <v>371</v>
      </c>
      <c r="D4" s="23">
        <v>182</v>
      </c>
      <c r="E4" s="61">
        <v>1</v>
      </c>
      <c r="F4" s="369">
        <v>0.05</v>
      </c>
      <c r="G4" s="323">
        <f>IF('CAPTURA DP'!$B$4&gt;=4,1,1.0556)</f>
        <v>1.0556000000000001</v>
      </c>
      <c r="H4" s="61">
        <v>1</v>
      </c>
      <c r="I4" s="61" t="str">
        <f>+E4&amp;H4</f>
        <v>11</v>
      </c>
      <c r="J4" s="274">
        <f>IF(p&gt;=4,2000,0)</f>
        <v>0</v>
      </c>
      <c r="K4" s="267">
        <v>1</v>
      </c>
      <c r="L4" s="61">
        <f t="shared" ref="L4:L23" si="0">+IF(b=2,1,0)</f>
        <v>0</v>
      </c>
      <c r="M4" s="62">
        <v>1</v>
      </c>
      <c r="N4" s="62">
        <v>1</v>
      </c>
      <c r="O4" s="355">
        <f>+Q4</f>
        <v>2.022513</v>
      </c>
      <c r="P4" s="363">
        <v>2.0099580000000001</v>
      </c>
      <c r="Q4" s="363">
        <v>2.022513</v>
      </c>
      <c r="R4" s="275"/>
      <c r="S4" s="290">
        <v>1</v>
      </c>
      <c r="T4" s="290" t="s">
        <v>290</v>
      </c>
      <c r="U4" s="290" t="s">
        <v>121</v>
      </c>
      <c r="V4" s="290" t="s">
        <v>13</v>
      </c>
      <c r="W4" s="382">
        <v>46.15</v>
      </c>
      <c r="X4" s="290">
        <v>88</v>
      </c>
      <c r="Y4" s="290">
        <v>0</v>
      </c>
      <c r="Z4" s="290">
        <f>+IF(p&gt;3,0,1)</f>
        <v>1</v>
      </c>
      <c r="AA4" s="63">
        <v>1</v>
      </c>
      <c r="AB4" s="318">
        <v>200</v>
      </c>
      <c r="AC4" s="249" t="str">
        <f>+IF('CAPTURA DP'!B4&lt;=3," 200  UMAM ","1,000,000 Dlls")</f>
        <v xml:space="preserve"> 200  UMAM </v>
      </c>
      <c r="AD4" s="276">
        <v>1</v>
      </c>
      <c r="AE4" s="277"/>
      <c r="AF4" s="293">
        <v>1</v>
      </c>
      <c r="AG4" s="294">
        <v>0.05</v>
      </c>
      <c r="AH4" s="294">
        <f>+IF('CAPTURA DP'!$B$4&gt;3,"10%",AG4)</f>
        <v>0.05</v>
      </c>
      <c r="AI4" s="277"/>
      <c r="AJ4" s="293">
        <v>1</v>
      </c>
      <c r="AK4" s="365">
        <f>+IF(p&gt;=4,2000,0)</f>
        <v>0</v>
      </c>
      <c r="AL4" s="293" t="str">
        <f>+IF(p&gt;=4,"2,000 Dlls","Sin Tope")</f>
        <v>Sin Tope</v>
      </c>
      <c r="AN4" s="64" t="s">
        <v>71</v>
      </c>
      <c r="AO4" s="65">
        <v>0</v>
      </c>
      <c r="AQ4" s="657" t="s">
        <v>70</v>
      </c>
      <c r="AR4" s="657"/>
      <c r="AS4" s="658" t="s">
        <v>353</v>
      </c>
      <c r="AU4" s="67">
        <v>1</v>
      </c>
      <c r="AV4" s="67" t="s">
        <v>531</v>
      </c>
      <c r="AW4" s="67" t="s">
        <v>531</v>
      </c>
      <c r="AX4" s="67">
        <v>1</v>
      </c>
      <c r="AY4" s="67">
        <v>1</v>
      </c>
      <c r="BA4" s="357" t="s">
        <v>414</v>
      </c>
      <c r="BB4" s="357">
        <f>+IF(b=2,1,0)</f>
        <v>0</v>
      </c>
      <c r="BC4" s="357">
        <v>0</v>
      </c>
      <c r="BD4" s="357">
        <f>+IF(b=2,1,0)</f>
        <v>0</v>
      </c>
    </row>
    <row r="5" spans="1:57">
      <c r="A5" s="287">
        <v>2</v>
      </c>
      <c r="B5" s="287" t="s">
        <v>63</v>
      </c>
      <c r="C5" s="287" t="s">
        <v>372</v>
      </c>
      <c r="D5" s="23">
        <v>183</v>
      </c>
      <c r="E5" s="61">
        <v>1</v>
      </c>
      <c r="F5" s="369">
        <v>0.05</v>
      </c>
      <c r="G5" s="323">
        <f>IF('CAPTURA DP'!$B$4&gt;=4,1,1.0556)</f>
        <v>1.0556000000000001</v>
      </c>
      <c r="H5" s="61">
        <v>2</v>
      </c>
      <c r="I5" s="61" t="str">
        <f t="shared" ref="I5:I69" si="1">+E5&amp;H5</f>
        <v>12</v>
      </c>
      <c r="J5" s="274">
        <f>IF(p&gt;=4,3000,10000)</f>
        <v>10000</v>
      </c>
      <c r="K5" s="267">
        <f>IF(p&gt;=4,0.94,1.116901)</f>
        <v>1.1169009999999999</v>
      </c>
      <c r="L5" s="61">
        <f t="shared" si="0"/>
        <v>0</v>
      </c>
      <c r="M5" s="62">
        <v>2</v>
      </c>
      <c r="N5" s="62">
        <v>2</v>
      </c>
      <c r="O5" s="355">
        <f>+Q5</f>
        <v>1.771185</v>
      </c>
      <c r="P5" s="363">
        <v>1.750095</v>
      </c>
      <c r="Q5" s="363">
        <v>1.771185</v>
      </c>
      <c r="R5" s="275"/>
      <c r="S5" s="290">
        <v>2</v>
      </c>
      <c r="T5" s="290" t="s">
        <v>338</v>
      </c>
      <c r="U5" s="290" t="s">
        <v>12</v>
      </c>
      <c r="V5" s="290" t="s">
        <v>13</v>
      </c>
      <c r="W5" s="382">
        <v>46</v>
      </c>
      <c r="X5" s="290">
        <v>88</v>
      </c>
      <c r="Y5" s="290">
        <v>1</v>
      </c>
      <c r="Z5" s="290">
        <f t="shared" ref="Z5:Z13" si="2">+IF(p&gt;3,0,1)</f>
        <v>1</v>
      </c>
      <c r="AA5" s="63">
        <v>2</v>
      </c>
      <c r="AB5" s="318">
        <v>220</v>
      </c>
      <c r="AC5" s="249" t="str">
        <f>+IF('CAPTURA DP'!B4&lt;=3," 220  UMAM ","2,000,000 Dlls")</f>
        <v xml:space="preserve"> 220  UMAM </v>
      </c>
      <c r="AD5" s="276">
        <f>+IF('CAPTURA DP'!B4&lt;=3,1.0061,1.041)</f>
        <v>1.0061</v>
      </c>
      <c r="AE5" s="277"/>
      <c r="AF5" s="293">
        <v>2</v>
      </c>
      <c r="AG5" s="294">
        <v>0.1</v>
      </c>
      <c r="AH5" s="294">
        <f>+IF('CAPTURA DP'!$B$4&gt;3,"",AG5)</f>
        <v>0.1</v>
      </c>
      <c r="AI5" s="277"/>
      <c r="AJ5" s="293">
        <v>2</v>
      </c>
      <c r="AK5" s="365">
        <f>+IF(p&gt;=4,3000,10000)</f>
        <v>10000</v>
      </c>
      <c r="AL5" s="293" t="str">
        <f>+IF(p&gt;=4,"3,000 Dlls","10,000 M.N.")</f>
        <v>10,000 M.N.</v>
      </c>
      <c r="AN5" s="64" t="s">
        <v>72</v>
      </c>
      <c r="AO5" s="65">
        <v>0.05</v>
      </c>
      <c r="AQ5" s="278" t="s">
        <v>78</v>
      </c>
      <c r="AR5" s="278" t="s">
        <v>79</v>
      </c>
      <c r="AS5" s="658"/>
      <c r="AU5" s="67">
        <v>2</v>
      </c>
      <c r="AV5" s="67" t="s">
        <v>532</v>
      </c>
      <c r="AW5" s="67" t="s">
        <v>532</v>
      </c>
      <c r="AX5" s="67">
        <v>1.1093</v>
      </c>
      <c r="AY5" s="67">
        <v>1.1043000000000001</v>
      </c>
      <c r="BA5" s="357" t="s">
        <v>415</v>
      </c>
      <c r="BB5" s="357">
        <f>+IF(AND(b=1,p&lt;=3,'DATOS GENERALES'!C17&lt;5),1,(IF('DATOS GENERALES'!F39&lt;&gt;"",1,0)))</f>
        <v>0</v>
      </c>
      <c r="BC5" s="357">
        <f>+IF(AND(b=1,p&lt;=3,'DATOS GENERALES'!C17&lt;6),1,(IF('DATOS GENERALES'!F39&lt;&gt;"",1,0)))</f>
        <v>0</v>
      </c>
      <c r="BD5" s="357">
        <f>+IF(AND(b=1,p&lt;=3,'DATOS GENERALES'!C17&lt;7),1,(IF('DATOS GENERALES'!F39&lt;&gt;"",1,0)))</f>
        <v>0</v>
      </c>
    </row>
    <row r="6" spans="1:57">
      <c r="A6" s="287">
        <v>3</v>
      </c>
      <c r="B6" s="287" t="s">
        <v>230</v>
      </c>
      <c r="C6" s="287" t="s">
        <v>373</v>
      </c>
      <c r="D6" s="23">
        <v>184</v>
      </c>
      <c r="E6" s="61">
        <v>1</v>
      </c>
      <c r="F6" s="369">
        <v>0.05</v>
      </c>
      <c r="G6" s="323">
        <f>IF('CAPTURA DP'!$B$4&gt;=4,1,1.0556)</f>
        <v>1.0556000000000001</v>
      </c>
      <c r="H6" s="61">
        <v>3</v>
      </c>
      <c r="I6" s="61" t="str">
        <f t="shared" si="1"/>
        <v>13</v>
      </c>
      <c r="J6" s="274">
        <f>IF(p&gt;=4,4000,15000)</f>
        <v>15000</v>
      </c>
      <c r="K6" s="267">
        <f>IF(p&gt;=4,0.92,1.048432)</f>
        <v>1.048432</v>
      </c>
      <c r="L6" s="61">
        <f t="shared" si="0"/>
        <v>0</v>
      </c>
      <c r="M6" s="62">
        <v>3</v>
      </c>
      <c r="N6" s="62">
        <v>3</v>
      </c>
      <c r="O6" s="355">
        <f>+Q6</f>
        <v>1.537979</v>
      </c>
      <c r="P6" s="363">
        <v>1.5119640000000001</v>
      </c>
      <c r="Q6" s="363">
        <v>1.537979</v>
      </c>
      <c r="R6" s="275"/>
      <c r="S6" s="290">
        <v>3</v>
      </c>
      <c r="T6" s="290" t="s">
        <v>324</v>
      </c>
      <c r="U6" s="290" t="s">
        <v>308</v>
      </c>
      <c r="V6" s="290" t="s">
        <v>15</v>
      </c>
      <c r="W6" s="382">
        <v>46.15</v>
      </c>
      <c r="X6" s="290">
        <v>88</v>
      </c>
      <c r="Y6" s="290">
        <v>0</v>
      </c>
      <c r="Z6" s="290">
        <f t="shared" si="2"/>
        <v>1</v>
      </c>
      <c r="AA6" s="63">
        <v>3</v>
      </c>
      <c r="AB6" s="318">
        <v>250</v>
      </c>
      <c r="AC6" s="249" t="str">
        <f>+IF('CAPTURA DP'!B4&lt;=3," 250  UMAM ","3,000,000 Dlls")</f>
        <v xml:space="preserve"> 250  UMAM </v>
      </c>
      <c r="AD6" s="276">
        <f>+IF('CAPTURA DP'!B4&lt;=3,1.0154,1.065)</f>
        <v>1.0154000000000001</v>
      </c>
      <c r="AE6" s="277"/>
      <c r="AF6" s="293">
        <v>3</v>
      </c>
      <c r="AG6" s="294">
        <v>0.15</v>
      </c>
      <c r="AH6" s="294">
        <f>+IF('CAPTURA DP'!$B$4&gt;3,"",AG6)</f>
        <v>0.15</v>
      </c>
      <c r="AI6" s="277"/>
      <c r="AJ6" s="293">
        <v>3</v>
      </c>
      <c r="AK6" s="365">
        <f>+IF(p&gt;=4,4000,15000)</f>
        <v>15000</v>
      </c>
      <c r="AL6" s="293" t="str">
        <f>+IF(p&gt;=4,"4,000 Dlls","15,000 M.N.")</f>
        <v>15,000 M.N.</v>
      </c>
      <c r="AN6" s="64" t="s">
        <v>75</v>
      </c>
      <c r="AO6" s="65">
        <v>7.4999999999999997E-2</v>
      </c>
      <c r="AQ6" s="68">
        <v>0</v>
      </c>
      <c r="AR6" s="68">
        <v>1000</v>
      </c>
      <c r="AS6" s="69">
        <f>440+100</f>
        <v>540</v>
      </c>
      <c r="AU6" s="67">
        <v>3</v>
      </c>
      <c r="AV6" s="67" t="s">
        <v>533</v>
      </c>
      <c r="AW6" s="67" t="s">
        <v>533</v>
      </c>
      <c r="AX6" s="67">
        <v>1.2184999999999999</v>
      </c>
      <c r="AY6" s="67">
        <v>1.2008000000000001</v>
      </c>
      <c r="BA6" s="357" t="s">
        <v>380</v>
      </c>
      <c r="BB6" s="357">
        <f>+IF(AND(b=1,p&lt;=3,'CAPTURA DP'!B9=1),0,(IF(AND(b=1,p&lt;=3,'CAPTURA DP'!B9&lt;10),1,0)))</f>
        <v>0</v>
      </c>
      <c r="BC6" s="357">
        <f>+IF(AND(b=1,p&lt;=3,'CAPTURA DP'!B9=1),0,(IF(AND(b=1,p&lt;=3,'CAPTURA DP'!B9&lt;12),1,0)))</f>
        <v>0</v>
      </c>
      <c r="BD6" s="357">
        <f>+IF(AND(b=1,p&lt;=3,'CAPTURA DP'!B9=1),0,(IF(AND(b=1,p&lt;=3,'CAPTURA DP'!B9&lt;14),1,0)))</f>
        <v>0</v>
      </c>
    </row>
    <row r="7" spans="1:57">
      <c r="A7" s="287">
        <v>4</v>
      </c>
      <c r="B7" s="287" t="s">
        <v>427</v>
      </c>
      <c r="C7" s="287" t="s">
        <v>439</v>
      </c>
      <c r="D7" s="23">
        <v>188</v>
      </c>
      <c r="E7" s="61">
        <v>1</v>
      </c>
      <c r="F7" s="369">
        <v>0.05</v>
      </c>
      <c r="G7" s="323">
        <f>IF('CAPTURA DP'!$B$4&gt;=4,1,1.0556)</f>
        <v>1.0556000000000001</v>
      </c>
      <c r="H7" s="61">
        <v>4</v>
      </c>
      <c r="I7" s="61" t="str">
        <f t="shared" si="1"/>
        <v>14</v>
      </c>
      <c r="J7" s="274">
        <f>IF(p&gt;=4,4500,20000)</f>
        <v>20000</v>
      </c>
      <c r="K7" s="267">
        <f>IF(p&gt;=4,0.91,1.045905)</f>
        <v>1.0459050000000001</v>
      </c>
      <c r="L7" s="61">
        <f t="shared" si="0"/>
        <v>0</v>
      </c>
      <c r="M7" s="62">
        <v>4</v>
      </c>
      <c r="N7" s="62">
        <v>4</v>
      </c>
      <c r="O7" s="355">
        <f>+Q7</f>
        <v>1.351199</v>
      </c>
      <c r="P7" s="363">
        <v>1.3349960000000001</v>
      </c>
      <c r="Q7" s="363">
        <v>1.351199</v>
      </c>
      <c r="R7" s="275"/>
      <c r="S7" s="290">
        <v>4</v>
      </c>
      <c r="T7" s="290" t="s">
        <v>269</v>
      </c>
      <c r="U7" s="290" t="s">
        <v>82</v>
      </c>
      <c r="V7" s="290" t="s">
        <v>13</v>
      </c>
      <c r="W7" s="382">
        <v>46</v>
      </c>
      <c r="X7" s="290">
        <v>88</v>
      </c>
      <c r="Y7" s="290">
        <v>1</v>
      </c>
      <c r="Z7" s="290">
        <f t="shared" si="2"/>
        <v>1</v>
      </c>
      <c r="AA7" s="63">
        <v>4</v>
      </c>
      <c r="AB7" s="318">
        <v>300</v>
      </c>
      <c r="AC7" s="249" t="str">
        <f>+IF('CAPTURA DP'!B4&lt;=3," 300  UMAM ","4,000,000 Dlls")</f>
        <v xml:space="preserve"> 300  UMAM </v>
      </c>
      <c r="AD7" s="276">
        <f>+IF('CAPTURA DP'!B4&lt;=3,1.0307,1.082)</f>
        <v>1.0306999999999999</v>
      </c>
      <c r="AE7" s="277"/>
      <c r="AF7" s="293">
        <v>4</v>
      </c>
      <c r="AG7" s="294">
        <v>0.2</v>
      </c>
      <c r="AH7" s="294">
        <f>+IF('CAPTURA DP'!$B$4&gt;3,"",AG7)</f>
        <v>0.2</v>
      </c>
      <c r="AI7" s="277"/>
      <c r="AJ7" s="293">
        <v>4</v>
      </c>
      <c r="AK7" s="365">
        <f>+IF(p&gt;=4,4500,20000)</f>
        <v>20000</v>
      </c>
      <c r="AL7" s="293" t="str">
        <f>+IF(p&gt;=4,"4,500 Dlls","20,000 M.N.")</f>
        <v>20,000 M.N.</v>
      </c>
      <c r="AN7" s="64" t="s">
        <v>73</v>
      </c>
      <c r="AO7" s="65">
        <v>0.09</v>
      </c>
      <c r="AQ7" s="68">
        <f>+AR6+1</f>
        <v>1001</v>
      </c>
      <c r="AR7" s="68">
        <v>5000</v>
      </c>
      <c r="AS7" s="69">
        <f>440+100</f>
        <v>540</v>
      </c>
      <c r="AU7" s="67">
        <v>4</v>
      </c>
      <c r="AV7" s="67" t="str">
        <f>IF('CAPTURA DP'!F18="SI","Base + 200%",IF(AV2=0,"","Base - 25%"))</f>
        <v/>
      </c>
      <c r="AW7" s="67" t="str">
        <f>IF('CAPTURA DP'!F18="SI","Base + 200%",IF(AV2=0,"","Base - 25%"))</f>
        <v/>
      </c>
      <c r="AX7" s="67">
        <v>0.94540000000000002</v>
      </c>
      <c r="AY7" s="67">
        <v>1.4016999999999999</v>
      </c>
      <c r="BA7" s="357" t="s">
        <v>85</v>
      </c>
      <c r="BB7" s="357">
        <v>0</v>
      </c>
      <c r="BC7" s="357">
        <f>+IF('DATOS GENERALES'!A16="La Suma Asegurada seleccionada solo aplica para plan Óptimo.",1,0)</f>
        <v>0</v>
      </c>
      <c r="BD7" s="357">
        <f>+IF('DATOS GENERALES'!A16="La Suma Asegurada seleccionada solo aplica para plan Óptimo.",1,0)</f>
        <v>0</v>
      </c>
    </row>
    <row r="8" spans="1:57">
      <c r="A8" s="287">
        <v>5</v>
      </c>
      <c r="B8" s="287" t="s">
        <v>438</v>
      </c>
      <c r="C8" s="287" t="s">
        <v>439</v>
      </c>
      <c r="D8" s="23">
        <v>189</v>
      </c>
      <c r="E8" s="61">
        <v>1</v>
      </c>
      <c r="F8" s="369">
        <v>0.05</v>
      </c>
      <c r="G8" s="323">
        <f>IF('CAPTURA DP'!$B$4&gt;=4,1,1.0556)</f>
        <v>1.0556000000000001</v>
      </c>
      <c r="H8" s="61">
        <v>5</v>
      </c>
      <c r="I8" s="61" t="str">
        <f t="shared" si="1"/>
        <v>15</v>
      </c>
      <c r="J8" s="274">
        <f>IF(p&gt;=4,5000,25000)</f>
        <v>25000</v>
      </c>
      <c r="K8" s="267">
        <f>IF(p&gt;=4,0.9,1.04492)</f>
        <v>1.0449200000000001</v>
      </c>
      <c r="L8" s="61">
        <f t="shared" si="0"/>
        <v>0</v>
      </c>
      <c r="M8" s="62">
        <v>5</v>
      </c>
      <c r="N8" s="62">
        <v>5</v>
      </c>
      <c r="O8" s="355">
        <f>+Q8</f>
        <v>1</v>
      </c>
      <c r="P8" s="363">
        <v>0.98</v>
      </c>
      <c r="Q8" s="363">
        <v>1</v>
      </c>
      <c r="R8" s="275"/>
      <c r="S8" s="290">
        <v>5</v>
      </c>
      <c r="T8" s="290" t="s">
        <v>270</v>
      </c>
      <c r="U8" s="290" t="s">
        <v>20</v>
      </c>
      <c r="V8" s="290" t="s">
        <v>18</v>
      </c>
      <c r="W8" s="382">
        <v>64.97</v>
      </c>
      <c r="X8" s="290">
        <v>88</v>
      </c>
      <c r="Y8" s="290">
        <v>1</v>
      </c>
      <c r="Z8" s="290">
        <f t="shared" si="2"/>
        <v>1</v>
      </c>
      <c r="AA8" s="63">
        <v>5</v>
      </c>
      <c r="AB8" s="318">
        <v>350</v>
      </c>
      <c r="AC8" s="249" t="str">
        <f>+IF('CAPTURA DP'!B4&lt;=3," 350  UMAM ","5,000,000 Dlls")</f>
        <v xml:space="preserve"> 350  UMAM </v>
      </c>
      <c r="AD8" s="276">
        <f>+IF('CAPTURA DP'!B4&lt;=3,1.0416,1.14)</f>
        <v>1.0416000000000001</v>
      </c>
      <c r="AE8" s="277"/>
      <c r="AF8" s="293">
        <v>5</v>
      </c>
      <c r="AG8" s="294">
        <v>0.25</v>
      </c>
      <c r="AH8" s="294">
        <f>+IF('CAPTURA DP'!$B$4&gt;3,"",AG8)</f>
        <v>0.25</v>
      </c>
      <c r="AI8" s="277"/>
      <c r="AJ8" s="293">
        <v>5</v>
      </c>
      <c r="AK8" s="365">
        <f>+IF(p&gt;=4,5000,25000)</f>
        <v>25000</v>
      </c>
      <c r="AL8" s="293" t="str">
        <f>+IF(p&gt;=4,"5,000 Dlls","25,000 M.N.")</f>
        <v>25,000 M.N.</v>
      </c>
      <c r="AN8"/>
      <c r="AO8"/>
      <c r="AQ8" s="68">
        <f t="shared" ref="AQ8:AQ14" si="3">+AR7+1</f>
        <v>5001</v>
      </c>
      <c r="AR8" s="68">
        <v>10000</v>
      </c>
      <c r="AS8" s="69">
        <f>440+100</f>
        <v>540</v>
      </c>
      <c r="AW8"/>
      <c r="BA8" s="357" t="s">
        <v>420</v>
      </c>
      <c r="BB8" s="357">
        <f>+IF(AND(b=1,p&gt;=4),1,0)</f>
        <v>0</v>
      </c>
      <c r="BC8" s="357">
        <v>0</v>
      </c>
      <c r="BD8" s="357">
        <f>+IF(AND(b=1,p&gt;=4),1,0)</f>
        <v>0</v>
      </c>
    </row>
    <row r="9" spans="1:57">
      <c r="A9" s="287">
        <v>6</v>
      </c>
      <c r="B9" s="287" t="s">
        <v>60</v>
      </c>
      <c r="C9" s="287" t="s">
        <v>439</v>
      </c>
      <c r="D9" s="23">
        <v>190</v>
      </c>
      <c r="E9" s="61">
        <v>1</v>
      </c>
      <c r="F9" s="369">
        <v>0.05</v>
      </c>
      <c r="G9" s="323">
        <f>IF('CAPTURA DP'!$B$4&gt;=4,1,1.0556)</f>
        <v>1.0556000000000001</v>
      </c>
      <c r="H9" s="61">
        <v>6</v>
      </c>
      <c r="I9" s="61" t="str">
        <f t="shared" si="1"/>
        <v>16</v>
      </c>
      <c r="J9" s="274">
        <f>IF(p&gt;=4,5500,30000)</f>
        <v>30000</v>
      </c>
      <c r="K9" s="267">
        <f>IF(p&gt;=4,0.89,1.044881)</f>
        <v>1.0448809999999999</v>
      </c>
      <c r="L9" s="61">
        <f t="shared" si="0"/>
        <v>0</v>
      </c>
      <c r="M9" s="62">
        <v>6</v>
      </c>
      <c r="N9" s="62">
        <v>6</v>
      </c>
      <c r="O9" s="355">
        <f>+IF('DATOS GENERALES'!$C$18="n",Q9,P9)</f>
        <v>0.95709999999999995</v>
      </c>
      <c r="P9" s="363">
        <v>0.92910000000000004</v>
      </c>
      <c r="Q9" s="363">
        <v>0.95709999999999995</v>
      </c>
      <c r="R9" s="275"/>
      <c r="S9" s="290">
        <v>6</v>
      </c>
      <c r="T9" s="290" t="s">
        <v>325</v>
      </c>
      <c r="U9" s="290" t="s">
        <v>307</v>
      </c>
      <c r="V9" s="290" t="s">
        <v>18</v>
      </c>
      <c r="W9" s="382">
        <v>53.74</v>
      </c>
      <c r="X9" s="290">
        <v>88</v>
      </c>
      <c r="Y9" s="290">
        <v>0</v>
      </c>
      <c r="Z9" s="290">
        <f t="shared" si="2"/>
        <v>1</v>
      </c>
      <c r="AA9" s="63">
        <v>6</v>
      </c>
      <c r="AB9" s="318">
        <v>400</v>
      </c>
      <c r="AC9" s="249" t="str">
        <f>+IF('CAPTURA DP'!B4&lt;=3," 400  UMAM ","")</f>
        <v xml:space="preserve"> 400  UMAM </v>
      </c>
      <c r="AD9" s="276">
        <v>1.0525</v>
      </c>
      <c r="AE9" s="277"/>
      <c r="AF9" s="293">
        <v>6</v>
      </c>
      <c r="AG9" s="294">
        <v>0.3</v>
      </c>
      <c r="AH9" s="294">
        <f>+IF('CAPTURA DP'!$B$4&gt;3,"",AG9)</f>
        <v>0.3</v>
      </c>
      <c r="AI9" s="277"/>
      <c r="AJ9" s="293">
        <v>6</v>
      </c>
      <c r="AK9" s="365">
        <f>+IF(p&gt;=4,5500,30000)</f>
        <v>30000</v>
      </c>
      <c r="AL9" s="293" t="str">
        <f>+IF(p&gt;=4,"5,500 Dlls","30,000 M.N.")</f>
        <v>30,000 M.N.</v>
      </c>
      <c r="AN9" s="64" t="s">
        <v>77</v>
      </c>
      <c r="AO9" s="66">
        <v>0</v>
      </c>
      <c r="AQ9" s="68">
        <f t="shared" si="3"/>
        <v>10001</v>
      </c>
      <c r="AR9" s="68">
        <v>30000</v>
      </c>
      <c r="AS9" s="69">
        <f>440+100</f>
        <v>540</v>
      </c>
      <c r="BA9" s="371" t="s">
        <v>437</v>
      </c>
      <c r="BB9" s="372">
        <f ca="1">+'DATOS GENERALES'!$H$47</f>
        <v>1</v>
      </c>
      <c r="BC9" s="372">
        <f ca="1">+'DATOS GENERALES'!$H$47</f>
        <v>1</v>
      </c>
      <c r="BD9" s="372">
        <f ca="1">+'DATOS GENERALES'!$H$47</f>
        <v>1</v>
      </c>
    </row>
    <row r="10" spans="1:57">
      <c r="E10" s="61">
        <v>1</v>
      </c>
      <c r="F10" s="369">
        <v>0.05</v>
      </c>
      <c r="G10" s="323">
        <f>IF('CAPTURA DP'!$B$4&gt;=4,1,1.0556)</f>
        <v>1.0556000000000001</v>
      </c>
      <c r="H10" s="61">
        <v>7</v>
      </c>
      <c r="I10" s="61" t="str">
        <f t="shared" si="1"/>
        <v>17</v>
      </c>
      <c r="J10" s="274">
        <f>IF(p&gt;=4,6000,35000)</f>
        <v>35000</v>
      </c>
      <c r="K10" s="267">
        <f>IF(p&gt;=4,0.88,1.044881)</f>
        <v>1.0448809999999999</v>
      </c>
      <c r="L10" s="61">
        <f t="shared" si="0"/>
        <v>0</v>
      </c>
      <c r="M10" s="62">
        <v>7</v>
      </c>
      <c r="N10" s="62">
        <v>7</v>
      </c>
      <c r="O10" s="355">
        <f>+IF('DATOS GENERALES'!$C$18="n",Q10,P10)</f>
        <v>0.91269999999999996</v>
      </c>
      <c r="P10" s="363">
        <v>0.88270000000000004</v>
      </c>
      <c r="Q10" s="363">
        <v>0.91269999999999996</v>
      </c>
      <c r="R10" s="275"/>
      <c r="S10" s="290">
        <v>7</v>
      </c>
      <c r="T10" s="290" t="s">
        <v>346</v>
      </c>
      <c r="U10" s="290" t="s">
        <v>347</v>
      </c>
      <c r="V10" s="290" t="s">
        <v>13</v>
      </c>
      <c r="W10" s="382">
        <v>46.15</v>
      </c>
      <c r="X10" s="290">
        <v>88</v>
      </c>
      <c r="Y10" s="290">
        <v>0</v>
      </c>
      <c r="Z10" s="290">
        <f t="shared" si="2"/>
        <v>1</v>
      </c>
      <c r="AA10" s="63">
        <v>7</v>
      </c>
      <c r="AB10" s="318">
        <v>410</v>
      </c>
      <c r="AC10" s="249" t="str">
        <f>+IF('CAPTURA DP'!B4&lt;=3," 410  UMAM ","")</f>
        <v xml:space="preserve"> 410  UMAM </v>
      </c>
      <c r="AD10" s="276">
        <v>1.0542</v>
      </c>
      <c r="AE10" s="277"/>
      <c r="AF10" s="293">
        <v>7</v>
      </c>
      <c r="AG10" s="294">
        <v>0.35</v>
      </c>
      <c r="AH10" s="294">
        <f>+IF('CAPTURA DP'!$B$4&gt;3,"",AG10)</f>
        <v>0.35</v>
      </c>
      <c r="AI10" s="277"/>
      <c r="AJ10" s="293">
        <v>7</v>
      </c>
      <c r="AK10" s="365">
        <f>+IF(p&gt;=4,6000,35000)</f>
        <v>35000</v>
      </c>
      <c r="AL10" s="293" t="str">
        <f>+IF(p&gt;=4,"6,000 Dlls","35,000 M.N.")</f>
        <v>35,000 M.N.</v>
      </c>
      <c r="AN10" s="64" t="s">
        <v>448</v>
      </c>
      <c r="AO10" s="374">
        <f>+IF('CAPTURA DP'!$C$28="NO",0.16,0.08)</f>
        <v>0.16</v>
      </c>
      <c r="AQ10" s="68">
        <f t="shared" si="3"/>
        <v>30001</v>
      </c>
      <c r="AR10" s="68">
        <v>50000</v>
      </c>
      <c r="AS10" s="69">
        <f>855+100</f>
        <v>955</v>
      </c>
    </row>
    <row r="11" spans="1:57">
      <c r="A11" s="288">
        <v>1</v>
      </c>
      <c r="B11" s="288" t="s">
        <v>28766</v>
      </c>
      <c r="C11"/>
      <c r="E11" s="61">
        <v>1</v>
      </c>
      <c r="F11" s="369">
        <v>0.05</v>
      </c>
      <c r="G11" s="323">
        <f>IF('CAPTURA DP'!$B$4&gt;=4,1,1.0556)</f>
        <v>1.0556000000000001</v>
      </c>
      <c r="H11" s="61">
        <v>8</v>
      </c>
      <c r="I11" s="61" t="str">
        <f t="shared" si="1"/>
        <v>18</v>
      </c>
      <c r="J11" s="274">
        <f>IF(p&gt;=4,6500,40000)</f>
        <v>40000</v>
      </c>
      <c r="K11" s="267">
        <f>IF(p&gt;=4,0.87,1.0224)</f>
        <v>1.0224</v>
      </c>
      <c r="L11" s="61">
        <f t="shared" si="0"/>
        <v>0</v>
      </c>
      <c r="M11" s="62">
        <v>8</v>
      </c>
      <c r="N11" s="62">
        <v>8</v>
      </c>
      <c r="O11" s="355">
        <f>+IF('DATOS GENERALES'!$C$18="n",Q11,P11)</f>
        <v>0.88170000000000004</v>
      </c>
      <c r="P11" s="363">
        <v>0.84960000000000002</v>
      </c>
      <c r="Q11" s="363">
        <v>0.88170000000000004</v>
      </c>
      <c r="R11" s="275"/>
      <c r="S11" s="290">
        <v>8</v>
      </c>
      <c r="T11" s="290" t="s">
        <v>483</v>
      </c>
      <c r="U11" s="290" t="s">
        <v>484</v>
      </c>
      <c r="V11" s="290" t="s">
        <v>18</v>
      </c>
      <c r="W11" s="382">
        <v>64.97</v>
      </c>
      <c r="X11" s="290">
        <v>88</v>
      </c>
      <c r="Y11" s="290">
        <v>0</v>
      </c>
      <c r="Z11" s="290">
        <f t="shared" si="2"/>
        <v>1</v>
      </c>
      <c r="AA11" s="63">
        <v>8</v>
      </c>
      <c r="AB11" s="318">
        <v>450</v>
      </c>
      <c r="AC11" s="249" t="str">
        <f>+IF('CAPTURA DP'!B4&lt;=3," 450  UMAM ","")</f>
        <v xml:space="preserve"> 450  UMAM </v>
      </c>
      <c r="AD11" s="276">
        <v>1.0609</v>
      </c>
      <c r="AE11" s="277"/>
      <c r="AF11" s="293">
        <v>8</v>
      </c>
      <c r="AG11" s="294">
        <v>0.4</v>
      </c>
      <c r="AH11" s="294">
        <f>+IF('CAPTURA DP'!$B$4&gt;3,"",AG11)</f>
        <v>0.4</v>
      </c>
      <c r="AI11" s="277"/>
      <c r="AJ11" s="293">
        <v>8</v>
      </c>
      <c r="AK11" s="365">
        <f>+IF(p&gt;=4,6500,40000)</f>
        <v>40000</v>
      </c>
      <c r="AL11" s="293" t="str">
        <f>+IF(p&gt;=4,"6,500 Dlls","40,000 M.N.")</f>
        <v>40,000 M.N.</v>
      </c>
      <c r="AQ11" s="68">
        <f t="shared" si="3"/>
        <v>50001</v>
      </c>
      <c r="AR11" s="68">
        <v>100000</v>
      </c>
      <c r="AS11" s="69">
        <f>855+100</f>
        <v>955</v>
      </c>
      <c r="BA11" s="358" t="s">
        <v>423</v>
      </c>
      <c r="BB11" s="358">
        <f ca="1">+SUM(BB4:BB9)</f>
        <v>1</v>
      </c>
      <c r="BC11" s="358">
        <f ca="1">+SUM(BC4:BC9)</f>
        <v>1</v>
      </c>
      <c r="BD11" s="358">
        <f ca="1">+SUM(BD4:BD9)</f>
        <v>1</v>
      </c>
    </row>
    <row r="12" spans="1:57">
      <c r="A12" s="288">
        <v>2</v>
      </c>
      <c r="B12" s="289" t="s">
        <v>374</v>
      </c>
      <c r="C12"/>
      <c r="E12" s="61">
        <v>1</v>
      </c>
      <c r="F12" s="369">
        <v>0.05</v>
      </c>
      <c r="G12" s="323">
        <f>IF('CAPTURA DP'!$B$4&gt;=4,1,1.0556)</f>
        <v>1.0556000000000001</v>
      </c>
      <c r="H12" s="61">
        <v>9</v>
      </c>
      <c r="I12" s="61" t="str">
        <f t="shared" si="1"/>
        <v>19</v>
      </c>
      <c r="J12" s="274">
        <v>45000</v>
      </c>
      <c r="K12" s="267">
        <v>1.0224</v>
      </c>
      <c r="L12" s="61">
        <f t="shared" si="0"/>
        <v>0</v>
      </c>
      <c r="M12" s="62">
        <v>9</v>
      </c>
      <c r="N12" s="62">
        <v>9</v>
      </c>
      <c r="O12" s="355">
        <f>+IF('DATOS GENERALES'!$C$18="n",Q12,P12)</f>
        <v>0.82989999999999997</v>
      </c>
      <c r="P12" s="363">
        <v>0.79690000000000005</v>
      </c>
      <c r="Q12" s="363">
        <v>0.82989999999999997</v>
      </c>
      <c r="R12" s="275"/>
      <c r="S12" s="290">
        <v>9</v>
      </c>
      <c r="T12" s="290" t="s">
        <v>326</v>
      </c>
      <c r="U12" s="290" t="s">
        <v>16</v>
      </c>
      <c r="V12" s="290" t="s">
        <v>15</v>
      </c>
      <c r="W12" s="382">
        <v>64.97</v>
      </c>
      <c r="X12" s="290">
        <v>88</v>
      </c>
      <c r="Y12" s="290">
        <v>1</v>
      </c>
      <c r="Z12" s="290">
        <f t="shared" si="2"/>
        <v>1</v>
      </c>
      <c r="AA12" s="63">
        <v>9</v>
      </c>
      <c r="AB12" s="318">
        <v>500</v>
      </c>
      <c r="AC12" s="249" t="str">
        <f>+IF('CAPTURA DP'!B4&lt;=3," 500  UMAM ","")</f>
        <v xml:space="preserve"> 500  UMAM </v>
      </c>
      <c r="AD12" s="276">
        <v>1.0693999999999999</v>
      </c>
      <c r="AE12" s="277"/>
      <c r="AF12" s="293">
        <v>9</v>
      </c>
      <c r="AG12" s="294">
        <v>0.45</v>
      </c>
      <c r="AH12" s="294">
        <f>+IF('CAPTURA DP'!$B$4&gt;3,"",AG12)</f>
        <v>0.45</v>
      </c>
      <c r="AI12" s="277"/>
      <c r="AJ12" s="293">
        <v>9</v>
      </c>
      <c r="AK12" s="365">
        <f>+IF(p&gt;=4,0,45000)</f>
        <v>45000</v>
      </c>
      <c r="AL12" s="293" t="str">
        <f>+IF(p&gt;=4,"","45,000 M.N.")</f>
        <v>45,000 M.N.</v>
      </c>
      <c r="AQ12" s="68">
        <f t="shared" si="3"/>
        <v>100001</v>
      </c>
      <c r="AR12" s="68">
        <v>500000</v>
      </c>
      <c r="AS12" s="69">
        <f>1075+100</f>
        <v>1175</v>
      </c>
      <c r="BB12" s="23" t="s">
        <v>424</v>
      </c>
      <c r="BC12" s="23" t="s">
        <v>425</v>
      </c>
      <c r="BD12" s="23" t="s">
        <v>426</v>
      </c>
    </row>
    <row r="13" spans="1:57">
      <c r="A13"/>
      <c r="B13"/>
      <c r="C13"/>
      <c r="E13" s="61">
        <v>1</v>
      </c>
      <c r="F13" s="369">
        <v>0.05</v>
      </c>
      <c r="G13" s="323">
        <f>IF('CAPTURA DP'!$B$4&gt;=4,1,1.0556)</f>
        <v>1.0556000000000001</v>
      </c>
      <c r="H13" s="61">
        <v>10</v>
      </c>
      <c r="I13" s="61" t="str">
        <f t="shared" si="1"/>
        <v>110</v>
      </c>
      <c r="J13" s="274">
        <v>50000</v>
      </c>
      <c r="K13" s="267">
        <v>1.0224</v>
      </c>
      <c r="L13" s="61">
        <f t="shared" si="0"/>
        <v>0</v>
      </c>
      <c r="M13" s="62">
        <v>10</v>
      </c>
      <c r="N13" s="62">
        <v>10</v>
      </c>
      <c r="O13" s="355">
        <f>+IF('DATOS GENERALES'!$C$18="n",Q13,P13)</f>
        <v>0.7621</v>
      </c>
      <c r="P13" s="363">
        <v>0.72940000000000005</v>
      </c>
      <c r="Q13" s="363">
        <v>0.7621</v>
      </c>
      <c r="R13" s="275"/>
      <c r="S13" s="290">
        <v>10</v>
      </c>
      <c r="T13" s="290" t="s">
        <v>305</v>
      </c>
      <c r="U13" s="290" t="s">
        <v>105</v>
      </c>
      <c r="V13" s="290" t="s">
        <v>18</v>
      </c>
      <c r="W13" s="382">
        <v>56.43</v>
      </c>
      <c r="X13" s="290">
        <v>88</v>
      </c>
      <c r="Y13" s="290">
        <v>1</v>
      </c>
      <c r="Z13" s="290">
        <f t="shared" si="2"/>
        <v>1</v>
      </c>
      <c r="AA13" s="63">
        <v>10</v>
      </c>
      <c r="AB13" s="318">
        <v>530</v>
      </c>
      <c r="AC13" s="249" t="str">
        <f>+IF('CAPTURA DP'!B4&lt;=3," 530  UMAM ","")</f>
        <v xml:space="preserve"> 530  UMAM </v>
      </c>
      <c r="AD13" s="276">
        <v>1.0734999999999999</v>
      </c>
      <c r="AE13" s="277"/>
      <c r="AF13" s="293">
        <v>10</v>
      </c>
      <c r="AG13" s="294">
        <v>0.5</v>
      </c>
      <c r="AH13" s="294">
        <f>+IF('CAPTURA DP'!$B$4&gt;3,"",AG13)</f>
        <v>0.5</v>
      </c>
      <c r="AI13" s="277"/>
      <c r="AJ13" s="293">
        <v>10</v>
      </c>
      <c r="AK13" s="365">
        <f>+IF(p&gt;=4,0,50000)</f>
        <v>50000</v>
      </c>
      <c r="AL13" s="293" t="str">
        <f>+IF(p&gt;=4,"","50,000 M.N.")</f>
        <v>50,000 M.N.</v>
      </c>
      <c r="AQ13" s="68">
        <f t="shared" si="3"/>
        <v>500001</v>
      </c>
      <c r="AR13" s="68">
        <v>1000000</v>
      </c>
      <c r="AS13" s="69">
        <f>1615+100</f>
        <v>1715</v>
      </c>
    </row>
    <row r="14" spans="1:57">
      <c r="A14" s="261"/>
      <c r="B14" s="261" t="s">
        <v>321</v>
      </c>
      <c r="C14" s="261"/>
      <c r="E14" s="61">
        <v>1</v>
      </c>
      <c r="F14" s="369">
        <v>0.05</v>
      </c>
      <c r="G14" s="323">
        <f>IF('CAPTURA DP'!$B$4&gt;=4,1,1.0556)</f>
        <v>1.0556000000000001</v>
      </c>
      <c r="H14" s="61">
        <v>11</v>
      </c>
      <c r="I14" s="61" t="str">
        <f t="shared" si="1"/>
        <v>111</v>
      </c>
      <c r="J14" s="274">
        <v>55000</v>
      </c>
      <c r="K14" s="267">
        <v>1.0208029999999999</v>
      </c>
      <c r="L14" s="61">
        <f t="shared" si="0"/>
        <v>0</v>
      </c>
      <c r="M14" s="62">
        <v>11</v>
      </c>
      <c r="N14" s="62">
        <v>11</v>
      </c>
      <c r="O14" s="355">
        <f>+IF('DATOS GENERALES'!$C$18="n",Q14,P14)</f>
        <v>0.72040000000000004</v>
      </c>
      <c r="P14" s="363">
        <v>0.68710000000000004</v>
      </c>
      <c r="Q14" s="363">
        <v>0.72040000000000004</v>
      </c>
      <c r="R14" s="275"/>
      <c r="S14" s="290">
        <v>11</v>
      </c>
      <c r="T14" s="290" t="s">
        <v>349</v>
      </c>
      <c r="U14" s="290" t="s">
        <v>348</v>
      </c>
      <c r="V14" s="290" t="s">
        <v>13</v>
      </c>
      <c r="W14" s="382">
        <v>46.15</v>
      </c>
      <c r="X14" s="290">
        <v>88</v>
      </c>
      <c r="Y14" s="290">
        <v>0</v>
      </c>
      <c r="Z14" s="290">
        <f>+IF(p&gt;3,0,1)</f>
        <v>1</v>
      </c>
      <c r="AA14" s="63">
        <v>11</v>
      </c>
      <c r="AB14" s="318">
        <v>535</v>
      </c>
      <c r="AC14" s="249" t="str">
        <f>+IF('CAPTURA DP'!B4&lt;=3," 535  UMAM ","")</f>
        <v xml:space="preserve"> 535  UMAM </v>
      </c>
      <c r="AD14" s="276">
        <v>1.0742</v>
      </c>
      <c r="AE14" s="277"/>
      <c r="AF14" s="277"/>
      <c r="AG14" s="277"/>
      <c r="AH14" s="277"/>
      <c r="AI14" s="277"/>
      <c r="AJ14" s="293">
        <v>11</v>
      </c>
      <c r="AK14" s="365">
        <f>+IF(p&gt;=4,0,55000)</f>
        <v>55000</v>
      </c>
      <c r="AL14" s="293" t="str">
        <f>+IF(p&gt;=4,"","55,000 M.N.")</f>
        <v>55,000 M.N.</v>
      </c>
      <c r="AQ14" s="68">
        <f t="shared" si="3"/>
        <v>1000001</v>
      </c>
      <c r="AR14" s="68">
        <v>9999999999</v>
      </c>
      <c r="AS14" s="69">
        <f>2150+100</f>
        <v>2250</v>
      </c>
    </row>
    <row r="15" spans="1:57">
      <c r="A15" s="261">
        <v>1</v>
      </c>
      <c r="B15" s="261">
        <v>14</v>
      </c>
      <c r="C15" s="261">
        <v>15</v>
      </c>
      <c r="E15" s="61">
        <v>1</v>
      </c>
      <c r="F15" s="369">
        <v>0.05</v>
      </c>
      <c r="G15" s="323">
        <f>IF('CAPTURA DP'!$B$4&gt;=4,1,1.0556)</f>
        <v>1.0556000000000001</v>
      </c>
      <c r="H15" s="61">
        <v>12</v>
      </c>
      <c r="I15" s="61" t="str">
        <f t="shared" si="1"/>
        <v>112</v>
      </c>
      <c r="J15" s="274">
        <v>60000</v>
      </c>
      <c r="K15" s="267">
        <v>1.019204</v>
      </c>
      <c r="L15" s="61">
        <f t="shared" si="0"/>
        <v>0</v>
      </c>
      <c r="M15" s="62">
        <v>12</v>
      </c>
      <c r="N15" s="62">
        <v>12</v>
      </c>
      <c r="O15" s="355">
        <f>+IF('DATOS GENERALES'!$C$18="n",Q15,P15)</f>
        <v>0.70120000000000005</v>
      </c>
      <c r="P15" s="363">
        <v>0.66659999999999997</v>
      </c>
      <c r="Q15" s="363">
        <v>0.70120000000000005</v>
      </c>
      <c r="R15" s="275"/>
      <c r="S15" s="290">
        <v>12</v>
      </c>
      <c r="T15" s="290" t="s">
        <v>291</v>
      </c>
      <c r="U15" s="290" t="s">
        <v>123</v>
      </c>
      <c r="V15" s="290" t="s">
        <v>13</v>
      </c>
      <c r="W15" s="382">
        <v>46</v>
      </c>
      <c r="X15" s="290">
        <v>88</v>
      </c>
      <c r="Y15" s="290">
        <v>0</v>
      </c>
      <c r="Z15" s="290">
        <f>+IF(p&gt;3,0,1)</f>
        <v>1</v>
      </c>
      <c r="AA15" s="63">
        <v>12</v>
      </c>
      <c r="AB15" s="318">
        <v>550</v>
      </c>
      <c r="AC15" s="249" t="str">
        <f>+IF('CAPTURA DP'!B4&lt;=3," 550  UMAM ","")</f>
        <v xml:space="preserve"> 550  UMAM </v>
      </c>
      <c r="AD15" s="276">
        <v>1.0763</v>
      </c>
      <c r="AE15" s="277"/>
      <c r="AF15" s="277"/>
      <c r="AG15" s="277"/>
      <c r="AH15" s="277"/>
      <c r="AI15" s="277"/>
      <c r="AJ15" s="293">
        <v>12</v>
      </c>
      <c r="AK15" s="365">
        <f>+IF(p&gt;=4,0,60000)</f>
        <v>60000</v>
      </c>
      <c r="AL15" s="293" t="str">
        <f>+IF(p&gt;=4,"","60,000 M.N.")</f>
        <v>60,000 M.N.</v>
      </c>
    </row>
    <row r="16" spans="1:57">
      <c r="A16" s="261">
        <v>2</v>
      </c>
      <c r="B16" s="261">
        <v>21</v>
      </c>
      <c r="C16" s="261">
        <v>22</v>
      </c>
      <c r="E16" s="61">
        <v>1</v>
      </c>
      <c r="F16" s="369">
        <v>0.05</v>
      </c>
      <c r="G16" s="323">
        <f>IF('CAPTURA DP'!$B$4&gt;=4,1,1.0556)</f>
        <v>1.0556000000000001</v>
      </c>
      <c r="H16" s="61">
        <v>13</v>
      </c>
      <c r="I16" s="61" t="str">
        <f t="shared" si="1"/>
        <v>113</v>
      </c>
      <c r="J16" s="274">
        <v>65000</v>
      </c>
      <c r="K16" s="267">
        <v>1.017671</v>
      </c>
      <c r="L16" s="61">
        <f t="shared" si="0"/>
        <v>0</v>
      </c>
      <c r="M16" s="62">
        <v>13</v>
      </c>
      <c r="N16" s="62">
        <v>13</v>
      </c>
      <c r="O16" s="355">
        <f>+IF('DATOS GENERALES'!$C$18="n",Q16,P16)</f>
        <v>0.69489999999999996</v>
      </c>
      <c r="P16" s="363">
        <v>0.65849999999999997</v>
      </c>
      <c r="Q16" s="363">
        <v>0.69489999999999996</v>
      </c>
      <c r="R16" s="275"/>
      <c r="S16" s="290">
        <v>13</v>
      </c>
      <c r="T16" s="290" t="s">
        <v>271</v>
      </c>
      <c r="U16" s="290" t="s">
        <v>107</v>
      </c>
      <c r="V16" s="290" t="s">
        <v>13</v>
      </c>
      <c r="W16" s="382">
        <v>57.79</v>
      </c>
      <c r="X16" s="290">
        <v>88</v>
      </c>
      <c r="Y16" s="290">
        <v>1</v>
      </c>
      <c r="Z16" s="290">
        <f>+IF(p&gt;3,0,1)</f>
        <v>1</v>
      </c>
      <c r="AA16" s="63">
        <v>13</v>
      </c>
      <c r="AB16" s="318">
        <v>555</v>
      </c>
      <c r="AC16" s="249" t="str">
        <f>+IF('CAPTURA DP'!B4&lt;=3," 555  UMAM ","")</f>
        <v xml:space="preserve"> 555  UMAM </v>
      </c>
      <c r="AD16" s="276">
        <v>1.077</v>
      </c>
      <c r="AE16" s="277"/>
      <c r="AF16" s="277"/>
      <c r="AG16" s="277"/>
      <c r="AH16" s="277"/>
      <c r="AI16" s="277"/>
      <c r="AJ16" s="293">
        <v>13</v>
      </c>
      <c r="AK16" s="365">
        <f>+IF(p&gt;=4,0,65000)</f>
        <v>65000</v>
      </c>
      <c r="AL16" s="293" t="str">
        <f>+IF(p&gt;=4,"","65,000 M.N.")</f>
        <v>65,000 M.N.</v>
      </c>
    </row>
    <row r="17" spans="1:38">
      <c r="A17" s="261">
        <v>3</v>
      </c>
      <c r="B17" s="261">
        <v>28</v>
      </c>
      <c r="C17" s="261">
        <v>29</v>
      </c>
      <c r="E17" s="61">
        <v>1</v>
      </c>
      <c r="F17" s="369">
        <v>0.05</v>
      </c>
      <c r="G17" s="323">
        <f>IF('CAPTURA DP'!$B$4&gt;=4,1,1.0556)</f>
        <v>1.0556000000000001</v>
      </c>
      <c r="H17" s="61">
        <v>14</v>
      </c>
      <c r="I17" s="61" t="str">
        <f t="shared" si="1"/>
        <v>114</v>
      </c>
      <c r="J17" s="274">
        <v>70000</v>
      </c>
      <c r="K17" s="267">
        <v>1.0162249999999999</v>
      </c>
      <c r="L17" s="61">
        <f t="shared" si="0"/>
        <v>0</v>
      </c>
      <c r="M17" s="62">
        <v>14</v>
      </c>
      <c r="N17" s="62">
        <v>14</v>
      </c>
      <c r="O17" s="355">
        <f>+IF('DATOS GENERALES'!$C$18="n",Q17,P17)</f>
        <v>0.68879999999999997</v>
      </c>
      <c r="P17" s="363">
        <v>0.65049999999999997</v>
      </c>
      <c r="Q17" s="363">
        <v>0.68879999999999997</v>
      </c>
      <c r="R17" s="275"/>
      <c r="S17" s="290">
        <v>14</v>
      </c>
      <c r="T17" s="290" t="s">
        <v>327</v>
      </c>
      <c r="U17" s="290" t="s">
        <v>19</v>
      </c>
      <c r="V17" s="290" t="s">
        <v>13</v>
      </c>
      <c r="W17" s="382">
        <v>56.43</v>
      </c>
      <c r="X17" s="290">
        <v>88</v>
      </c>
      <c r="Y17" s="290">
        <v>1</v>
      </c>
      <c r="Z17" s="290">
        <f>+IF(p&gt;3,0,1)</f>
        <v>1</v>
      </c>
      <c r="AA17" s="63">
        <v>14</v>
      </c>
      <c r="AB17" s="318">
        <v>560</v>
      </c>
      <c r="AC17" s="249" t="str">
        <f>+IF('CAPTURA DP'!B4&lt;=3," 560  UMAM ","")</f>
        <v xml:space="preserve"> 560  UMAM </v>
      </c>
      <c r="AD17" s="276">
        <v>1.0777000000000001</v>
      </c>
      <c r="AE17" s="277"/>
      <c r="AF17" s="277"/>
      <c r="AG17" s="277"/>
      <c r="AH17" s="277"/>
      <c r="AI17" s="277"/>
      <c r="AJ17" s="293">
        <v>14</v>
      </c>
      <c r="AK17" s="365">
        <f>+IF(p&gt;=4,0,70000)</f>
        <v>70000</v>
      </c>
      <c r="AL17" s="293" t="str">
        <f>+IF(p&gt;=4,"","70,000 M.N.")</f>
        <v>70,000 M.N.</v>
      </c>
    </row>
    <row r="18" spans="1:38">
      <c r="A18" s="262">
        <v>4</v>
      </c>
      <c r="B18" s="262">
        <v>35</v>
      </c>
      <c r="C18" s="262">
        <v>36</v>
      </c>
      <c r="E18" s="61">
        <v>1</v>
      </c>
      <c r="F18" s="369">
        <v>0.05</v>
      </c>
      <c r="G18" s="323">
        <f>IF('CAPTURA DP'!$B$4&gt;=4,1,1.0556)</f>
        <v>1.0556000000000001</v>
      </c>
      <c r="H18" s="61">
        <v>15</v>
      </c>
      <c r="I18" s="61" t="str">
        <f t="shared" si="1"/>
        <v>115</v>
      </c>
      <c r="J18" s="274">
        <v>75000</v>
      </c>
      <c r="K18" s="267">
        <v>1.014877</v>
      </c>
      <c r="L18" s="61">
        <f t="shared" si="0"/>
        <v>0</v>
      </c>
      <c r="M18" s="62">
        <v>15</v>
      </c>
      <c r="N18" s="62">
        <v>15</v>
      </c>
      <c r="O18" s="355">
        <f>+IF('DATOS GENERALES'!$C$18="n",Q18,P18)</f>
        <v>0.68279999999999996</v>
      </c>
      <c r="P18" s="363">
        <v>0.64270000000000005</v>
      </c>
      <c r="Q18" s="363">
        <v>0.68279999999999996</v>
      </c>
      <c r="R18" s="275"/>
      <c r="S18" s="290">
        <v>15</v>
      </c>
      <c r="T18" s="290" t="s">
        <v>333</v>
      </c>
      <c r="U18" s="290" t="s">
        <v>335</v>
      </c>
      <c r="V18" s="290" t="s">
        <v>13</v>
      </c>
      <c r="W18" s="382">
        <v>56.43</v>
      </c>
      <c r="X18" s="290">
        <v>88</v>
      </c>
      <c r="Y18" s="290">
        <v>1</v>
      </c>
      <c r="Z18" s="290">
        <f>+IF(p&gt;3,0,1)</f>
        <v>1</v>
      </c>
      <c r="AA18" s="63">
        <v>15</v>
      </c>
      <c r="AB18" s="318">
        <v>568</v>
      </c>
      <c r="AC18" s="249" t="str">
        <f>+IF('CAPTURA DP'!B4&lt;=3," 568  UMAM ","")</f>
        <v xml:space="preserve"> 568  UMAM </v>
      </c>
      <c r="AD18" s="276">
        <v>1.0788</v>
      </c>
      <c r="AE18" s="277"/>
      <c r="AF18" s="277"/>
      <c r="AG18" s="277"/>
      <c r="AH18" s="277"/>
      <c r="AI18" s="277"/>
      <c r="AJ18" s="293">
        <v>15</v>
      </c>
      <c r="AK18" s="365">
        <f>+IF(p&gt;=4,0,75000)</f>
        <v>75000</v>
      </c>
      <c r="AL18" s="293" t="str">
        <f>+IF(p&gt;=4,"","75,000 M.N.")</f>
        <v>75,000 M.N.</v>
      </c>
    </row>
    <row r="19" spans="1:38">
      <c r="A19" s="262">
        <v>5</v>
      </c>
      <c r="B19" s="262">
        <v>42</v>
      </c>
      <c r="C19" s="262">
        <v>43</v>
      </c>
      <c r="E19" s="61">
        <v>1</v>
      </c>
      <c r="F19" s="369">
        <v>0.05</v>
      </c>
      <c r="G19" s="323">
        <f>IF('CAPTURA DP'!$B$4&gt;=4,1,1.0556)</f>
        <v>1.0556000000000001</v>
      </c>
      <c r="H19" s="61">
        <v>16</v>
      </c>
      <c r="I19" s="61" t="str">
        <f t="shared" si="1"/>
        <v>116</v>
      </c>
      <c r="J19" s="274">
        <v>80000</v>
      </c>
      <c r="K19" s="267">
        <v>1.013638</v>
      </c>
      <c r="L19" s="61">
        <f t="shared" si="0"/>
        <v>0</v>
      </c>
      <c r="M19" s="62">
        <v>16</v>
      </c>
      <c r="N19" s="62">
        <v>16</v>
      </c>
      <c r="O19" s="355">
        <f>+IF('DATOS GENERALES'!$C$18="n",Q19,P19)</f>
        <v>0.6724</v>
      </c>
      <c r="P19" s="363">
        <v>0.63080000000000003</v>
      </c>
      <c r="Q19" s="363">
        <v>0.6724</v>
      </c>
      <c r="R19" s="275"/>
      <c r="S19" s="290">
        <v>16</v>
      </c>
      <c r="T19" s="290" t="s">
        <v>272</v>
      </c>
      <c r="U19" s="290" t="s">
        <v>22</v>
      </c>
      <c r="V19" s="290" t="s">
        <v>13</v>
      </c>
      <c r="W19" s="382">
        <v>70.150000000000006</v>
      </c>
      <c r="X19" s="290">
        <v>88</v>
      </c>
      <c r="Y19" s="290">
        <v>0</v>
      </c>
      <c r="Z19" s="290">
        <v>0</v>
      </c>
      <c r="AA19" s="63">
        <v>16</v>
      </c>
      <c r="AB19" s="318">
        <v>600</v>
      </c>
      <c r="AC19" s="249" t="str">
        <f>+IF('CAPTURA DP'!B4&lt;=3," 600  UMAM ","")</f>
        <v xml:space="preserve"> 600  UMAM </v>
      </c>
      <c r="AD19" s="276">
        <v>1.0831999999999999</v>
      </c>
      <c r="AE19" s="277"/>
      <c r="AF19" s="277"/>
      <c r="AG19" s="277"/>
      <c r="AH19" s="277"/>
      <c r="AI19" s="277"/>
      <c r="AJ19" s="293">
        <v>16</v>
      </c>
      <c r="AK19" s="365">
        <f>+IF(p&gt;=4,0,80000)</f>
        <v>80000</v>
      </c>
      <c r="AL19" s="293" t="str">
        <f>+IF(p&gt;=4,"","80,000 M.N.")</f>
        <v>80,000 M.N.</v>
      </c>
    </row>
    <row r="20" spans="1:38">
      <c r="A20" s="262">
        <v>6</v>
      </c>
      <c r="B20" s="262">
        <v>49</v>
      </c>
      <c r="C20" s="262">
        <v>50</v>
      </c>
      <c r="E20" s="61">
        <v>1</v>
      </c>
      <c r="F20" s="369">
        <v>0.05</v>
      </c>
      <c r="G20" s="323">
        <f>IF('CAPTURA DP'!$B$4&gt;=4,1,1.0556)</f>
        <v>1.0556000000000001</v>
      </c>
      <c r="H20" s="61">
        <v>17</v>
      </c>
      <c r="I20" s="61" t="str">
        <f t="shared" si="1"/>
        <v>117</v>
      </c>
      <c r="J20" s="274">
        <v>85000</v>
      </c>
      <c r="K20" s="267">
        <v>1.0124979999999999</v>
      </c>
      <c r="L20" s="61">
        <f t="shared" si="0"/>
        <v>0</v>
      </c>
      <c r="M20" s="62">
        <v>17</v>
      </c>
      <c r="N20" s="62">
        <v>17</v>
      </c>
      <c r="O20" s="355">
        <f>+IF('DATOS GENERALES'!$C$18="n",Q20,P20)</f>
        <v>0.66180000000000005</v>
      </c>
      <c r="P20" s="363">
        <v>0.61880000000000002</v>
      </c>
      <c r="Q20" s="363">
        <v>0.66180000000000005</v>
      </c>
      <c r="R20" s="275"/>
      <c r="S20" s="290">
        <v>17</v>
      </c>
      <c r="T20" s="290" t="s">
        <v>273</v>
      </c>
      <c r="U20" s="290" t="s">
        <v>24</v>
      </c>
      <c r="V20" s="290" t="s">
        <v>18</v>
      </c>
      <c r="W20" s="382">
        <v>68.22</v>
      </c>
      <c r="X20" s="290">
        <v>88</v>
      </c>
      <c r="Y20" s="290">
        <v>1</v>
      </c>
      <c r="Z20" s="290">
        <f t="shared" ref="Z20:Z27" si="4">+IF(p&gt;3,0,1)</f>
        <v>1</v>
      </c>
      <c r="AA20" s="63">
        <v>17</v>
      </c>
      <c r="AB20" s="318">
        <v>650</v>
      </c>
      <c r="AC20" s="249" t="str">
        <f>+IF('CAPTURA DP'!B4&lt;=3," 650  UMAM ","")</f>
        <v xml:space="preserve"> 650  UMAM </v>
      </c>
      <c r="AD20" s="276">
        <v>1.089</v>
      </c>
      <c r="AE20" s="277"/>
      <c r="AF20" s="277"/>
      <c r="AG20" s="277"/>
      <c r="AH20" s="277"/>
      <c r="AI20" s="277"/>
      <c r="AJ20" s="293">
        <v>17</v>
      </c>
      <c r="AK20" s="365">
        <f>+IF(p&gt;=4,0,85000)</f>
        <v>85000</v>
      </c>
      <c r="AL20" s="293" t="str">
        <f>+IF(p&gt;=4,"","85,000 M.N.")</f>
        <v>85,000 M.N.</v>
      </c>
    </row>
    <row r="21" spans="1:38">
      <c r="A21"/>
      <c r="B21"/>
      <c r="C21"/>
      <c r="E21" s="61">
        <v>1</v>
      </c>
      <c r="F21" s="369">
        <v>0.05</v>
      </c>
      <c r="G21" s="323">
        <f>IF('CAPTURA DP'!$B$4&gt;=4,1,1.0556)</f>
        <v>1.0556000000000001</v>
      </c>
      <c r="H21" s="61">
        <v>18</v>
      </c>
      <c r="I21" s="61" t="str">
        <f t="shared" si="1"/>
        <v>118</v>
      </c>
      <c r="J21" s="274">
        <v>90000</v>
      </c>
      <c r="K21" s="267">
        <v>1.01145</v>
      </c>
      <c r="L21" s="61">
        <f t="shared" si="0"/>
        <v>0</v>
      </c>
      <c r="M21" s="62">
        <v>18</v>
      </c>
      <c r="N21" s="62">
        <v>18</v>
      </c>
      <c r="O21" s="355">
        <f>+IF('DATOS GENERALES'!$C$18="n",Q21,P21)</f>
        <v>0.65139999999999998</v>
      </c>
      <c r="P21" s="363">
        <v>0.60709999999999997</v>
      </c>
      <c r="Q21" s="363">
        <v>0.65139999999999998</v>
      </c>
      <c r="R21" s="275"/>
      <c r="S21" s="290">
        <v>18</v>
      </c>
      <c r="T21" s="290" t="s">
        <v>274</v>
      </c>
      <c r="U21" s="290" t="s">
        <v>309</v>
      </c>
      <c r="V21" s="290" t="s">
        <v>13</v>
      </c>
      <c r="W21" s="382">
        <v>46</v>
      </c>
      <c r="X21" s="290">
        <v>88</v>
      </c>
      <c r="Y21" s="290">
        <v>1</v>
      </c>
      <c r="Z21" s="290">
        <f t="shared" si="4"/>
        <v>1</v>
      </c>
      <c r="AA21" s="63">
        <v>18</v>
      </c>
      <c r="AB21" s="318">
        <v>675</v>
      </c>
      <c r="AC21" s="249" t="str">
        <f>+IF('CAPTURA DP'!B4&lt;=3," 675  UMAM ","")</f>
        <v xml:space="preserve"> 675  UMAM </v>
      </c>
      <c r="AD21" s="276">
        <v>1.0911</v>
      </c>
      <c r="AE21" s="277"/>
      <c r="AF21" s="277"/>
      <c r="AG21" s="277"/>
      <c r="AH21" s="277"/>
      <c r="AI21" s="277"/>
      <c r="AJ21" s="293">
        <v>18</v>
      </c>
      <c r="AK21" s="365">
        <f>+IF(p&gt;=4,0,90000)</f>
        <v>90000</v>
      </c>
      <c r="AL21" s="293" t="str">
        <f>+IF(p&gt;=4,"","90,000 M.N.")</f>
        <v>90,000 M.N.</v>
      </c>
    </row>
    <row r="22" spans="1:38">
      <c r="A22" s="290" t="s">
        <v>91</v>
      </c>
      <c r="B22" s="290"/>
      <c r="E22" s="61">
        <v>1</v>
      </c>
      <c r="F22" s="369">
        <v>0.05</v>
      </c>
      <c r="G22" s="323">
        <f>IF('CAPTURA DP'!$B$4&gt;=4,1,1.0556)</f>
        <v>1.0556000000000001</v>
      </c>
      <c r="H22" s="61">
        <v>19</v>
      </c>
      <c r="I22" s="61" t="str">
        <f t="shared" si="1"/>
        <v>119</v>
      </c>
      <c r="J22" s="274">
        <v>95000</v>
      </c>
      <c r="K22" s="267">
        <v>1.0104869999999999</v>
      </c>
      <c r="L22" s="61">
        <f t="shared" si="0"/>
        <v>0</v>
      </c>
      <c r="M22" s="62">
        <v>19</v>
      </c>
      <c r="N22" s="62">
        <v>19</v>
      </c>
      <c r="O22" s="355">
        <f>+IF('DATOS GENERALES'!$C$18="n",Q22,P22)</f>
        <v>0.64129999999999998</v>
      </c>
      <c r="P22" s="363">
        <v>0.59560000000000002</v>
      </c>
      <c r="Q22" s="363">
        <v>0.64129999999999998</v>
      </c>
      <c r="R22" s="275"/>
      <c r="S22" s="290">
        <v>19</v>
      </c>
      <c r="T22" s="290" t="s">
        <v>286</v>
      </c>
      <c r="U22" s="290" t="s">
        <v>310</v>
      </c>
      <c r="V22" s="290" t="s">
        <v>15</v>
      </c>
      <c r="W22" s="382">
        <v>56.43</v>
      </c>
      <c r="X22" s="290">
        <v>88</v>
      </c>
      <c r="Y22" s="290">
        <v>0</v>
      </c>
      <c r="Z22" s="290">
        <f t="shared" si="4"/>
        <v>1</v>
      </c>
      <c r="AA22" s="63">
        <v>19</v>
      </c>
      <c r="AB22" s="318">
        <v>700</v>
      </c>
      <c r="AC22" s="249" t="str">
        <f>+IF('CAPTURA DP'!B4&lt;=3," 700  UMAM ","")</f>
        <v xml:space="preserve"> 700  UMAM </v>
      </c>
      <c r="AD22" s="276">
        <v>1.0949</v>
      </c>
      <c r="AE22" s="277"/>
      <c r="AF22" s="277"/>
      <c r="AG22" s="277"/>
      <c r="AH22" s="277"/>
      <c r="AI22" s="277"/>
      <c r="AJ22" s="293">
        <v>19</v>
      </c>
      <c r="AK22" s="365">
        <f>+IF(p&gt;=4,0,95000)</f>
        <v>95000</v>
      </c>
      <c r="AL22" s="293" t="str">
        <f>+IF(p&gt;=4,"","95,000 M.N.")</f>
        <v>95,000 M.N.</v>
      </c>
    </row>
    <row r="23" spans="1:38">
      <c r="A23" s="291">
        <v>45474</v>
      </c>
      <c r="B23" s="291">
        <v>45838</v>
      </c>
      <c r="C23" s="271"/>
      <c r="E23" s="61">
        <v>1</v>
      </c>
      <c r="F23" s="369">
        <v>0.05</v>
      </c>
      <c r="G23" s="323">
        <f>IF('CAPTURA DP'!$B$4&gt;=4,1,1.0556)</f>
        <v>1.0556000000000001</v>
      </c>
      <c r="H23" s="61">
        <v>20</v>
      </c>
      <c r="I23" s="61" t="str">
        <f t="shared" si="1"/>
        <v>120</v>
      </c>
      <c r="J23" s="274">
        <v>100000</v>
      </c>
      <c r="K23" s="267">
        <v>1.009603</v>
      </c>
      <c r="L23" s="61">
        <f t="shared" si="0"/>
        <v>0</v>
      </c>
      <c r="M23" s="62">
        <v>20</v>
      </c>
      <c r="N23" s="62">
        <v>20</v>
      </c>
      <c r="O23" s="355">
        <f>+IF('DATOS GENERALES'!$C$18="n",Q23,P23)</f>
        <v>0.63139999999999996</v>
      </c>
      <c r="P23" s="363">
        <v>0.58450000000000002</v>
      </c>
      <c r="Q23" s="363">
        <v>0.63139999999999996</v>
      </c>
      <c r="R23" s="275"/>
      <c r="S23" s="290">
        <v>20</v>
      </c>
      <c r="T23" s="290" t="s">
        <v>328</v>
      </c>
      <c r="U23" s="290" t="s">
        <v>26</v>
      </c>
      <c r="V23" s="290" t="s">
        <v>13</v>
      </c>
      <c r="W23" s="382">
        <v>46</v>
      </c>
      <c r="X23" s="290">
        <v>88</v>
      </c>
      <c r="Y23" s="290">
        <v>1</v>
      </c>
      <c r="Z23" s="290">
        <f t="shared" si="4"/>
        <v>1</v>
      </c>
      <c r="AA23" s="63">
        <v>20</v>
      </c>
      <c r="AB23" s="318">
        <v>750</v>
      </c>
      <c r="AC23" s="249" t="str">
        <f>+IF('CAPTURA DP'!B4&lt;=3," 750  UMAM ","")</f>
        <v xml:space="preserve"> 750  UMAM </v>
      </c>
      <c r="AD23" s="276">
        <v>1.0999000000000001</v>
      </c>
      <c r="AE23" s="277"/>
      <c r="AF23" s="277"/>
      <c r="AG23" s="277"/>
      <c r="AH23" s="277"/>
      <c r="AI23" s="277"/>
      <c r="AJ23" s="293">
        <v>20</v>
      </c>
      <c r="AK23" s="365">
        <f>+IF(p&gt;=4,0,100000)</f>
        <v>100000</v>
      </c>
      <c r="AL23" s="293" t="str">
        <f>+IF(p&gt;=4,"","100,000 M.N.")</f>
        <v>100,000 M.N.</v>
      </c>
    </row>
    <row r="24" spans="1:38">
      <c r="A24" s="290" t="s">
        <v>92</v>
      </c>
      <c r="B24" s="290"/>
      <c r="E24" s="61">
        <v>2</v>
      </c>
      <c r="F24" s="369">
        <v>0.1</v>
      </c>
      <c r="G24" s="61">
        <v>1</v>
      </c>
      <c r="H24" s="61">
        <v>1</v>
      </c>
      <c r="I24" s="61" t="str">
        <f t="shared" si="1"/>
        <v>21</v>
      </c>
      <c r="J24" s="61">
        <v>0</v>
      </c>
      <c r="K24" s="267">
        <v>1</v>
      </c>
      <c r="L24" s="61">
        <f>+IF(b=2,1,1)</f>
        <v>1</v>
      </c>
      <c r="M24" s="62">
        <v>21</v>
      </c>
      <c r="N24" s="62">
        <v>21</v>
      </c>
      <c r="O24" s="355">
        <f>+IF('DATOS GENERALES'!$C$18="n",Q24,P24)</f>
        <v>0.62170000000000003</v>
      </c>
      <c r="P24" s="363">
        <v>0.5736</v>
      </c>
      <c r="Q24" s="363">
        <v>0.62170000000000003</v>
      </c>
      <c r="R24" s="275"/>
      <c r="S24" s="290">
        <v>21</v>
      </c>
      <c r="T24" s="290" t="s">
        <v>452</v>
      </c>
      <c r="U24" s="290" t="s">
        <v>453</v>
      </c>
      <c r="V24" s="290" t="s">
        <v>15</v>
      </c>
      <c r="W24" s="382">
        <v>56.43</v>
      </c>
      <c r="X24" s="290">
        <v>88</v>
      </c>
      <c r="Y24" s="290">
        <v>0</v>
      </c>
      <c r="Z24" s="290">
        <f t="shared" si="4"/>
        <v>1</v>
      </c>
      <c r="AA24" s="63">
        <v>21</v>
      </c>
      <c r="AB24" s="318">
        <v>800</v>
      </c>
      <c r="AC24" s="249" t="str">
        <f>+IF('CAPTURA DP'!B4&lt;=3," 800  UMAM ","")</f>
        <v xml:space="preserve"> 800  UMAM </v>
      </c>
      <c r="AD24" s="276">
        <v>1.105</v>
      </c>
      <c r="AE24" s="277"/>
      <c r="AF24" s="277"/>
      <c r="AG24" s="277"/>
      <c r="AH24" s="277"/>
      <c r="AI24" s="277"/>
    </row>
    <row r="25" spans="1:38">
      <c r="A25" s="291">
        <f ca="1">+'DATOS GENERALES'!C5</f>
        <v>45478</v>
      </c>
      <c r="B25" s="291">
        <f ca="1">+DATE(YEAR(A25)+1,MONTH(A25),DAY(A25))</f>
        <v>45843</v>
      </c>
      <c r="E25" s="61">
        <v>2</v>
      </c>
      <c r="F25" s="369">
        <v>0.1</v>
      </c>
      <c r="G25" s="61">
        <v>1</v>
      </c>
      <c r="H25" s="61">
        <v>2</v>
      </c>
      <c r="I25" s="61" t="str">
        <f t="shared" si="1"/>
        <v>22</v>
      </c>
      <c r="J25" s="274">
        <v>10000</v>
      </c>
      <c r="K25" s="267">
        <v>1.1146830000000001</v>
      </c>
      <c r="L25" s="61">
        <f t="shared" ref="L25:L31" si="5">+IF(b=2,1,0)</f>
        <v>0</v>
      </c>
      <c r="M25" s="62">
        <v>22</v>
      </c>
      <c r="N25" s="62">
        <v>22</v>
      </c>
      <c r="O25" s="355">
        <f>+IF('DATOS GENERALES'!$C$18="n",Q25,P25)</f>
        <v>0.61229999999999996</v>
      </c>
      <c r="P25" s="363">
        <v>0.56289999999999996</v>
      </c>
      <c r="Q25" s="363">
        <v>0.61229999999999996</v>
      </c>
      <c r="R25" s="275"/>
      <c r="S25" s="290">
        <v>22</v>
      </c>
      <c r="T25" s="290" t="s">
        <v>444</v>
      </c>
      <c r="U25" s="290" t="s">
        <v>445</v>
      </c>
      <c r="V25" s="290" t="s">
        <v>13</v>
      </c>
      <c r="W25" s="382">
        <v>56.43</v>
      </c>
      <c r="X25" s="290">
        <v>88</v>
      </c>
      <c r="Y25" s="290">
        <v>0</v>
      </c>
      <c r="Z25" s="290">
        <f t="shared" si="4"/>
        <v>1</v>
      </c>
      <c r="AA25" s="63">
        <v>22</v>
      </c>
      <c r="AB25" s="318">
        <v>850</v>
      </c>
      <c r="AC25" s="249" t="str">
        <f>+IF('CAPTURA DP'!B4&lt;=3," 850  UMAM ","")</f>
        <v xml:space="preserve"> 850  UMAM </v>
      </c>
      <c r="AD25" s="276">
        <v>1.1093999999999999</v>
      </c>
      <c r="AE25" s="277"/>
      <c r="AF25" s="277"/>
      <c r="AG25" s="277"/>
      <c r="AH25" s="277"/>
      <c r="AI25" s="277"/>
    </row>
    <row r="26" spans="1:38">
      <c r="A26" s="290" t="s">
        <v>397</v>
      </c>
      <c r="B26" s="290"/>
      <c r="E26" s="61">
        <v>2</v>
      </c>
      <c r="F26" s="369">
        <v>0.1</v>
      </c>
      <c r="G26" s="61">
        <v>1</v>
      </c>
      <c r="H26" s="61">
        <v>3</v>
      </c>
      <c r="I26" s="61" t="str">
        <f t="shared" si="1"/>
        <v>23</v>
      </c>
      <c r="J26" s="274">
        <v>15000</v>
      </c>
      <c r="K26" s="267">
        <v>1.0764609999999999</v>
      </c>
      <c r="L26" s="61">
        <f t="shared" si="5"/>
        <v>0</v>
      </c>
      <c r="M26" s="62">
        <v>23</v>
      </c>
      <c r="N26" s="62">
        <v>23</v>
      </c>
      <c r="O26" s="355">
        <f>+IF('DATOS GENERALES'!$C$18="n",Q26,P26)</f>
        <v>0.60309999999999997</v>
      </c>
      <c r="P26" s="363">
        <v>0.55259999999999998</v>
      </c>
      <c r="Q26" s="363">
        <v>0.60309999999999997</v>
      </c>
      <c r="R26" s="275"/>
      <c r="S26" s="290">
        <v>23</v>
      </c>
      <c r="T26" s="290" t="s">
        <v>329</v>
      </c>
      <c r="U26" s="290" t="s">
        <v>27</v>
      </c>
      <c r="V26" s="290" t="s">
        <v>13</v>
      </c>
      <c r="W26" s="382">
        <v>46.15</v>
      </c>
      <c r="X26" s="290">
        <v>88</v>
      </c>
      <c r="Y26" s="290">
        <v>1</v>
      </c>
      <c r="Z26" s="290">
        <f t="shared" si="4"/>
        <v>1</v>
      </c>
      <c r="AA26" s="63">
        <v>23</v>
      </c>
      <c r="AB26" s="318">
        <v>950</v>
      </c>
      <c r="AC26" s="249" t="str">
        <f>+IF('CAPTURA DP'!B4&lt;=3," 950  UMAM ","")</f>
        <v xml:space="preserve"> 950  UMAM </v>
      </c>
      <c r="AD26" s="276">
        <v>1.1178999999999999</v>
      </c>
      <c r="AE26" s="277"/>
      <c r="AF26" s="277"/>
      <c r="AG26" s="277"/>
      <c r="AH26" s="277"/>
      <c r="AI26" s="277"/>
    </row>
    <row r="27" spans="1:38">
      <c r="A27" s="291">
        <f ca="1">+TODAY()</f>
        <v>45478</v>
      </c>
      <c r="B27" s="291">
        <f ca="1">+A27+15</f>
        <v>45493</v>
      </c>
      <c r="E27" s="61">
        <v>2</v>
      </c>
      <c r="F27" s="369">
        <v>0.1</v>
      </c>
      <c r="G27" s="61">
        <v>1</v>
      </c>
      <c r="H27" s="61">
        <v>4</v>
      </c>
      <c r="I27" s="61" t="str">
        <f t="shared" si="1"/>
        <v>24</v>
      </c>
      <c r="J27" s="274">
        <v>20000</v>
      </c>
      <c r="K27" s="267">
        <v>1.0645960000000001</v>
      </c>
      <c r="L27" s="61">
        <f t="shared" si="5"/>
        <v>0</v>
      </c>
      <c r="M27" s="62">
        <v>24</v>
      </c>
      <c r="N27" s="62">
        <v>24</v>
      </c>
      <c r="O27" s="355">
        <f>+IF('DATOS GENERALES'!$C$18="n",Q27,P27)</f>
        <v>0.59409999999999996</v>
      </c>
      <c r="P27" s="363">
        <v>0.54249999999999998</v>
      </c>
      <c r="Q27" s="363">
        <v>0.59409999999999996</v>
      </c>
      <c r="R27" s="275"/>
      <c r="S27" s="290">
        <v>24</v>
      </c>
      <c r="T27" s="290" t="s">
        <v>289</v>
      </c>
      <c r="U27" s="290" t="s">
        <v>120</v>
      </c>
      <c r="V27" s="290" t="s">
        <v>13</v>
      </c>
      <c r="W27" s="382">
        <v>57.79</v>
      </c>
      <c r="X27" s="290">
        <v>88</v>
      </c>
      <c r="Y27" s="290">
        <v>0</v>
      </c>
      <c r="Z27" s="290">
        <f t="shared" si="4"/>
        <v>1</v>
      </c>
      <c r="AA27" s="63">
        <v>24</v>
      </c>
      <c r="AB27" s="318">
        <v>990</v>
      </c>
      <c r="AC27" s="249" t="str">
        <f>+IF('CAPTURA DP'!B4&lt;=3," 990  UMAM ","")</f>
        <v xml:space="preserve"> 990  UMAM </v>
      </c>
      <c r="AD27" s="276">
        <v>1.1211</v>
      </c>
      <c r="AE27" s="277"/>
      <c r="AF27" s="277"/>
      <c r="AG27" s="277"/>
      <c r="AH27" s="277"/>
      <c r="AI27" s="277"/>
    </row>
    <row r="28" spans="1:38">
      <c r="A28" s="327">
        <v>1</v>
      </c>
      <c r="B28" s="328">
        <f ca="1">+'CAPTURA DP'!BF104</f>
        <v>0</v>
      </c>
      <c r="E28" s="61">
        <v>2</v>
      </c>
      <c r="F28" s="369">
        <v>0.1</v>
      </c>
      <c r="G28" s="61">
        <v>1</v>
      </c>
      <c r="H28" s="61">
        <v>5</v>
      </c>
      <c r="I28" s="61" t="str">
        <f t="shared" si="1"/>
        <v>25</v>
      </c>
      <c r="J28" s="274">
        <v>25000</v>
      </c>
      <c r="K28" s="267">
        <v>1.0569580000000001</v>
      </c>
      <c r="L28" s="61">
        <f t="shared" si="5"/>
        <v>0</v>
      </c>
      <c r="M28" s="62">
        <v>25</v>
      </c>
      <c r="N28" s="62">
        <v>25</v>
      </c>
      <c r="O28" s="355">
        <f>+IF('DATOS GENERALES'!$C$18="n",Q28,P28)</f>
        <v>0.58530000000000004</v>
      </c>
      <c r="P28" s="363">
        <v>0.53259999999999996</v>
      </c>
      <c r="Q28" s="363">
        <v>0.58530000000000004</v>
      </c>
      <c r="R28" s="275"/>
      <c r="S28" s="290">
        <v>25</v>
      </c>
      <c r="T28" s="290" t="s">
        <v>287</v>
      </c>
      <c r="U28" s="290" t="s">
        <v>106</v>
      </c>
      <c r="V28" s="290" t="s">
        <v>15</v>
      </c>
      <c r="W28" s="382">
        <v>56.43</v>
      </c>
      <c r="X28" s="290">
        <v>88</v>
      </c>
      <c r="Y28" s="290">
        <v>0</v>
      </c>
      <c r="Z28" s="290">
        <f>+IF(p&gt;3,0,1)</f>
        <v>1</v>
      </c>
      <c r="AA28" s="63">
        <v>25</v>
      </c>
      <c r="AB28" s="318">
        <v>1000</v>
      </c>
      <c r="AC28" s="249" t="str">
        <f>+IF('CAPTURA DP'!B4&lt;=3," 1,000  UMAM ","")</f>
        <v xml:space="preserve"> 1,000  UMAM </v>
      </c>
      <c r="AD28" s="276">
        <v>1.1218999999999999</v>
      </c>
      <c r="AE28" s="277"/>
      <c r="AF28" s="277"/>
      <c r="AG28" s="277"/>
      <c r="AH28" s="277"/>
      <c r="AI28" s="277"/>
    </row>
    <row r="29" spans="1:38">
      <c r="A29" s="327">
        <v>2</v>
      </c>
      <c r="B29" s="328">
        <f ca="1">+'CAPTURA DP'!BM104</f>
        <v>0</v>
      </c>
      <c r="E29" s="61">
        <v>2</v>
      </c>
      <c r="F29" s="369">
        <v>0.1</v>
      </c>
      <c r="G29" s="61">
        <v>1</v>
      </c>
      <c r="H29" s="61">
        <v>6</v>
      </c>
      <c r="I29" s="61" t="str">
        <f t="shared" si="1"/>
        <v>26</v>
      </c>
      <c r="J29" s="274">
        <v>30000</v>
      </c>
      <c r="K29" s="267">
        <v>1.0519540000000001</v>
      </c>
      <c r="L29" s="61">
        <f t="shared" si="5"/>
        <v>0</v>
      </c>
      <c r="M29" s="62">
        <v>26</v>
      </c>
      <c r="N29" s="62">
        <v>26</v>
      </c>
      <c r="O29" s="355">
        <f>+IF('DATOS GENERALES'!$C$18="n",Q29,P29)</f>
        <v>0.57020000000000004</v>
      </c>
      <c r="P29" s="363">
        <v>0.52700000000000002</v>
      </c>
      <c r="Q29" s="363">
        <v>0.57020000000000004</v>
      </c>
      <c r="R29" s="275"/>
      <c r="S29" s="290">
        <v>26</v>
      </c>
      <c r="T29" s="290" t="s">
        <v>504</v>
      </c>
      <c r="U29" s="290" t="s">
        <v>21</v>
      </c>
      <c r="V29" s="290" t="s">
        <v>13</v>
      </c>
      <c r="W29" s="382">
        <v>100</v>
      </c>
      <c r="X29" s="290">
        <v>100</v>
      </c>
      <c r="Y29" s="290">
        <v>0</v>
      </c>
      <c r="Z29" s="290">
        <v>0</v>
      </c>
      <c r="AA29" s="63">
        <v>26</v>
      </c>
      <c r="AB29" s="318">
        <v>1050</v>
      </c>
      <c r="AC29" s="249" t="str">
        <f>+IF('CAPTURA DP'!B4&lt;=3," 1,050  UMAM ","")</f>
        <v xml:space="preserve"> 1,050  UMAM </v>
      </c>
      <c r="AD29" s="276">
        <v>1.1249</v>
      </c>
      <c r="AE29" s="277"/>
      <c r="AF29" s="277"/>
      <c r="AG29" s="277"/>
      <c r="AH29" s="277"/>
      <c r="AI29" s="277"/>
    </row>
    <row r="30" spans="1:38">
      <c r="A30" s="327">
        <v>3</v>
      </c>
      <c r="B30" s="328">
        <f ca="1">+'CAPTURA DP'!BT104</f>
        <v>0</v>
      </c>
      <c r="E30" s="61">
        <v>2</v>
      </c>
      <c r="F30" s="369">
        <v>0.1</v>
      </c>
      <c r="G30" s="61">
        <v>1</v>
      </c>
      <c r="H30" s="61">
        <v>7</v>
      </c>
      <c r="I30" s="61" t="str">
        <f t="shared" si="1"/>
        <v>27</v>
      </c>
      <c r="J30" s="274">
        <v>35000</v>
      </c>
      <c r="K30" s="267">
        <v>1.0486169999999999</v>
      </c>
      <c r="L30" s="61">
        <f t="shared" si="5"/>
        <v>0</v>
      </c>
      <c r="M30" s="62">
        <v>27</v>
      </c>
      <c r="N30" s="62">
        <v>27</v>
      </c>
      <c r="O30" s="355">
        <f>+IF('DATOS GENERALES'!$C$18="n",Q30,P30)</f>
        <v>0.56200000000000006</v>
      </c>
      <c r="P30" s="363">
        <v>0.51880000000000004</v>
      </c>
      <c r="Q30" s="363">
        <v>0.56200000000000006</v>
      </c>
      <c r="R30" s="275"/>
      <c r="S30" s="290">
        <v>27</v>
      </c>
      <c r="T30" s="290" t="s">
        <v>275</v>
      </c>
      <c r="U30" s="290" t="s">
        <v>29</v>
      </c>
      <c r="V30" s="290" t="s">
        <v>18</v>
      </c>
      <c r="W30" s="382">
        <v>126.85</v>
      </c>
      <c r="X30" s="290">
        <v>100</v>
      </c>
      <c r="Y30" s="290">
        <v>0</v>
      </c>
      <c r="Z30" s="290">
        <v>0</v>
      </c>
      <c r="AA30" s="63">
        <v>27</v>
      </c>
      <c r="AB30" s="318">
        <v>1070</v>
      </c>
      <c r="AC30" s="249" t="str">
        <f>+IF('CAPTURA DP'!B4&lt;=3," 1,070  UMAM ","")</f>
        <v xml:space="preserve"> 1,070  UMAM </v>
      </c>
      <c r="AD30" s="276">
        <v>1.1262000000000001</v>
      </c>
      <c r="AE30" s="277"/>
      <c r="AF30" s="277"/>
      <c r="AG30" s="277"/>
      <c r="AH30" s="277"/>
      <c r="AI30" s="277"/>
    </row>
    <row r="31" spans="1:38">
      <c r="A31" s="327">
        <v>4</v>
      </c>
      <c r="B31" s="328">
        <f ca="1">+'CAPTURA DP'!CA104</f>
        <v>0</v>
      </c>
      <c r="E31" s="61">
        <v>2</v>
      </c>
      <c r="F31" s="369">
        <v>0.1</v>
      </c>
      <c r="G31" s="61">
        <v>1</v>
      </c>
      <c r="H31" s="61">
        <v>8</v>
      </c>
      <c r="I31" s="61" t="str">
        <f t="shared" si="1"/>
        <v>28</v>
      </c>
      <c r="J31" s="274">
        <v>40000</v>
      </c>
      <c r="K31" s="267">
        <v>1.0231939999999999</v>
      </c>
      <c r="L31" s="61">
        <f t="shared" si="5"/>
        <v>0</v>
      </c>
      <c r="M31" s="62">
        <v>28</v>
      </c>
      <c r="N31" s="62">
        <v>28</v>
      </c>
      <c r="O31" s="355">
        <f>+IF('DATOS GENERALES'!$C$18="n",Q31,P31)</f>
        <v>0.55420000000000003</v>
      </c>
      <c r="P31" s="363">
        <v>0.51100000000000001</v>
      </c>
      <c r="Q31" s="363">
        <v>0.55420000000000003</v>
      </c>
      <c r="R31" s="275"/>
      <c r="S31" s="290">
        <v>28</v>
      </c>
      <c r="T31" s="290" t="s">
        <v>276</v>
      </c>
      <c r="U31" s="290" t="s">
        <v>28</v>
      </c>
      <c r="V31" s="290" t="s">
        <v>13</v>
      </c>
      <c r="W31" s="382">
        <v>46</v>
      </c>
      <c r="X31" s="290">
        <v>88</v>
      </c>
      <c r="Y31" s="290">
        <v>1</v>
      </c>
      <c r="Z31" s="290">
        <f t="shared" ref="Z31:Z51" si="6">+IF(p&gt;3,0,1)</f>
        <v>1</v>
      </c>
      <c r="AA31" s="63">
        <v>28</v>
      </c>
      <c r="AB31" s="318">
        <v>1100</v>
      </c>
      <c r="AC31" s="249" t="str">
        <f>+IF('CAPTURA DP'!B4&lt;=3," 1,100  UMAM ","")</f>
        <v xml:space="preserve"> 1,100  UMAM </v>
      </c>
      <c r="AD31" s="276">
        <v>1.1279999999999999</v>
      </c>
      <c r="AE31" s="277"/>
      <c r="AF31" s="277"/>
      <c r="AG31" s="277"/>
      <c r="AH31" s="277"/>
      <c r="AI31" s="277"/>
    </row>
    <row r="32" spans="1:38">
      <c r="A32" s="327">
        <v>5</v>
      </c>
      <c r="B32" s="328">
        <f ca="1">+'CAPTURA DP'!CH104</f>
        <v>0</v>
      </c>
      <c r="E32" s="61">
        <v>2</v>
      </c>
      <c r="F32" s="369">
        <v>0.1</v>
      </c>
      <c r="G32" s="61">
        <v>1</v>
      </c>
      <c r="H32" s="61">
        <v>9</v>
      </c>
      <c r="I32" s="61" t="str">
        <f t="shared" si="1"/>
        <v>29</v>
      </c>
      <c r="J32" s="274">
        <v>45000</v>
      </c>
      <c r="K32" s="267">
        <v>1.02241</v>
      </c>
      <c r="L32" s="61">
        <f>+IF(b=2,1,0)</f>
        <v>0</v>
      </c>
      <c r="M32" s="62">
        <v>29</v>
      </c>
      <c r="N32" s="62">
        <v>29</v>
      </c>
      <c r="O32" s="355">
        <f>+IF('DATOS GENERALES'!$C$18="n",Q32,P32)</f>
        <v>0.54679999999999995</v>
      </c>
      <c r="P32" s="363">
        <v>0.50360000000000005</v>
      </c>
      <c r="Q32" s="363">
        <v>0.54679999999999995</v>
      </c>
      <c r="R32" s="275"/>
      <c r="S32" s="290">
        <v>29</v>
      </c>
      <c r="T32" s="290" t="s">
        <v>285</v>
      </c>
      <c r="U32" s="290" t="s">
        <v>306</v>
      </c>
      <c r="V32" s="290" t="s">
        <v>15</v>
      </c>
      <c r="W32" s="382">
        <v>56.43</v>
      </c>
      <c r="X32" s="290">
        <v>88</v>
      </c>
      <c r="Y32" s="290">
        <v>1</v>
      </c>
      <c r="Z32" s="290">
        <f t="shared" si="6"/>
        <v>1</v>
      </c>
      <c r="AA32" s="63">
        <v>29</v>
      </c>
      <c r="AB32" s="318">
        <v>1115</v>
      </c>
      <c r="AC32" s="249" t="str">
        <f>+IF('CAPTURA DP'!B4&lt;=3," 1,115  UMAM ","")</f>
        <v xml:space="preserve"> 1,115  UMAM </v>
      </c>
      <c r="AD32" s="276">
        <v>1.1289</v>
      </c>
      <c r="AE32" s="277"/>
      <c r="AF32" s="277"/>
      <c r="AG32" s="277"/>
      <c r="AH32" s="277"/>
      <c r="AI32" s="277"/>
    </row>
    <row r="33" spans="1:35">
      <c r="A33" s="327">
        <v>6</v>
      </c>
      <c r="B33" s="328">
        <f ca="1">+'CAPTURA DP'!CO104</f>
        <v>0</v>
      </c>
      <c r="E33" s="61">
        <v>2</v>
      </c>
      <c r="F33" s="369">
        <v>0.1</v>
      </c>
      <c r="G33" s="61">
        <v>1</v>
      </c>
      <c r="H33" s="61">
        <v>10</v>
      </c>
      <c r="I33" s="61" t="str">
        <f t="shared" si="1"/>
        <v>210</v>
      </c>
      <c r="J33" s="274">
        <v>50000</v>
      </c>
      <c r="K33" s="267">
        <v>1.0219659999999999</v>
      </c>
      <c r="L33" s="61">
        <f t="shared" ref="L33:L43" si="7">+IF(b=2,1,1)</f>
        <v>1</v>
      </c>
      <c r="M33" s="62">
        <v>30</v>
      </c>
      <c r="N33" s="62">
        <v>30</v>
      </c>
      <c r="O33" s="355">
        <f>+IF('DATOS GENERALES'!$C$18="n",Q33,P33)</f>
        <v>0.53969999999999996</v>
      </c>
      <c r="P33" s="363">
        <v>0.49659999999999999</v>
      </c>
      <c r="Q33" s="363">
        <v>0.53969999999999996</v>
      </c>
      <c r="R33" s="275"/>
      <c r="S33" s="290">
        <v>30</v>
      </c>
      <c r="T33" s="290" t="s">
        <v>288</v>
      </c>
      <c r="U33" s="290" t="s">
        <v>108</v>
      </c>
      <c r="V33" s="290" t="s">
        <v>13</v>
      </c>
      <c r="W33" s="382">
        <v>46.15</v>
      </c>
      <c r="X33" s="290">
        <v>88</v>
      </c>
      <c r="Y33" s="290">
        <v>1</v>
      </c>
      <c r="Z33" s="290">
        <f t="shared" si="6"/>
        <v>1</v>
      </c>
      <c r="AA33" s="63">
        <v>30</v>
      </c>
      <c r="AB33" s="318">
        <v>1150</v>
      </c>
      <c r="AC33" s="249" t="str">
        <f>+IF('CAPTURA DP'!B4&lt;=3," 1,150  UMAM ","")</f>
        <v xml:space="preserve"> 1,150  UMAM </v>
      </c>
      <c r="AD33" s="276">
        <v>1.1311</v>
      </c>
      <c r="AE33" s="277"/>
      <c r="AF33" s="277"/>
      <c r="AG33" s="277"/>
      <c r="AH33" s="277"/>
      <c r="AI33" s="277"/>
    </row>
    <row r="34" spans="1:35">
      <c r="E34" s="61">
        <v>2</v>
      </c>
      <c r="F34" s="369">
        <v>0.1</v>
      </c>
      <c r="G34" s="61">
        <v>1</v>
      </c>
      <c r="H34" s="61">
        <v>11</v>
      </c>
      <c r="I34" s="61" t="str">
        <f t="shared" si="1"/>
        <v>211</v>
      </c>
      <c r="J34" s="274">
        <v>55000</v>
      </c>
      <c r="K34" s="267">
        <v>1.0203629999999999</v>
      </c>
      <c r="L34" s="61">
        <f>+IF(b=2,1,0)</f>
        <v>0</v>
      </c>
      <c r="M34" s="62">
        <v>31</v>
      </c>
      <c r="N34" s="62">
        <v>31</v>
      </c>
      <c r="O34" s="355">
        <f>+IF('DATOS GENERALES'!$C$18="n",Q34,P34)</f>
        <v>0.53290000000000004</v>
      </c>
      <c r="P34" s="363">
        <v>0.4899</v>
      </c>
      <c r="Q34" s="363">
        <v>0.53290000000000004</v>
      </c>
      <c r="R34" s="275"/>
      <c r="S34" s="290">
        <v>31</v>
      </c>
      <c r="T34" s="290" t="s">
        <v>284</v>
      </c>
      <c r="U34" s="290" t="s">
        <v>95</v>
      </c>
      <c r="V34" s="290" t="s">
        <v>13</v>
      </c>
      <c r="W34" s="382">
        <v>57.79</v>
      </c>
      <c r="X34" s="290">
        <v>88</v>
      </c>
      <c r="Y34" s="290">
        <v>0</v>
      </c>
      <c r="Z34" s="290">
        <f t="shared" si="6"/>
        <v>1</v>
      </c>
      <c r="AA34" s="63">
        <v>31</v>
      </c>
      <c r="AB34" s="318">
        <v>1160</v>
      </c>
      <c r="AC34" s="249" t="str">
        <f>+IF('CAPTURA DP'!B4&lt;=3," 1,160  UMAM ","")</f>
        <v xml:space="preserve"> 1,160  UMAM </v>
      </c>
      <c r="AD34" s="276">
        <v>1.1316999999999999</v>
      </c>
      <c r="AE34" s="277"/>
      <c r="AF34" s="277"/>
      <c r="AG34" s="277"/>
      <c r="AH34" s="277"/>
      <c r="AI34" s="277"/>
    </row>
    <row r="35" spans="1:35">
      <c r="B35" s="339" t="s">
        <v>395</v>
      </c>
      <c r="E35" s="61">
        <v>2</v>
      </c>
      <c r="F35" s="369">
        <v>0.1</v>
      </c>
      <c r="G35" s="61">
        <v>1</v>
      </c>
      <c r="H35" s="61">
        <v>12</v>
      </c>
      <c r="I35" s="61" t="str">
        <f t="shared" si="1"/>
        <v>212</v>
      </c>
      <c r="J35" s="274">
        <v>60000</v>
      </c>
      <c r="K35" s="267">
        <v>1.018799</v>
      </c>
      <c r="L35" s="61">
        <f t="shared" si="7"/>
        <v>1</v>
      </c>
      <c r="M35" s="62">
        <v>32</v>
      </c>
      <c r="N35" s="62">
        <v>32</v>
      </c>
      <c r="O35" s="355">
        <f>+IF('DATOS GENERALES'!$C$18="n",Q35,P35)</f>
        <v>0.52649999999999997</v>
      </c>
      <c r="P35" s="363">
        <v>0.4834</v>
      </c>
      <c r="Q35" s="363">
        <v>0.52649999999999997</v>
      </c>
      <c r="R35" s="275"/>
      <c r="S35" s="290">
        <v>32</v>
      </c>
      <c r="T35" s="290" t="s">
        <v>315</v>
      </c>
      <c r="U35" s="290" t="s">
        <v>316</v>
      </c>
      <c r="V35" s="290" t="s">
        <v>15</v>
      </c>
      <c r="W35" s="382">
        <v>46.15</v>
      </c>
      <c r="X35" s="290">
        <v>88</v>
      </c>
      <c r="Y35" s="290">
        <v>0</v>
      </c>
      <c r="Z35" s="290">
        <f t="shared" si="6"/>
        <v>1</v>
      </c>
      <c r="AA35" s="63">
        <v>32</v>
      </c>
      <c r="AB35" s="318">
        <v>1200</v>
      </c>
      <c r="AC35" s="249" t="str">
        <f>+IF('CAPTURA DP'!B4&lt;=3," 1,200  UMAM ","")</f>
        <v xml:space="preserve"> 1,200  UMAM </v>
      </c>
      <c r="AD35" s="276">
        <v>1.1342000000000001</v>
      </c>
      <c r="AE35" s="277"/>
      <c r="AF35" s="277"/>
      <c r="AG35" s="277"/>
      <c r="AH35" s="277"/>
      <c r="AI35" s="277"/>
    </row>
    <row r="36" spans="1:35">
      <c r="A36" s="339">
        <v>0</v>
      </c>
      <c r="B36" s="339">
        <v>49</v>
      </c>
      <c r="C36" s="340">
        <f>+'CAPTURA DP'!CT3</f>
        <v>0.18</v>
      </c>
      <c r="E36" s="61">
        <v>2</v>
      </c>
      <c r="F36" s="369">
        <v>0.1</v>
      </c>
      <c r="G36" s="61">
        <v>1</v>
      </c>
      <c r="H36" s="61">
        <v>13</v>
      </c>
      <c r="I36" s="61" t="str">
        <f t="shared" si="1"/>
        <v>213</v>
      </c>
      <c r="J36" s="274">
        <v>65000</v>
      </c>
      <c r="K36" s="267">
        <v>1.017298</v>
      </c>
      <c r="L36" s="61">
        <f>+IF(b=2,1,0)</f>
        <v>0</v>
      </c>
      <c r="M36" s="62">
        <v>33</v>
      </c>
      <c r="N36" s="62">
        <v>33</v>
      </c>
      <c r="O36" s="355">
        <f>+IF('DATOS GENERALES'!$C$18="n",Q36,P36)</f>
        <v>0.52029999999999998</v>
      </c>
      <c r="P36" s="363">
        <v>0.4773</v>
      </c>
      <c r="Q36" s="363">
        <v>0.52029999999999998</v>
      </c>
      <c r="R36" s="275"/>
      <c r="S36" s="290">
        <v>33</v>
      </c>
      <c r="T36" s="290" t="s">
        <v>277</v>
      </c>
      <c r="U36" s="290" t="s">
        <v>30</v>
      </c>
      <c r="V36" s="290" t="s">
        <v>13</v>
      </c>
      <c r="W36" s="382">
        <v>63.87</v>
      </c>
      <c r="X36" s="290">
        <v>88</v>
      </c>
      <c r="Y36" s="290">
        <v>0</v>
      </c>
      <c r="Z36" s="290">
        <f t="shared" si="6"/>
        <v>1</v>
      </c>
      <c r="AA36" s="63">
        <v>33</v>
      </c>
      <c r="AB36" s="318">
        <v>1250</v>
      </c>
      <c r="AC36" s="249" t="str">
        <f>+IF('CAPTURA DP'!B4&lt;=3," 1,250  UMAM ","")</f>
        <v xml:space="preserve"> 1,250  UMAM </v>
      </c>
      <c r="AD36" s="276">
        <v>1.1372</v>
      </c>
      <c r="AE36" s="277"/>
      <c r="AF36" s="277"/>
      <c r="AG36" s="277"/>
      <c r="AH36" s="277"/>
      <c r="AI36" s="277"/>
    </row>
    <row r="37" spans="1:35">
      <c r="A37" s="339">
        <v>50</v>
      </c>
      <c r="B37" s="339">
        <v>59</v>
      </c>
      <c r="C37" s="340">
        <f>+'CAPTURA DP'!CT53</f>
        <v>0.15</v>
      </c>
      <c r="E37" s="61">
        <v>2</v>
      </c>
      <c r="F37" s="369">
        <v>0.1</v>
      </c>
      <c r="G37" s="61">
        <v>1</v>
      </c>
      <c r="H37" s="61">
        <v>14</v>
      </c>
      <c r="I37" s="61" t="str">
        <f t="shared" si="1"/>
        <v>214</v>
      </c>
      <c r="J37" s="274">
        <v>70000</v>
      </c>
      <c r="K37" s="267">
        <v>1.015882</v>
      </c>
      <c r="L37" s="61">
        <f t="shared" si="7"/>
        <v>1</v>
      </c>
      <c r="M37" s="62">
        <v>34</v>
      </c>
      <c r="N37" s="62">
        <v>34</v>
      </c>
      <c r="O37" s="355">
        <f>+IF('DATOS GENERALES'!$C$18="n",Q37,P37)</f>
        <v>0.51439999999999997</v>
      </c>
      <c r="P37" s="363">
        <v>0.47139999999999999</v>
      </c>
      <c r="Q37" s="363">
        <v>0.51439999999999997</v>
      </c>
      <c r="R37" s="275"/>
      <c r="S37" s="290">
        <v>34</v>
      </c>
      <c r="T37" s="290" t="s">
        <v>334</v>
      </c>
      <c r="U37" s="290" t="s">
        <v>336</v>
      </c>
      <c r="V37" s="290" t="s">
        <v>13</v>
      </c>
      <c r="W37" s="382">
        <v>70.150000000000006</v>
      </c>
      <c r="X37" s="290">
        <v>88</v>
      </c>
      <c r="Y37" s="290">
        <v>0</v>
      </c>
      <c r="Z37" s="290">
        <f t="shared" si="6"/>
        <v>1</v>
      </c>
      <c r="AA37" s="63">
        <v>34</v>
      </c>
      <c r="AB37" s="318">
        <v>1300</v>
      </c>
      <c r="AC37" s="249" t="str">
        <f>+IF('CAPTURA DP'!B4&lt;=3," 1,300  UMAM ","")</f>
        <v xml:space="preserve"> 1,300  UMAM </v>
      </c>
      <c r="AD37" s="276">
        <v>1.1403000000000001</v>
      </c>
      <c r="AE37" s="277"/>
      <c r="AF37" s="277"/>
      <c r="AG37" s="277"/>
      <c r="AH37" s="277"/>
      <c r="AI37" s="277"/>
    </row>
    <row r="38" spans="1:35">
      <c r="A38" s="339">
        <v>60</v>
      </c>
      <c r="B38" s="339">
        <v>99</v>
      </c>
      <c r="C38" s="340">
        <f>+'CAPTURA DP'!CT63</f>
        <v>0.12</v>
      </c>
      <c r="E38" s="61">
        <v>2</v>
      </c>
      <c r="F38" s="369">
        <v>0.1</v>
      </c>
      <c r="G38" s="61">
        <v>1</v>
      </c>
      <c r="H38" s="61">
        <v>15</v>
      </c>
      <c r="I38" s="61" t="str">
        <f t="shared" si="1"/>
        <v>215</v>
      </c>
      <c r="J38" s="274">
        <v>75000</v>
      </c>
      <c r="K38" s="267">
        <v>1.0145630000000001</v>
      </c>
      <c r="L38" s="61">
        <f t="shared" si="7"/>
        <v>1</v>
      </c>
      <c r="M38" s="62">
        <v>35</v>
      </c>
      <c r="N38" s="62">
        <v>35</v>
      </c>
      <c r="O38" s="355">
        <f>+IF('DATOS GENERALES'!$C$18="n",Q38,P38)</f>
        <v>0.50870000000000004</v>
      </c>
      <c r="P38" s="363">
        <v>0.46579999999999999</v>
      </c>
      <c r="Q38" s="363">
        <v>0.50870000000000004</v>
      </c>
      <c r="R38" s="275"/>
      <c r="S38" s="290">
        <v>35</v>
      </c>
      <c r="T38" s="290" t="s">
        <v>330</v>
      </c>
      <c r="U38" s="290" t="s">
        <v>31</v>
      </c>
      <c r="V38" s="290" t="s">
        <v>13</v>
      </c>
      <c r="W38" s="382">
        <v>63.87</v>
      </c>
      <c r="X38" s="290">
        <v>88</v>
      </c>
      <c r="Y38" s="290">
        <v>1</v>
      </c>
      <c r="Z38" s="290">
        <f t="shared" si="6"/>
        <v>1</v>
      </c>
      <c r="AA38" s="63">
        <v>35</v>
      </c>
      <c r="AB38" s="318">
        <v>1400</v>
      </c>
      <c r="AC38" s="249" t="str">
        <f>+IF('CAPTURA DP'!B4&lt;=3," 1,400  UMAM ","")</f>
        <v xml:space="preserve"> 1,400  UMAM </v>
      </c>
      <c r="AD38" s="276">
        <v>1.1464000000000001</v>
      </c>
      <c r="AE38" s="277"/>
      <c r="AF38" s="277"/>
      <c r="AG38" s="277"/>
      <c r="AH38" s="277"/>
      <c r="AI38" s="277"/>
    </row>
    <row r="39" spans="1:35">
      <c r="E39" s="61">
        <v>2</v>
      </c>
      <c r="F39" s="369">
        <v>0.1</v>
      </c>
      <c r="G39" s="61">
        <v>1</v>
      </c>
      <c r="H39" s="61">
        <v>16</v>
      </c>
      <c r="I39" s="61" t="str">
        <f t="shared" si="1"/>
        <v>216</v>
      </c>
      <c r="J39" s="274">
        <v>80000</v>
      </c>
      <c r="K39" s="267">
        <v>1.01335</v>
      </c>
      <c r="L39" s="61">
        <f t="shared" si="7"/>
        <v>1</v>
      </c>
      <c r="M39" s="62">
        <v>36</v>
      </c>
      <c r="N39" s="62">
        <v>36</v>
      </c>
      <c r="O39" s="355">
        <f>+IF('DATOS GENERALES'!$C$18="n",Q39,P39)</f>
        <v>0.50319999999999998</v>
      </c>
      <c r="P39" s="363">
        <v>0.46039999999999998</v>
      </c>
      <c r="Q39" s="363">
        <v>0.50319999999999998</v>
      </c>
      <c r="R39" s="275"/>
      <c r="S39" s="290">
        <v>36</v>
      </c>
      <c r="T39" s="290" t="s">
        <v>278</v>
      </c>
      <c r="U39" s="290" t="s">
        <v>32</v>
      </c>
      <c r="V39" s="290" t="s">
        <v>15</v>
      </c>
      <c r="W39" s="382">
        <v>56.43</v>
      </c>
      <c r="X39" s="290">
        <v>88</v>
      </c>
      <c r="Y39" s="290">
        <v>1</v>
      </c>
      <c r="Z39" s="290">
        <f t="shared" si="6"/>
        <v>1</v>
      </c>
      <c r="AA39" s="63">
        <v>36</v>
      </c>
      <c r="AB39" s="318">
        <v>1500</v>
      </c>
      <c r="AC39" s="249" t="str">
        <f>+IF('CAPTURA DP'!B4&lt;=3," 1,500  UMAM ","")</f>
        <v xml:space="preserve"> 1,500  UMAM </v>
      </c>
      <c r="AD39" s="276">
        <v>1.1526000000000001</v>
      </c>
      <c r="AE39" s="277"/>
      <c r="AF39" s="277"/>
      <c r="AG39" s="277"/>
      <c r="AH39" s="277"/>
      <c r="AI39" s="277"/>
    </row>
    <row r="40" spans="1:35">
      <c r="E40" s="61">
        <v>2</v>
      </c>
      <c r="F40" s="369">
        <v>0.1</v>
      </c>
      <c r="G40" s="61">
        <v>1</v>
      </c>
      <c r="H40" s="61">
        <v>17</v>
      </c>
      <c r="I40" s="61" t="str">
        <f t="shared" si="1"/>
        <v>217</v>
      </c>
      <c r="J40" s="274">
        <v>85000</v>
      </c>
      <c r="K40" s="267">
        <v>1.0122340000000001</v>
      </c>
      <c r="L40" s="61">
        <f t="shared" si="7"/>
        <v>1</v>
      </c>
      <c r="M40" s="62">
        <v>37</v>
      </c>
      <c r="N40" s="62">
        <v>37</v>
      </c>
      <c r="O40" s="355">
        <f>+IF('DATOS GENERALES'!$C$18="n",Q40,P40)</f>
        <v>0.49790000000000001</v>
      </c>
      <c r="P40" s="363">
        <v>0.45519999999999999</v>
      </c>
      <c r="Q40" s="363">
        <v>0.49790000000000001</v>
      </c>
      <c r="R40" s="275"/>
      <c r="S40" s="290">
        <v>37</v>
      </c>
      <c r="T40" s="290" t="s">
        <v>279</v>
      </c>
      <c r="U40" s="290" t="s">
        <v>65</v>
      </c>
      <c r="V40" s="290" t="s">
        <v>18</v>
      </c>
      <c r="W40" s="382">
        <v>60.73</v>
      </c>
      <c r="X40" s="290">
        <v>88</v>
      </c>
      <c r="Y40" s="290">
        <v>1</v>
      </c>
      <c r="Z40" s="290">
        <f t="shared" si="6"/>
        <v>1</v>
      </c>
      <c r="AA40" s="63">
        <v>37</v>
      </c>
      <c r="AB40" s="318">
        <v>1600</v>
      </c>
      <c r="AC40" s="249" t="str">
        <f>+IF('CAPTURA DP'!B4&lt;=3," 1,600  UMAM ","")</f>
        <v xml:space="preserve"> 1,600  UMAM </v>
      </c>
      <c r="AD40" s="276">
        <v>1.1569</v>
      </c>
      <c r="AE40" s="277"/>
      <c r="AF40" s="277"/>
      <c r="AG40" s="277"/>
      <c r="AH40" s="277"/>
      <c r="AI40" s="277"/>
    </row>
    <row r="41" spans="1:35">
      <c r="A41" s="342" t="s">
        <v>403</v>
      </c>
      <c r="E41" s="61">
        <v>2</v>
      </c>
      <c r="F41" s="369">
        <v>0.1</v>
      </c>
      <c r="G41" s="61">
        <v>1</v>
      </c>
      <c r="H41" s="61">
        <v>18</v>
      </c>
      <c r="I41" s="61" t="str">
        <f t="shared" si="1"/>
        <v>218</v>
      </c>
      <c r="J41" s="274">
        <v>90000</v>
      </c>
      <c r="K41" s="267">
        <v>1.011209</v>
      </c>
      <c r="L41" s="61">
        <f t="shared" si="7"/>
        <v>1</v>
      </c>
      <c r="M41" s="62">
        <v>38</v>
      </c>
      <c r="N41" s="62">
        <v>38</v>
      </c>
      <c r="O41" s="355">
        <f>+IF('DATOS GENERALES'!$C$18="n",Q41,P41)</f>
        <v>0.4929</v>
      </c>
      <c r="P41" s="363">
        <v>0.45019999999999999</v>
      </c>
      <c r="Q41" s="363">
        <v>0.4929</v>
      </c>
      <c r="R41" s="275"/>
      <c r="S41" s="290">
        <v>38</v>
      </c>
      <c r="T41" s="290" t="s">
        <v>331</v>
      </c>
      <c r="U41" s="290" t="s">
        <v>311</v>
      </c>
      <c r="V41" s="290" t="s">
        <v>13</v>
      </c>
      <c r="W41" s="382">
        <v>46</v>
      </c>
      <c r="X41" s="290">
        <v>88</v>
      </c>
      <c r="Y41" s="290">
        <v>1</v>
      </c>
      <c r="Z41" s="290">
        <f t="shared" si="6"/>
        <v>1</v>
      </c>
      <c r="AA41" s="63">
        <v>38</v>
      </c>
      <c r="AB41" s="318">
        <v>1604</v>
      </c>
      <c r="AC41" s="249" t="str">
        <f>+IF('CAPTURA DP'!B4&lt;=3," 1,604  UMAM ","")</f>
        <v xml:space="preserve"> 1,604  UMAM </v>
      </c>
      <c r="AD41" s="276">
        <v>1.1571</v>
      </c>
      <c r="AE41" s="277"/>
      <c r="AF41" s="277"/>
      <c r="AG41" s="277"/>
      <c r="AH41" s="277"/>
      <c r="AI41" s="277"/>
    </row>
    <row r="42" spans="1:35">
      <c r="A42" s="342" t="s">
        <v>404</v>
      </c>
      <c r="E42" s="61">
        <v>2</v>
      </c>
      <c r="F42" s="369">
        <v>0.1</v>
      </c>
      <c r="G42" s="61">
        <v>1</v>
      </c>
      <c r="H42" s="61">
        <v>19</v>
      </c>
      <c r="I42" s="61" t="str">
        <f t="shared" si="1"/>
        <v>219</v>
      </c>
      <c r="J42" s="274">
        <v>95000</v>
      </c>
      <c r="K42" s="267">
        <v>1.0102660000000001</v>
      </c>
      <c r="L42" s="61">
        <f t="shared" si="7"/>
        <v>1</v>
      </c>
      <c r="M42" s="62">
        <v>39</v>
      </c>
      <c r="N42" s="62">
        <v>39</v>
      </c>
      <c r="O42" s="355">
        <f>+IF('DATOS GENERALES'!$C$18="n",Q42,P42)</f>
        <v>0.48799999999999999</v>
      </c>
      <c r="P42" s="363">
        <v>0.44529999999999997</v>
      </c>
      <c r="Q42" s="363">
        <v>0.48799999999999999</v>
      </c>
      <c r="R42" s="275"/>
      <c r="S42" s="290">
        <v>39</v>
      </c>
      <c r="T42" s="290" t="s">
        <v>281</v>
      </c>
      <c r="U42" s="290" t="s">
        <v>57</v>
      </c>
      <c r="V42" s="290" t="s">
        <v>18</v>
      </c>
      <c r="W42" s="382">
        <v>56.43</v>
      </c>
      <c r="X42" s="290">
        <v>88</v>
      </c>
      <c r="Y42" s="290">
        <v>1</v>
      </c>
      <c r="Z42" s="290">
        <f t="shared" si="6"/>
        <v>1</v>
      </c>
      <c r="AA42" s="63">
        <v>39</v>
      </c>
      <c r="AB42" s="318">
        <v>1650</v>
      </c>
      <c r="AC42" s="249" t="str">
        <f>+IF('CAPTURA DP'!B4&lt;=3," 1,650  UMAM ","")</f>
        <v xml:space="preserve"> 1,650  UMAM </v>
      </c>
      <c r="AD42" s="276">
        <v>1.1591</v>
      </c>
      <c r="AE42" s="277"/>
      <c r="AF42" s="277"/>
      <c r="AG42" s="277"/>
      <c r="AH42" s="277"/>
      <c r="AI42" s="277"/>
    </row>
    <row r="43" spans="1:35">
      <c r="E43" s="61">
        <v>2</v>
      </c>
      <c r="F43" s="369">
        <v>0.1</v>
      </c>
      <c r="G43" s="61">
        <v>1</v>
      </c>
      <c r="H43" s="61">
        <v>20</v>
      </c>
      <c r="I43" s="61" t="str">
        <f t="shared" si="1"/>
        <v>220</v>
      </c>
      <c r="J43" s="274">
        <v>100000</v>
      </c>
      <c r="K43" s="267">
        <v>1.0094000000000001</v>
      </c>
      <c r="L43" s="61">
        <f t="shared" si="7"/>
        <v>1</v>
      </c>
      <c r="M43" s="62">
        <v>40</v>
      </c>
      <c r="N43" s="62">
        <v>40</v>
      </c>
      <c r="O43" s="355">
        <f>+IF('DATOS GENERALES'!$C$18="n",Q43,P43)</f>
        <v>0.48330000000000001</v>
      </c>
      <c r="P43" s="363">
        <v>0.44069999999999998</v>
      </c>
      <c r="Q43" s="363">
        <v>0.48330000000000001</v>
      </c>
      <c r="R43" s="275"/>
      <c r="S43" s="290">
        <v>40</v>
      </c>
      <c r="T43" s="290" t="s">
        <v>485</v>
      </c>
      <c r="U43" s="290" t="s">
        <v>486</v>
      </c>
      <c r="V43" s="290" t="s">
        <v>13</v>
      </c>
      <c r="W43" s="382">
        <v>56.43</v>
      </c>
      <c r="X43" s="290">
        <v>88</v>
      </c>
      <c r="Y43" s="290">
        <v>0</v>
      </c>
      <c r="Z43" s="290">
        <f t="shared" si="6"/>
        <v>1</v>
      </c>
      <c r="AA43" s="63">
        <v>40</v>
      </c>
      <c r="AB43" s="318">
        <v>1700</v>
      </c>
      <c r="AC43" s="249" t="str">
        <f>+IF('CAPTURA DP'!B4&lt;=3," 1,700  UMAM ","")</f>
        <v xml:space="preserve"> 1,700  UMAM </v>
      </c>
      <c r="AD43" s="276">
        <v>1.1613</v>
      </c>
      <c r="AE43" s="277"/>
      <c r="AF43" s="277"/>
      <c r="AG43" s="277"/>
      <c r="AH43" s="277"/>
      <c r="AI43" s="277"/>
    </row>
    <row r="44" spans="1:35">
      <c r="E44" s="61">
        <v>3</v>
      </c>
      <c r="F44" s="369">
        <v>0.15</v>
      </c>
      <c r="G44" s="61">
        <v>0.94440000000000002</v>
      </c>
      <c r="H44" s="61">
        <v>1</v>
      </c>
      <c r="I44" s="61" t="str">
        <f t="shared" si="1"/>
        <v>31</v>
      </c>
      <c r="J44" s="61">
        <v>0</v>
      </c>
      <c r="K44" s="267">
        <v>1</v>
      </c>
      <c r="L44" s="61">
        <f>+IF(b=2,1,1)</f>
        <v>1</v>
      </c>
      <c r="M44" s="62">
        <v>41</v>
      </c>
      <c r="N44" s="62">
        <v>41</v>
      </c>
      <c r="O44" s="355">
        <f>+IF('DATOS GENERALES'!$C$18="n",Q44,P44)</f>
        <v>0.47870000000000001</v>
      </c>
      <c r="P44" s="363">
        <v>0.43619999999999998</v>
      </c>
      <c r="Q44" s="363">
        <v>0.47870000000000001</v>
      </c>
      <c r="R44" s="275"/>
      <c r="S44" s="290">
        <v>41</v>
      </c>
      <c r="T44" s="290" t="s">
        <v>282</v>
      </c>
      <c r="U44" s="290" t="s">
        <v>33</v>
      </c>
      <c r="V44" s="290" t="s">
        <v>15</v>
      </c>
      <c r="W44" s="382">
        <v>56.43</v>
      </c>
      <c r="X44" s="290">
        <v>88</v>
      </c>
      <c r="Y44" s="290">
        <v>0</v>
      </c>
      <c r="Z44" s="290">
        <f t="shared" si="6"/>
        <v>1</v>
      </c>
      <c r="AA44" s="63">
        <v>41</v>
      </c>
      <c r="AB44" s="318">
        <v>1750</v>
      </c>
      <c r="AC44" s="249" t="str">
        <f>+IF('CAPTURA DP'!B4&lt;=3," 1,750  UMAM ","")</f>
        <v xml:space="preserve"> 1,750  UMAM </v>
      </c>
      <c r="AD44" s="276">
        <v>1.1635</v>
      </c>
      <c r="AE44" s="277"/>
      <c r="AF44" s="277"/>
      <c r="AG44" s="277"/>
      <c r="AH44" s="277"/>
      <c r="AI44" s="277"/>
    </row>
    <row r="45" spans="1:35">
      <c r="E45" s="61">
        <v>3</v>
      </c>
      <c r="F45" s="369">
        <v>0.15</v>
      </c>
      <c r="G45" s="61">
        <v>0.94440000000000002</v>
      </c>
      <c r="H45" s="61">
        <v>2</v>
      </c>
      <c r="I45" s="61" t="str">
        <f t="shared" si="1"/>
        <v>32</v>
      </c>
      <c r="J45" s="274">
        <v>10000</v>
      </c>
      <c r="K45" s="267">
        <v>1.1640379999999999</v>
      </c>
      <c r="L45" s="61">
        <f t="shared" ref="L45:L50" si="8">+IF(b=2,1,0)</f>
        <v>0</v>
      </c>
      <c r="M45" s="62">
        <v>42</v>
      </c>
      <c r="N45" s="62">
        <v>42</v>
      </c>
      <c r="O45" s="355">
        <f>+IF('DATOS GENERALES'!$C$18="n",Q45,P45)</f>
        <v>0.4743</v>
      </c>
      <c r="P45" s="363">
        <v>0.43190000000000001</v>
      </c>
      <c r="Q45" s="363">
        <v>0.4743</v>
      </c>
      <c r="R45" s="275"/>
      <c r="S45" s="290">
        <v>42</v>
      </c>
      <c r="T45" s="290" t="s">
        <v>487</v>
      </c>
      <c r="U45" s="290" t="s">
        <v>488</v>
      </c>
      <c r="V45" s="290" t="s">
        <v>13</v>
      </c>
      <c r="W45" s="382">
        <v>63.87</v>
      </c>
      <c r="X45" s="290">
        <v>88</v>
      </c>
      <c r="Y45" s="290">
        <v>0</v>
      </c>
      <c r="Z45" s="290">
        <f t="shared" si="6"/>
        <v>1</v>
      </c>
      <c r="AA45" s="63">
        <v>42</v>
      </c>
      <c r="AB45" s="318">
        <v>1800</v>
      </c>
      <c r="AC45" s="249" t="str">
        <f>+IF('CAPTURA DP'!B4&lt;=3," 1,800  UMAM ","")</f>
        <v xml:space="preserve"> 1,800  UMAM </v>
      </c>
      <c r="AD45" s="276">
        <v>1.1656</v>
      </c>
      <c r="AE45" s="277"/>
      <c r="AF45" s="277"/>
      <c r="AG45" s="277"/>
      <c r="AH45" s="277"/>
      <c r="AI45" s="277"/>
    </row>
    <row r="46" spans="1:35">
      <c r="A46" s="343">
        <v>0</v>
      </c>
      <c r="E46" s="61">
        <v>3</v>
      </c>
      <c r="F46" s="369">
        <v>0.15</v>
      </c>
      <c r="G46" s="61">
        <v>0.94440000000000002</v>
      </c>
      <c r="H46" s="61">
        <v>3</v>
      </c>
      <c r="I46" s="61" t="str">
        <f t="shared" si="1"/>
        <v>33</v>
      </c>
      <c r="J46" s="274">
        <v>15000</v>
      </c>
      <c r="K46" s="267">
        <v>1.1257109999999999</v>
      </c>
      <c r="L46" s="61">
        <f t="shared" si="8"/>
        <v>0</v>
      </c>
      <c r="M46" s="62">
        <v>43</v>
      </c>
      <c r="N46" s="62">
        <v>43</v>
      </c>
      <c r="O46" s="355">
        <f>+IF('DATOS GENERALES'!$C$18="n",Q46,P46)</f>
        <v>0.47</v>
      </c>
      <c r="P46" s="363">
        <v>0.42770000000000002</v>
      </c>
      <c r="Q46" s="363">
        <v>0.47</v>
      </c>
      <c r="R46" s="275"/>
      <c r="S46" s="290">
        <v>43</v>
      </c>
      <c r="T46" s="290" t="s">
        <v>332</v>
      </c>
      <c r="U46" s="290" t="s">
        <v>312</v>
      </c>
      <c r="V46" s="290" t="s">
        <v>18</v>
      </c>
      <c r="W46" s="382">
        <v>56.43</v>
      </c>
      <c r="X46" s="290">
        <v>88</v>
      </c>
      <c r="Y46" s="290">
        <v>1</v>
      </c>
      <c r="Z46" s="290">
        <f t="shared" si="6"/>
        <v>1</v>
      </c>
      <c r="AA46" s="63">
        <v>43</v>
      </c>
      <c r="AB46" s="318">
        <v>1900</v>
      </c>
      <c r="AC46" s="249" t="str">
        <f>+IF('CAPTURA DP'!B4&lt;=3," 1,900  UMAM ","")</f>
        <v xml:space="preserve"> 1,900  UMAM </v>
      </c>
      <c r="AD46" s="276">
        <v>1.17</v>
      </c>
      <c r="AE46" s="277"/>
      <c r="AF46" s="277"/>
      <c r="AG46" s="277"/>
      <c r="AH46" s="277"/>
      <c r="AI46" s="277"/>
    </row>
    <row r="47" spans="1:35">
      <c r="A47" s="343">
        <v>0.01</v>
      </c>
      <c r="E47" s="61">
        <v>3</v>
      </c>
      <c r="F47" s="369">
        <v>0.15</v>
      </c>
      <c r="G47" s="61">
        <v>0.94440000000000002</v>
      </c>
      <c r="H47" s="61">
        <v>4</v>
      </c>
      <c r="I47" s="61" t="str">
        <f t="shared" si="1"/>
        <v>34</v>
      </c>
      <c r="J47" s="274">
        <v>20000</v>
      </c>
      <c r="K47" s="267">
        <v>1.104152</v>
      </c>
      <c r="L47" s="61">
        <f t="shared" si="8"/>
        <v>0</v>
      </c>
      <c r="M47" s="62">
        <v>44</v>
      </c>
      <c r="N47" s="62">
        <v>44</v>
      </c>
      <c r="O47" s="355">
        <f>+IF('DATOS GENERALES'!$C$18="n",Q47,P47)</f>
        <v>0.46589999999999998</v>
      </c>
      <c r="P47" s="363">
        <v>0.42359999999999998</v>
      </c>
      <c r="Q47" s="363">
        <v>0.46589999999999998</v>
      </c>
      <c r="R47" s="275"/>
      <c r="S47" s="290">
        <v>44</v>
      </c>
      <c r="T47" s="290" t="s">
        <v>337</v>
      </c>
      <c r="U47" s="290" t="s">
        <v>118</v>
      </c>
      <c r="V47" s="290" t="s">
        <v>13</v>
      </c>
      <c r="W47" s="382">
        <v>46.15</v>
      </c>
      <c r="X47" s="290">
        <v>88</v>
      </c>
      <c r="Y47" s="290">
        <v>1</v>
      </c>
      <c r="Z47" s="290">
        <f t="shared" si="6"/>
        <v>1</v>
      </c>
      <c r="AA47" s="63">
        <v>44</v>
      </c>
      <c r="AB47" s="318">
        <v>2000</v>
      </c>
      <c r="AC47" s="249" t="str">
        <f>+IF('CAPTURA DP'!B4&lt;=3," 2,000  UMAM ","")</f>
        <v xml:space="preserve"> 2,000  UMAM </v>
      </c>
      <c r="AD47" s="276">
        <v>1.1744000000000001</v>
      </c>
      <c r="AE47" s="277"/>
      <c r="AF47" s="277"/>
      <c r="AG47" s="277"/>
      <c r="AH47" s="277"/>
      <c r="AI47" s="277"/>
    </row>
    <row r="48" spans="1:35">
      <c r="A48" s="343">
        <v>0.02</v>
      </c>
      <c r="E48" s="61">
        <v>3</v>
      </c>
      <c r="F48" s="369">
        <v>0.15</v>
      </c>
      <c r="G48" s="61">
        <v>0.94440000000000002</v>
      </c>
      <c r="H48" s="61">
        <v>5</v>
      </c>
      <c r="I48" s="61" t="str">
        <f t="shared" si="1"/>
        <v>35</v>
      </c>
      <c r="J48" s="274">
        <v>25000</v>
      </c>
      <c r="K48" s="267">
        <v>1.0884849999999999</v>
      </c>
      <c r="L48" s="61">
        <f t="shared" si="8"/>
        <v>0</v>
      </c>
      <c r="M48" s="62">
        <v>45</v>
      </c>
      <c r="N48" s="62">
        <v>45</v>
      </c>
      <c r="O48" s="355">
        <f>+IF('DATOS GENERALES'!$C$18="n",Q48,P48)</f>
        <v>0.46189999999999998</v>
      </c>
      <c r="P48" s="363">
        <v>0.41970000000000002</v>
      </c>
      <c r="Q48" s="363">
        <v>0.46189999999999998</v>
      </c>
      <c r="R48" s="275"/>
      <c r="S48" s="290">
        <v>45</v>
      </c>
      <c r="T48" s="290" t="s">
        <v>283</v>
      </c>
      <c r="U48" s="290" t="s">
        <v>34</v>
      </c>
      <c r="V48" s="290" t="s">
        <v>13</v>
      </c>
      <c r="W48" s="382">
        <v>46.15</v>
      </c>
      <c r="X48" s="290">
        <v>88</v>
      </c>
      <c r="Y48" s="290">
        <v>1</v>
      </c>
      <c r="Z48" s="290">
        <f t="shared" si="6"/>
        <v>1</v>
      </c>
      <c r="AA48" s="63">
        <v>45</v>
      </c>
      <c r="AB48" s="318">
        <v>2500</v>
      </c>
      <c r="AC48" s="249" t="str">
        <f>+IF('CAPTURA DP'!B4&lt;=3," 2,500  UMAM ","")</f>
        <v xml:space="preserve"> 2,500  UMAM </v>
      </c>
      <c r="AD48" s="276">
        <v>1.1913</v>
      </c>
      <c r="AE48" s="277"/>
      <c r="AF48" s="277"/>
      <c r="AG48" s="277"/>
      <c r="AH48" s="277"/>
      <c r="AI48" s="277"/>
    </row>
    <row r="49" spans="1:35">
      <c r="A49" s="343">
        <v>0.03</v>
      </c>
      <c r="E49" s="61">
        <v>3</v>
      </c>
      <c r="F49" s="369">
        <v>0.15</v>
      </c>
      <c r="G49" s="61">
        <v>0.94440000000000002</v>
      </c>
      <c r="H49" s="61">
        <v>6</v>
      </c>
      <c r="I49" s="61" t="str">
        <f t="shared" si="1"/>
        <v>36</v>
      </c>
      <c r="J49" s="274">
        <v>30000</v>
      </c>
      <c r="K49" s="267">
        <v>1.0771489999999999</v>
      </c>
      <c r="L49" s="61">
        <f t="shared" si="8"/>
        <v>0</v>
      </c>
      <c r="M49" s="62">
        <v>46</v>
      </c>
      <c r="N49" s="62">
        <v>46</v>
      </c>
      <c r="O49" s="355">
        <f>+IF('DATOS GENERALES'!$C$18="n",Q49,P49)</f>
        <v>0.45800000000000002</v>
      </c>
      <c r="P49" s="363">
        <v>0.41589999999999999</v>
      </c>
      <c r="Q49" s="363">
        <v>0.45800000000000002</v>
      </c>
      <c r="R49" s="275"/>
      <c r="S49" s="290">
        <v>46</v>
      </c>
      <c r="T49" s="290" t="s">
        <v>280</v>
      </c>
      <c r="U49" s="290" t="s">
        <v>83</v>
      </c>
      <c r="V49" s="290" t="s">
        <v>13</v>
      </c>
      <c r="W49" s="382">
        <v>46.15</v>
      </c>
      <c r="X49" s="290">
        <v>88</v>
      </c>
      <c r="Y49" s="290">
        <v>0</v>
      </c>
      <c r="Z49" s="290">
        <f t="shared" si="6"/>
        <v>1</v>
      </c>
      <c r="AA49" s="63">
        <v>46</v>
      </c>
      <c r="AB49" s="318">
        <v>2570</v>
      </c>
      <c r="AC49" s="249" t="str">
        <f>+IF('CAPTURA DP'!B4&lt;=3," 2,570  UMAM ","")</f>
        <v xml:space="preserve"> 2,570  UMAM </v>
      </c>
      <c r="AD49" s="276">
        <v>1.1932</v>
      </c>
      <c r="AE49" s="277"/>
      <c r="AF49" s="277"/>
      <c r="AG49" s="277"/>
      <c r="AH49" s="277"/>
      <c r="AI49" s="277"/>
    </row>
    <row r="50" spans="1:35">
      <c r="A50" s="343">
        <v>0.04</v>
      </c>
      <c r="E50" s="61">
        <v>3</v>
      </c>
      <c r="F50" s="369">
        <v>0.15</v>
      </c>
      <c r="G50" s="61">
        <v>0.94440000000000002</v>
      </c>
      <c r="H50" s="61">
        <v>7</v>
      </c>
      <c r="I50" s="61" t="str">
        <f t="shared" si="1"/>
        <v>37</v>
      </c>
      <c r="J50" s="274">
        <v>35000</v>
      </c>
      <c r="K50" s="267">
        <v>1.0686469999999999</v>
      </c>
      <c r="L50" s="61">
        <f t="shared" si="8"/>
        <v>0</v>
      </c>
      <c r="M50" s="62">
        <v>47</v>
      </c>
      <c r="N50" s="62">
        <v>47</v>
      </c>
      <c r="O50" s="355">
        <f>+IF('DATOS GENERALES'!$C$18="n",Q50,P50)</f>
        <v>0.45419999999999999</v>
      </c>
      <c r="P50" s="363">
        <v>0.41220000000000001</v>
      </c>
      <c r="Q50" s="363">
        <v>0.45419999999999999</v>
      </c>
      <c r="R50" s="275"/>
      <c r="S50" s="290">
        <v>47</v>
      </c>
      <c r="T50" s="290" t="s">
        <v>477</v>
      </c>
      <c r="U50" s="290" t="s">
        <v>478</v>
      </c>
      <c r="V50" s="290" t="s">
        <v>13</v>
      </c>
      <c r="W50" s="382">
        <v>46.15</v>
      </c>
      <c r="X50" s="290">
        <v>88</v>
      </c>
      <c r="Y50" s="290">
        <v>0</v>
      </c>
      <c r="Z50" s="290">
        <f t="shared" si="6"/>
        <v>1</v>
      </c>
      <c r="AA50" s="63">
        <v>47</v>
      </c>
      <c r="AB50" s="318">
        <v>2573</v>
      </c>
      <c r="AC50" s="249" t="str">
        <f>+IF('CAPTURA DP'!B4&lt;=3," 2,573  UMAM ","")</f>
        <v xml:space="preserve"> 2,573  UMAM </v>
      </c>
      <c r="AD50" s="276">
        <v>1.1933</v>
      </c>
      <c r="AE50" s="277"/>
      <c r="AF50" s="277"/>
      <c r="AG50" s="277"/>
      <c r="AH50" s="277"/>
      <c r="AI50" s="277"/>
    </row>
    <row r="51" spans="1:35">
      <c r="A51" s="343">
        <v>0.05</v>
      </c>
      <c r="E51" s="61">
        <v>3</v>
      </c>
      <c r="F51" s="369">
        <v>0.15</v>
      </c>
      <c r="G51" s="61">
        <v>0.94440000000000002</v>
      </c>
      <c r="H51" s="61">
        <v>8</v>
      </c>
      <c r="I51" s="61" t="str">
        <f t="shared" si="1"/>
        <v>38</v>
      </c>
      <c r="J51" s="274">
        <v>40000</v>
      </c>
      <c r="K51" s="267">
        <v>1.031072</v>
      </c>
      <c r="L51" s="61">
        <f>+IF(b=2,1,0)</f>
        <v>0</v>
      </c>
      <c r="M51" s="62">
        <v>48</v>
      </c>
      <c r="N51" s="62">
        <v>48</v>
      </c>
      <c r="O51" s="355">
        <f>+IF('DATOS GENERALES'!$C$18="n",Q51,P51)</f>
        <v>0.4506</v>
      </c>
      <c r="P51" s="363">
        <v>0.40860000000000002</v>
      </c>
      <c r="Q51" s="363">
        <v>0.4506</v>
      </c>
      <c r="R51" s="275"/>
      <c r="S51" s="290">
        <v>48</v>
      </c>
      <c r="T51" s="290" t="s">
        <v>442</v>
      </c>
      <c r="U51" s="290" t="s">
        <v>443</v>
      </c>
      <c r="V51" s="290" t="s">
        <v>13</v>
      </c>
      <c r="W51" s="382">
        <v>46</v>
      </c>
      <c r="X51" s="290">
        <v>88</v>
      </c>
      <c r="Y51" s="290">
        <v>0</v>
      </c>
      <c r="Z51" s="290">
        <f t="shared" si="6"/>
        <v>1</v>
      </c>
      <c r="AA51" s="63">
        <v>48</v>
      </c>
      <c r="AB51" s="318">
        <v>2675</v>
      </c>
      <c r="AC51" s="249" t="str">
        <f>+IF('CAPTURA DP'!B4&lt;=3," 2,675  UMAM ","")</f>
        <v xml:space="preserve"> 2,675  UMAM </v>
      </c>
      <c r="AD51" s="276">
        <v>1.1960999999999999</v>
      </c>
      <c r="AE51" s="277"/>
      <c r="AF51" s="277"/>
      <c r="AG51" s="277"/>
      <c r="AH51" s="277"/>
      <c r="AI51" s="277"/>
    </row>
    <row r="52" spans="1:35">
      <c r="A52" s="343">
        <v>0.06</v>
      </c>
      <c r="E52" s="61">
        <v>3</v>
      </c>
      <c r="F52" s="369">
        <v>0.15</v>
      </c>
      <c r="G52" s="61">
        <v>0.94440000000000002</v>
      </c>
      <c r="H52" s="61">
        <v>9</v>
      </c>
      <c r="I52" s="61" t="str">
        <f t="shared" si="1"/>
        <v>39</v>
      </c>
      <c r="J52" s="274">
        <v>45000</v>
      </c>
      <c r="K52" s="267">
        <v>1.028594</v>
      </c>
      <c r="L52" s="61">
        <f>+IF(b=2,1,0)</f>
        <v>0</v>
      </c>
      <c r="M52" s="62">
        <v>49</v>
      </c>
      <c r="N52" s="62">
        <v>49</v>
      </c>
      <c r="O52" s="355">
        <f>+IF('DATOS GENERALES'!$C$18="n",Q52,P52)</f>
        <v>0.44700000000000001</v>
      </c>
      <c r="P52" s="363">
        <v>0.40510000000000002</v>
      </c>
      <c r="Q52" s="363">
        <v>0.44700000000000001</v>
      </c>
      <c r="R52" s="275"/>
      <c r="Z52"/>
      <c r="AA52" s="63">
        <v>49</v>
      </c>
      <c r="AB52" s="318">
        <v>2690</v>
      </c>
      <c r="AC52" s="249" t="str">
        <f>+IF('CAPTURA DP'!B4&lt;=3," 2,690  UMAM ","")</f>
        <v xml:space="preserve"> 2,690  UMAM </v>
      </c>
      <c r="AD52" s="276">
        <v>1.1964999999999999</v>
      </c>
      <c r="AE52" s="277"/>
      <c r="AF52" s="277"/>
      <c r="AG52" s="277"/>
      <c r="AH52" s="277"/>
      <c r="AI52" s="277"/>
    </row>
    <row r="53" spans="1:35">
      <c r="A53" s="343">
        <v>7.0000000000000007E-2</v>
      </c>
      <c r="E53" s="61">
        <v>3</v>
      </c>
      <c r="F53" s="369">
        <v>0.15</v>
      </c>
      <c r="G53" s="61">
        <v>0.94440000000000002</v>
      </c>
      <c r="H53" s="61">
        <v>10</v>
      </c>
      <c r="I53" s="61" t="str">
        <f t="shared" si="1"/>
        <v>310</v>
      </c>
      <c r="J53" s="274">
        <v>50000</v>
      </c>
      <c r="K53" s="267">
        <v>1.0266660000000001</v>
      </c>
      <c r="L53" s="61">
        <f t="shared" ref="L53:L63" si="9">+IF(b=2,1,1)</f>
        <v>1</v>
      </c>
      <c r="M53" s="62">
        <v>50</v>
      </c>
      <c r="N53" s="62">
        <v>50</v>
      </c>
      <c r="O53" s="355">
        <f>+IF('DATOS GENERALES'!$C$18="n",Q53,P53)</f>
        <v>0.44019999999999998</v>
      </c>
      <c r="P53" s="363">
        <v>0.39839999999999998</v>
      </c>
      <c r="Q53" s="363">
        <v>0.44019999999999998</v>
      </c>
      <c r="R53" s="275"/>
      <c r="Z53"/>
      <c r="AA53" s="63">
        <v>50</v>
      </c>
      <c r="AB53" s="318">
        <v>2700</v>
      </c>
      <c r="AC53" s="249" t="str">
        <f>+IF('CAPTURA DP'!B4&lt;=3," 2,700  UMAM ","")</f>
        <v xml:space="preserve"> 2,700  UMAM </v>
      </c>
      <c r="AD53" s="276">
        <v>1.1968000000000001</v>
      </c>
      <c r="AE53" s="277"/>
      <c r="AF53" s="277"/>
      <c r="AG53" s="277"/>
      <c r="AH53" s="277"/>
      <c r="AI53" s="277"/>
    </row>
    <row r="54" spans="1:35">
      <c r="A54" s="343">
        <v>0.08</v>
      </c>
      <c r="E54" s="61">
        <v>3</v>
      </c>
      <c r="F54" s="369">
        <v>0.15</v>
      </c>
      <c r="G54" s="61">
        <v>0.94440000000000002</v>
      </c>
      <c r="H54" s="61">
        <v>11</v>
      </c>
      <c r="I54" s="61" t="str">
        <f t="shared" si="1"/>
        <v>311</v>
      </c>
      <c r="J54" s="274">
        <v>55000</v>
      </c>
      <c r="K54" s="267">
        <v>1.0247200000000001</v>
      </c>
      <c r="L54" s="61">
        <f>+IF(b=2,1,0)</f>
        <v>0</v>
      </c>
      <c r="M54" s="62">
        <v>51</v>
      </c>
      <c r="N54" s="361">
        <v>500</v>
      </c>
      <c r="O54" s="364">
        <v>1</v>
      </c>
      <c r="P54" s="362"/>
      <c r="Q54" s="362"/>
      <c r="Z54"/>
      <c r="AA54" s="63">
        <v>51</v>
      </c>
      <c r="AB54" s="318">
        <v>2800</v>
      </c>
      <c r="AC54" s="249" t="str">
        <f>+IF('CAPTURA DP'!B4&lt;=3," 2,800  UMAM ","")</f>
        <v xml:space="preserve"> 2,800  UMAM </v>
      </c>
      <c r="AD54" s="276">
        <v>1.1995</v>
      </c>
      <c r="AE54" s="277"/>
      <c r="AF54" s="277"/>
      <c r="AG54" s="277"/>
      <c r="AH54" s="277"/>
      <c r="AI54" s="277"/>
    </row>
    <row r="55" spans="1:35">
      <c r="A55" s="343">
        <v>0.09</v>
      </c>
      <c r="E55" s="61">
        <v>3</v>
      </c>
      <c r="F55" s="369">
        <v>0.15</v>
      </c>
      <c r="G55" s="61">
        <v>0.94440000000000002</v>
      </c>
      <c r="H55" s="61">
        <v>12</v>
      </c>
      <c r="I55" s="61" t="str">
        <f t="shared" si="1"/>
        <v>312</v>
      </c>
      <c r="J55" s="274">
        <v>60000</v>
      </c>
      <c r="K55" s="267">
        <v>1.0228200000000001</v>
      </c>
      <c r="L55" s="61">
        <f t="shared" si="9"/>
        <v>1</v>
      </c>
      <c r="M55" s="62">
        <v>52</v>
      </c>
      <c r="N55" s="361">
        <v>1000</v>
      </c>
      <c r="O55" s="364">
        <v>1</v>
      </c>
      <c r="P55" s="362"/>
      <c r="Q55" s="362"/>
      <c r="AA55" s="63">
        <v>52</v>
      </c>
      <c r="AB55" s="318">
        <v>3000</v>
      </c>
      <c r="AC55" s="249" t="str">
        <f>+IF('CAPTURA DP'!B4&lt;=3," 3,000  UMAM ","")</f>
        <v xml:space="preserve"> 3,000  UMAM </v>
      </c>
      <c r="AD55" s="276">
        <v>1.2051000000000001</v>
      </c>
      <c r="AE55" s="277"/>
      <c r="AF55" s="277"/>
      <c r="AG55" s="277"/>
      <c r="AH55" s="277"/>
      <c r="AI55" s="277"/>
    </row>
    <row r="56" spans="1:35">
      <c r="A56" s="343">
        <v>0.1</v>
      </c>
      <c r="E56" s="61">
        <v>3</v>
      </c>
      <c r="F56" s="369">
        <v>0.15</v>
      </c>
      <c r="G56" s="61">
        <v>0.94440000000000002</v>
      </c>
      <c r="H56" s="61">
        <v>13</v>
      </c>
      <c r="I56" s="61" t="str">
        <f t="shared" si="1"/>
        <v>313</v>
      </c>
      <c r="J56" s="274">
        <v>65000</v>
      </c>
      <c r="K56" s="267">
        <v>1.020999</v>
      </c>
      <c r="L56" s="61">
        <f>+IF(b=2,1,0)</f>
        <v>0</v>
      </c>
      <c r="M56" s="62">
        <v>53</v>
      </c>
      <c r="N56" s="361">
        <v>2000</v>
      </c>
      <c r="O56" s="364">
        <v>1</v>
      </c>
      <c r="P56" s="362"/>
      <c r="Q56" s="362"/>
      <c r="AA56" s="63">
        <v>53</v>
      </c>
      <c r="AB56" s="318">
        <v>3485</v>
      </c>
      <c r="AC56" s="249" t="str">
        <f>+IF('CAPTURA DP'!B4&lt;=3," 3,485  UMAM ","")</f>
        <v xml:space="preserve"> 3,485  UMAM </v>
      </c>
      <c r="AD56" s="276">
        <v>1.2163999999999999</v>
      </c>
      <c r="AE56" s="277"/>
      <c r="AF56" s="277"/>
      <c r="AG56" s="277"/>
      <c r="AH56" s="277"/>
      <c r="AI56" s="277"/>
    </row>
    <row r="57" spans="1:35">
      <c r="A57" s="343">
        <v>0.11</v>
      </c>
      <c r="E57" s="61">
        <v>3</v>
      </c>
      <c r="F57" s="369">
        <v>0.15</v>
      </c>
      <c r="G57" s="61">
        <v>0.94440000000000002</v>
      </c>
      <c r="H57" s="61">
        <v>14</v>
      </c>
      <c r="I57" s="61" t="str">
        <f t="shared" si="1"/>
        <v>314</v>
      </c>
      <c r="J57" s="274">
        <v>70000</v>
      </c>
      <c r="K57" s="267">
        <v>1.01928</v>
      </c>
      <c r="L57" s="61">
        <f t="shared" si="9"/>
        <v>1</v>
      </c>
      <c r="M57" s="62">
        <v>54</v>
      </c>
      <c r="N57" s="361">
        <v>2500</v>
      </c>
      <c r="O57" s="355">
        <v>0.96450000000000002</v>
      </c>
      <c r="P57" s="362"/>
      <c r="Q57" s="362"/>
      <c r="AA57" s="63">
        <v>54</v>
      </c>
      <c r="AB57" s="318">
        <v>3500</v>
      </c>
      <c r="AC57" s="249" t="str">
        <f>+IF('CAPTURA DP'!B4&lt;=3," 3,500  UMAM ","")</f>
        <v xml:space="preserve"> 3,500  UMAM </v>
      </c>
      <c r="AD57" s="276">
        <v>1.2166999999999999</v>
      </c>
      <c r="AE57" s="277"/>
      <c r="AF57" s="277"/>
      <c r="AG57" s="277"/>
      <c r="AH57" s="277"/>
      <c r="AI57" s="277"/>
    </row>
    <row r="58" spans="1:35">
      <c r="A58" s="343">
        <v>0.12</v>
      </c>
      <c r="E58" s="61">
        <v>3</v>
      </c>
      <c r="F58" s="369">
        <v>0.15</v>
      </c>
      <c r="G58" s="61">
        <v>0.94440000000000002</v>
      </c>
      <c r="H58" s="61">
        <v>15</v>
      </c>
      <c r="I58" s="61" t="str">
        <f t="shared" si="1"/>
        <v>315</v>
      </c>
      <c r="J58" s="274">
        <v>75000</v>
      </c>
      <c r="K58" s="267">
        <v>1.017679</v>
      </c>
      <c r="L58" s="61">
        <f t="shared" si="9"/>
        <v>1</v>
      </c>
      <c r="M58" s="62">
        <v>55</v>
      </c>
      <c r="N58" s="361">
        <v>3000</v>
      </c>
      <c r="O58" s="355">
        <v>0.94799999999999995</v>
      </c>
      <c r="P58" s="362"/>
      <c r="Q58" s="362"/>
      <c r="AA58" s="63">
        <v>55</v>
      </c>
      <c r="AB58" s="318">
        <v>3600</v>
      </c>
      <c r="AC58" s="249" t="str">
        <f>+IF('CAPTURA DP'!B4&lt;=3," 3,600  UMAM ","")</f>
        <v xml:space="preserve"> 3,600  UMAM </v>
      </c>
      <c r="AD58" s="276">
        <v>1.2188000000000001</v>
      </c>
      <c r="AE58" s="277"/>
      <c r="AF58" s="277"/>
      <c r="AG58" s="277"/>
      <c r="AH58" s="277"/>
      <c r="AI58" s="277"/>
    </row>
    <row r="59" spans="1:35">
      <c r="A59" s="343">
        <v>0.13</v>
      </c>
      <c r="E59" s="61">
        <v>3</v>
      </c>
      <c r="F59" s="369">
        <v>0.15</v>
      </c>
      <c r="G59" s="61">
        <v>0.94440000000000002</v>
      </c>
      <c r="H59" s="61">
        <v>16</v>
      </c>
      <c r="I59" s="61" t="str">
        <f t="shared" si="1"/>
        <v>316</v>
      </c>
      <c r="J59" s="274">
        <v>80000</v>
      </c>
      <c r="K59" s="267">
        <v>1.0162059999999999</v>
      </c>
      <c r="L59" s="61">
        <f t="shared" si="9"/>
        <v>1</v>
      </c>
      <c r="M59" s="62">
        <v>56</v>
      </c>
      <c r="N59" s="361">
        <v>3500</v>
      </c>
      <c r="O59" s="355">
        <v>0.87880000000000003</v>
      </c>
      <c r="P59" s="362"/>
      <c r="Q59" s="362"/>
      <c r="AA59" s="63">
        <v>56</v>
      </c>
      <c r="AB59" s="318">
        <v>4000</v>
      </c>
      <c r="AC59" s="249" t="str">
        <f>+IF('CAPTURA DP'!B4&lt;=3," 4,000  UMAM ","")</f>
        <v xml:space="preserve"> 4,000  UMAM </v>
      </c>
      <c r="AD59" s="276">
        <v>1.2267999999999999</v>
      </c>
      <c r="AE59" s="277"/>
      <c r="AF59" s="277"/>
      <c r="AG59" s="277"/>
      <c r="AH59" s="277"/>
      <c r="AI59" s="277"/>
    </row>
    <row r="60" spans="1:35">
      <c r="A60" s="343">
        <v>0.14000000000000001</v>
      </c>
      <c r="E60" s="61">
        <v>3</v>
      </c>
      <c r="F60" s="369">
        <v>0.15</v>
      </c>
      <c r="G60" s="61">
        <v>0.94440000000000002</v>
      </c>
      <c r="H60" s="61">
        <v>17</v>
      </c>
      <c r="I60" s="61" t="str">
        <f t="shared" si="1"/>
        <v>317</v>
      </c>
      <c r="J60" s="274">
        <v>85000</v>
      </c>
      <c r="K60" s="267">
        <v>1.0148520000000001</v>
      </c>
      <c r="L60" s="61">
        <f t="shared" si="9"/>
        <v>1</v>
      </c>
      <c r="M60" s="62">
        <v>57</v>
      </c>
      <c r="N60" s="361">
        <v>4000</v>
      </c>
      <c r="O60" s="355">
        <v>0.84699999999999998</v>
      </c>
      <c r="P60" s="362"/>
      <c r="Q60" s="362"/>
      <c r="AA60" s="63">
        <v>57</v>
      </c>
      <c r="AB60" s="318">
        <v>4500</v>
      </c>
      <c r="AC60" s="249" t="str">
        <f>+IF('CAPTURA DP'!B4&lt;=3," 4,500  UMAM ","")</f>
        <v xml:space="preserve"> 4,500  UMAM </v>
      </c>
      <c r="AD60" s="276">
        <v>1.2358</v>
      </c>
      <c r="AE60" s="277"/>
      <c r="AF60" s="277"/>
      <c r="AG60" s="277"/>
      <c r="AH60" s="277"/>
      <c r="AI60" s="277"/>
    </row>
    <row r="61" spans="1:35">
      <c r="A61" s="343">
        <v>0.15</v>
      </c>
      <c r="E61" s="61">
        <v>3</v>
      </c>
      <c r="F61" s="369">
        <v>0.15</v>
      </c>
      <c r="G61" s="61">
        <v>0.94440000000000002</v>
      </c>
      <c r="H61" s="61">
        <v>18</v>
      </c>
      <c r="I61" s="61" t="str">
        <f t="shared" si="1"/>
        <v>318</v>
      </c>
      <c r="J61" s="274">
        <v>90000</v>
      </c>
      <c r="K61" s="267">
        <v>1.013606</v>
      </c>
      <c r="L61" s="61">
        <f t="shared" si="9"/>
        <v>1</v>
      </c>
      <c r="M61" s="62">
        <v>58</v>
      </c>
      <c r="N61" s="361">
        <v>4500</v>
      </c>
      <c r="O61" s="355">
        <v>0.82</v>
      </c>
      <c r="P61" s="362"/>
      <c r="Q61" s="362"/>
      <c r="AA61" s="63">
        <v>58</v>
      </c>
      <c r="AB61" s="318">
        <v>4800</v>
      </c>
      <c r="AC61" s="249" t="str">
        <f>+IF('CAPTURA DP'!B4&lt;=3," 4,800  UMAM ","")</f>
        <v xml:space="preserve"> 4,800  UMAM </v>
      </c>
      <c r="AD61" s="276">
        <v>1.2404999999999999</v>
      </c>
      <c r="AE61" s="277"/>
      <c r="AF61" s="277"/>
      <c r="AG61" s="277"/>
      <c r="AH61" s="277"/>
      <c r="AI61" s="277"/>
    </row>
    <row r="62" spans="1:35">
      <c r="A62" s="343">
        <v>0.16</v>
      </c>
      <c r="E62" s="61">
        <v>3</v>
      </c>
      <c r="F62" s="369">
        <v>0.15</v>
      </c>
      <c r="G62" s="61">
        <v>0.94440000000000002</v>
      </c>
      <c r="H62" s="61">
        <v>19</v>
      </c>
      <c r="I62" s="61" t="str">
        <f t="shared" si="1"/>
        <v>319</v>
      </c>
      <c r="J62" s="274">
        <v>95000</v>
      </c>
      <c r="K62" s="267">
        <v>1.012462</v>
      </c>
      <c r="L62" s="61">
        <f t="shared" si="9"/>
        <v>1</v>
      </c>
      <c r="M62" s="62">
        <v>59</v>
      </c>
      <c r="N62" s="361">
        <v>5000</v>
      </c>
      <c r="O62" s="355">
        <v>0.79659999999999997</v>
      </c>
      <c r="P62" s="362"/>
      <c r="Q62" s="362"/>
      <c r="AA62" s="63">
        <v>59</v>
      </c>
      <c r="AB62" s="318">
        <v>5000</v>
      </c>
      <c r="AC62" s="249" t="str">
        <f>+IF('CAPTURA DP'!B4&lt;=3," 5,000  UMAM ","")</f>
        <v xml:space="preserve"> 5,000  UMAM </v>
      </c>
      <c r="AD62" s="276">
        <v>1.2437</v>
      </c>
      <c r="AE62" s="277"/>
      <c r="AF62" s="277"/>
      <c r="AG62" s="277"/>
      <c r="AH62" s="277"/>
      <c r="AI62" s="277"/>
    </row>
    <row r="63" spans="1:35">
      <c r="A63" s="343">
        <v>0.17</v>
      </c>
      <c r="E63" s="61">
        <v>3</v>
      </c>
      <c r="F63" s="369">
        <v>0.15</v>
      </c>
      <c r="G63" s="61">
        <v>0.94440000000000002</v>
      </c>
      <c r="H63" s="61">
        <v>20</v>
      </c>
      <c r="I63" s="61" t="str">
        <f>+E63&amp;H63</f>
        <v>320</v>
      </c>
      <c r="J63" s="274">
        <v>100000</v>
      </c>
      <c r="K63" s="267">
        <v>1.0114110000000001</v>
      </c>
      <c r="L63" s="61">
        <f t="shared" si="9"/>
        <v>1</v>
      </c>
      <c r="M63" s="354"/>
      <c r="AA63" s="63">
        <v>60</v>
      </c>
      <c r="AB63" s="318">
        <v>5500</v>
      </c>
      <c r="AC63" s="249" t="str">
        <f>+IF('CAPTURA DP'!B4&lt;=3," 5,500  UMAM ","")</f>
        <v xml:space="preserve"> 5,500  UMAM </v>
      </c>
      <c r="AD63" s="276">
        <v>1.2509999999999999</v>
      </c>
      <c r="AE63" s="277"/>
      <c r="AF63" s="277"/>
      <c r="AG63" s="277"/>
      <c r="AH63" s="277"/>
      <c r="AI63" s="277"/>
    </row>
    <row r="64" spans="1:35">
      <c r="A64" s="343">
        <v>0.18</v>
      </c>
      <c r="E64" s="61">
        <v>4</v>
      </c>
      <c r="F64" s="369">
        <v>0.2</v>
      </c>
      <c r="G64" s="61">
        <v>0.88890000000000002</v>
      </c>
      <c r="H64" s="61">
        <v>1</v>
      </c>
      <c r="I64" s="61" t="str">
        <f t="shared" si="1"/>
        <v>41</v>
      </c>
      <c r="J64" s="274">
        <v>0</v>
      </c>
      <c r="K64" s="267">
        <v>1</v>
      </c>
      <c r="L64" s="61">
        <f>+IF(b=2,1,1)</f>
        <v>1</v>
      </c>
      <c r="M64" s="354"/>
      <c r="AA64" s="63">
        <v>61</v>
      </c>
      <c r="AB64" s="318">
        <v>6000</v>
      </c>
      <c r="AC64" s="249" t="str">
        <f>+IF('CAPTURA DP'!B4&lt;=3," 6,000  UMAM ","")</f>
        <v xml:space="preserve"> 6,000  UMAM </v>
      </c>
      <c r="AD64" s="276">
        <v>1.2575000000000001</v>
      </c>
      <c r="AE64" s="277"/>
      <c r="AF64" s="277"/>
      <c r="AG64" s="277"/>
      <c r="AH64" s="277"/>
      <c r="AI64" s="277"/>
    </row>
    <row r="65" spans="1:35">
      <c r="A65" s="343"/>
      <c r="E65" s="61">
        <v>4</v>
      </c>
      <c r="F65" s="369">
        <v>0.2</v>
      </c>
      <c r="G65" s="61">
        <v>0.88890000000000002</v>
      </c>
      <c r="H65" s="61">
        <v>2</v>
      </c>
      <c r="I65" s="61" t="str">
        <f t="shared" si="1"/>
        <v>42</v>
      </c>
      <c r="J65" s="274">
        <v>10000</v>
      </c>
      <c r="K65" s="267">
        <v>1.230334</v>
      </c>
      <c r="L65" s="61">
        <f t="shared" ref="L65:L70" si="10">+IF(b=2,1,0)</f>
        <v>0</v>
      </c>
      <c r="M65" s="354"/>
      <c r="AA65" s="63">
        <v>62</v>
      </c>
      <c r="AB65" s="318">
        <v>6500</v>
      </c>
      <c r="AC65" s="249" t="str">
        <f>+IF('CAPTURA DP'!B4&lt;=3," 6,500  UMAM ","")</f>
        <v xml:space="preserve"> 6,500  UMAM </v>
      </c>
      <c r="AD65" s="276">
        <v>1.2636000000000001</v>
      </c>
      <c r="AE65" s="277"/>
      <c r="AF65" s="277"/>
      <c r="AG65" s="277"/>
      <c r="AH65" s="277"/>
      <c r="AI65" s="277"/>
    </row>
    <row r="66" spans="1:35">
      <c r="A66" s="343"/>
      <c r="E66" s="61">
        <v>4</v>
      </c>
      <c r="F66" s="369">
        <v>0.2</v>
      </c>
      <c r="G66" s="61">
        <v>0.88890000000000002</v>
      </c>
      <c r="H66" s="61">
        <v>3</v>
      </c>
      <c r="I66" s="61" t="str">
        <f t="shared" si="1"/>
        <v>43</v>
      </c>
      <c r="J66" s="274">
        <v>15000</v>
      </c>
      <c r="K66" s="267">
        <v>1.1891039999999999</v>
      </c>
      <c r="L66" s="61">
        <f t="shared" si="10"/>
        <v>0</v>
      </c>
      <c r="M66" s="354"/>
      <c r="AA66" s="63">
        <v>63</v>
      </c>
      <c r="AB66" s="318">
        <v>6700</v>
      </c>
      <c r="AC66" s="249" t="str">
        <f>+IF('CAPTURA DP'!B4&lt;=3," 6,700  UMAM ","")</f>
        <v xml:space="preserve"> 6,700  UMAM </v>
      </c>
      <c r="AD66" s="276">
        <v>1.2659</v>
      </c>
      <c r="AE66" s="277"/>
      <c r="AF66" s="277"/>
      <c r="AG66" s="277"/>
      <c r="AH66" s="277"/>
      <c r="AI66" s="277"/>
    </row>
    <row r="67" spans="1:35">
      <c r="A67" s="343"/>
      <c r="E67" s="61">
        <v>4</v>
      </c>
      <c r="F67" s="369">
        <v>0.2</v>
      </c>
      <c r="G67" s="61">
        <v>0.88890000000000002</v>
      </c>
      <c r="H67" s="61">
        <v>4</v>
      </c>
      <c r="I67" s="61" t="str">
        <f t="shared" si="1"/>
        <v>44</v>
      </c>
      <c r="J67" s="274">
        <v>20000</v>
      </c>
      <c r="K67" s="267">
        <v>1.1595770000000001</v>
      </c>
      <c r="L67" s="61">
        <f t="shared" si="10"/>
        <v>0</v>
      </c>
      <c r="M67" s="354"/>
      <c r="AA67" s="63">
        <v>64</v>
      </c>
      <c r="AB67" s="318">
        <v>6800</v>
      </c>
      <c r="AC67" s="249" t="str">
        <f>+IF('CAPTURA DP'!B4&lt;=3," 6,800  UMAM ","")</f>
        <v xml:space="preserve"> 6,800  UMAM </v>
      </c>
      <c r="AD67" s="276">
        <v>1.2669999999999999</v>
      </c>
      <c r="AE67" s="277"/>
      <c r="AF67" s="277"/>
      <c r="AG67" s="277"/>
      <c r="AH67" s="277"/>
      <c r="AI67" s="277"/>
    </row>
    <row r="68" spans="1:35">
      <c r="A68" s="343"/>
      <c r="E68" s="61">
        <v>4</v>
      </c>
      <c r="F68" s="369">
        <v>0.2</v>
      </c>
      <c r="G68" s="61">
        <v>0.88890000000000002</v>
      </c>
      <c r="H68" s="61">
        <v>5</v>
      </c>
      <c r="I68" s="61" t="str">
        <f t="shared" si="1"/>
        <v>45</v>
      </c>
      <c r="J68" s="274">
        <v>25000</v>
      </c>
      <c r="K68" s="267">
        <v>1.136331</v>
      </c>
      <c r="L68" s="61">
        <f t="shared" si="10"/>
        <v>0</v>
      </c>
      <c r="M68" s="354"/>
      <c r="AA68" s="63">
        <v>65</v>
      </c>
      <c r="AB68" s="318">
        <v>7000</v>
      </c>
      <c r="AC68" s="249" t="str">
        <f>+IF('CAPTURA DP'!B4&lt;=3," 7,000  UMAM ","")</f>
        <v xml:space="preserve"> 7,000  UMAM </v>
      </c>
      <c r="AD68" s="276">
        <v>1.2692000000000001</v>
      </c>
      <c r="AE68" s="277"/>
      <c r="AF68" s="277"/>
      <c r="AG68" s="277"/>
      <c r="AH68" s="277"/>
      <c r="AI68" s="277"/>
    </row>
    <row r="69" spans="1:35">
      <c r="A69" s="343"/>
      <c r="E69" s="61">
        <v>4</v>
      </c>
      <c r="F69" s="369">
        <v>0.2</v>
      </c>
      <c r="G69" s="61">
        <v>0.88890000000000002</v>
      </c>
      <c r="H69" s="61">
        <v>6</v>
      </c>
      <c r="I69" s="61" t="str">
        <f t="shared" si="1"/>
        <v>46</v>
      </c>
      <c r="J69" s="274">
        <v>30000</v>
      </c>
      <c r="K69" s="267">
        <v>1.117974</v>
      </c>
      <c r="L69" s="61">
        <f t="shared" si="10"/>
        <v>0</v>
      </c>
      <c r="M69" s="354"/>
      <c r="AA69" s="63">
        <v>66</v>
      </c>
      <c r="AB69" s="318">
        <v>7500</v>
      </c>
      <c r="AC69" s="249" t="str">
        <f>+IF('CAPTURA DP'!B4&lt;=3," 7,500  UMAM ","")</f>
        <v xml:space="preserve"> 7,500  UMAM </v>
      </c>
      <c r="AD69" s="276">
        <v>1.2744</v>
      </c>
      <c r="AE69" s="277"/>
      <c r="AF69" s="277"/>
      <c r="AG69" s="277"/>
      <c r="AH69" s="277"/>
      <c r="AI69" s="277"/>
    </row>
    <row r="70" spans="1:35">
      <c r="A70" s="343"/>
      <c r="E70" s="61">
        <v>4</v>
      </c>
      <c r="F70" s="369">
        <v>0.2</v>
      </c>
      <c r="G70" s="61">
        <v>0.88890000000000002</v>
      </c>
      <c r="H70" s="61">
        <v>7</v>
      </c>
      <c r="I70" s="61" t="str">
        <f t="shared" ref="I70:I133" si="11">+E70&amp;H70</f>
        <v>47</v>
      </c>
      <c r="J70" s="274">
        <v>35000</v>
      </c>
      <c r="K70" s="267">
        <v>1.103529</v>
      </c>
      <c r="L70" s="61">
        <f t="shared" si="10"/>
        <v>0</v>
      </c>
      <c r="M70" s="354"/>
      <c r="AA70" s="63">
        <v>67</v>
      </c>
      <c r="AB70" s="318">
        <v>7900</v>
      </c>
      <c r="AC70" s="249" t="str">
        <f>+IF('CAPTURA DP'!B4&lt;=3," 7,900  UMAM ","")</f>
        <v xml:space="preserve"> 7,900  UMAM </v>
      </c>
      <c r="AD70" s="276">
        <v>1.2784</v>
      </c>
      <c r="AE70" s="277"/>
      <c r="AF70" s="277"/>
      <c r="AG70" s="277"/>
      <c r="AH70" s="277"/>
      <c r="AI70" s="277"/>
    </row>
    <row r="71" spans="1:35">
      <c r="A71" s="343"/>
      <c r="E71" s="61">
        <v>4</v>
      </c>
      <c r="F71" s="369">
        <v>0.2</v>
      </c>
      <c r="G71" s="61">
        <v>0.88890000000000002</v>
      </c>
      <c r="H71" s="61">
        <v>8</v>
      </c>
      <c r="I71" s="61" t="str">
        <f t="shared" si="11"/>
        <v>48</v>
      </c>
      <c r="J71" s="274">
        <v>40000</v>
      </c>
      <c r="K71" s="267">
        <v>1.0460849999999999</v>
      </c>
      <c r="L71" s="61">
        <f>+IF(b=2,1,0)</f>
        <v>0</v>
      </c>
      <c r="M71" s="354"/>
      <c r="AA71" s="63">
        <v>68</v>
      </c>
      <c r="AB71" s="318">
        <v>8000</v>
      </c>
      <c r="AC71" s="249" t="str">
        <f>+IF('CAPTURA DP'!B4&lt;=3," 8,000  UMAM ","")</f>
        <v xml:space="preserve"> 8,000  UMAM </v>
      </c>
      <c r="AD71" s="276">
        <v>1.2793000000000001</v>
      </c>
      <c r="AE71" s="277"/>
      <c r="AF71" s="277"/>
      <c r="AG71" s="277"/>
      <c r="AH71" s="277"/>
      <c r="AI71" s="277"/>
    </row>
    <row r="72" spans="1:35">
      <c r="A72" s="343"/>
      <c r="E72" s="61">
        <v>4</v>
      </c>
      <c r="F72" s="369">
        <v>0.2</v>
      </c>
      <c r="G72" s="61">
        <v>0.88890000000000002</v>
      </c>
      <c r="H72" s="61">
        <v>9</v>
      </c>
      <c r="I72" s="61" t="str">
        <f t="shared" si="11"/>
        <v>49</v>
      </c>
      <c r="J72" s="274">
        <v>45000</v>
      </c>
      <c r="K72" s="267">
        <v>1.0414749999999999</v>
      </c>
      <c r="L72" s="61">
        <f>+IF(b=2,1,0)</f>
        <v>0</v>
      </c>
      <c r="M72" s="354"/>
      <c r="AA72" s="63">
        <v>69</v>
      </c>
      <c r="AB72" s="318">
        <v>8500</v>
      </c>
      <c r="AC72" s="249" t="str">
        <f>+IF('CAPTURA DP'!B4&lt;=3," 8,500  UMAM ","")</f>
        <v xml:space="preserve"> 8,500  UMAM </v>
      </c>
      <c r="AD72" s="276">
        <v>1.2839</v>
      </c>
      <c r="AE72" s="277"/>
      <c r="AF72" s="277"/>
      <c r="AG72" s="277"/>
      <c r="AH72" s="277"/>
      <c r="AI72" s="277"/>
    </row>
    <row r="73" spans="1:35">
      <c r="E73" s="61">
        <v>4</v>
      </c>
      <c r="F73" s="369">
        <v>0.2</v>
      </c>
      <c r="G73" s="61">
        <v>0.88890000000000002</v>
      </c>
      <c r="H73" s="61">
        <v>10</v>
      </c>
      <c r="I73" s="61" t="str">
        <f t="shared" si="11"/>
        <v>410</v>
      </c>
      <c r="J73" s="274">
        <v>50000</v>
      </c>
      <c r="K73" s="267">
        <v>1.037674</v>
      </c>
      <c r="L73" s="61">
        <f t="shared" ref="L73:L83" si="12">+IF(b=2,1,1)</f>
        <v>1</v>
      </c>
      <c r="M73" s="354"/>
      <c r="AA73" s="63">
        <v>70</v>
      </c>
      <c r="AB73" s="318">
        <v>9000</v>
      </c>
      <c r="AC73" s="249" t="str">
        <f>+IF('CAPTURA DP'!B4&lt;=3," 9,000  UMAM ","")</f>
        <v xml:space="preserve"> 9,000  UMAM </v>
      </c>
      <c r="AD73" s="276">
        <v>1.2882</v>
      </c>
      <c r="AE73" s="277"/>
      <c r="AF73" s="277"/>
      <c r="AG73" s="277"/>
      <c r="AH73" s="277"/>
      <c r="AI73" s="277"/>
    </row>
    <row r="74" spans="1:35">
      <c r="E74" s="61">
        <v>4</v>
      </c>
      <c r="F74" s="369">
        <v>0.2</v>
      </c>
      <c r="G74" s="61">
        <v>0.88890000000000002</v>
      </c>
      <c r="H74" s="61">
        <v>11</v>
      </c>
      <c r="I74" s="61" t="str">
        <f t="shared" si="11"/>
        <v>411</v>
      </c>
      <c r="J74" s="274">
        <v>55000</v>
      </c>
      <c r="K74" s="267">
        <v>1.034924</v>
      </c>
      <c r="L74" s="61">
        <f>+IF(b=2,1,0)</f>
        <v>0</v>
      </c>
      <c r="M74" s="354"/>
      <c r="AA74" s="63">
        <v>71</v>
      </c>
      <c r="AB74" s="318">
        <v>9500</v>
      </c>
      <c r="AC74" s="249" t="str">
        <f>+IF('CAPTURA DP'!B4&lt;=3," 9,500  UMAM ","")</f>
        <v xml:space="preserve"> 9,500  UMAM </v>
      </c>
      <c r="AD74" s="276">
        <v>1.2923</v>
      </c>
      <c r="AE74" s="277"/>
      <c r="AF74" s="277"/>
      <c r="AG74" s="277"/>
      <c r="AH74" s="277"/>
      <c r="AI74" s="277"/>
    </row>
    <row r="75" spans="1:35">
      <c r="E75" s="61">
        <v>4</v>
      </c>
      <c r="F75" s="369">
        <v>0.2</v>
      </c>
      <c r="G75" s="61">
        <v>0.88890000000000002</v>
      </c>
      <c r="H75" s="61">
        <v>12</v>
      </c>
      <c r="I75" s="61" t="str">
        <f t="shared" si="11"/>
        <v>412</v>
      </c>
      <c r="J75" s="274">
        <v>60000</v>
      </c>
      <c r="K75" s="267">
        <v>1.032241</v>
      </c>
      <c r="L75" s="61">
        <f t="shared" si="12"/>
        <v>1</v>
      </c>
      <c r="M75" s="354"/>
      <c r="AA75" s="63">
        <v>72</v>
      </c>
      <c r="AB75" s="318">
        <v>10000</v>
      </c>
      <c r="AC75" s="249" t="str">
        <f>+IF('CAPTURA DP'!B4&lt;=3," 10,000  UMAM ","")</f>
        <v xml:space="preserve"> 10,000  UMAM </v>
      </c>
      <c r="AD75" s="276">
        <v>1.2962</v>
      </c>
      <c r="AE75" s="277"/>
      <c r="AF75" s="277"/>
      <c r="AG75" s="277"/>
      <c r="AH75" s="277"/>
      <c r="AI75" s="277"/>
    </row>
    <row r="76" spans="1:35">
      <c r="E76" s="61">
        <v>4</v>
      </c>
      <c r="F76" s="369">
        <v>0.2</v>
      </c>
      <c r="G76" s="61">
        <v>0.88890000000000002</v>
      </c>
      <c r="H76" s="61">
        <v>13</v>
      </c>
      <c r="I76" s="61" t="str">
        <f t="shared" si="11"/>
        <v>413</v>
      </c>
      <c r="J76" s="274">
        <v>65000</v>
      </c>
      <c r="K76" s="267">
        <v>1.029668</v>
      </c>
      <c r="L76" s="61">
        <f>+IF(b=2,1,0)</f>
        <v>0</v>
      </c>
      <c r="M76" s="354"/>
      <c r="AA76" s="63">
        <v>73</v>
      </c>
      <c r="AB76" s="318">
        <v>10500</v>
      </c>
      <c r="AC76" s="249" t="str">
        <f>+IF('CAPTURA DP'!B4&lt;=3," 10,500  UMAM ","")</f>
        <v xml:space="preserve"> 10,500  UMAM </v>
      </c>
      <c r="AD76" s="276">
        <v>1.2999000000000001</v>
      </c>
      <c r="AE76" s="277"/>
      <c r="AF76" s="277"/>
      <c r="AG76" s="277"/>
      <c r="AH76" s="277"/>
      <c r="AI76" s="277"/>
    </row>
    <row r="77" spans="1:35">
      <c r="E77" s="61">
        <v>4</v>
      </c>
      <c r="F77" s="369">
        <v>0.2</v>
      </c>
      <c r="G77" s="61">
        <v>0.88890000000000002</v>
      </c>
      <c r="H77" s="61">
        <v>14</v>
      </c>
      <c r="I77" s="61" t="str">
        <f t="shared" si="11"/>
        <v>414</v>
      </c>
      <c r="J77" s="274">
        <v>70000</v>
      </c>
      <c r="K77" s="267">
        <v>1.027239</v>
      </c>
      <c r="L77" s="61">
        <f t="shared" si="12"/>
        <v>1</v>
      </c>
      <c r="M77" s="354"/>
      <c r="AA77" s="63">
        <v>74</v>
      </c>
      <c r="AB77" s="318">
        <v>11000</v>
      </c>
      <c r="AC77" s="249" t="str">
        <f>+IF('CAPTURA DP'!B4&lt;=3," 11,000  UMAM ","")</f>
        <v xml:space="preserve"> 11,000  UMAM </v>
      </c>
      <c r="AD77" s="276">
        <v>1.3033999999999999</v>
      </c>
      <c r="AE77" s="277"/>
      <c r="AF77" s="277"/>
      <c r="AG77" s="277"/>
      <c r="AH77" s="277"/>
      <c r="AI77" s="277"/>
    </row>
    <row r="78" spans="1:35">
      <c r="E78" s="61">
        <v>4</v>
      </c>
      <c r="F78" s="369">
        <v>0.2</v>
      </c>
      <c r="G78" s="61">
        <v>0.88890000000000002</v>
      </c>
      <c r="H78" s="61">
        <v>15</v>
      </c>
      <c r="I78" s="61" t="str">
        <f t="shared" si="11"/>
        <v>415</v>
      </c>
      <c r="J78" s="274">
        <v>75000</v>
      </c>
      <c r="K78" s="267">
        <v>1.024977</v>
      </c>
      <c r="L78" s="61">
        <f t="shared" si="12"/>
        <v>1</v>
      </c>
      <c r="M78" s="354"/>
      <c r="AA78" s="63">
        <v>75</v>
      </c>
      <c r="AB78" s="318">
        <v>11500</v>
      </c>
      <c r="AC78" s="249" t="str">
        <f>+IF('CAPTURA DP'!B4&lt;=3," 11,500  UMAM ","")</f>
        <v xml:space="preserve"> 11,500  UMAM </v>
      </c>
      <c r="AD78" s="276">
        <v>1.3068</v>
      </c>
      <c r="AE78" s="277"/>
      <c r="AF78" s="277"/>
      <c r="AG78" s="277"/>
      <c r="AH78" s="277"/>
      <c r="AI78" s="277"/>
    </row>
    <row r="79" spans="1:35">
      <c r="E79" s="61">
        <v>4</v>
      </c>
      <c r="F79" s="369">
        <v>0.2</v>
      </c>
      <c r="G79" s="61">
        <v>0.88890000000000002</v>
      </c>
      <c r="H79" s="61">
        <v>16</v>
      </c>
      <c r="I79" s="61" t="str">
        <f t="shared" si="11"/>
        <v>416</v>
      </c>
      <c r="J79" s="274">
        <v>80000</v>
      </c>
      <c r="K79" s="267">
        <v>1.022896</v>
      </c>
      <c r="L79" s="61">
        <f t="shared" si="12"/>
        <v>1</v>
      </c>
      <c r="M79" s="354"/>
      <c r="AA79" s="63">
        <v>76</v>
      </c>
      <c r="AB79" s="318">
        <v>12000</v>
      </c>
      <c r="AC79" s="249" t="str">
        <f>+IF('CAPTURA DP'!B4&lt;=3," 12,000  UMAM ","")</f>
        <v xml:space="preserve"> 12,000  UMAM </v>
      </c>
      <c r="AD79" s="276">
        <v>1.31</v>
      </c>
      <c r="AE79" s="277"/>
      <c r="AF79" s="277"/>
      <c r="AG79" s="277"/>
      <c r="AH79" s="277"/>
      <c r="AI79" s="277"/>
    </row>
    <row r="80" spans="1:35">
      <c r="E80" s="61">
        <v>4</v>
      </c>
      <c r="F80" s="369">
        <v>0.2</v>
      </c>
      <c r="G80" s="61">
        <v>0.88890000000000002</v>
      </c>
      <c r="H80" s="61">
        <v>17</v>
      </c>
      <c r="I80" s="61" t="str">
        <f t="shared" si="11"/>
        <v>417</v>
      </c>
      <c r="J80" s="274">
        <v>85000</v>
      </c>
      <c r="K80" s="267">
        <v>1.0209820000000001</v>
      </c>
      <c r="L80" s="61">
        <f t="shared" si="12"/>
        <v>1</v>
      </c>
      <c r="M80" s="354"/>
      <c r="AA80" s="63">
        <v>77</v>
      </c>
      <c r="AB80" s="318">
        <v>12500</v>
      </c>
      <c r="AC80" s="249" t="str">
        <f>+IF('CAPTURA DP'!B4&lt;=3," 12,500  UMAM ","")</f>
        <v xml:space="preserve"> 12,500  UMAM </v>
      </c>
      <c r="AD80" s="276">
        <v>1.3130999999999999</v>
      </c>
      <c r="AE80" s="277"/>
      <c r="AF80" s="277"/>
      <c r="AG80" s="277"/>
      <c r="AH80" s="277"/>
      <c r="AI80" s="277"/>
    </row>
    <row r="81" spans="5:35">
      <c r="E81" s="61">
        <v>4</v>
      </c>
      <c r="F81" s="369">
        <v>0.2</v>
      </c>
      <c r="G81" s="61">
        <v>0.88890000000000002</v>
      </c>
      <c r="H81" s="61">
        <v>18</v>
      </c>
      <c r="I81" s="61" t="str">
        <f t="shared" si="11"/>
        <v>418</v>
      </c>
      <c r="J81" s="274">
        <v>90000</v>
      </c>
      <c r="K81" s="267">
        <v>1.019223</v>
      </c>
      <c r="L81" s="61">
        <f t="shared" si="12"/>
        <v>1</v>
      </c>
      <c r="M81" s="354"/>
      <c r="AA81" s="63">
        <v>78</v>
      </c>
      <c r="AB81" s="318">
        <v>13000</v>
      </c>
      <c r="AC81" s="249" t="str">
        <f>+IF('CAPTURA DP'!B4&lt;=3," 13,000  UMAM ","")</f>
        <v xml:space="preserve"> 13,000  UMAM </v>
      </c>
      <c r="AD81" s="276">
        <v>1.3161</v>
      </c>
      <c r="AE81" s="277"/>
      <c r="AF81" s="277"/>
      <c r="AG81" s="277"/>
      <c r="AH81" s="277"/>
      <c r="AI81" s="277"/>
    </row>
    <row r="82" spans="5:35">
      <c r="E82" s="61">
        <v>4</v>
      </c>
      <c r="F82" s="369">
        <v>0.2</v>
      </c>
      <c r="G82" s="61">
        <v>0.88890000000000002</v>
      </c>
      <c r="H82" s="61">
        <v>19</v>
      </c>
      <c r="I82" s="61" t="str">
        <f t="shared" si="11"/>
        <v>419</v>
      </c>
      <c r="J82" s="274">
        <v>95000</v>
      </c>
      <c r="K82" s="267">
        <v>1.0176069999999999</v>
      </c>
      <c r="L82" s="61">
        <f t="shared" si="12"/>
        <v>1</v>
      </c>
      <c r="M82" s="354"/>
      <c r="AA82" s="63">
        <v>79</v>
      </c>
      <c r="AB82" s="318">
        <v>14000</v>
      </c>
      <c r="AC82" s="249" t="str">
        <f>+IF('CAPTURA DP'!B4&lt;=3," 14,000  UMAM ","")</f>
        <v xml:space="preserve"> 14,000  UMAM </v>
      </c>
      <c r="AD82" s="276">
        <v>1.3217000000000001</v>
      </c>
      <c r="AE82" s="277"/>
      <c r="AF82" s="277"/>
      <c r="AG82" s="277"/>
      <c r="AH82" s="277"/>
      <c r="AI82" s="277"/>
    </row>
    <row r="83" spans="5:35">
      <c r="E83" s="61">
        <v>4</v>
      </c>
      <c r="F83" s="369">
        <v>0.2</v>
      </c>
      <c r="G83" s="61">
        <v>0.88890000000000002</v>
      </c>
      <c r="H83" s="61">
        <v>20</v>
      </c>
      <c r="I83" s="61" t="str">
        <f t="shared" si="11"/>
        <v>420</v>
      </c>
      <c r="J83" s="274">
        <v>100000</v>
      </c>
      <c r="K83" s="267">
        <v>1.0161210000000001</v>
      </c>
      <c r="L83" s="61">
        <f t="shared" si="12"/>
        <v>1</v>
      </c>
      <c r="M83" s="354"/>
      <c r="AA83" s="63">
        <v>80</v>
      </c>
      <c r="AB83" s="318">
        <v>15000</v>
      </c>
      <c r="AC83" s="249" t="str">
        <f>+IF('CAPTURA DP'!B4&lt;=3," 15,000  UMAM ","")</f>
        <v xml:space="preserve"> 15,000  UMAM </v>
      </c>
      <c r="AD83" s="276">
        <v>1.3269</v>
      </c>
      <c r="AE83" s="277"/>
      <c r="AF83" s="277"/>
      <c r="AG83" s="277"/>
      <c r="AH83" s="277"/>
      <c r="AI83" s="277"/>
    </row>
    <row r="84" spans="5:35">
      <c r="E84" s="61">
        <v>5</v>
      </c>
      <c r="F84" s="369">
        <v>0.25</v>
      </c>
      <c r="G84" s="61">
        <v>0.83330000000000004</v>
      </c>
      <c r="H84" s="61">
        <v>1</v>
      </c>
      <c r="I84" s="61" t="str">
        <f t="shared" si="11"/>
        <v>51</v>
      </c>
      <c r="J84" s="61">
        <v>0</v>
      </c>
      <c r="K84" s="267">
        <v>1</v>
      </c>
      <c r="L84" s="61">
        <f>+IF(b=2,1,1)</f>
        <v>1</v>
      </c>
      <c r="M84" s="354"/>
      <c r="AA84" s="63">
        <v>81</v>
      </c>
      <c r="AB84" s="318">
        <v>15500</v>
      </c>
      <c r="AC84" s="249" t="str">
        <f>+IF('CAPTURA DP'!B4&lt;=3," 15,500  UMAM ","")</f>
        <v xml:space="preserve"> 15,500  UMAM </v>
      </c>
      <c r="AD84" s="276">
        <v>1.3293999999999999</v>
      </c>
      <c r="AE84" s="277"/>
      <c r="AF84" s="277"/>
      <c r="AG84" s="277"/>
      <c r="AH84" s="277"/>
      <c r="AI84" s="277"/>
    </row>
    <row r="85" spans="5:35">
      <c r="E85" s="61">
        <v>5</v>
      </c>
      <c r="F85" s="369">
        <v>0.25</v>
      </c>
      <c r="G85" s="61">
        <v>0.83330000000000004</v>
      </c>
      <c r="H85" s="61">
        <v>2</v>
      </c>
      <c r="I85" s="61" t="str">
        <f t="shared" si="11"/>
        <v>52</v>
      </c>
      <c r="J85" s="274">
        <v>10000</v>
      </c>
      <c r="K85" s="267">
        <v>1.307933</v>
      </c>
      <c r="L85" s="61">
        <f t="shared" ref="L85:L90" si="13">+IF(b=2,1,0)</f>
        <v>0</v>
      </c>
      <c r="M85" s="354"/>
      <c r="AA85" s="63">
        <v>82</v>
      </c>
      <c r="AB85" s="318">
        <v>16000</v>
      </c>
      <c r="AC85" s="249" t="str">
        <f>+IF('CAPTURA DP'!B4&lt;=3," 16,000  UMAM ","")</f>
        <v xml:space="preserve"> 16,000  UMAM </v>
      </c>
      <c r="AD85" s="276">
        <v>1.3318000000000001</v>
      </c>
      <c r="AE85" s="277"/>
      <c r="AF85" s="277"/>
      <c r="AG85" s="277"/>
      <c r="AH85" s="277"/>
      <c r="AI85" s="277"/>
    </row>
    <row r="86" spans="5:35">
      <c r="E86" s="61">
        <v>5</v>
      </c>
      <c r="F86" s="369">
        <v>0.25</v>
      </c>
      <c r="G86" s="61">
        <v>0.83330000000000004</v>
      </c>
      <c r="H86" s="61">
        <v>3</v>
      </c>
      <c r="I86" s="61" t="str">
        <f t="shared" si="11"/>
        <v>53</v>
      </c>
      <c r="J86" s="274">
        <v>15000</v>
      </c>
      <c r="K86" s="267">
        <v>1.2633289999999999</v>
      </c>
      <c r="L86" s="61">
        <f t="shared" si="13"/>
        <v>0</v>
      </c>
      <c r="M86" s="354"/>
      <c r="AA86" s="63">
        <v>83</v>
      </c>
      <c r="AB86" s="318">
        <v>17000</v>
      </c>
      <c r="AC86" s="249" t="str">
        <f>+IF('CAPTURA DP'!B4&lt;=3," 17,000  UMAM ","")</f>
        <v xml:space="preserve"> 17,000  UMAM </v>
      </c>
      <c r="AD86" s="276">
        <v>1.3364</v>
      </c>
      <c r="AE86" s="277"/>
      <c r="AF86" s="277"/>
      <c r="AG86" s="277"/>
      <c r="AH86" s="277"/>
      <c r="AI86" s="277"/>
    </row>
    <row r="87" spans="5:35">
      <c r="E87" s="61">
        <v>5</v>
      </c>
      <c r="F87" s="369">
        <v>0.25</v>
      </c>
      <c r="G87" s="61">
        <v>0.83330000000000004</v>
      </c>
      <c r="H87" s="61">
        <v>4</v>
      </c>
      <c r="I87" s="61" t="str">
        <f t="shared" si="11"/>
        <v>54</v>
      </c>
      <c r="J87" s="274">
        <v>20000</v>
      </c>
      <c r="K87" s="267">
        <v>1.2274369999999999</v>
      </c>
      <c r="L87" s="61">
        <f t="shared" si="13"/>
        <v>0</v>
      </c>
      <c r="M87" s="354"/>
      <c r="AA87" s="63">
        <v>84</v>
      </c>
      <c r="AB87" s="318">
        <v>18000</v>
      </c>
      <c r="AC87" s="249" t="str">
        <f>+IF('CAPTURA DP'!B4&lt;=3," 18,000  UMAM ","")</f>
        <v xml:space="preserve"> 18,000  UMAM </v>
      </c>
      <c r="AD87" s="276">
        <v>1.3407</v>
      </c>
      <c r="AE87" s="277"/>
      <c r="AF87" s="277"/>
      <c r="AG87" s="277"/>
      <c r="AH87" s="277"/>
      <c r="AI87" s="277"/>
    </row>
    <row r="88" spans="5:35">
      <c r="E88" s="61">
        <v>5</v>
      </c>
      <c r="F88" s="369">
        <v>0.25</v>
      </c>
      <c r="G88" s="61">
        <v>0.83330000000000004</v>
      </c>
      <c r="H88" s="61">
        <v>5</v>
      </c>
      <c r="I88" s="61" t="str">
        <f t="shared" si="11"/>
        <v>55</v>
      </c>
      <c r="J88" s="274">
        <v>25000</v>
      </c>
      <c r="K88" s="267">
        <v>1.1974180000000001</v>
      </c>
      <c r="L88" s="61">
        <f t="shared" si="13"/>
        <v>0</v>
      </c>
      <c r="M88" s="354"/>
      <c r="AA88" s="63">
        <v>85</v>
      </c>
      <c r="AB88" s="318">
        <v>18500</v>
      </c>
      <c r="AC88" s="249" t="str">
        <f>+IF('CAPTURA DP'!B4&lt;=3," 18,500  UMAM ","")</f>
        <v xml:space="preserve"> 18,500  UMAM </v>
      </c>
      <c r="AD88" s="276">
        <v>1.3428</v>
      </c>
      <c r="AE88" s="277"/>
      <c r="AF88" s="277"/>
      <c r="AG88" s="277"/>
      <c r="AH88" s="277"/>
      <c r="AI88" s="277"/>
    </row>
    <row r="89" spans="5:35">
      <c r="E89" s="61">
        <v>5</v>
      </c>
      <c r="F89" s="369">
        <v>0.25</v>
      </c>
      <c r="G89" s="61">
        <v>0.83330000000000004</v>
      </c>
      <c r="H89" s="61">
        <v>6</v>
      </c>
      <c r="I89" s="61" t="str">
        <f t="shared" si="11"/>
        <v>56</v>
      </c>
      <c r="J89" s="274">
        <v>30000</v>
      </c>
      <c r="K89" s="267">
        <v>1.1727240000000001</v>
      </c>
      <c r="L89" s="61">
        <f t="shared" si="13"/>
        <v>0</v>
      </c>
      <c r="M89" s="354"/>
      <c r="AA89" s="63">
        <v>86</v>
      </c>
      <c r="AB89" s="318">
        <v>20000</v>
      </c>
      <c r="AC89" s="249" t="str">
        <f>+IF('CAPTURA DP'!B4&lt;=3," 20,000  UMAM ","")</f>
        <v xml:space="preserve"> 20,000  UMAM </v>
      </c>
      <c r="AD89" s="276">
        <v>1.3487</v>
      </c>
      <c r="AE89" s="277"/>
      <c r="AF89" s="277"/>
      <c r="AG89" s="277"/>
      <c r="AH89" s="277"/>
      <c r="AI89" s="277"/>
    </row>
    <row r="90" spans="5:35">
      <c r="E90" s="61">
        <v>5</v>
      </c>
      <c r="F90" s="369">
        <v>0.25</v>
      </c>
      <c r="G90" s="61">
        <v>0.83330000000000004</v>
      </c>
      <c r="H90" s="61">
        <v>7</v>
      </c>
      <c r="I90" s="61" t="str">
        <f t="shared" si="11"/>
        <v>57</v>
      </c>
      <c r="J90" s="274">
        <v>35000</v>
      </c>
      <c r="K90" s="267">
        <v>1.152136</v>
      </c>
      <c r="L90" s="61">
        <f t="shared" si="13"/>
        <v>0</v>
      </c>
      <c r="M90" s="354"/>
      <c r="AA90" s="63">
        <v>87</v>
      </c>
      <c r="AB90" s="318">
        <v>20500</v>
      </c>
      <c r="AC90" s="249" t="str">
        <f>+IF('CAPTURA DP'!B4&lt;=3," 20,500  UMAM ","")</f>
        <v xml:space="preserve"> 20,500  UMAM </v>
      </c>
      <c r="AD90" s="276">
        <v>1.3506</v>
      </c>
      <c r="AE90" s="277"/>
      <c r="AF90" s="277"/>
      <c r="AG90" s="277"/>
      <c r="AH90" s="277"/>
      <c r="AI90" s="277"/>
    </row>
    <row r="91" spans="5:35">
      <c r="E91" s="61">
        <v>5</v>
      </c>
      <c r="F91" s="369">
        <v>0.25</v>
      </c>
      <c r="G91" s="61">
        <v>0.83330000000000004</v>
      </c>
      <c r="H91" s="61">
        <v>8</v>
      </c>
      <c r="I91" s="61" t="str">
        <f t="shared" si="11"/>
        <v>58</v>
      </c>
      <c r="J91" s="274">
        <v>40000</v>
      </c>
      <c r="K91" s="267">
        <v>1.0675920000000001</v>
      </c>
      <c r="L91" s="61">
        <f>+IF(b=2,1,0)</f>
        <v>0</v>
      </c>
      <c r="M91" s="354"/>
      <c r="AA91" s="63">
        <v>88</v>
      </c>
      <c r="AB91" s="318">
        <v>21000</v>
      </c>
      <c r="AC91" s="249" t="str">
        <f>+IF('CAPTURA DP'!B4&lt;=3," 21,000  UMAM ","")</f>
        <v xml:space="preserve"> 21,000  UMAM </v>
      </c>
      <c r="AD91" s="276">
        <v>1.3524</v>
      </c>
      <c r="AE91" s="277"/>
      <c r="AF91" s="277"/>
      <c r="AG91" s="277"/>
      <c r="AH91" s="277"/>
      <c r="AI91" s="277"/>
    </row>
    <row r="92" spans="5:35">
      <c r="E92" s="61">
        <v>5</v>
      </c>
      <c r="F92" s="369">
        <v>0.25</v>
      </c>
      <c r="G92" s="61">
        <v>0.83330000000000004</v>
      </c>
      <c r="H92" s="61">
        <v>9</v>
      </c>
      <c r="I92" s="61" t="str">
        <f t="shared" si="11"/>
        <v>59</v>
      </c>
      <c r="J92" s="274">
        <v>45000</v>
      </c>
      <c r="K92" s="267">
        <v>1.060575</v>
      </c>
      <c r="L92" s="61">
        <f>+IF(b=2,1,0)</f>
        <v>0</v>
      </c>
      <c r="M92" s="354"/>
      <c r="AA92" s="63">
        <v>89</v>
      </c>
      <c r="AB92" s="318">
        <v>21500</v>
      </c>
      <c r="AC92" s="249" t="str">
        <f>+IF('CAPTURA DP'!B4&lt;=3," 21,500  UMAM ","")</f>
        <v xml:space="preserve"> 21,500  UMAM </v>
      </c>
      <c r="AD92" s="276">
        <v>1.3542000000000001</v>
      </c>
      <c r="AE92" s="277"/>
      <c r="AF92" s="277"/>
      <c r="AG92" s="277"/>
      <c r="AH92" s="277"/>
      <c r="AI92" s="277"/>
    </row>
    <row r="93" spans="5:35">
      <c r="E93" s="61">
        <v>5</v>
      </c>
      <c r="F93" s="369">
        <v>0.25</v>
      </c>
      <c r="G93" s="61">
        <v>0.83330000000000004</v>
      </c>
      <c r="H93" s="61">
        <v>10</v>
      </c>
      <c r="I93" s="61" t="str">
        <f t="shared" si="11"/>
        <v>510</v>
      </c>
      <c r="J93" s="274">
        <v>50000</v>
      </c>
      <c r="K93" s="267">
        <v>1.054764</v>
      </c>
      <c r="L93" s="61">
        <f t="shared" ref="L93:L103" si="14">+IF(b=2,1,1)</f>
        <v>1</v>
      </c>
      <c r="M93" s="354"/>
      <c r="AA93" s="63">
        <v>90</v>
      </c>
      <c r="AB93" s="318">
        <v>22000</v>
      </c>
      <c r="AC93" s="249" t="str">
        <f>+IF('CAPTURA DP'!B4&lt;=3," 22,000  UMAM ","")</f>
        <v xml:space="preserve"> 22,000  UMAM </v>
      </c>
      <c r="AD93" s="276">
        <v>1.3559000000000001</v>
      </c>
      <c r="AE93" s="277"/>
      <c r="AF93" s="277"/>
      <c r="AG93" s="277"/>
      <c r="AH93" s="277"/>
      <c r="AI93" s="277"/>
    </row>
    <row r="94" spans="5:35">
      <c r="E94" s="61">
        <v>5</v>
      </c>
      <c r="F94" s="369">
        <v>0.25</v>
      </c>
      <c r="G94" s="61">
        <v>0.83330000000000004</v>
      </c>
      <c r="H94" s="61">
        <v>11</v>
      </c>
      <c r="I94" s="61" t="str">
        <f t="shared" si="11"/>
        <v>511</v>
      </c>
      <c r="J94" s="274">
        <v>55000</v>
      </c>
      <c r="K94" s="267">
        <v>1.0507679999999999</v>
      </c>
      <c r="L94" s="61">
        <f>+IF(b=2,1,0)</f>
        <v>0</v>
      </c>
      <c r="M94" s="354"/>
      <c r="AA94" s="63">
        <v>91</v>
      </c>
      <c r="AB94" s="318">
        <v>22500</v>
      </c>
      <c r="AC94" s="249" t="str">
        <f>+IF('CAPTURA DP'!B4&lt;=3," 22,500  UMAM ","")</f>
        <v xml:space="preserve"> 22,500  UMAM </v>
      </c>
      <c r="AD94" s="276">
        <v>1.3575999999999999</v>
      </c>
      <c r="AE94" s="277"/>
      <c r="AF94" s="277"/>
      <c r="AG94" s="277"/>
      <c r="AH94" s="277"/>
      <c r="AI94" s="277"/>
    </row>
    <row r="95" spans="5:35">
      <c r="E95" s="61">
        <v>5</v>
      </c>
      <c r="F95" s="369">
        <v>0.25</v>
      </c>
      <c r="G95" s="61">
        <v>0.83330000000000004</v>
      </c>
      <c r="H95" s="61">
        <v>12</v>
      </c>
      <c r="I95" s="61" t="str">
        <f t="shared" si="11"/>
        <v>512</v>
      </c>
      <c r="J95" s="274">
        <v>60000</v>
      </c>
      <c r="K95" s="267">
        <v>1.0468660000000001</v>
      </c>
      <c r="L95" s="61">
        <f t="shared" si="14"/>
        <v>1</v>
      </c>
      <c r="M95" s="354"/>
      <c r="AA95" s="63">
        <v>92</v>
      </c>
      <c r="AB95" s="318">
        <v>23000</v>
      </c>
      <c r="AC95" s="249" t="str">
        <f>+IF('CAPTURA DP'!B4&lt;=3," 23,000  UMAM ","")</f>
        <v xml:space="preserve"> 23,000  UMAM </v>
      </c>
      <c r="AD95" s="276">
        <v>1.3593</v>
      </c>
      <c r="AE95" s="277"/>
      <c r="AF95" s="277"/>
      <c r="AG95" s="277"/>
      <c r="AH95" s="277"/>
      <c r="AI95" s="277"/>
    </row>
    <row r="96" spans="5:35">
      <c r="E96" s="61">
        <v>5</v>
      </c>
      <c r="F96" s="369">
        <v>0.25</v>
      </c>
      <c r="G96" s="61">
        <v>0.83330000000000004</v>
      </c>
      <c r="H96" s="61">
        <v>13</v>
      </c>
      <c r="I96" s="61" t="str">
        <f t="shared" si="11"/>
        <v>513</v>
      </c>
      <c r="J96" s="274">
        <v>65000</v>
      </c>
      <c r="K96" s="267">
        <v>1.043126</v>
      </c>
      <c r="L96" s="61">
        <f>+IF(b=2,1,0)</f>
        <v>0</v>
      </c>
      <c r="M96" s="354"/>
      <c r="AA96" s="63">
        <v>93</v>
      </c>
      <c r="AB96" s="318">
        <v>23500</v>
      </c>
      <c r="AC96" s="249" t="str">
        <f>+IF('CAPTURA DP'!B4&lt;=3," 23,500  UMAM ","")</f>
        <v xml:space="preserve"> 23,500  UMAM </v>
      </c>
      <c r="AD96" s="276">
        <v>1.3609</v>
      </c>
      <c r="AE96" s="277"/>
      <c r="AF96" s="277"/>
      <c r="AG96" s="277"/>
      <c r="AH96" s="277"/>
      <c r="AI96" s="277"/>
    </row>
    <row r="97" spans="5:35">
      <c r="E97" s="61">
        <v>5</v>
      </c>
      <c r="F97" s="369">
        <v>0.25</v>
      </c>
      <c r="G97" s="61">
        <v>0.83330000000000004</v>
      </c>
      <c r="H97" s="61">
        <v>14</v>
      </c>
      <c r="I97" s="61" t="str">
        <f t="shared" si="11"/>
        <v>514</v>
      </c>
      <c r="J97" s="274">
        <v>70000</v>
      </c>
      <c r="K97" s="267">
        <v>1.039595</v>
      </c>
      <c r="L97" s="61">
        <f t="shared" si="14"/>
        <v>1</v>
      </c>
      <c r="M97" s="354"/>
      <c r="AA97" s="63">
        <v>94</v>
      </c>
      <c r="AB97" s="318">
        <v>24000</v>
      </c>
      <c r="AC97" s="249" t="str">
        <f>+IF('CAPTURA DP'!B4&lt;=3," 24,000  UMAM ","")</f>
        <v xml:space="preserve"> 24,000  UMAM </v>
      </c>
      <c r="AD97" s="276">
        <v>1.3625</v>
      </c>
      <c r="AE97" s="277"/>
      <c r="AF97" s="277"/>
      <c r="AG97" s="277"/>
      <c r="AH97" s="277"/>
      <c r="AI97" s="277"/>
    </row>
    <row r="98" spans="5:35">
      <c r="E98" s="61">
        <v>5</v>
      </c>
      <c r="F98" s="369">
        <v>0.25</v>
      </c>
      <c r="G98" s="61">
        <v>0.83330000000000004</v>
      </c>
      <c r="H98" s="61">
        <v>15</v>
      </c>
      <c r="I98" s="61" t="str">
        <f t="shared" si="11"/>
        <v>515</v>
      </c>
      <c r="J98" s="274">
        <v>75000</v>
      </c>
      <c r="K98" s="267">
        <v>1.0363070000000001</v>
      </c>
      <c r="L98" s="61">
        <f t="shared" si="14"/>
        <v>1</v>
      </c>
      <c r="M98" s="354"/>
      <c r="AA98" s="63">
        <v>95</v>
      </c>
      <c r="AB98" s="318">
        <v>25000</v>
      </c>
      <c r="AC98" s="249" t="str">
        <f>+IF('CAPTURA DP'!B4&lt;=3," 25,000  UMAM ","")</f>
        <v xml:space="preserve"> 25,000  UMAM </v>
      </c>
      <c r="AD98" s="276">
        <v>1.3625</v>
      </c>
      <c r="AE98" s="277"/>
      <c r="AF98" s="277"/>
      <c r="AG98" s="277"/>
      <c r="AH98" s="277"/>
      <c r="AI98" s="277"/>
    </row>
    <row r="99" spans="5:35">
      <c r="E99" s="61">
        <v>5</v>
      </c>
      <c r="F99" s="369">
        <v>0.25</v>
      </c>
      <c r="G99" s="61">
        <v>0.83330000000000004</v>
      </c>
      <c r="H99" s="61">
        <v>16</v>
      </c>
      <c r="I99" s="61" t="str">
        <f t="shared" si="11"/>
        <v>516</v>
      </c>
      <c r="J99" s="274">
        <v>80000</v>
      </c>
      <c r="K99" s="267">
        <v>1.033282</v>
      </c>
      <c r="L99" s="61">
        <f t="shared" si="14"/>
        <v>1</v>
      </c>
      <c r="M99" s="354"/>
      <c r="AA99" s="63">
        <v>96</v>
      </c>
      <c r="AB99" s="318">
        <v>30000</v>
      </c>
      <c r="AC99" s="249" t="str">
        <f>+IF('CAPTURA DP'!B4&lt;=3," 30,000  UMAM ","")</f>
        <v xml:space="preserve"> 30,000  UMAM </v>
      </c>
      <c r="AD99" s="276">
        <v>1.3625</v>
      </c>
      <c r="AE99" s="277"/>
      <c r="AF99" s="277"/>
      <c r="AG99" s="277"/>
      <c r="AH99" s="277"/>
      <c r="AI99" s="277"/>
    </row>
    <row r="100" spans="5:35">
      <c r="E100" s="61">
        <v>5</v>
      </c>
      <c r="F100" s="369">
        <v>0.25</v>
      </c>
      <c r="G100" s="61">
        <v>0.83330000000000004</v>
      </c>
      <c r="H100" s="61">
        <v>17</v>
      </c>
      <c r="I100" s="61" t="str">
        <f t="shared" si="11"/>
        <v>517</v>
      </c>
      <c r="J100" s="274">
        <v>85000</v>
      </c>
      <c r="K100" s="267">
        <v>1.0305010000000001</v>
      </c>
      <c r="L100" s="61">
        <f t="shared" si="14"/>
        <v>1</v>
      </c>
      <c r="M100" s="354"/>
      <c r="AA100" s="63">
        <v>97</v>
      </c>
      <c r="AB100" s="318">
        <v>40000</v>
      </c>
      <c r="AC100" s="249" t="str">
        <f>+IF('CAPTURA DP'!B4&lt;=3," 40,000  UMAM ","")</f>
        <v xml:space="preserve"> 40,000  UMAM </v>
      </c>
      <c r="AD100" s="276">
        <v>1.3625</v>
      </c>
    </row>
    <row r="101" spans="5:35">
      <c r="E101" s="61">
        <v>5</v>
      </c>
      <c r="F101" s="369">
        <v>0.25</v>
      </c>
      <c r="G101" s="61">
        <v>0.83330000000000004</v>
      </c>
      <c r="H101" s="61">
        <v>18</v>
      </c>
      <c r="I101" s="61" t="str">
        <f t="shared" si="11"/>
        <v>518</v>
      </c>
      <c r="J101" s="274">
        <v>90000</v>
      </c>
      <c r="K101" s="267">
        <v>1.027944</v>
      </c>
      <c r="L101" s="61">
        <f t="shared" si="14"/>
        <v>1</v>
      </c>
      <c r="M101" s="354"/>
      <c r="AA101" s="63">
        <v>98</v>
      </c>
      <c r="AB101" s="318">
        <v>55000</v>
      </c>
      <c r="AC101" s="249" t="str">
        <f>+IF('CAPTURA DP'!B4&lt;=3," 55,000  UMAM ","")</f>
        <v xml:space="preserve"> 55,000  UMAM </v>
      </c>
      <c r="AD101" s="276">
        <v>1.3625</v>
      </c>
    </row>
    <row r="102" spans="5:35">
      <c r="E102" s="61">
        <v>5</v>
      </c>
      <c r="F102" s="369">
        <v>0.25</v>
      </c>
      <c r="G102" s="61">
        <v>0.83330000000000004</v>
      </c>
      <c r="H102" s="61">
        <v>19</v>
      </c>
      <c r="I102" s="61" t="str">
        <f t="shared" si="11"/>
        <v>519</v>
      </c>
      <c r="J102" s="274">
        <v>95000</v>
      </c>
      <c r="K102" s="267">
        <v>1.0255939999999999</v>
      </c>
      <c r="L102" s="61">
        <f t="shared" si="14"/>
        <v>1</v>
      </c>
      <c r="M102" s="354"/>
      <c r="AA102" s="63">
        <v>99</v>
      </c>
      <c r="AB102" s="63" t="s">
        <v>340</v>
      </c>
      <c r="AC102" s="249" t="str">
        <f>+IF('CAPTURA DP'!B4&lt;=3," Sin Limite ","")</f>
        <v xml:space="preserve"> Sin Limite </v>
      </c>
      <c r="AD102" s="276">
        <v>1.3625</v>
      </c>
    </row>
    <row r="103" spans="5:35">
      <c r="E103" s="61">
        <v>5</v>
      </c>
      <c r="F103" s="369">
        <v>0.25</v>
      </c>
      <c r="G103" s="61">
        <v>0.83330000000000004</v>
      </c>
      <c r="H103" s="61">
        <v>20</v>
      </c>
      <c r="I103" s="61" t="str">
        <f t="shared" si="11"/>
        <v>520</v>
      </c>
      <c r="J103" s="274">
        <v>100000</v>
      </c>
      <c r="K103" s="267">
        <v>1.023434</v>
      </c>
      <c r="L103" s="61">
        <f t="shared" si="14"/>
        <v>1</v>
      </c>
      <c r="M103" s="354"/>
    </row>
    <row r="104" spans="5:35">
      <c r="E104" s="61">
        <v>6</v>
      </c>
      <c r="F104" s="369">
        <v>0.3</v>
      </c>
      <c r="G104" s="61">
        <v>0.77780000000000005</v>
      </c>
      <c r="H104" s="61">
        <v>1</v>
      </c>
      <c r="I104" s="61" t="str">
        <f t="shared" si="11"/>
        <v>61</v>
      </c>
      <c r="J104" s="61">
        <v>0</v>
      </c>
      <c r="K104" s="267">
        <v>1</v>
      </c>
      <c r="L104" s="61">
        <f>+IF(b=2,1,1)</f>
        <v>1</v>
      </c>
    </row>
    <row r="105" spans="5:35">
      <c r="E105" s="61">
        <v>6</v>
      </c>
      <c r="F105" s="369">
        <v>0.3</v>
      </c>
      <c r="G105" s="61">
        <v>0.77780000000000005</v>
      </c>
      <c r="H105" s="61">
        <v>2</v>
      </c>
      <c r="I105" s="61" t="str">
        <f t="shared" si="11"/>
        <v>62</v>
      </c>
      <c r="J105" s="274">
        <v>10000</v>
      </c>
      <c r="K105" s="267">
        <v>1.3972119999999999</v>
      </c>
      <c r="L105" s="61">
        <f t="shared" ref="L105:L110" si="15">+IF(b=2,1,0)</f>
        <v>0</v>
      </c>
    </row>
    <row r="106" spans="5:35">
      <c r="E106" s="61">
        <v>6</v>
      </c>
      <c r="F106" s="369">
        <v>0.3</v>
      </c>
      <c r="G106" s="61">
        <v>0.77780000000000005</v>
      </c>
      <c r="H106" s="61">
        <v>3</v>
      </c>
      <c r="I106" s="61" t="str">
        <f t="shared" si="11"/>
        <v>63</v>
      </c>
      <c r="J106" s="274">
        <v>15000</v>
      </c>
      <c r="K106" s="267">
        <v>1.3491359999999999</v>
      </c>
      <c r="L106" s="61">
        <f t="shared" si="15"/>
        <v>0</v>
      </c>
    </row>
    <row r="107" spans="5:35">
      <c r="E107" s="61">
        <v>6</v>
      </c>
      <c r="F107" s="369">
        <v>0.3</v>
      </c>
      <c r="G107" s="61">
        <v>0.77780000000000005</v>
      </c>
      <c r="H107" s="61">
        <v>4</v>
      </c>
      <c r="I107" s="61" t="str">
        <f t="shared" si="11"/>
        <v>64</v>
      </c>
      <c r="J107" s="274">
        <v>20000</v>
      </c>
      <c r="K107" s="267">
        <v>1.307636</v>
      </c>
      <c r="L107" s="61">
        <f t="shared" si="15"/>
        <v>0</v>
      </c>
    </row>
    <row r="108" spans="5:35">
      <c r="E108" s="61">
        <v>6</v>
      </c>
      <c r="F108" s="369">
        <v>0.3</v>
      </c>
      <c r="G108" s="61">
        <v>0.77780000000000005</v>
      </c>
      <c r="H108" s="61">
        <v>5</v>
      </c>
      <c r="I108" s="61" t="str">
        <f t="shared" si="11"/>
        <v>65</v>
      </c>
      <c r="J108" s="274">
        <v>25000</v>
      </c>
      <c r="K108" s="267">
        <v>1.271873</v>
      </c>
      <c r="L108" s="61">
        <f t="shared" si="15"/>
        <v>0</v>
      </c>
    </row>
    <row r="109" spans="5:35">
      <c r="E109" s="61">
        <v>6</v>
      </c>
      <c r="F109" s="369">
        <v>0.3</v>
      </c>
      <c r="G109" s="61">
        <v>0.77780000000000005</v>
      </c>
      <c r="H109" s="61">
        <v>6</v>
      </c>
      <c r="I109" s="61" t="str">
        <f t="shared" si="11"/>
        <v>66</v>
      </c>
      <c r="J109" s="274">
        <v>30000</v>
      </c>
      <c r="K109" s="267">
        <v>1.2410969999999999</v>
      </c>
      <c r="L109" s="61">
        <f t="shared" si="15"/>
        <v>0</v>
      </c>
    </row>
    <row r="110" spans="5:35">
      <c r="E110" s="61">
        <v>6</v>
      </c>
      <c r="F110" s="369">
        <v>0.3</v>
      </c>
      <c r="G110" s="61">
        <v>0.77780000000000005</v>
      </c>
      <c r="H110" s="61">
        <v>7</v>
      </c>
      <c r="I110" s="61" t="str">
        <f t="shared" si="11"/>
        <v>67</v>
      </c>
      <c r="J110" s="274">
        <v>35000</v>
      </c>
      <c r="K110" s="267">
        <v>1.214955</v>
      </c>
      <c r="L110" s="61">
        <f t="shared" si="15"/>
        <v>0</v>
      </c>
    </row>
    <row r="111" spans="5:35">
      <c r="E111" s="61">
        <v>6</v>
      </c>
      <c r="F111" s="369">
        <v>0.3</v>
      </c>
      <c r="G111" s="61">
        <v>0.77780000000000005</v>
      </c>
      <c r="H111" s="61">
        <v>8</v>
      </c>
      <c r="I111" s="61" t="str">
        <f t="shared" si="11"/>
        <v>68</v>
      </c>
      <c r="J111" s="274">
        <v>40000</v>
      </c>
      <c r="K111" s="267">
        <v>1.096195</v>
      </c>
      <c r="L111" s="61">
        <f>+IF(b=2,1,0)</f>
        <v>0</v>
      </c>
    </row>
    <row r="112" spans="5:35">
      <c r="E112" s="61">
        <v>6</v>
      </c>
      <c r="F112" s="369">
        <v>0.3</v>
      </c>
      <c r="G112" s="61">
        <v>0.77780000000000005</v>
      </c>
      <c r="H112" s="61">
        <v>9</v>
      </c>
      <c r="I112" s="61" t="str">
        <f t="shared" si="11"/>
        <v>69</v>
      </c>
      <c r="J112" s="274">
        <v>45000</v>
      </c>
      <c r="K112" s="267">
        <v>1.0866210000000001</v>
      </c>
      <c r="L112" s="61">
        <f>+IF(b=2,1,0)</f>
        <v>0</v>
      </c>
    </row>
    <row r="113" spans="5:12">
      <c r="E113" s="61">
        <v>6</v>
      </c>
      <c r="F113" s="369">
        <v>0.3</v>
      </c>
      <c r="G113" s="61">
        <v>0.77780000000000005</v>
      </c>
      <c r="H113" s="61">
        <v>10</v>
      </c>
      <c r="I113" s="61" t="str">
        <f t="shared" si="11"/>
        <v>610</v>
      </c>
      <c r="J113" s="274">
        <v>50000</v>
      </c>
      <c r="K113" s="267">
        <v>1.0784</v>
      </c>
      <c r="L113" s="61">
        <f t="shared" ref="L113:L123" si="16">+IF(b=2,1,1)</f>
        <v>1</v>
      </c>
    </row>
    <row r="114" spans="5:12">
      <c r="E114" s="61">
        <v>6</v>
      </c>
      <c r="F114" s="369">
        <v>0.3</v>
      </c>
      <c r="G114" s="61">
        <v>0.77780000000000005</v>
      </c>
      <c r="H114" s="61">
        <v>11</v>
      </c>
      <c r="I114" s="61" t="str">
        <f t="shared" si="11"/>
        <v>611</v>
      </c>
      <c r="J114" s="274">
        <v>55000</v>
      </c>
      <c r="K114" s="267">
        <v>1.072678</v>
      </c>
      <c r="L114" s="61">
        <f>+IF(b=2,1,0)</f>
        <v>0</v>
      </c>
    </row>
    <row r="115" spans="5:12">
      <c r="E115" s="61">
        <v>6</v>
      </c>
      <c r="F115" s="369">
        <v>0.3</v>
      </c>
      <c r="G115" s="61">
        <v>0.77780000000000005</v>
      </c>
      <c r="H115" s="61">
        <v>12</v>
      </c>
      <c r="I115" s="61" t="str">
        <f t="shared" si="11"/>
        <v>612</v>
      </c>
      <c r="J115" s="274">
        <v>60000</v>
      </c>
      <c r="K115" s="267">
        <v>1.0670930000000001</v>
      </c>
      <c r="L115" s="61">
        <f t="shared" si="16"/>
        <v>1</v>
      </c>
    </row>
    <row r="116" spans="5:12">
      <c r="E116" s="61">
        <v>6</v>
      </c>
      <c r="F116" s="369">
        <v>0.3</v>
      </c>
      <c r="G116" s="61">
        <v>0.77780000000000005</v>
      </c>
      <c r="H116" s="61">
        <v>13</v>
      </c>
      <c r="I116" s="61" t="str">
        <f t="shared" si="11"/>
        <v>613</v>
      </c>
      <c r="J116" s="274">
        <v>65000</v>
      </c>
      <c r="K116" s="267">
        <v>1.061739</v>
      </c>
      <c r="L116" s="61">
        <f>+IF(b=2,1,0)</f>
        <v>0</v>
      </c>
    </row>
    <row r="117" spans="5:12">
      <c r="E117" s="61">
        <v>6</v>
      </c>
      <c r="F117" s="369">
        <v>0.3</v>
      </c>
      <c r="G117" s="61">
        <v>0.77780000000000005</v>
      </c>
      <c r="H117" s="61">
        <v>14</v>
      </c>
      <c r="I117" s="61" t="str">
        <f t="shared" si="11"/>
        <v>614</v>
      </c>
      <c r="J117" s="274">
        <v>70000</v>
      </c>
      <c r="K117" s="267">
        <v>1.056684</v>
      </c>
      <c r="L117" s="61">
        <f t="shared" si="16"/>
        <v>1</v>
      </c>
    </row>
    <row r="118" spans="5:12">
      <c r="E118" s="61">
        <v>6</v>
      </c>
      <c r="F118" s="369">
        <v>0.3</v>
      </c>
      <c r="G118" s="61">
        <v>0.77780000000000005</v>
      </c>
      <c r="H118" s="61">
        <v>15</v>
      </c>
      <c r="I118" s="61" t="str">
        <f t="shared" si="11"/>
        <v>615</v>
      </c>
      <c r="J118" s="274">
        <v>75000</v>
      </c>
      <c r="K118" s="267">
        <v>1.0519769999999999</v>
      </c>
      <c r="L118" s="61">
        <f t="shared" si="16"/>
        <v>1</v>
      </c>
    </row>
    <row r="119" spans="5:12">
      <c r="E119" s="61">
        <v>6</v>
      </c>
      <c r="F119" s="369">
        <v>0.3</v>
      </c>
      <c r="G119" s="61">
        <v>0.77780000000000005</v>
      </c>
      <c r="H119" s="61">
        <v>16</v>
      </c>
      <c r="I119" s="61" t="str">
        <f t="shared" si="11"/>
        <v>616</v>
      </c>
      <c r="J119" s="274">
        <v>80000</v>
      </c>
      <c r="K119" s="267">
        <v>1.047647</v>
      </c>
      <c r="L119" s="61">
        <f t="shared" si="16"/>
        <v>1</v>
      </c>
    </row>
    <row r="120" spans="5:12">
      <c r="E120" s="61">
        <v>6</v>
      </c>
      <c r="F120" s="369">
        <v>0.3</v>
      </c>
      <c r="G120" s="61">
        <v>0.77780000000000005</v>
      </c>
      <c r="H120" s="61">
        <v>17</v>
      </c>
      <c r="I120" s="61" t="str">
        <f t="shared" si="11"/>
        <v>617</v>
      </c>
      <c r="J120" s="274">
        <v>85000</v>
      </c>
      <c r="K120" s="267">
        <v>1.0436650000000001</v>
      </c>
      <c r="L120" s="61">
        <f t="shared" si="16"/>
        <v>1</v>
      </c>
    </row>
    <row r="121" spans="5:12">
      <c r="E121" s="61">
        <v>6</v>
      </c>
      <c r="F121" s="369">
        <v>0.3</v>
      </c>
      <c r="G121" s="61">
        <v>0.77780000000000005</v>
      </c>
      <c r="H121" s="61">
        <v>18</v>
      </c>
      <c r="I121" s="61" t="str">
        <f t="shared" si="11"/>
        <v>618</v>
      </c>
      <c r="J121" s="274">
        <v>90000</v>
      </c>
      <c r="K121" s="267">
        <v>1.0400039999999999</v>
      </c>
      <c r="L121" s="61">
        <f t="shared" si="16"/>
        <v>1</v>
      </c>
    </row>
    <row r="122" spans="5:12">
      <c r="E122" s="61">
        <v>6</v>
      </c>
      <c r="F122" s="369">
        <v>0.3</v>
      </c>
      <c r="G122" s="61">
        <v>0.77780000000000005</v>
      </c>
      <c r="H122" s="61">
        <v>19</v>
      </c>
      <c r="I122" s="61" t="str">
        <f t="shared" si="11"/>
        <v>619</v>
      </c>
      <c r="J122" s="274">
        <v>95000</v>
      </c>
      <c r="K122" s="267">
        <v>1.03664</v>
      </c>
      <c r="L122" s="61">
        <f t="shared" si="16"/>
        <v>1</v>
      </c>
    </row>
    <row r="123" spans="5:12">
      <c r="E123" s="61">
        <v>6</v>
      </c>
      <c r="F123" s="369">
        <v>0.3</v>
      </c>
      <c r="G123" s="61">
        <v>0.77780000000000005</v>
      </c>
      <c r="H123" s="61">
        <v>20</v>
      </c>
      <c r="I123" s="61" t="str">
        <f t="shared" si="11"/>
        <v>620</v>
      </c>
      <c r="J123" s="274">
        <v>100000</v>
      </c>
      <c r="K123" s="267">
        <v>1.0335479999999999</v>
      </c>
      <c r="L123" s="61">
        <f t="shared" si="16"/>
        <v>1</v>
      </c>
    </row>
    <row r="124" spans="5:12">
      <c r="E124" s="61">
        <v>7</v>
      </c>
      <c r="F124" s="369">
        <v>0.35</v>
      </c>
      <c r="G124" s="61">
        <v>0.72219999999999995</v>
      </c>
      <c r="H124" s="61">
        <v>1</v>
      </c>
      <c r="I124" s="61" t="str">
        <f t="shared" si="11"/>
        <v>71</v>
      </c>
      <c r="J124" s="61">
        <v>0</v>
      </c>
      <c r="K124" s="267">
        <v>1</v>
      </c>
      <c r="L124" s="61">
        <f>+IF(b=2,1,1)</f>
        <v>1</v>
      </c>
    </row>
    <row r="125" spans="5:12">
      <c r="E125" s="61">
        <v>7</v>
      </c>
      <c r="F125" s="369">
        <v>0.35</v>
      </c>
      <c r="G125" s="61">
        <v>0.72219999999999995</v>
      </c>
      <c r="H125" s="61">
        <v>2</v>
      </c>
      <c r="I125" s="61" t="str">
        <f t="shared" si="11"/>
        <v>72</v>
      </c>
      <c r="J125" s="274">
        <v>10000</v>
      </c>
      <c r="K125" s="267">
        <v>1.498823</v>
      </c>
      <c r="L125" s="61">
        <f t="shared" ref="L125:L130" si="17">+IF(b=2,1,0)</f>
        <v>0</v>
      </c>
    </row>
    <row r="126" spans="5:12">
      <c r="E126" s="61">
        <v>7</v>
      </c>
      <c r="F126" s="369">
        <v>0.35</v>
      </c>
      <c r="G126" s="61">
        <v>0.72219999999999995</v>
      </c>
      <c r="H126" s="61">
        <v>3</v>
      </c>
      <c r="I126" s="61" t="str">
        <f t="shared" si="11"/>
        <v>73</v>
      </c>
      <c r="J126" s="274">
        <v>15000</v>
      </c>
      <c r="K126" s="267">
        <v>1.4472510000000001</v>
      </c>
      <c r="L126" s="61">
        <f t="shared" si="17"/>
        <v>0</v>
      </c>
    </row>
    <row r="127" spans="5:12">
      <c r="E127" s="61">
        <v>7</v>
      </c>
      <c r="F127" s="369">
        <v>0.35</v>
      </c>
      <c r="G127" s="61">
        <v>0.72219999999999995</v>
      </c>
      <c r="H127" s="61">
        <v>4</v>
      </c>
      <c r="I127" s="61" t="str">
        <f t="shared" si="11"/>
        <v>74</v>
      </c>
      <c r="J127" s="274">
        <v>20000</v>
      </c>
      <c r="K127" s="267">
        <v>1.4007480000000001</v>
      </c>
      <c r="L127" s="61">
        <f t="shared" si="17"/>
        <v>0</v>
      </c>
    </row>
    <row r="128" spans="5:12">
      <c r="E128" s="61">
        <v>7</v>
      </c>
      <c r="F128" s="369">
        <v>0.35</v>
      </c>
      <c r="G128" s="61">
        <v>0.72219999999999995</v>
      </c>
      <c r="H128" s="61">
        <v>5</v>
      </c>
      <c r="I128" s="61" t="str">
        <f t="shared" si="11"/>
        <v>75</v>
      </c>
      <c r="J128" s="274">
        <v>25000</v>
      </c>
      <c r="K128" s="267">
        <v>1.3595410000000001</v>
      </c>
      <c r="L128" s="61">
        <f t="shared" si="17"/>
        <v>0</v>
      </c>
    </row>
    <row r="129" spans="5:12">
      <c r="E129" s="61">
        <v>7</v>
      </c>
      <c r="F129" s="369">
        <v>0.35</v>
      </c>
      <c r="G129" s="61">
        <v>0.72219999999999995</v>
      </c>
      <c r="H129" s="61">
        <v>6</v>
      </c>
      <c r="I129" s="61" t="str">
        <f t="shared" si="11"/>
        <v>76</v>
      </c>
      <c r="J129" s="274">
        <v>30000</v>
      </c>
      <c r="K129" s="267">
        <v>1.3232900000000001</v>
      </c>
      <c r="L129" s="61">
        <f t="shared" si="17"/>
        <v>0</v>
      </c>
    </row>
    <row r="130" spans="5:12">
      <c r="E130" s="61">
        <v>7</v>
      </c>
      <c r="F130" s="369">
        <v>0.35</v>
      </c>
      <c r="G130" s="61">
        <v>0.72219999999999995</v>
      </c>
      <c r="H130" s="61">
        <v>7</v>
      </c>
      <c r="I130" s="61" t="str">
        <f t="shared" si="11"/>
        <v>77</v>
      </c>
      <c r="J130" s="274">
        <v>35000</v>
      </c>
      <c r="K130" s="267">
        <v>1.291471</v>
      </c>
      <c r="L130" s="61">
        <f t="shared" si="17"/>
        <v>0</v>
      </c>
    </row>
    <row r="131" spans="5:12">
      <c r="E131" s="61">
        <v>7</v>
      </c>
      <c r="F131" s="369">
        <v>0.35</v>
      </c>
      <c r="G131" s="61">
        <v>0.72219999999999995</v>
      </c>
      <c r="H131" s="61">
        <v>8</v>
      </c>
      <c r="I131" s="61" t="str">
        <f t="shared" si="11"/>
        <v>78</v>
      </c>
      <c r="J131" s="274">
        <v>40000</v>
      </c>
      <c r="K131" s="267">
        <v>1.131901</v>
      </c>
      <c r="L131" s="61">
        <f>+IF(b=2,1,0)</f>
        <v>0</v>
      </c>
    </row>
    <row r="132" spans="5:12">
      <c r="E132" s="61">
        <v>7</v>
      </c>
      <c r="F132" s="369">
        <v>0.35</v>
      </c>
      <c r="G132" s="61">
        <v>0.72219999999999995</v>
      </c>
      <c r="H132" s="61">
        <v>9</v>
      </c>
      <c r="I132" s="61" t="str">
        <f t="shared" si="11"/>
        <v>79</v>
      </c>
      <c r="J132" s="274">
        <v>45000</v>
      </c>
      <c r="K132" s="267">
        <v>1.1196969999999999</v>
      </c>
      <c r="L132" s="61">
        <f>+IF(b=2,1,0)</f>
        <v>0</v>
      </c>
    </row>
    <row r="133" spans="5:12">
      <c r="E133" s="61">
        <v>7</v>
      </c>
      <c r="F133" s="369">
        <v>0.35</v>
      </c>
      <c r="G133" s="61">
        <v>0.72219999999999995</v>
      </c>
      <c r="H133" s="61">
        <v>10</v>
      </c>
      <c r="I133" s="61" t="str">
        <f t="shared" si="11"/>
        <v>710</v>
      </c>
      <c r="J133" s="274">
        <v>50000</v>
      </c>
      <c r="K133" s="267">
        <v>1.109064</v>
      </c>
      <c r="L133" s="61">
        <f t="shared" ref="L133:L143" si="18">+IF(b=2,1,1)</f>
        <v>1</v>
      </c>
    </row>
    <row r="134" spans="5:12">
      <c r="E134" s="61">
        <v>7</v>
      </c>
      <c r="F134" s="369">
        <v>0.35</v>
      </c>
      <c r="G134" s="61">
        <v>0.72219999999999995</v>
      </c>
      <c r="H134" s="61">
        <v>11</v>
      </c>
      <c r="I134" s="61" t="str">
        <f t="shared" ref="I134:I197" si="19">+E134&amp;H134</f>
        <v>711</v>
      </c>
      <c r="J134" s="274">
        <v>55000</v>
      </c>
      <c r="K134" s="267">
        <v>1.101105</v>
      </c>
      <c r="L134" s="61">
        <f>+IF(b=2,1,0)</f>
        <v>0</v>
      </c>
    </row>
    <row r="135" spans="5:12">
      <c r="E135" s="61">
        <v>7</v>
      </c>
      <c r="F135" s="369">
        <v>0.35</v>
      </c>
      <c r="G135" s="61">
        <v>0.72219999999999995</v>
      </c>
      <c r="H135" s="61">
        <v>12</v>
      </c>
      <c r="I135" s="61" t="str">
        <f t="shared" si="19"/>
        <v>712</v>
      </c>
      <c r="J135" s="274">
        <v>60000</v>
      </c>
      <c r="K135" s="267">
        <v>1.0933360000000001</v>
      </c>
      <c r="L135" s="61">
        <f t="shared" si="18"/>
        <v>1</v>
      </c>
    </row>
    <row r="136" spans="5:12">
      <c r="E136" s="61">
        <v>7</v>
      </c>
      <c r="F136" s="369">
        <v>0.35</v>
      </c>
      <c r="G136" s="61">
        <v>0.72219999999999995</v>
      </c>
      <c r="H136" s="61">
        <v>13</v>
      </c>
      <c r="I136" s="61" t="str">
        <f t="shared" si="19"/>
        <v>713</v>
      </c>
      <c r="J136" s="274">
        <v>65000</v>
      </c>
      <c r="K136" s="267">
        <v>1.085887</v>
      </c>
      <c r="L136" s="61">
        <f>+IF(b=2,1,0)</f>
        <v>0</v>
      </c>
    </row>
    <row r="137" spans="5:12">
      <c r="E137" s="61">
        <v>7</v>
      </c>
      <c r="F137" s="369">
        <v>0.35</v>
      </c>
      <c r="G137" s="61">
        <v>0.72219999999999995</v>
      </c>
      <c r="H137" s="61">
        <v>14</v>
      </c>
      <c r="I137" s="61" t="str">
        <f t="shared" si="19"/>
        <v>714</v>
      </c>
      <c r="J137" s="274">
        <v>70000</v>
      </c>
      <c r="K137" s="267">
        <v>1.0788549999999999</v>
      </c>
      <c r="L137" s="61">
        <f t="shared" si="18"/>
        <v>1</v>
      </c>
    </row>
    <row r="138" spans="5:12">
      <c r="E138" s="61">
        <v>7</v>
      </c>
      <c r="F138" s="369">
        <v>0.35</v>
      </c>
      <c r="G138" s="61">
        <v>0.72219999999999995</v>
      </c>
      <c r="H138" s="61">
        <v>15</v>
      </c>
      <c r="I138" s="61" t="str">
        <f t="shared" si="19"/>
        <v>715</v>
      </c>
      <c r="J138" s="274">
        <v>75000</v>
      </c>
      <c r="K138" s="267">
        <v>1.072306</v>
      </c>
      <c r="L138" s="61">
        <f t="shared" si="18"/>
        <v>1</v>
      </c>
    </row>
    <row r="139" spans="5:12">
      <c r="E139" s="61">
        <v>7</v>
      </c>
      <c r="F139" s="369">
        <v>0.35</v>
      </c>
      <c r="G139" s="61">
        <v>0.72219999999999995</v>
      </c>
      <c r="H139" s="61">
        <v>16</v>
      </c>
      <c r="I139" s="61" t="str">
        <f t="shared" si="19"/>
        <v>716</v>
      </c>
      <c r="J139" s="274">
        <v>80000</v>
      </c>
      <c r="K139" s="267">
        <v>1.0662830000000001</v>
      </c>
      <c r="L139" s="61">
        <f t="shared" si="18"/>
        <v>1</v>
      </c>
    </row>
    <row r="140" spans="5:12">
      <c r="E140" s="61">
        <v>7</v>
      </c>
      <c r="F140" s="369">
        <v>0.35</v>
      </c>
      <c r="G140" s="61">
        <v>0.72219999999999995</v>
      </c>
      <c r="H140" s="61">
        <v>17</v>
      </c>
      <c r="I140" s="61" t="str">
        <f t="shared" si="19"/>
        <v>717</v>
      </c>
      <c r="J140" s="274">
        <v>85000</v>
      </c>
      <c r="K140" s="267">
        <v>1.060743</v>
      </c>
      <c r="L140" s="61">
        <f t="shared" si="18"/>
        <v>1</v>
      </c>
    </row>
    <row r="141" spans="5:12">
      <c r="E141" s="61">
        <v>7</v>
      </c>
      <c r="F141" s="369">
        <v>0.35</v>
      </c>
      <c r="G141" s="61">
        <v>0.72219999999999995</v>
      </c>
      <c r="H141" s="61">
        <v>18</v>
      </c>
      <c r="I141" s="61" t="str">
        <f t="shared" si="19"/>
        <v>718</v>
      </c>
      <c r="J141" s="274">
        <v>90000</v>
      </c>
      <c r="K141" s="267">
        <v>1.0556509999999999</v>
      </c>
      <c r="L141" s="61">
        <f t="shared" si="18"/>
        <v>1</v>
      </c>
    </row>
    <row r="142" spans="5:12">
      <c r="E142" s="61">
        <v>7</v>
      </c>
      <c r="F142" s="369">
        <v>0.35</v>
      </c>
      <c r="G142" s="61">
        <v>0.72219999999999995</v>
      </c>
      <c r="H142" s="61">
        <v>19</v>
      </c>
      <c r="I142" s="61" t="str">
        <f t="shared" si="19"/>
        <v>719</v>
      </c>
      <c r="J142" s="274">
        <v>95000</v>
      </c>
      <c r="K142" s="267">
        <v>1.05097</v>
      </c>
      <c r="L142" s="61">
        <f t="shared" si="18"/>
        <v>1</v>
      </c>
    </row>
    <row r="143" spans="5:12">
      <c r="E143" s="61">
        <v>7</v>
      </c>
      <c r="F143" s="369">
        <v>0.35</v>
      </c>
      <c r="G143" s="61">
        <v>0.72219999999999995</v>
      </c>
      <c r="H143" s="61">
        <v>20</v>
      </c>
      <c r="I143" s="61" t="str">
        <f t="shared" si="19"/>
        <v>720</v>
      </c>
      <c r="J143" s="274">
        <v>100000</v>
      </c>
      <c r="K143" s="267">
        <v>1.04667</v>
      </c>
      <c r="L143" s="61">
        <f t="shared" si="18"/>
        <v>1</v>
      </c>
    </row>
    <row r="144" spans="5:12">
      <c r="E144" s="61">
        <v>8</v>
      </c>
      <c r="F144" s="369">
        <v>0.4</v>
      </c>
      <c r="G144" s="61">
        <v>0.66669999999999996</v>
      </c>
      <c r="H144" s="61">
        <v>1</v>
      </c>
      <c r="I144" s="61" t="str">
        <f t="shared" si="19"/>
        <v>81</v>
      </c>
      <c r="J144" s="61">
        <v>0</v>
      </c>
      <c r="K144" s="267">
        <v>1</v>
      </c>
      <c r="L144" s="61">
        <f>+IF(b=2,1,1)</f>
        <v>1</v>
      </c>
    </row>
    <row r="145" spans="5:12">
      <c r="E145" s="61">
        <v>8</v>
      </c>
      <c r="F145" s="369">
        <v>0.4</v>
      </c>
      <c r="G145" s="61">
        <v>0.66669999999999996</v>
      </c>
      <c r="H145" s="61">
        <v>2</v>
      </c>
      <c r="I145" s="61" t="str">
        <f t="shared" si="19"/>
        <v>82</v>
      </c>
      <c r="J145" s="274">
        <v>10000</v>
      </c>
      <c r="K145" s="267">
        <v>1.6163190000000001</v>
      </c>
      <c r="L145" s="61">
        <f t="shared" ref="L145:L150" si="20">+IF(b=2,1,0)</f>
        <v>0</v>
      </c>
    </row>
    <row r="146" spans="5:12">
      <c r="E146" s="61">
        <v>8</v>
      </c>
      <c r="F146" s="369">
        <v>0.4</v>
      </c>
      <c r="G146" s="61">
        <v>0.66669999999999996</v>
      </c>
      <c r="H146" s="61">
        <v>3</v>
      </c>
      <c r="I146" s="61" t="str">
        <f t="shared" si="19"/>
        <v>83</v>
      </c>
      <c r="J146" s="274">
        <v>15000</v>
      </c>
      <c r="K146" s="267">
        <v>1.5609770000000001</v>
      </c>
      <c r="L146" s="61">
        <f t="shared" si="20"/>
        <v>0</v>
      </c>
    </row>
    <row r="147" spans="5:12">
      <c r="E147" s="61">
        <v>8</v>
      </c>
      <c r="F147" s="369">
        <v>0.4</v>
      </c>
      <c r="G147" s="61">
        <v>0.66669999999999996</v>
      </c>
      <c r="H147" s="61">
        <v>4</v>
      </c>
      <c r="I147" s="61" t="str">
        <f t="shared" si="19"/>
        <v>84</v>
      </c>
      <c r="J147" s="274">
        <v>20000</v>
      </c>
      <c r="K147" s="267">
        <v>1.509145</v>
      </c>
      <c r="L147" s="61">
        <f t="shared" si="20"/>
        <v>0</v>
      </c>
    </row>
    <row r="148" spans="5:12">
      <c r="E148" s="61">
        <v>8</v>
      </c>
      <c r="F148" s="369">
        <v>0.4</v>
      </c>
      <c r="G148" s="61">
        <v>0.66669999999999996</v>
      </c>
      <c r="H148" s="61">
        <v>5</v>
      </c>
      <c r="I148" s="61" t="str">
        <f t="shared" si="19"/>
        <v>85</v>
      </c>
      <c r="J148" s="274">
        <v>25000</v>
      </c>
      <c r="K148" s="267">
        <v>1.462807</v>
      </c>
      <c r="L148" s="61">
        <f t="shared" si="20"/>
        <v>0</v>
      </c>
    </row>
    <row r="149" spans="5:12">
      <c r="E149" s="61">
        <v>8</v>
      </c>
      <c r="F149" s="369">
        <v>0.4</v>
      </c>
      <c r="G149" s="61">
        <v>0.66669999999999996</v>
      </c>
      <c r="H149" s="61">
        <v>6</v>
      </c>
      <c r="I149" s="61" t="str">
        <f t="shared" si="19"/>
        <v>86</v>
      </c>
      <c r="J149" s="274">
        <v>30000</v>
      </c>
      <c r="K149" s="267">
        <v>1.4214009999999999</v>
      </c>
      <c r="L149" s="61">
        <f t="shared" si="20"/>
        <v>0</v>
      </c>
    </row>
    <row r="150" spans="5:12">
      <c r="E150" s="61">
        <v>8</v>
      </c>
      <c r="F150" s="369">
        <v>0.4</v>
      </c>
      <c r="G150" s="61">
        <v>0.66669999999999996</v>
      </c>
      <c r="H150" s="61">
        <v>7</v>
      </c>
      <c r="I150" s="61" t="str">
        <f t="shared" si="19"/>
        <v>87</v>
      </c>
      <c r="J150" s="274">
        <v>35000</v>
      </c>
      <c r="K150" s="267">
        <v>1.3841810000000001</v>
      </c>
      <c r="L150" s="61">
        <f t="shared" si="20"/>
        <v>0</v>
      </c>
    </row>
    <row r="151" spans="5:12">
      <c r="E151" s="61">
        <v>8</v>
      </c>
      <c r="F151" s="369">
        <v>0.4</v>
      </c>
      <c r="G151" s="61">
        <v>0.66669999999999996</v>
      </c>
      <c r="H151" s="61">
        <v>8</v>
      </c>
      <c r="I151" s="61" t="str">
        <f t="shared" si="19"/>
        <v>88</v>
      </c>
      <c r="J151" s="274">
        <v>40000</v>
      </c>
      <c r="K151" s="267">
        <v>1.175529</v>
      </c>
      <c r="L151" s="61">
        <f>+IF(b=2,1,0)</f>
        <v>0</v>
      </c>
    </row>
    <row r="152" spans="5:12">
      <c r="E152" s="61">
        <v>8</v>
      </c>
      <c r="F152" s="369">
        <v>0.4</v>
      </c>
      <c r="G152" s="61">
        <v>0.66669999999999996</v>
      </c>
      <c r="H152" s="61">
        <v>9</v>
      </c>
      <c r="I152" s="61" t="str">
        <f t="shared" si="19"/>
        <v>89</v>
      </c>
      <c r="J152" s="274">
        <v>45000</v>
      </c>
      <c r="K152" s="267">
        <v>1.160871</v>
      </c>
      <c r="L152" s="61">
        <f>+IF(b=2,1,0)</f>
        <v>0</v>
      </c>
    </row>
    <row r="153" spans="5:12">
      <c r="E153" s="61">
        <v>8</v>
      </c>
      <c r="F153" s="369">
        <v>0.4</v>
      </c>
      <c r="G153" s="61">
        <v>0.66669999999999996</v>
      </c>
      <c r="H153" s="61">
        <v>10</v>
      </c>
      <c r="I153" s="61" t="str">
        <f t="shared" si="19"/>
        <v>810</v>
      </c>
      <c r="J153" s="274">
        <v>50000</v>
      </c>
      <c r="K153" s="267">
        <v>1.1477459999999999</v>
      </c>
      <c r="L153" s="61">
        <f t="shared" ref="L153:L163" si="21">+IF(b=2,1,1)</f>
        <v>1</v>
      </c>
    </row>
    <row r="154" spans="5:12">
      <c r="E154" s="61">
        <v>8</v>
      </c>
      <c r="F154" s="369">
        <v>0.4</v>
      </c>
      <c r="G154" s="61">
        <v>0.66669999999999996</v>
      </c>
      <c r="H154" s="61">
        <v>11</v>
      </c>
      <c r="I154" s="61" t="str">
        <f t="shared" si="19"/>
        <v>811</v>
      </c>
      <c r="J154" s="274">
        <v>55000</v>
      </c>
      <c r="K154" s="267">
        <v>1.1369640000000001</v>
      </c>
      <c r="L154" s="61">
        <f>+IF(b=2,1,0)</f>
        <v>0</v>
      </c>
    </row>
    <row r="155" spans="5:12">
      <c r="E155" s="61">
        <v>8</v>
      </c>
      <c r="F155" s="369">
        <v>0.4</v>
      </c>
      <c r="G155" s="61">
        <v>0.66669999999999996</v>
      </c>
      <c r="H155" s="61">
        <v>12</v>
      </c>
      <c r="I155" s="61" t="str">
        <f t="shared" si="19"/>
        <v>812</v>
      </c>
      <c r="J155" s="274">
        <v>60000</v>
      </c>
      <c r="K155" s="267">
        <v>1.126439</v>
      </c>
      <c r="L155" s="61">
        <f t="shared" si="21"/>
        <v>1</v>
      </c>
    </row>
    <row r="156" spans="5:12">
      <c r="E156" s="61">
        <v>8</v>
      </c>
      <c r="F156" s="369">
        <v>0.4</v>
      </c>
      <c r="G156" s="61">
        <v>0.66669999999999996</v>
      </c>
      <c r="H156" s="61">
        <v>13</v>
      </c>
      <c r="I156" s="61" t="str">
        <f t="shared" si="19"/>
        <v>813</v>
      </c>
      <c r="J156" s="274">
        <v>65000</v>
      </c>
      <c r="K156" s="267">
        <v>1.1163479999999999</v>
      </c>
      <c r="L156" s="61">
        <f>+IF(b=2,1,0)</f>
        <v>0</v>
      </c>
    </row>
    <row r="157" spans="5:12">
      <c r="E157" s="61">
        <v>8</v>
      </c>
      <c r="F157" s="369">
        <v>0.4</v>
      </c>
      <c r="G157" s="61">
        <v>0.66669999999999996</v>
      </c>
      <c r="H157" s="61">
        <v>14</v>
      </c>
      <c r="I157" s="61" t="str">
        <f t="shared" si="19"/>
        <v>814</v>
      </c>
      <c r="J157" s="274">
        <v>70000</v>
      </c>
      <c r="K157" s="267">
        <v>1.106822</v>
      </c>
      <c r="L157" s="61">
        <f t="shared" si="21"/>
        <v>1</v>
      </c>
    </row>
    <row r="158" spans="5:12">
      <c r="E158" s="61">
        <v>8</v>
      </c>
      <c r="F158" s="369">
        <v>0.4</v>
      </c>
      <c r="G158" s="61">
        <v>0.66669999999999996</v>
      </c>
      <c r="H158" s="61">
        <v>15</v>
      </c>
      <c r="I158" s="61" t="str">
        <f t="shared" si="19"/>
        <v>815</v>
      </c>
      <c r="J158" s="274">
        <v>75000</v>
      </c>
      <c r="K158" s="267">
        <v>1.097952</v>
      </c>
      <c r="L158" s="61">
        <f t="shared" si="21"/>
        <v>1</v>
      </c>
    </row>
    <row r="159" spans="5:12">
      <c r="E159" s="61">
        <v>8</v>
      </c>
      <c r="F159" s="369">
        <v>0.4</v>
      </c>
      <c r="G159" s="61">
        <v>0.66669999999999996</v>
      </c>
      <c r="H159" s="61">
        <v>16</v>
      </c>
      <c r="I159" s="61" t="str">
        <f t="shared" si="19"/>
        <v>816</v>
      </c>
      <c r="J159" s="274">
        <v>80000</v>
      </c>
      <c r="K159" s="267">
        <v>1.0897920000000001</v>
      </c>
      <c r="L159" s="61">
        <f t="shared" si="21"/>
        <v>1</v>
      </c>
    </row>
    <row r="160" spans="5:12">
      <c r="E160" s="61">
        <v>8</v>
      </c>
      <c r="F160" s="369">
        <v>0.4</v>
      </c>
      <c r="G160" s="61">
        <v>0.66669999999999996</v>
      </c>
      <c r="H160" s="61">
        <v>17</v>
      </c>
      <c r="I160" s="61" t="str">
        <f t="shared" si="19"/>
        <v>817</v>
      </c>
      <c r="J160" s="274">
        <v>85000</v>
      </c>
      <c r="K160" s="267">
        <v>1.082287</v>
      </c>
      <c r="L160" s="61">
        <f t="shared" si="21"/>
        <v>1</v>
      </c>
    </row>
    <row r="161" spans="5:12">
      <c r="E161" s="61">
        <v>8</v>
      </c>
      <c r="F161" s="369">
        <v>0.4</v>
      </c>
      <c r="G161" s="61">
        <v>0.66669999999999996</v>
      </c>
      <c r="H161" s="61">
        <v>18</v>
      </c>
      <c r="I161" s="61" t="str">
        <f t="shared" si="19"/>
        <v>818</v>
      </c>
      <c r="J161" s="274">
        <v>90000</v>
      </c>
      <c r="K161" s="267">
        <v>1.0753889999999999</v>
      </c>
      <c r="L161" s="61">
        <f t="shared" si="21"/>
        <v>1</v>
      </c>
    </row>
    <row r="162" spans="5:12">
      <c r="E162" s="61">
        <v>8</v>
      </c>
      <c r="F162" s="369">
        <v>0.4</v>
      </c>
      <c r="G162" s="61">
        <v>0.66669999999999996</v>
      </c>
      <c r="H162" s="61">
        <v>19</v>
      </c>
      <c r="I162" s="61" t="str">
        <f t="shared" si="19"/>
        <v>819</v>
      </c>
      <c r="J162" s="274">
        <v>95000</v>
      </c>
      <c r="K162" s="267">
        <v>1.069048</v>
      </c>
      <c r="L162" s="61">
        <f t="shared" si="21"/>
        <v>1</v>
      </c>
    </row>
    <row r="163" spans="5:12">
      <c r="E163" s="61">
        <v>8</v>
      </c>
      <c r="F163" s="369">
        <v>0.4</v>
      </c>
      <c r="G163" s="61">
        <v>0.66669999999999996</v>
      </c>
      <c r="H163" s="61">
        <v>20</v>
      </c>
      <c r="I163" s="61" t="str">
        <f t="shared" si="19"/>
        <v>820</v>
      </c>
      <c r="J163" s="274">
        <v>100000</v>
      </c>
      <c r="K163" s="267">
        <v>1.063223</v>
      </c>
      <c r="L163" s="61">
        <f t="shared" si="21"/>
        <v>1</v>
      </c>
    </row>
    <row r="164" spans="5:12">
      <c r="E164" s="61">
        <v>9</v>
      </c>
      <c r="F164" s="369">
        <v>0.45</v>
      </c>
      <c r="G164" s="61">
        <v>0.61109999999999998</v>
      </c>
      <c r="H164" s="61">
        <v>1</v>
      </c>
      <c r="I164" s="61" t="str">
        <f t="shared" si="19"/>
        <v>91</v>
      </c>
      <c r="J164" s="61">
        <v>0</v>
      </c>
      <c r="K164" s="267">
        <v>1</v>
      </c>
      <c r="L164" s="61">
        <f>+IF(b=2,1,1)</f>
        <v>1</v>
      </c>
    </row>
    <row r="165" spans="5:12">
      <c r="E165" s="61">
        <v>9</v>
      </c>
      <c r="F165" s="369">
        <v>0.45</v>
      </c>
      <c r="G165" s="61">
        <v>0.61109999999999998</v>
      </c>
      <c r="H165" s="61">
        <v>2</v>
      </c>
      <c r="I165" s="61" t="str">
        <f t="shared" si="19"/>
        <v>92</v>
      </c>
      <c r="J165" s="274">
        <v>10000</v>
      </c>
      <c r="K165" s="267">
        <v>1.7502660000000001</v>
      </c>
      <c r="L165" s="61">
        <f t="shared" ref="L165:L170" si="22">+IF(b=2,1,0)</f>
        <v>0</v>
      </c>
    </row>
    <row r="166" spans="5:12">
      <c r="E166" s="61">
        <v>9</v>
      </c>
      <c r="F166" s="369">
        <v>0.45</v>
      </c>
      <c r="G166" s="61">
        <v>0.61109999999999998</v>
      </c>
      <c r="H166" s="61">
        <v>3</v>
      </c>
      <c r="I166" s="61" t="str">
        <f t="shared" si="19"/>
        <v>93</v>
      </c>
      <c r="J166" s="274">
        <v>15000</v>
      </c>
      <c r="K166" s="267">
        <v>1.690925</v>
      </c>
      <c r="L166" s="61">
        <f t="shared" si="22"/>
        <v>0</v>
      </c>
    </row>
    <row r="167" spans="5:12">
      <c r="E167" s="61">
        <v>9</v>
      </c>
      <c r="F167" s="369">
        <v>0.45</v>
      </c>
      <c r="G167" s="61">
        <v>0.61109999999999998</v>
      </c>
      <c r="H167" s="61">
        <v>4</v>
      </c>
      <c r="I167" s="61" t="str">
        <f t="shared" si="19"/>
        <v>94</v>
      </c>
      <c r="J167" s="274">
        <v>20000</v>
      </c>
      <c r="K167" s="267">
        <v>1.633572</v>
      </c>
      <c r="L167" s="61">
        <f t="shared" si="22"/>
        <v>0</v>
      </c>
    </row>
    <row r="168" spans="5:12">
      <c r="E168" s="61">
        <v>9</v>
      </c>
      <c r="F168" s="369">
        <v>0.45</v>
      </c>
      <c r="G168" s="61">
        <v>0.61109999999999998</v>
      </c>
      <c r="H168" s="61">
        <v>5</v>
      </c>
      <c r="I168" s="61" t="str">
        <f t="shared" si="19"/>
        <v>95</v>
      </c>
      <c r="J168" s="274">
        <v>25000</v>
      </c>
      <c r="K168" s="267">
        <v>1.5822419999999999</v>
      </c>
      <c r="L168" s="61">
        <f t="shared" si="22"/>
        <v>0</v>
      </c>
    </row>
    <row r="169" spans="5:12">
      <c r="E169" s="61">
        <v>9</v>
      </c>
      <c r="F169" s="369">
        <v>0.45</v>
      </c>
      <c r="G169" s="61">
        <v>0.61109999999999998</v>
      </c>
      <c r="H169" s="61">
        <v>6</v>
      </c>
      <c r="I169" s="61" t="str">
        <f t="shared" si="19"/>
        <v>96</v>
      </c>
      <c r="J169" s="274">
        <v>30000</v>
      </c>
      <c r="K169" s="267">
        <v>1.5353520000000001</v>
      </c>
      <c r="L169" s="61">
        <f t="shared" si="22"/>
        <v>0</v>
      </c>
    </row>
    <row r="170" spans="5:12">
      <c r="E170" s="61">
        <v>9</v>
      </c>
      <c r="F170" s="369">
        <v>0.45</v>
      </c>
      <c r="G170" s="61">
        <v>0.61109999999999998</v>
      </c>
      <c r="H170" s="61">
        <v>7</v>
      </c>
      <c r="I170" s="61" t="str">
        <f t="shared" si="19"/>
        <v>97</v>
      </c>
      <c r="J170" s="274">
        <v>35000</v>
      </c>
      <c r="K170" s="267">
        <v>1.493101</v>
      </c>
      <c r="L170" s="61">
        <f t="shared" si="22"/>
        <v>0</v>
      </c>
    </row>
    <row r="171" spans="5:12">
      <c r="E171" s="61">
        <v>9</v>
      </c>
      <c r="F171" s="369">
        <v>0.45</v>
      </c>
      <c r="G171" s="61">
        <v>0.61109999999999998</v>
      </c>
      <c r="H171" s="61">
        <v>8</v>
      </c>
      <c r="I171" s="61" t="str">
        <f t="shared" si="19"/>
        <v>98</v>
      </c>
      <c r="J171" s="274">
        <v>40000</v>
      </c>
      <c r="K171" s="267">
        <v>1.2272940000000001</v>
      </c>
      <c r="L171" s="61">
        <f>+IF(b=2,1,0)</f>
        <v>0</v>
      </c>
    </row>
    <row r="172" spans="5:12">
      <c r="E172" s="61">
        <v>9</v>
      </c>
      <c r="F172" s="369">
        <v>0.45</v>
      </c>
      <c r="G172" s="61">
        <v>0.61109999999999998</v>
      </c>
      <c r="H172" s="61">
        <v>9</v>
      </c>
      <c r="I172" s="61" t="str">
        <f t="shared" si="19"/>
        <v>99</v>
      </c>
      <c r="J172" s="274">
        <v>45000</v>
      </c>
      <c r="K172" s="267">
        <v>1.2099530000000001</v>
      </c>
      <c r="L172" s="61">
        <f>+IF(b=2,1,0)</f>
        <v>0</v>
      </c>
    </row>
    <row r="173" spans="5:12">
      <c r="E173" s="61">
        <v>9</v>
      </c>
      <c r="F173" s="369">
        <v>0.45</v>
      </c>
      <c r="G173" s="61">
        <v>0.61109999999999998</v>
      </c>
      <c r="H173" s="61">
        <v>10</v>
      </c>
      <c r="I173" s="61" t="str">
        <f t="shared" si="19"/>
        <v>910</v>
      </c>
      <c r="J173" s="274">
        <v>50000</v>
      </c>
      <c r="K173" s="267">
        <v>1.1943999999999999</v>
      </c>
      <c r="L173" s="61">
        <f t="shared" ref="L173:L183" si="23">+IF(b=2,1,1)</f>
        <v>1</v>
      </c>
    </row>
    <row r="174" spans="5:12">
      <c r="E174" s="61">
        <v>9</v>
      </c>
      <c r="F174" s="369">
        <v>0.45</v>
      </c>
      <c r="G174" s="61">
        <v>0.61109999999999998</v>
      </c>
      <c r="H174" s="61">
        <v>11</v>
      </c>
      <c r="I174" s="61" t="str">
        <f t="shared" si="19"/>
        <v>911</v>
      </c>
      <c r="J174" s="274">
        <v>55000</v>
      </c>
      <c r="K174" s="267">
        <v>1.180213</v>
      </c>
      <c r="L174" s="61">
        <f>+IF(b=2,1,0)</f>
        <v>0</v>
      </c>
    </row>
    <row r="175" spans="5:12">
      <c r="E175" s="61">
        <v>9</v>
      </c>
      <c r="F175" s="369">
        <v>0.45</v>
      </c>
      <c r="G175" s="61">
        <v>0.61109999999999998</v>
      </c>
      <c r="H175" s="61">
        <v>12</v>
      </c>
      <c r="I175" s="61" t="str">
        <f t="shared" si="19"/>
        <v>912</v>
      </c>
      <c r="J175" s="274">
        <v>60000</v>
      </c>
      <c r="K175" s="267">
        <v>1.1663650000000001</v>
      </c>
      <c r="L175" s="61">
        <f t="shared" si="23"/>
        <v>1</v>
      </c>
    </row>
    <row r="176" spans="5:12">
      <c r="E176" s="61">
        <v>9</v>
      </c>
      <c r="F176" s="369">
        <v>0.45</v>
      </c>
      <c r="G176" s="61">
        <v>0.61109999999999998</v>
      </c>
      <c r="H176" s="61">
        <v>13</v>
      </c>
      <c r="I176" s="61" t="str">
        <f t="shared" si="19"/>
        <v>913</v>
      </c>
      <c r="J176" s="274">
        <v>65000</v>
      </c>
      <c r="K176" s="267">
        <v>1.153087</v>
      </c>
      <c r="L176" s="61">
        <f>+IF(b=2,1,0)</f>
        <v>0</v>
      </c>
    </row>
    <row r="177" spans="5:12">
      <c r="E177" s="61">
        <v>9</v>
      </c>
      <c r="F177" s="369">
        <v>0.45</v>
      </c>
      <c r="G177" s="61">
        <v>0.61109999999999998</v>
      </c>
      <c r="H177" s="61">
        <v>14</v>
      </c>
      <c r="I177" s="61" t="str">
        <f t="shared" si="19"/>
        <v>914</v>
      </c>
      <c r="J177" s="274">
        <v>70000</v>
      </c>
      <c r="K177" s="267">
        <v>1.1405529999999999</v>
      </c>
      <c r="L177" s="61">
        <f t="shared" si="23"/>
        <v>1</v>
      </c>
    </row>
    <row r="178" spans="5:12">
      <c r="E178" s="61">
        <v>9</v>
      </c>
      <c r="F178" s="369">
        <v>0.45</v>
      </c>
      <c r="G178" s="61">
        <v>0.61109999999999998</v>
      </c>
      <c r="H178" s="61">
        <v>15</v>
      </c>
      <c r="I178" s="61" t="str">
        <f t="shared" si="19"/>
        <v>915</v>
      </c>
      <c r="J178" s="274">
        <v>75000</v>
      </c>
      <c r="K178" s="267">
        <v>1.1288819999999999</v>
      </c>
      <c r="L178" s="61">
        <f t="shared" si="23"/>
        <v>1</v>
      </c>
    </row>
    <row r="179" spans="5:12">
      <c r="E179" s="61">
        <v>9</v>
      </c>
      <c r="F179" s="369">
        <v>0.45</v>
      </c>
      <c r="G179" s="61">
        <v>0.61109999999999998</v>
      </c>
      <c r="H179" s="61">
        <v>16</v>
      </c>
      <c r="I179" s="61" t="str">
        <f t="shared" si="19"/>
        <v>916</v>
      </c>
      <c r="J179" s="274">
        <v>80000</v>
      </c>
      <c r="K179" s="267">
        <v>1.1181449999999999</v>
      </c>
      <c r="L179" s="61">
        <f t="shared" si="23"/>
        <v>1</v>
      </c>
    </row>
    <row r="180" spans="5:12">
      <c r="E180" s="61">
        <v>9</v>
      </c>
      <c r="F180" s="369">
        <v>0.45</v>
      </c>
      <c r="G180" s="61">
        <v>0.61109999999999998</v>
      </c>
      <c r="H180" s="61">
        <v>17</v>
      </c>
      <c r="I180" s="61" t="str">
        <f t="shared" si="19"/>
        <v>917</v>
      </c>
      <c r="J180" s="274">
        <v>85000</v>
      </c>
      <c r="K180" s="267">
        <v>1.108271</v>
      </c>
      <c r="L180" s="61">
        <f t="shared" si="23"/>
        <v>1</v>
      </c>
    </row>
    <row r="181" spans="5:12">
      <c r="E181" s="61">
        <v>9</v>
      </c>
      <c r="F181" s="369">
        <v>0.45</v>
      </c>
      <c r="G181" s="61">
        <v>0.61109999999999998</v>
      </c>
      <c r="H181" s="61">
        <v>18</v>
      </c>
      <c r="I181" s="61" t="str">
        <f t="shared" si="19"/>
        <v>918</v>
      </c>
      <c r="J181" s="274">
        <v>90000</v>
      </c>
      <c r="K181" s="267">
        <v>1.099194</v>
      </c>
      <c r="L181" s="61">
        <f t="shared" si="23"/>
        <v>1</v>
      </c>
    </row>
    <row r="182" spans="5:12">
      <c r="E182" s="61">
        <v>9</v>
      </c>
      <c r="F182" s="369">
        <v>0.45</v>
      </c>
      <c r="G182" s="61">
        <v>0.61109999999999998</v>
      </c>
      <c r="H182" s="61">
        <v>19</v>
      </c>
      <c r="I182" s="61" t="str">
        <f t="shared" si="19"/>
        <v>919</v>
      </c>
      <c r="J182" s="274">
        <v>95000</v>
      </c>
      <c r="K182" s="267">
        <v>1.090851</v>
      </c>
      <c r="L182" s="61">
        <f t="shared" si="23"/>
        <v>1</v>
      </c>
    </row>
    <row r="183" spans="5:12">
      <c r="E183" s="61">
        <v>9</v>
      </c>
      <c r="F183" s="369">
        <v>0.45</v>
      </c>
      <c r="G183" s="61">
        <v>0.61109999999999998</v>
      </c>
      <c r="H183" s="61">
        <v>20</v>
      </c>
      <c r="I183" s="61" t="str">
        <f t="shared" si="19"/>
        <v>920</v>
      </c>
      <c r="J183" s="274">
        <v>100000</v>
      </c>
      <c r="K183" s="267">
        <v>1.083186</v>
      </c>
      <c r="L183" s="61">
        <f t="shared" si="23"/>
        <v>1</v>
      </c>
    </row>
    <row r="184" spans="5:12">
      <c r="E184" s="61">
        <v>10</v>
      </c>
      <c r="F184" s="369">
        <v>0.5</v>
      </c>
      <c r="G184" s="61">
        <v>0.55559999999999998</v>
      </c>
      <c r="H184" s="61">
        <v>1</v>
      </c>
      <c r="I184" s="61" t="str">
        <f t="shared" si="19"/>
        <v>101</v>
      </c>
      <c r="J184" s="61">
        <v>0</v>
      </c>
      <c r="K184" s="267">
        <v>1</v>
      </c>
      <c r="L184" s="61">
        <f>+IF(b=2,1,1)</f>
        <v>1</v>
      </c>
    </row>
    <row r="185" spans="5:12">
      <c r="E185" s="61">
        <v>10</v>
      </c>
      <c r="F185" s="369">
        <v>0.5</v>
      </c>
      <c r="G185" s="61">
        <v>0.55559999999999998</v>
      </c>
      <c r="H185" s="61">
        <v>2</v>
      </c>
      <c r="I185" s="61" t="str">
        <f t="shared" si="19"/>
        <v>102</v>
      </c>
      <c r="J185" s="274">
        <v>10000</v>
      </c>
      <c r="K185" s="267">
        <v>1.905675</v>
      </c>
      <c r="L185" s="61">
        <f t="shared" ref="L185:L190" si="24">+IF(b=2,1,0)</f>
        <v>0</v>
      </c>
    </row>
    <row r="186" spans="5:12">
      <c r="E186" s="61">
        <v>10</v>
      </c>
      <c r="F186" s="369">
        <v>0.5</v>
      </c>
      <c r="G186" s="61">
        <v>0.55559999999999998</v>
      </c>
      <c r="H186" s="61">
        <v>3</v>
      </c>
      <c r="I186" s="61" t="str">
        <f t="shared" si="19"/>
        <v>103</v>
      </c>
      <c r="J186" s="274">
        <v>15000</v>
      </c>
      <c r="K186" s="267">
        <v>1.841853</v>
      </c>
      <c r="L186" s="61">
        <f t="shared" si="24"/>
        <v>0</v>
      </c>
    </row>
    <row r="187" spans="5:12">
      <c r="E187" s="61">
        <v>10</v>
      </c>
      <c r="F187" s="369">
        <v>0.5</v>
      </c>
      <c r="G187" s="61">
        <v>0.55559999999999998</v>
      </c>
      <c r="H187" s="61">
        <v>4</v>
      </c>
      <c r="I187" s="61" t="str">
        <f t="shared" si="19"/>
        <v>104</v>
      </c>
      <c r="J187" s="274">
        <v>20000</v>
      </c>
      <c r="K187" s="267">
        <v>1.778832</v>
      </c>
      <c r="L187" s="61">
        <f t="shared" si="24"/>
        <v>0</v>
      </c>
    </row>
    <row r="188" spans="5:12">
      <c r="E188" s="61">
        <v>10</v>
      </c>
      <c r="F188" s="369">
        <v>0.5</v>
      </c>
      <c r="G188" s="61">
        <v>0.55559999999999998</v>
      </c>
      <c r="H188" s="61">
        <v>5</v>
      </c>
      <c r="I188" s="61" t="str">
        <f t="shared" si="19"/>
        <v>105</v>
      </c>
      <c r="J188" s="274">
        <v>25000</v>
      </c>
      <c r="K188" s="267">
        <v>1.7218309999999999</v>
      </c>
      <c r="L188" s="61">
        <f t="shared" si="24"/>
        <v>0</v>
      </c>
    </row>
    <row r="189" spans="5:12">
      <c r="E189" s="61">
        <v>10</v>
      </c>
      <c r="F189" s="369">
        <v>0.5</v>
      </c>
      <c r="G189" s="61">
        <v>0.55559999999999998</v>
      </c>
      <c r="H189" s="61">
        <v>6</v>
      </c>
      <c r="I189" s="61" t="str">
        <f t="shared" si="19"/>
        <v>106</v>
      </c>
      <c r="J189" s="274">
        <v>30000</v>
      </c>
      <c r="K189" s="267">
        <v>1.6697379999999999</v>
      </c>
      <c r="L189" s="61">
        <f t="shared" si="24"/>
        <v>0</v>
      </c>
    </row>
    <row r="190" spans="5:12">
      <c r="E190" s="61">
        <v>10</v>
      </c>
      <c r="F190" s="369">
        <v>0.5</v>
      </c>
      <c r="G190" s="61">
        <v>0.55559999999999998</v>
      </c>
      <c r="H190" s="61">
        <v>7</v>
      </c>
      <c r="I190" s="61" t="str">
        <f t="shared" si="19"/>
        <v>107</v>
      </c>
      <c r="J190" s="274">
        <v>35000</v>
      </c>
      <c r="K190" s="267">
        <v>1.6218570000000001</v>
      </c>
      <c r="L190" s="61">
        <f t="shared" si="24"/>
        <v>0</v>
      </c>
    </row>
    <row r="191" spans="5:12">
      <c r="E191" s="61">
        <v>10</v>
      </c>
      <c r="F191" s="369">
        <v>0.5</v>
      </c>
      <c r="G191" s="61">
        <v>0.55559999999999998</v>
      </c>
      <c r="H191" s="61">
        <v>8</v>
      </c>
      <c r="I191" s="61" t="str">
        <f t="shared" si="19"/>
        <v>108</v>
      </c>
      <c r="J191" s="274">
        <v>40000</v>
      </c>
      <c r="K191" s="267">
        <v>1.289096</v>
      </c>
      <c r="L191" s="61">
        <f>+IF(b=2,1,0)</f>
        <v>0</v>
      </c>
    </row>
    <row r="192" spans="5:12">
      <c r="E192" s="61">
        <v>10</v>
      </c>
      <c r="F192" s="369">
        <v>0.5</v>
      </c>
      <c r="G192" s="61">
        <v>0.55559999999999998</v>
      </c>
      <c r="H192" s="61">
        <v>9</v>
      </c>
      <c r="I192" s="61" t="str">
        <f t="shared" si="19"/>
        <v>109</v>
      </c>
      <c r="J192" s="274">
        <v>45000</v>
      </c>
      <c r="K192" s="267">
        <v>1.268985</v>
      </c>
      <c r="L192" s="61">
        <f>+IF(b=2,1,0)</f>
        <v>0</v>
      </c>
    </row>
    <row r="193" spans="5:12">
      <c r="E193" s="61">
        <v>10</v>
      </c>
      <c r="F193" s="369">
        <v>0.5</v>
      </c>
      <c r="G193" s="61">
        <v>0.55559999999999998</v>
      </c>
      <c r="H193" s="61">
        <v>10</v>
      </c>
      <c r="I193" s="61" t="str">
        <f t="shared" si="19"/>
        <v>1010</v>
      </c>
      <c r="J193" s="274">
        <v>50000</v>
      </c>
      <c r="K193" s="267">
        <v>1.250721</v>
      </c>
      <c r="L193" s="61">
        <f t="shared" ref="L193:L203" si="25">+IF(b=2,1,1)</f>
        <v>1</v>
      </c>
    </row>
    <row r="194" spans="5:12">
      <c r="E194" s="61">
        <v>10</v>
      </c>
      <c r="F194" s="369">
        <v>0.5</v>
      </c>
      <c r="G194" s="61">
        <v>0.55559999999999998</v>
      </c>
      <c r="H194" s="61">
        <v>11</v>
      </c>
      <c r="I194" s="61" t="str">
        <f t="shared" si="19"/>
        <v>1011</v>
      </c>
      <c r="J194" s="274">
        <v>55000</v>
      </c>
      <c r="K194" s="267">
        <v>1.232424</v>
      </c>
      <c r="L194" s="61">
        <f>+IF(b=2,1,0)</f>
        <v>0</v>
      </c>
    </row>
    <row r="195" spans="5:12">
      <c r="E195" s="61">
        <v>10</v>
      </c>
      <c r="F195" s="369">
        <v>0.5</v>
      </c>
      <c r="G195" s="61">
        <v>0.55559999999999998</v>
      </c>
      <c r="H195" s="61">
        <v>12</v>
      </c>
      <c r="I195" s="61" t="str">
        <f t="shared" si="19"/>
        <v>1012</v>
      </c>
      <c r="J195" s="274">
        <v>60000</v>
      </c>
      <c r="K195" s="267">
        <v>1.214564</v>
      </c>
      <c r="L195" s="61">
        <f t="shared" si="25"/>
        <v>1</v>
      </c>
    </row>
    <row r="196" spans="5:12">
      <c r="E196" s="61">
        <v>10</v>
      </c>
      <c r="F196" s="369">
        <v>0.5</v>
      </c>
      <c r="G196" s="61">
        <v>0.55559999999999998</v>
      </c>
      <c r="H196" s="61">
        <v>13</v>
      </c>
      <c r="I196" s="61" t="str">
        <f t="shared" si="19"/>
        <v>1013</v>
      </c>
      <c r="J196" s="274">
        <v>65000</v>
      </c>
      <c r="K196" s="267">
        <v>1.1974389999999999</v>
      </c>
      <c r="L196" s="61">
        <f>+IF(b=2,1,0)</f>
        <v>0</v>
      </c>
    </row>
    <row r="197" spans="5:12">
      <c r="E197" s="61">
        <v>10</v>
      </c>
      <c r="F197" s="369">
        <v>0.5</v>
      </c>
      <c r="G197" s="61">
        <v>0.55559999999999998</v>
      </c>
      <c r="H197" s="61">
        <v>14</v>
      </c>
      <c r="I197" s="61" t="str">
        <f t="shared" si="19"/>
        <v>1014</v>
      </c>
      <c r="J197" s="274">
        <v>70000</v>
      </c>
      <c r="K197" s="267">
        <v>1.1812739999999999</v>
      </c>
      <c r="L197" s="61">
        <f t="shared" si="25"/>
        <v>1</v>
      </c>
    </row>
    <row r="198" spans="5:12">
      <c r="E198" s="61">
        <v>10</v>
      </c>
      <c r="F198" s="369">
        <v>0.5</v>
      </c>
      <c r="G198" s="61">
        <v>0.55559999999999998</v>
      </c>
      <c r="H198" s="61">
        <v>15</v>
      </c>
      <c r="I198" s="61" t="str">
        <f t="shared" ref="I198:I203" si="26">+E198&amp;H198</f>
        <v>1015</v>
      </c>
      <c r="J198" s="274">
        <v>75000</v>
      </c>
      <c r="K198" s="267">
        <v>1.166221</v>
      </c>
      <c r="L198" s="61">
        <f t="shared" si="25"/>
        <v>1</v>
      </c>
    </row>
    <row r="199" spans="5:12">
      <c r="E199" s="61">
        <v>10</v>
      </c>
      <c r="F199" s="369">
        <v>0.5</v>
      </c>
      <c r="G199" s="61">
        <v>0.55559999999999998</v>
      </c>
      <c r="H199" s="61">
        <v>16</v>
      </c>
      <c r="I199" s="61" t="str">
        <f t="shared" si="26"/>
        <v>1016</v>
      </c>
      <c r="J199" s="274">
        <v>80000</v>
      </c>
      <c r="K199" s="267">
        <v>1.152374</v>
      </c>
      <c r="L199" s="61">
        <f t="shared" si="25"/>
        <v>1</v>
      </c>
    </row>
    <row r="200" spans="5:12">
      <c r="E200" s="61">
        <v>10</v>
      </c>
      <c r="F200" s="369">
        <v>0.5</v>
      </c>
      <c r="G200" s="61">
        <v>0.55559999999999998</v>
      </c>
      <c r="H200" s="61">
        <v>17</v>
      </c>
      <c r="I200" s="61" t="str">
        <f t="shared" si="26"/>
        <v>1017</v>
      </c>
      <c r="J200" s="274">
        <v>85000</v>
      </c>
      <c r="K200" s="267">
        <v>1.1396390000000001</v>
      </c>
      <c r="L200" s="61">
        <f t="shared" si="25"/>
        <v>1</v>
      </c>
    </row>
    <row r="201" spans="5:12">
      <c r="E201" s="61">
        <v>10</v>
      </c>
      <c r="F201" s="369">
        <v>0.5</v>
      </c>
      <c r="G201" s="61">
        <v>0.55559999999999998</v>
      </c>
      <c r="H201" s="61">
        <v>18</v>
      </c>
      <c r="I201" s="61" t="str">
        <f t="shared" si="26"/>
        <v>1018</v>
      </c>
      <c r="J201" s="274">
        <v>90000</v>
      </c>
      <c r="K201" s="267">
        <v>1.1279319999999999</v>
      </c>
      <c r="L201" s="61">
        <f t="shared" si="25"/>
        <v>1</v>
      </c>
    </row>
    <row r="202" spans="5:12">
      <c r="E202" s="61">
        <v>10</v>
      </c>
      <c r="F202" s="369">
        <v>0.5</v>
      </c>
      <c r="G202" s="61">
        <v>0.55559999999999998</v>
      </c>
      <c r="H202" s="61">
        <v>19</v>
      </c>
      <c r="I202" s="61" t="str">
        <f t="shared" si="26"/>
        <v>1019</v>
      </c>
      <c r="J202" s="274">
        <v>95000</v>
      </c>
      <c r="K202" s="267">
        <v>1.117173</v>
      </c>
      <c r="L202" s="61">
        <f t="shared" si="25"/>
        <v>1</v>
      </c>
    </row>
    <row r="203" spans="5:12">
      <c r="E203" s="61">
        <v>10</v>
      </c>
      <c r="F203" s="369">
        <v>0.5</v>
      </c>
      <c r="G203" s="61">
        <v>0.55559999999999998</v>
      </c>
      <c r="H203" s="61">
        <v>20</v>
      </c>
      <c r="I203" s="61" t="str">
        <f t="shared" si="26"/>
        <v>1020</v>
      </c>
      <c r="J203" s="274">
        <v>100000</v>
      </c>
      <c r="K203" s="267">
        <v>1.1072869999999999</v>
      </c>
      <c r="L203" s="61">
        <f t="shared" si="25"/>
        <v>1</v>
      </c>
    </row>
    <row r="205" spans="5:12">
      <c r="F205" s="234"/>
      <c r="G205" s="234"/>
      <c r="H205" s="234"/>
      <c r="J205" s="235"/>
      <c r="K205" s="235"/>
    </row>
    <row r="216" spans="9:11">
      <c r="J216" s="271"/>
    </row>
    <row r="217" spans="9:11">
      <c r="J217" s="271"/>
      <c r="K217" s="272"/>
    </row>
    <row r="220" spans="9:11">
      <c r="I220" s="273"/>
      <c r="K220" s="273"/>
    </row>
    <row r="221" spans="9:11">
      <c r="I221" s="271"/>
    </row>
    <row r="225" spans="9:11">
      <c r="I225" s="273"/>
    </row>
    <row r="229" spans="9:11">
      <c r="J229" s="56"/>
      <c r="K229" s="56"/>
    </row>
    <row r="230" spans="9:11">
      <c r="J230" s="56"/>
      <c r="K230" s="56"/>
    </row>
    <row r="231" spans="9:11">
      <c r="J231" s="56"/>
      <c r="K231" s="56"/>
    </row>
    <row r="232" spans="9:11">
      <c r="J232" s="56"/>
      <c r="K232" s="56"/>
    </row>
    <row r="233" spans="9:11">
      <c r="J233" s="56"/>
      <c r="K233" s="56"/>
    </row>
    <row r="234" spans="9:11">
      <c r="J234" s="56"/>
      <c r="K234" s="56"/>
    </row>
    <row r="235" spans="9:11">
      <c r="J235" s="56"/>
      <c r="K235" s="56"/>
    </row>
  </sheetData>
  <sheetProtection selectLockedCells="1" selectUnlockedCells="1"/>
  <autoFilter ref="S3:Y51"/>
  <mergeCells count="3">
    <mergeCell ref="AQ3:AS3"/>
    <mergeCell ref="AQ4:AR4"/>
    <mergeCell ref="AS4:AS5"/>
  </mergeCells>
  <phoneticPr fontId="9" type="noConversion"/>
  <printOptions gridLines="1" gridLinesSet="0"/>
  <pageMargins left="0.75" right="0.75" top="1" bottom="1" header="0.511811024" footer="0.511811024"/>
  <pageSetup orientation="portrait" horizontalDpi="300" verticalDpi="300" r:id="rId1"/>
  <headerFooter alignWithMargins="0">
    <oddHeader>&amp;A</oddHeader>
    <oddFooter>Página &amp;P</oddFooter>
  </headerFooter>
  <ignoredErrors>
    <ignoredError sqref="AQ8:AQ1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C1025"/>
  <sheetViews>
    <sheetView zoomScaleNormal="100" workbookViewId="0">
      <pane ySplit="2" topLeftCell="A3" activePane="bottomLeft" state="frozen"/>
      <selection pane="bottomLeft" activeCell="A3" sqref="A3"/>
    </sheetView>
  </sheetViews>
  <sheetFormatPr baseColWidth="10" defaultRowHeight="12.5"/>
  <cols>
    <col min="1" max="4" width="19" customWidth="1"/>
    <col min="5" max="5" width="19" style="1" customWidth="1"/>
    <col min="6" max="7" width="19" customWidth="1"/>
    <col min="8" max="8" width="6.1796875" bestFit="1" customWidth="1"/>
    <col min="9" max="9" width="10.54296875" customWidth="1"/>
    <col min="10" max="10" width="21.453125" customWidth="1"/>
    <col min="11" max="11" width="25.81640625" customWidth="1"/>
    <col min="12" max="12" width="2.81640625" customWidth="1"/>
    <col min="13" max="13" width="10.54296875" customWidth="1"/>
    <col min="14" max="23" width="19" customWidth="1"/>
    <col min="24" max="24" width="19" style="1" customWidth="1"/>
    <col min="25" max="25" width="13.1796875" bestFit="1" customWidth="1"/>
    <col min="26" max="26" width="21.453125" bestFit="1" customWidth="1"/>
    <col min="29" max="29" width="132.54296875" bestFit="1" customWidth="1"/>
  </cols>
  <sheetData>
    <row r="1" spans="1:26" ht="13.5" thickBot="1">
      <c r="A1" s="76" t="s">
        <v>48</v>
      </c>
      <c r="B1" s="76" t="s">
        <v>44</v>
      </c>
      <c r="C1" s="76" t="s">
        <v>42</v>
      </c>
      <c r="D1" s="77" t="s">
        <v>43</v>
      </c>
      <c r="E1" s="72" t="s">
        <v>49</v>
      </c>
      <c r="F1" s="3"/>
      <c r="G1" s="4"/>
      <c r="H1" s="15"/>
      <c r="I1" s="2" t="s">
        <v>62</v>
      </c>
      <c r="J1" s="3"/>
      <c r="K1" s="4"/>
      <c r="L1" s="5"/>
      <c r="M1" s="2" t="s">
        <v>124</v>
      </c>
      <c r="N1" s="2"/>
      <c r="O1" s="2"/>
      <c r="P1" s="2"/>
      <c r="S1" s="2" t="s">
        <v>50</v>
      </c>
      <c r="T1" s="4"/>
      <c r="X1" s="2" t="s">
        <v>80</v>
      </c>
      <c r="Y1" s="3"/>
      <c r="Z1" s="4"/>
    </row>
    <row r="2" spans="1:26" ht="13.5" thickBot="1">
      <c r="A2" s="76" t="str">
        <f ca="1">IF(OR(NOT(ISERR(CODE('CAPTURA LISTADO'!B7)=48)),'CAPTURA LISTADO'!B7&gt;0),'CAPTURA LISTADO'!B7,IF('CAPTURA LISTADO'!A7&lt;&gt;0,INT((TODAY()-'CAPTURA LISTADO'!A7)/365)," "))</f>
        <v xml:space="preserve"> </v>
      </c>
      <c r="B2" s="76" t="str">
        <f>IF('CAPTURA LISTADO'!D7&lt;&gt;"M",IF('CAPTURA LISTADO'!D7&lt;&gt;"F"," ",'CAPTURA LISTADO'!D7),'CAPTURA LISTADO'!D7)</f>
        <v xml:space="preserve"> </v>
      </c>
      <c r="C2" s="76" t="str">
        <f ca="1">+A2</f>
        <v xml:space="preserve"> </v>
      </c>
      <c r="D2" s="76" t="str">
        <f>IF(AND('CAPTURA LISTADO'!C7&lt;&gt;"T",'CAPTURA LISTADO'!C7&lt;&gt;"C",'CAPTURA LISTADO'!C7&lt;&gt;"H")," ",'CAPTURA LISTADO'!C7)</f>
        <v xml:space="preserve"> </v>
      </c>
      <c r="E2" s="73" t="s">
        <v>51</v>
      </c>
      <c r="F2" s="7" t="s">
        <v>45</v>
      </c>
      <c r="G2" s="8" t="s">
        <v>46</v>
      </c>
      <c r="H2" s="16"/>
      <c r="I2" s="6" t="s">
        <v>51</v>
      </c>
      <c r="J2" s="7" t="s">
        <v>45</v>
      </c>
      <c r="K2" s="8" t="s">
        <v>46</v>
      </c>
      <c r="L2" s="5"/>
      <c r="M2" s="6" t="s">
        <v>51</v>
      </c>
      <c r="N2" s="8" t="s">
        <v>126</v>
      </c>
      <c r="O2" s="8" t="s">
        <v>125</v>
      </c>
      <c r="P2" s="8" t="s">
        <v>52</v>
      </c>
      <c r="S2" s="6" t="s">
        <v>51</v>
      </c>
      <c r="T2" s="8" t="s">
        <v>46</v>
      </c>
      <c r="X2" s="6" t="s">
        <v>51</v>
      </c>
      <c r="Y2" s="7" t="s">
        <v>45</v>
      </c>
      <c r="Z2" s="8" t="s">
        <v>46</v>
      </c>
    </row>
    <row r="3" spans="1:26" ht="13.5" thickBot="1">
      <c r="A3" s="76" t="str">
        <f ca="1">IF(OR(NOT(ISERR(CODE('CAPTURA LISTADO'!B8)=48)),'CAPTURA LISTADO'!B8&gt;0),'CAPTURA LISTADO'!B8,IF('CAPTURA LISTADO'!A8&lt;&gt;0,INT((TODAY()-'CAPTURA LISTADO'!A8)/365)," "))</f>
        <v xml:space="preserve"> </v>
      </c>
      <c r="B3" s="76" t="str">
        <f>IF('CAPTURA LISTADO'!D8&lt;&gt;"M",IF('CAPTURA LISTADO'!D8&lt;&gt;"F"," ",'CAPTURA LISTADO'!D8),'CAPTURA LISTADO'!D8)</f>
        <v xml:space="preserve"> </v>
      </c>
      <c r="C3" s="76" t="str">
        <f t="shared" ref="C3:C9" ca="1" si="0">+A3</f>
        <v xml:space="preserve"> </v>
      </c>
      <c r="D3" s="76" t="str">
        <f>IF(AND('CAPTURA LISTADO'!C8&lt;&gt;"T",'CAPTURA LISTADO'!C8&lt;&gt;"C",'CAPTURA LISTADO'!C8&lt;&gt;"H")," ",'CAPTURA LISTADO'!C8)</f>
        <v xml:space="preserve"> </v>
      </c>
      <c r="E3" s="74">
        <v>0</v>
      </c>
      <c r="F3" s="10">
        <f ca="1">+DCOUNTA($B$1:$C$995,$C$1,E106:G107)</f>
        <v>0</v>
      </c>
      <c r="G3" s="10">
        <f ca="1">+DCOUNTA($B$1:$C$995,$C$1,E308:G309)</f>
        <v>0</v>
      </c>
      <c r="H3" s="5"/>
      <c r="I3" s="9">
        <v>0</v>
      </c>
      <c r="J3" s="10">
        <f ca="1">+DCOUNTA($B$1:$D$995,$C$1,I106:K107)</f>
        <v>0</v>
      </c>
      <c r="K3" s="10">
        <f ca="1">+DCOUNTA($B$1:$D$995,$C$1,I308:K309)</f>
        <v>0</v>
      </c>
      <c r="L3" s="5"/>
      <c r="M3" s="19">
        <v>18</v>
      </c>
      <c r="N3" s="10">
        <f ca="1">DCOUNTA($B$1:$D$995,$C$1,N89:P90)</f>
        <v>0</v>
      </c>
      <c r="O3" s="10">
        <f ca="1">DCOUNTA($B$1:$D$995,$C$1,N35:P36)</f>
        <v>0</v>
      </c>
      <c r="P3" s="10">
        <f t="shared" ref="P3:P29" ca="1" si="1">+N3+O3</f>
        <v>0</v>
      </c>
      <c r="S3" s="19">
        <v>18</v>
      </c>
      <c r="T3" s="10">
        <f ca="1">DCOUNTA($B$1:$D$995,$C$1,T35:V36)</f>
        <v>0</v>
      </c>
      <c r="X3" s="9">
        <v>0</v>
      </c>
      <c r="Y3" s="10">
        <f ca="1">+DCOUNTA($B$1:$D$995,$C$1,X106:Z107)</f>
        <v>0</v>
      </c>
      <c r="Z3" s="10">
        <f ca="1">+DCOUNTA($B$1:$D$995,$C$1,X308:Z309)</f>
        <v>0</v>
      </c>
    </row>
    <row r="4" spans="1:26" ht="13.5" thickBot="1">
      <c r="A4" s="76" t="str">
        <f ca="1">IF(OR(NOT(ISERR(CODE('CAPTURA LISTADO'!B9)=48)),'CAPTURA LISTADO'!B9&gt;0),'CAPTURA LISTADO'!B9,IF('CAPTURA LISTADO'!A9&lt;&gt;0,INT((TODAY()-'CAPTURA LISTADO'!A9)/365)," "))</f>
        <v xml:space="preserve"> </v>
      </c>
      <c r="B4" s="76" t="str">
        <f>IF('CAPTURA LISTADO'!D9&lt;&gt;"M",IF('CAPTURA LISTADO'!D9&lt;&gt;"F"," ",'CAPTURA LISTADO'!D9),'CAPTURA LISTADO'!D9)</f>
        <v xml:space="preserve"> </v>
      </c>
      <c r="C4" s="76" t="str">
        <f t="shared" ca="1" si="0"/>
        <v xml:space="preserve"> </v>
      </c>
      <c r="D4" s="76" t="str">
        <f>IF(AND('CAPTURA LISTADO'!C9&lt;&gt;"T",'CAPTURA LISTADO'!C9&lt;&gt;"C",'CAPTURA LISTADO'!C9&lt;&gt;"H")," ",'CAPTURA LISTADO'!C9)</f>
        <v xml:space="preserve"> </v>
      </c>
      <c r="E4" s="75">
        <v>1</v>
      </c>
      <c r="F4" s="10">
        <f ca="1">+DCOUNTA($B$1:$C$995,$C$1,E108:G109)</f>
        <v>0</v>
      </c>
      <c r="G4" s="10">
        <f ca="1">+DCOUNTA($B$1:$C$995,$C$1,E310:G311)</f>
        <v>0</v>
      </c>
      <c r="H4" s="5"/>
      <c r="I4" s="19">
        <v>1</v>
      </c>
      <c r="J4" s="10">
        <f ca="1">+DCOUNTA($B$1:$D$995,$C$1,I108:K109)</f>
        <v>0</v>
      </c>
      <c r="K4" s="10">
        <f ca="1">+DCOUNTA($B$1:$D$995,$C$1,I310:K311)</f>
        <v>0</v>
      </c>
      <c r="L4" s="5"/>
      <c r="M4" s="19">
        <v>19</v>
      </c>
      <c r="N4" s="10">
        <f ca="1">DCOUNTA($B$1:$D$995,$C$1,N91:P92)</f>
        <v>0</v>
      </c>
      <c r="O4" s="10">
        <f ca="1">DCOUNTA($B$1:$D$995,$C$1,N37:P38)</f>
        <v>0</v>
      </c>
      <c r="P4" s="10">
        <f t="shared" ca="1" si="1"/>
        <v>0</v>
      </c>
      <c r="S4" s="19">
        <v>19</v>
      </c>
      <c r="T4" s="10">
        <f ca="1">DCOUNTA($B$1:$D$995,$C$1,T37:V38)</f>
        <v>0</v>
      </c>
      <c r="X4" s="19">
        <v>1</v>
      </c>
      <c r="Y4" s="10">
        <f ca="1">+DCOUNTA($B$1:$D$995,$C$1,X108:Z109)</f>
        <v>0</v>
      </c>
      <c r="Z4" s="10">
        <f ca="1">+DCOUNTA($B$1:$D$995,$C$1,X310:Z311)</f>
        <v>0</v>
      </c>
    </row>
    <row r="5" spans="1:26" ht="13.5" thickBot="1">
      <c r="A5" s="76" t="str">
        <f ca="1">IF(OR(NOT(ISERR(CODE('CAPTURA LISTADO'!B10)=48)),'CAPTURA LISTADO'!B10&gt;0),'CAPTURA LISTADO'!B10,IF('CAPTURA LISTADO'!A10&lt;&gt;0,INT((TODAY()-'CAPTURA LISTADO'!A10)/365)," "))</f>
        <v xml:space="preserve"> </v>
      </c>
      <c r="B5" s="76" t="str">
        <f>IF('CAPTURA LISTADO'!D10&lt;&gt;"M",IF('CAPTURA LISTADO'!D10&lt;&gt;"F"," ",'CAPTURA LISTADO'!D10),'CAPTURA LISTADO'!D10)</f>
        <v xml:space="preserve"> </v>
      </c>
      <c r="C5" s="76" t="str">
        <f t="shared" ca="1" si="0"/>
        <v xml:space="preserve"> </v>
      </c>
      <c r="D5" s="76" t="str">
        <f>IF(AND('CAPTURA LISTADO'!C10&lt;&gt;"T",'CAPTURA LISTADO'!C10&lt;&gt;"C",'CAPTURA LISTADO'!C10&lt;&gt;"H")," ",'CAPTURA LISTADO'!C10)</f>
        <v xml:space="preserve"> </v>
      </c>
      <c r="E5" s="75">
        <v>2</v>
      </c>
      <c r="F5" s="10">
        <f ca="1">+DCOUNTA($B$1:$C$995,$C$1,E110:G111)</f>
        <v>0</v>
      </c>
      <c r="G5" s="10">
        <f ca="1">+DCOUNTA($B$1:$C$995,$C$1,E312:G313)</f>
        <v>0</v>
      </c>
      <c r="H5" s="5"/>
      <c r="I5" s="19">
        <v>2</v>
      </c>
      <c r="J5" s="10">
        <f ca="1">+DCOUNTA($B$1:$D$995,$C$1,I110:K111)</f>
        <v>0</v>
      </c>
      <c r="K5" s="10">
        <f ca="1">+DCOUNTA($B$1:$D$995,$C$1,I312:K313)</f>
        <v>0</v>
      </c>
      <c r="L5" s="5"/>
      <c r="M5" s="11">
        <v>20</v>
      </c>
      <c r="N5" s="10">
        <f ca="1">DCOUNTA($B$1:$D$995,$C$1,N93:P94)</f>
        <v>0</v>
      </c>
      <c r="O5" s="10">
        <f ca="1">DCOUNTA($B$1:$D$995,$C$1,N39:P40)</f>
        <v>0</v>
      </c>
      <c r="P5" s="10">
        <f t="shared" ca="1" si="1"/>
        <v>0</v>
      </c>
      <c r="S5" s="11">
        <v>20</v>
      </c>
      <c r="T5" s="10">
        <f ca="1">DCOUNTA($B$1:$D$995,$C$1,T39:V40)</f>
        <v>0</v>
      </c>
      <c r="X5" s="19">
        <v>2</v>
      </c>
      <c r="Y5" s="10">
        <f ca="1">+DCOUNTA($B$1:$D$995,$C$1,X110:Z111)</f>
        <v>0</v>
      </c>
      <c r="Z5" s="10">
        <f ca="1">+DCOUNTA($B$1:$D$995,$C$1,X312:Z313)</f>
        <v>0</v>
      </c>
    </row>
    <row r="6" spans="1:26" ht="13.5" thickBot="1">
      <c r="A6" s="76" t="str">
        <f ca="1">IF(OR(NOT(ISERR(CODE('CAPTURA LISTADO'!B11)=48)),'CAPTURA LISTADO'!B11&gt;0),'CAPTURA LISTADO'!B11,IF('CAPTURA LISTADO'!A11&lt;&gt;0,INT((TODAY()-'CAPTURA LISTADO'!A11)/365)," "))</f>
        <v xml:space="preserve"> </v>
      </c>
      <c r="B6" s="76" t="str">
        <f>IF('CAPTURA LISTADO'!D11&lt;&gt;"M",IF('CAPTURA LISTADO'!D11&lt;&gt;"F"," ",'CAPTURA LISTADO'!D11),'CAPTURA LISTADO'!D11)</f>
        <v xml:space="preserve"> </v>
      </c>
      <c r="C6" s="76" t="str">
        <f t="shared" ca="1" si="0"/>
        <v xml:space="preserve"> </v>
      </c>
      <c r="D6" s="76" t="str">
        <f>IF(AND('CAPTURA LISTADO'!C11&lt;&gt;"T",'CAPTURA LISTADO'!C11&lt;&gt;"C",'CAPTURA LISTADO'!C11&lt;&gt;"H")," ",'CAPTURA LISTADO'!C11)</f>
        <v xml:space="preserve"> </v>
      </c>
      <c r="E6" s="75">
        <v>3</v>
      </c>
      <c r="F6" s="10">
        <f ca="1">+DCOUNTA($B$1:$C$995,$C$1,E112:G113)</f>
        <v>0</v>
      </c>
      <c r="G6" s="10">
        <f ca="1">+DCOUNTA($B$1:$C$995,$C$1,E314:G315)</f>
        <v>0</v>
      </c>
      <c r="H6" s="5"/>
      <c r="I6" s="19">
        <v>3</v>
      </c>
      <c r="J6" s="10">
        <f ca="1">+DCOUNTA($B$1:$D$995,$C$1,I112:K113)</f>
        <v>0</v>
      </c>
      <c r="K6" s="10">
        <f ca="1">+DCOUNTA($B$1:$D$995,$C$1,I314:K315)</f>
        <v>0</v>
      </c>
      <c r="L6" s="5"/>
      <c r="M6" s="11">
        <v>21</v>
      </c>
      <c r="N6" s="10">
        <f ca="1">DCOUNTA($B$1:$D$995,$C$1,N95:P96)</f>
        <v>0</v>
      </c>
      <c r="O6" s="10">
        <f ca="1">DCOUNTA($B$1:$D$995,$C$1,N41:P42)</f>
        <v>0</v>
      </c>
      <c r="P6" s="10">
        <f t="shared" ca="1" si="1"/>
        <v>0</v>
      </c>
      <c r="S6" s="11">
        <v>21</v>
      </c>
      <c r="T6" s="10">
        <f ca="1">DCOUNTA($B$1:$D$995,$C$1,T41:V42)</f>
        <v>0</v>
      </c>
      <c r="X6" s="19">
        <v>3</v>
      </c>
      <c r="Y6" s="10">
        <f ca="1">+DCOUNTA($B$1:$D$995,$C$1,X112:Z113)</f>
        <v>0</v>
      </c>
      <c r="Z6" s="10">
        <f ca="1">+DCOUNTA($B$1:$D$995,$C$1,X314:Z315)</f>
        <v>0</v>
      </c>
    </row>
    <row r="7" spans="1:26" ht="13.5" thickBot="1">
      <c r="A7" s="76" t="str">
        <f ca="1">IF(OR(NOT(ISERR(CODE('CAPTURA LISTADO'!B12)=48)),'CAPTURA LISTADO'!B12&gt;0),'CAPTURA LISTADO'!B12,IF('CAPTURA LISTADO'!A12&lt;&gt;0,INT((TODAY()-'CAPTURA LISTADO'!A12)/365)," "))</f>
        <v xml:space="preserve"> </v>
      </c>
      <c r="B7" s="76" t="str">
        <f>IF('CAPTURA LISTADO'!D12&lt;&gt;"M",IF('CAPTURA LISTADO'!D12&lt;&gt;"F"," ",'CAPTURA LISTADO'!D12),'CAPTURA LISTADO'!D12)</f>
        <v xml:space="preserve"> </v>
      </c>
      <c r="C7" s="76" t="str">
        <f t="shared" ca="1" si="0"/>
        <v xml:space="preserve"> </v>
      </c>
      <c r="D7" s="76" t="str">
        <f>IF(AND('CAPTURA LISTADO'!C12&lt;&gt;"T",'CAPTURA LISTADO'!C12&lt;&gt;"C",'CAPTURA LISTADO'!C12&lt;&gt;"H")," ",'CAPTURA LISTADO'!C12)</f>
        <v xml:space="preserve"> </v>
      </c>
      <c r="E7" s="75">
        <v>4</v>
      </c>
      <c r="F7" s="10">
        <f ca="1">+DCOUNTA($B$1:$C$995,$C$1,E114:G115)</f>
        <v>0</v>
      </c>
      <c r="G7" s="10">
        <f ca="1">+DCOUNTA($B$1:$C$995,$C$1,E316:G317)</f>
        <v>0</v>
      </c>
      <c r="H7" s="5"/>
      <c r="I7" s="19">
        <v>4</v>
      </c>
      <c r="J7" s="10">
        <f ca="1">+DCOUNTA($B$1:$D$995,$C$1,I114:K115)</f>
        <v>0</v>
      </c>
      <c r="K7" s="10">
        <f ca="1">+DCOUNTA($B$1:$D$995,$C$1,I316:K317)</f>
        <v>0</v>
      </c>
      <c r="L7" s="5"/>
      <c r="M7" s="11">
        <v>22</v>
      </c>
      <c r="N7" s="10">
        <f ca="1">DCOUNTA($B$1:$D$995,$C$1,N97:P98)</f>
        <v>0</v>
      </c>
      <c r="O7" s="10">
        <f ca="1">DCOUNTA($B$1:$D$995,$C$1,N43:P44)</f>
        <v>0</v>
      </c>
      <c r="P7" s="10">
        <f t="shared" ca="1" si="1"/>
        <v>0</v>
      </c>
      <c r="S7" s="11">
        <v>22</v>
      </c>
      <c r="T7" s="10">
        <f ca="1">DCOUNTA($B$1:$D$995,$C$1,T43:V44)</f>
        <v>0</v>
      </c>
      <c r="X7" s="19">
        <v>4</v>
      </c>
      <c r="Y7" s="10">
        <f ca="1">+DCOUNTA($B$1:$D$995,$C$1,X114:Z115)</f>
        <v>0</v>
      </c>
      <c r="Z7" s="10">
        <f ca="1">+DCOUNTA($B$1:$D$995,$C$1,X316:Z317)</f>
        <v>0</v>
      </c>
    </row>
    <row r="8" spans="1:26" ht="13.5" thickBot="1">
      <c r="A8" s="76" t="str">
        <f ca="1">IF(OR(NOT(ISERR(CODE('CAPTURA LISTADO'!B13)=48)),'CAPTURA LISTADO'!B13&gt;0),'CAPTURA LISTADO'!B13,IF('CAPTURA LISTADO'!A13&lt;&gt;0,INT((TODAY()-'CAPTURA LISTADO'!A13)/365)," "))</f>
        <v xml:space="preserve"> </v>
      </c>
      <c r="B8" s="76" t="str">
        <f>IF('CAPTURA LISTADO'!D13&lt;&gt;"M",IF('CAPTURA LISTADO'!D13&lt;&gt;"F"," ",'CAPTURA LISTADO'!D13),'CAPTURA LISTADO'!D13)</f>
        <v xml:space="preserve"> </v>
      </c>
      <c r="C8" s="76" t="str">
        <f t="shared" ca="1" si="0"/>
        <v xml:space="preserve"> </v>
      </c>
      <c r="D8" s="76" t="str">
        <f>IF(AND('CAPTURA LISTADO'!C13&lt;&gt;"T",'CAPTURA LISTADO'!C13&lt;&gt;"C",'CAPTURA LISTADO'!C13&lt;&gt;"H")," ",'CAPTURA LISTADO'!C13)</f>
        <v xml:space="preserve"> </v>
      </c>
      <c r="E8" s="75">
        <v>5</v>
      </c>
      <c r="F8" s="10">
        <f ca="1">+DCOUNTA($B$1:$C$995,$C$1,E116:G117)</f>
        <v>0</v>
      </c>
      <c r="G8" s="10">
        <f ca="1">+DCOUNTA($B$1:$C$995,$C$1,E318:G319)</f>
        <v>0</v>
      </c>
      <c r="H8" s="5"/>
      <c r="I8" s="19">
        <v>5</v>
      </c>
      <c r="J8" s="10">
        <f ca="1">+DCOUNTA($B$1:$D$995,$C$1,I116:K117)</f>
        <v>0</v>
      </c>
      <c r="K8" s="10">
        <f ca="1">+DCOUNTA($B$1:$D$995,$C$1,I318:K319)</f>
        <v>0</v>
      </c>
      <c r="L8" s="5"/>
      <c r="M8" s="11">
        <v>23</v>
      </c>
      <c r="N8" s="10">
        <f ca="1">DCOUNTA($B$1:$D$995,$C$1,N99:P100)</f>
        <v>0</v>
      </c>
      <c r="O8" s="10">
        <f ca="1">DCOUNTA($B$1:$D$995,$C$1,N45:P46)</f>
        <v>0</v>
      </c>
      <c r="P8" s="10">
        <f t="shared" ca="1" si="1"/>
        <v>0</v>
      </c>
      <c r="S8" s="11">
        <v>23</v>
      </c>
      <c r="T8" s="10">
        <f ca="1">DCOUNTA($B$1:$D$995,$C$1,T45:V46)</f>
        <v>0</v>
      </c>
      <c r="X8" s="19">
        <v>5</v>
      </c>
      <c r="Y8" s="10">
        <f ca="1">+DCOUNTA($B$1:$D$995,$C$1,X116:Z117)</f>
        <v>0</v>
      </c>
      <c r="Z8" s="10">
        <f ca="1">+DCOUNTA($B$1:$D$995,$C$1,X318:Z319)</f>
        <v>0</v>
      </c>
    </row>
    <row r="9" spans="1:26" ht="13.5" thickBot="1">
      <c r="A9" s="76" t="str">
        <f ca="1">IF(OR(NOT(ISERR(CODE('CAPTURA LISTADO'!B14)=48)),'CAPTURA LISTADO'!B14&gt;0),'CAPTURA LISTADO'!B14,IF('CAPTURA LISTADO'!A14&lt;&gt;0,INT((TODAY()-'CAPTURA LISTADO'!A14)/365)," "))</f>
        <v xml:space="preserve"> </v>
      </c>
      <c r="B9" s="76" t="str">
        <f>IF('CAPTURA LISTADO'!D14&lt;&gt;"M",IF('CAPTURA LISTADO'!D14&lt;&gt;"F"," ",'CAPTURA LISTADO'!D14),'CAPTURA LISTADO'!D14)</f>
        <v xml:space="preserve"> </v>
      </c>
      <c r="C9" s="76" t="str">
        <f t="shared" ca="1" si="0"/>
        <v xml:space="preserve"> </v>
      </c>
      <c r="D9" s="76" t="str">
        <f>IF(AND('CAPTURA LISTADO'!C14&lt;&gt;"T",'CAPTURA LISTADO'!C14&lt;&gt;"C",'CAPTURA LISTADO'!C14&lt;&gt;"H")," ",'CAPTURA LISTADO'!C14)</f>
        <v xml:space="preserve"> </v>
      </c>
      <c r="E9" s="75">
        <v>6</v>
      </c>
      <c r="F9" s="10">
        <f ca="1">+DCOUNTA($B$1:$C$995,$C$1,E118:G119)</f>
        <v>0</v>
      </c>
      <c r="G9" s="10">
        <f ca="1">+DCOUNTA($B$1:$C$995,$C$1,E320:G321)</f>
        <v>0</v>
      </c>
      <c r="H9" s="5"/>
      <c r="I9" s="19">
        <v>6</v>
      </c>
      <c r="J9" s="10">
        <f ca="1">+DCOUNTA($B$1:$D$995,$C$1,I118:K119)</f>
        <v>0</v>
      </c>
      <c r="K9" s="10">
        <f ca="1">+DCOUNTA($B$1:$D$995,$C$1,I320:K321)</f>
        <v>0</v>
      </c>
      <c r="L9" s="5"/>
      <c r="M9" s="11">
        <v>24</v>
      </c>
      <c r="N9" s="10">
        <f ca="1">DCOUNTA($B$1:$D$995,$C$1,N101:P102)</f>
        <v>0</v>
      </c>
      <c r="O9" s="10">
        <f ca="1">DCOUNTA($B$1:$D$995,$C$1,N47:P48)</f>
        <v>0</v>
      </c>
      <c r="P9" s="10">
        <f t="shared" ca="1" si="1"/>
        <v>0</v>
      </c>
      <c r="S9" s="11">
        <v>24</v>
      </c>
      <c r="T9" s="10">
        <f ca="1">DCOUNTA($B$1:$D$995,$C$1,T47:V48)</f>
        <v>0</v>
      </c>
      <c r="X9" s="19">
        <v>6</v>
      </c>
      <c r="Y9" s="10">
        <f ca="1">+DCOUNTA($B$1:$D$995,$C$1,X118:Z119)</f>
        <v>0</v>
      </c>
      <c r="Z9" s="10">
        <f ca="1">+DCOUNTA($B$1:$D$995,$C$1,X320:Z321)</f>
        <v>0</v>
      </c>
    </row>
    <row r="10" spans="1:26" ht="13.5" thickBot="1">
      <c r="E10" s="19">
        <v>7</v>
      </c>
      <c r="F10" s="10">
        <f ca="1">+DCOUNTA($B$1:$C$995,$C$1,E120:G121)</f>
        <v>0</v>
      </c>
      <c r="G10" s="10">
        <f ca="1">+DCOUNTA($B$1:$C$995,$C$1,E322:G323)</f>
        <v>0</v>
      </c>
      <c r="H10" s="5"/>
      <c r="I10" s="19">
        <v>7</v>
      </c>
      <c r="J10" s="10">
        <f ca="1">+DCOUNTA($B$1:$D$995,$C$1,I120:K121)</f>
        <v>0</v>
      </c>
      <c r="K10" s="10">
        <f ca="1">+DCOUNTA($B$1:$D$995,$C$1,I322:K323)</f>
        <v>0</v>
      </c>
      <c r="L10" s="5"/>
      <c r="M10" s="11">
        <v>25</v>
      </c>
      <c r="N10" s="10">
        <f ca="1">DCOUNTA($B$1:$D$995,$C$1,N103:P104)</f>
        <v>0</v>
      </c>
      <c r="O10" s="10">
        <f ca="1">DCOUNTA($B$1:$D$995,$C$1,N49:P50)</f>
        <v>0</v>
      </c>
      <c r="P10" s="10">
        <f t="shared" ca="1" si="1"/>
        <v>0</v>
      </c>
      <c r="S10" s="11">
        <v>25</v>
      </c>
      <c r="T10" s="10">
        <f ca="1">DCOUNTA($B$1:$D$995,$C$1,T49:V50)</f>
        <v>0</v>
      </c>
      <c r="X10" s="19">
        <v>7</v>
      </c>
      <c r="Y10" s="10">
        <f ca="1">+DCOUNTA($B$1:$D$995,$C$1,X120:Z121)</f>
        <v>0</v>
      </c>
      <c r="Z10" s="10">
        <f ca="1">+DCOUNTA($B$1:$D$995,$C$1,X322:Z323)</f>
        <v>0</v>
      </c>
    </row>
    <row r="11" spans="1:26" ht="13.5" thickBot="1">
      <c r="E11" s="19">
        <v>8</v>
      </c>
      <c r="F11" s="10">
        <f ca="1">+DCOUNTA($B$1:$C$995,$C$1,E122:G123)</f>
        <v>0</v>
      </c>
      <c r="G11" s="10">
        <f ca="1">+DCOUNTA($B$1:$C$995,$C$1,E324:G325)</f>
        <v>0</v>
      </c>
      <c r="H11" s="5"/>
      <c r="I11" s="19">
        <v>8</v>
      </c>
      <c r="J11" s="10">
        <f ca="1">+DCOUNTA($B$1:$D$995,$C$1,I122:K123)</f>
        <v>0</v>
      </c>
      <c r="K11" s="10">
        <f ca="1">+DCOUNTA($B$1:$D$995,$C$1,I324:K325)</f>
        <v>0</v>
      </c>
      <c r="L11" s="5"/>
      <c r="M11" s="11">
        <v>26</v>
      </c>
      <c r="N11" s="10">
        <f ca="1">DCOUNTA($B$1:$D$995,$C$1,N105:P106)</f>
        <v>0</v>
      </c>
      <c r="O11" s="10">
        <f ca="1">DCOUNTA($B$1:$D$995,$C$1,N51:P52)</f>
        <v>0</v>
      </c>
      <c r="P11" s="10">
        <f t="shared" ca="1" si="1"/>
        <v>0</v>
      </c>
      <c r="S11" s="11">
        <v>26</v>
      </c>
      <c r="T11" s="10">
        <f ca="1">DCOUNTA($B$1:$D$995,$C$1,T51:V52)</f>
        <v>0</v>
      </c>
      <c r="X11" s="19">
        <v>8</v>
      </c>
      <c r="Y11" s="10">
        <f ca="1">+DCOUNTA($B$1:$D$995,$C$1,X122:Z123)</f>
        <v>0</v>
      </c>
      <c r="Z11" s="10">
        <f ca="1">+DCOUNTA($B$1:$D$995,$C$1,X324:Z325)</f>
        <v>0</v>
      </c>
    </row>
    <row r="12" spans="1:26" ht="13.5" thickBot="1">
      <c r="E12" s="19">
        <v>9</v>
      </c>
      <c r="F12" s="10">
        <f ca="1">+DCOUNTA($B$1:$C$995,$C$1,E124:G125)</f>
        <v>0</v>
      </c>
      <c r="G12" s="10">
        <f ca="1">+DCOUNTA($B$1:$C$995,$C$1,E326:G327)</f>
        <v>0</v>
      </c>
      <c r="H12" s="5"/>
      <c r="I12" s="19">
        <v>9</v>
      </c>
      <c r="J12" s="10">
        <f ca="1">+DCOUNTA($B$1:$D$995,$C$1,I124:K125)</f>
        <v>0</v>
      </c>
      <c r="K12" s="10">
        <f ca="1">+DCOUNTA($B$1:$D$995,$C$1,I326:K327)</f>
        <v>0</v>
      </c>
      <c r="L12" s="5"/>
      <c r="M12" s="11">
        <v>27</v>
      </c>
      <c r="N12" s="10">
        <f ca="1">DCOUNTA($B$1:$D$995,$C$1,N107:P108)</f>
        <v>0</v>
      </c>
      <c r="O12" s="10">
        <f ca="1">DCOUNTA($B$1:$D$995,$C$1,N53:P54)</f>
        <v>0</v>
      </c>
      <c r="P12" s="10">
        <f t="shared" ca="1" si="1"/>
        <v>0</v>
      </c>
      <c r="S12" s="11">
        <v>27</v>
      </c>
      <c r="T12" s="10">
        <f ca="1">DCOUNTA($B$1:$D$995,$C$1,T53:V54)</f>
        <v>0</v>
      </c>
      <c r="X12" s="19">
        <v>9</v>
      </c>
      <c r="Y12" s="10">
        <f ca="1">+DCOUNTA($B$1:$D$995,$C$1,X124:Z125)</f>
        <v>0</v>
      </c>
      <c r="Z12" s="10">
        <f ca="1">+DCOUNTA($B$1:$D$995,$C$1,X326:Z327)</f>
        <v>0</v>
      </c>
    </row>
    <row r="13" spans="1:26" ht="13.5" thickBot="1">
      <c r="E13" s="19">
        <v>10</v>
      </c>
      <c r="F13" s="10">
        <f ca="1">+DCOUNTA($B$1:$C$995,$C$1,E126:G127)</f>
        <v>0</v>
      </c>
      <c r="G13" s="10">
        <f ca="1">+DCOUNTA($B$1:$C$995,$C$1,E328:G329)</f>
        <v>0</v>
      </c>
      <c r="H13" s="5"/>
      <c r="I13" s="19">
        <v>10</v>
      </c>
      <c r="J13" s="10">
        <f ca="1">+DCOUNTA($B$1:$D$995,$C$1,I126:K127)</f>
        <v>0</v>
      </c>
      <c r="K13" s="10">
        <f ca="1">+DCOUNTA($B$1:$D$995,$C$1,I328:K329)</f>
        <v>0</v>
      </c>
      <c r="L13" s="5"/>
      <c r="M13" s="11">
        <v>28</v>
      </c>
      <c r="N13" s="10">
        <f ca="1">DCOUNTA($B$1:$D$995,$C$1,N109:P110)</f>
        <v>0</v>
      </c>
      <c r="O13" s="10">
        <f ca="1">DCOUNTA($B$1:$D$995,$C$1,N55:P56)</f>
        <v>0</v>
      </c>
      <c r="P13" s="10">
        <f t="shared" ca="1" si="1"/>
        <v>0</v>
      </c>
      <c r="S13" s="11">
        <v>28</v>
      </c>
      <c r="T13" s="10">
        <f ca="1">DCOUNTA($B$1:$D$995,$C$1,T55:V56)</f>
        <v>0</v>
      </c>
      <c r="X13" s="19">
        <v>10</v>
      </c>
      <c r="Y13" s="10">
        <f ca="1">+DCOUNTA($B$1:$D$995,$C$1,X126:Z127)</f>
        <v>0</v>
      </c>
      <c r="Z13" s="10">
        <f ca="1">+DCOUNTA($B$1:$D$995,$C$1,X328:Z329)</f>
        <v>0</v>
      </c>
    </row>
    <row r="14" spans="1:26" ht="13.5" thickBot="1">
      <c r="E14" s="19">
        <v>11</v>
      </c>
      <c r="F14" s="10">
        <f ca="1">+DCOUNTA($B$1:$C$995,$C$1,E128:G129)</f>
        <v>0</v>
      </c>
      <c r="G14" s="10">
        <f ca="1">+DCOUNTA($B$1:$C$995,$C$1,E330:G331)</f>
        <v>0</v>
      </c>
      <c r="H14" s="5"/>
      <c r="I14" s="19">
        <v>11</v>
      </c>
      <c r="J14" s="10">
        <f ca="1">+DCOUNTA($B$1:$D$995,$C$1,I128:K129)</f>
        <v>0</v>
      </c>
      <c r="K14" s="10">
        <f ca="1">+DCOUNTA($B$1:$D$995,$C$1,I330:K331)</f>
        <v>0</v>
      </c>
      <c r="L14" s="5"/>
      <c r="M14" s="11">
        <v>29</v>
      </c>
      <c r="N14" s="10">
        <f ca="1">DCOUNTA($B$1:$D$995,$C$1,N111:P112)</f>
        <v>0</v>
      </c>
      <c r="O14" s="10">
        <f ca="1">DCOUNTA($B$1:$D$995,$C$1,N57:P58)</f>
        <v>0</v>
      </c>
      <c r="P14" s="10">
        <f t="shared" ca="1" si="1"/>
        <v>0</v>
      </c>
      <c r="S14" s="11">
        <v>29</v>
      </c>
      <c r="T14" s="10">
        <f ca="1">DCOUNTA($B$1:$D$995,$C$1,T57:V58)</f>
        <v>0</v>
      </c>
      <c r="X14" s="19">
        <v>11</v>
      </c>
      <c r="Y14" s="10">
        <f ca="1">+DCOUNTA($B$1:$D$995,$C$1,X128:Z129)</f>
        <v>0</v>
      </c>
      <c r="Z14" s="10">
        <f ca="1">+DCOUNTA($B$1:$D$995,$C$1,X330:Z331)</f>
        <v>0</v>
      </c>
    </row>
    <row r="15" spans="1:26" ht="13.5" thickBot="1">
      <c r="E15" s="19">
        <v>12</v>
      </c>
      <c r="F15" s="10">
        <f ca="1">+DCOUNTA($B$1:$C$995,$C$1,E130:G131)</f>
        <v>0</v>
      </c>
      <c r="G15" s="10">
        <f ca="1">+DCOUNTA($B$1:$C$995,$C$1,E332:G333)</f>
        <v>0</v>
      </c>
      <c r="H15" s="5"/>
      <c r="I15" s="19">
        <v>12</v>
      </c>
      <c r="J15" s="10">
        <f ca="1">+DCOUNTA($B$1:$D$995,$C$1,I130:K131)</f>
        <v>0</v>
      </c>
      <c r="K15" s="10">
        <f ca="1">+DCOUNTA($B$1:$D$995,$C$1,I332:K333)</f>
        <v>0</v>
      </c>
      <c r="L15" s="5"/>
      <c r="M15" s="11">
        <v>30</v>
      </c>
      <c r="N15" s="10">
        <f ca="1">DCOUNTA($B$1:$D$995,$C$1,N113:P114)</f>
        <v>0</v>
      </c>
      <c r="O15" s="10">
        <f ca="1">DCOUNTA($B$1:$D$995,$C$1,N59:P60)</f>
        <v>0</v>
      </c>
      <c r="P15" s="10">
        <f t="shared" ca="1" si="1"/>
        <v>0</v>
      </c>
      <c r="S15" s="11">
        <v>30</v>
      </c>
      <c r="T15" s="10">
        <f ca="1">DCOUNTA($B$1:$D$995,$C$1,T59:V60)</f>
        <v>0</v>
      </c>
      <c r="X15" s="19">
        <v>12</v>
      </c>
      <c r="Y15" s="10">
        <f ca="1">+DCOUNTA($B$1:$D$995,$C$1,X130:Z131)</f>
        <v>0</v>
      </c>
      <c r="Z15" s="10">
        <f ca="1">+DCOUNTA($B$1:$D$995,$C$1,X332:Z333)</f>
        <v>0</v>
      </c>
    </row>
    <row r="16" spans="1:26" ht="13.5" thickBot="1">
      <c r="E16" s="19">
        <v>13</v>
      </c>
      <c r="F16" s="10">
        <f ca="1">+DCOUNTA($B$1:$C$995,$C$1,E132:G133)</f>
        <v>0</v>
      </c>
      <c r="G16" s="10">
        <f ca="1">+DCOUNTA($B$1:$C$995,$C$1,E334:G335)</f>
        <v>0</v>
      </c>
      <c r="H16" s="5"/>
      <c r="I16" s="19">
        <v>13</v>
      </c>
      <c r="J16" s="10">
        <f ca="1">+DCOUNTA($B$1:$D$995,$C$1,I132:K133)</f>
        <v>0</v>
      </c>
      <c r="K16" s="10">
        <f ca="1">+DCOUNTA($B$1:$D$995,$C$1,I334:K335)</f>
        <v>0</v>
      </c>
      <c r="L16" s="5"/>
      <c r="M16" s="11">
        <v>31</v>
      </c>
      <c r="N16" s="10">
        <f ca="1">DCOUNTA($B$1:$D$995,$C$1,N115:P116)</f>
        <v>0</v>
      </c>
      <c r="O16" s="10">
        <f ca="1">DCOUNTA($B$1:$D$995,$C$1,N61:P62)</f>
        <v>0</v>
      </c>
      <c r="P16" s="10">
        <f t="shared" ca="1" si="1"/>
        <v>0</v>
      </c>
      <c r="S16" s="11">
        <v>31</v>
      </c>
      <c r="T16" s="10">
        <f ca="1">DCOUNTA($B$1:$D$995,$C$1,T61:V62)</f>
        <v>0</v>
      </c>
      <c r="X16" s="19">
        <v>13</v>
      </c>
      <c r="Y16" s="10">
        <f ca="1">+DCOUNTA($B$1:$D$995,$C$1,X132:Z133)</f>
        <v>0</v>
      </c>
      <c r="Z16" s="10">
        <f ca="1">+DCOUNTA($B$1:$D$995,$C$1,X334:Z335)</f>
        <v>0</v>
      </c>
    </row>
    <row r="17" spans="5:26" ht="13.5" thickBot="1">
      <c r="E17" s="19">
        <v>14</v>
      </c>
      <c r="F17" s="10">
        <f ca="1">+DCOUNTA($B$1:$C$995,$C$1,E134:G135)</f>
        <v>0</v>
      </c>
      <c r="G17" s="10">
        <f ca="1">+DCOUNTA($B$1:$C$995,$C$1,E336:G337)</f>
        <v>0</v>
      </c>
      <c r="H17" s="5"/>
      <c r="I17" s="19">
        <v>14</v>
      </c>
      <c r="J17" s="10">
        <f ca="1">+DCOUNTA($B$1:$D$995,$C$1,I134:K135)</f>
        <v>0</v>
      </c>
      <c r="K17" s="10">
        <f ca="1">+DCOUNTA($B$1:$D$995,$C$1,I336:K337)</f>
        <v>0</v>
      </c>
      <c r="L17" s="5"/>
      <c r="M17" s="11">
        <v>32</v>
      </c>
      <c r="N17" s="10">
        <f ca="1">DCOUNTA($B$1:$D$995,$C$1,N117:P118)</f>
        <v>0</v>
      </c>
      <c r="O17" s="10">
        <f ca="1">DCOUNTA($B$1:$D$995,$C$1,N63:P64)</f>
        <v>0</v>
      </c>
      <c r="P17" s="10">
        <f t="shared" ca="1" si="1"/>
        <v>0</v>
      </c>
      <c r="S17" s="11">
        <v>32</v>
      </c>
      <c r="T17" s="10">
        <f ca="1">DCOUNTA($B$1:$D$995,$C$1,T63:V64)</f>
        <v>0</v>
      </c>
      <c r="X17" s="19">
        <v>14</v>
      </c>
      <c r="Y17" s="10">
        <f ca="1">+DCOUNTA($B$1:$D$995,$C$1,X134:Z135)</f>
        <v>0</v>
      </c>
      <c r="Z17" s="10">
        <f ca="1">+DCOUNTA($B$1:$D$995,$C$1,X336:Z337)</f>
        <v>0</v>
      </c>
    </row>
    <row r="18" spans="5:26" ht="13.5" thickBot="1">
      <c r="E18" s="19">
        <v>15</v>
      </c>
      <c r="F18" s="10">
        <f ca="1">+DCOUNTA($B$1:$C$995,$C$1,E136:G137)</f>
        <v>0</v>
      </c>
      <c r="G18" s="10">
        <f ca="1">+DCOUNTA($B$1:$C$995,$C$1,E338:G339)</f>
        <v>0</v>
      </c>
      <c r="H18" s="5"/>
      <c r="I18" s="19">
        <v>15</v>
      </c>
      <c r="J18" s="10">
        <f ca="1">+DCOUNTA($B$1:$D$995,$C$1,I136:K137)</f>
        <v>0</v>
      </c>
      <c r="K18" s="10">
        <f ca="1">+DCOUNTA($B$1:$D$995,$C$1,I338:K339)</f>
        <v>0</v>
      </c>
      <c r="L18" s="5"/>
      <c r="M18" s="11">
        <v>33</v>
      </c>
      <c r="N18" s="10">
        <f ca="1">DCOUNTA($B$1:$D$995,$C$1,N119:P120)</f>
        <v>0</v>
      </c>
      <c r="O18" s="10">
        <f ca="1">DCOUNTA($B$1:$D$995,$C$1,N65:P66)</f>
        <v>0</v>
      </c>
      <c r="P18" s="10">
        <f t="shared" ca="1" si="1"/>
        <v>0</v>
      </c>
      <c r="S18" s="11">
        <v>33</v>
      </c>
      <c r="T18" s="10">
        <f ca="1">DCOUNTA($B$1:$D$995,$C$1,T65:V66)</f>
        <v>0</v>
      </c>
      <c r="X18" s="19">
        <v>15</v>
      </c>
      <c r="Y18" s="10">
        <f ca="1">+DCOUNTA($B$1:$D$995,$C$1,X136:Z137)</f>
        <v>0</v>
      </c>
      <c r="Z18" s="10">
        <f ca="1">+DCOUNTA($B$1:$D$995,$C$1,X338:Z339)</f>
        <v>0</v>
      </c>
    </row>
    <row r="19" spans="5:26" ht="13.5" thickBot="1">
      <c r="E19" s="19">
        <v>16</v>
      </c>
      <c r="F19" s="10">
        <f ca="1">+DCOUNTA($B$1:$C$995,$C$1,E138:G139)</f>
        <v>0</v>
      </c>
      <c r="G19" s="10">
        <f ca="1">+DCOUNTA($B$1:$C$995,$C$1,E340:G341)</f>
        <v>0</v>
      </c>
      <c r="H19" s="5"/>
      <c r="I19" s="19">
        <v>16</v>
      </c>
      <c r="J19" s="10">
        <f ca="1">+DCOUNTA($B$1:$D$995,$C$1,I138:K139)</f>
        <v>0</v>
      </c>
      <c r="K19" s="10">
        <f ca="1">+DCOUNTA($B$1:$D$995,$C$1,I340:K341)</f>
        <v>0</v>
      </c>
      <c r="L19" s="5"/>
      <c r="M19" s="11">
        <v>34</v>
      </c>
      <c r="N19" s="10">
        <f ca="1">DCOUNTA($B$1:$D$995,$C$1,N121:P122)</f>
        <v>0</v>
      </c>
      <c r="O19" s="10">
        <f ca="1">DCOUNTA($B$1:$D$995,$C$1,N67:P68)</f>
        <v>0</v>
      </c>
      <c r="P19" s="10">
        <f t="shared" ca="1" si="1"/>
        <v>0</v>
      </c>
      <c r="S19" s="11">
        <v>34</v>
      </c>
      <c r="T19" s="10">
        <f ca="1">DCOUNTA($B$1:$D$995,$C$1,T67:V68)</f>
        <v>0</v>
      </c>
      <c r="X19" s="19">
        <v>16</v>
      </c>
      <c r="Y19" s="10">
        <f ca="1">+DCOUNTA($B$1:$D$995,$C$1,X138:Z139)</f>
        <v>0</v>
      </c>
      <c r="Z19" s="10">
        <f ca="1">+DCOUNTA($B$1:$D$995,$C$1,X340:Z341)</f>
        <v>0</v>
      </c>
    </row>
    <row r="20" spans="5:26" ht="13.5" thickBot="1">
      <c r="E20" s="19">
        <v>17</v>
      </c>
      <c r="F20" s="10">
        <f ca="1">+DCOUNTA($B$1:$C$995,$C$1,E140:G141)</f>
        <v>0</v>
      </c>
      <c r="G20" s="10">
        <f ca="1">+DCOUNTA($B$1:$C$995,$C$1,E342:G343)</f>
        <v>0</v>
      </c>
      <c r="H20" s="5"/>
      <c r="I20" s="19">
        <v>17</v>
      </c>
      <c r="J20" s="10">
        <f ca="1">+DCOUNTA($B$1:$D$995,$C$1,I140:K141)</f>
        <v>0</v>
      </c>
      <c r="K20" s="10">
        <f ca="1">+DCOUNTA($B$1:$D$995,$C$1,I342:K343)</f>
        <v>0</v>
      </c>
      <c r="L20" s="5"/>
      <c r="M20" s="11">
        <v>35</v>
      </c>
      <c r="N20" s="10">
        <f ca="1">DCOUNTA($B$1:$D$995,$C$1,N123:P124)</f>
        <v>0</v>
      </c>
      <c r="O20" s="10">
        <f ca="1">DCOUNTA($B$1:$D$995,$C$1,N69:P70)</f>
        <v>0</v>
      </c>
      <c r="P20" s="10">
        <f t="shared" ca="1" si="1"/>
        <v>0</v>
      </c>
      <c r="S20" s="11">
        <v>35</v>
      </c>
      <c r="T20" s="10">
        <f ca="1">DCOUNTA($B$1:$D$995,$C$1,T69:V70)</f>
        <v>0</v>
      </c>
      <c r="X20" s="19">
        <v>17</v>
      </c>
      <c r="Y20" s="10">
        <f ca="1">+DCOUNTA($B$1:$D$995,$C$1,X140:Z141)</f>
        <v>0</v>
      </c>
      <c r="Z20" s="10">
        <f ca="1">+DCOUNTA($B$1:$D$995,$C$1,X342:Z343)</f>
        <v>0</v>
      </c>
    </row>
    <row r="21" spans="5:26" ht="13.5" thickBot="1">
      <c r="E21" s="19">
        <v>18</v>
      </c>
      <c r="F21" s="10">
        <f ca="1">+DCOUNTA($B$1:$C$995,$C$1,E142:G143)</f>
        <v>0</v>
      </c>
      <c r="G21" s="10">
        <f ca="1">+DCOUNTA($B$1:$C$995,$C$1,E344:G345)</f>
        <v>0</v>
      </c>
      <c r="H21" s="5"/>
      <c r="I21" s="19">
        <v>18</v>
      </c>
      <c r="J21" s="10">
        <f ca="1">+DCOUNTA($B$1:$D$995,$C$1,I142:K143)</f>
        <v>0</v>
      </c>
      <c r="K21" s="10">
        <f ca="1">+DCOUNTA($B$1:$D$995,$C$1,I344:K345)</f>
        <v>0</v>
      </c>
      <c r="L21" s="5"/>
      <c r="M21" s="11">
        <v>36</v>
      </c>
      <c r="N21" s="10">
        <f ca="1">DCOUNTA($B$1:$D$995,$C$1,N125:P126)</f>
        <v>0</v>
      </c>
      <c r="O21" s="10">
        <f ca="1">DCOUNTA($B$1:$D$995,$C$1,N71:P72)</f>
        <v>0</v>
      </c>
      <c r="P21" s="10">
        <f t="shared" ca="1" si="1"/>
        <v>0</v>
      </c>
      <c r="S21" s="11">
        <v>36</v>
      </c>
      <c r="T21" s="10">
        <f ca="1">DCOUNTA($B$1:$D$995,$C$1,T71:V72)</f>
        <v>0</v>
      </c>
      <c r="X21" s="19">
        <v>18</v>
      </c>
      <c r="Y21" s="10">
        <f ca="1">+DCOUNTA($B$1:$D$995,$C$1,X142:Z143)</f>
        <v>0</v>
      </c>
      <c r="Z21" s="10">
        <f ca="1">+DCOUNTA($B$1:$D$995,$C$1,X344:Z345)</f>
        <v>0</v>
      </c>
    </row>
    <row r="22" spans="5:26" ht="13.5" thickBot="1">
      <c r="E22" s="19">
        <v>19</v>
      </c>
      <c r="F22" s="10">
        <f ca="1">+DCOUNTA($B$1:$C$995,$C$1,E144:G145)</f>
        <v>0</v>
      </c>
      <c r="G22" s="10">
        <f ca="1">+DCOUNTA($B$1:$C$995,$C$1,E346:G347)</f>
        <v>0</v>
      </c>
      <c r="H22" s="5"/>
      <c r="I22" s="19">
        <v>19</v>
      </c>
      <c r="J22" s="10">
        <f ca="1">+DCOUNTA($B$1:$D$995,$C$1,I144:K145)</f>
        <v>0</v>
      </c>
      <c r="K22" s="10">
        <f ca="1">+DCOUNTA($B$1:$D$995,$C$1,I346:K347)</f>
        <v>0</v>
      </c>
      <c r="L22" s="5"/>
      <c r="M22" s="11">
        <v>37</v>
      </c>
      <c r="N22" s="10">
        <f ca="1">DCOUNTA($B$1:$D$995,$C$1,N127:P128)</f>
        <v>0</v>
      </c>
      <c r="O22" s="10">
        <f ca="1">DCOUNTA($B$1:$D$995,$C$1,N73:P74)</f>
        <v>0</v>
      </c>
      <c r="P22" s="10">
        <f t="shared" ca="1" si="1"/>
        <v>0</v>
      </c>
      <c r="S22" s="11">
        <v>37</v>
      </c>
      <c r="T22" s="10">
        <f ca="1">DCOUNTA($B$1:$D$995,$C$1,T73:V74)</f>
        <v>0</v>
      </c>
      <c r="X22" s="19">
        <v>19</v>
      </c>
      <c r="Y22" s="10">
        <f ca="1">+DCOUNTA($B$1:$D$995,$C$1,X144:Z145)</f>
        <v>0</v>
      </c>
      <c r="Z22" s="10">
        <f ca="1">+DCOUNTA($B$1:$D$995,$C$1,X346:Z347)</f>
        <v>0</v>
      </c>
    </row>
    <row r="23" spans="5:26" ht="13.5" thickBot="1">
      <c r="E23" s="11">
        <v>20</v>
      </c>
      <c r="F23" s="10">
        <f ca="1">+DCOUNTA($B$1:$C$995,$C$1,E146:G147)</f>
        <v>0</v>
      </c>
      <c r="G23" s="10">
        <f ca="1">+DCOUNTA($B$1:$C$995,$C$1,E348:G349)</f>
        <v>0</v>
      </c>
      <c r="H23" s="5"/>
      <c r="I23" s="11">
        <v>20</v>
      </c>
      <c r="J23" s="10">
        <f ca="1">+DCOUNTA($B$1:$D$995,$C$1,I146:K147)</f>
        <v>0</v>
      </c>
      <c r="K23" s="10">
        <f ca="1">+DCOUNTA($B$1:$D$995,$C$1,I348:K349)</f>
        <v>0</v>
      </c>
      <c r="L23" s="5"/>
      <c r="M23" s="11">
        <v>38</v>
      </c>
      <c r="N23" s="10">
        <f ca="1">DCOUNTA($B$1:$D$995,$C$1,N129:P130)</f>
        <v>0</v>
      </c>
      <c r="O23" s="10">
        <f ca="1">DCOUNTA($B$1:$D$995,$C$1,N75:P76)</f>
        <v>0</v>
      </c>
      <c r="P23" s="10">
        <f t="shared" ca="1" si="1"/>
        <v>0</v>
      </c>
      <c r="S23" s="11">
        <v>38</v>
      </c>
      <c r="T23" s="10">
        <f ca="1">DCOUNTA($B$1:$D$995,$C$1,T75:V76)</f>
        <v>0</v>
      </c>
      <c r="X23" s="11">
        <v>20</v>
      </c>
      <c r="Y23" s="10">
        <f ca="1">+DCOUNTA($B$1:$D$995,$C$1,X146:Z147)</f>
        <v>0</v>
      </c>
      <c r="Z23" s="10">
        <f ca="1">+DCOUNTA($B$1:$D$995,$C$1,X348:Z349)</f>
        <v>0</v>
      </c>
    </row>
    <row r="24" spans="5:26" ht="13.5" thickBot="1">
      <c r="E24" s="11">
        <v>21</v>
      </c>
      <c r="F24" s="10">
        <f ca="1">+DCOUNTA($B$1:$C$995,$C$1,E148:G149)</f>
        <v>0</v>
      </c>
      <c r="G24" s="10">
        <f ca="1">+DCOUNTA($B$1:$C$995,$C$1,E350:G351)</f>
        <v>0</v>
      </c>
      <c r="H24" s="5"/>
      <c r="I24" s="11">
        <v>21</v>
      </c>
      <c r="J24" s="10">
        <f ca="1">+DCOUNTA($B$1:$D$995,$C$1,I148:K149)</f>
        <v>0</v>
      </c>
      <c r="K24" s="10">
        <f ca="1">+DCOUNTA($B$1:$D$995,$C$1,I350:K351)</f>
        <v>0</v>
      </c>
      <c r="L24" s="5"/>
      <c r="M24" s="11">
        <v>39</v>
      </c>
      <c r="N24" s="10">
        <f ca="1">DCOUNTA($B$1:$D$995,$C$1,N131:P132)</f>
        <v>0</v>
      </c>
      <c r="O24" s="10">
        <f ca="1">DCOUNTA($B$1:$D$995,$C$1,N77:P78)</f>
        <v>0</v>
      </c>
      <c r="P24" s="10">
        <f t="shared" ca="1" si="1"/>
        <v>0</v>
      </c>
      <c r="S24" s="11">
        <v>39</v>
      </c>
      <c r="T24" s="10">
        <f ca="1">DCOUNTA($B$1:$D$995,$C$1,T77:V78)</f>
        <v>0</v>
      </c>
      <c r="X24" s="11">
        <v>21</v>
      </c>
      <c r="Y24" s="10">
        <f ca="1">+DCOUNTA($B$1:$D$995,$C$1,X148:Z149)</f>
        <v>0</v>
      </c>
      <c r="Z24" s="10">
        <f ca="1">+DCOUNTA($B$1:$D$995,$C$1,X350:Z351)</f>
        <v>0</v>
      </c>
    </row>
    <row r="25" spans="5:26" ht="13.5" thickBot="1">
      <c r="E25" s="11">
        <v>22</v>
      </c>
      <c r="F25" s="10">
        <f ca="1">+DCOUNTA($B$1:$C$995,$C$1,E150:G151)</f>
        <v>0</v>
      </c>
      <c r="G25" s="10">
        <f ca="1">+DCOUNTA($B$1:$C$995,$C$1,E352:G353)</f>
        <v>0</v>
      </c>
      <c r="H25" s="5"/>
      <c r="I25" s="11">
        <v>22</v>
      </c>
      <c r="J25" s="10">
        <f ca="1">+DCOUNTA($B$1:$D$995,$C$1,I150:K151)</f>
        <v>0</v>
      </c>
      <c r="K25" s="10">
        <f ca="1">+DCOUNTA($B$1:$D$995,$C$1,I352:K353)</f>
        <v>0</v>
      </c>
      <c r="L25" s="5"/>
      <c r="M25" s="11">
        <v>40</v>
      </c>
      <c r="N25" s="10">
        <f ca="1">DCOUNTA($B$1:$D$995,$C$1,N133:P134)</f>
        <v>0</v>
      </c>
      <c r="O25" s="10">
        <f ca="1">DCOUNTA($B$1:$D$995,$C$1,N79:P80)</f>
        <v>0</v>
      </c>
      <c r="P25" s="10">
        <f t="shared" ca="1" si="1"/>
        <v>0</v>
      </c>
      <c r="S25" s="11">
        <v>40</v>
      </c>
      <c r="T25" s="10">
        <f ca="1">DCOUNTA($B$1:$D$995,$C$1,T79:V80)</f>
        <v>0</v>
      </c>
      <c r="X25" s="11">
        <v>22</v>
      </c>
      <c r="Y25" s="10">
        <f ca="1">+DCOUNTA($B$1:$D$995,$C$1,X150:Z151)</f>
        <v>0</v>
      </c>
      <c r="Z25" s="10">
        <f ca="1">+DCOUNTA($B$1:$D$995,$C$1,X352:Z353)</f>
        <v>0</v>
      </c>
    </row>
    <row r="26" spans="5:26" ht="13.5" thickBot="1">
      <c r="E26" s="11">
        <v>23</v>
      </c>
      <c r="F26" s="10">
        <f ca="1">+DCOUNTA($B$1:$C$995,$C$1,E152:G153)</f>
        <v>0</v>
      </c>
      <c r="G26" s="10">
        <f ca="1">+DCOUNTA($B$1:$C$995,$C$1,E354:G355)</f>
        <v>0</v>
      </c>
      <c r="H26" s="5"/>
      <c r="I26" s="11">
        <v>23</v>
      </c>
      <c r="J26" s="10">
        <f ca="1">+DCOUNTA($B$1:$D$995,$C$1,I152:K153)</f>
        <v>0</v>
      </c>
      <c r="K26" s="10">
        <f ca="1">+DCOUNTA($B$1:$D$995,$C$1,I354:K355)</f>
        <v>0</v>
      </c>
      <c r="L26" s="5"/>
      <c r="M26" s="11">
        <v>41</v>
      </c>
      <c r="N26" s="10">
        <f ca="1">DCOUNTA($B$1:$D$995,$C$1,N135:P136)</f>
        <v>0</v>
      </c>
      <c r="O26" s="10">
        <f ca="1">DCOUNTA($B$1:$D$995,$C$1,N81:P82)</f>
        <v>0</v>
      </c>
      <c r="P26" s="10">
        <f t="shared" ca="1" si="1"/>
        <v>0</v>
      </c>
      <c r="S26" s="11">
        <v>41</v>
      </c>
      <c r="T26" s="10">
        <f ca="1">DCOUNTA($B$1:$D$995,$C$1,T81:V82)</f>
        <v>0</v>
      </c>
      <c r="X26" s="11">
        <v>23</v>
      </c>
      <c r="Y26" s="10">
        <f ca="1">+DCOUNTA($B$1:$D$995,$C$1,X152:Z153)</f>
        <v>0</v>
      </c>
      <c r="Z26" s="10">
        <f ca="1">+DCOUNTA($B$1:$D$995,$C$1,X354:Z355)</f>
        <v>0</v>
      </c>
    </row>
    <row r="27" spans="5:26" ht="13.5" thickBot="1">
      <c r="E27" s="11">
        <v>24</v>
      </c>
      <c r="F27" s="10">
        <f ca="1">+DCOUNTA($B$1:$C$995,$C$1,E154:G155)</f>
        <v>0</v>
      </c>
      <c r="G27" s="10">
        <f ca="1">+DCOUNTA($B$1:$C$995,$C$1,E356:G357)</f>
        <v>0</v>
      </c>
      <c r="H27" s="5"/>
      <c r="I27" s="11">
        <v>24</v>
      </c>
      <c r="J27" s="10">
        <f ca="1">+DCOUNTA($B$1:$D$995,$C$1,I154:K155)</f>
        <v>0</v>
      </c>
      <c r="K27" s="10">
        <f ca="1">+DCOUNTA($B$1:$D$995,$C$1,I356:K357)</f>
        <v>0</v>
      </c>
      <c r="L27" s="5"/>
      <c r="M27" s="11">
        <v>42</v>
      </c>
      <c r="N27" s="10">
        <f ca="1">DCOUNTA($B$1:$D$995,$C$1,N137:P138)</f>
        <v>0</v>
      </c>
      <c r="O27" s="10">
        <f ca="1">DCOUNTA($B$1:$D$995,$C$1,N83:P84)</f>
        <v>0</v>
      </c>
      <c r="P27" s="10">
        <f t="shared" ca="1" si="1"/>
        <v>0</v>
      </c>
      <c r="S27" s="11">
        <v>42</v>
      </c>
      <c r="T27" s="10">
        <f ca="1">DCOUNTA($B$1:$D$995,$C$1,T83:V84)</f>
        <v>0</v>
      </c>
      <c r="X27" s="11">
        <v>24</v>
      </c>
      <c r="Y27" s="10">
        <f ca="1">+DCOUNTA($B$1:$D$995,$C$1,X154:Z155)</f>
        <v>0</v>
      </c>
      <c r="Z27" s="10">
        <f ca="1">+DCOUNTA($B$1:$D$995,$C$1,X356:Z357)</f>
        <v>0</v>
      </c>
    </row>
    <row r="28" spans="5:26" ht="13.5" thickBot="1">
      <c r="E28" s="11">
        <v>25</v>
      </c>
      <c r="F28" s="10">
        <f ca="1">+DCOUNTA($B$1:$C$995,$C$1,E156:G157)</f>
        <v>0</v>
      </c>
      <c r="G28" s="10">
        <f ca="1">+DCOUNTA($B$1:$C$995,$C$1,E358:G359)</f>
        <v>0</v>
      </c>
      <c r="H28" s="5"/>
      <c r="I28" s="11">
        <v>25</v>
      </c>
      <c r="J28" s="10">
        <f ca="1">+DCOUNTA($B$1:$D$995,$C$1,I156:K157)</f>
        <v>0</v>
      </c>
      <c r="K28" s="10">
        <f ca="1">+DCOUNTA($B$1:$D$995,$C$1,I358:K359)</f>
        <v>0</v>
      </c>
      <c r="L28" s="5"/>
      <c r="M28" s="11">
        <v>43</v>
      </c>
      <c r="N28" s="10">
        <f ca="1">DCOUNTA($B$1:$D$995,$C$1,N139:P140)</f>
        <v>0</v>
      </c>
      <c r="O28" s="10">
        <f ca="1">DCOUNTA($B$1:$D$995,$C$1,N85:P86)</f>
        <v>0</v>
      </c>
      <c r="P28" s="10">
        <f t="shared" ca="1" si="1"/>
        <v>0</v>
      </c>
      <c r="S28" s="11">
        <v>43</v>
      </c>
      <c r="T28" s="10">
        <f ca="1">DCOUNTA($B$1:$D$995,$C$1,T85:V86)</f>
        <v>0</v>
      </c>
      <c r="X28" s="11">
        <v>25</v>
      </c>
      <c r="Y28" s="10">
        <f ca="1">+DCOUNTA($B$1:$D$995,$C$1,X156:Z157)</f>
        <v>0</v>
      </c>
      <c r="Z28" s="10">
        <f ca="1">+DCOUNTA($B$1:$D$995,$C$1,X358:Z359)</f>
        <v>0</v>
      </c>
    </row>
    <row r="29" spans="5:26" ht="13.5" thickBot="1">
      <c r="E29" s="11">
        <v>26</v>
      </c>
      <c r="F29" s="10">
        <f ca="1">+DCOUNTA($B$1:$C$995,$C$1,E158:G159)</f>
        <v>0</v>
      </c>
      <c r="G29" s="10">
        <f ca="1">+DCOUNTA($B$1:$C$995,$C$1,E360:G361)</f>
        <v>0</v>
      </c>
      <c r="H29" s="5"/>
      <c r="I29" s="11">
        <v>26</v>
      </c>
      <c r="J29" s="10">
        <f ca="1">+DCOUNTA($B$1:$D$995,$C$1,I158:K159)</f>
        <v>0</v>
      </c>
      <c r="K29" s="10">
        <f ca="1">+DCOUNTA($B$1:$D$995,$C$1,I360:K361)</f>
        <v>0</v>
      </c>
      <c r="L29" s="5"/>
      <c r="M29" s="11">
        <v>44</v>
      </c>
      <c r="N29" s="10">
        <f ca="1">DCOUNTA($B$1:$D$995,$C$1,N141:P142)</f>
        <v>0</v>
      </c>
      <c r="O29" s="10">
        <f ca="1">DCOUNTA($B$1:$D$995,$C$1,N87:P88)</f>
        <v>0</v>
      </c>
      <c r="P29" s="10">
        <f t="shared" ca="1" si="1"/>
        <v>0</v>
      </c>
      <c r="S29" s="11">
        <v>44</v>
      </c>
      <c r="T29" s="10">
        <f ca="1">DCOUNTA($B$1:$D$995,$C$1,T87:V88)</f>
        <v>0</v>
      </c>
      <c r="X29" s="11">
        <v>26</v>
      </c>
      <c r="Y29" s="10">
        <f ca="1">+DCOUNTA($B$1:$D$995,$C$1,X158:Z159)</f>
        <v>0</v>
      </c>
      <c r="Z29" s="10">
        <f ca="1">+DCOUNTA($B$1:$D$995,$C$1,X360:Z361)</f>
        <v>0</v>
      </c>
    </row>
    <row r="30" spans="5:26" ht="13.5" thickBot="1">
      <c r="E30" s="11">
        <v>27</v>
      </c>
      <c r="F30" s="10">
        <f ca="1">+DCOUNTA($B$1:$C$995,$C$1,E160:G161)</f>
        <v>0</v>
      </c>
      <c r="G30" s="10">
        <f ca="1">+DCOUNTA($B$1:$C$995,$C$1,E362:G363)</f>
        <v>0</v>
      </c>
      <c r="H30" s="5"/>
      <c r="I30" s="11">
        <v>27</v>
      </c>
      <c r="J30" s="10">
        <f ca="1">+DCOUNTA($B$1:$D$995,$C$1,I160:K161)</f>
        <v>0</v>
      </c>
      <c r="K30" s="10">
        <f ca="1">+DCOUNTA($B$1:$D$995,$C$1,I362:K363)</f>
        <v>0</v>
      </c>
      <c r="L30" s="5"/>
      <c r="M30" s="12" t="s">
        <v>52</v>
      </c>
      <c r="N30" s="14">
        <f ca="1">SUM(N3:N29)</f>
        <v>0</v>
      </c>
      <c r="O30" s="14">
        <f ca="1">SUM(O3:O29)</f>
        <v>0</v>
      </c>
      <c r="P30" s="14">
        <f ca="1">SUM(P3:P29)</f>
        <v>0</v>
      </c>
      <c r="S30" s="12" t="s">
        <v>52</v>
      </c>
      <c r="T30" s="14">
        <f ca="1">SUM(T3:T29)</f>
        <v>0</v>
      </c>
      <c r="X30" s="11">
        <v>27</v>
      </c>
      <c r="Y30" s="10">
        <f ca="1">+DCOUNTA($B$1:$D$995,$C$1,X160:Z161)</f>
        <v>0</v>
      </c>
      <c r="Z30" s="10">
        <f ca="1">+DCOUNTA($B$1:$D$995,$C$1,X362:Z363)</f>
        <v>0</v>
      </c>
    </row>
    <row r="31" spans="5:26" ht="13.5" thickBot="1">
      <c r="E31" s="11">
        <v>28</v>
      </c>
      <c r="F31" s="10">
        <f ca="1">+DCOUNTA($B$1:$C$995,$C$1,E162:G163)</f>
        <v>0</v>
      </c>
      <c r="G31" s="10">
        <f ca="1">+DCOUNTA($B$1:$C$995,$C$1,E364:G365)</f>
        <v>0</v>
      </c>
      <c r="H31" s="5"/>
      <c r="I31" s="11">
        <v>28</v>
      </c>
      <c r="J31" s="10">
        <f ca="1">+DCOUNTA($B$1:$D$995,$C$1,I162:K163)</f>
        <v>0</v>
      </c>
      <c r="K31" s="10">
        <f ca="1">+DCOUNTA($B$1:$D$995,$C$1,I364:K365)</f>
        <v>0</v>
      </c>
      <c r="L31" s="5"/>
      <c r="M31" s="11"/>
      <c r="N31" s="10"/>
      <c r="O31" s="10"/>
      <c r="P31" s="10"/>
      <c r="X31" s="11">
        <v>28</v>
      </c>
      <c r="Y31" s="10">
        <f ca="1">+DCOUNTA($B$1:$D$995,$C$1,X162:Z163)</f>
        <v>0</v>
      </c>
      <c r="Z31" s="10">
        <f ca="1">+DCOUNTA($B$1:$D$995,$C$1,X364:Z365)</f>
        <v>0</v>
      </c>
    </row>
    <row r="32" spans="5:26" ht="13.5" thickBot="1">
      <c r="E32" s="11">
        <v>29</v>
      </c>
      <c r="F32" s="10">
        <f ca="1">+DCOUNTA($B$1:$C$995,$C$1,E164:G165)</f>
        <v>0</v>
      </c>
      <c r="G32" s="10">
        <f ca="1">+DCOUNTA($B$1:$C$995,$C$1,E366:G367)</f>
        <v>0</v>
      </c>
      <c r="H32" s="5"/>
      <c r="I32" s="11">
        <v>29</v>
      </c>
      <c r="J32" s="10">
        <f ca="1">+DCOUNTA($B$1:$D$995,$C$1,I164:K165)</f>
        <v>0</v>
      </c>
      <c r="K32" s="10">
        <f ca="1">+DCOUNTA($B$1:$D$995,$C$1,I366:K367)</f>
        <v>0</v>
      </c>
      <c r="L32" s="5"/>
      <c r="X32" s="11">
        <v>29</v>
      </c>
      <c r="Y32" s="10">
        <f ca="1">+DCOUNTA($B$1:$D$995,$C$1,X164:Z165)</f>
        <v>0</v>
      </c>
      <c r="Z32" s="10">
        <f ca="1">+DCOUNTA($B$1:$D$995,$C$1,X366:Z367)</f>
        <v>0</v>
      </c>
    </row>
    <row r="33" spans="5:26" ht="13.5" thickBot="1">
      <c r="E33" s="11">
        <v>30</v>
      </c>
      <c r="F33" s="10">
        <f ca="1">+DCOUNTA($B$1:$C$995,$C$1,E166:G167)</f>
        <v>0</v>
      </c>
      <c r="G33" s="10">
        <f ca="1">+DCOUNTA($B$1:$C$995,$C$1,E368:G369)</f>
        <v>0</v>
      </c>
      <c r="H33" s="5"/>
      <c r="I33" s="11">
        <v>30</v>
      </c>
      <c r="J33" s="10">
        <f ca="1">+DCOUNTA($B$1:$D$995,$C$1,I166:K167)</f>
        <v>0</v>
      </c>
      <c r="K33" s="10">
        <f ca="1">+DCOUNTA($B$1:$D$995,$C$1,I368:K369)</f>
        <v>0</v>
      </c>
      <c r="L33" s="5"/>
      <c r="Q33" s="1"/>
      <c r="R33" s="1"/>
      <c r="X33" s="11">
        <v>30</v>
      </c>
      <c r="Y33" s="10">
        <f ca="1">+DCOUNTA($B$1:$D$995,$C$1,X166:Z167)</f>
        <v>0</v>
      </c>
      <c r="Z33" s="10">
        <f ca="1">+DCOUNTA($B$1:$D$995,$C$1,X368:Z369)</f>
        <v>0</v>
      </c>
    </row>
    <row r="34" spans="5:26" ht="13.5" thickBot="1">
      <c r="E34" s="11">
        <v>31</v>
      </c>
      <c r="F34" s="10">
        <f ca="1">+DCOUNTA($B$1:$C$995,$C$1,E168:G169)</f>
        <v>0</v>
      </c>
      <c r="G34" s="10">
        <f ca="1">+DCOUNTA($B$1:$C$995,$C$1,E370:G371)</f>
        <v>0</v>
      </c>
      <c r="H34" s="5"/>
      <c r="I34" s="11">
        <v>31</v>
      </c>
      <c r="J34" s="10">
        <f ca="1">+DCOUNTA($B$1:$D$995,$C$1,I168:K169)</f>
        <v>0</v>
      </c>
      <c r="K34" s="10">
        <f ca="1">+DCOUNTA($B$1:$D$995,$C$1,I370:K371)</f>
        <v>0</v>
      </c>
      <c r="L34" s="5"/>
      <c r="M34" s="1"/>
      <c r="Q34" s="1"/>
      <c r="R34" s="1"/>
      <c r="X34" s="11">
        <v>31</v>
      </c>
      <c r="Y34" s="10">
        <f ca="1">+DCOUNTA($B$1:$D$995,$C$1,X168:Z169)</f>
        <v>0</v>
      </c>
      <c r="Z34" s="10">
        <f ca="1">+DCOUNTA($B$1:$D$995,$C$1,X370:Z371)</f>
        <v>0</v>
      </c>
    </row>
    <row r="35" spans="5:26" ht="13.5" thickBot="1">
      <c r="E35" s="11">
        <v>32</v>
      </c>
      <c r="F35" s="10">
        <f ca="1">+DCOUNTA($B$1:$C$995,$C$1,E170:G171)</f>
        <v>0</v>
      </c>
      <c r="G35" s="10">
        <f ca="1">+DCOUNTA($B$1:$C$995,$C$1,E372:G373)</f>
        <v>0</v>
      </c>
      <c r="I35" s="11">
        <v>32</v>
      </c>
      <c r="J35" s="10">
        <f ca="1">+DCOUNTA($B$1:$D$995,$C$1,I170:K171)</f>
        <v>0</v>
      </c>
      <c r="K35" s="10">
        <f ca="1">+DCOUNTA($B$1:$D$995,$C$1,I372:K373)</f>
        <v>0</v>
      </c>
      <c r="L35" s="5"/>
      <c r="N35" s="1" t="s">
        <v>42</v>
      </c>
      <c r="O35" s="1" t="s">
        <v>44</v>
      </c>
      <c r="P35" s="1" t="s">
        <v>43</v>
      </c>
      <c r="Q35" s="1"/>
      <c r="R35" s="1"/>
      <c r="T35" s="1" t="s">
        <v>42</v>
      </c>
      <c r="U35" s="1" t="s">
        <v>44</v>
      </c>
      <c r="V35" s="1" t="s">
        <v>43</v>
      </c>
      <c r="X35" s="11">
        <v>32</v>
      </c>
      <c r="Y35" s="10">
        <f ca="1">+DCOUNTA($B$1:$D$995,$C$1,X170:Z171)</f>
        <v>0</v>
      </c>
      <c r="Z35" s="10">
        <f ca="1">+DCOUNTA($B$1:$D$995,$C$1,X372:Z373)</f>
        <v>0</v>
      </c>
    </row>
    <row r="36" spans="5:26" ht="13.5" thickBot="1">
      <c r="E36" s="11">
        <v>33</v>
      </c>
      <c r="F36" s="10">
        <f ca="1">+DCOUNTA($B$1:$C$995,$C$1,E172:G173)</f>
        <v>0</v>
      </c>
      <c r="G36" s="10">
        <f ca="1">+DCOUNTA($B$1:$C$995,$C$1,E374:G375)</f>
        <v>0</v>
      </c>
      <c r="I36" s="11">
        <v>33</v>
      </c>
      <c r="J36" s="10">
        <f ca="1">+DCOUNTA($B$1:$D$995,$C$1,I172:K173)</f>
        <v>0</v>
      </c>
      <c r="K36" s="10">
        <f ca="1">+DCOUNTA($B$1:$D$995,$C$1,I374:K375)</f>
        <v>0</v>
      </c>
      <c r="L36" s="5"/>
      <c r="N36">
        <v>18</v>
      </c>
      <c r="O36" s="1" t="s">
        <v>55</v>
      </c>
      <c r="P36" s="1" t="s">
        <v>64</v>
      </c>
      <c r="Q36" s="1"/>
      <c r="R36" s="1"/>
      <c r="T36">
        <v>18</v>
      </c>
      <c r="U36" s="1" t="s">
        <v>55</v>
      </c>
      <c r="V36" s="1" t="s">
        <v>56</v>
      </c>
      <c r="X36" s="11">
        <v>33</v>
      </c>
      <c r="Y36" s="10">
        <f ca="1">+DCOUNTA($B$1:$D$995,$C$1,X172:Z173)</f>
        <v>0</v>
      </c>
      <c r="Z36" s="10">
        <f ca="1">+DCOUNTA($B$1:$D$995,$C$1,X374:Z375)</f>
        <v>0</v>
      </c>
    </row>
    <row r="37" spans="5:26" ht="13.5" thickBot="1">
      <c r="E37" s="11">
        <v>34</v>
      </c>
      <c r="F37" s="10">
        <f ca="1">+DCOUNTA($B$1:$C$995,$C$1,E174:G175)</f>
        <v>0</v>
      </c>
      <c r="G37" s="10">
        <f ca="1">+DCOUNTA($B$1:$C$995,$C$1,E376:G377)</f>
        <v>0</v>
      </c>
      <c r="I37" s="11">
        <v>34</v>
      </c>
      <c r="J37" s="10">
        <f ca="1">+DCOUNTA($B$1:$D$995,$C$1,I174:K175)</f>
        <v>0</v>
      </c>
      <c r="K37" s="10">
        <f ca="1">+DCOUNTA($B$1:$D$995,$C$1,I376:K377)</f>
        <v>0</v>
      </c>
      <c r="M37" s="1"/>
      <c r="N37" s="1" t="s">
        <v>42</v>
      </c>
      <c r="O37" s="1" t="s">
        <v>44</v>
      </c>
      <c r="P37" s="1" t="s">
        <v>43</v>
      </c>
      <c r="Q37" s="1"/>
      <c r="R37" s="1"/>
      <c r="S37" s="1"/>
      <c r="T37" s="1" t="s">
        <v>42</v>
      </c>
      <c r="U37" s="1" t="s">
        <v>44</v>
      </c>
      <c r="V37" s="1" t="s">
        <v>43</v>
      </c>
      <c r="X37" s="11">
        <v>34</v>
      </c>
      <c r="Y37" s="10">
        <f ca="1">+DCOUNTA($B$1:$D$995,$C$1,X174:Z175)</f>
        <v>0</v>
      </c>
      <c r="Z37" s="10">
        <f ca="1">+DCOUNTA($B$1:$D$995,$C$1,X376:Z377)</f>
        <v>0</v>
      </c>
    </row>
    <row r="38" spans="5:26" ht="13.5" thickBot="1">
      <c r="E38" s="11">
        <v>35</v>
      </c>
      <c r="F38" s="10">
        <f ca="1">+DCOUNTA($B$1:$C$995,$C$1,E176:G177)</f>
        <v>0</v>
      </c>
      <c r="G38" s="10">
        <f ca="1">+DCOUNTA($B$1:$C$995,$C$1,E378:G379)</f>
        <v>0</v>
      </c>
      <c r="I38" s="11">
        <v>35</v>
      </c>
      <c r="J38" s="10">
        <f ca="1">+DCOUNTA($B$1:$D$995,$C$1,I176:K177)</f>
        <v>0</v>
      </c>
      <c r="K38" s="10">
        <f ca="1">+DCOUNTA($B$1:$D$995,$C$1,I378:K379)</f>
        <v>0</v>
      </c>
      <c r="M38" s="1"/>
      <c r="N38">
        <v>19</v>
      </c>
      <c r="O38" s="1" t="s">
        <v>55</v>
      </c>
      <c r="P38" s="1" t="s">
        <v>64</v>
      </c>
      <c r="Q38" s="1"/>
      <c r="R38" s="1"/>
      <c r="S38" s="1"/>
      <c r="T38">
        <v>19</v>
      </c>
      <c r="U38" s="1" t="s">
        <v>55</v>
      </c>
      <c r="V38" s="1" t="s">
        <v>56</v>
      </c>
      <c r="X38" s="11">
        <v>35</v>
      </c>
      <c r="Y38" s="10">
        <f ca="1">+DCOUNTA($B$1:$D$995,$C$1,X176:Z177)</f>
        <v>0</v>
      </c>
      <c r="Z38" s="10">
        <f ca="1">+DCOUNTA($B$1:$D$995,$C$1,X378:Z379)</f>
        <v>0</v>
      </c>
    </row>
    <row r="39" spans="5:26" ht="13.5" thickBot="1">
      <c r="E39" s="11">
        <v>36</v>
      </c>
      <c r="F39" s="10">
        <f ca="1">+DCOUNTA($B$1:$C$995,$C$1,E178:G179)</f>
        <v>0</v>
      </c>
      <c r="G39" s="10">
        <f ca="1">+DCOUNTA($B$1:$C$995,$C$1,E380:G381)</f>
        <v>0</v>
      </c>
      <c r="I39" s="11">
        <v>36</v>
      </c>
      <c r="J39" s="10">
        <f ca="1">+DCOUNTA($B$1:$D$995,$C$1,I178:K179)</f>
        <v>0</v>
      </c>
      <c r="K39" s="10">
        <f ca="1">+DCOUNTA($B$1:$D$995,$C$1,I380:K381)</f>
        <v>0</v>
      </c>
      <c r="M39" s="1"/>
      <c r="N39" s="1" t="s">
        <v>42</v>
      </c>
      <c r="O39" s="1" t="s">
        <v>44</v>
      </c>
      <c r="P39" s="1" t="s">
        <v>43</v>
      </c>
      <c r="Q39" s="1"/>
      <c r="R39" s="1"/>
      <c r="S39" s="1"/>
      <c r="T39" s="1" t="s">
        <v>42</v>
      </c>
      <c r="U39" s="1" t="s">
        <v>44</v>
      </c>
      <c r="V39" s="1" t="s">
        <v>43</v>
      </c>
      <c r="X39" s="11">
        <v>36</v>
      </c>
      <c r="Y39" s="10">
        <f ca="1">+DCOUNTA($B$1:$D$995,$C$1,X178:Z179)</f>
        <v>0</v>
      </c>
      <c r="Z39" s="10">
        <f ca="1">+DCOUNTA($B$1:$D$995,$C$1,X380:Z381)</f>
        <v>0</v>
      </c>
    </row>
    <row r="40" spans="5:26" ht="13.5" thickBot="1">
      <c r="E40" s="11">
        <v>37</v>
      </c>
      <c r="F40" s="10">
        <f ca="1">+DCOUNTA($B$1:$C$995,$C$1,E180:G181)</f>
        <v>0</v>
      </c>
      <c r="G40" s="10">
        <f ca="1">+DCOUNTA($B$1:$C$995,$C$1,E382:G383)</f>
        <v>0</v>
      </c>
      <c r="I40" s="11">
        <v>37</v>
      </c>
      <c r="J40" s="10">
        <f ca="1">+DCOUNTA($B$1:$D$995,$C$1,I180:K181)</f>
        <v>0</v>
      </c>
      <c r="K40" s="10">
        <f ca="1">+DCOUNTA($B$1:$D$995,$C$1,I382:K383)</f>
        <v>0</v>
      </c>
      <c r="M40" s="1"/>
      <c r="N40">
        <v>20</v>
      </c>
      <c r="O40" s="1" t="s">
        <v>55</v>
      </c>
      <c r="P40" s="1" t="s">
        <v>64</v>
      </c>
      <c r="Q40" s="1"/>
      <c r="R40" s="1"/>
      <c r="S40" s="1"/>
      <c r="T40">
        <v>20</v>
      </c>
      <c r="U40" s="1" t="s">
        <v>55</v>
      </c>
      <c r="V40" s="1" t="s">
        <v>56</v>
      </c>
      <c r="X40" s="11">
        <v>37</v>
      </c>
      <c r="Y40" s="10">
        <f ca="1">+DCOUNTA($B$1:$D$995,$C$1,X180:Z181)</f>
        <v>0</v>
      </c>
      <c r="Z40" s="10">
        <f ca="1">+DCOUNTA($B$1:$D$995,$C$1,X382:Z383)</f>
        <v>0</v>
      </c>
    </row>
    <row r="41" spans="5:26" ht="13.5" thickBot="1">
      <c r="E41" s="11">
        <v>38</v>
      </c>
      <c r="F41" s="10">
        <f ca="1">+DCOUNTA($B$1:$C$995,$C$1,E182:G183)</f>
        <v>0</v>
      </c>
      <c r="G41" s="10">
        <f ca="1">+DCOUNTA($B$1:$C$995,$C$1,E384:G385)</f>
        <v>0</v>
      </c>
      <c r="I41" s="11">
        <v>38</v>
      </c>
      <c r="J41" s="10">
        <f ca="1">+DCOUNTA($B$1:$D$995,$C$1,I182:K183)</f>
        <v>0</v>
      </c>
      <c r="K41" s="10">
        <f ca="1">+DCOUNTA($B$1:$D$995,$C$1,I384:K385)</f>
        <v>0</v>
      </c>
      <c r="M41" s="1"/>
      <c r="N41" s="1" t="s">
        <v>42</v>
      </c>
      <c r="O41" s="1" t="s">
        <v>44</v>
      </c>
      <c r="P41" s="1" t="s">
        <v>43</v>
      </c>
      <c r="Q41" s="1"/>
      <c r="R41" s="1"/>
      <c r="S41" s="1"/>
      <c r="T41" s="1" t="s">
        <v>42</v>
      </c>
      <c r="U41" s="1" t="s">
        <v>44</v>
      </c>
      <c r="V41" s="1" t="s">
        <v>43</v>
      </c>
      <c r="X41" s="11">
        <v>38</v>
      </c>
      <c r="Y41" s="10">
        <f ca="1">+DCOUNTA($B$1:$D$995,$C$1,X182:Z183)</f>
        <v>0</v>
      </c>
      <c r="Z41" s="10">
        <f ca="1">+DCOUNTA($B$1:$D$995,$C$1,X384:Z385)</f>
        <v>0</v>
      </c>
    </row>
    <row r="42" spans="5:26" ht="13.5" thickBot="1">
      <c r="E42" s="11">
        <v>39</v>
      </c>
      <c r="F42" s="10">
        <f ca="1">+DCOUNTA($B$1:$C$995,$C$1,E184:G185)</f>
        <v>0</v>
      </c>
      <c r="G42" s="10">
        <f ca="1">+DCOUNTA($B$1:$C$995,$C$1,E386:G387)</f>
        <v>0</v>
      </c>
      <c r="I42" s="11">
        <v>39</v>
      </c>
      <c r="J42" s="10">
        <f ca="1">+DCOUNTA($B$1:$D$995,$C$1,I184:K185)</f>
        <v>0</v>
      </c>
      <c r="K42" s="10">
        <f ca="1">+DCOUNTA($B$1:$D$995,$C$1,I386:K387)</f>
        <v>0</v>
      </c>
      <c r="M42" s="1"/>
      <c r="N42">
        <v>21</v>
      </c>
      <c r="O42" s="1" t="s">
        <v>55</v>
      </c>
      <c r="P42" s="1" t="s">
        <v>64</v>
      </c>
      <c r="Q42" s="1"/>
      <c r="R42" s="1"/>
      <c r="S42" s="1"/>
      <c r="T42">
        <v>21</v>
      </c>
      <c r="U42" s="1" t="s">
        <v>55</v>
      </c>
      <c r="V42" s="1" t="s">
        <v>56</v>
      </c>
      <c r="X42" s="11">
        <v>39</v>
      </c>
      <c r="Y42" s="10">
        <f ca="1">+DCOUNTA($B$1:$D$995,$C$1,X184:Z185)</f>
        <v>0</v>
      </c>
      <c r="Z42" s="10">
        <f ca="1">+DCOUNTA($B$1:$D$995,$C$1,X386:Z387)</f>
        <v>0</v>
      </c>
    </row>
    <row r="43" spans="5:26" ht="13.5" thickBot="1">
      <c r="E43" s="11">
        <v>40</v>
      </c>
      <c r="F43" s="10">
        <f ca="1">+DCOUNTA($B$1:$C$995,$C$1,E186:G187)</f>
        <v>0</v>
      </c>
      <c r="G43" s="10">
        <f ca="1">+DCOUNTA($B$1:$C$995,$C$1,E388:G389)</f>
        <v>0</v>
      </c>
      <c r="I43" s="11">
        <v>40</v>
      </c>
      <c r="J43" s="10">
        <f ca="1">+DCOUNTA($B$1:$D$995,$C$1,I186:K187)</f>
        <v>0</v>
      </c>
      <c r="K43" s="10">
        <f ca="1">+DCOUNTA($B$1:$D$995,$C$1,I388:K389)</f>
        <v>0</v>
      </c>
      <c r="M43" s="1"/>
      <c r="N43" s="1" t="s">
        <v>42</v>
      </c>
      <c r="O43" s="1" t="s">
        <v>44</v>
      </c>
      <c r="P43" s="1" t="s">
        <v>43</v>
      </c>
      <c r="Q43" s="1"/>
      <c r="R43" s="1"/>
      <c r="S43" s="1"/>
      <c r="T43" s="1" t="s">
        <v>42</v>
      </c>
      <c r="U43" s="1" t="s">
        <v>44</v>
      </c>
      <c r="V43" s="1" t="s">
        <v>43</v>
      </c>
      <c r="X43" s="11">
        <v>40</v>
      </c>
      <c r="Y43" s="10">
        <f ca="1">+DCOUNTA($B$1:$D$995,$C$1,X186:Z187)</f>
        <v>0</v>
      </c>
      <c r="Z43" s="10">
        <f ca="1">+DCOUNTA($B$1:$D$995,$C$1,X388:Z389)</f>
        <v>0</v>
      </c>
    </row>
    <row r="44" spans="5:26" ht="13.5" thickBot="1">
      <c r="E44" s="11">
        <v>41</v>
      </c>
      <c r="F44" s="10">
        <f ca="1">+DCOUNTA($B$1:$C$995,$C$1,E188:G189)</f>
        <v>0</v>
      </c>
      <c r="G44" s="10">
        <f ca="1">+DCOUNTA($B$1:$C$995,$C$1,E390:G391)</f>
        <v>0</v>
      </c>
      <c r="I44" s="11">
        <v>41</v>
      </c>
      <c r="J44" s="10">
        <f ca="1">+DCOUNTA($B$1:$D$995,$C$1,I188:K189)</f>
        <v>0</v>
      </c>
      <c r="K44" s="10">
        <f ca="1">+DCOUNTA($B$1:$D$995,$C$1,I390:K391)</f>
        <v>0</v>
      </c>
      <c r="M44" s="1"/>
      <c r="N44">
        <v>22</v>
      </c>
      <c r="O44" s="1" t="s">
        <v>55</v>
      </c>
      <c r="P44" s="1" t="s">
        <v>64</v>
      </c>
      <c r="Q44" s="1"/>
      <c r="R44" s="1"/>
      <c r="S44" s="1"/>
      <c r="T44">
        <v>22</v>
      </c>
      <c r="U44" s="1" t="s">
        <v>55</v>
      </c>
      <c r="V44" s="1" t="s">
        <v>56</v>
      </c>
      <c r="X44" s="11">
        <v>41</v>
      </c>
      <c r="Y44" s="10">
        <f ca="1">+DCOUNTA($B$1:$D$995,$C$1,X188:Z189)</f>
        <v>0</v>
      </c>
      <c r="Z44" s="10">
        <f ca="1">+DCOUNTA($B$1:$D$995,$C$1,X390:Z391)</f>
        <v>0</v>
      </c>
    </row>
    <row r="45" spans="5:26" ht="13.5" thickBot="1">
      <c r="E45" s="11">
        <v>42</v>
      </c>
      <c r="F45" s="10">
        <f ca="1">+DCOUNTA($B$1:$C$995,$C$1,E190:G191)</f>
        <v>0</v>
      </c>
      <c r="G45" s="10">
        <f ca="1">+DCOUNTA($B$1:$C$995,$C$1,E392:G393)</f>
        <v>0</v>
      </c>
      <c r="I45" s="11">
        <v>42</v>
      </c>
      <c r="J45" s="10">
        <f ca="1">+DCOUNTA($B$1:$D$995,$C$1,I190:K191)</f>
        <v>0</v>
      </c>
      <c r="K45" s="10">
        <f ca="1">+DCOUNTA($B$1:$D$995,$C$1,I392:K393)</f>
        <v>0</v>
      </c>
      <c r="M45" s="1"/>
      <c r="N45" s="1" t="s">
        <v>42</v>
      </c>
      <c r="O45" s="1" t="s">
        <v>44</v>
      </c>
      <c r="P45" s="1" t="s">
        <v>43</v>
      </c>
      <c r="Q45" s="1"/>
      <c r="R45" s="1"/>
      <c r="S45" s="1"/>
      <c r="T45" s="1" t="s">
        <v>42</v>
      </c>
      <c r="U45" s="1" t="s">
        <v>44</v>
      </c>
      <c r="V45" s="1" t="s">
        <v>43</v>
      </c>
      <c r="X45" s="11">
        <v>42</v>
      </c>
      <c r="Y45" s="10">
        <f ca="1">+DCOUNTA($B$1:$D$995,$C$1,X190:Z191)</f>
        <v>0</v>
      </c>
      <c r="Z45" s="10">
        <f ca="1">+DCOUNTA($B$1:$D$995,$C$1,X392:Z393)</f>
        <v>0</v>
      </c>
    </row>
    <row r="46" spans="5:26" ht="13.5" thickBot="1">
      <c r="E46" s="11">
        <v>43</v>
      </c>
      <c r="F46" s="10">
        <f ca="1">+DCOUNTA($B$1:$C$995,$C$1,E192:G193)</f>
        <v>0</v>
      </c>
      <c r="G46" s="10">
        <f ca="1">+DCOUNTA($B$1:$C$995,$C$1,E394:G395)</f>
        <v>0</v>
      </c>
      <c r="I46" s="11">
        <v>43</v>
      </c>
      <c r="J46" s="10">
        <f ca="1">+DCOUNTA($B$1:$D$995,$C$1,I192:K193)</f>
        <v>0</v>
      </c>
      <c r="K46" s="10">
        <f ca="1">+DCOUNTA($B$1:$D$995,$C$1,I394:K395)</f>
        <v>0</v>
      </c>
      <c r="M46" s="1"/>
      <c r="N46">
        <v>23</v>
      </c>
      <c r="O46" s="1" t="s">
        <v>55</v>
      </c>
      <c r="P46" s="1" t="s">
        <v>64</v>
      </c>
      <c r="Q46" s="1"/>
      <c r="R46" s="1"/>
      <c r="S46" s="1"/>
      <c r="T46">
        <v>23</v>
      </c>
      <c r="U46" s="1" t="s">
        <v>55</v>
      </c>
      <c r="V46" s="1" t="s">
        <v>56</v>
      </c>
      <c r="X46" s="11">
        <v>43</v>
      </c>
      <c r="Y46" s="10">
        <f ca="1">+DCOUNTA($B$1:$D$995,$C$1,X192:Z193)</f>
        <v>0</v>
      </c>
      <c r="Z46" s="10">
        <f ca="1">+DCOUNTA($B$1:$D$995,$C$1,X394:Z395)</f>
        <v>0</v>
      </c>
    </row>
    <row r="47" spans="5:26" ht="13.5" thickBot="1">
      <c r="E47" s="11">
        <v>44</v>
      </c>
      <c r="F47" s="10">
        <f ca="1">+DCOUNTA($B$1:$C$995,$C$1,E194:G195)</f>
        <v>0</v>
      </c>
      <c r="G47" s="10">
        <f ca="1">+DCOUNTA($B$1:$C$995,$C$1,E396:G397)</f>
        <v>0</v>
      </c>
      <c r="I47" s="11">
        <v>44</v>
      </c>
      <c r="J47" s="10">
        <f ca="1">+DCOUNTA($B$1:$D$995,$C$1,I194:K195)</f>
        <v>0</v>
      </c>
      <c r="K47" s="10">
        <f ca="1">+DCOUNTA($B$1:$D$995,$C$1,I396:K397)</f>
        <v>0</v>
      </c>
      <c r="M47" s="1"/>
      <c r="N47" s="1" t="s">
        <v>42</v>
      </c>
      <c r="O47" s="1" t="s">
        <v>44</v>
      </c>
      <c r="P47" s="1" t="s">
        <v>43</v>
      </c>
      <c r="Q47" s="1"/>
      <c r="R47" s="1"/>
      <c r="S47" s="1"/>
      <c r="T47" s="1" t="s">
        <v>42</v>
      </c>
      <c r="U47" s="1" t="s">
        <v>44</v>
      </c>
      <c r="V47" s="1" t="s">
        <v>43</v>
      </c>
      <c r="X47" s="11">
        <v>44</v>
      </c>
      <c r="Y47" s="10">
        <f ca="1">+DCOUNTA($B$1:$D$995,$C$1,X194:Z195)</f>
        <v>0</v>
      </c>
      <c r="Z47" s="10">
        <f ca="1">+DCOUNTA($B$1:$D$995,$C$1,X396:Z397)</f>
        <v>0</v>
      </c>
    </row>
    <row r="48" spans="5:26" ht="13.5" thickBot="1">
      <c r="E48" s="11">
        <v>45</v>
      </c>
      <c r="F48" s="10">
        <f ca="1">+DCOUNTA($B$1:$C$995,$C$1,E196:G197)</f>
        <v>0</v>
      </c>
      <c r="G48" s="10">
        <f ca="1">+DCOUNTA($B$1:$C$995,$C$1,E398:G399)</f>
        <v>0</v>
      </c>
      <c r="I48" s="11">
        <v>45</v>
      </c>
      <c r="J48" s="10">
        <f ca="1">+DCOUNTA($B$1:$D$995,$C$1,I196:K197)</f>
        <v>0</v>
      </c>
      <c r="K48" s="10">
        <f ca="1">+DCOUNTA($B$1:$D$995,$C$1,I398:K399)</f>
        <v>0</v>
      </c>
      <c r="M48" s="1"/>
      <c r="N48">
        <v>24</v>
      </c>
      <c r="O48" s="1" t="s">
        <v>55</v>
      </c>
      <c r="P48" s="1" t="s">
        <v>64</v>
      </c>
      <c r="Q48" s="1"/>
      <c r="R48" s="1"/>
      <c r="S48" s="1"/>
      <c r="T48">
        <v>24</v>
      </c>
      <c r="U48" s="1" t="s">
        <v>55</v>
      </c>
      <c r="V48" s="1" t="s">
        <v>56</v>
      </c>
      <c r="X48" s="11">
        <v>45</v>
      </c>
      <c r="Y48" s="10">
        <f ca="1">+DCOUNTA($B$1:$D$995,$C$1,X196:Z197)</f>
        <v>0</v>
      </c>
      <c r="Z48" s="10">
        <f ca="1">+DCOUNTA($B$1:$D$995,$C$1,X398:Z399)</f>
        <v>0</v>
      </c>
    </row>
    <row r="49" spans="5:29" ht="13.5" thickBot="1">
      <c r="E49" s="11">
        <v>46</v>
      </c>
      <c r="F49" s="10">
        <f ca="1">+DCOUNTA($B$1:$C$995,$C$1,E198:G199)</f>
        <v>0</v>
      </c>
      <c r="G49" s="10">
        <f ca="1">+DCOUNTA($B$1:$C$995,$C$1,E400:G401)</f>
        <v>0</v>
      </c>
      <c r="I49" s="11">
        <v>46</v>
      </c>
      <c r="J49" s="10">
        <f ca="1">+DCOUNTA($B$1:$D$995,$C$1,I198:K199)</f>
        <v>0</v>
      </c>
      <c r="K49" s="10">
        <f ca="1">+DCOUNTA($B$1:$D$995,$C$1,I400:K401)</f>
        <v>0</v>
      </c>
      <c r="M49" s="1"/>
      <c r="N49" s="1" t="s">
        <v>42</v>
      </c>
      <c r="O49" s="1" t="s">
        <v>44</v>
      </c>
      <c r="P49" s="1" t="s">
        <v>43</v>
      </c>
      <c r="Q49" s="1"/>
      <c r="R49" s="1"/>
      <c r="S49" s="1"/>
      <c r="T49" s="1" t="s">
        <v>42</v>
      </c>
      <c r="U49" s="1" t="s">
        <v>44</v>
      </c>
      <c r="V49" s="1" t="s">
        <v>43</v>
      </c>
      <c r="X49" s="11">
        <v>46</v>
      </c>
      <c r="Y49" s="10">
        <f ca="1">+DCOUNTA($B$1:$D$995,$C$1,X198:Z199)</f>
        <v>0</v>
      </c>
      <c r="Z49" s="10">
        <f ca="1">+DCOUNTA($B$1:$D$995,$C$1,X400:Z401)</f>
        <v>0</v>
      </c>
    </row>
    <row r="50" spans="5:29" ht="13.5" thickBot="1">
      <c r="E50" s="11">
        <v>47</v>
      </c>
      <c r="F50" s="10">
        <f ca="1">+DCOUNTA($B$1:$C$995,$C$1,E200:G201)</f>
        <v>0</v>
      </c>
      <c r="G50" s="10">
        <f ca="1">+DCOUNTA($B$1:$C$995,$C$1,E402:G403)</f>
        <v>0</v>
      </c>
      <c r="I50" s="11">
        <v>47</v>
      </c>
      <c r="J50" s="10">
        <f ca="1">+DCOUNTA($B$1:$D$995,$C$1,I200:K201)</f>
        <v>0</v>
      </c>
      <c r="K50" s="10">
        <f ca="1">+DCOUNTA($B$1:$D$995,$C$1,I402:K403)</f>
        <v>0</v>
      </c>
      <c r="M50" s="1"/>
      <c r="N50">
        <v>25</v>
      </c>
      <c r="O50" s="1" t="s">
        <v>55</v>
      </c>
      <c r="P50" s="1" t="s">
        <v>64</v>
      </c>
      <c r="Q50" s="1"/>
      <c r="R50" s="1"/>
      <c r="S50" s="1"/>
      <c r="T50">
        <v>25</v>
      </c>
      <c r="U50" s="1" t="s">
        <v>55</v>
      </c>
      <c r="V50" s="1" t="s">
        <v>56</v>
      </c>
      <c r="X50" s="11">
        <v>47</v>
      </c>
      <c r="Y50" s="10">
        <f ca="1">+DCOUNTA($B$1:$D$995,$C$1,X200:Z201)</f>
        <v>0</v>
      </c>
      <c r="Z50" s="10">
        <f ca="1">+DCOUNTA($B$1:$D$995,$C$1,X402:Z403)</f>
        <v>0</v>
      </c>
    </row>
    <row r="51" spans="5:29" ht="13.5" thickBot="1">
      <c r="E51" s="11">
        <v>48</v>
      </c>
      <c r="F51" s="10">
        <f ca="1">+DCOUNTA($B$1:$C$995,$C$1,E202:G203)</f>
        <v>0</v>
      </c>
      <c r="G51" s="10">
        <f ca="1">+DCOUNTA($B$1:$C$995,$C$1,E404:G405)</f>
        <v>0</v>
      </c>
      <c r="I51" s="11">
        <v>48</v>
      </c>
      <c r="J51" s="10">
        <f ca="1">+DCOUNTA($B$1:$D$995,$C$1,I202:K203)</f>
        <v>0</v>
      </c>
      <c r="K51" s="10">
        <f ca="1">+DCOUNTA($B$1:$D$995,$C$1,I404:K405)</f>
        <v>0</v>
      </c>
      <c r="M51" s="1"/>
      <c r="N51" s="1" t="s">
        <v>42</v>
      </c>
      <c r="O51" s="1" t="s">
        <v>44</v>
      </c>
      <c r="P51" s="1" t="s">
        <v>43</v>
      </c>
      <c r="Q51" s="1"/>
      <c r="R51" s="1"/>
      <c r="S51" s="1"/>
      <c r="T51" s="1" t="s">
        <v>42</v>
      </c>
      <c r="U51" s="1" t="s">
        <v>44</v>
      </c>
      <c r="V51" s="1" t="s">
        <v>43</v>
      </c>
      <c r="X51" s="11">
        <v>48</v>
      </c>
      <c r="Y51" s="10">
        <f ca="1">+DCOUNTA($B$1:$D$995,$C$1,X202:Z203)</f>
        <v>0</v>
      </c>
      <c r="Z51" s="10">
        <f ca="1">+DCOUNTA($B$1:$D$995,$C$1,X404:Z405)</f>
        <v>0</v>
      </c>
    </row>
    <row r="52" spans="5:29" ht="13.5" thickBot="1">
      <c r="E52" s="11">
        <v>49</v>
      </c>
      <c r="F52" s="10">
        <f ca="1">+DCOUNTA($B$1:$C$995,$C$1,E204:G205)</f>
        <v>0</v>
      </c>
      <c r="G52" s="10">
        <f ca="1">+DCOUNTA($B$1:$C$995,$C$1,E406:G407)</f>
        <v>0</v>
      </c>
      <c r="I52" s="11">
        <v>49</v>
      </c>
      <c r="J52" s="10">
        <f ca="1">+DCOUNTA($B$1:$D$995,$C$1,I204:K205)</f>
        <v>0</v>
      </c>
      <c r="K52" s="10">
        <f ca="1">+DCOUNTA($B$1:$D$995,$C$1,I406:K407)</f>
        <v>0</v>
      </c>
      <c r="M52" s="1"/>
      <c r="N52">
        <v>26</v>
      </c>
      <c r="O52" s="1" t="s">
        <v>55</v>
      </c>
      <c r="P52" s="1" t="s">
        <v>64</v>
      </c>
      <c r="Q52" s="1"/>
      <c r="R52" s="1"/>
      <c r="S52" s="1"/>
      <c r="T52">
        <v>26</v>
      </c>
      <c r="U52" s="1" t="s">
        <v>55</v>
      </c>
      <c r="V52" s="1" t="s">
        <v>56</v>
      </c>
      <c r="X52" s="11">
        <v>49</v>
      </c>
      <c r="Y52" s="10">
        <f ca="1">+DCOUNTA($B$1:$D$995,$C$1,X204:Z205)</f>
        <v>0</v>
      </c>
      <c r="Z52" s="10">
        <f ca="1">+DCOUNTA($B$1:$D$995,$C$1,X406:Z407)</f>
        <v>0</v>
      </c>
    </row>
    <row r="53" spans="5:29" ht="13.5" thickBot="1">
      <c r="E53" s="11">
        <v>50</v>
      </c>
      <c r="F53" s="10">
        <f ca="1">+DCOUNTA($B$1:$C$995,$C$1,E206:G207)</f>
        <v>0</v>
      </c>
      <c r="G53" s="10">
        <f ca="1">+DCOUNTA($B$1:$C$995,$C$1,E408:G409)</f>
        <v>0</v>
      </c>
      <c r="I53" s="11">
        <v>50</v>
      </c>
      <c r="J53" s="10">
        <f ca="1">+DCOUNTA($B$1:$D$995,$C$1,I206:K207)</f>
        <v>0</v>
      </c>
      <c r="K53" s="10">
        <f ca="1">+DCOUNTA($B$1:$D$995,$C$1,I408:K409)</f>
        <v>0</v>
      </c>
      <c r="M53" s="1"/>
      <c r="N53" s="1" t="s">
        <v>42</v>
      </c>
      <c r="O53" s="1" t="s">
        <v>44</v>
      </c>
      <c r="P53" s="1" t="s">
        <v>43</v>
      </c>
      <c r="Q53" s="1"/>
      <c r="R53" s="1"/>
      <c r="S53" s="1"/>
      <c r="T53" s="1" t="s">
        <v>42</v>
      </c>
      <c r="U53" s="1" t="s">
        <v>44</v>
      </c>
      <c r="V53" s="1" t="s">
        <v>43</v>
      </c>
      <c r="X53" s="11">
        <v>50</v>
      </c>
      <c r="Y53" s="10">
        <f ca="1">+DCOUNTA($B$1:$D$995,$C$1,X206:Z207)</f>
        <v>0</v>
      </c>
      <c r="Z53" s="10">
        <f ca="1">+DCOUNTA($B$1:$D$995,$C$1,X408:Z409)</f>
        <v>0</v>
      </c>
    </row>
    <row r="54" spans="5:29" ht="13.5" thickBot="1">
      <c r="E54" s="11">
        <v>51</v>
      </c>
      <c r="F54" s="10">
        <f ca="1">+DCOUNTA($B$1:$C$995,$C$1,E208:G209)</f>
        <v>0</v>
      </c>
      <c r="G54" s="10">
        <f ca="1">+DCOUNTA($B$1:$C$995,$C$1,E410:G411)</f>
        <v>0</v>
      </c>
      <c r="I54" s="11">
        <v>51</v>
      </c>
      <c r="J54" s="10">
        <f ca="1">+DCOUNTA($B$1:$D$995,$C$1,I208:K209)</f>
        <v>0</v>
      </c>
      <c r="K54" s="10">
        <f ca="1">+DCOUNTA($B$1:$D$995,$C$1,I410:K411)</f>
        <v>0</v>
      </c>
      <c r="M54" s="1"/>
      <c r="N54">
        <v>27</v>
      </c>
      <c r="O54" s="1" t="s">
        <v>55</v>
      </c>
      <c r="P54" s="1" t="s">
        <v>64</v>
      </c>
      <c r="Q54" s="1"/>
      <c r="R54" s="1"/>
      <c r="S54" s="1"/>
      <c r="T54">
        <v>27</v>
      </c>
      <c r="U54" s="1" t="s">
        <v>55</v>
      </c>
      <c r="V54" s="1" t="s">
        <v>56</v>
      </c>
      <c r="X54" s="11">
        <v>51</v>
      </c>
      <c r="Y54" s="10">
        <f ca="1">+DCOUNTA($B$1:$D$995,$C$1,X208:Z209)</f>
        <v>0</v>
      </c>
      <c r="Z54" s="10">
        <f ca="1">+DCOUNTA($B$1:$D$995,$C$1,X410:Z411)</f>
        <v>0</v>
      </c>
    </row>
    <row r="55" spans="5:29" ht="13.5" thickBot="1">
      <c r="E55" s="11">
        <v>52</v>
      </c>
      <c r="F55" s="10">
        <f ca="1">+DCOUNTA($B$1:$C$995,$C$1,E210:G211)</f>
        <v>0</v>
      </c>
      <c r="G55" s="10">
        <f ca="1">+DCOUNTA($B$1:$C$995,$C$1,E412:G413)</f>
        <v>0</v>
      </c>
      <c r="I55" s="11">
        <v>52</v>
      </c>
      <c r="J55" s="10">
        <f ca="1">+DCOUNTA($B$1:$D$995,$C$1,I210:K211)</f>
        <v>0</v>
      </c>
      <c r="K55" s="10">
        <f ca="1">+DCOUNTA($B$1:$D$995,$C$1,I412:K413)</f>
        <v>0</v>
      </c>
      <c r="M55" s="1"/>
      <c r="N55" s="1" t="s">
        <v>42</v>
      </c>
      <c r="O55" s="1" t="s">
        <v>44</v>
      </c>
      <c r="P55" s="1" t="s">
        <v>43</v>
      </c>
      <c r="Q55" s="1"/>
      <c r="R55" s="1"/>
      <c r="S55" s="1"/>
      <c r="T55" s="1" t="s">
        <v>42</v>
      </c>
      <c r="U55" s="1" t="s">
        <v>44</v>
      </c>
      <c r="V55" s="1" t="s">
        <v>43</v>
      </c>
      <c r="X55" s="11">
        <v>52</v>
      </c>
      <c r="Y55" s="10">
        <f ca="1">+DCOUNTA($B$1:$D$995,$C$1,X210:Z211)</f>
        <v>0</v>
      </c>
      <c r="Z55" s="10">
        <f ca="1">+DCOUNTA($B$1:$D$995,$C$1,X412:Z413)</f>
        <v>0</v>
      </c>
    </row>
    <row r="56" spans="5:29" ht="13.5" thickBot="1">
      <c r="E56" s="11">
        <v>53</v>
      </c>
      <c r="F56" s="10">
        <f ca="1">+DCOUNTA($B$1:$C$995,$C$1,E212:G213)</f>
        <v>0</v>
      </c>
      <c r="G56" s="10">
        <f ca="1">+DCOUNTA($B$1:$C$995,$C$1,E414:G415)</f>
        <v>0</v>
      </c>
      <c r="I56" s="11">
        <v>53</v>
      </c>
      <c r="J56" s="10">
        <f ca="1">+DCOUNTA($B$1:$D$995,$C$1,I212:K213)</f>
        <v>0</v>
      </c>
      <c r="K56" s="10">
        <f ca="1">+DCOUNTA($B$1:$D$995,$C$1,I414:K415)</f>
        <v>0</v>
      </c>
      <c r="M56" s="1"/>
      <c r="N56">
        <v>28</v>
      </c>
      <c r="O56" s="1" t="s">
        <v>55</v>
      </c>
      <c r="P56" s="1" t="s">
        <v>64</v>
      </c>
      <c r="Q56" s="1"/>
      <c r="R56" s="1"/>
      <c r="S56" s="1"/>
      <c r="T56">
        <v>28</v>
      </c>
      <c r="U56" s="1" t="s">
        <v>55</v>
      </c>
      <c r="V56" s="1" t="s">
        <v>56</v>
      </c>
      <c r="X56" s="11">
        <v>53</v>
      </c>
      <c r="Y56" s="10">
        <f ca="1">+DCOUNTA($B$1:$D$995,$C$1,X212:Z213)</f>
        <v>0</v>
      </c>
      <c r="Z56" s="10">
        <f ca="1">+DCOUNTA($B$1:$D$995,$C$1,X414:Z415)</f>
        <v>0</v>
      </c>
    </row>
    <row r="57" spans="5:29" ht="13.5" thickBot="1">
      <c r="E57" s="11">
        <v>54</v>
      </c>
      <c r="F57" s="10">
        <f ca="1">+DCOUNTA($B$1:$C$995,$C$1,E214:G215)</f>
        <v>0</v>
      </c>
      <c r="G57" s="10">
        <f ca="1">+DCOUNTA($B$1:$C$995,$C$1,E416:G417)</f>
        <v>0</v>
      </c>
      <c r="I57" s="11">
        <v>54</v>
      </c>
      <c r="J57" s="10">
        <f ca="1">+DCOUNTA($B$1:$D$995,$C$1,I214:K215)</f>
        <v>0</v>
      </c>
      <c r="K57" s="10">
        <f ca="1">+DCOUNTA($B$1:$D$995,$C$1,I416:K417)</f>
        <v>0</v>
      </c>
      <c r="M57" s="1"/>
      <c r="N57" s="1" t="s">
        <v>42</v>
      </c>
      <c r="O57" s="1" t="s">
        <v>44</v>
      </c>
      <c r="P57" s="1" t="s">
        <v>43</v>
      </c>
      <c r="Q57" s="1"/>
      <c r="R57" s="1"/>
      <c r="S57" s="1"/>
      <c r="T57" s="1" t="s">
        <v>42</v>
      </c>
      <c r="U57" s="1" t="s">
        <v>44</v>
      </c>
      <c r="V57" s="1" t="s">
        <v>43</v>
      </c>
      <c r="X57" s="11">
        <v>54</v>
      </c>
      <c r="Y57" s="10">
        <f ca="1">+DCOUNTA($B$1:$D$995,$C$1,X214:Z215)</f>
        <v>0</v>
      </c>
      <c r="Z57" s="10">
        <f ca="1">+DCOUNTA($B$1:$D$995,$C$1,X416:Z417)</f>
        <v>0</v>
      </c>
    </row>
    <row r="58" spans="5:29" ht="13.5" thickBot="1">
      <c r="E58" s="11">
        <v>55</v>
      </c>
      <c r="F58" s="10">
        <f ca="1">+DCOUNTA($B$1:$C$995,$C$1,E216:G217)</f>
        <v>0</v>
      </c>
      <c r="G58" s="10">
        <f ca="1">+DCOUNTA($B$1:$C$995,$C$1,E418:G419)</f>
        <v>0</v>
      </c>
      <c r="I58" s="11">
        <v>55</v>
      </c>
      <c r="J58" s="10">
        <f ca="1">+DCOUNTA($B$1:$D$995,$C$1,I216:K217)</f>
        <v>0</v>
      </c>
      <c r="K58" s="10">
        <f ca="1">+DCOUNTA($B$1:$D$995,$C$1,I418:K419)</f>
        <v>0</v>
      </c>
      <c r="M58" s="1"/>
      <c r="N58">
        <v>29</v>
      </c>
      <c r="O58" s="1" t="s">
        <v>55</v>
      </c>
      <c r="P58" s="1" t="s">
        <v>64</v>
      </c>
      <c r="Q58" s="1"/>
      <c r="R58" s="1"/>
      <c r="S58" s="1"/>
      <c r="T58">
        <v>29</v>
      </c>
      <c r="U58" s="1" t="s">
        <v>55</v>
      </c>
      <c r="V58" s="1" t="s">
        <v>56</v>
      </c>
      <c r="X58" s="11">
        <v>55</v>
      </c>
      <c r="Y58" s="10">
        <f ca="1">+DCOUNTA($B$1:$D$995,$C$1,X216:Z217)</f>
        <v>0</v>
      </c>
      <c r="Z58" s="10">
        <f ca="1">+DCOUNTA($B$1:$D$995,$C$1,X418:Z419)</f>
        <v>0</v>
      </c>
    </row>
    <row r="59" spans="5:29" ht="13.5" thickBot="1">
      <c r="E59" s="11">
        <v>56</v>
      </c>
      <c r="F59" s="10">
        <f ca="1">+DCOUNTA($B$1:$C$995,$C$1,E218:G219)</f>
        <v>0</v>
      </c>
      <c r="G59" s="10">
        <f ca="1">+DCOUNTA($B$1:$C$995,$C$1,E420:G421)</f>
        <v>0</v>
      </c>
      <c r="I59" s="11">
        <v>56</v>
      </c>
      <c r="J59" s="10">
        <f ca="1">+DCOUNTA($B$1:$D$995,$C$1,I218:K219)</f>
        <v>0</v>
      </c>
      <c r="K59" s="10">
        <f ca="1">+DCOUNTA($B$1:$D$995,$C$1,I420:K421)</f>
        <v>0</v>
      </c>
      <c r="M59" s="1"/>
      <c r="N59" s="1" t="s">
        <v>42</v>
      </c>
      <c r="O59" s="1" t="s">
        <v>44</v>
      </c>
      <c r="P59" s="1" t="s">
        <v>43</v>
      </c>
      <c r="Q59" s="1"/>
      <c r="R59" s="1"/>
      <c r="S59" s="1"/>
      <c r="T59" s="1" t="s">
        <v>42</v>
      </c>
      <c r="U59" s="1" t="s">
        <v>44</v>
      </c>
      <c r="V59" s="1" t="s">
        <v>43</v>
      </c>
      <c r="X59" s="11">
        <v>56</v>
      </c>
      <c r="Y59" s="10">
        <f ca="1">+DCOUNTA($B$1:$D$995,$C$1,X218:Z219)</f>
        <v>0</v>
      </c>
      <c r="Z59" s="10">
        <f ca="1">+DCOUNTA($B$1:$D$995,$C$1,X420:Z421)</f>
        <v>0</v>
      </c>
    </row>
    <row r="60" spans="5:29" ht="13.5" thickBot="1">
      <c r="E60" s="11">
        <v>57</v>
      </c>
      <c r="F60" s="10">
        <f ca="1">+DCOUNTA($B$1:$C$995,$C$1,E220:G221)</f>
        <v>0</v>
      </c>
      <c r="G60" s="10">
        <f ca="1">+DCOUNTA($B$1:$C$995,$C$1,E422:G423)</f>
        <v>0</v>
      </c>
      <c r="I60" s="11">
        <v>57</v>
      </c>
      <c r="J60" s="10">
        <f ca="1">+DCOUNTA($B$1:$D$995,$C$1,I220:K221)</f>
        <v>0</v>
      </c>
      <c r="K60" s="10">
        <f ca="1">+DCOUNTA($B$1:$D$995,$C$1,I422:K423)</f>
        <v>0</v>
      </c>
      <c r="M60" s="1"/>
      <c r="N60">
        <v>30</v>
      </c>
      <c r="O60" s="1" t="s">
        <v>55</v>
      </c>
      <c r="P60" s="1" t="s">
        <v>64</v>
      </c>
      <c r="Q60" s="1"/>
      <c r="R60" s="1"/>
      <c r="S60" s="1"/>
      <c r="T60">
        <v>30</v>
      </c>
      <c r="U60" s="1" t="s">
        <v>55</v>
      </c>
      <c r="V60" s="1" t="s">
        <v>56</v>
      </c>
      <c r="X60" s="11">
        <v>57</v>
      </c>
      <c r="Y60" s="10">
        <f ca="1">+DCOUNTA($B$1:$D$995,$C$1,X220:Z221)</f>
        <v>0</v>
      </c>
      <c r="Z60" s="10">
        <f ca="1">+DCOUNTA($B$1:$D$995,$C$1,X422:Z423)</f>
        <v>0</v>
      </c>
    </row>
    <row r="61" spans="5:29" ht="13.5" thickBot="1">
      <c r="E61" s="11">
        <v>58</v>
      </c>
      <c r="F61" s="10">
        <f ca="1">+DCOUNTA($B$1:$C$995,$C$1,E222:G223)</f>
        <v>0</v>
      </c>
      <c r="G61" s="10">
        <f ca="1">+DCOUNTA($B$1:$C$995,$C$1,E424:G425)</f>
        <v>0</v>
      </c>
      <c r="I61" s="11">
        <v>58</v>
      </c>
      <c r="J61" s="10">
        <f ca="1">+DCOUNTA($B$1:$D$995,$C$1,I222:K223)</f>
        <v>0</v>
      </c>
      <c r="K61" s="10">
        <f ca="1">+DCOUNTA($B$1:$D$995,$C$1,I424:K425)</f>
        <v>0</v>
      </c>
      <c r="M61" s="1"/>
      <c r="N61" s="1" t="s">
        <v>42</v>
      </c>
      <c r="O61" s="1" t="s">
        <v>44</v>
      </c>
      <c r="P61" s="1" t="s">
        <v>43</v>
      </c>
      <c r="Q61" s="1"/>
      <c r="R61" s="1"/>
      <c r="S61" s="1"/>
      <c r="T61" s="1" t="s">
        <v>42</v>
      </c>
      <c r="U61" s="1" t="s">
        <v>44</v>
      </c>
      <c r="V61" s="1" t="s">
        <v>43</v>
      </c>
      <c r="X61" s="11">
        <v>58</v>
      </c>
      <c r="Y61" s="10">
        <f ca="1">+DCOUNTA($B$1:$D$995,$C$1,X222:Z223)</f>
        <v>0</v>
      </c>
      <c r="Z61" s="10">
        <f ca="1">+DCOUNTA($B$1:$D$995,$C$1,X424:Z425)</f>
        <v>0</v>
      </c>
    </row>
    <row r="62" spans="5:29" ht="13.5" thickBot="1">
      <c r="E62" s="11">
        <v>59</v>
      </c>
      <c r="F62" s="10">
        <f ca="1">+DCOUNTA($B$1:$C$995,$C$1,E224:G225)</f>
        <v>0</v>
      </c>
      <c r="G62" s="10">
        <f ca="1">+DCOUNTA($B$1:$C$995,$C$1,E426:G427)</f>
        <v>0</v>
      </c>
      <c r="I62" s="11">
        <v>59</v>
      </c>
      <c r="J62" s="10">
        <f ca="1">+DCOUNTA($B$1:$D$995,$C$1,I224:K225)</f>
        <v>0</v>
      </c>
      <c r="K62" s="10">
        <f ca="1">+DCOUNTA($B$1:$D$995,$C$1,I426:K427)</f>
        <v>0</v>
      </c>
      <c r="M62" s="1"/>
      <c r="N62">
        <v>31</v>
      </c>
      <c r="O62" s="1" t="s">
        <v>55</v>
      </c>
      <c r="P62" s="1" t="s">
        <v>64</v>
      </c>
      <c r="Q62" s="1"/>
      <c r="R62" s="1"/>
      <c r="S62" s="1"/>
      <c r="T62">
        <v>31</v>
      </c>
      <c r="U62" s="1" t="s">
        <v>55</v>
      </c>
      <c r="V62" s="1" t="s">
        <v>56</v>
      </c>
      <c r="X62" s="11">
        <v>59</v>
      </c>
      <c r="Y62" s="10">
        <f ca="1">+DCOUNTA($B$1:$D$995,$C$1,X224:Z225)</f>
        <v>0</v>
      </c>
      <c r="Z62" s="10">
        <f ca="1">+DCOUNTA($B$1:$D$995,$C$1,X426:Z427)</f>
        <v>0</v>
      </c>
      <c r="AA62" s="18">
        <f ca="1">SUM(Y3:Y62)</f>
        <v>0</v>
      </c>
      <c r="AB62" s="18">
        <f ca="1">SUM(Z3:Z62)</f>
        <v>0</v>
      </c>
      <c r="AC62" t="s">
        <v>93</v>
      </c>
    </row>
    <row r="63" spans="5:29" ht="13.5" thickBot="1">
      <c r="E63" s="11">
        <v>60</v>
      </c>
      <c r="F63" s="10">
        <f ca="1">+DCOUNTA($B$1:$C$995,$C$1,E226:G227)</f>
        <v>0</v>
      </c>
      <c r="G63" s="10">
        <f ca="1">+DCOUNTA($B$1:$C$995,$C$1,E428:G429)</f>
        <v>0</v>
      </c>
      <c r="I63" s="11">
        <v>60</v>
      </c>
      <c r="J63" s="10">
        <f ca="1">+DCOUNTA($B$1:$D$995,$C$1,I226:K227)</f>
        <v>0</v>
      </c>
      <c r="K63" s="10">
        <f ca="1">+DCOUNTA($B$1:$D$995,$C$1,I428:K429)</f>
        <v>0</v>
      </c>
      <c r="M63" s="1"/>
      <c r="N63" s="1" t="s">
        <v>42</v>
      </c>
      <c r="O63" s="1" t="s">
        <v>44</v>
      </c>
      <c r="P63" s="1" t="s">
        <v>43</v>
      </c>
      <c r="Q63" s="1"/>
      <c r="R63" s="1"/>
      <c r="S63" s="1"/>
      <c r="T63" s="1" t="s">
        <v>42</v>
      </c>
      <c r="U63" s="1" t="s">
        <v>44</v>
      </c>
      <c r="V63" s="1" t="s">
        <v>43</v>
      </c>
      <c r="X63" s="11">
        <v>60</v>
      </c>
      <c r="Y63" s="10">
        <f ca="1">+DCOUNTA($B$1:$D$995,$C$1,X226:Z227)</f>
        <v>0</v>
      </c>
      <c r="Z63" s="10">
        <f ca="1">+DCOUNTA($B$1:$D$995,$C$1,X428:Z429)</f>
        <v>0</v>
      </c>
    </row>
    <row r="64" spans="5:29" ht="13.5" thickBot="1">
      <c r="E64" s="11">
        <v>61</v>
      </c>
      <c r="F64" s="10">
        <f ca="1">+DCOUNTA($B$1:$C$995,$C$1,E228:G229)</f>
        <v>0</v>
      </c>
      <c r="G64" s="10">
        <f ca="1">+DCOUNTA($B$1:$C$995,$C$1,E430:G431)</f>
        <v>0</v>
      </c>
      <c r="I64" s="11">
        <v>61</v>
      </c>
      <c r="J64" s="10">
        <f ca="1">+DCOUNTA($B$1:$D$995,$C$1,I228:K229)</f>
        <v>0</v>
      </c>
      <c r="K64" s="10">
        <f ca="1">+DCOUNTA($B$1:$D$995,$C$1,I430:K431)</f>
        <v>0</v>
      </c>
      <c r="M64" s="1"/>
      <c r="N64">
        <v>32</v>
      </c>
      <c r="O64" s="1" t="s">
        <v>55</v>
      </c>
      <c r="P64" s="1" t="s">
        <v>64</v>
      </c>
      <c r="Q64" s="1"/>
      <c r="R64" s="1"/>
      <c r="S64" s="1"/>
      <c r="T64">
        <v>32</v>
      </c>
      <c r="U64" s="1" t="s">
        <v>55</v>
      </c>
      <c r="V64" s="1" t="s">
        <v>56</v>
      </c>
      <c r="X64" s="11">
        <v>61</v>
      </c>
      <c r="Y64" s="10">
        <f ca="1">+DCOUNTA($B$1:$D$995,$C$1,X228:Z229)</f>
        <v>0</v>
      </c>
      <c r="Z64" s="10">
        <f ca="1">+DCOUNTA($B$1:$D$995,$C$1,X430:Z431)</f>
        <v>0</v>
      </c>
    </row>
    <row r="65" spans="5:29" ht="13.5" thickBot="1">
      <c r="E65" s="11">
        <v>62</v>
      </c>
      <c r="F65" s="10">
        <f ca="1">+DCOUNTA($B$1:$C$995,$C$1,E230:G231)</f>
        <v>0</v>
      </c>
      <c r="G65" s="10">
        <f ca="1">+DCOUNTA($B$1:$C$995,$C$1,E432:G433)</f>
        <v>0</v>
      </c>
      <c r="I65" s="11">
        <v>62</v>
      </c>
      <c r="J65" s="10">
        <f ca="1">+DCOUNTA($B$1:$D$995,$C$1,I230:K231)</f>
        <v>0</v>
      </c>
      <c r="K65" s="10">
        <f ca="1">+DCOUNTA($B$1:$D$995,$C$1,I432:K433)</f>
        <v>0</v>
      </c>
      <c r="M65" s="1"/>
      <c r="N65" s="1" t="s">
        <v>42</v>
      </c>
      <c r="O65" s="1" t="s">
        <v>44</v>
      </c>
      <c r="P65" s="1" t="s">
        <v>43</v>
      </c>
      <c r="Q65" s="1"/>
      <c r="R65" s="1"/>
      <c r="S65" s="1"/>
      <c r="T65" s="1" t="s">
        <v>42</v>
      </c>
      <c r="U65" s="1" t="s">
        <v>44</v>
      </c>
      <c r="V65" s="1" t="s">
        <v>43</v>
      </c>
      <c r="X65" s="11">
        <v>62</v>
      </c>
      <c r="Y65" s="10">
        <f ca="1">+DCOUNTA($B$1:$D$995,$C$1,X230:Z231)</f>
        <v>0</v>
      </c>
      <c r="Z65" s="10">
        <f ca="1">+DCOUNTA($B$1:$D$995,$C$1,X432:Z433)</f>
        <v>0</v>
      </c>
    </row>
    <row r="66" spans="5:29" ht="13.5" thickBot="1">
      <c r="E66" s="11">
        <v>63</v>
      </c>
      <c r="F66" s="10">
        <f ca="1">+DCOUNTA($B$1:$C$995,$C$1,E232:G233)</f>
        <v>0</v>
      </c>
      <c r="G66" s="10">
        <f ca="1">+DCOUNTA($B$1:$C$995,$C$1,E434:G435)</f>
        <v>0</v>
      </c>
      <c r="I66" s="11">
        <v>63</v>
      </c>
      <c r="J66" s="10">
        <f ca="1">+DCOUNTA($B$1:$D$995,$C$1,I232:K233)</f>
        <v>0</v>
      </c>
      <c r="K66" s="10">
        <f ca="1">+DCOUNTA($B$1:$D$995,$C$1,I434:K435)</f>
        <v>0</v>
      </c>
      <c r="M66" s="1"/>
      <c r="N66">
        <v>33</v>
      </c>
      <c r="O66" s="1" t="s">
        <v>55</v>
      </c>
      <c r="P66" s="1" t="s">
        <v>64</v>
      </c>
      <c r="Q66" s="1"/>
      <c r="R66" s="1"/>
      <c r="S66" s="1"/>
      <c r="T66">
        <v>33</v>
      </c>
      <c r="U66" s="1" t="s">
        <v>55</v>
      </c>
      <c r="V66" s="1" t="s">
        <v>56</v>
      </c>
      <c r="X66" s="11">
        <v>63</v>
      </c>
      <c r="Y66" s="10">
        <f ca="1">+DCOUNTA($B$1:$D$995,$C$1,X232:Z233)</f>
        <v>0</v>
      </c>
      <c r="Z66" s="10">
        <f ca="1">+DCOUNTA($B$1:$D$995,$C$1,X434:Z435)</f>
        <v>0</v>
      </c>
    </row>
    <row r="67" spans="5:29" ht="13.5" thickBot="1">
      <c r="E67" s="11">
        <v>64</v>
      </c>
      <c r="F67" s="10">
        <f ca="1">+DCOUNTA($B$1:$C$995,$C$1,E234:G235)</f>
        <v>0</v>
      </c>
      <c r="G67" s="10">
        <f ca="1">+DCOUNTA($B$1:$C$995,$C$1,E436:G437)</f>
        <v>0</v>
      </c>
      <c r="I67" s="11">
        <v>64</v>
      </c>
      <c r="J67" s="10">
        <f ca="1">+DCOUNTA($B$1:$D$995,$C$1,I234:K235)</f>
        <v>0</v>
      </c>
      <c r="K67" s="10">
        <f ca="1">+DCOUNTA($B$1:$D$995,$C$1,I436:K437)</f>
        <v>0</v>
      </c>
      <c r="N67" s="1" t="s">
        <v>42</v>
      </c>
      <c r="O67" s="1" t="s">
        <v>44</v>
      </c>
      <c r="P67" s="1" t="s">
        <v>43</v>
      </c>
      <c r="Q67" s="1"/>
      <c r="R67" s="1"/>
      <c r="T67" s="1" t="s">
        <v>42</v>
      </c>
      <c r="U67" s="1" t="s">
        <v>44</v>
      </c>
      <c r="V67" s="1" t="s">
        <v>43</v>
      </c>
      <c r="X67" s="11">
        <v>64</v>
      </c>
      <c r="Y67" s="10">
        <f ca="1">+DCOUNTA($B$1:$D$995,$C$1,X234:Z235)</f>
        <v>0</v>
      </c>
      <c r="Z67" s="10">
        <f ca="1">+DCOUNTA($B$1:$D$995,$C$1,X436:Z437)</f>
        <v>0</v>
      </c>
      <c r="AA67" s="18">
        <f ca="1">SUM(Y3:Y67)</f>
        <v>0</v>
      </c>
      <c r="AB67" s="18">
        <f ca="1">SUM(Z3:Z67)</f>
        <v>0</v>
      </c>
      <c r="AC67" t="s">
        <v>94</v>
      </c>
    </row>
    <row r="68" spans="5:29" ht="13.5" thickBot="1">
      <c r="E68" s="11">
        <v>65</v>
      </c>
      <c r="F68" s="10">
        <f ca="1">+DCOUNTA($B$1:$C$995,$C$1,E236:G237)</f>
        <v>0</v>
      </c>
      <c r="G68" s="10">
        <f ca="1">+DCOUNTA($B$1:$C$995,$C$1,E438:G439)</f>
        <v>0</v>
      </c>
      <c r="I68" s="11">
        <v>65</v>
      </c>
      <c r="J68" s="10">
        <f ca="1">+DCOUNTA($B$1:$D$995,$C$1,I236:K237)</f>
        <v>0</v>
      </c>
      <c r="K68" s="10">
        <f ca="1">+DCOUNTA($B$1:$D$995,$C$1,I438:K439)</f>
        <v>0</v>
      </c>
      <c r="N68">
        <v>34</v>
      </c>
      <c r="O68" s="1" t="s">
        <v>55</v>
      </c>
      <c r="P68" s="1" t="s">
        <v>64</v>
      </c>
      <c r="Q68" s="1"/>
      <c r="R68" s="1"/>
      <c r="T68">
        <v>34</v>
      </c>
      <c r="U68" s="1" t="s">
        <v>55</v>
      </c>
      <c r="V68" s="1" t="s">
        <v>56</v>
      </c>
      <c r="X68" s="11">
        <v>65</v>
      </c>
      <c r="Y68" s="10">
        <f ca="1">+DCOUNTA($B$1:$D$995,$C$1,X236:Z237)</f>
        <v>0</v>
      </c>
      <c r="Z68" s="10">
        <f ca="1">+DCOUNTA($B$1:$D$995,$C$1,X438:Z439)</f>
        <v>0</v>
      </c>
    </row>
    <row r="69" spans="5:29" ht="13.5" thickBot="1">
      <c r="E69" s="11">
        <v>66</v>
      </c>
      <c r="F69" s="10">
        <f ca="1">+DCOUNTA($B$1:$C$995,$C$1,E238:G239)</f>
        <v>0</v>
      </c>
      <c r="G69" s="10">
        <f ca="1">+DCOUNTA($B$1:$C$995,$C$1,E440:G441)</f>
        <v>0</v>
      </c>
      <c r="I69" s="11">
        <v>66</v>
      </c>
      <c r="J69" s="10">
        <f ca="1">+DCOUNTA($B$1:$D$995,$C$1,I238:K239)</f>
        <v>0</v>
      </c>
      <c r="K69" s="10">
        <f ca="1">+DCOUNTA($B$1:$D$995,$C$1,I440:K441)</f>
        <v>0</v>
      </c>
      <c r="N69" s="1" t="s">
        <v>42</v>
      </c>
      <c r="O69" s="1" t="s">
        <v>44</v>
      </c>
      <c r="P69" s="1" t="s">
        <v>43</v>
      </c>
      <c r="Q69" s="1"/>
      <c r="R69" s="1"/>
      <c r="T69" s="1" t="s">
        <v>42</v>
      </c>
      <c r="U69" s="1" t="s">
        <v>44</v>
      </c>
      <c r="V69" s="1" t="s">
        <v>43</v>
      </c>
      <c r="X69" s="11">
        <v>66</v>
      </c>
      <c r="Y69" s="10">
        <f ca="1">+DCOUNTA($B$1:$D$995,$C$1,X238:Z239)</f>
        <v>0</v>
      </c>
      <c r="Z69" s="10">
        <f ca="1">+DCOUNTA($B$1:$D$995,$C$1,X440:Z441)</f>
        <v>0</v>
      </c>
    </row>
    <row r="70" spans="5:29" ht="13.5" thickBot="1">
      <c r="E70" s="11">
        <v>67</v>
      </c>
      <c r="F70" s="10">
        <f ca="1">+DCOUNTA($B$1:$C$995,$C$1,E240:G241)</f>
        <v>0</v>
      </c>
      <c r="G70" s="10">
        <f ca="1">+DCOUNTA($B$1:$C$995,$C$1,E442:G443)</f>
        <v>0</v>
      </c>
      <c r="I70" s="11">
        <v>67</v>
      </c>
      <c r="J70" s="10">
        <f ca="1">+DCOUNTA($B$1:$D$995,$C$1,I240:K241)</f>
        <v>0</v>
      </c>
      <c r="K70" s="10">
        <f ca="1">+DCOUNTA($B$1:$D$995,$C$1,I442:K443)</f>
        <v>0</v>
      </c>
      <c r="N70">
        <v>35</v>
      </c>
      <c r="O70" s="1" t="s">
        <v>55</v>
      </c>
      <c r="P70" s="1" t="s">
        <v>64</v>
      </c>
      <c r="Q70" s="1"/>
      <c r="R70" s="1"/>
      <c r="T70">
        <v>35</v>
      </c>
      <c r="U70" s="1" t="s">
        <v>55</v>
      </c>
      <c r="V70" s="1" t="s">
        <v>56</v>
      </c>
      <c r="X70" s="11">
        <v>67</v>
      </c>
      <c r="Y70" s="10">
        <f ca="1">+DCOUNTA($B$1:$D$995,$C$1,X240:Z241)</f>
        <v>0</v>
      </c>
      <c r="Z70" s="10">
        <f ca="1">+DCOUNTA($B$1:$D$995,$C$1,X442:Z443)</f>
        <v>0</v>
      </c>
    </row>
    <row r="71" spans="5:29" ht="13.5" thickBot="1">
      <c r="E71" s="11">
        <v>68</v>
      </c>
      <c r="F71" s="10">
        <f ca="1">+DCOUNTA($B$1:$C$995,$C$1,E242:G243)</f>
        <v>0</v>
      </c>
      <c r="G71" s="10">
        <f ca="1">+DCOUNTA($B$1:$C$995,$C$1,E444:G445)</f>
        <v>0</v>
      </c>
      <c r="I71" s="11">
        <v>68</v>
      </c>
      <c r="J71" s="10">
        <f ca="1">+DCOUNTA($B$1:$D$995,$C$1,I242:K243)</f>
        <v>0</v>
      </c>
      <c r="K71" s="10">
        <f ca="1">+DCOUNTA($B$1:$D$995,$C$1,I444:K445)</f>
        <v>0</v>
      </c>
      <c r="N71" s="1" t="s">
        <v>42</v>
      </c>
      <c r="O71" s="1" t="s">
        <v>44</v>
      </c>
      <c r="P71" s="1" t="s">
        <v>43</v>
      </c>
      <c r="Q71" s="1"/>
      <c r="R71" s="1"/>
      <c r="T71" s="1" t="s">
        <v>42</v>
      </c>
      <c r="U71" s="1" t="s">
        <v>44</v>
      </c>
      <c r="V71" s="1" t="s">
        <v>43</v>
      </c>
      <c r="X71" s="11">
        <v>68</v>
      </c>
      <c r="Y71" s="10">
        <f ca="1">+DCOUNTA($B$1:$D$995,$C$1,X242:Z243)</f>
        <v>0</v>
      </c>
      <c r="Z71" s="10">
        <f ca="1">+DCOUNTA($B$1:$D$995,$C$1,X444:Z445)</f>
        <v>0</v>
      </c>
    </row>
    <row r="72" spans="5:29" ht="13.5" thickBot="1">
      <c r="E72" s="11">
        <v>69</v>
      </c>
      <c r="F72" s="10">
        <f ca="1">+DCOUNTA($B$1:$C$995,$C$1,E244:G245)</f>
        <v>0</v>
      </c>
      <c r="G72" s="10">
        <f ca="1">+DCOUNTA($B$1:$C$995,$C$1,E446:G447)</f>
        <v>0</v>
      </c>
      <c r="I72" s="11">
        <v>69</v>
      </c>
      <c r="J72" s="10">
        <f ca="1">+DCOUNTA($B$1:$D$995,$C$1,I244:K245)</f>
        <v>0</v>
      </c>
      <c r="K72" s="10">
        <f ca="1">+DCOUNTA($B$1:$D$995,$C$1,I446:K447)</f>
        <v>0</v>
      </c>
      <c r="N72">
        <v>36</v>
      </c>
      <c r="O72" s="1" t="s">
        <v>55</v>
      </c>
      <c r="P72" s="1" t="s">
        <v>64</v>
      </c>
      <c r="Q72" s="1"/>
      <c r="R72" s="1"/>
      <c r="T72">
        <v>36</v>
      </c>
      <c r="U72" s="1" t="s">
        <v>55</v>
      </c>
      <c r="V72" s="1" t="s">
        <v>56</v>
      </c>
      <c r="X72" s="11">
        <v>69</v>
      </c>
      <c r="Y72" s="10">
        <f ca="1">+DCOUNTA($B$1:$D$995,$C$1,X244:Z245)</f>
        <v>0</v>
      </c>
      <c r="Z72" s="10">
        <f ca="1">+DCOUNTA($B$1:$D$995,$C$1,X446:Z447)</f>
        <v>0</v>
      </c>
    </row>
    <row r="73" spans="5:29" ht="13.5" thickBot="1">
      <c r="E73" s="11">
        <v>70</v>
      </c>
      <c r="F73" s="10">
        <f ca="1">+DCOUNTA($B$1:$C$995,$C$1,E246:G247)</f>
        <v>0</v>
      </c>
      <c r="G73" s="10">
        <f ca="1">+DCOUNTA($B$1:$C$995,$C$1,E448:G449)</f>
        <v>0</v>
      </c>
      <c r="I73" s="11">
        <v>70</v>
      </c>
      <c r="J73" s="10">
        <f ca="1">+DCOUNTA($B$1:$D$995,$C$1,I246:K247)</f>
        <v>0</v>
      </c>
      <c r="K73" s="10">
        <f ca="1">+DCOUNTA($B$1:$D$995,$C$1,I448:K449)</f>
        <v>0</v>
      </c>
      <c r="N73" s="1" t="s">
        <v>42</v>
      </c>
      <c r="O73" s="1" t="s">
        <v>44</v>
      </c>
      <c r="P73" s="1" t="s">
        <v>43</v>
      </c>
      <c r="Q73" s="1"/>
      <c r="R73" s="1"/>
      <c r="T73" s="1" t="s">
        <v>42</v>
      </c>
      <c r="U73" s="1" t="s">
        <v>44</v>
      </c>
      <c r="V73" s="1" t="s">
        <v>43</v>
      </c>
      <c r="X73" s="11">
        <v>70</v>
      </c>
      <c r="Y73" s="10">
        <f ca="1">+DCOUNTA($B$1:$D$995,$C$1,X246:Z247)</f>
        <v>0</v>
      </c>
      <c r="Z73" s="10">
        <f ca="1">+DCOUNTA($B$1:$D$995,$C$1,X448:Z449)</f>
        <v>0</v>
      </c>
    </row>
    <row r="74" spans="5:29" ht="13.5" thickBot="1">
      <c r="E74" s="11">
        <v>71</v>
      </c>
      <c r="F74" s="10">
        <f ca="1">+DCOUNTA($B$1:$C$995,$C$1,E248:G249)</f>
        <v>0</v>
      </c>
      <c r="G74" s="10">
        <f ca="1">+DCOUNTA($B$1:$C$995,$C$1,E450:G451)</f>
        <v>0</v>
      </c>
      <c r="I74" s="11">
        <v>71</v>
      </c>
      <c r="J74" s="10">
        <f ca="1">+DCOUNTA($B$1:$D$995,$C$1,I248:K249)</f>
        <v>0</v>
      </c>
      <c r="K74" s="10">
        <f ca="1">+DCOUNTA($B$1:$D$995,$C$1,I450:K451)</f>
        <v>0</v>
      </c>
      <c r="N74">
        <v>37</v>
      </c>
      <c r="O74" s="1" t="s">
        <v>55</v>
      </c>
      <c r="P74" s="1" t="s">
        <v>64</v>
      </c>
      <c r="Q74" s="1"/>
      <c r="R74" s="1"/>
      <c r="T74">
        <v>37</v>
      </c>
      <c r="U74" s="1" t="s">
        <v>55</v>
      </c>
      <c r="V74" s="1" t="s">
        <v>56</v>
      </c>
      <c r="X74" s="11">
        <v>71</v>
      </c>
      <c r="Y74" s="10">
        <f ca="1">+DCOUNTA($B$1:$D$995,$C$1,X248:Z249)</f>
        <v>0</v>
      </c>
      <c r="Z74" s="10">
        <f ca="1">+DCOUNTA($B$1:$D$995,$C$1,X450:Z451)</f>
        <v>0</v>
      </c>
    </row>
    <row r="75" spans="5:29" ht="13.5" thickBot="1">
      <c r="E75" s="11">
        <v>72</v>
      </c>
      <c r="F75" s="10">
        <f ca="1">+DCOUNTA($B$1:$C$995,$C$1,E250:G251)</f>
        <v>0</v>
      </c>
      <c r="G75" s="10">
        <f ca="1">+DCOUNTA($B$1:$C$995,$C$1,E452:G453)</f>
        <v>0</v>
      </c>
      <c r="I75" s="11">
        <v>72</v>
      </c>
      <c r="J75" s="10">
        <f ca="1">+DCOUNTA($B$1:$D$995,$C$1,I250:K251)</f>
        <v>0</v>
      </c>
      <c r="K75" s="10">
        <f ca="1">+DCOUNTA($B$1:$D$995,$C$1,I452:K453)</f>
        <v>0</v>
      </c>
      <c r="N75" s="1" t="s">
        <v>42</v>
      </c>
      <c r="O75" s="1" t="s">
        <v>44</v>
      </c>
      <c r="P75" s="1" t="s">
        <v>43</v>
      </c>
      <c r="Q75" s="1"/>
      <c r="R75" s="1"/>
      <c r="T75" s="1" t="s">
        <v>42</v>
      </c>
      <c r="U75" s="1" t="s">
        <v>44</v>
      </c>
      <c r="V75" s="1" t="s">
        <v>43</v>
      </c>
      <c r="X75" s="11">
        <v>72</v>
      </c>
      <c r="Y75" s="10">
        <f ca="1">+DCOUNTA($B$1:$D$995,$C$1,X250:Z251)</f>
        <v>0</v>
      </c>
      <c r="Z75" s="10">
        <f ca="1">+DCOUNTA($B$1:$D$995,$C$1,X452:Z453)</f>
        <v>0</v>
      </c>
    </row>
    <row r="76" spans="5:29" ht="13.5" thickBot="1">
      <c r="E76" s="11">
        <v>73</v>
      </c>
      <c r="F76" s="10">
        <f ca="1">+DCOUNTA($B$1:$C$995,$C$1,E252:G253)</f>
        <v>0</v>
      </c>
      <c r="G76" s="10">
        <f ca="1">+DCOUNTA($B$1:$C$995,$C$1,E454:G455)</f>
        <v>0</v>
      </c>
      <c r="I76" s="11">
        <v>73</v>
      </c>
      <c r="J76" s="10">
        <f ca="1">+DCOUNTA($B$1:$D$995,$C$1,I252:K253)</f>
        <v>0</v>
      </c>
      <c r="K76" s="10">
        <f ca="1">+DCOUNTA($B$1:$D$995,$C$1,I454:K455)</f>
        <v>0</v>
      </c>
      <c r="N76">
        <v>38</v>
      </c>
      <c r="O76" s="1" t="s">
        <v>55</v>
      </c>
      <c r="P76" s="1" t="s">
        <v>64</v>
      </c>
      <c r="Q76" s="1"/>
      <c r="R76" s="1"/>
      <c r="T76">
        <v>38</v>
      </c>
      <c r="U76" s="1" t="s">
        <v>55</v>
      </c>
      <c r="V76" s="1" t="s">
        <v>56</v>
      </c>
      <c r="X76" s="11">
        <v>73</v>
      </c>
      <c r="Y76" s="10">
        <f ca="1">+DCOUNTA($B$1:$D$995,$C$1,X252:Z253)</f>
        <v>0</v>
      </c>
      <c r="Z76" s="10">
        <f ca="1">+DCOUNTA($B$1:$D$995,$C$1,X454:Z455)</f>
        <v>0</v>
      </c>
    </row>
    <row r="77" spans="5:29" ht="13.5" thickBot="1">
      <c r="E77" s="11">
        <v>74</v>
      </c>
      <c r="F77" s="10">
        <f ca="1">+DCOUNTA($B$1:$C$995,$C$1,E254:G255)</f>
        <v>0</v>
      </c>
      <c r="G77" s="10">
        <f ca="1">+DCOUNTA($B$1:$C$995,$C$1,E456:G457)</f>
        <v>0</v>
      </c>
      <c r="I77" s="11">
        <v>74</v>
      </c>
      <c r="J77" s="10">
        <f ca="1">+DCOUNTA($B$1:$D$995,$C$1,I254:K255)</f>
        <v>0</v>
      </c>
      <c r="K77" s="10">
        <f ca="1">+DCOUNTA($B$1:$D$995,$C$1,I456:K457)</f>
        <v>0</v>
      </c>
      <c r="N77" s="1" t="s">
        <v>42</v>
      </c>
      <c r="O77" s="1" t="s">
        <v>44</v>
      </c>
      <c r="P77" s="1" t="s">
        <v>43</v>
      </c>
      <c r="Q77" s="1"/>
      <c r="R77" s="1"/>
      <c r="T77" s="1" t="s">
        <v>42</v>
      </c>
      <c r="U77" s="1" t="s">
        <v>44</v>
      </c>
      <c r="V77" s="1" t="s">
        <v>43</v>
      </c>
      <c r="X77" s="11">
        <v>74</v>
      </c>
      <c r="Y77" s="10">
        <f ca="1">+DCOUNTA($B$1:$D$995,$C$1,X254:Z255)</f>
        <v>0</v>
      </c>
      <c r="Z77" s="10">
        <f ca="1">+DCOUNTA($B$1:$D$995,$C$1,X456:Z457)</f>
        <v>0</v>
      </c>
    </row>
    <row r="78" spans="5:29" ht="13.5" thickBot="1">
      <c r="E78" s="11">
        <v>75</v>
      </c>
      <c r="F78" s="10">
        <f ca="1">+DCOUNTA($B$1:$C$995,$C$1,E256:G257)</f>
        <v>0</v>
      </c>
      <c r="G78" s="10">
        <f ca="1">+DCOUNTA($B$1:$C$995,$C$1,E458:G459)</f>
        <v>0</v>
      </c>
      <c r="I78" s="11">
        <v>75</v>
      </c>
      <c r="J78" s="10">
        <f ca="1">+DCOUNTA($B$1:$D$995,$C$1,I256:K257)</f>
        <v>0</v>
      </c>
      <c r="K78" s="10">
        <f ca="1">+DCOUNTA($B$1:$D$995,$C$1,I458:K459)</f>
        <v>0</v>
      </c>
      <c r="N78">
        <v>39</v>
      </c>
      <c r="O78" s="1" t="s">
        <v>55</v>
      </c>
      <c r="P78" s="1" t="s">
        <v>64</v>
      </c>
      <c r="Q78" s="1"/>
      <c r="R78" s="1"/>
      <c r="T78">
        <v>39</v>
      </c>
      <c r="U78" s="1" t="s">
        <v>55</v>
      </c>
      <c r="V78" s="1" t="s">
        <v>56</v>
      </c>
      <c r="X78" s="11">
        <v>75</v>
      </c>
      <c r="Y78" s="10">
        <f ca="1">+DCOUNTA($B$1:$D$995,$C$1,X256:Z257)</f>
        <v>0</v>
      </c>
      <c r="Z78" s="10">
        <f ca="1">+DCOUNTA($B$1:$D$995,$C$1,X458:Z459)</f>
        <v>0</v>
      </c>
    </row>
    <row r="79" spans="5:29" ht="13.5" thickBot="1">
      <c r="E79" s="11">
        <v>76</v>
      </c>
      <c r="F79" s="10">
        <f ca="1">+DCOUNTA($B$1:$C$995,$C$1,E258:G259)</f>
        <v>0</v>
      </c>
      <c r="G79" s="10">
        <f ca="1">+DCOUNTA($B$1:$C$995,$C$1,E460:G461)</f>
        <v>0</v>
      </c>
      <c r="I79" s="11">
        <v>76</v>
      </c>
      <c r="J79" s="10">
        <f ca="1">+DCOUNTA($B$1:$D$995,$C$1,I258:K259)</f>
        <v>0</v>
      </c>
      <c r="K79" s="10">
        <f ca="1">+DCOUNTA($B$1:$D$995,$C$1,I460:K461)</f>
        <v>0</v>
      </c>
      <c r="N79" s="1" t="s">
        <v>42</v>
      </c>
      <c r="O79" s="1" t="s">
        <v>44</v>
      </c>
      <c r="P79" s="1" t="s">
        <v>43</v>
      </c>
      <c r="Q79" s="1"/>
      <c r="R79" s="1"/>
      <c r="T79" s="1" t="s">
        <v>42</v>
      </c>
      <c r="U79" s="1" t="s">
        <v>44</v>
      </c>
      <c r="V79" s="1" t="s">
        <v>43</v>
      </c>
      <c r="X79" s="11">
        <v>76</v>
      </c>
      <c r="Y79" s="10">
        <f ca="1">+DCOUNTA($B$1:$D$995,$C$1,X258:Z259)</f>
        <v>0</v>
      </c>
      <c r="Z79" s="10">
        <f ca="1">+DCOUNTA($B$1:$D$995,$C$1,X460:Z461)</f>
        <v>0</v>
      </c>
    </row>
    <row r="80" spans="5:29" ht="13.5" thickBot="1">
      <c r="E80" s="11">
        <v>77</v>
      </c>
      <c r="F80" s="10">
        <f ca="1">+DCOUNTA($B$1:$C$995,$C$1,E260:G261)</f>
        <v>0</v>
      </c>
      <c r="G80" s="10">
        <f ca="1">+DCOUNTA($B$1:$C$995,$C$1,E462:G463)</f>
        <v>0</v>
      </c>
      <c r="I80" s="11">
        <v>77</v>
      </c>
      <c r="J80" s="10">
        <f ca="1">+DCOUNTA($B$1:$D$995,$C$1,I260:K261)</f>
        <v>0</v>
      </c>
      <c r="K80" s="10">
        <f ca="1">+DCOUNTA($B$1:$D$995,$C$1,I462:K463)</f>
        <v>0</v>
      </c>
      <c r="N80">
        <v>40</v>
      </c>
      <c r="O80" s="1" t="s">
        <v>55</v>
      </c>
      <c r="P80" s="1" t="s">
        <v>64</v>
      </c>
      <c r="Q80" s="1"/>
      <c r="R80" s="1"/>
      <c r="T80">
        <v>40</v>
      </c>
      <c r="U80" s="1" t="s">
        <v>55</v>
      </c>
      <c r="V80" s="1" t="s">
        <v>56</v>
      </c>
      <c r="X80" s="11">
        <v>77</v>
      </c>
      <c r="Y80" s="10">
        <f ca="1">+DCOUNTA($B$1:$D$995,$C$1,X260:Z261)</f>
        <v>0</v>
      </c>
      <c r="Z80" s="10">
        <f ca="1">+DCOUNTA($B$1:$D$995,$C$1,X462:Z463)</f>
        <v>0</v>
      </c>
    </row>
    <row r="81" spans="5:26" ht="13.5" thickBot="1">
      <c r="E81" s="11">
        <v>78</v>
      </c>
      <c r="F81" s="10">
        <f ca="1">+DCOUNTA($B$1:$C$995,$C$1,E262:G263)</f>
        <v>0</v>
      </c>
      <c r="G81" s="10">
        <f ca="1">+DCOUNTA($B$1:$C$995,$C$1,E464:G465)</f>
        <v>0</v>
      </c>
      <c r="I81" s="11">
        <v>78</v>
      </c>
      <c r="J81" s="10">
        <f ca="1">+DCOUNTA($B$1:$D$995,$C$1,I262:K263)</f>
        <v>0</v>
      </c>
      <c r="K81" s="10">
        <f ca="1">+DCOUNTA($B$1:$D$995,$C$1,I464:K465)</f>
        <v>0</v>
      </c>
      <c r="N81" s="1" t="s">
        <v>42</v>
      </c>
      <c r="O81" s="1" t="s">
        <v>44</v>
      </c>
      <c r="P81" s="1" t="s">
        <v>43</v>
      </c>
      <c r="Q81" s="1"/>
      <c r="R81" s="1"/>
      <c r="T81" s="1" t="s">
        <v>42</v>
      </c>
      <c r="U81" s="1" t="s">
        <v>44</v>
      </c>
      <c r="V81" s="1" t="s">
        <v>43</v>
      </c>
      <c r="X81" s="11">
        <v>78</v>
      </c>
      <c r="Y81" s="10">
        <f ca="1">+DCOUNTA($B$1:$D$995,$C$1,X262:Z263)</f>
        <v>0</v>
      </c>
      <c r="Z81" s="10">
        <f ca="1">+DCOUNTA($B$1:$D$995,$C$1,X464:Z465)</f>
        <v>0</v>
      </c>
    </row>
    <row r="82" spans="5:26" ht="13.5" thickBot="1">
      <c r="E82" s="11">
        <v>79</v>
      </c>
      <c r="F82" s="10">
        <f ca="1">+DCOUNTA($B$1:$C$995,$C$1,E264:G265)</f>
        <v>0</v>
      </c>
      <c r="G82" s="10">
        <f ca="1">+DCOUNTA($B$1:$C$995,$C$1,E466:G467)</f>
        <v>0</v>
      </c>
      <c r="I82" s="11">
        <v>79</v>
      </c>
      <c r="J82" s="10">
        <f ca="1">+DCOUNTA($B$1:$D$995,$C$1,I264:K265)</f>
        <v>0</v>
      </c>
      <c r="K82" s="10">
        <f ca="1">+DCOUNTA($B$1:$D$995,$C$1,I466:K467)</f>
        <v>0</v>
      </c>
      <c r="N82">
        <v>41</v>
      </c>
      <c r="O82" s="1" t="s">
        <v>55</v>
      </c>
      <c r="P82" s="1" t="s">
        <v>64</v>
      </c>
      <c r="Q82" s="1"/>
      <c r="R82" s="1"/>
      <c r="T82">
        <v>41</v>
      </c>
      <c r="U82" s="1" t="s">
        <v>55</v>
      </c>
      <c r="V82" s="1" t="s">
        <v>56</v>
      </c>
      <c r="X82" s="11">
        <v>79</v>
      </c>
      <c r="Y82" s="10">
        <f ca="1">+DCOUNTA($B$1:$D$995,$C$1,X264:Z265)</f>
        <v>0</v>
      </c>
      <c r="Z82" s="10">
        <f ca="1">+DCOUNTA($B$1:$D$995,$C$1,X466:Z467)</f>
        <v>0</v>
      </c>
    </row>
    <row r="83" spans="5:26" ht="13.5" thickBot="1">
      <c r="E83" s="11">
        <v>80</v>
      </c>
      <c r="F83" s="10">
        <f ca="1">+DCOUNTA($B$1:$C$995,$C$1,E266:G267)</f>
        <v>0</v>
      </c>
      <c r="G83" s="10">
        <f ca="1">+DCOUNTA($B$1:$C$995,$C$1,E468:G469)</f>
        <v>0</v>
      </c>
      <c r="I83" s="11">
        <v>80</v>
      </c>
      <c r="J83" s="10">
        <f ca="1">+DCOUNTA($B$1:$D$995,$C$1,I266:K267)</f>
        <v>0</v>
      </c>
      <c r="K83" s="10">
        <f ca="1">+DCOUNTA($B$1:$D$995,$C$1,I468:K469)</f>
        <v>0</v>
      </c>
      <c r="N83" s="1" t="s">
        <v>42</v>
      </c>
      <c r="O83" s="1" t="s">
        <v>44</v>
      </c>
      <c r="P83" s="1" t="s">
        <v>43</v>
      </c>
      <c r="Q83" s="1"/>
      <c r="R83" s="1"/>
      <c r="T83" s="1" t="s">
        <v>42</v>
      </c>
      <c r="U83" s="1" t="s">
        <v>44</v>
      </c>
      <c r="V83" s="1" t="s">
        <v>43</v>
      </c>
      <c r="X83" s="11">
        <v>80</v>
      </c>
      <c r="Y83" s="10">
        <f ca="1">+DCOUNTA($B$1:$D$995,$C$1,X266:Z267)</f>
        <v>0</v>
      </c>
      <c r="Z83" s="10">
        <f ca="1">+DCOUNTA($B$1:$D$995,$C$1,X468:Z469)</f>
        <v>0</v>
      </c>
    </row>
    <row r="84" spans="5:26" ht="13.5" thickBot="1">
      <c r="E84" s="11">
        <v>81</v>
      </c>
      <c r="F84" s="10">
        <f ca="1">+DCOUNTA($B$1:$C$995,$C$1,E268:G269)</f>
        <v>0</v>
      </c>
      <c r="G84" s="10">
        <f ca="1">+DCOUNTA($B$1:$C$995,$C$1,E470:G471)</f>
        <v>0</v>
      </c>
      <c r="I84" s="11">
        <v>81</v>
      </c>
      <c r="J84" s="10">
        <f ca="1">+DCOUNTA($B$1:$D$995,$C$1,I268:K269)</f>
        <v>0</v>
      </c>
      <c r="K84" s="10">
        <f ca="1">+DCOUNTA($B$1:$D$995,$C$1,I470:K471)</f>
        <v>0</v>
      </c>
      <c r="N84">
        <v>42</v>
      </c>
      <c r="O84" s="1" t="s">
        <v>55</v>
      </c>
      <c r="P84" s="1" t="s">
        <v>64</v>
      </c>
      <c r="Q84" s="1"/>
      <c r="R84" s="1"/>
      <c r="T84">
        <v>42</v>
      </c>
      <c r="U84" s="1" t="s">
        <v>55</v>
      </c>
      <c r="V84" s="1" t="s">
        <v>56</v>
      </c>
      <c r="X84" s="11">
        <v>81</v>
      </c>
      <c r="Y84" s="10">
        <f ca="1">+DCOUNTA($B$1:$D$995,$C$1,X268:Z269)</f>
        <v>0</v>
      </c>
      <c r="Z84" s="10">
        <f ca="1">+DCOUNTA($B$1:$D$995,$C$1,X470:Z471)</f>
        <v>0</v>
      </c>
    </row>
    <row r="85" spans="5:26" ht="13.5" thickBot="1">
      <c r="E85" s="11">
        <v>82</v>
      </c>
      <c r="F85" s="10">
        <f ca="1">+DCOUNTA($B$1:$C$995,$C$1,E270:G271)</f>
        <v>0</v>
      </c>
      <c r="G85" s="10">
        <f ca="1">+DCOUNTA($B$1:$C$995,$C$1,E472:G473)</f>
        <v>0</v>
      </c>
      <c r="I85" s="11">
        <v>82</v>
      </c>
      <c r="J85" s="10">
        <f ca="1">+DCOUNTA($B$1:$D$995,$C$1,I270:K271)</f>
        <v>0</v>
      </c>
      <c r="K85" s="10">
        <f ca="1">+DCOUNTA($B$1:$D$995,$C$1,I472:K473)</f>
        <v>0</v>
      </c>
      <c r="N85" s="1" t="s">
        <v>42</v>
      </c>
      <c r="O85" s="1" t="s">
        <v>44</v>
      </c>
      <c r="P85" s="1" t="s">
        <v>43</v>
      </c>
      <c r="Q85" s="1"/>
      <c r="R85" s="1"/>
      <c r="T85" s="1" t="s">
        <v>42</v>
      </c>
      <c r="U85" s="1" t="s">
        <v>44</v>
      </c>
      <c r="V85" s="1" t="s">
        <v>43</v>
      </c>
      <c r="X85" s="11">
        <v>82</v>
      </c>
      <c r="Y85" s="10">
        <f ca="1">+DCOUNTA($B$1:$D$995,$C$1,X270:Z271)</f>
        <v>0</v>
      </c>
      <c r="Z85" s="10">
        <f ca="1">+DCOUNTA($B$1:$D$995,$C$1,X472:Z473)</f>
        <v>0</v>
      </c>
    </row>
    <row r="86" spans="5:26" ht="13.5" thickBot="1">
      <c r="E86" s="11">
        <v>83</v>
      </c>
      <c r="F86" s="10">
        <f ca="1">+DCOUNTA($B$1:$C$995,$C$1,E272:G273)</f>
        <v>0</v>
      </c>
      <c r="G86" s="10">
        <f ca="1">+DCOUNTA($B$1:$C$995,$C$1,E474:G475)</f>
        <v>0</v>
      </c>
      <c r="I86" s="11">
        <v>83</v>
      </c>
      <c r="J86" s="10">
        <f ca="1">+DCOUNTA($B$1:$D$995,$C$1,I272:K273)</f>
        <v>0</v>
      </c>
      <c r="K86" s="10">
        <f ca="1">+DCOUNTA($B$1:$D$995,$C$1,I474:K475)</f>
        <v>0</v>
      </c>
      <c r="N86">
        <v>43</v>
      </c>
      <c r="O86" s="1" t="s">
        <v>55</v>
      </c>
      <c r="P86" s="1" t="s">
        <v>64</v>
      </c>
      <c r="Q86" s="1"/>
      <c r="R86" s="1"/>
      <c r="T86">
        <v>43</v>
      </c>
      <c r="U86" s="1" t="s">
        <v>55</v>
      </c>
      <c r="V86" s="1" t="s">
        <v>56</v>
      </c>
      <c r="X86" s="11">
        <v>83</v>
      </c>
      <c r="Y86" s="10">
        <f ca="1">+DCOUNTA($B$1:$D$995,$C$1,X272:Z273)</f>
        <v>0</v>
      </c>
      <c r="Z86" s="10">
        <f ca="1">+DCOUNTA($B$1:$D$995,$C$1,X474:Z475)</f>
        <v>0</v>
      </c>
    </row>
    <row r="87" spans="5:26" ht="13.5" thickBot="1">
      <c r="E87" s="11">
        <v>84</v>
      </c>
      <c r="F87" s="10">
        <f ca="1">+DCOUNTA($B$1:$C$995,$C$1,E274:G275)</f>
        <v>0</v>
      </c>
      <c r="G87" s="10">
        <f ca="1">+DCOUNTA($B$1:$C$995,$C$1,E476:G477)</f>
        <v>0</v>
      </c>
      <c r="I87" s="11">
        <v>84</v>
      </c>
      <c r="J87" s="10">
        <f ca="1">+DCOUNTA($B$1:$D$995,$C$1,I274:K275)</f>
        <v>0</v>
      </c>
      <c r="K87" s="10">
        <f ca="1">+DCOUNTA($B$1:$D$995,$C$1,I476:K477)</f>
        <v>0</v>
      </c>
      <c r="N87" s="1" t="s">
        <v>42</v>
      </c>
      <c r="O87" s="1" t="s">
        <v>44</v>
      </c>
      <c r="P87" s="1" t="s">
        <v>43</v>
      </c>
      <c r="Q87" s="1"/>
      <c r="R87" s="1"/>
      <c r="T87" s="1" t="s">
        <v>42</v>
      </c>
      <c r="U87" s="1" t="s">
        <v>44</v>
      </c>
      <c r="V87" s="1" t="s">
        <v>43</v>
      </c>
      <c r="X87" s="11">
        <v>84</v>
      </c>
      <c r="Y87" s="10">
        <f ca="1">+DCOUNTA($B$1:$D$995,$C$1,X274:Z275)</f>
        <v>0</v>
      </c>
      <c r="Z87" s="10">
        <f ca="1">+DCOUNTA($B$1:$D$995,$C$1,X476:Z477)</f>
        <v>0</v>
      </c>
    </row>
    <row r="88" spans="5:26" ht="13.5" thickBot="1">
      <c r="E88" s="11">
        <v>85</v>
      </c>
      <c r="F88" s="10">
        <f ca="1">+DCOUNTA($B$1:$C$995,$C$1,E276:G277)</f>
        <v>0</v>
      </c>
      <c r="G88" s="10">
        <f ca="1">+DCOUNTA($B$1:$C$995,$C$1,E478:G479)</f>
        <v>0</v>
      </c>
      <c r="I88" s="11">
        <v>85</v>
      </c>
      <c r="J88" s="10">
        <f ca="1">+DCOUNTA($B$1:$D$995,$C$1,I276:K277)</f>
        <v>0</v>
      </c>
      <c r="K88" s="10">
        <f ca="1">+DCOUNTA($B$1:$D$995,$C$1,I478:K479)</f>
        <v>0</v>
      </c>
      <c r="N88">
        <v>44</v>
      </c>
      <c r="O88" s="1" t="s">
        <v>55</v>
      </c>
      <c r="P88" s="1" t="s">
        <v>64</v>
      </c>
      <c r="Q88" s="1"/>
      <c r="R88" s="1"/>
      <c r="T88">
        <v>44</v>
      </c>
      <c r="U88" s="1" t="s">
        <v>55</v>
      </c>
      <c r="V88" s="1" t="s">
        <v>56</v>
      </c>
      <c r="X88" s="11">
        <v>85</v>
      </c>
      <c r="Y88" s="10">
        <f ca="1">+DCOUNTA($B$1:$D$995,$C$1,X276:Z277)</f>
        <v>0</v>
      </c>
      <c r="Z88" s="10">
        <f ca="1">+DCOUNTA($B$1:$D$995,$C$1,X478:Z479)</f>
        <v>0</v>
      </c>
    </row>
    <row r="89" spans="5:26" ht="13.5" thickBot="1">
      <c r="E89" s="11">
        <v>86</v>
      </c>
      <c r="F89" s="10">
        <f ca="1">+DCOUNTA($B$1:$C$995,$C$1,E278:G279)</f>
        <v>0</v>
      </c>
      <c r="G89" s="10">
        <f ca="1">+DCOUNTA($B$1:$C$995,$C$1,E480:G481)</f>
        <v>0</v>
      </c>
      <c r="I89" s="11">
        <v>86</v>
      </c>
      <c r="J89" s="10">
        <f ca="1">+DCOUNTA($B$1:$D$995,$C$1,I278:K279)</f>
        <v>0</v>
      </c>
      <c r="K89" s="10">
        <f ca="1">+DCOUNTA($B$1:$D$995,$C$1,I480:K481)</f>
        <v>0</v>
      </c>
      <c r="N89" s="1" t="s">
        <v>42</v>
      </c>
      <c r="O89" s="1" t="s">
        <v>44</v>
      </c>
      <c r="P89" s="1" t="s">
        <v>43</v>
      </c>
      <c r="Q89" s="1"/>
      <c r="R89" s="1"/>
      <c r="X89" s="11">
        <v>86</v>
      </c>
      <c r="Y89" s="10">
        <f ca="1">+DCOUNTA($B$1:$D$995,$C$1,X278:Z279)</f>
        <v>0</v>
      </c>
      <c r="Z89" s="10">
        <f ca="1">+DCOUNTA($B$1:$D$995,$C$1,X480:Z481)</f>
        <v>0</v>
      </c>
    </row>
    <row r="90" spans="5:26" ht="13.5" thickBot="1">
      <c r="E90" s="11">
        <v>87</v>
      </c>
      <c r="F90" s="10">
        <f ca="1">+DCOUNTA($B$1:$C$995,$C$1,E280:G281)</f>
        <v>0</v>
      </c>
      <c r="G90" s="10">
        <f ca="1">+DCOUNTA($B$1:$C$995,$C$1,E482:G483)</f>
        <v>0</v>
      </c>
      <c r="I90" s="11">
        <v>87</v>
      </c>
      <c r="J90" s="10">
        <f ca="1">+DCOUNTA($B$1:$D$995,$C$1,I280:K281)</f>
        <v>0</v>
      </c>
      <c r="K90" s="10">
        <f ca="1">+DCOUNTA($B$1:$D$995,$C$1,I482:K483)</f>
        <v>0</v>
      </c>
      <c r="N90">
        <v>18</v>
      </c>
      <c r="O90" s="1" t="s">
        <v>55</v>
      </c>
      <c r="P90" s="1" t="s">
        <v>13</v>
      </c>
      <c r="Q90" s="1"/>
      <c r="R90" s="1"/>
      <c r="S90" s="1"/>
      <c r="T90" s="1"/>
      <c r="U90" s="1"/>
      <c r="V90" s="1"/>
      <c r="X90" s="11">
        <v>87</v>
      </c>
      <c r="Y90" s="10">
        <f ca="1">+DCOUNTA($B$1:$D$995,$C$1,X280:Z281)</f>
        <v>0</v>
      </c>
      <c r="Z90" s="10">
        <f ca="1">+DCOUNTA($B$1:$D$995,$C$1,X482:Z483)</f>
        <v>0</v>
      </c>
    </row>
    <row r="91" spans="5:26" ht="13.5" thickBot="1">
      <c r="E91" s="11">
        <v>88</v>
      </c>
      <c r="F91" s="10">
        <f ca="1">+DCOUNTA($B$1:$C$995,$C$1,E282:G283)</f>
        <v>0</v>
      </c>
      <c r="G91" s="10">
        <f ca="1">+DCOUNTA($B$1:$C$995,$C$1,E484:G485)</f>
        <v>0</v>
      </c>
      <c r="I91" s="11">
        <v>88</v>
      </c>
      <c r="J91" s="10">
        <f ca="1">+DCOUNTA($B$1:$D$995,$C$1,I282:K283)</f>
        <v>0</v>
      </c>
      <c r="K91" s="10">
        <f ca="1">+DCOUNTA($B$1:$D$995,$C$1,I484:K485)</f>
        <v>0</v>
      </c>
      <c r="N91" s="1" t="s">
        <v>42</v>
      </c>
      <c r="O91" s="1" t="s">
        <v>44</v>
      </c>
      <c r="P91" s="1" t="s">
        <v>43</v>
      </c>
      <c r="Q91" s="1"/>
      <c r="R91" s="1"/>
      <c r="S91" s="1"/>
      <c r="U91" s="1"/>
      <c r="V91" s="1"/>
      <c r="X91" s="11">
        <v>88</v>
      </c>
      <c r="Y91" s="10">
        <f ca="1">+DCOUNTA($B$1:$D$995,$C$1,X282:Z283)</f>
        <v>0</v>
      </c>
      <c r="Z91" s="10">
        <f ca="1">+DCOUNTA($B$1:$D$995,$C$1,X484:Z485)</f>
        <v>0</v>
      </c>
    </row>
    <row r="92" spans="5:26" ht="13.5" thickBot="1">
      <c r="E92" s="11">
        <v>89</v>
      </c>
      <c r="F92" s="10">
        <f ca="1">+DCOUNTA($B$1:$C$995,$C$1,E284:G285)</f>
        <v>0</v>
      </c>
      <c r="G92" s="10">
        <f ca="1">+DCOUNTA($B$1:$C$995,$C$1,E486:G487)</f>
        <v>0</v>
      </c>
      <c r="I92" s="11">
        <v>89</v>
      </c>
      <c r="J92" s="10">
        <f ca="1">+DCOUNTA($B$1:$D$995,$C$1,I284:K285)</f>
        <v>0</v>
      </c>
      <c r="K92" s="10">
        <f ca="1">+DCOUNTA($B$1:$D$995,$C$1,I486:K487)</f>
        <v>0</v>
      </c>
      <c r="N92">
        <v>19</v>
      </c>
      <c r="O92" s="1" t="s">
        <v>55</v>
      </c>
      <c r="P92" s="1" t="s">
        <v>13</v>
      </c>
      <c r="Q92" s="1"/>
      <c r="R92" s="1"/>
      <c r="S92" s="1"/>
      <c r="T92" s="1"/>
      <c r="U92" s="1"/>
      <c r="V92" s="1"/>
      <c r="X92" s="11">
        <v>89</v>
      </c>
      <c r="Y92" s="10">
        <f ca="1">+DCOUNTA($B$1:$D$995,$C$1,X284:Z285)</f>
        <v>0</v>
      </c>
      <c r="Z92" s="10">
        <f ca="1">+DCOUNTA($B$1:$D$995,$C$1,X486:Z487)</f>
        <v>0</v>
      </c>
    </row>
    <row r="93" spans="5:26" ht="13.5" thickBot="1">
      <c r="E93" s="11">
        <v>90</v>
      </c>
      <c r="F93" s="10">
        <f ca="1">+DCOUNTA($B$1:$C$995,$C$1,E286:G287)</f>
        <v>0</v>
      </c>
      <c r="G93" s="10">
        <f ca="1">+DCOUNTA($B$1:$C$995,$C$1,E488:G489)</f>
        <v>0</v>
      </c>
      <c r="I93" s="11">
        <v>90</v>
      </c>
      <c r="J93" s="10">
        <f ca="1">+DCOUNTA($B$1:$D$995,$C$1,I286:K287)</f>
        <v>0</v>
      </c>
      <c r="K93" s="10">
        <f ca="1">+DCOUNTA($B$1:$D$995,$C$1,I488:K489)</f>
        <v>0</v>
      </c>
      <c r="N93" s="1" t="s">
        <v>42</v>
      </c>
      <c r="O93" s="1" t="s">
        <v>44</v>
      </c>
      <c r="P93" s="1" t="s">
        <v>43</v>
      </c>
      <c r="Q93" s="1"/>
      <c r="R93" s="1"/>
      <c r="S93" s="1"/>
      <c r="U93" s="1"/>
      <c r="V93" s="1"/>
      <c r="X93" s="11">
        <v>90</v>
      </c>
      <c r="Y93" s="10">
        <f ca="1">+DCOUNTA($B$1:$D$995,$C$1,X286:Z287)</f>
        <v>0</v>
      </c>
      <c r="Z93" s="10">
        <f ca="1">+DCOUNTA($B$1:$D$995,$C$1,X488:Z489)</f>
        <v>0</v>
      </c>
    </row>
    <row r="94" spans="5:26" ht="13.5" thickBot="1">
      <c r="E94" s="11">
        <v>91</v>
      </c>
      <c r="F94" s="10">
        <f ca="1">+DCOUNTA($B$1:$C$995,$C$1,E288:G289)</f>
        <v>0</v>
      </c>
      <c r="G94" s="10">
        <f ca="1">+DCOUNTA($B$1:$C$995,$C$1,E490:G491)</f>
        <v>0</v>
      </c>
      <c r="I94" s="11">
        <v>91</v>
      </c>
      <c r="J94" s="10">
        <f ca="1">+DCOUNTA($B$1:$D$995,$C$1,I288:K289)</f>
        <v>0</v>
      </c>
      <c r="K94" s="10">
        <f ca="1">+DCOUNTA($B$1:$D$995,$C$1,I490:K491)</f>
        <v>0</v>
      </c>
      <c r="N94">
        <v>20</v>
      </c>
      <c r="O94" s="1" t="s">
        <v>55</v>
      </c>
      <c r="P94" s="1" t="s">
        <v>13</v>
      </c>
      <c r="Q94" s="1"/>
      <c r="R94" s="1"/>
      <c r="S94" s="1"/>
      <c r="T94" s="1"/>
      <c r="U94" s="1"/>
      <c r="V94" s="1"/>
      <c r="X94" s="11">
        <v>91</v>
      </c>
      <c r="Y94" s="10">
        <f ca="1">+DCOUNTA($B$1:$D$995,$C$1,X288:Z289)</f>
        <v>0</v>
      </c>
      <c r="Z94" s="10">
        <f ca="1">+DCOUNTA($B$1:$D$995,$C$1,X490:Z491)</f>
        <v>0</v>
      </c>
    </row>
    <row r="95" spans="5:26" ht="13.5" thickBot="1">
      <c r="E95" s="11">
        <v>92</v>
      </c>
      <c r="F95" s="10">
        <f ca="1">+DCOUNTA($B$1:$C$995,$C$1,E290:G291)</f>
        <v>0</v>
      </c>
      <c r="G95" s="10">
        <f ca="1">+DCOUNTA($B$1:$C$995,$C$1,E492:G493)</f>
        <v>0</v>
      </c>
      <c r="I95" s="11">
        <v>92</v>
      </c>
      <c r="J95" s="10">
        <f ca="1">+DCOUNTA($B$1:$D$995,$C$1,I290:K291)</f>
        <v>0</v>
      </c>
      <c r="K95" s="10">
        <f ca="1">+DCOUNTA($B$1:$D$995,$C$1,I492:K493)</f>
        <v>0</v>
      </c>
      <c r="L95" s="1"/>
      <c r="N95" s="1" t="s">
        <v>42</v>
      </c>
      <c r="O95" s="1" t="s">
        <v>44</v>
      </c>
      <c r="P95" s="1" t="s">
        <v>43</v>
      </c>
      <c r="Q95" s="1"/>
      <c r="R95" s="1"/>
      <c r="S95" s="1"/>
      <c r="U95" s="1"/>
      <c r="V95" s="1"/>
      <c r="X95" s="11">
        <v>92</v>
      </c>
      <c r="Y95" s="10">
        <f ca="1">+DCOUNTA($B$1:$D$995,$C$1,X290:Z291)</f>
        <v>0</v>
      </c>
      <c r="Z95" s="10">
        <f ca="1">+DCOUNTA($B$1:$D$995,$C$1,X492:Z493)</f>
        <v>0</v>
      </c>
    </row>
    <row r="96" spans="5:26" ht="13.5" thickBot="1">
      <c r="E96" s="11">
        <v>93</v>
      </c>
      <c r="F96" s="10">
        <f ca="1">+DCOUNTA($B$1:$C$995,$C$1,E292:G293)</f>
        <v>0</v>
      </c>
      <c r="G96" s="10">
        <f ca="1">+DCOUNTA($B$1:$C$995,$C$1,E494:G495)</f>
        <v>0</v>
      </c>
      <c r="I96" s="11">
        <v>93</v>
      </c>
      <c r="J96" s="10">
        <f ca="1">+DCOUNTA($B$1:$D$995,$C$1,I292:K293)</f>
        <v>0</v>
      </c>
      <c r="K96" s="10">
        <f ca="1">+DCOUNTA($B$1:$D$995,$C$1,I494:K495)</f>
        <v>0</v>
      </c>
      <c r="N96">
        <v>21</v>
      </c>
      <c r="O96" s="1" t="s">
        <v>55</v>
      </c>
      <c r="P96" s="1" t="s">
        <v>13</v>
      </c>
      <c r="Q96" s="1"/>
      <c r="R96" s="1"/>
      <c r="S96" s="1"/>
      <c r="T96" s="1"/>
      <c r="U96" s="1"/>
      <c r="V96" s="1"/>
      <c r="X96" s="11">
        <v>93</v>
      </c>
      <c r="Y96" s="10">
        <f ca="1">+DCOUNTA($B$1:$D$995,$C$1,X292:Z293)</f>
        <v>0</v>
      </c>
      <c r="Z96" s="10">
        <f ca="1">+DCOUNTA($B$1:$D$995,$C$1,X494:Z495)</f>
        <v>0</v>
      </c>
    </row>
    <row r="97" spans="5:27" ht="13.5" thickBot="1">
      <c r="E97" s="11">
        <v>94</v>
      </c>
      <c r="F97" s="10">
        <f ca="1">+DCOUNTA($B$1:$C$995,$C$1,E294:G295)</f>
        <v>0</v>
      </c>
      <c r="G97" s="10">
        <f ca="1">+DCOUNTA($B$1:$C$995,$C$1,E496:G497)</f>
        <v>0</v>
      </c>
      <c r="I97" s="11">
        <v>94</v>
      </c>
      <c r="J97" s="10">
        <f ca="1">+DCOUNTA($B$1:$D$995,$C$1,I294:K295)</f>
        <v>0</v>
      </c>
      <c r="K97" s="10">
        <f ca="1">+DCOUNTA($B$1:$D$995,$C$1,I496:K497)</f>
        <v>0</v>
      </c>
      <c r="N97" s="1" t="s">
        <v>42</v>
      </c>
      <c r="O97" s="1" t="s">
        <v>44</v>
      </c>
      <c r="P97" s="1" t="s">
        <v>43</v>
      </c>
      <c r="Q97" s="1"/>
      <c r="R97" s="1"/>
      <c r="S97" s="1"/>
      <c r="U97" s="1"/>
      <c r="V97" s="1"/>
      <c r="X97" s="11">
        <v>94</v>
      </c>
      <c r="Y97" s="10">
        <f ca="1">+DCOUNTA($B$1:$D$995,$C$1,X294:Z295)</f>
        <v>0</v>
      </c>
      <c r="Z97" s="10">
        <f ca="1">+DCOUNTA($B$1:$D$995,$C$1,X496:Z497)</f>
        <v>0</v>
      </c>
    </row>
    <row r="98" spans="5:27" ht="13.5" thickBot="1">
      <c r="E98" s="11">
        <v>95</v>
      </c>
      <c r="F98" s="10">
        <f ca="1">+DCOUNTA($B$1:$C$995,$C$1,E296:G297)</f>
        <v>0</v>
      </c>
      <c r="G98" s="10">
        <f ca="1">+DCOUNTA($B$1:$C$995,$C$1,E498:G499)</f>
        <v>0</v>
      </c>
      <c r="I98" s="11">
        <v>95</v>
      </c>
      <c r="J98" s="10">
        <f ca="1">+DCOUNTA($B$1:$D$995,$C$1,I296:K297)</f>
        <v>0</v>
      </c>
      <c r="K98" s="10">
        <f ca="1">+DCOUNTA($B$1:$D$995,$C$1,I498:K499)</f>
        <v>0</v>
      </c>
      <c r="N98">
        <v>22</v>
      </c>
      <c r="O98" s="1" t="s">
        <v>55</v>
      </c>
      <c r="P98" s="1" t="s">
        <v>13</v>
      </c>
      <c r="Q98" s="1"/>
      <c r="R98" s="1"/>
      <c r="S98" s="1"/>
      <c r="T98" s="1"/>
      <c r="U98" s="1"/>
      <c r="V98" s="1"/>
      <c r="X98" s="11">
        <v>95</v>
      </c>
      <c r="Y98" s="10">
        <f ca="1">+DCOUNTA($B$1:$D$995,$C$1,X296:Z297)</f>
        <v>0</v>
      </c>
      <c r="Z98" s="10">
        <f ca="1">+DCOUNTA($B$1:$D$995,$C$1,X498:Z499)</f>
        <v>0</v>
      </c>
    </row>
    <row r="99" spans="5:27" ht="13.5" thickBot="1">
      <c r="E99" s="11">
        <v>96</v>
      </c>
      <c r="F99" s="10">
        <f ca="1">+DCOUNTA($B$1:$C$995,$C$1,E298:G299)</f>
        <v>0</v>
      </c>
      <c r="G99" s="10">
        <f ca="1">+DCOUNTA($B$1:$C$995,$C$1,E500:G501)</f>
        <v>0</v>
      </c>
      <c r="I99" s="11">
        <v>96</v>
      </c>
      <c r="J99" s="10">
        <f ca="1">+DCOUNTA($B$1:$D$995,$C$1,I298:K299)</f>
        <v>0</v>
      </c>
      <c r="K99" s="10">
        <f ca="1">+DCOUNTA($B$1:$D$995,$C$1,I500:K501)</f>
        <v>0</v>
      </c>
      <c r="N99" s="1" t="s">
        <v>42</v>
      </c>
      <c r="O99" s="1" t="s">
        <v>44</v>
      </c>
      <c r="P99" s="1" t="s">
        <v>43</v>
      </c>
      <c r="Q99" s="1"/>
      <c r="R99" s="1"/>
      <c r="S99" s="1"/>
      <c r="U99" s="1"/>
      <c r="V99" s="1"/>
      <c r="X99" s="11">
        <v>96</v>
      </c>
      <c r="Y99" s="10">
        <f ca="1">+DCOUNTA($B$1:$D$995,$C$1,X298:Z299)</f>
        <v>0</v>
      </c>
      <c r="Z99" s="10">
        <f ca="1">+DCOUNTA($B$1:$D$995,$C$1,X500:Z501)</f>
        <v>0</v>
      </c>
    </row>
    <row r="100" spans="5:27" ht="13.5" thickBot="1">
      <c r="E100" s="11">
        <v>97</v>
      </c>
      <c r="F100" s="10">
        <f ca="1">+DCOUNTA($B$1:$C$995,$C$1,E300:G301)</f>
        <v>0</v>
      </c>
      <c r="G100" s="10">
        <f ca="1">+DCOUNTA($B$1:$C$995,$C$1,E502:G503)</f>
        <v>0</v>
      </c>
      <c r="I100" s="11">
        <v>97</v>
      </c>
      <c r="J100" s="10">
        <f ca="1">+DCOUNTA($B$1:$D$995,$C$1,I300:K301)</f>
        <v>0</v>
      </c>
      <c r="K100" s="10">
        <f ca="1">+DCOUNTA($B$1:$D$995,$C$1,I502:K503)</f>
        <v>0</v>
      </c>
      <c r="N100">
        <v>23</v>
      </c>
      <c r="O100" s="1" t="s">
        <v>55</v>
      </c>
      <c r="P100" s="1" t="s">
        <v>13</v>
      </c>
      <c r="Q100" s="1"/>
      <c r="R100" s="1"/>
      <c r="S100" s="1"/>
      <c r="T100" s="1"/>
      <c r="U100" s="1"/>
      <c r="V100" s="1"/>
      <c r="X100" s="11">
        <v>97</v>
      </c>
      <c r="Y100" s="10">
        <f ca="1">+DCOUNTA($B$1:$D$995,$C$1,X300:Z301)</f>
        <v>0</v>
      </c>
      <c r="Z100" s="10">
        <f ca="1">+DCOUNTA($B$1:$D$995,$C$1,X502:Z503)</f>
        <v>0</v>
      </c>
    </row>
    <row r="101" spans="5:27" ht="13.5" thickBot="1">
      <c r="E101" s="11">
        <v>98</v>
      </c>
      <c r="F101" s="10">
        <f ca="1">+DCOUNTA($B$1:$C$995,$C$1,E302:G303)</f>
        <v>0</v>
      </c>
      <c r="G101" s="10">
        <f ca="1">+DCOUNTA($B$1:$C$995,$C$1,E504:G505)</f>
        <v>0</v>
      </c>
      <c r="I101" s="11">
        <v>98</v>
      </c>
      <c r="J101" s="10">
        <f ca="1">+DCOUNTA($B$1:$D$995,$C$1,I302:K303)</f>
        <v>0</v>
      </c>
      <c r="K101" s="10">
        <f ca="1">+DCOUNTA($B$1:$D$995,$C$1,I504:K505)</f>
        <v>0</v>
      </c>
      <c r="N101" s="1" t="s">
        <v>42</v>
      </c>
      <c r="O101" s="1" t="s">
        <v>44</v>
      </c>
      <c r="P101" s="1" t="s">
        <v>43</v>
      </c>
      <c r="Q101" s="1"/>
      <c r="R101" s="1"/>
      <c r="S101" s="1"/>
      <c r="U101" s="1"/>
      <c r="V101" s="1"/>
      <c r="X101" s="11">
        <v>98</v>
      </c>
      <c r="Y101" s="10">
        <f ca="1">+DCOUNTA($B$1:$D$995,$C$1,X302:Z303)</f>
        <v>0</v>
      </c>
      <c r="Z101" s="10">
        <f ca="1">+DCOUNTA($B$1:$D$995,$C$1,X504:Z505)</f>
        <v>0</v>
      </c>
    </row>
    <row r="102" spans="5:27" ht="13.5" thickBot="1">
      <c r="E102" s="11">
        <v>99</v>
      </c>
      <c r="F102" s="10">
        <f ca="1">+DCOUNTA($B$1:$C$995,$C$1,E304:G305)</f>
        <v>0</v>
      </c>
      <c r="G102" s="10">
        <f ca="1">+DCOUNTA($B$1:$C$995,$C$1,E506:G507)</f>
        <v>0</v>
      </c>
      <c r="I102" s="11">
        <v>99</v>
      </c>
      <c r="J102" s="10">
        <f ca="1">+DCOUNTA($B$1:$D$995,$C$1,I304:K305)</f>
        <v>0</v>
      </c>
      <c r="K102" s="10">
        <f ca="1">+DCOUNTA($B$1:$D$995,$C$1,I506:K507)</f>
        <v>0</v>
      </c>
      <c r="N102">
        <v>24</v>
      </c>
      <c r="O102" s="1" t="s">
        <v>55</v>
      </c>
      <c r="P102" s="1" t="s">
        <v>13</v>
      </c>
      <c r="Q102" s="1"/>
      <c r="R102" s="1"/>
      <c r="S102" s="1"/>
      <c r="T102" s="1"/>
      <c r="U102" s="1"/>
      <c r="V102" s="1"/>
      <c r="X102" s="11">
        <v>99</v>
      </c>
      <c r="Y102" s="10">
        <f ca="1">+DCOUNTA($B$1:$D$995,$C$1,X304:Z305)</f>
        <v>0</v>
      </c>
      <c r="Z102" s="10">
        <f ca="1">+DCOUNTA($B$1:$D$995,$C$1,X506:Z507)</f>
        <v>0</v>
      </c>
    </row>
    <row r="103" spans="5:27" ht="13">
      <c r="E103" s="11">
        <v>100</v>
      </c>
      <c r="F103" s="10">
        <f ca="1">+DCOUNTA($B$1:$C$995,$C$1,E306:G307)</f>
        <v>0</v>
      </c>
      <c r="G103" s="10">
        <f ca="1">+DCOUNTA($B$1:$C$995,$C$1,E508:G509)</f>
        <v>0</v>
      </c>
      <c r="H103" s="5"/>
      <c r="I103" s="11">
        <v>100</v>
      </c>
      <c r="J103" s="10">
        <f ca="1">+DCOUNTA($B$1:$D$995,$C$1,I306:K307)</f>
        <v>0</v>
      </c>
      <c r="K103" s="10">
        <f ca="1">+DCOUNTA($B$1:$D$995,$C$1,I508:K509)</f>
        <v>0</v>
      </c>
      <c r="N103" s="1" t="s">
        <v>42</v>
      </c>
      <c r="O103" s="1" t="s">
        <v>44</v>
      </c>
      <c r="P103" s="1" t="s">
        <v>43</v>
      </c>
      <c r="Q103" s="1"/>
      <c r="R103" s="1"/>
      <c r="S103" s="1"/>
      <c r="U103" s="1"/>
      <c r="V103" s="1"/>
      <c r="X103" s="11">
        <v>100</v>
      </c>
      <c r="Y103" s="10">
        <f ca="1">+DCOUNTA($B$1:$D$995,$C$1,X306:Z307)</f>
        <v>0</v>
      </c>
      <c r="Z103" s="10">
        <f ca="1">+DCOUNTA($B$1:$D$995,$C$1,X508:Z509)</f>
        <v>0</v>
      </c>
    </row>
    <row r="104" spans="5:27" ht="13.5" thickBot="1">
      <c r="E104" s="12" t="s">
        <v>52</v>
      </c>
      <c r="F104" s="13">
        <f ca="1">SUM(F3:F103)</f>
        <v>0</v>
      </c>
      <c r="G104" s="14">
        <f ca="1">SUM(G3:G103)</f>
        <v>0</v>
      </c>
      <c r="H104" s="17"/>
      <c r="I104" s="12" t="s">
        <v>52</v>
      </c>
      <c r="J104" s="13">
        <f ca="1">SUM(J3:J103)</f>
        <v>0</v>
      </c>
      <c r="K104" s="14">
        <f ca="1">SUM(K3:K103)</f>
        <v>0</v>
      </c>
      <c r="N104">
        <v>25</v>
      </c>
      <c r="O104" s="1" t="s">
        <v>55</v>
      </c>
      <c r="P104" s="1" t="s">
        <v>13</v>
      </c>
      <c r="Q104" s="1"/>
      <c r="R104" s="1"/>
      <c r="S104" s="1"/>
      <c r="T104" s="1"/>
      <c r="U104" s="1"/>
      <c r="V104" s="1"/>
      <c r="X104" s="12" t="s">
        <v>52</v>
      </c>
      <c r="Y104" s="13">
        <f ca="1">SUM(Y3:Y103)</f>
        <v>0</v>
      </c>
      <c r="Z104" s="14">
        <f ca="1">SUM(Z3:Z103)</f>
        <v>0</v>
      </c>
      <c r="AA104" s="82">
        <f ca="1">+Y104+Z104</f>
        <v>0</v>
      </c>
    </row>
    <row r="105" spans="5:27">
      <c r="N105" s="1" t="s">
        <v>42</v>
      </c>
      <c r="O105" s="1" t="s">
        <v>44</v>
      </c>
      <c r="P105" s="1" t="s">
        <v>43</v>
      </c>
      <c r="Q105" s="1"/>
      <c r="R105" s="1"/>
      <c r="S105" s="1"/>
      <c r="U105" s="1"/>
      <c r="V105" s="1"/>
      <c r="W105" s="1"/>
    </row>
    <row r="106" spans="5:27">
      <c r="F106" s="1" t="s">
        <v>42</v>
      </c>
      <c r="G106" s="1" t="s">
        <v>44</v>
      </c>
      <c r="H106" s="1"/>
      <c r="I106" s="1" t="s">
        <v>42</v>
      </c>
      <c r="J106" s="1" t="s">
        <v>44</v>
      </c>
      <c r="K106" s="1" t="s">
        <v>43</v>
      </c>
      <c r="N106">
        <v>26</v>
      </c>
      <c r="O106" s="1" t="s">
        <v>55</v>
      </c>
      <c r="P106" s="1" t="s">
        <v>13</v>
      </c>
      <c r="Q106" s="1"/>
      <c r="R106" s="1"/>
      <c r="S106" s="1"/>
      <c r="T106" s="1"/>
      <c r="U106" s="1"/>
      <c r="V106" s="1"/>
      <c r="W106" s="1"/>
      <c r="X106" s="1" t="s">
        <v>42</v>
      </c>
      <c r="Y106" s="1" t="s">
        <v>44</v>
      </c>
      <c r="Z106" s="1" t="s">
        <v>43</v>
      </c>
    </row>
    <row r="107" spans="5:27">
      <c r="F107">
        <v>0</v>
      </c>
      <c r="G107" s="1" t="str">
        <f>"M"</f>
        <v>M</v>
      </c>
      <c r="H107" s="1"/>
      <c r="I107">
        <v>0</v>
      </c>
      <c r="J107" s="1" t="s">
        <v>53</v>
      </c>
      <c r="K107" s="1" t="s">
        <v>54</v>
      </c>
      <c r="N107" s="1" t="s">
        <v>42</v>
      </c>
      <c r="O107" s="1" t="s">
        <v>44</v>
      </c>
      <c r="P107" s="1" t="s">
        <v>43</v>
      </c>
      <c r="Q107" s="1"/>
      <c r="R107" s="1"/>
      <c r="S107" s="1"/>
      <c r="U107" s="1"/>
      <c r="V107" s="1"/>
      <c r="W107" s="1"/>
      <c r="X107">
        <v>0</v>
      </c>
      <c r="Y107" s="1" t="s">
        <v>53</v>
      </c>
      <c r="Z107" s="1" t="s">
        <v>56</v>
      </c>
    </row>
    <row r="108" spans="5:27">
      <c r="F108" s="1" t="s">
        <v>42</v>
      </c>
      <c r="G108" s="1" t="s">
        <v>44</v>
      </c>
      <c r="H108" s="1"/>
      <c r="I108" s="1" t="s">
        <v>42</v>
      </c>
      <c r="J108" s="1" t="s">
        <v>44</v>
      </c>
      <c r="K108" s="1" t="s">
        <v>43</v>
      </c>
      <c r="N108">
        <v>27</v>
      </c>
      <c r="O108" s="1" t="s">
        <v>55</v>
      </c>
      <c r="P108" s="1" t="s">
        <v>13</v>
      </c>
      <c r="Q108" s="1"/>
      <c r="R108" s="1"/>
      <c r="S108" s="1"/>
      <c r="T108" s="1"/>
      <c r="U108" s="1"/>
      <c r="V108" s="1"/>
      <c r="W108" s="1"/>
      <c r="X108" s="1" t="s">
        <v>42</v>
      </c>
      <c r="Y108" s="1" t="s">
        <v>44</v>
      </c>
      <c r="Z108" s="1" t="s">
        <v>43</v>
      </c>
    </row>
    <row r="109" spans="5:27">
      <c r="F109">
        <v>1</v>
      </c>
      <c r="G109" s="1" t="s">
        <v>53</v>
      </c>
      <c r="H109" s="1"/>
      <c r="I109">
        <v>1</v>
      </c>
      <c r="J109" s="1" t="s">
        <v>53</v>
      </c>
      <c r="K109" s="1" t="s">
        <v>54</v>
      </c>
      <c r="N109" s="1" t="s">
        <v>42</v>
      </c>
      <c r="O109" s="1" t="s">
        <v>44</v>
      </c>
      <c r="P109" s="1" t="s">
        <v>43</v>
      </c>
      <c r="Q109" s="1"/>
      <c r="R109" s="1"/>
      <c r="S109" s="1"/>
      <c r="U109" s="1"/>
      <c r="V109" s="1"/>
      <c r="W109" s="1"/>
      <c r="X109">
        <v>1</v>
      </c>
      <c r="Y109" s="1" t="s">
        <v>53</v>
      </c>
      <c r="Z109" s="1" t="s">
        <v>56</v>
      </c>
    </row>
    <row r="110" spans="5:27">
      <c r="F110" s="1" t="s">
        <v>42</v>
      </c>
      <c r="G110" s="1" t="s">
        <v>44</v>
      </c>
      <c r="H110" s="1"/>
      <c r="I110" s="1" t="s">
        <v>42</v>
      </c>
      <c r="J110" s="1" t="s">
        <v>44</v>
      </c>
      <c r="K110" s="1" t="s">
        <v>43</v>
      </c>
      <c r="N110">
        <v>28</v>
      </c>
      <c r="O110" s="1" t="s">
        <v>55</v>
      </c>
      <c r="P110" s="1" t="s">
        <v>13</v>
      </c>
      <c r="Q110" s="1"/>
      <c r="R110" s="1"/>
      <c r="S110" s="1"/>
      <c r="T110" s="1"/>
      <c r="U110" s="1"/>
      <c r="V110" s="1"/>
      <c r="W110" s="1"/>
      <c r="X110" s="1" t="s">
        <v>42</v>
      </c>
      <c r="Y110" s="1" t="s">
        <v>44</v>
      </c>
      <c r="Z110" s="1" t="s">
        <v>43</v>
      </c>
    </row>
    <row r="111" spans="5:27">
      <c r="F111">
        <v>2</v>
      </c>
      <c r="G111" s="1" t="s">
        <v>53</v>
      </c>
      <c r="H111" s="1"/>
      <c r="I111">
        <v>2</v>
      </c>
      <c r="J111" s="1" t="s">
        <v>53</v>
      </c>
      <c r="K111" s="1" t="s">
        <v>54</v>
      </c>
      <c r="N111" s="1" t="s">
        <v>42</v>
      </c>
      <c r="O111" s="1" t="s">
        <v>44</v>
      </c>
      <c r="P111" s="1" t="s">
        <v>43</v>
      </c>
      <c r="Q111" s="1"/>
      <c r="R111" s="1"/>
      <c r="S111" s="1"/>
      <c r="U111" s="1"/>
      <c r="V111" s="1"/>
      <c r="W111" s="1"/>
      <c r="X111">
        <v>2</v>
      </c>
      <c r="Y111" s="1" t="s">
        <v>53</v>
      </c>
      <c r="Z111" s="1" t="s">
        <v>56</v>
      </c>
    </row>
    <row r="112" spans="5:27">
      <c r="F112" s="1" t="s">
        <v>42</v>
      </c>
      <c r="G112" s="1" t="s">
        <v>44</v>
      </c>
      <c r="H112" s="1"/>
      <c r="I112" s="1" t="s">
        <v>42</v>
      </c>
      <c r="J112" s="1" t="s">
        <v>44</v>
      </c>
      <c r="K112" s="1" t="s">
        <v>43</v>
      </c>
      <c r="N112">
        <v>29</v>
      </c>
      <c r="O112" s="1" t="s">
        <v>55</v>
      </c>
      <c r="P112" s="1" t="s">
        <v>13</v>
      </c>
      <c r="Q112" s="1"/>
      <c r="R112" s="1"/>
      <c r="S112" s="1"/>
      <c r="T112" s="1"/>
      <c r="U112" s="1"/>
      <c r="V112" s="1"/>
      <c r="W112" s="1"/>
      <c r="X112" s="1" t="s">
        <v>42</v>
      </c>
      <c r="Y112" s="1" t="s">
        <v>44</v>
      </c>
      <c r="Z112" s="1" t="s">
        <v>43</v>
      </c>
    </row>
    <row r="113" spans="6:26">
      <c r="F113">
        <v>3</v>
      </c>
      <c r="G113" s="1" t="s">
        <v>53</v>
      </c>
      <c r="H113" s="1"/>
      <c r="I113">
        <v>3</v>
      </c>
      <c r="J113" s="1" t="s">
        <v>53</v>
      </c>
      <c r="K113" s="1" t="s">
        <v>54</v>
      </c>
      <c r="N113" s="1" t="s">
        <v>42</v>
      </c>
      <c r="O113" s="1" t="s">
        <v>44</v>
      </c>
      <c r="P113" s="1" t="s">
        <v>43</v>
      </c>
      <c r="Q113" s="1"/>
      <c r="R113" s="1"/>
      <c r="S113" s="1"/>
      <c r="T113" s="1"/>
      <c r="U113" s="1"/>
      <c r="V113" s="1"/>
      <c r="W113" s="1"/>
      <c r="X113">
        <v>3</v>
      </c>
      <c r="Y113" s="1" t="s">
        <v>53</v>
      </c>
      <c r="Z113" s="1" t="s">
        <v>56</v>
      </c>
    </row>
    <row r="114" spans="6:26">
      <c r="F114" s="1" t="s">
        <v>42</v>
      </c>
      <c r="G114" s="1" t="s">
        <v>44</v>
      </c>
      <c r="H114" s="1"/>
      <c r="I114" s="1" t="s">
        <v>42</v>
      </c>
      <c r="J114" s="1" t="s">
        <v>44</v>
      </c>
      <c r="K114" s="1" t="s">
        <v>43</v>
      </c>
      <c r="N114">
        <v>30</v>
      </c>
      <c r="O114" s="1" t="s">
        <v>55</v>
      </c>
      <c r="P114" s="1" t="s">
        <v>13</v>
      </c>
      <c r="Q114" s="1"/>
      <c r="R114" s="1"/>
      <c r="S114" s="1"/>
      <c r="T114" s="1"/>
      <c r="U114" s="1"/>
      <c r="V114" s="1"/>
      <c r="W114" s="1"/>
      <c r="X114" s="1" t="s">
        <v>42</v>
      </c>
      <c r="Y114" s="1" t="s">
        <v>44</v>
      </c>
      <c r="Z114" s="1" t="s">
        <v>43</v>
      </c>
    </row>
    <row r="115" spans="6:26">
      <c r="F115">
        <v>4</v>
      </c>
      <c r="G115" s="1" t="s">
        <v>53</v>
      </c>
      <c r="H115" s="1"/>
      <c r="I115">
        <v>4</v>
      </c>
      <c r="J115" s="1" t="s">
        <v>53</v>
      </c>
      <c r="K115" s="1" t="s">
        <v>54</v>
      </c>
      <c r="N115" s="1" t="s">
        <v>42</v>
      </c>
      <c r="O115" s="1" t="s">
        <v>44</v>
      </c>
      <c r="P115" s="1" t="s">
        <v>43</v>
      </c>
      <c r="Q115" s="1"/>
      <c r="R115" s="1"/>
      <c r="S115" s="1"/>
      <c r="T115" s="1"/>
      <c r="U115" s="1"/>
      <c r="V115" s="1"/>
      <c r="W115" s="1"/>
      <c r="X115">
        <v>4</v>
      </c>
      <c r="Y115" s="1" t="s">
        <v>53</v>
      </c>
      <c r="Z115" s="1" t="s">
        <v>56</v>
      </c>
    </row>
    <row r="116" spans="6:26">
      <c r="F116" s="1" t="s">
        <v>42</v>
      </c>
      <c r="G116" s="1" t="s">
        <v>44</v>
      </c>
      <c r="H116" s="1"/>
      <c r="I116" s="1" t="s">
        <v>42</v>
      </c>
      <c r="J116" s="1" t="s">
        <v>44</v>
      </c>
      <c r="K116" s="1" t="s">
        <v>43</v>
      </c>
      <c r="N116">
        <v>31</v>
      </c>
      <c r="O116" s="1" t="s">
        <v>55</v>
      </c>
      <c r="P116" s="1" t="s">
        <v>13</v>
      </c>
      <c r="Q116" s="1"/>
      <c r="R116" s="1"/>
      <c r="S116" s="1"/>
      <c r="T116" s="1"/>
      <c r="U116" s="1"/>
      <c r="V116" s="1"/>
      <c r="W116" s="1"/>
      <c r="X116" s="1" t="s">
        <v>42</v>
      </c>
      <c r="Y116" s="1" t="s">
        <v>44</v>
      </c>
      <c r="Z116" s="1" t="s">
        <v>43</v>
      </c>
    </row>
    <row r="117" spans="6:26">
      <c r="F117">
        <v>5</v>
      </c>
      <c r="G117" s="1" t="s">
        <v>53</v>
      </c>
      <c r="H117" s="1"/>
      <c r="I117">
        <v>5</v>
      </c>
      <c r="J117" s="1" t="s">
        <v>53</v>
      </c>
      <c r="K117" s="1" t="s">
        <v>54</v>
      </c>
      <c r="N117" s="1" t="s">
        <v>42</v>
      </c>
      <c r="O117" s="1" t="s">
        <v>44</v>
      </c>
      <c r="P117" s="1" t="s">
        <v>43</v>
      </c>
      <c r="Q117" s="1"/>
      <c r="R117" s="1"/>
      <c r="S117" s="1"/>
      <c r="T117" s="1"/>
      <c r="U117" s="1"/>
      <c r="V117" s="1"/>
      <c r="W117" s="1"/>
      <c r="X117">
        <v>5</v>
      </c>
      <c r="Y117" s="1" t="s">
        <v>53</v>
      </c>
      <c r="Z117" s="1" t="s">
        <v>56</v>
      </c>
    </row>
    <row r="118" spans="6:26">
      <c r="F118" s="1" t="s">
        <v>42</v>
      </c>
      <c r="G118" s="1" t="s">
        <v>44</v>
      </c>
      <c r="H118" s="1"/>
      <c r="I118" s="1" t="s">
        <v>42</v>
      </c>
      <c r="J118" s="1" t="s">
        <v>44</v>
      </c>
      <c r="K118" s="1" t="s">
        <v>43</v>
      </c>
      <c r="N118">
        <v>32</v>
      </c>
      <c r="O118" s="1" t="s">
        <v>55</v>
      </c>
      <c r="P118" s="1" t="s">
        <v>13</v>
      </c>
      <c r="Q118" s="1"/>
      <c r="R118" s="1"/>
      <c r="W118" s="1"/>
      <c r="X118" s="1" t="s">
        <v>42</v>
      </c>
      <c r="Y118" s="1" t="s">
        <v>44</v>
      </c>
      <c r="Z118" s="1" t="s">
        <v>43</v>
      </c>
    </row>
    <row r="119" spans="6:26">
      <c r="F119">
        <v>6</v>
      </c>
      <c r="G119" s="1" t="s">
        <v>53</v>
      </c>
      <c r="H119" s="1"/>
      <c r="I119">
        <v>6</v>
      </c>
      <c r="J119" s="1" t="s">
        <v>53</v>
      </c>
      <c r="K119" s="1" t="s">
        <v>54</v>
      </c>
      <c r="N119" s="1" t="s">
        <v>42</v>
      </c>
      <c r="O119" s="1" t="s">
        <v>44</v>
      </c>
      <c r="P119" s="1" t="s">
        <v>43</v>
      </c>
      <c r="Q119" s="1"/>
      <c r="R119" s="1"/>
      <c r="W119" s="1"/>
      <c r="X119">
        <v>6</v>
      </c>
      <c r="Y119" s="1" t="s">
        <v>53</v>
      </c>
      <c r="Z119" s="1" t="s">
        <v>56</v>
      </c>
    </row>
    <row r="120" spans="6:26">
      <c r="F120" s="1" t="s">
        <v>42</v>
      </c>
      <c r="G120" s="1" t="s">
        <v>44</v>
      </c>
      <c r="H120" s="1"/>
      <c r="I120" s="1" t="s">
        <v>42</v>
      </c>
      <c r="J120" s="1" t="s">
        <v>44</v>
      </c>
      <c r="K120" s="1" t="s">
        <v>43</v>
      </c>
      <c r="N120">
        <v>33</v>
      </c>
      <c r="O120" s="1" t="s">
        <v>55</v>
      </c>
      <c r="P120" s="1" t="s">
        <v>13</v>
      </c>
      <c r="Q120" s="1"/>
      <c r="R120" s="1"/>
      <c r="W120" s="1"/>
      <c r="X120" s="1" t="s">
        <v>42</v>
      </c>
      <c r="Y120" s="1" t="s">
        <v>44</v>
      </c>
      <c r="Z120" s="1" t="s">
        <v>43</v>
      </c>
    </row>
    <row r="121" spans="6:26">
      <c r="F121">
        <v>7</v>
      </c>
      <c r="G121" s="1" t="s">
        <v>53</v>
      </c>
      <c r="H121" s="1"/>
      <c r="I121">
        <v>7</v>
      </c>
      <c r="J121" s="1" t="s">
        <v>53</v>
      </c>
      <c r="K121" s="1" t="s">
        <v>54</v>
      </c>
      <c r="N121" s="1" t="s">
        <v>42</v>
      </c>
      <c r="O121" s="1" t="s">
        <v>44</v>
      </c>
      <c r="P121" s="1" t="s">
        <v>43</v>
      </c>
      <c r="Q121" s="1"/>
      <c r="R121" s="1"/>
      <c r="W121" s="1"/>
      <c r="X121">
        <v>7</v>
      </c>
      <c r="Y121" s="1" t="s">
        <v>53</v>
      </c>
      <c r="Z121" s="1" t="s">
        <v>56</v>
      </c>
    </row>
    <row r="122" spans="6:26">
      <c r="F122" s="1" t="s">
        <v>42</v>
      </c>
      <c r="G122" s="1" t="s">
        <v>44</v>
      </c>
      <c r="H122" s="1"/>
      <c r="I122" s="1" t="s">
        <v>42</v>
      </c>
      <c r="J122" s="1" t="s">
        <v>44</v>
      </c>
      <c r="K122" s="1" t="s">
        <v>43</v>
      </c>
      <c r="N122">
        <v>34</v>
      </c>
      <c r="O122" s="1" t="s">
        <v>55</v>
      </c>
      <c r="P122" s="1" t="s">
        <v>13</v>
      </c>
      <c r="Q122" s="1"/>
      <c r="R122" s="1"/>
      <c r="W122" s="1"/>
      <c r="X122" s="1" t="s">
        <v>42</v>
      </c>
      <c r="Y122" s="1" t="s">
        <v>44</v>
      </c>
      <c r="Z122" s="1" t="s">
        <v>43</v>
      </c>
    </row>
    <row r="123" spans="6:26">
      <c r="F123">
        <v>8</v>
      </c>
      <c r="G123" s="1" t="s">
        <v>53</v>
      </c>
      <c r="H123" s="1"/>
      <c r="I123">
        <v>8</v>
      </c>
      <c r="J123" s="1" t="s">
        <v>53</v>
      </c>
      <c r="K123" s="1" t="s">
        <v>54</v>
      </c>
      <c r="N123" s="1" t="s">
        <v>42</v>
      </c>
      <c r="O123" s="1" t="s">
        <v>44</v>
      </c>
      <c r="P123" s="1" t="s">
        <v>43</v>
      </c>
      <c r="Q123" s="1"/>
      <c r="R123" s="1"/>
      <c r="W123" s="1"/>
      <c r="X123">
        <v>8</v>
      </c>
      <c r="Y123" s="1" t="s">
        <v>53</v>
      </c>
      <c r="Z123" s="1" t="s">
        <v>56</v>
      </c>
    </row>
    <row r="124" spans="6:26">
      <c r="F124" s="1" t="s">
        <v>42</v>
      </c>
      <c r="G124" s="1" t="s">
        <v>44</v>
      </c>
      <c r="H124" s="1"/>
      <c r="I124" s="1" t="s">
        <v>42</v>
      </c>
      <c r="J124" s="1" t="s">
        <v>44</v>
      </c>
      <c r="K124" s="1" t="s">
        <v>43</v>
      </c>
      <c r="N124">
        <v>35</v>
      </c>
      <c r="O124" s="1" t="s">
        <v>55</v>
      </c>
      <c r="P124" s="1" t="s">
        <v>13</v>
      </c>
      <c r="Q124" s="1"/>
      <c r="R124" s="1"/>
      <c r="W124" s="1"/>
      <c r="X124" s="1" t="s">
        <v>42</v>
      </c>
      <c r="Y124" s="1" t="s">
        <v>44</v>
      </c>
      <c r="Z124" s="1" t="s">
        <v>43</v>
      </c>
    </row>
    <row r="125" spans="6:26">
      <c r="F125">
        <v>9</v>
      </c>
      <c r="G125" s="1" t="s">
        <v>53</v>
      </c>
      <c r="H125" s="1"/>
      <c r="I125">
        <v>9</v>
      </c>
      <c r="J125" s="1" t="s">
        <v>53</v>
      </c>
      <c r="K125" s="1" t="s">
        <v>54</v>
      </c>
      <c r="N125" s="1" t="s">
        <v>42</v>
      </c>
      <c r="O125" s="1" t="s">
        <v>44</v>
      </c>
      <c r="P125" s="1" t="s">
        <v>43</v>
      </c>
      <c r="Q125" s="1"/>
      <c r="R125" s="1"/>
      <c r="W125" s="1"/>
      <c r="X125">
        <v>9</v>
      </c>
      <c r="Y125" s="1" t="s">
        <v>53</v>
      </c>
      <c r="Z125" s="1" t="s">
        <v>56</v>
      </c>
    </row>
    <row r="126" spans="6:26">
      <c r="F126" s="1" t="s">
        <v>42</v>
      </c>
      <c r="G126" s="1" t="s">
        <v>44</v>
      </c>
      <c r="H126" s="1"/>
      <c r="I126" s="1" t="s">
        <v>42</v>
      </c>
      <c r="J126" s="1" t="s">
        <v>44</v>
      </c>
      <c r="K126" s="1" t="s">
        <v>43</v>
      </c>
      <c r="N126">
        <v>36</v>
      </c>
      <c r="O126" s="1" t="s">
        <v>55</v>
      </c>
      <c r="P126" s="1" t="s">
        <v>13</v>
      </c>
      <c r="Q126" s="1"/>
      <c r="R126" s="1"/>
      <c r="W126" s="1"/>
      <c r="X126" s="1" t="s">
        <v>42</v>
      </c>
      <c r="Y126" s="1" t="s">
        <v>44</v>
      </c>
      <c r="Z126" s="1" t="s">
        <v>43</v>
      </c>
    </row>
    <row r="127" spans="6:26">
      <c r="F127">
        <v>10</v>
      </c>
      <c r="G127" s="1" t="s">
        <v>53</v>
      </c>
      <c r="H127" s="1"/>
      <c r="I127">
        <v>10</v>
      </c>
      <c r="J127" s="1" t="s">
        <v>53</v>
      </c>
      <c r="K127" s="1" t="s">
        <v>54</v>
      </c>
      <c r="N127" s="1" t="s">
        <v>42</v>
      </c>
      <c r="O127" s="1" t="s">
        <v>44</v>
      </c>
      <c r="P127" s="1" t="s">
        <v>43</v>
      </c>
      <c r="Q127" s="1"/>
      <c r="R127" s="1"/>
      <c r="W127" s="1"/>
      <c r="X127">
        <v>10</v>
      </c>
      <c r="Y127" s="1" t="s">
        <v>53</v>
      </c>
      <c r="Z127" s="1" t="s">
        <v>56</v>
      </c>
    </row>
    <row r="128" spans="6:26">
      <c r="F128" s="1" t="s">
        <v>42</v>
      </c>
      <c r="G128" s="1" t="s">
        <v>44</v>
      </c>
      <c r="H128" s="1"/>
      <c r="I128" s="1" t="s">
        <v>42</v>
      </c>
      <c r="J128" s="1" t="s">
        <v>44</v>
      </c>
      <c r="K128" s="1" t="s">
        <v>43</v>
      </c>
      <c r="N128">
        <v>37</v>
      </c>
      <c r="O128" s="1" t="s">
        <v>55</v>
      </c>
      <c r="P128" s="1" t="s">
        <v>13</v>
      </c>
      <c r="Q128" s="1"/>
      <c r="R128" s="1"/>
      <c r="W128" s="1"/>
      <c r="X128" s="1" t="s">
        <v>42</v>
      </c>
      <c r="Y128" s="1" t="s">
        <v>44</v>
      </c>
      <c r="Z128" s="1" t="s">
        <v>43</v>
      </c>
    </row>
    <row r="129" spans="6:26">
      <c r="F129">
        <v>11</v>
      </c>
      <c r="G129" s="1" t="s">
        <v>53</v>
      </c>
      <c r="H129" s="1"/>
      <c r="I129">
        <v>11</v>
      </c>
      <c r="J129" s="1" t="s">
        <v>53</v>
      </c>
      <c r="K129" s="1" t="s">
        <v>54</v>
      </c>
      <c r="N129" s="1" t="s">
        <v>42</v>
      </c>
      <c r="O129" s="1" t="s">
        <v>44</v>
      </c>
      <c r="P129" s="1" t="s">
        <v>43</v>
      </c>
      <c r="Q129" s="1"/>
      <c r="R129" s="1"/>
      <c r="W129" s="1"/>
      <c r="X129">
        <v>11</v>
      </c>
      <c r="Y129" s="1" t="s">
        <v>53</v>
      </c>
      <c r="Z129" s="1" t="s">
        <v>56</v>
      </c>
    </row>
    <row r="130" spans="6:26">
      <c r="F130" s="1" t="s">
        <v>42</v>
      </c>
      <c r="G130" s="1" t="s">
        <v>44</v>
      </c>
      <c r="H130" s="1"/>
      <c r="I130" s="1" t="s">
        <v>42</v>
      </c>
      <c r="J130" s="1" t="s">
        <v>44</v>
      </c>
      <c r="K130" s="1" t="s">
        <v>43</v>
      </c>
      <c r="N130">
        <v>38</v>
      </c>
      <c r="O130" s="1" t="s">
        <v>55</v>
      </c>
      <c r="P130" s="1" t="s">
        <v>13</v>
      </c>
      <c r="Q130" s="1"/>
      <c r="R130" s="1"/>
      <c r="W130" s="1"/>
      <c r="X130" s="1" t="s">
        <v>42</v>
      </c>
      <c r="Y130" s="1" t="s">
        <v>44</v>
      </c>
      <c r="Z130" s="1" t="s">
        <v>43</v>
      </c>
    </row>
    <row r="131" spans="6:26">
      <c r="F131">
        <v>12</v>
      </c>
      <c r="G131" s="1" t="s">
        <v>53</v>
      </c>
      <c r="H131" s="1"/>
      <c r="I131">
        <v>12</v>
      </c>
      <c r="J131" s="1" t="s">
        <v>53</v>
      </c>
      <c r="K131" s="1" t="s">
        <v>54</v>
      </c>
      <c r="N131" s="1" t="s">
        <v>42</v>
      </c>
      <c r="O131" s="1" t="s">
        <v>44</v>
      </c>
      <c r="P131" s="1" t="s">
        <v>43</v>
      </c>
      <c r="Q131" s="1"/>
      <c r="R131" s="1"/>
      <c r="W131" s="1"/>
      <c r="X131">
        <v>12</v>
      </c>
      <c r="Y131" s="1" t="s">
        <v>53</v>
      </c>
      <c r="Z131" s="1" t="s">
        <v>56</v>
      </c>
    </row>
    <row r="132" spans="6:26">
      <c r="F132" s="1" t="s">
        <v>42</v>
      </c>
      <c r="G132" s="1" t="s">
        <v>44</v>
      </c>
      <c r="H132" s="1"/>
      <c r="I132" s="1" t="s">
        <v>42</v>
      </c>
      <c r="J132" s="1" t="s">
        <v>44</v>
      </c>
      <c r="K132" s="1" t="s">
        <v>43</v>
      </c>
      <c r="N132">
        <v>39</v>
      </c>
      <c r="O132" s="1" t="s">
        <v>55</v>
      </c>
      <c r="P132" s="1" t="s">
        <v>13</v>
      </c>
      <c r="Q132" s="1"/>
      <c r="R132" s="1"/>
      <c r="W132" s="1"/>
      <c r="X132" s="1" t="s">
        <v>42</v>
      </c>
      <c r="Y132" s="1" t="s">
        <v>44</v>
      </c>
      <c r="Z132" s="1" t="s">
        <v>43</v>
      </c>
    </row>
    <row r="133" spans="6:26">
      <c r="F133">
        <v>13</v>
      </c>
      <c r="G133" s="1" t="s">
        <v>53</v>
      </c>
      <c r="H133" s="1"/>
      <c r="I133">
        <v>13</v>
      </c>
      <c r="J133" s="1" t="s">
        <v>53</v>
      </c>
      <c r="K133" s="1" t="s">
        <v>54</v>
      </c>
      <c r="N133" s="1" t="s">
        <v>42</v>
      </c>
      <c r="O133" s="1" t="s">
        <v>44</v>
      </c>
      <c r="P133" s="1" t="s">
        <v>43</v>
      </c>
      <c r="Q133" s="1"/>
      <c r="R133" s="1"/>
      <c r="W133" s="1"/>
      <c r="X133">
        <v>13</v>
      </c>
      <c r="Y133" s="1" t="s">
        <v>53</v>
      </c>
      <c r="Z133" s="1" t="s">
        <v>56</v>
      </c>
    </row>
    <row r="134" spans="6:26">
      <c r="F134" s="1" t="s">
        <v>42</v>
      </c>
      <c r="G134" s="1" t="s">
        <v>44</v>
      </c>
      <c r="H134" s="1"/>
      <c r="I134" s="1" t="s">
        <v>42</v>
      </c>
      <c r="J134" s="1" t="s">
        <v>44</v>
      </c>
      <c r="K134" s="1" t="s">
        <v>43</v>
      </c>
      <c r="N134">
        <v>40</v>
      </c>
      <c r="O134" s="1" t="s">
        <v>55</v>
      </c>
      <c r="P134" s="1" t="s">
        <v>13</v>
      </c>
      <c r="Q134" s="1"/>
      <c r="R134" s="1"/>
      <c r="W134" s="1"/>
      <c r="X134" s="1" t="s">
        <v>42</v>
      </c>
      <c r="Y134" s="1" t="s">
        <v>44</v>
      </c>
      <c r="Z134" s="1" t="s">
        <v>43</v>
      </c>
    </row>
    <row r="135" spans="6:26">
      <c r="F135">
        <v>14</v>
      </c>
      <c r="G135" s="1" t="s">
        <v>53</v>
      </c>
      <c r="H135" s="1"/>
      <c r="I135">
        <v>14</v>
      </c>
      <c r="J135" s="1" t="s">
        <v>53</v>
      </c>
      <c r="K135" s="1" t="s">
        <v>54</v>
      </c>
      <c r="N135" s="1" t="s">
        <v>42</v>
      </c>
      <c r="O135" s="1" t="s">
        <v>44</v>
      </c>
      <c r="P135" s="1" t="s">
        <v>43</v>
      </c>
      <c r="Q135" s="1"/>
      <c r="R135" s="1"/>
      <c r="W135" s="1"/>
      <c r="X135">
        <v>14</v>
      </c>
      <c r="Y135" s="1" t="s">
        <v>53</v>
      </c>
      <c r="Z135" s="1" t="s">
        <v>56</v>
      </c>
    </row>
    <row r="136" spans="6:26">
      <c r="F136" s="1" t="s">
        <v>42</v>
      </c>
      <c r="G136" s="1" t="s">
        <v>44</v>
      </c>
      <c r="H136" s="1"/>
      <c r="I136" s="1" t="s">
        <v>42</v>
      </c>
      <c r="J136" s="1" t="s">
        <v>44</v>
      </c>
      <c r="K136" s="1" t="s">
        <v>43</v>
      </c>
      <c r="N136">
        <v>41</v>
      </c>
      <c r="O136" s="1" t="s">
        <v>55</v>
      </c>
      <c r="P136" s="1" t="s">
        <v>13</v>
      </c>
      <c r="Q136" s="1"/>
      <c r="R136" s="1"/>
      <c r="W136" s="1"/>
      <c r="X136" s="1" t="s">
        <v>42</v>
      </c>
      <c r="Y136" s="1" t="s">
        <v>44</v>
      </c>
      <c r="Z136" s="1" t="s">
        <v>43</v>
      </c>
    </row>
    <row r="137" spans="6:26">
      <c r="F137">
        <v>15</v>
      </c>
      <c r="G137" s="1" t="s">
        <v>53</v>
      </c>
      <c r="H137" s="1"/>
      <c r="I137">
        <v>15</v>
      </c>
      <c r="J137" s="1" t="s">
        <v>53</v>
      </c>
      <c r="K137" s="1" t="s">
        <v>54</v>
      </c>
      <c r="N137" s="1" t="s">
        <v>42</v>
      </c>
      <c r="O137" s="1" t="s">
        <v>44</v>
      </c>
      <c r="P137" s="1" t="s">
        <v>43</v>
      </c>
      <c r="Q137" s="1"/>
      <c r="R137" s="1"/>
      <c r="W137" s="1"/>
      <c r="X137">
        <v>15</v>
      </c>
      <c r="Y137" s="1" t="s">
        <v>53</v>
      </c>
      <c r="Z137" s="1" t="s">
        <v>56</v>
      </c>
    </row>
    <row r="138" spans="6:26">
      <c r="F138" s="1" t="s">
        <v>42</v>
      </c>
      <c r="G138" s="1" t="s">
        <v>44</v>
      </c>
      <c r="H138" s="1"/>
      <c r="I138" s="1" t="s">
        <v>42</v>
      </c>
      <c r="J138" s="1" t="s">
        <v>44</v>
      </c>
      <c r="K138" s="1" t="s">
        <v>43</v>
      </c>
      <c r="N138">
        <v>42</v>
      </c>
      <c r="O138" s="1" t="s">
        <v>55</v>
      </c>
      <c r="P138" s="1" t="s">
        <v>13</v>
      </c>
      <c r="Q138" s="1"/>
      <c r="R138" s="1"/>
      <c r="W138" s="1"/>
      <c r="X138" s="1" t="s">
        <v>42</v>
      </c>
      <c r="Y138" s="1" t="s">
        <v>44</v>
      </c>
      <c r="Z138" s="1" t="s">
        <v>43</v>
      </c>
    </row>
    <row r="139" spans="6:26">
      <c r="F139">
        <v>16</v>
      </c>
      <c r="G139" s="1" t="s">
        <v>53</v>
      </c>
      <c r="H139" s="1"/>
      <c r="I139">
        <v>16</v>
      </c>
      <c r="J139" s="1" t="s">
        <v>53</v>
      </c>
      <c r="K139" s="1" t="s">
        <v>54</v>
      </c>
      <c r="N139" s="1" t="s">
        <v>42</v>
      </c>
      <c r="O139" s="1" t="s">
        <v>44</v>
      </c>
      <c r="P139" s="1" t="s">
        <v>43</v>
      </c>
      <c r="Q139" s="1"/>
      <c r="R139" s="1"/>
      <c r="W139" s="1"/>
      <c r="X139">
        <v>16</v>
      </c>
      <c r="Y139" s="1" t="s">
        <v>53</v>
      </c>
      <c r="Z139" s="1" t="s">
        <v>56</v>
      </c>
    </row>
    <row r="140" spans="6:26">
      <c r="F140" s="1" t="s">
        <v>42</v>
      </c>
      <c r="G140" s="1" t="s">
        <v>44</v>
      </c>
      <c r="H140" s="1"/>
      <c r="I140" s="1" t="s">
        <v>42</v>
      </c>
      <c r="J140" s="1" t="s">
        <v>44</v>
      </c>
      <c r="K140" s="1" t="s">
        <v>43</v>
      </c>
      <c r="N140">
        <v>43</v>
      </c>
      <c r="O140" s="1" t="s">
        <v>55</v>
      </c>
      <c r="P140" s="1" t="s">
        <v>13</v>
      </c>
      <c r="Q140" s="1"/>
      <c r="R140" s="1"/>
      <c r="W140" s="1"/>
      <c r="X140" s="1" t="s">
        <v>42</v>
      </c>
      <c r="Y140" s="1" t="s">
        <v>44</v>
      </c>
      <c r="Z140" s="1" t="s">
        <v>43</v>
      </c>
    </row>
    <row r="141" spans="6:26">
      <c r="F141">
        <v>17</v>
      </c>
      <c r="G141" s="1" t="s">
        <v>53</v>
      </c>
      <c r="H141" s="1"/>
      <c r="I141">
        <v>17</v>
      </c>
      <c r="J141" s="1" t="s">
        <v>53</v>
      </c>
      <c r="K141" s="1" t="s">
        <v>54</v>
      </c>
      <c r="N141" s="1" t="s">
        <v>42</v>
      </c>
      <c r="O141" s="1" t="s">
        <v>44</v>
      </c>
      <c r="P141" s="1" t="s">
        <v>43</v>
      </c>
      <c r="Q141" s="1"/>
      <c r="R141" s="1"/>
      <c r="W141" s="1"/>
      <c r="X141">
        <v>17</v>
      </c>
      <c r="Y141" s="1" t="s">
        <v>53</v>
      </c>
      <c r="Z141" s="1" t="s">
        <v>56</v>
      </c>
    </row>
    <row r="142" spans="6:26">
      <c r="F142" s="1" t="s">
        <v>42</v>
      </c>
      <c r="G142" s="1" t="s">
        <v>44</v>
      </c>
      <c r="H142" s="1"/>
      <c r="I142" s="1" t="s">
        <v>42</v>
      </c>
      <c r="J142" s="1" t="s">
        <v>44</v>
      </c>
      <c r="K142" s="1" t="s">
        <v>43</v>
      </c>
      <c r="N142">
        <v>44</v>
      </c>
      <c r="O142" s="1" t="s">
        <v>55</v>
      </c>
      <c r="P142" s="1" t="s">
        <v>13</v>
      </c>
      <c r="Q142" s="1"/>
      <c r="R142" s="1"/>
      <c r="W142" s="1"/>
      <c r="X142" s="1" t="s">
        <v>42</v>
      </c>
      <c r="Y142" s="1" t="s">
        <v>44</v>
      </c>
      <c r="Z142" s="1" t="s">
        <v>43</v>
      </c>
    </row>
    <row r="143" spans="6:26">
      <c r="F143">
        <v>18</v>
      </c>
      <c r="G143" s="1" t="s">
        <v>53</v>
      </c>
      <c r="H143" s="1"/>
      <c r="I143">
        <v>18</v>
      </c>
      <c r="J143" s="1" t="s">
        <v>53</v>
      </c>
      <c r="K143" s="1" t="s">
        <v>54</v>
      </c>
      <c r="N143" s="1"/>
      <c r="O143" s="1"/>
      <c r="P143" s="1"/>
      <c r="Q143" s="1"/>
      <c r="R143" s="1"/>
      <c r="W143" s="1"/>
      <c r="X143">
        <v>18</v>
      </c>
      <c r="Y143" s="1" t="s">
        <v>53</v>
      </c>
      <c r="Z143" s="1" t="s">
        <v>56</v>
      </c>
    </row>
    <row r="144" spans="6:26">
      <c r="F144" s="1" t="s">
        <v>42</v>
      </c>
      <c r="G144" s="1" t="s">
        <v>44</v>
      </c>
      <c r="H144" s="1"/>
      <c r="I144" s="1" t="s">
        <v>42</v>
      </c>
      <c r="J144" s="1" t="s">
        <v>44</v>
      </c>
      <c r="K144" s="1" t="s">
        <v>43</v>
      </c>
      <c r="O144" s="1"/>
      <c r="P144" s="1"/>
      <c r="Q144" s="1"/>
      <c r="R144" s="1"/>
      <c r="W144" s="1"/>
      <c r="X144" s="1" t="s">
        <v>42</v>
      </c>
      <c r="Y144" s="1" t="s">
        <v>44</v>
      </c>
      <c r="Z144" s="1" t="s">
        <v>43</v>
      </c>
    </row>
    <row r="145" spans="6:26">
      <c r="F145">
        <v>19</v>
      </c>
      <c r="G145" s="1" t="s">
        <v>53</v>
      </c>
      <c r="H145" s="1"/>
      <c r="I145">
        <v>19</v>
      </c>
      <c r="J145" s="1" t="s">
        <v>53</v>
      </c>
      <c r="K145" s="1" t="s">
        <v>54</v>
      </c>
      <c r="N145" s="1"/>
      <c r="O145" s="1"/>
      <c r="P145" s="1"/>
      <c r="Q145" s="1"/>
      <c r="R145" s="1"/>
      <c r="W145" s="1"/>
      <c r="X145">
        <v>19</v>
      </c>
      <c r="Y145" s="1" t="s">
        <v>53</v>
      </c>
      <c r="Z145" s="1" t="s">
        <v>56</v>
      </c>
    </row>
    <row r="146" spans="6:26">
      <c r="F146" s="1" t="s">
        <v>42</v>
      </c>
      <c r="G146" s="1" t="s">
        <v>44</v>
      </c>
      <c r="H146" s="1"/>
      <c r="I146" s="1" t="s">
        <v>42</v>
      </c>
      <c r="J146" s="1" t="s">
        <v>44</v>
      </c>
      <c r="K146" s="1" t="s">
        <v>43</v>
      </c>
      <c r="O146" s="1"/>
      <c r="P146" s="1"/>
      <c r="Q146" s="1"/>
      <c r="R146" s="1"/>
      <c r="W146" s="1"/>
      <c r="X146" s="1" t="s">
        <v>42</v>
      </c>
      <c r="Y146" s="1" t="s">
        <v>44</v>
      </c>
      <c r="Z146" s="1" t="s">
        <v>43</v>
      </c>
    </row>
    <row r="147" spans="6:26">
      <c r="F147">
        <v>20</v>
      </c>
      <c r="G147" s="1" t="s">
        <v>53</v>
      </c>
      <c r="H147" s="1"/>
      <c r="I147">
        <v>20</v>
      </c>
      <c r="J147" s="1" t="s">
        <v>53</v>
      </c>
      <c r="K147" s="1" t="s">
        <v>54</v>
      </c>
      <c r="N147" s="1"/>
      <c r="O147" s="1"/>
      <c r="P147" s="1"/>
      <c r="Q147" s="1"/>
      <c r="R147" s="1"/>
      <c r="W147" s="1"/>
      <c r="X147">
        <v>20</v>
      </c>
      <c r="Y147" s="1" t="s">
        <v>53</v>
      </c>
      <c r="Z147" s="1" t="s">
        <v>56</v>
      </c>
    </row>
    <row r="148" spans="6:26">
      <c r="F148" s="1" t="s">
        <v>42</v>
      </c>
      <c r="G148" s="1" t="s">
        <v>44</v>
      </c>
      <c r="H148" s="1"/>
      <c r="I148" s="1" t="s">
        <v>42</v>
      </c>
      <c r="J148" s="1" t="s">
        <v>44</v>
      </c>
      <c r="K148" s="1" t="s">
        <v>43</v>
      </c>
      <c r="O148" s="1"/>
      <c r="P148" s="1"/>
      <c r="Q148" s="1"/>
      <c r="R148" s="1"/>
      <c r="W148" s="1"/>
      <c r="X148" s="1" t="s">
        <v>42</v>
      </c>
      <c r="Y148" s="1" t="s">
        <v>44</v>
      </c>
      <c r="Z148" s="1" t="s">
        <v>43</v>
      </c>
    </row>
    <row r="149" spans="6:26">
      <c r="F149">
        <v>21</v>
      </c>
      <c r="G149" s="1" t="s">
        <v>53</v>
      </c>
      <c r="H149" s="1"/>
      <c r="I149">
        <v>21</v>
      </c>
      <c r="J149" s="1" t="s">
        <v>53</v>
      </c>
      <c r="K149" s="1" t="s">
        <v>54</v>
      </c>
      <c r="N149" s="1"/>
      <c r="O149" s="1"/>
      <c r="P149" s="1"/>
      <c r="Q149" s="1"/>
      <c r="R149" s="1"/>
      <c r="W149" s="1"/>
      <c r="X149">
        <v>21</v>
      </c>
      <c r="Y149" s="1" t="s">
        <v>53</v>
      </c>
      <c r="Z149" s="1" t="s">
        <v>56</v>
      </c>
    </row>
    <row r="150" spans="6:26">
      <c r="F150" s="1" t="s">
        <v>42</v>
      </c>
      <c r="G150" s="1" t="s">
        <v>44</v>
      </c>
      <c r="H150" s="1"/>
      <c r="I150" s="1" t="s">
        <v>42</v>
      </c>
      <c r="J150" s="1" t="s">
        <v>44</v>
      </c>
      <c r="K150" s="1" t="s">
        <v>43</v>
      </c>
      <c r="O150" s="1"/>
      <c r="P150" s="1"/>
      <c r="Q150" s="1"/>
      <c r="R150" s="1"/>
      <c r="W150" s="1"/>
      <c r="X150" s="1" t="s">
        <v>42</v>
      </c>
      <c r="Y150" s="1" t="s">
        <v>44</v>
      </c>
      <c r="Z150" s="1" t="s">
        <v>43</v>
      </c>
    </row>
    <row r="151" spans="6:26">
      <c r="F151">
        <v>22</v>
      </c>
      <c r="G151" s="1" t="s">
        <v>53</v>
      </c>
      <c r="H151" s="1"/>
      <c r="I151">
        <v>22</v>
      </c>
      <c r="J151" s="1" t="s">
        <v>53</v>
      </c>
      <c r="K151" s="1" t="s">
        <v>54</v>
      </c>
      <c r="N151" s="1"/>
      <c r="O151" s="1"/>
      <c r="P151" s="1"/>
      <c r="Q151" s="1"/>
      <c r="R151" s="1"/>
      <c r="W151" s="1"/>
      <c r="X151">
        <v>22</v>
      </c>
      <c r="Y151" s="1" t="s">
        <v>53</v>
      </c>
      <c r="Z151" s="1" t="s">
        <v>56</v>
      </c>
    </row>
    <row r="152" spans="6:26">
      <c r="F152" s="1" t="s">
        <v>42</v>
      </c>
      <c r="G152" s="1" t="s">
        <v>44</v>
      </c>
      <c r="H152" s="1"/>
      <c r="I152" s="1" t="s">
        <v>42</v>
      </c>
      <c r="J152" s="1" t="s">
        <v>44</v>
      </c>
      <c r="K152" s="1" t="s">
        <v>43</v>
      </c>
      <c r="O152" s="1"/>
      <c r="P152" s="1"/>
      <c r="Q152" s="1"/>
      <c r="R152" s="1"/>
      <c r="W152" s="1"/>
      <c r="X152" s="1" t="s">
        <v>42</v>
      </c>
      <c r="Y152" s="1" t="s">
        <v>44</v>
      </c>
      <c r="Z152" s="1" t="s">
        <v>43</v>
      </c>
    </row>
    <row r="153" spans="6:26">
      <c r="F153">
        <v>23</v>
      </c>
      <c r="G153" s="1" t="s">
        <v>53</v>
      </c>
      <c r="H153" s="1"/>
      <c r="I153">
        <v>23</v>
      </c>
      <c r="J153" s="1" t="s">
        <v>53</v>
      </c>
      <c r="K153" s="1" t="s">
        <v>54</v>
      </c>
      <c r="N153" s="1"/>
      <c r="O153" s="1"/>
      <c r="P153" s="1"/>
      <c r="Q153" s="1"/>
      <c r="R153" s="1"/>
      <c r="W153" s="1"/>
      <c r="X153">
        <v>23</v>
      </c>
      <c r="Y153" s="1" t="s">
        <v>53</v>
      </c>
      <c r="Z153" s="1" t="s">
        <v>56</v>
      </c>
    </row>
    <row r="154" spans="6:26">
      <c r="F154" s="1" t="s">
        <v>42</v>
      </c>
      <c r="G154" s="1" t="s">
        <v>44</v>
      </c>
      <c r="H154" s="1"/>
      <c r="I154" s="1" t="s">
        <v>42</v>
      </c>
      <c r="J154" s="1" t="s">
        <v>44</v>
      </c>
      <c r="K154" s="1" t="s">
        <v>43</v>
      </c>
      <c r="O154" s="1"/>
      <c r="P154" s="1"/>
      <c r="Q154" s="1"/>
      <c r="R154" s="1"/>
      <c r="W154" s="1"/>
      <c r="X154" s="1" t="s">
        <v>42</v>
      </c>
      <c r="Y154" s="1" t="s">
        <v>44</v>
      </c>
      <c r="Z154" s="1" t="s">
        <v>43</v>
      </c>
    </row>
    <row r="155" spans="6:26">
      <c r="F155">
        <v>24</v>
      </c>
      <c r="G155" s="1" t="s">
        <v>53</v>
      </c>
      <c r="H155" s="1"/>
      <c r="I155">
        <v>24</v>
      </c>
      <c r="J155" s="1" t="s">
        <v>53</v>
      </c>
      <c r="K155" s="1" t="s">
        <v>54</v>
      </c>
      <c r="N155" s="1"/>
      <c r="O155" s="1"/>
      <c r="P155" s="1"/>
      <c r="Q155" s="1"/>
      <c r="R155" s="1"/>
      <c r="W155" s="1"/>
      <c r="X155">
        <v>24</v>
      </c>
      <c r="Y155" s="1" t="s">
        <v>53</v>
      </c>
      <c r="Z155" s="1" t="s">
        <v>56</v>
      </c>
    </row>
    <row r="156" spans="6:26">
      <c r="F156" s="1" t="s">
        <v>42</v>
      </c>
      <c r="G156" s="1" t="s">
        <v>44</v>
      </c>
      <c r="H156" s="1"/>
      <c r="I156" s="1" t="s">
        <v>42</v>
      </c>
      <c r="J156" s="1" t="s">
        <v>44</v>
      </c>
      <c r="K156" s="1" t="s">
        <v>43</v>
      </c>
      <c r="O156" s="1"/>
      <c r="P156" s="1"/>
      <c r="Q156" s="1"/>
      <c r="R156" s="1"/>
      <c r="W156" s="1"/>
      <c r="X156" s="1" t="s">
        <v>42</v>
      </c>
      <c r="Y156" s="1" t="s">
        <v>44</v>
      </c>
      <c r="Z156" s="1" t="s">
        <v>43</v>
      </c>
    </row>
    <row r="157" spans="6:26">
      <c r="F157">
        <v>25</v>
      </c>
      <c r="G157" s="1" t="s">
        <v>53</v>
      </c>
      <c r="H157" s="1"/>
      <c r="I157">
        <v>25</v>
      </c>
      <c r="J157" s="1" t="s">
        <v>53</v>
      </c>
      <c r="K157" s="1" t="s">
        <v>54</v>
      </c>
      <c r="N157" s="1"/>
      <c r="O157" s="1"/>
      <c r="P157" s="1"/>
      <c r="Q157" s="1"/>
      <c r="R157" s="1"/>
      <c r="W157" s="1"/>
      <c r="X157">
        <v>25</v>
      </c>
      <c r="Y157" s="1" t="s">
        <v>53</v>
      </c>
      <c r="Z157" s="1" t="s">
        <v>56</v>
      </c>
    </row>
    <row r="158" spans="6:26">
      <c r="F158" s="1" t="s">
        <v>42</v>
      </c>
      <c r="G158" s="1" t="s">
        <v>44</v>
      </c>
      <c r="H158" s="1"/>
      <c r="I158" s="1" t="s">
        <v>42</v>
      </c>
      <c r="J158" s="1" t="s">
        <v>44</v>
      </c>
      <c r="K158" s="1" t="s">
        <v>43</v>
      </c>
      <c r="O158" s="1"/>
      <c r="P158" s="1"/>
      <c r="Q158" s="1"/>
      <c r="R158" s="1"/>
      <c r="W158" s="1"/>
      <c r="X158" s="1" t="s">
        <v>42</v>
      </c>
      <c r="Y158" s="1" t="s">
        <v>44</v>
      </c>
      <c r="Z158" s="1" t="s">
        <v>43</v>
      </c>
    </row>
    <row r="159" spans="6:26">
      <c r="F159">
        <v>26</v>
      </c>
      <c r="G159" s="1" t="s">
        <v>53</v>
      </c>
      <c r="H159" s="1"/>
      <c r="I159">
        <v>26</v>
      </c>
      <c r="J159" s="1" t="s">
        <v>53</v>
      </c>
      <c r="K159" s="1" t="s">
        <v>54</v>
      </c>
      <c r="N159" s="1"/>
      <c r="O159" s="1"/>
      <c r="P159" s="1"/>
      <c r="Q159" s="1"/>
      <c r="R159" s="1"/>
      <c r="W159" s="1"/>
      <c r="X159">
        <v>26</v>
      </c>
      <c r="Y159" s="1" t="s">
        <v>53</v>
      </c>
      <c r="Z159" s="1" t="s">
        <v>56</v>
      </c>
    </row>
    <row r="160" spans="6:26">
      <c r="F160" s="1" t="s">
        <v>42</v>
      </c>
      <c r="G160" s="1" t="s">
        <v>44</v>
      </c>
      <c r="H160" s="1"/>
      <c r="I160" s="1" t="s">
        <v>42</v>
      </c>
      <c r="J160" s="1" t="s">
        <v>44</v>
      </c>
      <c r="K160" s="1" t="s">
        <v>43</v>
      </c>
      <c r="O160" s="1"/>
      <c r="P160" s="1"/>
      <c r="Q160" s="1"/>
      <c r="R160" s="1"/>
      <c r="W160" s="1"/>
      <c r="X160" s="1" t="s">
        <v>42</v>
      </c>
      <c r="Y160" s="1" t="s">
        <v>44</v>
      </c>
      <c r="Z160" s="1" t="s">
        <v>43</v>
      </c>
    </row>
    <row r="161" spans="6:26">
      <c r="F161">
        <v>27</v>
      </c>
      <c r="G161" s="1" t="s">
        <v>53</v>
      </c>
      <c r="H161" s="1"/>
      <c r="I161">
        <v>27</v>
      </c>
      <c r="J161" s="1" t="s">
        <v>53</v>
      </c>
      <c r="K161" s="1" t="s">
        <v>54</v>
      </c>
      <c r="N161" s="1"/>
      <c r="O161" s="1"/>
      <c r="P161" s="1"/>
      <c r="Q161" s="1"/>
      <c r="R161" s="1"/>
      <c r="X161">
        <v>27</v>
      </c>
      <c r="Y161" s="1" t="s">
        <v>53</v>
      </c>
      <c r="Z161" s="1" t="s">
        <v>56</v>
      </c>
    </row>
    <row r="162" spans="6:26">
      <c r="F162" s="1" t="s">
        <v>42</v>
      </c>
      <c r="G162" s="1" t="s">
        <v>44</v>
      </c>
      <c r="H162" s="1"/>
      <c r="I162" s="1" t="s">
        <v>42</v>
      </c>
      <c r="J162" s="1" t="s">
        <v>44</v>
      </c>
      <c r="K162" s="1" t="s">
        <v>43</v>
      </c>
      <c r="O162" s="1"/>
      <c r="P162" s="1"/>
      <c r="Q162" s="1"/>
      <c r="R162" s="1"/>
      <c r="X162" s="1" t="s">
        <v>42</v>
      </c>
      <c r="Y162" s="1" t="s">
        <v>44</v>
      </c>
      <c r="Z162" s="1" t="s">
        <v>43</v>
      </c>
    </row>
    <row r="163" spans="6:26">
      <c r="F163">
        <v>28</v>
      </c>
      <c r="G163" s="1" t="s">
        <v>53</v>
      </c>
      <c r="H163" s="1"/>
      <c r="I163">
        <v>28</v>
      </c>
      <c r="J163" s="1" t="s">
        <v>53</v>
      </c>
      <c r="K163" s="1" t="s">
        <v>54</v>
      </c>
      <c r="N163" s="1"/>
      <c r="O163" s="1"/>
      <c r="P163" s="1"/>
      <c r="Q163" s="1"/>
      <c r="R163" s="1"/>
      <c r="X163">
        <v>28</v>
      </c>
      <c r="Y163" s="1" t="s">
        <v>53</v>
      </c>
      <c r="Z163" s="1" t="s">
        <v>56</v>
      </c>
    </row>
    <row r="164" spans="6:26">
      <c r="F164" s="1" t="s">
        <v>42</v>
      </c>
      <c r="G164" s="1" t="s">
        <v>44</v>
      </c>
      <c r="H164" s="1"/>
      <c r="I164" s="1" t="s">
        <v>42</v>
      </c>
      <c r="J164" s="1" t="s">
        <v>44</v>
      </c>
      <c r="K164" s="1" t="s">
        <v>43</v>
      </c>
      <c r="O164" s="1"/>
      <c r="P164" s="1"/>
      <c r="Q164" s="1"/>
      <c r="R164" s="1"/>
      <c r="X164" s="1" t="s">
        <v>42</v>
      </c>
      <c r="Y164" s="1" t="s">
        <v>44</v>
      </c>
      <c r="Z164" s="1" t="s">
        <v>43</v>
      </c>
    </row>
    <row r="165" spans="6:26">
      <c r="F165">
        <v>29</v>
      </c>
      <c r="G165" s="1" t="s">
        <v>53</v>
      </c>
      <c r="H165" s="1"/>
      <c r="I165">
        <v>29</v>
      </c>
      <c r="J165" s="1" t="s">
        <v>53</v>
      </c>
      <c r="K165" s="1" t="s">
        <v>54</v>
      </c>
      <c r="N165" s="1"/>
      <c r="O165" s="1"/>
      <c r="P165" s="1"/>
      <c r="Q165" s="1"/>
      <c r="R165" s="1"/>
      <c r="X165">
        <v>29</v>
      </c>
      <c r="Y165" s="1" t="s">
        <v>53</v>
      </c>
      <c r="Z165" s="1" t="s">
        <v>56</v>
      </c>
    </row>
    <row r="166" spans="6:26">
      <c r="F166" s="1" t="s">
        <v>42</v>
      </c>
      <c r="G166" s="1" t="s">
        <v>44</v>
      </c>
      <c r="H166" s="1"/>
      <c r="I166" s="1" t="s">
        <v>42</v>
      </c>
      <c r="J166" s="1" t="s">
        <v>44</v>
      </c>
      <c r="K166" s="1" t="s">
        <v>43</v>
      </c>
      <c r="O166" s="1"/>
      <c r="P166" s="1"/>
      <c r="Q166" s="1"/>
      <c r="R166" s="1"/>
      <c r="X166" s="1" t="s">
        <v>42</v>
      </c>
      <c r="Y166" s="1" t="s">
        <v>44</v>
      </c>
      <c r="Z166" s="1" t="s">
        <v>43</v>
      </c>
    </row>
    <row r="167" spans="6:26">
      <c r="F167">
        <v>30</v>
      </c>
      <c r="G167" s="1" t="s">
        <v>53</v>
      </c>
      <c r="H167" s="1"/>
      <c r="I167">
        <v>30</v>
      </c>
      <c r="J167" s="1" t="s">
        <v>53</v>
      </c>
      <c r="K167" s="1" t="s">
        <v>54</v>
      </c>
      <c r="N167" s="1"/>
      <c r="O167" s="1"/>
      <c r="P167" s="1"/>
      <c r="Q167" s="1"/>
      <c r="R167" s="1"/>
      <c r="X167">
        <v>30</v>
      </c>
      <c r="Y167" s="1" t="s">
        <v>53</v>
      </c>
      <c r="Z167" s="1" t="s">
        <v>56</v>
      </c>
    </row>
    <row r="168" spans="6:26">
      <c r="F168" s="1" t="s">
        <v>42</v>
      </c>
      <c r="G168" s="1" t="s">
        <v>44</v>
      </c>
      <c r="H168" s="1"/>
      <c r="I168" s="1" t="s">
        <v>42</v>
      </c>
      <c r="J168" s="1" t="s">
        <v>44</v>
      </c>
      <c r="K168" s="1" t="s">
        <v>43</v>
      </c>
      <c r="O168" s="1"/>
      <c r="P168" s="1"/>
      <c r="Q168" s="1"/>
      <c r="R168" s="1"/>
      <c r="X168" s="1" t="s">
        <v>42</v>
      </c>
      <c r="Y168" s="1" t="s">
        <v>44</v>
      </c>
      <c r="Z168" s="1" t="s">
        <v>43</v>
      </c>
    </row>
    <row r="169" spans="6:26">
      <c r="F169">
        <v>31</v>
      </c>
      <c r="G169" s="1" t="s">
        <v>53</v>
      </c>
      <c r="H169" s="1"/>
      <c r="I169">
        <v>31</v>
      </c>
      <c r="J169" s="1" t="s">
        <v>53</v>
      </c>
      <c r="K169" s="1" t="s">
        <v>54</v>
      </c>
      <c r="N169" s="1"/>
      <c r="O169" s="1"/>
      <c r="P169" s="1"/>
      <c r="Q169" s="1"/>
      <c r="R169" s="1"/>
      <c r="X169">
        <v>31</v>
      </c>
      <c r="Y169" s="1" t="s">
        <v>53</v>
      </c>
      <c r="Z169" s="1" t="s">
        <v>56</v>
      </c>
    </row>
    <row r="170" spans="6:26">
      <c r="F170" s="1" t="s">
        <v>42</v>
      </c>
      <c r="G170" s="1" t="s">
        <v>44</v>
      </c>
      <c r="H170" s="1"/>
      <c r="I170" s="1" t="s">
        <v>42</v>
      </c>
      <c r="J170" s="1" t="s">
        <v>44</v>
      </c>
      <c r="K170" s="1" t="s">
        <v>43</v>
      </c>
      <c r="O170" s="1"/>
      <c r="P170" s="1"/>
      <c r="Q170" s="1"/>
      <c r="R170" s="1"/>
      <c r="X170" s="1" t="s">
        <v>42</v>
      </c>
      <c r="Y170" s="1" t="s">
        <v>44</v>
      </c>
      <c r="Z170" s="1" t="s">
        <v>43</v>
      </c>
    </row>
    <row r="171" spans="6:26">
      <c r="F171">
        <v>32</v>
      </c>
      <c r="G171" s="1" t="s">
        <v>53</v>
      </c>
      <c r="H171" s="1"/>
      <c r="I171">
        <v>32</v>
      </c>
      <c r="J171" s="1" t="s">
        <v>53</v>
      </c>
      <c r="K171" s="1" t="s">
        <v>54</v>
      </c>
      <c r="N171" s="1"/>
      <c r="O171" s="1"/>
      <c r="P171" s="1"/>
      <c r="Q171" s="1"/>
      <c r="R171" s="1"/>
      <c r="X171">
        <v>32</v>
      </c>
      <c r="Y171" s="1" t="s">
        <v>53</v>
      </c>
      <c r="Z171" s="1" t="s">
        <v>56</v>
      </c>
    </row>
    <row r="172" spans="6:26">
      <c r="F172" s="1" t="s">
        <v>42</v>
      </c>
      <c r="G172" s="1" t="s">
        <v>44</v>
      </c>
      <c r="H172" s="1"/>
      <c r="I172" s="1" t="s">
        <v>42</v>
      </c>
      <c r="J172" s="1" t="s">
        <v>44</v>
      </c>
      <c r="K172" s="1" t="s">
        <v>43</v>
      </c>
      <c r="O172" s="1"/>
      <c r="P172" s="1"/>
      <c r="Q172" s="1"/>
      <c r="R172" s="1"/>
      <c r="X172" s="1" t="s">
        <v>42</v>
      </c>
      <c r="Y172" s="1" t="s">
        <v>44</v>
      </c>
      <c r="Z172" s="1" t="s">
        <v>43</v>
      </c>
    </row>
    <row r="173" spans="6:26">
      <c r="F173">
        <v>33</v>
      </c>
      <c r="G173" s="1" t="s">
        <v>53</v>
      </c>
      <c r="H173" s="1"/>
      <c r="I173">
        <v>33</v>
      </c>
      <c r="J173" s="1" t="s">
        <v>53</v>
      </c>
      <c r="K173" s="1" t="s">
        <v>54</v>
      </c>
      <c r="N173" s="1"/>
      <c r="O173" s="1"/>
      <c r="P173" s="1"/>
      <c r="Q173" s="1"/>
      <c r="R173" s="1"/>
      <c r="X173">
        <v>33</v>
      </c>
      <c r="Y173" s="1" t="s">
        <v>53</v>
      </c>
      <c r="Z173" s="1" t="s">
        <v>56</v>
      </c>
    </row>
    <row r="174" spans="6:26">
      <c r="F174" s="1" t="s">
        <v>42</v>
      </c>
      <c r="G174" s="1" t="s">
        <v>44</v>
      </c>
      <c r="H174" s="1"/>
      <c r="I174" s="1" t="s">
        <v>42</v>
      </c>
      <c r="J174" s="1" t="s">
        <v>44</v>
      </c>
      <c r="K174" s="1" t="s">
        <v>43</v>
      </c>
      <c r="O174" s="1"/>
      <c r="P174" s="1"/>
      <c r="Q174" s="1"/>
      <c r="R174" s="1"/>
      <c r="X174" s="1" t="s">
        <v>42</v>
      </c>
      <c r="Y174" s="1" t="s">
        <v>44</v>
      </c>
      <c r="Z174" s="1" t="s">
        <v>43</v>
      </c>
    </row>
    <row r="175" spans="6:26">
      <c r="F175">
        <v>34</v>
      </c>
      <c r="G175" s="1" t="s">
        <v>53</v>
      </c>
      <c r="H175" s="1"/>
      <c r="I175">
        <v>34</v>
      </c>
      <c r="J175" s="1" t="s">
        <v>53</v>
      </c>
      <c r="K175" s="1" t="s">
        <v>54</v>
      </c>
      <c r="N175" s="1"/>
      <c r="O175" s="1"/>
      <c r="P175" s="1"/>
      <c r="Q175" s="1"/>
      <c r="R175" s="1"/>
      <c r="X175">
        <v>34</v>
      </c>
      <c r="Y175" s="1" t="s">
        <v>53</v>
      </c>
      <c r="Z175" s="1" t="s">
        <v>56</v>
      </c>
    </row>
    <row r="176" spans="6:26">
      <c r="F176" s="1" t="s">
        <v>42</v>
      </c>
      <c r="G176" s="1" t="s">
        <v>44</v>
      </c>
      <c r="H176" s="1"/>
      <c r="I176" s="1" t="s">
        <v>42</v>
      </c>
      <c r="J176" s="1" t="s">
        <v>44</v>
      </c>
      <c r="K176" s="1" t="s">
        <v>43</v>
      </c>
      <c r="O176" s="1"/>
      <c r="P176" s="1"/>
      <c r="Q176" s="1"/>
      <c r="R176" s="1"/>
      <c r="X176" s="1" t="s">
        <v>42</v>
      </c>
      <c r="Y176" s="1" t="s">
        <v>44</v>
      </c>
      <c r="Z176" s="1" t="s">
        <v>43</v>
      </c>
    </row>
    <row r="177" spans="6:26">
      <c r="F177">
        <v>35</v>
      </c>
      <c r="G177" s="1" t="s">
        <v>53</v>
      </c>
      <c r="H177" s="1"/>
      <c r="I177">
        <v>35</v>
      </c>
      <c r="J177" s="1" t="s">
        <v>53</v>
      </c>
      <c r="K177" s="1" t="s">
        <v>54</v>
      </c>
      <c r="N177" s="1"/>
      <c r="O177" s="1"/>
      <c r="P177" s="1"/>
      <c r="Q177" s="1"/>
      <c r="R177" s="1"/>
      <c r="X177">
        <v>35</v>
      </c>
      <c r="Y177" s="1" t="s">
        <v>53</v>
      </c>
      <c r="Z177" s="1" t="s">
        <v>56</v>
      </c>
    </row>
    <row r="178" spans="6:26">
      <c r="F178" s="1" t="s">
        <v>42</v>
      </c>
      <c r="G178" s="1" t="s">
        <v>44</v>
      </c>
      <c r="H178" s="1"/>
      <c r="I178" s="1" t="s">
        <v>42</v>
      </c>
      <c r="J178" s="1" t="s">
        <v>44</v>
      </c>
      <c r="K178" s="1" t="s">
        <v>43</v>
      </c>
      <c r="O178" s="1"/>
      <c r="P178" s="1"/>
      <c r="Q178" s="1"/>
      <c r="R178" s="1"/>
      <c r="X178" s="1" t="s">
        <v>42</v>
      </c>
      <c r="Y178" s="1" t="s">
        <v>44</v>
      </c>
      <c r="Z178" s="1" t="s">
        <v>43</v>
      </c>
    </row>
    <row r="179" spans="6:26">
      <c r="F179">
        <v>36</v>
      </c>
      <c r="G179" s="1" t="s">
        <v>53</v>
      </c>
      <c r="H179" s="1"/>
      <c r="I179">
        <v>36</v>
      </c>
      <c r="J179" s="1" t="s">
        <v>53</v>
      </c>
      <c r="K179" s="1" t="s">
        <v>54</v>
      </c>
      <c r="N179" s="1"/>
      <c r="O179" s="1"/>
      <c r="P179" s="1"/>
      <c r="Q179" s="1"/>
      <c r="R179" s="1"/>
      <c r="X179">
        <v>36</v>
      </c>
      <c r="Y179" s="1" t="s">
        <v>53</v>
      </c>
      <c r="Z179" s="1" t="s">
        <v>56</v>
      </c>
    </row>
    <row r="180" spans="6:26">
      <c r="F180" s="1" t="s">
        <v>42</v>
      </c>
      <c r="G180" s="1" t="s">
        <v>44</v>
      </c>
      <c r="H180" s="1"/>
      <c r="I180" s="1" t="s">
        <v>42</v>
      </c>
      <c r="J180" s="1" t="s">
        <v>44</v>
      </c>
      <c r="K180" s="1" t="s">
        <v>43</v>
      </c>
      <c r="O180" s="1"/>
      <c r="P180" s="1"/>
      <c r="Q180" s="1"/>
      <c r="R180" s="1"/>
      <c r="X180" s="1" t="s">
        <v>42</v>
      </c>
      <c r="Y180" s="1" t="s">
        <v>44</v>
      </c>
      <c r="Z180" s="1" t="s">
        <v>43</v>
      </c>
    </row>
    <row r="181" spans="6:26">
      <c r="F181">
        <v>37</v>
      </c>
      <c r="G181" s="1" t="s">
        <v>53</v>
      </c>
      <c r="H181" s="1"/>
      <c r="I181">
        <v>37</v>
      </c>
      <c r="J181" s="1" t="s">
        <v>53</v>
      </c>
      <c r="K181" s="1" t="s">
        <v>54</v>
      </c>
      <c r="N181" s="1"/>
      <c r="O181" s="1"/>
      <c r="P181" s="1"/>
      <c r="Q181" s="1"/>
      <c r="R181" s="1"/>
      <c r="X181">
        <v>37</v>
      </c>
      <c r="Y181" s="1" t="s">
        <v>53</v>
      </c>
      <c r="Z181" s="1" t="s">
        <v>56</v>
      </c>
    </row>
    <row r="182" spans="6:26">
      <c r="F182" s="1" t="s">
        <v>42</v>
      </c>
      <c r="G182" s="1" t="s">
        <v>44</v>
      </c>
      <c r="H182" s="1"/>
      <c r="I182" s="1" t="s">
        <v>42</v>
      </c>
      <c r="J182" s="1" t="s">
        <v>44</v>
      </c>
      <c r="K182" s="1" t="s">
        <v>43</v>
      </c>
      <c r="O182" s="1"/>
      <c r="P182" s="1"/>
      <c r="Q182" s="1"/>
      <c r="R182" s="1"/>
      <c r="X182" s="1" t="s">
        <v>42</v>
      </c>
      <c r="Y182" s="1" t="s">
        <v>44</v>
      </c>
      <c r="Z182" s="1" t="s">
        <v>43</v>
      </c>
    </row>
    <row r="183" spans="6:26">
      <c r="F183">
        <v>38</v>
      </c>
      <c r="G183" s="1" t="s">
        <v>53</v>
      </c>
      <c r="H183" s="1"/>
      <c r="I183">
        <v>38</v>
      </c>
      <c r="J183" s="1" t="s">
        <v>53</v>
      </c>
      <c r="K183" s="1" t="s">
        <v>54</v>
      </c>
      <c r="N183" s="1"/>
      <c r="O183" s="1"/>
      <c r="P183" s="1"/>
      <c r="Q183" s="1"/>
      <c r="R183" s="1"/>
      <c r="X183">
        <v>38</v>
      </c>
      <c r="Y183" s="1" t="s">
        <v>53</v>
      </c>
      <c r="Z183" s="1" t="s">
        <v>56</v>
      </c>
    </row>
    <row r="184" spans="6:26">
      <c r="F184" s="1" t="s">
        <v>42</v>
      </c>
      <c r="G184" s="1" t="s">
        <v>44</v>
      </c>
      <c r="H184" s="1"/>
      <c r="I184" s="1" t="s">
        <v>42</v>
      </c>
      <c r="J184" s="1" t="s">
        <v>44</v>
      </c>
      <c r="K184" s="1" t="s">
        <v>43</v>
      </c>
      <c r="O184" s="1"/>
      <c r="P184" s="1"/>
      <c r="Q184" s="1"/>
      <c r="R184" s="1"/>
      <c r="X184" s="1" t="s">
        <v>42</v>
      </c>
      <c r="Y184" s="1" t="s">
        <v>44</v>
      </c>
      <c r="Z184" s="1" t="s">
        <v>43</v>
      </c>
    </row>
    <row r="185" spans="6:26">
      <c r="F185">
        <v>39</v>
      </c>
      <c r="G185" s="1" t="s">
        <v>53</v>
      </c>
      <c r="H185" s="1"/>
      <c r="I185">
        <v>39</v>
      </c>
      <c r="J185" s="1" t="s">
        <v>53</v>
      </c>
      <c r="K185" s="1" t="s">
        <v>54</v>
      </c>
      <c r="N185" s="1"/>
      <c r="O185" s="1"/>
      <c r="P185" s="1"/>
      <c r="Q185" s="1"/>
      <c r="R185" s="1"/>
      <c r="X185">
        <v>39</v>
      </c>
      <c r="Y185" s="1" t="s">
        <v>53</v>
      </c>
      <c r="Z185" s="1" t="s">
        <v>56</v>
      </c>
    </row>
    <row r="186" spans="6:26">
      <c r="F186" s="1" t="s">
        <v>42</v>
      </c>
      <c r="G186" s="1" t="s">
        <v>44</v>
      </c>
      <c r="H186" s="1"/>
      <c r="I186" s="1" t="s">
        <v>42</v>
      </c>
      <c r="J186" s="1" t="s">
        <v>44</v>
      </c>
      <c r="K186" s="1" t="s">
        <v>43</v>
      </c>
      <c r="O186" s="1"/>
      <c r="P186" s="1"/>
      <c r="Q186" s="1"/>
      <c r="R186" s="1"/>
      <c r="X186" s="1" t="s">
        <v>42</v>
      </c>
      <c r="Y186" s="1" t="s">
        <v>44</v>
      </c>
      <c r="Z186" s="1" t="s">
        <v>43</v>
      </c>
    </row>
    <row r="187" spans="6:26">
      <c r="F187">
        <v>40</v>
      </c>
      <c r="G187" s="1" t="s">
        <v>53</v>
      </c>
      <c r="H187" s="1"/>
      <c r="I187">
        <v>40</v>
      </c>
      <c r="J187" s="1" t="s">
        <v>53</v>
      </c>
      <c r="K187" s="1" t="s">
        <v>54</v>
      </c>
      <c r="N187" s="1"/>
      <c r="O187" s="1"/>
      <c r="P187" s="1"/>
      <c r="Q187" s="1"/>
      <c r="R187" s="1"/>
      <c r="X187">
        <v>40</v>
      </c>
      <c r="Y187" s="1" t="s">
        <v>53</v>
      </c>
      <c r="Z187" s="1" t="s">
        <v>56</v>
      </c>
    </row>
    <row r="188" spans="6:26">
      <c r="F188" s="1" t="s">
        <v>42</v>
      </c>
      <c r="G188" s="1" t="s">
        <v>44</v>
      </c>
      <c r="H188" s="1"/>
      <c r="I188" s="1" t="s">
        <v>42</v>
      </c>
      <c r="J188" s="1" t="s">
        <v>44</v>
      </c>
      <c r="K188" s="1" t="s">
        <v>43</v>
      </c>
      <c r="O188" s="1"/>
      <c r="P188" s="1"/>
      <c r="Q188" s="1"/>
      <c r="R188" s="1"/>
      <c r="X188" s="1" t="s">
        <v>42</v>
      </c>
      <c r="Y188" s="1" t="s">
        <v>44</v>
      </c>
      <c r="Z188" s="1" t="s">
        <v>43</v>
      </c>
    </row>
    <row r="189" spans="6:26">
      <c r="F189">
        <v>41</v>
      </c>
      <c r="G189" s="1" t="s">
        <v>53</v>
      </c>
      <c r="H189" s="1"/>
      <c r="I189">
        <v>41</v>
      </c>
      <c r="J189" s="1" t="s">
        <v>53</v>
      </c>
      <c r="K189" s="1" t="s">
        <v>54</v>
      </c>
      <c r="N189" s="1"/>
      <c r="O189" s="1"/>
      <c r="P189" s="1"/>
      <c r="Q189" s="1"/>
      <c r="R189" s="1"/>
      <c r="X189">
        <v>41</v>
      </c>
      <c r="Y189" s="1" t="s">
        <v>53</v>
      </c>
      <c r="Z189" s="1" t="s">
        <v>56</v>
      </c>
    </row>
    <row r="190" spans="6:26">
      <c r="F190" s="1" t="s">
        <v>42</v>
      </c>
      <c r="G190" s="1" t="s">
        <v>44</v>
      </c>
      <c r="H190" s="1"/>
      <c r="I190" s="1" t="s">
        <v>42</v>
      </c>
      <c r="J190" s="1" t="s">
        <v>44</v>
      </c>
      <c r="K190" s="1" t="s">
        <v>43</v>
      </c>
      <c r="O190" s="1"/>
      <c r="P190" s="1"/>
      <c r="Q190" s="1"/>
      <c r="R190" s="1"/>
      <c r="X190" s="1" t="s">
        <v>42</v>
      </c>
      <c r="Y190" s="1" t="s">
        <v>44</v>
      </c>
      <c r="Z190" s="1" t="s">
        <v>43</v>
      </c>
    </row>
    <row r="191" spans="6:26">
      <c r="F191">
        <v>42</v>
      </c>
      <c r="G191" s="1" t="s">
        <v>53</v>
      </c>
      <c r="H191" s="1"/>
      <c r="I191">
        <v>42</v>
      </c>
      <c r="J191" s="1" t="s">
        <v>53</v>
      </c>
      <c r="K191" s="1" t="s">
        <v>54</v>
      </c>
      <c r="N191" s="1"/>
      <c r="O191" s="1"/>
      <c r="P191" s="1"/>
      <c r="Q191" s="1"/>
      <c r="R191" s="1"/>
      <c r="X191">
        <v>42</v>
      </c>
      <c r="Y191" s="1" t="s">
        <v>53</v>
      </c>
      <c r="Z191" s="1" t="s">
        <v>56</v>
      </c>
    </row>
    <row r="192" spans="6:26">
      <c r="F192" s="1" t="s">
        <v>42</v>
      </c>
      <c r="G192" s="1" t="s">
        <v>44</v>
      </c>
      <c r="H192" s="1"/>
      <c r="I192" s="1" t="s">
        <v>42</v>
      </c>
      <c r="J192" s="1" t="s">
        <v>44</v>
      </c>
      <c r="K192" s="1" t="s">
        <v>43</v>
      </c>
      <c r="O192" s="1"/>
      <c r="P192" s="1"/>
      <c r="Q192" s="1"/>
      <c r="R192" s="1"/>
      <c r="X192" s="1" t="s">
        <v>42</v>
      </c>
      <c r="Y192" s="1" t="s">
        <v>44</v>
      </c>
      <c r="Z192" s="1" t="s">
        <v>43</v>
      </c>
    </row>
    <row r="193" spans="6:26">
      <c r="F193">
        <v>43</v>
      </c>
      <c r="G193" s="1" t="s">
        <v>53</v>
      </c>
      <c r="H193" s="1"/>
      <c r="I193">
        <v>43</v>
      </c>
      <c r="J193" s="1" t="s">
        <v>53</v>
      </c>
      <c r="K193" s="1" t="s">
        <v>54</v>
      </c>
      <c r="N193" s="1"/>
      <c r="O193" s="1"/>
      <c r="P193" s="1"/>
      <c r="Q193" s="1"/>
      <c r="R193" s="1"/>
      <c r="X193">
        <v>43</v>
      </c>
      <c r="Y193" s="1" t="s">
        <v>53</v>
      </c>
      <c r="Z193" s="1" t="s">
        <v>56</v>
      </c>
    </row>
    <row r="194" spans="6:26">
      <c r="F194" s="1" t="s">
        <v>42</v>
      </c>
      <c r="G194" s="1" t="s">
        <v>44</v>
      </c>
      <c r="H194" s="1"/>
      <c r="I194" s="1" t="s">
        <v>42</v>
      </c>
      <c r="J194" s="1" t="s">
        <v>44</v>
      </c>
      <c r="K194" s="1" t="s">
        <v>43</v>
      </c>
      <c r="O194" s="1"/>
      <c r="P194" s="1"/>
      <c r="Q194" s="1"/>
      <c r="R194" s="1"/>
      <c r="X194" s="1" t="s">
        <v>42</v>
      </c>
      <c r="Y194" s="1" t="s">
        <v>44</v>
      </c>
      <c r="Z194" s="1" t="s">
        <v>43</v>
      </c>
    </row>
    <row r="195" spans="6:26">
      <c r="F195">
        <v>44</v>
      </c>
      <c r="G195" s="1" t="s">
        <v>53</v>
      </c>
      <c r="H195" s="1"/>
      <c r="I195">
        <v>44</v>
      </c>
      <c r="J195" s="1" t="s">
        <v>53</v>
      </c>
      <c r="K195" s="1" t="s">
        <v>54</v>
      </c>
      <c r="N195" s="1"/>
      <c r="O195" s="1"/>
      <c r="P195" s="1"/>
      <c r="Q195" s="1"/>
      <c r="R195" s="1"/>
      <c r="X195">
        <v>44</v>
      </c>
      <c r="Y195" s="1" t="s">
        <v>53</v>
      </c>
      <c r="Z195" s="1" t="s">
        <v>56</v>
      </c>
    </row>
    <row r="196" spans="6:26">
      <c r="F196" s="1" t="s">
        <v>42</v>
      </c>
      <c r="G196" s="1" t="s">
        <v>44</v>
      </c>
      <c r="H196" s="1"/>
      <c r="I196" s="1" t="s">
        <v>42</v>
      </c>
      <c r="J196" s="1" t="s">
        <v>44</v>
      </c>
      <c r="K196" s="1" t="s">
        <v>43</v>
      </c>
      <c r="O196" s="1"/>
      <c r="P196" s="1"/>
      <c r="Q196" s="1"/>
      <c r="R196" s="1"/>
      <c r="X196" s="1" t="s">
        <v>42</v>
      </c>
      <c r="Y196" s="1" t="s">
        <v>44</v>
      </c>
      <c r="Z196" s="1" t="s">
        <v>43</v>
      </c>
    </row>
    <row r="197" spans="6:26">
      <c r="F197">
        <v>45</v>
      </c>
      <c r="G197" s="1" t="s">
        <v>53</v>
      </c>
      <c r="H197" s="1"/>
      <c r="I197">
        <v>45</v>
      </c>
      <c r="J197" s="1" t="s">
        <v>53</v>
      </c>
      <c r="K197" s="1" t="s">
        <v>54</v>
      </c>
      <c r="N197" s="1"/>
      <c r="O197" s="1"/>
      <c r="P197" s="1"/>
      <c r="Q197" s="1"/>
      <c r="R197" s="1"/>
      <c r="X197">
        <v>45</v>
      </c>
      <c r="Y197" s="1" t="s">
        <v>53</v>
      </c>
      <c r="Z197" s="1" t="s">
        <v>56</v>
      </c>
    </row>
    <row r="198" spans="6:26">
      <c r="F198" s="1" t="s">
        <v>42</v>
      </c>
      <c r="G198" s="1" t="s">
        <v>44</v>
      </c>
      <c r="H198" s="1"/>
      <c r="I198" s="1" t="s">
        <v>42</v>
      </c>
      <c r="J198" s="1" t="s">
        <v>44</v>
      </c>
      <c r="K198" s="1" t="s">
        <v>43</v>
      </c>
      <c r="O198" s="1"/>
      <c r="P198" s="1"/>
      <c r="Q198" s="1"/>
      <c r="R198" s="1"/>
      <c r="X198" s="1" t="s">
        <v>42</v>
      </c>
      <c r="Y198" s="1" t="s">
        <v>44</v>
      </c>
      <c r="Z198" s="1" t="s">
        <v>43</v>
      </c>
    </row>
    <row r="199" spans="6:26">
      <c r="F199">
        <v>46</v>
      </c>
      <c r="G199" s="1" t="s">
        <v>53</v>
      </c>
      <c r="H199" s="1"/>
      <c r="I199">
        <v>46</v>
      </c>
      <c r="J199" s="1" t="s">
        <v>53</v>
      </c>
      <c r="K199" s="1" t="s">
        <v>54</v>
      </c>
      <c r="N199" s="1"/>
      <c r="O199" s="1"/>
      <c r="P199" s="1"/>
      <c r="Q199" s="1"/>
      <c r="R199" s="1"/>
      <c r="X199">
        <v>46</v>
      </c>
      <c r="Y199" s="1" t="s">
        <v>53</v>
      </c>
      <c r="Z199" s="1" t="s">
        <v>56</v>
      </c>
    </row>
    <row r="200" spans="6:26">
      <c r="F200" s="1" t="s">
        <v>42</v>
      </c>
      <c r="G200" s="1" t="s">
        <v>44</v>
      </c>
      <c r="I200" s="1" t="s">
        <v>42</v>
      </c>
      <c r="J200" s="1" t="s">
        <v>44</v>
      </c>
      <c r="K200" s="1" t="s">
        <v>43</v>
      </c>
      <c r="O200" s="1"/>
      <c r="P200" s="1"/>
      <c r="Q200" s="1"/>
      <c r="R200" s="1"/>
      <c r="X200" s="1" t="s">
        <v>42</v>
      </c>
      <c r="Y200" s="1" t="s">
        <v>44</v>
      </c>
      <c r="Z200" s="1" t="s">
        <v>43</v>
      </c>
    </row>
    <row r="201" spans="6:26">
      <c r="F201">
        <v>47</v>
      </c>
      <c r="G201" s="1" t="s">
        <v>53</v>
      </c>
      <c r="I201">
        <v>47</v>
      </c>
      <c r="J201" s="1" t="s">
        <v>53</v>
      </c>
      <c r="K201" s="1" t="s">
        <v>54</v>
      </c>
      <c r="N201" s="1"/>
      <c r="O201" s="1"/>
      <c r="P201" s="1"/>
      <c r="X201">
        <v>47</v>
      </c>
      <c r="Y201" s="1" t="s">
        <v>53</v>
      </c>
      <c r="Z201" s="1" t="s">
        <v>56</v>
      </c>
    </row>
    <row r="202" spans="6:26">
      <c r="F202" s="1" t="s">
        <v>42</v>
      </c>
      <c r="G202" s="1" t="s">
        <v>44</v>
      </c>
      <c r="I202" s="1" t="s">
        <v>42</v>
      </c>
      <c r="J202" s="1" t="s">
        <v>44</v>
      </c>
      <c r="K202" s="1" t="s">
        <v>43</v>
      </c>
      <c r="O202" s="1"/>
      <c r="P202" s="1"/>
      <c r="X202" s="1" t="s">
        <v>42</v>
      </c>
      <c r="Y202" s="1" t="s">
        <v>44</v>
      </c>
      <c r="Z202" s="1" t="s">
        <v>43</v>
      </c>
    </row>
    <row r="203" spans="6:26">
      <c r="F203">
        <v>48</v>
      </c>
      <c r="G203" s="1" t="s">
        <v>53</v>
      </c>
      <c r="I203">
        <v>48</v>
      </c>
      <c r="J203" s="1" t="s">
        <v>53</v>
      </c>
      <c r="K203" s="1" t="s">
        <v>54</v>
      </c>
      <c r="N203" s="1"/>
      <c r="O203" s="1"/>
      <c r="P203" s="1"/>
      <c r="X203">
        <v>48</v>
      </c>
      <c r="Y203" s="1" t="s">
        <v>53</v>
      </c>
      <c r="Z203" s="1" t="s">
        <v>56</v>
      </c>
    </row>
    <row r="204" spans="6:26">
      <c r="F204" s="1" t="s">
        <v>42</v>
      </c>
      <c r="G204" s="1" t="s">
        <v>44</v>
      </c>
      <c r="I204" s="1" t="s">
        <v>42</v>
      </c>
      <c r="J204" s="1" t="s">
        <v>44</v>
      </c>
      <c r="K204" s="1" t="s">
        <v>43</v>
      </c>
      <c r="O204" s="1"/>
      <c r="P204" s="1"/>
      <c r="X204" s="1" t="s">
        <v>42</v>
      </c>
      <c r="Y204" s="1" t="s">
        <v>44</v>
      </c>
      <c r="Z204" s="1" t="s">
        <v>43</v>
      </c>
    </row>
    <row r="205" spans="6:26">
      <c r="F205">
        <v>49</v>
      </c>
      <c r="G205" s="1" t="s">
        <v>53</v>
      </c>
      <c r="I205">
        <v>49</v>
      </c>
      <c r="J205" s="1" t="s">
        <v>53</v>
      </c>
      <c r="K205" s="1" t="s">
        <v>54</v>
      </c>
      <c r="N205" s="1"/>
      <c r="O205" s="1"/>
      <c r="P205" s="1"/>
      <c r="X205">
        <v>49</v>
      </c>
      <c r="Y205" s="1" t="s">
        <v>53</v>
      </c>
      <c r="Z205" s="1" t="s">
        <v>56</v>
      </c>
    </row>
    <row r="206" spans="6:26">
      <c r="F206" s="1" t="s">
        <v>42</v>
      </c>
      <c r="G206" s="1" t="s">
        <v>44</v>
      </c>
      <c r="I206" s="1" t="s">
        <v>42</v>
      </c>
      <c r="J206" s="1" t="s">
        <v>44</v>
      </c>
      <c r="K206" s="1" t="s">
        <v>43</v>
      </c>
      <c r="O206" s="1"/>
      <c r="P206" s="1"/>
      <c r="X206" s="1" t="s">
        <v>42</v>
      </c>
      <c r="Y206" s="1" t="s">
        <v>44</v>
      </c>
      <c r="Z206" s="1" t="s">
        <v>43</v>
      </c>
    </row>
    <row r="207" spans="6:26">
      <c r="F207">
        <v>50</v>
      </c>
      <c r="G207" s="1" t="s">
        <v>53</v>
      </c>
      <c r="I207">
        <v>50</v>
      </c>
      <c r="J207" s="1" t="s">
        <v>53</v>
      </c>
      <c r="K207" s="1" t="s">
        <v>54</v>
      </c>
      <c r="N207" s="1"/>
      <c r="O207" s="1"/>
      <c r="P207" s="1"/>
      <c r="X207">
        <v>50</v>
      </c>
      <c r="Y207" s="1" t="s">
        <v>53</v>
      </c>
      <c r="Z207" s="1" t="s">
        <v>56</v>
      </c>
    </row>
    <row r="208" spans="6:26">
      <c r="F208" s="1" t="s">
        <v>42</v>
      </c>
      <c r="G208" s="1" t="s">
        <v>44</v>
      </c>
      <c r="I208" s="1" t="s">
        <v>42</v>
      </c>
      <c r="J208" s="1" t="s">
        <v>44</v>
      </c>
      <c r="K208" s="1" t="s">
        <v>43</v>
      </c>
      <c r="O208" s="1"/>
      <c r="P208" s="1"/>
      <c r="X208" s="1" t="s">
        <v>42</v>
      </c>
      <c r="Y208" s="1" t="s">
        <v>44</v>
      </c>
      <c r="Z208" s="1" t="s">
        <v>43</v>
      </c>
    </row>
    <row r="209" spans="6:26">
      <c r="F209">
        <v>51</v>
      </c>
      <c r="G209" s="1" t="s">
        <v>53</v>
      </c>
      <c r="I209">
        <v>51</v>
      </c>
      <c r="J209" s="1" t="s">
        <v>53</v>
      </c>
      <c r="K209" s="1" t="s">
        <v>54</v>
      </c>
      <c r="N209" s="1"/>
      <c r="O209" s="1"/>
      <c r="P209" s="1"/>
      <c r="X209">
        <v>51</v>
      </c>
      <c r="Y209" s="1" t="s">
        <v>53</v>
      </c>
      <c r="Z209" s="1" t="s">
        <v>56</v>
      </c>
    </row>
    <row r="210" spans="6:26">
      <c r="F210" s="1" t="s">
        <v>42</v>
      </c>
      <c r="G210" s="1" t="s">
        <v>44</v>
      </c>
      <c r="I210" s="1" t="s">
        <v>42</v>
      </c>
      <c r="J210" s="1" t="s">
        <v>44</v>
      </c>
      <c r="K210" s="1" t="s">
        <v>43</v>
      </c>
      <c r="O210" s="1"/>
      <c r="P210" s="1"/>
      <c r="X210" s="1" t="s">
        <v>42</v>
      </c>
      <c r="Y210" s="1" t="s">
        <v>44</v>
      </c>
      <c r="Z210" s="1" t="s">
        <v>43</v>
      </c>
    </row>
    <row r="211" spans="6:26">
      <c r="F211">
        <v>52</v>
      </c>
      <c r="G211" s="1" t="s">
        <v>53</v>
      </c>
      <c r="I211">
        <v>52</v>
      </c>
      <c r="J211" s="1" t="s">
        <v>53</v>
      </c>
      <c r="K211" s="1" t="s">
        <v>54</v>
      </c>
      <c r="N211" s="1"/>
      <c r="O211" s="1"/>
      <c r="P211" s="1"/>
      <c r="X211">
        <v>52</v>
      </c>
      <c r="Y211" s="1" t="s">
        <v>53</v>
      </c>
      <c r="Z211" s="1" t="s">
        <v>56</v>
      </c>
    </row>
    <row r="212" spans="6:26">
      <c r="F212" s="1" t="s">
        <v>42</v>
      </c>
      <c r="G212" s="1" t="s">
        <v>44</v>
      </c>
      <c r="I212" s="1" t="s">
        <v>42</v>
      </c>
      <c r="J212" s="1" t="s">
        <v>44</v>
      </c>
      <c r="K212" s="1" t="s">
        <v>43</v>
      </c>
      <c r="O212" s="1"/>
      <c r="P212" s="1"/>
      <c r="X212" s="1" t="s">
        <v>42</v>
      </c>
      <c r="Y212" s="1" t="s">
        <v>44</v>
      </c>
      <c r="Z212" s="1" t="s">
        <v>43</v>
      </c>
    </row>
    <row r="213" spans="6:26">
      <c r="F213">
        <v>53</v>
      </c>
      <c r="G213" s="1" t="s">
        <v>53</v>
      </c>
      <c r="I213">
        <v>53</v>
      </c>
      <c r="J213" s="1" t="s">
        <v>53</v>
      </c>
      <c r="K213" s="1" t="s">
        <v>54</v>
      </c>
      <c r="N213" s="1"/>
      <c r="O213" s="1"/>
      <c r="P213" s="1"/>
      <c r="X213">
        <v>53</v>
      </c>
      <c r="Y213" s="1" t="s">
        <v>53</v>
      </c>
      <c r="Z213" s="1" t="s">
        <v>56</v>
      </c>
    </row>
    <row r="214" spans="6:26">
      <c r="F214" s="1" t="s">
        <v>42</v>
      </c>
      <c r="G214" s="1" t="s">
        <v>44</v>
      </c>
      <c r="I214" s="1" t="s">
        <v>42</v>
      </c>
      <c r="J214" s="1" t="s">
        <v>44</v>
      </c>
      <c r="K214" s="1" t="s">
        <v>43</v>
      </c>
      <c r="O214" s="1"/>
      <c r="P214" s="1"/>
      <c r="X214" s="1" t="s">
        <v>42</v>
      </c>
      <c r="Y214" s="1" t="s">
        <v>44</v>
      </c>
      <c r="Z214" s="1" t="s">
        <v>43</v>
      </c>
    </row>
    <row r="215" spans="6:26">
      <c r="F215">
        <v>54</v>
      </c>
      <c r="G215" s="1" t="s">
        <v>53</v>
      </c>
      <c r="I215">
        <v>54</v>
      </c>
      <c r="J215" s="1" t="s">
        <v>53</v>
      </c>
      <c r="K215" s="1" t="s">
        <v>54</v>
      </c>
      <c r="N215" s="1"/>
      <c r="O215" s="1"/>
      <c r="P215" s="1"/>
      <c r="X215">
        <v>54</v>
      </c>
      <c r="Y215" s="1" t="s">
        <v>53</v>
      </c>
      <c r="Z215" s="1" t="s">
        <v>56</v>
      </c>
    </row>
    <row r="216" spans="6:26">
      <c r="F216" s="1" t="s">
        <v>42</v>
      </c>
      <c r="G216" s="1" t="s">
        <v>44</v>
      </c>
      <c r="I216" s="1" t="s">
        <v>42</v>
      </c>
      <c r="J216" s="1" t="s">
        <v>44</v>
      </c>
      <c r="K216" s="1" t="s">
        <v>43</v>
      </c>
      <c r="O216" s="1"/>
      <c r="P216" s="1"/>
      <c r="X216" s="1" t="s">
        <v>42</v>
      </c>
      <c r="Y216" s="1" t="s">
        <v>44</v>
      </c>
      <c r="Z216" s="1" t="s">
        <v>43</v>
      </c>
    </row>
    <row r="217" spans="6:26">
      <c r="F217">
        <v>55</v>
      </c>
      <c r="G217" s="1" t="s">
        <v>53</v>
      </c>
      <c r="I217">
        <v>55</v>
      </c>
      <c r="J217" s="1" t="s">
        <v>53</v>
      </c>
      <c r="K217" s="1" t="s">
        <v>54</v>
      </c>
      <c r="N217" s="1"/>
      <c r="O217" s="1"/>
      <c r="P217" s="1"/>
      <c r="X217">
        <v>55</v>
      </c>
      <c r="Y217" s="1" t="s">
        <v>53</v>
      </c>
      <c r="Z217" s="1" t="s">
        <v>56</v>
      </c>
    </row>
    <row r="218" spans="6:26">
      <c r="F218" s="1" t="s">
        <v>42</v>
      </c>
      <c r="G218" s="1" t="s">
        <v>44</v>
      </c>
      <c r="I218" s="1" t="s">
        <v>42</v>
      </c>
      <c r="J218" s="1" t="s">
        <v>44</v>
      </c>
      <c r="K218" s="1" t="s">
        <v>43</v>
      </c>
      <c r="O218" s="1"/>
      <c r="P218" s="1"/>
      <c r="X218" s="1" t="s">
        <v>42</v>
      </c>
      <c r="Y218" s="1" t="s">
        <v>44</v>
      </c>
      <c r="Z218" s="1" t="s">
        <v>43</v>
      </c>
    </row>
    <row r="219" spans="6:26">
      <c r="F219">
        <v>56</v>
      </c>
      <c r="G219" s="1" t="s">
        <v>53</v>
      </c>
      <c r="I219">
        <v>56</v>
      </c>
      <c r="J219" s="1" t="s">
        <v>53</v>
      </c>
      <c r="K219" s="1" t="s">
        <v>54</v>
      </c>
      <c r="N219" s="1"/>
      <c r="O219" s="1"/>
      <c r="P219" s="1"/>
      <c r="X219">
        <v>56</v>
      </c>
      <c r="Y219" s="1" t="s">
        <v>53</v>
      </c>
      <c r="Z219" s="1" t="s">
        <v>56</v>
      </c>
    </row>
    <row r="220" spans="6:26">
      <c r="F220" s="1" t="s">
        <v>42</v>
      </c>
      <c r="G220" s="1" t="s">
        <v>44</v>
      </c>
      <c r="I220" s="1" t="s">
        <v>42</v>
      </c>
      <c r="J220" s="1" t="s">
        <v>44</v>
      </c>
      <c r="K220" s="1" t="s">
        <v>43</v>
      </c>
      <c r="O220" s="1"/>
      <c r="P220" s="1"/>
      <c r="X220" s="1" t="s">
        <v>42</v>
      </c>
      <c r="Y220" s="1" t="s">
        <v>44</v>
      </c>
      <c r="Z220" s="1" t="s">
        <v>43</v>
      </c>
    </row>
    <row r="221" spans="6:26">
      <c r="F221">
        <v>57</v>
      </c>
      <c r="G221" s="1" t="s">
        <v>53</v>
      </c>
      <c r="I221">
        <v>57</v>
      </c>
      <c r="J221" s="1" t="s">
        <v>53</v>
      </c>
      <c r="K221" s="1" t="s">
        <v>54</v>
      </c>
      <c r="N221" s="1"/>
      <c r="O221" s="1"/>
      <c r="P221" s="1"/>
      <c r="X221">
        <v>57</v>
      </c>
      <c r="Y221" s="1" t="s">
        <v>53</v>
      </c>
      <c r="Z221" s="1" t="s">
        <v>56</v>
      </c>
    </row>
    <row r="222" spans="6:26">
      <c r="F222" s="1" t="s">
        <v>42</v>
      </c>
      <c r="G222" s="1" t="s">
        <v>44</v>
      </c>
      <c r="I222" s="1" t="s">
        <v>42</v>
      </c>
      <c r="J222" s="1" t="s">
        <v>44</v>
      </c>
      <c r="K222" s="1" t="s">
        <v>43</v>
      </c>
      <c r="O222" s="1"/>
      <c r="P222" s="1"/>
      <c r="X222" s="1" t="s">
        <v>42</v>
      </c>
      <c r="Y222" s="1" t="s">
        <v>44</v>
      </c>
      <c r="Z222" s="1" t="s">
        <v>43</v>
      </c>
    </row>
    <row r="223" spans="6:26">
      <c r="F223">
        <v>58</v>
      </c>
      <c r="G223" s="1" t="s">
        <v>53</v>
      </c>
      <c r="I223">
        <v>58</v>
      </c>
      <c r="J223" s="1" t="s">
        <v>53</v>
      </c>
      <c r="K223" s="1" t="s">
        <v>54</v>
      </c>
      <c r="N223" s="1"/>
      <c r="O223" s="1"/>
      <c r="P223" s="1"/>
      <c r="X223">
        <v>58</v>
      </c>
      <c r="Y223" s="1" t="s">
        <v>53</v>
      </c>
      <c r="Z223" s="1" t="s">
        <v>56</v>
      </c>
    </row>
    <row r="224" spans="6:26">
      <c r="F224" s="1" t="s">
        <v>42</v>
      </c>
      <c r="G224" s="1" t="s">
        <v>44</v>
      </c>
      <c r="I224" s="1" t="s">
        <v>42</v>
      </c>
      <c r="J224" s="1" t="s">
        <v>44</v>
      </c>
      <c r="K224" s="1" t="s">
        <v>43</v>
      </c>
      <c r="O224" s="1"/>
      <c r="P224" s="1"/>
      <c r="X224" s="1" t="s">
        <v>42</v>
      </c>
      <c r="Y224" s="1" t="s">
        <v>44</v>
      </c>
      <c r="Z224" s="1" t="s">
        <v>43</v>
      </c>
    </row>
    <row r="225" spans="6:26">
      <c r="F225">
        <v>59</v>
      </c>
      <c r="G225" s="1" t="s">
        <v>53</v>
      </c>
      <c r="I225">
        <v>59</v>
      </c>
      <c r="J225" s="1" t="s">
        <v>53</v>
      </c>
      <c r="K225" s="1" t="s">
        <v>54</v>
      </c>
      <c r="N225" s="1"/>
      <c r="O225" s="1"/>
      <c r="P225" s="1"/>
      <c r="X225">
        <v>59</v>
      </c>
      <c r="Y225" s="1" t="s">
        <v>53</v>
      </c>
      <c r="Z225" s="1" t="s">
        <v>56</v>
      </c>
    </row>
    <row r="226" spans="6:26">
      <c r="F226" s="1" t="s">
        <v>42</v>
      </c>
      <c r="G226" s="1" t="s">
        <v>44</v>
      </c>
      <c r="I226" s="1" t="s">
        <v>42</v>
      </c>
      <c r="J226" s="1" t="s">
        <v>44</v>
      </c>
      <c r="K226" s="1" t="s">
        <v>43</v>
      </c>
      <c r="O226" s="1"/>
      <c r="P226" s="1"/>
      <c r="X226" s="1" t="s">
        <v>42</v>
      </c>
      <c r="Y226" s="1" t="s">
        <v>44</v>
      </c>
      <c r="Z226" s="1" t="s">
        <v>43</v>
      </c>
    </row>
    <row r="227" spans="6:26">
      <c r="F227">
        <v>60</v>
      </c>
      <c r="G227" s="1" t="s">
        <v>53</v>
      </c>
      <c r="I227">
        <v>60</v>
      </c>
      <c r="J227" s="1" t="s">
        <v>53</v>
      </c>
      <c r="K227" s="1" t="s">
        <v>54</v>
      </c>
      <c r="N227" s="1"/>
      <c r="O227" s="1"/>
      <c r="P227" s="1"/>
      <c r="X227">
        <v>60</v>
      </c>
      <c r="Y227" s="1" t="s">
        <v>53</v>
      </c>
      <c r="Z227" s="1" t="s">
        <v>56</v>
      </c>
    </row>
    <row r="228" spans="6:26">
      <c r="F228" s="1" t="s">
        <v>42</v>
      </c>
      <c r="G228" s="1" t="s">
        <v>44</v>
      </c>
      <c r="I228" s="1" t="s">
        <v>42</v>
      </c>
      <c r="J228" s="1" t="s">
        <v>44</v>
      </c>
      <c r="K228" s="1" t="s">
        <v>43</v>
      </c>
      <c r="O228" s="1"/>
      <c r="P228" s="1"/>
      <c r="X228" s="1" t="s">
        <v>42</v>
      </c>
      <c r="Y228" s="1" t="s">
        <v>44</v>
      </c>
      <c r="Z228" s="1" t="s">
        <v>43</v>
      </c>
    </row>
    <row r="229" spans="6:26">
      <c r="F229">
        <v>61</v>
      </c>
      <c r="G229" s="1" t="s">
        <v>53</v>
      </c>
      <c r="I229">
        <v>61</v>
      </c>
      <c r="J229" s="1" t="s">
        <v>53</v>
      </c>
      <c r="K229" s="1" t="s">
        <v>54</v>
      </c>
      <c r="N229" s="1"/>
      <c r="O229" s="1"/>
      <c r="P229" s="1"/>
      <c r="X229">
        <v>61</v>
      </c>
      <c r="Y229" s="1" t="s">
        <v>53</v>
      </c>
      <c r="Z229" s="1" t="s">
        <v>56</v>
      </c>
    </row>
    <row r="230" spans="6:26">
      <c r="F230" s="1" t="s">
        <v>42</v>
      </c>
      <c r="G230" s="1" t="s">
        <v>44</v>
      </c>
      <c r="I230" s="1" t="s">
        <v>42</v>
      </c>
      <c r="J230" s="1" t="s">
        <v>44</v>
      </c>
      <c r="K230" s="1" t="s">
        <v>43</v>
      </c>
      <c r="O230" s="1"/>
      <c r="P230" s="1"/>
      <c r="X230" s="1" t="s">
        <v>42</v>
      </c>
      <c r="Y230" s="1" t="s">
        <v>44</v>
      </c>
      <c r="Z230" s="1" t="s">
        <v>43</v>
      </c>
    </row>
    <row r="231" spans="6:26">
      <c r="F231">
        <v>62</v>
      </c>
      <c r="G231" s="1" t="s">
        <v>53</v>
      </c>
      <c r="I231">
        <v>62</v>
      </c>
      <c r="J231" s="1" t="s">
        <v>53</v>
      </c>
      <c r="K231" s="1" t="s">
        <v>54</v>
      </c>
      <c r="N231" s="1"/>
      <c r="O231" s="1"/>
      <c r="P231" s="1"/>
      <c r="X231">
        <v>62</v>
      </c>
      <c r="Y231" s="1" t="s">
        <v>53</v>
      </c>
      <c r="Z231" s="1" t="s">
        <v>56</v>
      </c>
    </row>
    <row r="232" spans="6:26">
      <c r="F232" s="1" t="s">
        <v>42</v>
      </c>
      <c r="G232" s="1" t="s">
        <v>44</v>
      </c>
      <c r="I232" s="1" t="s">
        <v>42</v>
      </c>
      <c r="J232" s="1" t="s">
        <v>44</v>
      </c>
      <c r="K232" s="1" t="s">
        <v>43</v>
      </c>
      <c r="O232" s="1"/>
      <c r="P232" s="1"/>
      <c r="X232" s="1" t="s">
        <v>42</v>
      </c>
      <c r="Y232" s="1" t="s">
        <v>44</v>
      </c>
      <c r="Z232" s="1" t="s">
        <v>43</v>
      </c>
    </row>
    <row r="233" spans="6:26">
      <c r="F233">
        <v>63</v>
      </c>
      <c r="G233" s="1" t="s">
        <v>53</v>
      </c>
      <c r="I233">
        <v>63</v>
      </c>
      <c r="J233" s="1" t="s">
        <v>53</v>
      </c>
      <c r="K233" s="1" t="s">
        <v>54</v>
      </c>
      <c r="N233" s="1"/>
      <c r="O233" s="1"/>
      <c r="P233" s="1"/>
      <c r="X233">
        <v>63</v>
      </c>
      <c r="Y233" s="1" t="s">
        <v>53</v>
      </c>
      <c r="Z233" s="1" t="s">
        <v>56</v>
      </c>
    </row>
    <row r="234" spans="6:26">
      <c r="F234" s="1" t="s">
        <v>42</v>
      </c>
      <c r="G234" s="1" t="s">
        <v>44</v>
      </c>
      <c r="I234" s="1" t="s">
        <v>42</v>
      </c>
      <c r="J234" s="1" t="s">
        <v>44</v>
      </c>
      <c r="K234" s="1" t="s">
        <v>43</v>
      </c>
      <c r="O234" s="1"/>
      <c r="P234" s="1"/>
      <c r="X234" s="1" t="s">
        <v>42</v>
      </c>
      <c r="Y234" s="1" t="s">
        <v>44</v>
      </c>
      <c r="Z234" s="1" t="s">
        <v>43</v>
      </c>
    </row>
    <row r="235" spans="6:26">
      <c r="F235">
        <v>64</v>
      </c>
      <c r="G235" s="1" t="s">
        <v>53</v>
      </c>
      <c r="I235">
        <v>64</v>
      </c>
      <c r="J235" s="1" t="s">
        <v>53</v>
      </c>
      <c r="K235" s="1" t="s">
        <v>54</v>
      </c>
      <c r="N235" s="1"/>
      <c r="O235" s="1"/>
      <c r="P235" s="1"/>
      <c r="X235">
        <v>64</v>
      </c>
      <c r="Y235" s="1" t="s">
        <v>53</v>
      </c>
      <c r="Z235" s="1" t="s">
        <v>56</v>
      </c>
    </row>
    <row r="236" spans="6:26">
      <c r="F236" s="1" t="s">
        <v>42</v>
      </c>
      <c r="G236" s="1" t="s">
        <v>44</v>
      </c>
      <c r="I236" s="1" t="s">
        <v>42</v>
      </c>
      <c r="J236" s="1" t="s">
        <v>44</v>
      </c>
      <c r="K236" s="1" t="s">
        <v>43</v>
      </c>
      <c r="O236" s="1"/>
      <c r="P236" s="1"/>
      <c r="X236" s="1" t="s">
        <v>42</v>
      </c>
      <c r="Y236" s="1" t="s">
        <v>44</v>
      </c>
      <c r="Z236" s="1" t="s">
        <v>43</v>
      </c>
    </row>
    <row r="237" spans="6:26">
      <c r="F237">
        <v>65</v>
      </c>
      <c r="G237" s="1" t="s">
        <v>53</v>
      </c>
      <c r="I237">
        <v>65</v>
      </c>
      <c r="J237" s="1" t="s">
        <v>53</v>
      </c>
      <c r="K237" s="1" t="s">
        <v>54</v>
      </c>
      <c r="N237" s="1"/>
      <c r="O237" s="1"/>
      <c r="P237" s="1"/>
      <c r="X237">
        <v>65</v>
      </c>
      <c r="Y237" s="1" t="s">
        <v>53</v>
      </c>
      <c r="Z237" s="1" t="s">
        <v>56</v>
      </c>
    </row>
    <row r="238" spans="6:26">
      <c r="F238" s="1" t="s">
        <v>42</v>
      </c>
      <c r="G238" s="1" t="s">
        <v>44</v>
      </c>
      <c r="I238" s="1" t="s">
        <v>42</v>
      </c>
      <c r="J238" s="1" t="s">
        <v>44</v>
      </c>
      <c r="K238" s="1" t="s">
        <v>43</v>
      </c>
      <c r="O238" s="1"/>
      <c r="P238" s="1"/>
      <c r="X238" s="1" t="s">
        <v>42</v>
      </c>
      <c r="Y238" s="1" t="s">
        <v>44</v>
      </c>
      <c r="Z238" s="1" t="s">
        <v>43</v>
      </c>
    </row>
    <row r="239" spans="6:26">
      <c r="F239">
        <v>66</v>
      </c>
      <c r="G239" s="1" t="s">
        <v>53</v>
      </c>
      <c r="I239">
        <v>66</v>
      </c>
      <c r="J239" s="1" t="s">
        <v>53</v>
      </c>
      <c r="K239" s="1" t="s">
        <v>54</v>
      </c>
      <c r="N239" s="1"/>
      <c r="O239" s="1"/>
      <c r="P239" s="1"/>
      <c r="X239">
        <v>66</v>
      </c>
      <c r="Y239" s="1" t="s">
        <v>53</v>
      </c>
      <c r="Z239" s="1" t="s">
        <v>56</v>
      </c>
    </row>
    <row r="240" spans="6:26">
      <c r="F240" s="1" t="s">
        <v>42</v>
      </c>
      <c r="G240" s="1" t="s">
        <v>44</v>
      </c>
      <c r="I240" s="1" t="s">
        <v>42</v>
      </c>
      <c r="J240" s="1" t="s">
        <v>44</v>
      </c>
      <c r="K240" s="1" t="s">
        <v>43</v>
      </c>
      <c r="O240" s="1"/>
      <c r="P240" s="1"/>
      <c r="X240" s="1" t="s">
        <v>42</v>
      </c>
      <c r="Y240" s="1" t="s">
        <v>44</v>
      </c>
      <c r="Z240" s="1" t="s">
        <v>43</v>
      </c>
    </row>
    <row r="241" spans="6:26">
      <c r="F241">
        <v>67</v>
      </c>
      <c r="G241" s="1" t="s">
        <v>53</v>
      </c>
      <c r="I241">
        <v>67</v>
      </c>
      <c r="J241" s="1" t="s">
        <v>53</v>
      </c>
      <c r="K241" s="1" t="s">
        <v>54</v>
      </c>
      <c r="N241" s="1"/>
      <c r="O241" s="1"/>
      <c r="P241" s="1"/>
      <c r="X241">
        <v>67</v>
      </c>
      <c r="Y241" s="1" t="s">
        <v>53</v>
      </c>
      <c r="Z241" s="1" t="s">
        <v>56</v>
      </c>
    </row>
    <row r="242" spans="6:26">
      <c r="F242" s="1" t="s">
        <v>42</v>
      </c>
      <c r="G242" s="1" t="s">
        <v>44</v>
      </c>
      <c r="I242" s="1" t="s">
        <v>42</v>
      </c>
      <c r="J242" s="1" t="s">
        <v>44</v>
      </c>
      <c r="K242" s="1" t="s">
        <v>43</v>
      </c>
      <c r="O242" s="1"/>
      <c r="P242" s="1"/>
      <c r="X242" s="1" t="s">
        <v>42</v>
      </c>
      <c r="Y242" s="1" t="s">
        <v>44</v>
      </c>
      <c r="Z242" s="1" t="s">
        <v>43</v>
      </c>
    </row>
    <row r="243" spans="6:26">
      <c r="F243">
        <v>68</v>
      </c>
      <c r="G243" s="1" t="s">
        <v>53</v>
      </c>
      <c r="I243">
        <v>68</v>
      </c>
      <c r="J243" s="1" t="s">
        <v>53</v>
      </c>
      <c r="K243" s="1" t="s">
        <v>54</v>
      </c>
      <c r="N243" s="1"/>
      <c r="O243" s="1"/>
      <c r="P243" s="1"/>
      <c r="X243">
        <v>68</v>
      </c>
      <c r="Y243" s="1" t="s">
        <v>53</v>
      </c>
      <c r="Z243" s="1" t="s">
        <v>56</v>
      </c>
    </row>
    <row r="244" spans="6:26">
      <c r="F244" s="1" t="s">
        <v>42</v>
      </c>
      <c r="G244" s="1" t="s">
        <v>44</v>
      </c>
      <c r="I244" s="1" t="s">
        <v>42</v>
      </c>
      <c r="J244" s="1" t="s">
        <v>44</v>
      </c>
      <c r="K244" s="1" t="s">
        <v>43</v>
      </c>
      <c r="O244" s="1"/>
      <c r="P244" s="1"/>
      <c r="X244" s="1" t="s">
        <v>42</v>
      </c>
      <c r="Y244" s="1" t="s">
        <v>44</v>
      </c>
      <c r="Z244" s="1" t="s">
        <v>43</v>
      </c>
    </row>
    <row r="245" spans="6:26">
      <c r="F245">
        <v>69</v>
      </c>
      <c r="G245" s="1" t="s">
        <v>53</v>
      </c>
      <c r="I245">
        <v>69</v>
      </c>
      <c r="J245" s="1" t="s">
        <v>53</v>
      </c>
      <c r="K245" s="1" t="s">
        <v>54</v>
      </c>
      <c r="N245" s="1"/>
      <c r="O245" s="1"/>
      <c r="P245" s="1"/>
      <c r="X245">
        <v>69</v>
      </c>
      <c r="Y245" s="1" t="s">
        <v>53</v>
      </c>
      <c r="Z245" s="1" t="s">
        <v>56</v>
      </c>
    </row>
    <row r="246" spans="6:26">
      <c r="F246" s="1" t="s">
        <v>42</v>
      </c>
      <c r="G246" s="1" t="s">
        <v>44</v>
      </c>
      <c r="I246" s="1" t="s">
        <v>42</v>
      </c>
      <c r="J246" s="1" t="s">
        <v>44</v>
      </c>
      <c r="K246" s="1" t="s">
        <v>43</v>
      </c>
      <c r="O246" s="1"/>
      <c r="P246" s="1"/>
      <c r="X246" s="1" t="s">
        <v>42</v>
      </c>
      <c r="Y246" s="1" t="s">
        <v>44</v>
      </c>
      <c r="Z246" s="1" t="s">
        <v>43</v>
      </c>
    </row>
    <row r="247" spans="6:26">
      <c r="F247">
        <v>70</v>
      </c>
      <c r="G247" s="1" t="s">
        <v>53</v>
      </c>
      <c r="I247">
        <v>70</v>
      </c>
      <c r="J247" s="1" t="s">
        <v>53</v>
      </c>
      <c r="K247" s="1" t="s">
        <v>54</v>
      </c>
      <c r="N247" s="1"/>
      <c r="O247" s="1"/>
      <c r="P247" s="1"/>
      <c r="X247">
        <v>70</v>
      </c>
      <c r="Y247" s="1" t="s">
        <v>53</v>
      </c>
      <c r="Z247" s="1" t="s">
        <v>56</v>
      </c>
    </row>
    <row r="248" spans="6:26">
      <c r="F248" s="1" t="s">
        <v>42</v>
      </c>
      <c r="G248" s="1" t="s">
        <v>44</v>
      </c>
      <c r="I248" s="1" t="s">
        <v>42</v>
      </c>
      <c r="J248" s="1" t="s">
        <v>44</v>
      </c>
      <c r="K248" s="1" t="s">
        <v>43</v>
      </c>
      <c r="O248" s="1"/>
      <c r="P248" s="1"/>
      <c r="X248" s="1" t="s">
        <v>42</v>
      </c>
      <c r="Y248" s="1" t="s">
        <v>44</v>
      </c>
      <c r="Z248" s="1" t="s">
        <v>43</v>
      </c>
    </row>
    <row r="249" spans="6:26">
      <c r="F249">
        <v>71</v>
      </c>
      <c r="G249" s="1" t="s">
        <v>53</v>
      </c>
      <c r="I249">
        <v>71</v>
      </c>
      <c r="J249" s="1" t="s">
        <v>53</v>
      </c>
      <c r="K249" s="1" t="s">
        <v>54</v>
      </c>
      <c r="N249" s="1"/>
      <c r="O249" s="1"/>
      <c r="P249" s="1"/>
      <c r="X249">
        <v>71</v>
      </c>
      <c r="Y249" s="1" t="s">
        <v>53</v>
      </c>
      <c r="Z249" s="1" t="s">
        <v>56</v>
      </c>
    </row>
    <row r="250" spans="6:26">
      <c r="F250" s="1" t="s">
        <v>42</v>
      </c>
      <c r="G250" s="1" t="s">
        <v>44</v>
      </c>
      <c r="I250" s="1" t="s">
        <v>42</v>
      </c>
      <c r="J250" s="1" t="s">
        <v>44</v>
      </c>
      <c r="K250" s="1" t="s">
        <v>43</v>
      </c>
      <c r="O250" s="1"/>
      <c r="P250" s="1"/>
      <c r="X250" s="1" t="s">
        <v>42</v>
      </c>
      <c r="Y250" s="1" t="s">
        <v>44</v>
      </c>
      <c r="Z250" s="1" t="s">
        <v>43</v>
      </c>
    </row>
    <row r="251" spans="6:26">
      <c r="F251">
        <v>72</v>
      </c>
      <c r="G251" s="1" t="s">
        <v>53</v>
      </c>
      <c r="I251">
        <v>72</v>
      </c>
      <c r="J251" s="1" t="s">
        <v>53</v>
      </c>
      <c r="K251" s="1" t="s">
        <v>54</v>
      </c>
      <c r="N251" s="1"/>
      <c r="O251" s="1"/>
      <c r="P251" s="1"/>
      <c r="X251">
        <v>72</v>
      </c>
      <c r="Y251" s="1" t="s">
        <v>53</v>
      </c>
      <c r="Z251" s="1" t="s">
        <v>56</v>
      </c>
    </row>
    <row r="252" spans="6:26">
      <c r="F252" s="1" t="s">
        <v>42</v>
      </c>
      <c r="G252" s="1" t="s">
        <v>44</v>
      </c>
      <c r="I252" s="1" t="s">
        <v>42</v>
      </c>
      <c r="J252" s="1" t="s">
        <v>44</v>
      </c>
      <c r="K252" s="1" t="s">
        <v>43</v>
      </c>
      <c r="O252" s="1"/>
      <c r="P252" s="1"/>
      <c r="X252" s="1" t="s">
        <v>42</v>
      </c>
      <c r="Y252" s="1" t="s">
        <v>44</v>
      </c>
      <c r="Z252" s="1" t="s">
        <v>43</v>
      </c>
    </row>
    <row r="253" spans="6:26">
      <c r="F253">
        <v>73</v>
      </c>
      <c r="G253" s="1" t="s">
        <v>53</v>
      </c>
      <c r="I253">
        <v>73</v>
      </c>
      <c r="J253" s="1" t="s">
        <v>53</v>
      </c>
      <c r="K253" s="1" t="s">
        <v>54</v>
      </c>
      <c r="N253" s="1"/>
      <c r="O253" s="1"/>
      <c r="P253" s="1"/>
      <c r="X253">
        <v>73</v>
      </c>
      <c r="Y253" s="1" t="s">
        <v>53</v>
      </c>
      <c r="Z253" s="1" t="s">
        <v>56</v>
      </c>
    </row>
    <row r="254" spans="6:26">
      <c r="F254" s="1" t="s">
        <v>42</v>
      </c>
      <c r="G254" s="1" t="s">
        <v>44</v>
      </c>
      <c r="I254" s="1" t="s">
        <v>42</v>
      </c>
      <c r="J254" s="1" t="s">
        <v>44</v>
      </c>
      <c r="K254" s="1" t="s">
        <v>43</v>
      </c>
      <c r="O254" s="1"/>
      <c r="P254" s="1"/>
      <c r="X254" s="1" t="s">
        <v>42</v>
      </c>
      <c r="Y254" s="1" t="s">
        <v>44</v>
      </c>
      <c r="Z254" s="1" t="s">
        <v>43</v>
      </c>
    </row>
    <row r="255" spans="6:26">
      <c r="F255">
        <v>74</v>
      </c>
      <c r="G255" s="1" t="s">
        <v>53</v>
      </c>
      <c r="I255">
        <v>74</v>
      </c>
      <c r="J255" s="1" t="s">
        <v>53</v>
      </c>
      <c r="K255" s="1" t="s">
        <v>54</v>
      </c>
      <c r="X255">
        <v>74</v>
      </c>
      <c r="Y255" s="1" t="s">
        <v>53</v>
      </c>
      <c r="Z255" s="1" t="s">
        <v>56</v>
      </c>
    </row>
    <row r="256" spans="6:26">
      <c r="F256" s="1" t="s">
        <v>42</v>
      </c>
      <c r="G256" s="1" t="s">
        <v>44</v>
      </c>
      <c r="I256" s="1" t="s">
        <v>42</v>
      </c>
      <c r="J256" s="1" t="s">
        <v>44</v>
      </c>
      <c r="K256" s="1" t="s">
        <v>43</v>
      </c>
      <c r="Q256" s="1"/>
      <c r="R256" s="1"/>
      <c r="X256" s="1" t="s">
        <v>42</v>
      </c>
      <c r="Y256" s="1" t="s">
        <v>44</v>
      </c>
      <c r="Z256" s="1" t="s">
        <v>43</v>
      </c>
    </row>
    <row r="257" spans="6:26">
      <c r="F257">
        <v>75</v>
      </c>
      <c r="G257" s="1" t="s">
        <v>53</v>
      </c>
      <c r="I257">
        <v>75</v>
      </c>
      <c r="J257" s="1" t="s">
        <v>53</v>
      </c>
      <c r="K257" s="1" t="s">
        <v>54</v>
      </c>
      <c r="Q257" s="1"/>
      <c r="R257" s="1"/>
      <c r="X257">
        <v>75</v>
      </c>
      <c r="Y257" s="1" t="s">
        <v>53</v>
      </c>
      <c r="Z257" s="1" t="s">
        <v>56</v>
      </c>
    </row>
    <row r="258" spans="6:26">
      <c r="F258" s="1" t="s">
        <v>42</v>
      </c>
      <c r="G258" s="1" t="s">
        <v>44</v>
      </c>
      <c r="I258" s="1" t="s">
        <v>42</v>
      </c>
      <c r="J258" s="1" t="s">
        <v>44</v>
      </c>
      <c r="K258" s="1" t="s">
        <v>43</v>
      </c>
      <c r="Q258" s="1"/>
      <c r="R258" s="1"/>
      <c r="X258" s="1" t="s">
        <v>42</v>
      </c>
      <c r="Y258" s="1" t="s">
        <v>44</v>
      </c>
      <c r="Z258" s="1" t="s">
        <v>43</v>
      </c>
    </row>
    <row r="259" spans="6:26">
      <c r="F259">
        <v>76</v>
      </c>
      <c r="G259" s="1" t="s">
        <v>53</v>
      </c>
      <c r="I259">
        <v>76</v>
      </c>
      <c r="J259" s="1" t="s">
        <v>53</v>
      </c>
      <c r="K259" s="1" t="s">
        <v>54</v>
      </c>
      <c r="Q259" s="1"/>
      <c r="R259" s="1"/>
      <c r="X259">
        <v>76</v>
      </c>
      <c r="Y259" s="1" t="s">
        <v>53</v>
      </c>
      <c r="Z259" s="1" t="s">
        <v>56</v>
      </c>
    </row>
    <row r="260" spans="6:26">
      <c r="F260" s="1" t="s">
        <v>42</v>
      </c>
      <c r="G260" s="1" t="s">
        <v>44</v>
      </c>
      <c r="I260" s="1" t="s">
        <v>42</v>
      </c>
      <c r="J260" s="1" t="s">
        <v>44</v>
      </c>
      <c r="K260" s="1" t="s">
        <v>43</v>
      </c>
      <c r="Q260" s="1"/>
      <c r="R260" s="1"/>
      <c r="X260" s="1" t="s">
        <v>42</v>
      </c>
      <c r="Y260" s="1" t="s">
        <v>44</v>
      </c>
      <c r="Z260" s="1" t="s">
        <v>43</v>
      </c>
    </row>
    <row r="261" spans="6:26">
      <c r="F261">
        <v>77</v>
      </c>
      <c r="G261" s="1" t="s">
        <v>53</v>
      </c>
      <c r="I261">
        <v>77</v>
      </c>
      <c r="J261" s="1" t="s">
        <v>53</v>
      </c>
      <c r="K261" s="1" t="s">
        <v>54</v>
      </c>
      <c r="Q261" s="1"/>
      <c r="R261" s="1"/>
      <c r="X261">
        <v>77</v>
      </c>
      <c r="Y261" s="1" t="s">
        <v>53</v>
      </c>
      <c r="Z261" s="1" t="s">
        <v>56</v>
      </c>
    </row>
    <row r="262" spans="6:26">
      <c r="F262" s="1" t="s">
        <v>42</v>
      </c>
      <c r="G262" s="1" t="s">
        <v>44</v>
      </c>
      <c r="I262" s="1" t="s">
        <v>42</v>
      </c>
      <c r="J262" s="1" t="s">
        <v>44</v>
      </c>
      <c r="K262" s="1" t="s">
        <v>43</v>
      </c>
      <c r="Q262" s="1"/>
      <c r="R262" s="1"/>
      <c r="X262" s="1" t="s">
        <v>42</v>
      </c>
      <c r="Y262" s="1" t="s">
        <v>44</v>
      </c>
      <c r="Z262" s="1" t="s">
        <v>43</v>
      </c>
    </row>
    <row r="263" spans="6:26">
      <c r="F263">
        <v>78</v>
      </c>
      <c r="G263" s="1" t="s">
        <v>53</v>
      </c>
      <c r="I263">
        <v>78</v>
      </c>
      <c r="J263" s="1" t="s">
        <v>53</v>
      </c>
      <c r="K263" s="1" t="s">
        <v>54</v>
      </c>
      <c r="Q263" s="1"/>
      <c r="R263" s="1"/>
      <c r="X263">
        <v>78</v>
      </c>
      <c r="Y263" s="1" t="s">
        <v>53</v>
      </c>
      <c r="Z263" s="1" t="s">
        <v>56</v>
      </c>
    </row>
    <row r="264" spans="6:26">
      <c r="F264" s="1" t="s">
        <v>42</v>
      </c>
      <c r="G264" s="1" t="s">
        <v>44</v>
      </c>
      <c r="I264" s="1" t="s">
        <v>42</v>
      </c>
      <c r="J264" s="1" t="s">
        <v>44</v>
      </c>
      <c r="K264" s="1" t="s">
        <v>43</v>
      </c>
      <c r="Q264" s="1"/>
      <c r="R264" s="1"/>
      <c r="X264" s="1" t="s">
        <v>42</v>
      </c>
      <c r="Y264" s="1" t="s">
        <v>44</v>
      </c>
      <c r="Z264" s="1" t="s">
        <v>43</v>
      </c>
    </row>
    <row r="265" spans="6:26">
      <c r="F265">
        <v>79</v>
      </c>
      <c r="G265" s="1" t="s">
        <v>53</v>
      </c>
      <c r="I265">
        <v>79</v>
      </c>
      <c r="J265" s="1" t="s">
        <v>53</v>
      </c>
      <c r="K265" s="1" t="s">
        <v>54</v>
      </c>
      <c r="Q265" s="1"/>
      <c r="R265" s="1"/>
      <c r="X265">
        <v>79</v>
      </c>
      <c r="Y265" s="1" t="s">
        <v>53</v>
      </c>
      <c r="Z265" s="1" t="s">
        <v>56</v>
      </c>
    </row>
    <row r="266" spans="6:26">
      <c r="F266" s="1" t="s">
        <v>42</v>
      </c>
      <c r="G266" s="1" t="s">
        <v>44</v>
      </c>
      <c r="I266" s="1" t="s">
        <v>42</v>
      </c>
      <c r="J266" s="1" t="s">
        <v>44</v>
      </c>
      <c r="K266" s="1" t="s">
        <v>43</v>
      </c>
      <c r="Q266" s="1"/>
      <c r="R266" s="1"/>
      <c r="X266" s="1" t="s">
        <v>42</v>
      </c>
      <c r="Y266" s="1" t="s">
        <v>44</v>
      </c>
      <c r="Z266" s="1" t="s">
        <v>43</v>
      </c>
    </row>
    <row r="267" spans="6:26">
      <c r="F267">
        <v>80</v>
      </c>
      <c r="G267" s="1" t="s">
        <v>53</v>
      </c>
      <c r="I267">
        <v>80</v>
      </c>
      <c r="J267" s="1" t="s">
        <v>53</v>
      </c>
      <c r="K267" s="1" t="s">
        <v>54</v>
      </c>
      <c r="Q267" s="1"/>
      <c r="R267" s="1"/>
      <c r="X267">
        <v>80</v>
      </c>
      <c r="Y267" s="1" t="s">
        <v>53</v>
      </c>
      <c r="Z267" s="1" t="s">
        <v>56</v>
      </c>
    </row>
    <row r="268" spans="6:26">
      <c r="F268" s="1" t="s">
        <v>42</v>
      </c>
      <c r="G268" s="1" t="s">
        <v>44</v>
      </c>
      <c r="I268" s="1" t="s">
        <v>42</v>
      </c>
      <c r="J268" s="1" t="s">
        <v>44</v>
      </c>
      <c r="K268" s="1" t="s">
        <v>43</v>
      </c>
      <c r="Q268" s="1"/>
      <c r="R268" s="1"/>
      <c r="X268" s="1" t="s">
        <v>42</v>
      </c>
      <c r="Y268" s="1" t="s">
        <v>44</v>
      </c>
      <c r="Z268" s="1" t="s">
        <v>43</v>
      </c>
    </row>
    <row r="269" spans="6:26">
      <c r="F269">
        <v>81</v>
      </c>
      <c r="G269" s="1" t="s">
        <v>53</v>
      </c>
      <c r="I269">
        <v>81</v>
      </c>
      <c r="J269" s="1" t="s">
        <v>53</v>
      </c>
      <c r="K269" s="1" t="s">
        <v>54</v>
      </c>
      <c r="Q269" s="1"/>
      <c r="R269" s="1"/>
      <c r="W269" s="1"/>
      <c r="X269">
        <v>81</v>
      </c>
      <c r="Y269" s="1" t="s">
        <v>53</v>
      </c>
      <c r="Z269" s="1" t="s">
        <v>56</v>
      </c>
    </row>
    <row r="270" spans="6:26">
      <c r="F270" s="1" t="s">
        <v>42</v>
      </c>
      <c r="G270" s="1" t="s">
        <v>44</v>
      </c>
      <c r="I270" s="1" t="s">
        <v>42</v>
      </c>
      <c r="J270" s="1" t="s">
        <v>44</v>
      </c>
      <c r="K270" s="1" t="s">
        <v>43</v>
      </c>
      <c r="Q270" s="1"/>
      <c r="R270" s="1"/>
      <c r="W270" s="1"/>
      <c r="X270" s="1" t="s">
        <v>42</v>
      </c>
      <c r="Y270" s="1" t="s">
        <v>44</v>
      </c>
      <c r="Z270" s="1" t="s">
        <v>43</v>
      </c>
    </row>
    <row r="271" spans="6:26">
      <c r="F271">
        <v>82</v>
      </c>
      <c r="G271" s="1" t="s">
        <v>53</v>
      </c>
      <c r="I271">
        <v>82</v>
      </c>
      <c r="J271" s="1" t="s">
        <v>53</v>
      </c>
      <c r="K271" s="1" t="s">
        <v>54</v>
      </c>
      <c r="Q271" s="1"/>
      <c r="R271" s="1"/>
      <c r="X271">
        <v>82</v>
      </c>
      <c r="Y271" s="1" t="s">
        <v>53</v>
      </c>
      <c r="Z271" s="1" t="s">
        <v>56</v>
      </c>
    </row>
    <row r="272" spans="6:26">
      <c r="F272" s="1" t="s">
        <v>42</v>
      </c>
      <c r="G272" s="1" t="s">
        <v>44</v>
      </c>
      <c r="I272" s="1" t="s">
        <v>42</v>
      </c>
      <c r="J272" s="1" t="s">
        <v>44</v>
      </c>
      <c r="K272" s="1" t="s">
        <v>43</v>
      </c>
      <c r="Q272" s="1"/>
      <c r="R272" s="1"/>
      <c r="X272" s="1" t="s">
        <v>42</v>
      </c>
      <c r="Y272" s="1" t="s">
        <v>44</v>
      </c>
      <c r="Z272" s="1" t="s">
        <v>43</v>
      </c>
    </row>
    <row r="273" spans="6:26">
      <c r="F273">
        <v>83</v>
      </c>
      <c r="G273" s="1" t="s">
        <v>53</v>
      </c>
      <c r="I273">
        <v>83</v>
      </c>
      <c r="J273" s="1" t="s">
        <v>53</v>
      </c>
      <c r="K273" s="1" t="s">
        <v>54</v>
      </c>
      <c r="Q273" s="1"/>
      <c r="R273" s="1"/>
      <c r="X273">
        <v>83</v>
      </c>
      <c r="Y273" s="1" t="s">
        <v>53</v>
      </c>
      <c r="Z273" s="1" t="s">
        <v>56</v>
      </c>
    </row>
    <row r="274" spans="6:26">
      <c r="F274" s="1" t="s">
        <v>42</v>
      </c>
      <c r="G274" s="1" t="s">
        <v>44</v>
      </c>
      <c r="I274" s="1" t="s">
        <v>42</v>
      </c>
      <c r="J274" s="1" t="s">
        <v>44</v>
      </c>
      <c r="K274" s="1" t="s">
        <v>43</v>
      </c>
      <c r="Q274" s="1"/>
      <c r="R274" s="1"/>
      <c r="X274" s="1" t="s">
        <v>42</v>
      </c>
      <c r="Y274" s="1" t="s">
        <v>44</v>
      </c>
      <c r="Z274" s="1" t="s">
        <v>43</v>
      </c>
    </row>
    <row r="275" spans="6:26">
      <c r="F275">
        <v>84</v>
      </c>
      <c r="G275" s="1" t="s">
        <v>53</v>
      </c>
      <c r="I275">
        <v>84</v>
      </c>
      <c r="J275" s="1" t="s">
        <v>53</v>
      </c>
      <c r="K275" s="1" t="s">
        <v>54</v>
      </c>
      <c r="Q275" s="1"/>
      <c r="R275" s="1"/>
      <c r="X275">
        <v>84</v>
      </c>
      <c r="Y275" s="1" t="s">
        <v>53</v>
      </c>
      <c r="Z275" s="1" t="s">
        <v>56</v>
      </c>
    </row>
    <row r="276" spans="6:26">
      <c r="F276" s="1" t="s">
        <v>42</v>
      </c>
      <c r="G276" s="1" t="s">
        <v>44</v>
      </c>
      <c r="I276" s="1" t="s">
        <v>42</v>
      </c>
      <c r="J276" s="1" t="s">
        <v>44</v>
      </c>
      <c r="K276" s="1" t="s">
        <v>43</v>
      </c>
      <c r="Q276" s="1"/>
      <c r="R276" s="1"/>
      <c r="X276" s="1" t="s">
        <v>42</v>
      </c>
      <c r="Y276" s="1" t="s">
        <v>44</v>
      </c>
      <c r="Z276" s="1" t="s">
        <v>43</v>
      </c>
    </row>
    <row r="277" spans="6:26">
      <c r="F277">
        <v>85</v>
      </c>
      <c r="G277" s="1" t="s">
        <v>53</v>
      </c>
      <c r="I277">
        <v>85</v>
      </c>
      <c r="J277" s="1" t="s">
        <v>53</v>
      </c>
      <c r="K277" s="1" t="s">
        <v>54</v>
      </c>
      <c r="Q277" s="1"/>
      <c r="R277" s="1"/>
      <c r="X277">
        <v>85</v>
      </c>
      <c r="Y277" s="1" t="s">
        <v>53</v>
      </c>
      <c r="Z277" s="1" t="s">
        <v>56</v>
      </c>
    </row>
    <row r="278" spans="6:26">
      <c r="F278" s="1" t="s">
        <v>42</v>
      </c>
      <c r="G278" s="1" t="s">
        <v>44</v>
      </c>
      <c r="I278" s="1" t="s">
        <v>42</v>
      </c>
      <c r="J278" s="1" t="s">
        <v>44</v>
      </c>
      <c r="K278" s="1" t="s">
        <v>43</v>
      </c>
      <c r="Q278" s="1"/>
      <c r="R278" s="1"/>
      <c r="X278" s="1" t="s">
        <v>42</v>
      </c>
      <c r="Y278" s="1" t="s">
        <v>44</v>
      </c>
      <c r="Z278" s="1" t="s">
        <v>43</v>
      </c>
    </row>
    <row r="279" spans="6:26">
      <c r="F279">
        <v>86</v>
      </c>
      <c r="G279" s="1" t="s">
        <v>53</v>
      </c>
      <c r="I279">
        <v>86</v>
      </c>
      <c r="J279" s="1" t="s">
        <v>53</v>
      </c>
      <c r="K279" s="1" t="s">
        <v>54</v>
      </c>
      <c r="Q279" s="1"/>
      <c r="R279" s="1"/>
      <c r="X279">
        <v>86</v>
      </c>
      <c r="Y279" s="1" t="s">
        <v>53</v>
      </c>
      <c r="Z279" s="1" t="s">
        <v>56</v>
      </c>
    </row>
    <row r="280" spans="6:26">
      <c r="F280" s="1" t="s">
        <v>42</v>
      </c>
      <c r="G280" s="1" t="s">
        <v>44</v>
      </c>
      <c r="I280" s="1" t="s">
        <v>42</v>
      </c>
      <c r="J280" s="1" t="s">
        <v>44</v>
      </c>
      <c r="K280" s="1" t="s">
        <v>43</v>
      </c>
      <c r="Q280" s="1"/>
      <c r="R280" s="1"/>
      <c r="X280" s="1" t="s">
        <v>42</v>
      </c>
      <c r="Y280" s="1" t="s">
        <v>44</v>
      </c>
      <c r="Z280" s="1" t="s">
        <v>43</v>
      </c>
    </row>
    <row r="281" spans="6:26">
      <c r="F281">
        <v>87</v>
      </c>
      <c r="G281" s="1" t="s">
        <v>53</v>
      </c>
      <c r="I281">
        <v>87</v>
      </c>
      <c r="J281" s="1" t="s">
        <v>53</v>
      </c>
      <c r="K281" s="1" t="s">
        <v>54</v>
      </c>
      <c r="Q281" s="1"/>
      <c r="R281" s="1"/>
      <c r="X281">
        <v>87</v>
      </c>
      <c r="Y281" s="1" t="s">
        <v>53</v>
      </c>
      <c r="Z281" s="1" t="s">
        <v>56</v>
      </c>
    </row>
    <row r="282" spans="6:26">
      <c r="F282" s="1" t="s">
        <v>42</v>
      </c>
      <c r="G282" s="1" t="s">
        <v>44</v>
      </c>
      <c r="I282" s="1" t="s">
        <v>42</v>
      </c>
      <c r="J282" s="1" t="s">
        <v>44</v>
      </c>
      <c r="K282" s="1" t="s">
        <v>43</v>
      </c>
      <c r="Q282" s="1"/>
      <c r="R282" s="1"/>
      <c r="X282" s="1" t="s">
        <v>42</v>
      </c>
      <c r="Y282" s="1" t="s">
        <v>44</v>
      </c>
      <c r="Z282" s="1" t="s">
        <v>43</v>
      </c>
    </row>
    <row r="283" spans="6:26">
      <c r="F283">
        <v>88</v>
      </c>
      <c r="G283" s="1" t="s">
        <v>53</v>
      </c>
      <c r="I283">
        <v>88</v>
      </c>
      <c r="J283" s="1" t="s">
        <v>53</v>
      </c>
      <c r="K283" s="1" t="s">
        <v>54</v>
      </c>
      <c r="Q283" s="1"/>
      <c r="R283" s="1"/>
      <c r="X283">
        <v>88</v>
      </c>
      <c r="Y283" s="1" t="s">
        <v>53</v>
      </c>
      <c r="Z283" s="1" t="s">
        <v>56</v>
      </c>
    </row>
    <row r="284" spans="6:26">
      <c r="F284" s="1" t="s">
        <v>42</v>
      </c>
      <c r="G284" s="1" t="s">
        <v>44</v>
      </c>
      <c r="I284" s="1" t="s">
        <v>42</v>
      </c>
      <c r="J284" s="1" t="s">
        <v>44</v>
      </c>
      <c r="K284" s="1" t="s">
        <v>43</v>
      </c>
      <c r="Q284" s="1"/>
      <c r="R284" s="1"/>
      <c r="X284" s="1" t="s">
        <v>42</v>
      </c>
      <c r="Y284" s="1" t="s">
        <v>44</v>
      </c>
      <c r="Z284" s="1" t="s">
        <v>43</v>
      </c>
    </row>
    <row r="285" spans="6:26">
      <c r="F285">
        <v>89</v>
      </c>
      <c r="G285" s="1" t="s">
        <v>53</v>
      </c>
      <c r="I285">
        <v>89</v>
      </c>
      <c r="J285" s="1" t="s">
        <v>53</v>
      </c>
      <c r="K285" s="1" t="s">
        <v>54</v>
      </c>
      <c r="Q285" s="1"/>
      <c r="R285" s="1"/>
      <c r="X285">
        <v>89</v>
      </c>
      <c r="Y285" s="1" t="s">
        <v>53</v>
      </c>
      <c r="Z285" s="1" t="s">
        <v>56</v>
      </c>
    </row>
    <row r="286" spans="6:26">
      <c r="F286" s="1" t="s">
        <v>42</v>
      </c>
      <c r="G286" s="1" t="s">
        <v>44</v>
      </c>
      <c r="I286" s="1" t="s">
        <v>42</v>
      </c>
      <c r="J286" s="1" t="s">
        <v>44</v>
      </c>
      <c r="K286" s="1" t="s">
        <v>43</v>
      </c>
      <c r="X286" s="1" t="s">
        <v>42</v>
      </c>
      <c r="Y286" s="1" t="s">
        <v>44</v>
      </c>
      <c r="Z286" s="1" t="s">
        <v>43</v>
      </c>
    </row>
    <row r="287" spans="6:26">
      <c r="F287">
        <v>90</v>
      </c>
      <c r="G287" s="1" t="s">
        <v>53</v>
      </c>
      <c r="I287">
        <v>90</v>
      </c>
      <c r="J287" s="1" t="s">
        <v>53</v>
      </c>
      <c r="K287" s="1" t="s">
        <v>54</v>
      </c>
      <c r="X287">
        <v>90</v>
      </c>
      <c r="Y287" s="1" t="s">
        <v>53</v>
      </c>
      <c r="Z287" s="1" t="s">
        <v>56</v>
      </c>
    </row>
    <row r="288" spans="6:26">
      <c r="F288" s="1" t="s">
        <v>42</v>
      </c>
      <c r="G288" s="1" t="s">
        <v>44</v>
      </c>
      <c r="I288" s="1" t="s">
        <v>42</v>
      </c>
      <c r="J288" s="1" t="s">
        <v>44</v>
      </c>
      <c r="K288" s="1" t="s">
        <v>43</v>
      </c>
      <c r="X288" s="1" t="s">
        <v>42</v>
      </c>
      <c r="Y288" s="1" t="s">
        <v>44</v>
      </c>
      <c r="Z288" s="1" t="s">
        <v>43</v>
      </c>
    </row>
    <row r="289" spans="6:26">
      <c r="F289">
        <v>91</v>
      </c>
      <c r="G289" s="1" t="s">
        <v>53</v>
      </c>
      <c r="I289">
        <v>91</v>
      </c>
      <c r="J289" s="1" t="s">
        <v>53</v>
      </c>
      <c r="K289" s="1" t="s">
        <v>54</v>
      </c>
      <c r="X289">
        <v>91</v>
      </c>
      <c r="Y289" s="1" t="s">
        <v>53</v>
      </c>
      <c r="Z289" s="1" t="s">
        <v>56</v>
      </c>
    </row>
    <row r="290" spans="6:26">
      <c r="F290" s="1" t="s">
        <v>42</v>
      </c>
      <c r="G290" s="1" t="s">
        <v>44</v>
      </c>
      <c r="I290" s="1" t="s">
        <v>42</v>
      </c>
      <c r="J290" s="1" t="s">
        <v>44</v>
      </c>
      <c r="K290" s="1" t="s">
        <v>43</v>
      </c>
      <c r="X290" s="1" t="s">
        <v>42</v>
      </c>
      <c r="Y290" s="1" t="s">
        <v>44</v>
      </c>
      <c r="Z290" s="1" t="s">
        <v>43</v>
      </c>
    </row>
    <row r="291" spans="6:26">
      <c r="F291">
        <v>92</v>
      </c>
      <c r="G291" s="1" t="s">
        <v>53</v>
      </c>
      <c r="I291">
        <v>92</v>
      </c>
      <c r="J291" s="1" t="s">
        <v>53</v>
      </c>
      <c r="K291" s="1" t="s">
        <v>54</v>
      </c>
      <c r="X291">
        <v>92</v>
      </c>
      <c r="Y291" s="1" t="s">
        <v>53</v>
      </c>
      <c r="Z291" s="1" t="s">
        <v>56</v>
      </c>
    </row>
    <row r="292" spans="6:26">
      <c r="F292" s="1" t="s">
        <v>42</v>
      </c>
      <c r="G292" s="1" t="s">
        <v>44</v>
      </c>
      <c r="I292" s="1" t="s">
        <v>42</v>
      </c>
      <c r="J292" s="1" t="s">
        <v>44</v>
      </c>
      <c r="K292" s="1" t="s">
        <v>43</v>
      </c>
      <c r="X292" s="1" t="s">
        <v>42</v>
      </c>
      <c r="Y292" s="1" t="s">
        <v>44</v>
      </c>
      <c r="Z292" s="1" t="s">
        <v>43</v>
      </c>
    </row>
    <row r="293" spans="6:26">
      <c r="F293">
        <v>93</v>
      </c>
      <c r="G293" s="1" t="s">
        <v>53</v>
      </c>
      <c r="I293">
        <v>93</v>
      </c>
      <c r="J293" s="1" t="s">
        <v>53</v>
      </c>
      <c r="K293" s="1" t="s">
        <v>54</v>
      </c>
      <c r="X293">
        <v>93</v>
      </c>
      <c r="Y293" s="1" t="s">
        <v>53</v>
      </c>
      <c r="Z293" s="1" t="s">
        <v>56</v>
      </c>
    </row>
    <row r="294" spans="6:26">
      <c r="F294" s="1" t="s">
        <v>42</v>
      </c>
      <c r="G294" s="1" t="s">
        <v>44</v>
      </c>
      <c r="I294" s="1" t="s">
        <v>42</v>
      </c>
      <c r="J294" s="1" t="s">
        <v>44</v>
      </c>
      <c r="K294" s="1" t="s">
        <v>43</v>
      </c>
      <c r="X294" s="1" t="s">
        <v>42</v>
      </c>
      <c r="Y294" s="1" t="s">
        <v>44</v>
      </c>
      <c r="Z294" s="1" t="s">
        <v>43</v>
      </c>
    </row>
    <row r="295" spans="6:26">
      <c r="F295">
        <v>94</v>
      </c>
      <c r="G295" s="1" t="s">
        <v>53</v>
      </c>
      <c r="I295">
        <v>94</v>
      </c>
      <c r="J295" s="1" t="s">
        <v>53</v>
      </c>
      <c r="K295" s="1" t="s">
        <v>54</v>
      </c>
      <c r="X295">
        <v>94</v>
      </c>
      <c r="Y295" s="1" t="s">
        <v>53</v>
      </c>
      <c r="Z295" s="1" t="s">
        <v>56</v>
      </c>
    </row>
    <row r="296" spans="6:26">
      <c r="F296" s="1" t="s">
        <v>42</v>
      </c>
      <c r="G296" s="1" t="s">
        <v>44</v>
      </c>
      <c r="I296" s="1" t="s">
        <v>42</v>
      </c>
      <c r="J296" s="1" t="s">
        <v>44</v>
      </c>
      <c r="K296" s="1" t="s">
        <v>43</v>
      </c>
      <c r="X296" s="1" t="s">
        <v>42</v>
      </c>
      <c r="Y296" s="1" t="s">
        <v>44</v>
      </c>
      <c r="Z296" s="1" t="s">
        <v>43</v>
      </c>
    </row>
    <row r="297" spans="6:26">
      <c r="F297">
        <v>95</v>
      </c>
      <c r="G297" s="1" t="s">
        <v>53</v>
      </c>
      <c r="I297">
        <v>95</v>
      </c>
      <c r="J297" s="1" t="s">
        <v>53</v>
      </c>
      <c r="K297" s="1" t="s">
        <v>54</v>
      </c>
      <c r="X297">
        <v>95</v>
      </c>
      <c r="Y297" s="1" t="s">
        <v>53</v>
      </c>
      <c r="Z297" s="1" t="s">
        <v>56</v>
      </c>
    </row>
    <row r="298" spans="6:26">
      <c r="F298" s="1" t="s">
        <v>42</v>
      </c>
      <c r="G298" s="1" t="s">
        <v>44</v>
      </c>
      <c r="I298" s="1" t="s">
        <v>42</v>
      </c>
      <c r="J298" s="1" t="s">
        <v>44</v>
      </c>
      <c r="K298" s="1" t="s">
        <v>43</v>
      </c>
      <c r="X298" s="1" t="s">
        <v>42</v>
      </c>
      <c r="Y298" s="1" t="s">
        <v>44</v>
      </c>
      <c r="Z298" s="1" t="s">
        <v>43</v>
      </c>
    </row>
    <row r="299" spans="6:26">
      <c r="F299">
        <v>96</v>
      </c>
      <c r="G299" s="1" t="s">
        <v>53</v>
      </c>
      <c r="I299">
        <v>96</v>
      </c>
      <c r="J299" s="1" t="s">
        <v>53</v>
      </c>
      <c r="K299" s="1" t="s">
        <v>54</v>
      </c>
      <c r="X299">
        <v>96</v>
      </c>
      <c r="Y299" s="1" t="s">
        <v>53</v>
      </c>
      <c r="Z299" s="1" t="s">
        <v>56</v>
      </c>
    </row>
    <row r="300" spans="6:26">
      <c r="F300" s="1" t="s">
        <v>42</v>
      </c>
      <c r="G300" s="1" t="s">
        <v>44</v>
      </c>
      <c r="I300" s="1" t="s">
        <v>42</v>
      </c>
      <c r="J300" s="1" t="s">
        <v>44</v>
      </c>
      <c r="K300" s="1" t="s">
        <v>43</v>
      </c>
      <c r="X300" s="1" t="s">
        <v>42</v>
      </c>
      <c r="Y300" s="1" t="s">
        <v>44</v>
      </c>
      <c r="Z300" s="1" t="s">
        <v>43</v>
      </c>
    </row>
    <row r="301" spans="6:26">
      <c r="F301">
        <v>97</v>
      </c>
      <c r="G301" s="1" t="s">
        <v>53</v>
      </c>
      <c r="I301">
        <v>97</v>
      </c>
      <c r="J301" s="1" t="s">
        <v>53</v>
      </c>
      <c r="K301" s="1" t="s">
        <v>54</v>
      </c>
      <c r="X301">
        <v>97</v>
      </c>
      <c r="Y301" s="1" t="s">
        <v>53</v>
      </c>
      <c r="Z301" s="1" t="s">
        <v>56</v>
      </c>
    </row>
    <row r="302" spans="6:26">
      <c r="F302" s="1" t="s">
        <v>42</v>
      </c>
      <c r="G302" s="1" t="s">
        <v>44</v>
      </c>
      <c r="I302" s="1" t="s">
        <v>42</v>
      </c>
      <c r="J302" s="1" t="s">
        <v>44</v>
      </c>
      <c r="K302" s="1" t="s">
        <v>43</v>
      </c>
      <c r="X302" s="1" t="s">
        <v>42</v>
      </c>
      <c r="Y302" s="1" t="s">
        <v>44</v>
      </c>
      <c r="Z302" s="1" t="s">
        <v>43</v>
      </c>
    </row>
    <row r="303" spans="6:26">
      <c r="F303">
        <v>98</v>
      </c>
      <c r="G303" s="1" t="s">
        <v>53</v>
      </c>
      <c r="I303">
        <v>98</v>
      </c>
      <c r="J303" s="1" t="s">
        <v>53</v>
      </c>
      <c r="K303" s="1" t="s">
        <v>54</v>
      </c>
      <c r="X303">
        <v>98</v>
      </c>
      <c r="Y303" s="1" t="s">
        <v>53</v>
      </c>
      <c r="Z303" s="1" t="s">
        <v>56</v>
      </c>
    </row>
    <row r="304" spans="6:26">
      <c r="F304" s="1" t="s">
        <v>42</v>
      </c>
      <c r="G304" s="1" t="s">
        <v>44</v>
      </c>
      <c r="I304" s="1" t="s">
        <v>42</v>
      </c>
      <c r="J304" s="1" t="s">
        <v>44</v>
      </c>
      <c r="K304" s="1" t="s">
        <v>43</v>
      </c>
      <c r="X304" s="1" t="s">
        <v>42</v>
      </c>
      <c r="Y304" s="1" t="s">
        <v>44</v>
      </c>
      <c r="Z304" s="1" t="s">
        <v>43</v>
      </c>
    </row>
    <row r="305" spans="6:26">
      <c r="F305">
        <v>99</v>
      </c>
      <c r="G305" s="1" t="s">
        <v>53</v>
      </c>
      <c r="I305">
        <v>99</v>
      </c>
      <c r="J305" s="1" t="s">
        <v>53</v>
      </c>
      <c r="K305" s="1" t="s">
        <v>54</v>
      </c>
      <c r="X305">
        <v>99</v>
      </c>
      <c r="Y305" s="1" t="s">
        <v>53</v>
      </c>
      <c r="Z305" s="1" t="s">
        <v>56</v>
      </c>
    </row>
    <row r="306" spans="6:26">
      <c r="F306" s="1" t="s">
        <v>42</v>
      </c>
      <c r="G306" s="1" t="s">
        <v>44</v>
      </c>
      <c r="I306" s="1" t="s">
        <v>42</v>
      </c>
      <c r="J306" s="1" t="s">
        <v>44</v>
      </c>
      <c r="K306" s="1" t="s">
        <v>43</v>
      </c>
      <c r="X306" s="1" t="s">
        <v>42</v>
      </c>
      <c r="Y306" s="1" t="s">
        <v>44</v>
      </c>
      <c r="Z306" s="1" t="s">
        <v>43</v>
      </c>
    </row>
    <row r="307" spans="6:26">
      <c r="F307">
        <v>100</v>
      </c>
      <c r="G307" s="1" t="s">
        <v>53</v>
      </c>
      <c r="I307">
        <v>100</v>
      </c>
      <c r="J307" s="1" t="s">
        <v>53</v>
      </c>
      <c r="K307" s="1" t="s">
        <v>54</v>
      </c>
      <c r="X307">
        <v>100</v>
      </c>
      <c r="Y307" s="1" t="s">
        <v>53</v>
      </c>
      <c r="Z307" s="1" t="s">
        <v>56</v>
      </c>
    </row>
    <row r="308" spans="6:26">
      <c r="F308" s="1" t="s">
        <v>42</v>
      </c>
      <c r="G308" s="1" t="s">
        <v>44</v>
      </c>
      <c r="H308" s="1"/>
      <c r="I308" s="1" t="s">
        <v>42</v>
      </c>
      <c r="J308" s="1" t="s">
        <v>44</v>
      </c>
      <c r="K308" s="1" t="s">
        <v>43</v>
      </c>
      <c r="X308" s="1" t="s">
        <v>42</v>
      </c>
      <c r="Y308" s="1" t="s">
        <v>44</v>
      </c>
      <c r="Z308" s="1" t="s">
        <v>43</v>
      </c>
    </row>
    <row r="309" spans="6:26">
      <c r="F309">
        <v>0</v>
      </c>
      <c r="G309" s="1" t="s">
        <v>55</v>
      </c>
      <c r="H309" s="1"/>
      <c r="I309">
        <v>0</v>
      </c>
      <c r="J309" s="1" t="s">
        <v>55</v>
      </c>
      <c r="K309" s="1" t="s">
        <v>54</v>
      </c>
      <c r="X309">
        <v>0</v>
      </c>
      <c r="Y309" s="1" t="s">
        <v>55</v>
      </c>
      <c r="Z309" s="1" t="s">
        <v>56</v>
      </c>
    </row>
    <row r="310" spans="6:26">
      <c r="F310" s="1" t="s">
        <v>42</v>
      </c>
      <c r="G310" s="1" t="s">
        <v>44</v>
      </c>
      <c r="I310" s="1" t="s">
        <v>42</v>
      </c>
      <c r="J310" s="1" t="s">
        <v>44</v>
      </c>
      <c r="K310" s="1" t="s">
        <v>43</v>
      </c>
      <c r="P310" s="1"/>
      <c r="X310" s="1" t="s">
        <v>42</v>
      </c>
      <c r="Y310" s="1" t="s">
        <v>44</v>
      </c>
      <c r="Z310" s="1" t="s">
        <v>43</v>
      </c>
    </row>
    <row r="311" spans="6:26">
      <c r="F311">
        <v>1</v>
      </c>
      <c r="G311" s="1" t="s">
        <v>55</v>
      </c>
      <c r="I311">
        <v>1</v>
      </c>
      <c r="J311" s="1" t="s">
        <v>55</v>
      </c>
      <c r="K311" s="1" t="s">
        <v>54</v>
      </c>
      <c r="P311" s="1"/>
      <c r="X311">
        <v>1</v>
      </c>
      <c r="Y311" s="1" t="s">
        <v>55</v>
      </c>
      <c r="Z311" s="1" t="s">
        <v>56</v>
      </c>
    </row>
    <row r="312" spans="6:26">
      <c r="F312" s="1" t="s">
        <v>42</v>
      </c>
      <c r="G312" s="1" t="s">
        <v>44</v>
      </c>
      <c r="I312" s="1" t="s">
        <v>42</v>
      </c>
      <c r="J312" s="1" t="s">
        <v>44</v>
      </c>
      <c r="K312" s="1" t="s">
        <v>43</v>
      </c>
      <c r="P312" s="1"/>
      <c r="X312" s="1" t="s">
        <v>42</v>
      </c>
      <c r="Y312" s="1" t="s">
        <v>44</v>
      </c>
      <c r="Z312" s="1" t="s">
        <v>43</v>
      </c>
    </row>
    <row r="313" spans="6:26">
      <c r="F313">
        <v>2</v>
      </c>
      <c r="G313" s="1" t="s">
        <v>55</v>
      </c>
      <c r="I313">
        <v>2</v>
      </c>
      <c r="J313" s="1" t="s">
        <v>55</v>
      </c>
      <c r="K313" s="1" t="s">
        <v>54</v>
      </c>
      <c r="P313" s="1"/>
      <c r="X313">
        <v>2</v>
      </c>
      <c r="Y313" s="1" t="s">
        <v>55</v>
      </c>
      <c r="Z313" s="1" t="s">
        <v>56</v>
      </c>
    </row>
    <row r="314" spans="6:26">
      <c r="F314" s="1" t="s">
        <v>42</v>
      </c>
      <c r="G314" s="1" t="s">
        <v>44</v>
      </c>
      <c r="I314" s="1" t="s">
        <v>42</v>
      </c>
      <c r="J314" s="1" t="s">
        <v>44</v>
      </c>
      <c r="K314" s="1" t="s">
        <v>43</v>
      </c>
      <c r="P314" s="1"/>
      <c r="X314" s="1" t="s">
        <v>42</v>
      </c>
      <c r="Y314" s="1" t="s">
        <v>44</v>
      </c>
      <c r="Z314" s="1" t="s">
        <v>43</v>
      </c>
    </row>
    <row r="315" spans="6:26">
      <c r="F315">
        <v>3</v>
      </c>
      <c r="G315" s="1" t="s">
        <v>55</v>
      </c>
      <c r="I315">
        <v>3</v>
      </c>
      <c r="J315" s="1" t="s">
        <v>55</v>
      </c>
      <c r="K315" s="1" t="s">
        <v>54</v>
      </c>
      <c r="P315" s="1"/>
      <c r="X315">
        <v>3</v>
      </c>
      <c r="Y315" s="1" t="s">
        <v>55</v>
      </c>
      <c r="Z315" s="1" t="s">
        <v>56</v>
      </c>
    </row>
    <row r="316" spans="6:26">
      <c r="F316" s="1" t="s">
        <v>42</v>
      </c>
      <c r="G316" s="1" t="s">
        <v>44</v>
      </c>
      <c r="I316" s="1" t="s">
        <v>42</v>
      </c>
      <c r="J316" s="1" t="s">
        <v>44</v>
      </c>
      <c r="K316" s="1" t="s">
        <v>43</v>
      </c>
      <c r="P316" s="1"/>
      <c r="X316" s="1" t="s">
        <v>42</v>
      </c>
      <c r="Y316" s="1" t="s">
        <v>44</v>
      </c>
      <c r="Z316" s="1" t="s">
        <v>43</v>
      </c>
    </row>
    <row r="317" spans="6:26">
      <c r="F317">
        <v>4</v>
      </c>
      <c r="G317" s="1" t="s">
        <v>55</v>
      </c>
      <c r="I317">
        <v>4</v>
      </c>
      <c r="J317" s="1" t="s">
        <v>55</v>
      </c>
      <c r="K317" s="1" t="s">
        <v>54</v>
      </c>
      <c r="P317" s="1"/>
      <c r="X317">
        <v>4</v>
      </c>
      <c r="Y317" s="1" t="s">
        <v>55</v>
      </c>
      <c r="Z317" s="1" t="s">
        <v>56</v>
      </c>
    </row>
    <row r="318" spans="6:26">
      <c r="F318" s="1" t="s">
        <v>42</v>
      </c>
      <c r="G318" s="1" t="s">
        <v>44</v>
      </c>
      <c r="I318" s="1" t="s">
        <v>42</v>
      </c>
      <c r="J318" s="1" t="s">
        <v>44</v>
      </c>
      <c r="K318" s="1" t="s">
        <v>43</v>
      </c>
      <c r="P318" s="1"/>
      <c r="X318" s="1" t="s">
        <v>42</v>
      </c>
      <c r="Y318" s="1" t="s">
        <v>44</v>
      </c>
      <c r="Z318" s="1" t="s">
        <v>43</v>
      </c>
    </row>
    <row r="319" spans="6:26">
      <c r="F319">
        <v>5</v>
      </c>
      <c r="G319" s="1" t="s">
        <v>55</v>
      </c>
      <c r="I319">
        <v>5</v>
      </c>
      <c r="J319" s="1" t="s">
        <v>55</v>
      </c>
      <c r="K319" s="1" t="s">
        <v>54</v>
      </c>
      <c r="P319" s="1"/>
      <c r="X319">
        <v>5</v>
      </c>
      <c r="Y319" s="1" t="s">
        <v>55</v>
      </c>
      <c r="Z319" s="1" t="s">
        <v>56</v>
      </c>
    </row>
    <row r="320" spans="6:26">
      <c r="F320" s="1" t="s">
        <v>42</v>
      </c>
      <c r="G320" s="1" t="s">
        <v>44</v>
      </c>
      <c r="I320" s="1" t="s">
        <v>42</v>
      </c>
      <c r="J320" s="1" t="s">
        <v>44</v>
      </c>
      <c r="K320" s="1" t="s">
        <v>43</v>
      </c>
      <c r="P320" s="1"/>
      <c r="X320" s="1" t="s">
        <v>42</v>
      </c>
      <c r="Y320" s="1" t="s">
        <v>44</v>
      </c>
      <c r="Z320" s="1" t="s">
        <v>43</v>
      </c>
    </row>
    <row r="321" spans="6:26">
      <c r="F321">
        <v>6</v>
      </c>
      <c r="G321" s="1" t="s">
        <v>55</v>
      </c>
      <c r="I321">
        <v>6</v>
      </c>
      <c r="J321" s="1" t="s">
        <v>55</v>
      </c>
      <c r="K321" s="1" t="s">
        <v>54</v>
      </c>
      <c r="P321" s="1"/>
      <c r="X321">
        <v>6</v>
      </c>
      <c r="Y321" s="1" t="s">
        <v>55</v>
      </c>
      <c r="Z321" s="1" t="s">
        <v>56</v>
      </c>
    </row>
    <row r="322" spans="6:26">
      <c r="F322" s="1" t="s">
        <v>42</v>
      </c>
      <c r="G322" s="1" t="s">
        <v>44</v>
      </c>
      <c r="I322" s="1" t="s">
        <v>42</v>
      </c>
      <c r="J322" s="1" t="s">
        <v>44</v>
      </c>
      <c r="K322" s="1" t="s">
        <v>43</v>
      </c>
      <c r="P322" s="1"/>
      <c r="X322" s="1" t="s">
        <v>42</v>
      </c>
      <c r="Y322" s="1" t="s">
        <v>44</v>
      </c>
      <c r="Z322" s="1" t="s">
        <v>43</v>
      </c>
    </row>
    <row r="323" spans="6:26">
      <c r="F323">
        <v>7</v>
      </c>
      <c r="G323" s="1" t="s">
        <v>55</v>
      </c>
      <c r="I323">
        <v>7</v>
      </c>
      <c r="J323" s="1" t="s">
        <v>55</v>
      </c>
      <c r="K323" s="1" t="s">
        <v>54</v>
      </c>
      <c r="P323" s="1"/>
      <c r="X323">
        <v>7</v>
      </c>
      <c r="Y323" s="1" t="s">
        <v>55</v>
      </c>
      <c r="Z323" s="1" t="s">
        <v>56</v>
      </c>
    </row>
    <row r="324" spans="6:26">
      <c r="F324" s="1" t="s">
        <v>42</v>
      </c>
      <c r="G324" s="1" t="s">
        <v>44</v>
      </c>
      <c r="I324" s="1" t="s">
        <v>42</v>
      </c>
      <c r="J324" s="1" t="s">
        <v>44</v>
      </c>
      <c r="K324" s="1" t="s">
        <v>43</v>
      </c>
      <c r="P324" s="1"/>
      <c r="X324" s="1" t="s">
        <v>42</v>
      </c>
      <c r="Y324" s="1" t="s">
        <v>44</v>
      </c>
      <c r="Z324" s="1" t="s">
        <v>43</v>
      </c>
    </row>
    <row r="325" spans="6:26">
      <c r="F325">
        <v>8</v>
      </c>
      <c r="G325" s="1" t="s">
        <v>55</v>
      </c>
      <c r="I325">
        <v>8</v>
      </c>
      <c r="J325" s="1" t="s">
        <v>55</v>
      </c>
      <c r="K325" s="1" t="s">
        <v>54</v>
      </c>
      <c r="P325" s="1"/>
      <c r="X325">
        <v>8</v>
      </c>
      <c r="Y325" s="1" t="s">
        <v>55</v>
      </c>
      <c r="Z325" s="1" t="s">
        <v>56</v>
      </c>
    </row>
    <row r="326" spans="6:26">
      <c r="F326" s="1" t="s">
        <v>42</v>
      </c>
      <c r="G326" s="1" t="s">
        <v>44</v>
      </c>
      <c r="I326" s="1" t="s">
        <v>42</v>
      </c>
      <c r="J326" s="1" t="s">
        <v>44</v>
      </c>
      <c r="K326" s="1" t="s">
        <v>43</v>
      </c>
      <c r="P326" s="1"/>
      <c r="X326" s="1" t="s">
        <v>42</v>
      </c>
      <c r="Y326" s="1" t="s">
        <v>44</v>
      </c>
      <c r="Z326" s="1" t="s">
        <v>43</v>
      </c>
    </row>
    <row r="327" spans="6:26">
      <c r="F327">
        <v>9</v>
      </c>
      <c r="G327" s="1" t="s">
        <v>55</v>
      </c>
      <c r="I327">
        <v>9</v>
      </c>
      <c r="J327" s="1" t="s">
        <v>55</v>
      </c>
      <c r="K327" s="1" t="s">
        <v>54</v>
      </c>
      <c r="P327" s="1"/>
      <c r="X327">
        <v>9</v>
      </c>
      <c r="Y327" s="1" t="s">
        <v>55</v>
      </c>
      <c r="Z327" s="1" t="s">
        <v>56</v>
      </c>
    </row>
    <row r="328" spans="6:26">
      <c r="F328" s="1" t="s">
        <v>42</v>
      </c>
      <c r="G328" s="1" t="s">
        <v>44</v>
      </c>
      <c r="I328" s="1" t="s">
        <v>42</v>
      </c>
      <c r="J328" s="1" t="s">
        <v>44</v>
      </c>
      <c r="K328" s="1" t="s">
        <v>43</v>
      </c>
      <c r="P328" s="1"/>
      <c r="X328" s="1" t="s">
        <v>42</v>
      </c>
      <c r="Y328" s="1" t="s">
        <v>44</v>
      </c>
      <c r="Z328" s="1" t="s">
        <v>43</v>
      </c>
    </row>
    <row r="329" spans="6:26">
      <c r="F329">
        <v>10</v>
      </c>
      <c r="G329" s="1" t="s">
        <v>55</v>
      </c>
      <c r="I329">
        <v>10</v>
      </c>
      <c r="J329" s="1" t="s">
        <v>55</v>
      </c>
      <c r="K329" s="1" t="s">
        <v>54</v>
      </c>
      <c r="P329" s="1"/>
      <c r="X329">
        <v>10</v>
      </c>
      <c r="Y329" s="1" t="s">
        <v>55</v>
      </c>
      <c r="Z329" s="1" t="s">
        <v>56</v>
      </c>
    </row>
    <row r="330" spans="6:26">
      <c r="F330" s="1" t="s">
        <v>42</v>
      </c>
      <c r="G330" s="1" t="s">
        <v>44</v>
      </c>
      <c r="I330" s="1" t="s">
        <v>42</v>
      </c>
      <c r="J330" s="1" t="s">
        <v>44</v>
      </c>
      <c r="K330" s="1" t="s">
        <v>43</v>
      </c>
      <c r="P330" s="1"/>
      <c r="X330" s="1" t="s">
        <v>42</v>
      </c>
      <c r="Y330" s="1" t="s">
        <v>44</v>
      </c>
      <c r="Z330" s="1" t="s">
        <v>43</v>
      </c>
    </row>
    <row r="331" spans="6:26">
      <c r="F331">
        <v>11</v>
      </c>
      <c r="G331" s="1" t="s">
        <v>55</v>
      </c>
      <c r="I331">
        <v>11</v>
      </c>
      <c r="J331" s="1" t="s">
        <v>55</v>
      </c>
      <c r="K331" s="1" t="s">
        <v>54</v>
      </c>
      <c r="P331" s="1"/>
      <c r="X331">
        <v>11</v>
      </c>
      <c r="Y331" s="1" t="s">
        <v>55</v>
      </c>
      <c r="Z331" s="1" t="s">
        <v>56</v>
      </c>
    </row>
    <row r="332" spans="6:26">
      <c r="F332" s="1" t="s">
        <v>42</v>
      </c>
      <c r="G332" s="1" t="s">
        <v>44</v>
      </c>
      <c r="I332" s="1" t="s">
        <v>42</v>
      </c>
      <c r="J332" s="1" t="s">
        <v>44</v>
      </c>
      <c r="K332" s="1" t="s">
        <v>43</v>
      </c>
      <c r="P332" s="1"/>
      <c r="X332" s="1" t="s">
        <v>42</v>
      </c>
      <c r="Y332" s="1" t="s">
        <v>44</v>
      </c>
      <c r="Z332" s="1" t="s">
        <v>43</v>
      </c>
    </row>
    <row r="333" spans="6:26">
      <c r="F333">
        <v>12</v>
      </c>
      <c r="G333" s="1" t="s">
        <v>55</v>
      </c>
      <c r="I333">
        <v>12</v>
      </c>
      <c r="J333" s="1" t="s">
        <v>55</v>
      </c>
      <c r="K333" s="1" t="s">
        <v>54</v>
      </c>
      <c r="P333" s="1"/>
      <c r="X333">
        <v>12</v>
      </c>
      <c r="Y333" s="1" t="s">
        <v>55</v>
      </c>
      <c r="Z333" s="1" t="s">
        <v>56</v>
      </c>
    </row>
    <row r="334" spans="6:26">
      <c r="F334" s="1" t="s">
        <v>42</v>
      </c>
      <c r="G334" s="1" t="s">
        <v>44</v>
      </c>
      <c r="I334" s="1" t="s">
        <v>42</v>
      </c>
      <c r="J334" s="1" t="s">
        <v>44</v>
      </c>
      <c r="K334" s="1" t="s">
        <v>43</v>
      </c>
      <c r="P334" s="1"/>
      <c r="X334" s="1" t="s">
        <v>42</v>
      </c>
      <c r="Y334" s="1" t="s">
        <v>44</v>
      </c>
      <c r="Z334" s="1" t="s">
        <v>43</v>
      </c>
    </row>
    <row r="335" spans="6:26">
      <c r="F335">
        <v>13</v>
      </c>
      <c r="G335" s="1" t="s">
        <v>55</v>
      </c>
      <c r="I335">
        <v>13</v>
      </c>
      <c r="J335" s="1" t="s">
        <v>55</v>
      </c>
      <c r="K335" s="1" t="s">
        <v>54</v>
      </c>
      <c r="P335" s="1"/>
      <c r="X335">
        <v>13</v>
      </c>
      <c r="Y335" s="1" t="s">
        <v>55</v>
      </c>
      <c r="Z335" s="1" t="s">
        <v>56</v>
      </c>
    </row>
    <row r="336" spans="6:26">
      <c r="F336" s="1" t="s">
        <v>42</v>
      </c>
      <c r="G336" s="1" t="s">
        <v>44</v>
      </c>
      <c r="I336" s="1" t="s">
        <v>42</v>
      </c>
      <c r="J336" s="1" t="s">
        <v>44</v>
      </c>
      <c r="K336" s="1" t="s">
        <v>43</v>
      </c>
      <c r="P336" s="1"/>
      <c r="X336" s="1" t="s">
        <v>42</v>
      </c>
      <c r="Y336" s="1" t="s">
        <v>44</v>
      </c>
      <c r="Z336" s="1" t="s">
        <v>43</v>
      </c>
    </row>
    <row r="337" spans="6:26">
      <c r="F337">
        <v>14</v>
      </c>
      <c r="G337" s="1" t="s">
        <v>55</v>
      </c>
      <c r="I337">
        <v>14</v>
      </c>
      <c r="J337" s="1" t="s">
        <v>55</v>
      </c>
      <c r="K337" s="1" t="s">
        <v>54</v>
      </c>
      <c r="P337" s="1"/>
      <c r="X337">
        <v>14</v>
      </c>
      <c r="Y337" s="1" t="s">
        <v>55</v>
      </c>
      <c r="Z337" s="1" t="s">
        <v>56</v>
      </c>
    </row>
    <row r="338" spans="6:26">
      <c r="F338" s="1" t="s">
        <v>42</v>
      </c>
      <c r="G338" s="1" t="s">
        <v>44</v>
      </c>
      <c r="I338" s="1" t="s">
        <v>42</v>
      </c>
      <c r="J338" s="1" t="s">
        <v>44</v>
      </c>
      <c r="K338" s="1" t="s">
        <v>43</v>
      </c>
      <c r="P338" s="1"/>
      <c r="X338" s="1" t="s">
        <v>42</v>
      </c>
      <c r="Y338" s="1" t="s">
        <v>44</v>
      </c>
      <c r="Z338" s="1" t="s">
        <v>43</v>
      </c>
    </row>
    <row r="339" spans="6:26">
      <c r="F339">
        <v>15</v>
      </c>
      <c r="G339" s="1" t="s">
        <v>55</v>
      </c>
      <c r="I339">
        <v>15</v>
      </c>
      <c r="J339" s="1" t="s">
        <v>55</v>
      </c>
      <c r="K339" s="1" t="s">
        <v>54</v>
      </c>
      <c r="P339" s="1"/>
      <c r="X339">
        <v>15</v>
      </c>
      <c r="Y339" s="1" t="s">
        <v>55</v>
      </c>
      <c r="Z339" s="1" t="s">
        <v>56</v>
      </c>
    </row>
    <row r="340" spans="6:26">
      <c r="F340" s="1" t="s">
        <v>42</v>
      </c>
      <c r="G340" s="1" t="s">
        <v>44</v>
      </c>
      <c r="I340" s="1" t="s">
        <v>42</v>
      </c>
      <c r="J340" s="1" t="s">
        <v>44</v>
      </c>
      <c r="K340" s="1" t="s">
        <v>43</v>
      </c>
      <c r="X340" s="1" t="s">
        <v>42</v>
      </c>
      <c r="Y340" s="1" t="s">
        <v>44</v>
      </c>
      <c r="Z340" s="1" t="s">
        <v>43</v>
      </c>
    </row>
    <row r="341" spans="6:26">
      <c r="F341">
        <v>16</v>
      </c>
      <c r="G341" s="1" t="s">
        <v>55</v>
      </c>
      <c r="I341">
        <v>16</v>
      </c>
      <c r="J341" s="1" t="s">
        <v>55</v>
      </c>
      <c r="K341" s="1" t="s">
        <v>54</v>
      </c>
      <c r="X341">
        <v>16</v>
      </c>
      <c r="Y341" s="1" t="s">
        <v>55</v>
      </c>
      <c r="Z341" s="1" t="s">
        <v>56</v>
      </c>
    </row>
    <row r="342" spans="6:26">
      <c r="F342" s="1" t="s">
        <v>42</v>
      </c>
      <c r="G342" s="1" t="s">
        <v>44</v>
      </c>
      <c r="I342" s="1" t="s">
        <v>42</v>
      </c>
      <c r="J342" s="1" t="s">
        <v>44</v>
      </c>
      <c r="K342" s="1" t="s">
        <v>43</v>
      </c>
      <c r="X342" s="1" t="s">
        <v>42</v>
      </c>
      <c r="Y342" s="1" t="s">
        <v>44</v>
      </c>
      <c r="Z342" s="1" t="s">
        <v>43</v>
      </c>
    </row>
    <row r="343" spans="6:26">
      <c r="F343">
        <v>17</v>
      </c>
      <c r="G343" s="1" t="s">
        <v>55</v>
      </c>
      <c r="I343">
        <v>17</v>
      </c>
      <c r="J343" s="1" t="s">
        <v>55</v>
      </c>
      <c r="K343" s="1" t="s">
        <v>54</v>
      </c>
      <c r="X343">
        <v>17</v>
      </c>
      <c r="Y343" s="1" t="s">
        <v>55</v>
      </c>
      <c r="Z343" s="1" t="s">
        <v>56</v>
      </c>
    </row>
    <row r="344" spans="6:26">
      <c r="F344" s="1" t="s">
        <v>42</v>
      </c>
      <c r="G344" s="1" t="s">
        <v>44</v>
      </c>
      <c r="I344" s="1" t="s">
        <v>42</v>
      </c>
      <c r="J344" s="1" t="s">
        <v>44</v>
      </c>
      <c r="K344" s="1" t="s">
        <v>43</v>
      </c>
      <c r="X344" s="1" t="s">
        <v>42</v>
      </c>
      <c r="Y344" s="1" t="s">
        <v>44</v>
      </c>
      <c r="Z344" s="1" t="s">
        <v>43</v>
      </c>
    </row>
    <row r="345" spans="6:26">
      <c r="F345">
        <v>18</v>
      </c>
      <c r="G345" s="1" t="s">
        <v>55</v>
      </c>
      <c r="I345">
        <v>18</v>
      </c>
      <c r="J345" s="1" t="s">
        <v>55</v>
      </c>
      <c r="K345" s="1" t="s">
        <v>54</v>
      </c>
      <c r="X345">
        <v>18</v>
      </c>
      <c r="Y345" s="1" t="s">
        <v>55</v>
      </c>
      <c r="Z345" s="1" t="s">
        <v>56</v>
      </c>
    </row>
    <row r="346" spans="6:26">
      <c r="F346" s="1" t="s">
        <v>42</v>
      </c>
      <c r="G346" s="1" t="s">
        <v>44</v>
      </c>
      <c r="I346" s="1" t="s">
        <v>42</v>
      </c>
      <c r="J346" s="1" t="s">
        <v>44</v>
      </c>
      <c r="K346" s="1" t="s">
        <v>43</v>
      </c>
      <c r="X346" s="1" t="s">
        <v>42</v>
      </c>
      <c r="Y346" s="1" t="s">
        <v>44</v>
      </c>
      <c r="Z346" s="1" t="s">
        <v>43</v>
      </c>
    </row>
    <row r="347" spans="6:26">
      <c r="F347">
        <v>19</v>
      </c>
      <c r="G347" s="1" t="s">
        <v>55</v>
      </c>
      <c r="I347">
        <v>19</v>
      </c>
      <c r="J347" s="1" t="s">
        <v>55</v>
      </c>
      <c r="K347" s="1" t="s">
        <v>54</v>
      </c>
      <c r="X347">
        <v>19</v>
      </c>
      <c r="Y347" s="1" t="s">
        <v>55</v>
      </c>
      <c r="Z347" s="1" t="s">
        <v>56</v>
      </c>
    </row>
    <row r="348" spans="6:26">
      <c r="F348" s="1" t="s">
        <v>42</v>
      </c>
      <c r="G348" s="1" t="s">
        <v>44</v>
      </c>
      <c r="I348" s="1" t="s">
        <v>42</v>
      </c>
      <c r="J348" s="1" t="s">
        <v>44</v>
      </c>
      <c r="K348" s="1" t="s">
        <v>43</v>
      </c>
      <c r="X348" s="1" t="s">
        <v>42</v>
      </c>
      <c r="Y348" s="1" t="s">
        <v>44</v>
      </c>
      <c r="Z348" s="1" t="s">
        <v>43</v>
      </c>
    </row>
    <row r="349" spans="6:26">
      <c r="F349">
        <v>20</v>
      </c>
      <c r="G349" s="1" t="s">
        <v>55</v>
      </c>
      <c r="I349">
        <v>20</v>
      </c>
      <c r="J349" s="1" t="s">
        <v>55</v>
      </c>
      <c r="K349" s="1" t="s">
        <v>54</v>
      </c>
      <c r="X349">
        <v>20</v>
      </c>
      <c r="Y349" s="1" t="s">
        <v>55</v>
      </c>
      <c r="Z349" s="1" t="s">
        <v>56</v>
      </c>
    </row>
    <row r="350" spans="6:26">
      <c r="F350" s="1" t="s">
        <v>42</v>
      </c>
      <c r="G350" s="1" t="s">
        <v>44</v>
      </c>
      <c r="I350" s="1" t="s">
        <v>42</v>
      </c>
      <c r="J350" s="1" t="s">
        <v>44</v>
      </c>
      <c r="K350" s="1" t="s">
        <v>43</v>
      </c>
      <c r="X350" s="1" t="s">
        <v>42</v>
      </c>
      <c r="Y350" s="1" t="s">
        <v>44</v>
      </c>
      <c r="Z350" s="1" t="s">
        <v>43</v>
      </c>
    </row>
    <row r="351" spans="6:26">
      <c r="F351">
        <v>21</v>
      </c>
      <c r="G351" s="1" t="s">
        <v>55</v>
      </c>
      <c r="I351">
        <v>21</v>
      </c>
      <c r="J351" s="1" t="s">
        <v>55</v>
      </c>
      <c r="K351" s="1" t="s">
        <v>54</v>
      </c>
      <c r="X351">
        <v>21</v>
      </c>
      <c r="Y351" s="1" t="s">
        <v>55</v>
      </c>
      <c r="Z351" s="1" t="s">
        <v>56</v>
      </c>
    </row>
    <row r="352" spans="6:26">
      <c r="F352" s="1" t="s">
        <v>42</v>
      </c>
      <c r="G352" s="1" t="s">
        <v>44</v>
      </c>
      <c r="I352" s="1" t="s">
        <v>42</v>
      </c>
      <c r="J352" s="1" t="s">
        <v>44</v>
      </c>
      <c r="K352" s="1" t="s">
        <v>43</v>
      </c>
      <c r="X352" s="1" t="s">
        <v>42</v>
      </c>
      <c r="Y352" s="1" t="s">
        <v>44</v>
      </c>
      <c r="Z352" s="1" t="s">
        <v>43</v>
      </c>
    </row>
    <row r="353" spans="6:26">
      <c r="F353">
        <v>22</v>
      </c>
      <c r="G353" s="1" t="s">
        <v>55</v>
      </c>
      <c r="I353">
        <v>22</v>
      </c>
      <c r="J353" s="1" t="s">
        <v>55</v>
      </c>
      <c r="K353" s="1" t="s">
        <v>54</v>
      </c>
      <c r="X353">
        <v>22</v>
      </c>
      <c r="Y353" s="1" t="s">
        <v>55</v>
      </c>
      <c r="Z353" s="1" t="s">
        <v>56</v>
      </c>
    </row>
    <row r="354" spans="6:26">
      <c r="F354" s="1" t="s">
        <v>42</v>
      </c>
      <c r="G354" s="1" t="s">
        <v>44</v>
      </c>
      <c r="I354" s="1" t="s">
        <v>42</v>
      </c>
      <c r="J354" s="1" t="s">
        <v>44</v>
      </c>
      <c r="K354" s="1" t="s">
        <v>43</v>
      </c>
      <c r="X354" s="1" t="s">
        <v>42</v>
      </c>
      <c r="Y354" s="1" t="s">
        <v>44</v>
      </c>
      <c r="Z354" s="1" t="s">
        <v>43</v>
      </c>
    </row>
    <row r="355" spans="6:26">
      <c r="F355">
        <v>23</v>
      </c>
      <c r="G355" s="1" t="s">
        <v>55</v>
      </c>
      <c r="I355">
        <v>23</v>
      </c>
      <c r="J355" s="1" t="s">
        <v>55</v>
      </c>
      <c r="K355" s="1" t="s">
        <v>54</v>
      </c>
      <c r="X355">
        <v>23</v>
      </c>
      <c r="Y355" s="1" t="s">
        <v>55</v>
      </c>
      <c r="Z355" s="1" t="s">
        <v>56</v>
      </c>
    </row>
    <row r="356" spans="6:26">
      <c r="F356" s="1" t="s">
        <v>42</v>
      </c>
      <c r="G356" s="1" t="s">
        <v>44</v>
      </c>
      <c r="I356" s="1" t="s">
        <v>42</v>
      </c>
      <c r="J356" s="1" t="s">
        <v>44</v>
      </c>
      <c r="K356" s="1" t="s">
        <v>43</v>
      </c>
      <c r="X356" s="1" t="s">
        <v>42</v>
      </c>
      <c r="Y356" s="1" t="s">
        <v>44</v>
      </c>
      <c r="Z356" s="1" t="s">
        <v>43</v>
      </c>
    </row>
    <row r="357" spans="6:26">
      <c r="F357">
        <v>24</v>
      </c>
      <c r="G357" s="1" t="s">
        <v>55</v>
      </c>
      <c r="I357">
        <v>24</v>
      </c>
      <c r="J357" s="1" t="s">
        <v>55</v>
      </c>
      <c r="K357" s="1" t="s">
        <v>54</v>
      </c>
      <c r="X357">
        <v>24</v>
      </c>
      <c r="Y357" s="1" t="s">
        <v>55</v>
      </c>
      <c r="Z357" s="1" t="s">
        <v>56</v>
      </c>
    </row>
    <row r="358" spans="6:26">
      <c r="F358" s="1" t="s">
        <v>42</v>
      </c>
      <c r="G358" s="1" t="s">
        <v>44</v>
      </c>
      <c r="I358" s="1" t="s">
        <v>42</v>
      </c>
      <c r="J358" s="1" t="s">
        <v>44</v>
      </c>
      <c r="K358" s="1" t="s">
        <v>43</v>
      </c>
      <c r="X358" s="1" t="s">
        <v>42</v>
      </c>
      <c r="Y358" s="1" t="s">
        <v>44</v>
      </c>
      <c r="Z358" s="1" t="s">
        <v>43</v>
      </c>
    </row>
    <row r="359" spans="6:26">
      <c r="F359">
        <v>25</v>
      </c>
      <c r="G359" s="1" t="s">
        <v>55</v>
      </c>
      <c r="I359">
        <v>25</v>
      </c>
      <c r="J359" s="1" t="s">
        <v>55</v>
      </c>
      <c r="K359" s="1" t="s">
        <v>54</v>
      </c>
      <c r="X359">
        <v>25</v>
      </c>
      <c r="Y359" s="1" t="s">
        <v>55</v>
      </c>
      <c r="Z359" s="1" t="s">
        <v>56</v>
      </c>
    </row>
    <row r="360" spans="6:26">
      <c r="F360" s="1" t="s">
        <v>42</v>
      </c>
      <c r="G360" s="1" t="s">
        <v>44</v>
      </c>
      <c r="I360" s="1" t="s">
        <v>42</v>
      </c>
      <c r="J360" s="1" t="s">
        <v>44</v>
      </c>
      <c r="K360" s="1" t="s">
        <v>43</v>
      </c>
      <c r="X360" s="1" t="s">
        <v>42</v>
      </c>
      <c r="Y360" s="1" t="s">
        <v>44</v>
      </c>
      <c r="Z360" s="1" t="s">
        <v>43</v>
      </c>
    </row>
    <row r="361" spans="6:26">
      <c r="F361">
        <v>26</v>
      </c>
      <c r="G361" s="1" t="s">
        <v>55</v>
      </c>
      <c r="I361">
        <v>26</v>
      </c>
      <c r="J361" s="1" t="s">
        <v>55</v>
      </c>
      <c r="K361" s="1" t="s">
        <v>54</v>
      </c>
      <c r="X361">
        <v>26</v>
      </c>
      <c r="Y361" s="1" t="s">
        <v>55</v>
      </c>
      <c r="Z361" s="1" t="s">
        <v>56</v>
      </c>
    </row>
    <row r="362" spans="6:26">
      <c r="F362" s="1" t="s">
        <v>42</v>
      </c>
      <c r="G362" s="1" t="s">
        <v>44</v>
      </c>
      <c r="I362" s="1" t="s">
        <v>42</v>
      </c>
      <c r="J362" s="1" t="s">
        <v>44</v>
      </c>
      <c r="K362" s="1" t="s">
        <v>43</v>
      </c>
      <c r="X362" s="1" t="s">
        <v>42</v>
      </c>
      <c r="Y362" s="1" t="s">
        <v>44</v>
      </c>
      <c r="Z362" s="1" t="s">
        <v>43</v>
      </c>
    </row>
    <row r="363" spans="6:26">
      <c r="F363">
        <v>27</v>
      </c>
      <c r="G363" s="1" t="s">
        <v>55</v>
      </c>
      <c r="I363">
        <v>27</v>
      </c>
      <c r="J363" s="1" t="s">
        <v>55</v>
      </c>
      <c r="K363" s="1" t="s">
        <v>54</v>
      </c>
      <c r="X363">
        <v>27</v>
      </c>
      <c r="Y363" s="1" t="s">
        <v>55</v>
      </c>
      <c r="Z363" s="1" t="s">
        <v>56</v>
      </c>
    </row>
    <row r="364" spans="6:26">
      <c r="F364" s="1" t="s">
        <v>42</v>
      </c>
      <c r="G364" s="1" t="s">
        <v>44</v>
      </c>
      <c r="I364" s="1" t="s">
        <v>42</v>
      </c>
      <c r="J364" s="1" t="s">
        <v>44</v>
      </c>
      <c r="K364" s="1" t="s">
        <v>43</v>
      </c>
      <c r="X364" s="1" t="s">
        <v>42</v>
      </c>
      <c r="Y364" s="1" t="s">
        <v>44</v>
      </c>
      <c r="Z364" s="1" t="s">
        <v>43</v>
      </c>
    </row>
    <row r="365" spans="6:26">
      <c r="F365">
        <v>28</v>
      </c>
      <c r="G365" s="1" t="s">
        <v>55</v>
      </c>
      <c r="I365">
        <v>28</v>
      </c>
      <c r="J365" s="1" t="s">
        <v>55</v>
      </c>
      <c r="K365" s="1" t="s">
        <v>54</v>
      </c>
      <c r="X365">
        <v>28</v>
      </c>
      <c r="Y365" s="1" t="s">
        <v>55</v>
      </c>
      <c r="Z365" s="1" t="s">
        <v>56</v>
      </c>
    </row>
    <row r="366" spans="6:26">
      <c r="F366" s="1" t="s">
        <v>42</v>
      </c>
      <c r="G366" s="1" t="s">
        <v>44</v>
      </c>
      <c r="I366" s="1" t="s">
        <v>42</v>
      </c>
      <c r="J366" s="1" t="s">
        <v>44</v>
      </c>
      <c r="K366" s="1" t="s">
        <v>43</v>
      </c>
      <c r="X366" s="1" t="s">
        <v>42</v>
      </c>
      <c r="Y366" s="1" t="s">
        <v>44</v>
      </c>
      <c r="Z366" s="1" t="s">
        <v>43</v>
      </c>
    </row>
    <row r="367" spans="6:26">
      <c r="F367">
        <v>29</v>
      </c>
      <c r="G367" s="1" t="s">
        <v>55</v>
      </c>
      <c r="I367">
        <v>29</v>
      </c>
      <c r="J367" s="1" t="s">
        <v>55</v>
      </c>
      <c r="K367" s="1" t="s">
        <v>54</v>
      </c>
      <c r="X367">
        <v>29</v>
      </c>
      <c r="Y367" s="1" t="s">
        <v>55</v>
      </c>
      <c r="Z367" s="1" t="s">
        <v>56</v>
      </c>
    </row>
    <row r="368" spans="6:26">
      <c r="F368" s="1" t="s">
        <v>42</v>
      </c>
      <c r="G368" s="1" t="s">
        <v>44</v>
      </c>
      <c r="I368" s="1" t="s">
        <v>42</v>
      </c>
      <c r="J368" s="1" t="s">
        <v>44</v>
      </c>
      <c r="K368" s="1" t="s">
        <v>43</v>
      </c>
      <c r="X368" s="1" t="s">
        <v>42</v>
      </c>
      <c r="Y368" s="1" t="s">
        <v>44</v>
      </c>
      <c r="Z368" s="1" t="s">
        <v>43</v>
      </c>
    </row>
    <row r="369" spans="6:26">
      <c r="F369">
        <v>30</v>
      </c>
      <c r="G369" s="1" t="s">
        <v>55</v>
      </c>
      <c r="I369">
        <v>30</v>
      </c>
      <c r="J369" s="1" t="s">
        <v>55</v>
      </c>
      <c r="K369" s="1" t="s">
        <v>54</v>
      </c>
      <c r="X369">
        <v>30</v>
      </c>
      <c r="Y369" s="1" t="s">
        <v>55</v>
      </c>
      <c r="Z369" s="1" t="s">
        <v>56</v>
      </c>
    </row>
    <row r="370" spans="6:26">
      <c r="F370" s="1" t="s">
        <v>42</v>
      </c>
      <c r="G370" s="1" t="s">
        <v>44</v>
      </c>
      <c r="I370" s="1" t="s">
        <v>42</v>
      </c>
      <c r="J370" s="1" t="s">
        <v>44</v>
      </c>
      <c r="K370" s="1" t="s">
        <v>43</v>
      </c>
      <c r="X370" s="1" t="s">
        <v>42</v>
      </c>
      <c r="Y370" s="1" t="s">
        <v>44</v>
      </c>
      <c r="Z370" s="1" t="s">
        <v>43</v>
      </c>
    </row>
    <row r="371" spans="6:26">
      <c r="F371">
        <v>31</v>
      </c>
      <c r="G371" s="1" t="s">
        <v>55</v>
      </c>
      <c r="I371">
        <v>31</v>
      </c>
      <c r="J371" s="1" t="s">
        <v>55</v>
      </c>
      <c r="K371" s="1" t="s">
        <v>54</v>
      </c>
      <c r="X371">
        <v>31</v>
      </c>
      <c r="Y371" s="1" t="s">
        <v>55</v>
      </c>
      <c r="Z371" s="1" t="s">
        <v>56</v>
      </c>
    </row>
    <row r="372" spans="6:26">
      <c r="F372" s="1" t="s">
        <v>42</v>
      </c>
      <c r="G372" s="1" t="s">
        <v>44</v>
      </c>
      <c r="I372" s="1" t="s">
        <v>42</v>
      </c>
      <c r="J372" s="1" t="s">
        <v>44</v>
      </c>
      <c r="K372" s="1" t="s">
        <v>43</v>
      </c>
      <c r="X372" s="1" t="s">
        <v>42</v>
      </c>
      <c r="Y372" s="1" t="s">
        <v>44</v>
      </c>
      <c r="Z372" s="1" t="s">
        <v>43</v>
      </c>
    </row>
    <row r="373" spans="6:26">
      <c r="F373">
        <v>32</v>
      </c>
      <c r="G373" s="1" t="s">
        <v>55</v>
      </c>
      <c r="I373">
        <v>32</v>
      </c>
      <c r="J373" s="1" t="s">
        <v>55</v>
      </c>
      <c r="K373" s="1" t="s">
        <v>54</v>
      </c>
      <c r="X373">
        <v>32</v>
      </c>
      <c r="Y373" s="1" t="s">
        <v>55</v>
      </c>
      <c r="Z373" s="1" t="s">
        <v>56</v>
      </c>
    </row>
    <row r="374" spans="6:26">
      <c r="F374" s="1" t="s">
        <v>42</v>
      </c>
      <c r="G374" s="1" t="s">
        <v>44</v>
      </c>
      <c r="I374" s="1" t="s">
        <v>42</v>
      </c>
      <c r="J374" s="1" t="s">
        <v>44</v>
      </c>
      <c r="K374" s="1" t="s">
        <v>43</v>
      </c>
      <c r="X374" s="1" t="s">
        <v>42</v>
      </c>
      <c r="Y374" s="1" t="s">
        <v>44</v>
      </c>
      <c r="Z374" s="1" t="s">
        <v>43</v>
      </c>
    </row>
    <row r="375" spans="6:26">
      <c r="F375">
        <v>33</v>
      </c>
      <c r="G375" s="1" t="s">
        <v>55</v>
      </c>
      <c r="I375">
        <v>33</v>
      </c>
      <c r="J375" s="1" t="s">
        <v>55</v>
      </c>
      <c r="K375" s="1" t="s">
        <v>54</v>
      </c>
      <c r="X375">
        <v>33</v>
      </c>
      <c r="Y375" s="1" t="s">
        <v>55</v>
      </c>
      <c r="Z375" s="1" t="s">
        <v>56</v>
      </c>
    </row>
    <row r="376" spans="6:26">
      <c r="F376" s="1" t="s">
        <v>42</v>
      </c>
      <c r="G376" s="1" t="s">
        <v>44</v>
      </c>
      <c r="I376" s="1" t="s">
        <v>42</v>
      </c>
      <c r="J376" s="1" t="s">
        <v>44</v>
      </c>
      <c r="K376" s="1" t="s">
        <v>43</v>
      </c>
      <c r="X376" s="1" t="s">
        <v>42</v>
      </c>
      <c r="Y376" s="1" t="s">
        <v>44</v>
      </c>
      <c r="Z376" s="1" t="s">
        <v>43</v>
      </c>
    </row>
    <row r="377" spans="6:26">
      <c r="F377">
        <v>34</v>
      </c>
      <c r="G377" s="1" t="s">
        <v>55</v>
      </c>
      <c r="I377">
        <v>34</v>
      </c>
      <c r="J377" s="1" t="s">
        <v>55</v>
      </c>
      <c r="K377" s="1" t="s">
        <v>54</v>
      </c>
      <c r="X377">
        <v>34</v>
      </c>
      <c r="Y377" s="1" t="s">
        <v>55</v>
      </c>
      <c r="Z377" s="1" t="s">
        <v>56</v>
      </c>
    </row>
    <row r="378" spans="6:26">
      <c r="F378" s="1" t="s">
        <v>42</v>
      </c>
      <c r="G378" s="1" t="s">
        <v>44</v>
      </c>
      <c r="I378" s="1" t="s">
        <v>42</v>
      </c>
      <c r="J378" s="1" t="s">
        <v>44</v>
      </c>
      <c r="K378" s="1" t="s">
        <v>43</v>
      </c>
      <c r="X378" s="1" t="s">
        <v>42</v>
      </c>
      <c r="Y378" s="1" t="s">
        <v>44</v>
      </c>
      <c r="Z378" s="1" t="s">
        <v>43</v>
      </c>
    </row>
    <row r="379" spans="6:26">
      <c r="F379">
        <v>35</v>
      </c>
      <c r="G379" s="1" t="s">
        <v>55</v>
      </c>
      <c r="I379">
        <v>35</v>
      </c>
      <c r="J379" s="1" t="s">
        <v>55</v>
      </c>
      <c r="K379" s="1" t="s">
        <v>54</v>
      </c>
      <c r="X379">
        <v>35</v>
      </c>
      <c r="Y379" s="1" t="s">
        <v>55</v>
      </c>
      <c r="Z379" s="1" t="s">
        <v>56</v>
      </c>
    </row>
    <row r="380" spans="6:26">
      <c r="F380" s="1" t="s">
        <v>42</v>
      </c>
      <c r="G380" s="1" t="s">
        <v>44</v>
      </c>
      <c r="I380" s="1" t="s">
        <v>42</v>
      </c>
      <c r="J380" s="1" t="s">
        <v>44</v>
      </c>
      <c r="K380" s="1" t="s">
        <v>43</v>
      </c>
      <c r="X380" s="1" t="s">
        <v>42</v>
      </c>
      <c r="Y380" s="1" t="s">
        <v>44</v>
      </c>
      <c r="Z380" s="1" t="s">
        <v>43</v>
      </c>
    </row>
    <row r="381" spans="6:26">
      <c r="F381">
        <v>36</v>
      </c>
      <c r="G381" s="1" t="s">
        <v>55</v>
      </c>
      <c r="I381">
        <v>36</v>
      </c>
      <c r="J381" s="1" t="s">
        <v>55</v>
      </c>
      <c r="K381" s="1" t="s">
        <v>54</v>
      </c>
      <c r="X381">
        <v>36</v>
      </c>
      <c r="Y381" s="1" t="s">
        <v>55</v>
      </c>
      <c r="Z381" s="1" t="s">
        <v>56</v>
      </c>
    </row>
    <row r="382" spans="6:26">
      <c r="F382" s="1" t="s">
        <v>42</v>
      </c>
      <c r="G382" s="1" t="s">
        <v>44</v>
      </c>
      <c r="I382" s="1" t="s">
        <v>42</v>
      </c>
      <c r="J382" s="1" t="s">
        <v>44</v>
      </c>
      <c r="K382" s="1" t="s">
        <v>43</v>
      </c>
      <c r="X382" s="1" t="s">
        <v>42</v>
      </c>
      <c r="Y382" s="1" t="s">
        <v>44</v>
      </c>
      <c r="Z382" s="1" t="s">
        <v>43</v>
      </c>
    </row>
    <row r="383" spans="6:26">
      <c r="F383">
        <v>37</v>
      </c>
      <c r="G383" s="1" t="s">
        <v>55</v>
      </c>
      <c r="I383">
        <v>37</v>
      </c>
      <c r="J383" s="1" t="s">
        <v>55</v>
      </c>
      <c r="K383" s="1" t="s">
        <v>54</v>
      </c>
      <c r="X383">
        <v>37</v>
      </c>
      <c r="Y383" s="1" t="s">
        <v>55</v>
      </c>
      <c r="Z383" s="1" t="s">
        <v>56</v>
      </c>
    </row>
    <row r="384" spans="6:26">
      <c r="F384" s="1" t="s">
        <v>42</v>
      </c>
      <c r="G384" s="1" t="s">
        <v>44</v>
      </c>
      <c r="I384" s="1" t="s">
        <v>42</v>
      </c>
      <c r="J384" s="1" t="s">
        <v>44</v>
      </c>
      <c r="K384" s="1" t="s">
        <v>43</v>
      </c>
      <c r="X384" s="1" t="s">
        <v>42</v>
      </c>
      <c r="Y384" s="1" t="s">
        <v>44</v>
      </c>
      <c r="Z384" s="1" t="s">
        <v>43</v>
      </c>
    </row>
    <row r="385" spans="6:26">
      <c r="F385">
        <v>38</v>
      </c>
      <c r="G385" s="1" t="s">
        <v>55</v>
      </c>
      <c r="I385">
        <v>38</v>
      </c>
      <c r="J385" s="1" t="s">
        <v>55</v>
      </c>
      <c r="K385" s="1" t="s">
        <v>54</v>
      </c>
      <c r="X385">
        <v>38</v>
      </c>
      <c r="Y385" s="1" t="s">
        <v>55</v>
      </c>
      <c r="Z385" s="1" t="s">
        <v>56</v>
      </c>
    </row>
    <row r="386" spans="6:26">
      <c r="F386" s="1" t="s">
        <v>42</v>
      </c>
      <c r="G386" s="1" t="s">
        <v>44</v>
      </c>
      <c r="I386" s="1" t="s">
        <v>42</v>
      </c>
      <c r="J386" s="1" t="s">
        <v>44</v>
      </c>
      <c r="K386" s="1" t="s">
        <v>43</v>
      </c>
      <c r="X386" s="1" t="s">
        <v>42</v>
      </c>
      <c r="Y386" s="1" t="s">
        <v>44</v>
      </c>
      <c r="Z386" s="1" t="s">
        <v>43</v>
      </c>
    </row>
    <row r="387" spans="6:26">
      <c r="F387">
        <v>39</v>
      </c>
      <c r="G387" s="1" t="s">
        <v>55</v>
      </c>
      <c r="I387">
        <v>39</v>
      </c>
      <c r="J387" s="1" t="s">
        <v>55</v>
      </c>
      <c r="K387" s="1" t="s">
        <v>54</v>
      </c>
      <c r="X387">
        <v>39</v>
      </c>
      <c r="Y387" s="1" t="s">
        <v>55</v>
      </c>
      <c r="Z387" s="1" t="s">
        <v>56</v>
      </c>
    </row>
    <row r="388" spans="6:26">
      <c r="F388" s="1" t="s">
        <v>42</v>
      </c>
      <c r="G388" s="1" t="s">
        <v>44</v>
      </c>
      <c r="I388" s="1" t="s">
        <v>42</v>
      </c>
      <c r="J388" s="1" t="s">
        <v>44</v>
      </c>
      <c r="K388" s="1" t="s">
        <v>43</v>
      </c>
      <c r="X388" s="1" t="s">
        <v>42</v>
      </c>
      <c r="Y388" s="1" t="s">
        <v>44</v>
      </c>
      <c r="Z388" s="1" t="s">
        <v>43</v>
      </c>
    </row>
    <row r="389" spans="6:26">
      <c r="F389">
        <v>40</v>
      </c>
      <c r="G389" s="1" t="s">
        <v>55</v>
      </c>
      <c r="I389">
        <v>40</v>
      </c>
      <c r="J389" s="1" t="s">
        <v>55</v>
      </c>
      <c r="K389" s="1" t="s">
        <v>54</v>
      </c>
      <c r="X389">
        <v>40</v>
      </c>
      <c r="Y389" s="1" t="s">
        <v>55</v>
      </c>
      <c r="Z389" s="1" t="s">
        <v>56</v>
      </c>
    </row>
    <row r="390" spans="6:26">
      <c r="F390" s="1" t="s">
        <v>42</v>
      </c>
      <c r="G390" s="1" t="s">
        <v>44</v>
      </c>
      <c r="I390" s="1" t="s">
        <v>42</v>
      </c>
      <c r="J390" s="1" t="s">
        <v>44</v>
      </c>
      <c r="K390" s="1" t="s">
        <v>43</v>
      </c>
      <c r="X390" s="1" t="s">
        <v>42</v>
      </c>
      <c r="Y390" s="1" t="s">
        <v>44</v>
      </c>
      <c r="Z390" s="1" t="s">
        <v>43</v>
      </c>
    </row>
    <row r="391" spans="6:26">
      <c r="F391">
        <v>41</v>
      </c>
      <c r="G391" s="1" t="s">
        <v>55</v>
      </c>
      <c r="I391">
        <v>41</v>
      </c>
      <c r="J391" s="1" t="s">
        <v>55</v>
      </c>
      <c r="K391" s="1" t="s">
        <v>54</v>
      </c>
      <c r="X391">
        <v>41</v>
      </c>
      <c r="Y391" s="1" t="s">
        <v>55</v>
      </c>
      <c r="Z391" s="1" t="s">
        <v>56</v>
      </c>
    </row>
    <row r="392" spans="6:26">
      <c r="F392" s="1" t="s">
        <v>42</v>
      </c>
      <c r="G392" s="1" t="s">
        <v>44</v>
      </c>
      <c r="I392" s="1" t="s">
        <v>42</v>
      </c>
      <c r="J392" s="1" t="s">
        <v>44</v>
      </c>
      <c r="K392" s="1" t="s">
        <v>43</v>
      </c>
      <c r="X392" s="1" t="s">
        <v>42</v>
      </c>
      <c r="Y392" s="1" t="s">
        <v>44</v>
      </c>
      <c r="Z392" s="1" t="s">
        <v>43</v>
      </c>
    </row>
    <row r="393" spans="6:26">
      <c r="F393">
        <v>42</v>
      </c>
      <c r="G393" s="1" t="s">
        <v>55</v>
      </c>
      <c r="I393">
        <v>42</v>
      </c>
      <c r="J393" s="1" t="s">
        <v>55</v>
      </c>
      <c r="K393" s="1" t="s">
        <v>54</v>
      </c>
      <c r="X393">
        <v>42</v>
      </c>
      <c r="Y393" s="1" t="s">
        <v>55</v>
      </c>
      <c r="Z393" s="1" t="s">
        <v>56</v>
      </c>
    </row>
    <row r="394" spans="6:26">
      <c r="F394" s="1" t="s">
        <v>42</v>
      </c>
      <c r="G394" s="1" t="s">
        <v>44</v>
      </c>
      <c r="I394" s="1" t="s">
        <v>42</v>
      </c>
      <c r="J394" s="1" t="s">
        <v>44</v>
      </c>
      <c r="K394" s="1" t="s">
        <v>43</v>
      </c>
      <c r="X394" s="1" t="s">
        <v>42</v>
      </c>
      <c r="Y394" s="1" t="s">
        <v>44</v>
      </c>
      <c r="Z394" s="1" t="s">
        <v>43</v>
      </c>
    </row>
    <row r="395" spans="6:26">
      <c r="F395">
        <v>43</v>
      </c>
      <c r="G395" s="1" t="s">
        <v>55</v>
      </c>
      <c r="I395">
        <v>43</v>
      </c>
      <c r="J395" s="1" t="s">
        <v>55</v>
      </c>
      <c r="K395" s="1" t="s">
        <v>54</v>
      </c>
      <c r="X395">
        <v>43</v>
      </c>
      <c r="Y395" s="1" t="s">
        <v>55</v>
      </c>
      <c r="Z395" s="1" t="s">
        <v>56</v>
      </c>
    </row>
    <row r="396" spans="6:26">
      <c r="F396" s="1" t="s">
        <v>42</v>
      </c>
      <c r="G396" s="1" t="s">
        <v>44</v>
      </c>
      <c r="I396" s="1" t="s">
        <v>42</v>
      </c>
      <c r="J396" s="1" t="s">
        <v>44</v>
      </c>
      <c r="K396" s="1" t="s">
        <v>43</v>
      </c>
      <c r="X396" s="1" t="s">
        <v>42</v>
      </c>
      <c r="Y396" s="1" t="s">
        <v>44</v>
      </c>
      <c r="Z396" s="1" t="s">
        <v>43</v>
      </c>
    </row>
    <row r="397" spans="6:26">
      <c r="F397">
        <v>44</v>
      </c>
      <c r="G397" s="1" t="s">
        <v>55</v>
      </c>
      <c r="I397">
        <v>44</v>
      </c>
      <c r="J397" s="1" t="s">
        <v>55</v>
      </c>
      <c r="K397" s="1" t="s">
        <v>54</v>
      </c>
      <c r="X397">
        <v>44</v>
      </c>
      <c r="Y397" s="1" t="s">
        <v>55</v>
      </c>
      <c r="Z397" s="1" t="s">
        <v>56</v>
      </c>
    </row>
    <row r="398" spans="6:26">
      <c r="F398" s="1" t="s">
        <v>42</v>
      </c>
      <c r="G398" s="1" t="s">
        <v>44</v>
      </c>
      <c r="I398" s="1" t="s">
        <v>42</v>
      </c>
      <c r="J398" s="1" t="s">
        <v>44</v>
      </c>
      <c r="K398" s="1" t="s">
        <v>43</v>
      </c>
      <c r="X398" s="1" t="s">
        <v>42</v>
      </c>
      <c r="Y398" s="1" t="s">
        <v>44</v>
      </c>
      <c r="Z398" s="1" t="s">
        <v>43</v>
      </c>
    </row>
    <row r="399" spans="6:26">
      <c r="F399">
        <v>45</v>
      </c>
      <c r="G399" s="1" t="s">
        <v>55</v>
      </c>
      <c r="I399">
        <v>45</v>
      </c>
      <c r="J399" s="1" t="s">
        <v>55</v>
      </c>
      <c r="K399" s="1" t="s">
        <v>54</v>
      </c>
      <c r="X399">
        <v>45</v>
      </c>
      <c r="Y399" s="1" t="s">
        <v>55</v>
      </c>
      <c r="Z399" s="1" t="s">
        <v>56</v>
      </c>
    </row>
    <row r="400" spans="6:26">
      <c r="F400" s="1" t="s">
        <v>42</v>
      </c>
      <c r="G400" s="1" t="s">
        <v>44</v>
      </c>
      <c r="I400" s="1" t="s">
        <v>42</v>
      </c>
      <c r="J400" s="1" t="s">
        <v>44</v>
      </c>
      <c r="K400" s="1" t="s">
        <v>43</v>
      </c>
      <c r="X400" s="1" t="s">
        <v>42</v>
      </c>
      <c r="Y400" s="1" t="s">
        <v>44</v>
      </c>
      <c r="Z400" s="1" t="s">
        <v>43</v>
      </c>
    </row>
    <row r="401" spans="6:26">
      <c r="F401">
        <v>46</v>
      </c>
      <c r="G401" s="1" t="s">
        <v>55</v>
      </c>
      <c r="I401">
        <v>46</v>
      </c>
      <c r="J401" s="1" t="s">
        <v>55</v>
      </c>
      <c r="K401" s="1" t="s">
        <v>54</v>
      </c>
      <c r="X401">
        <v>46</v>
      </c>
      <c r="Y401" s="1" t="s">
        <v>55</v>
      </c>
      <c r="Z401" s="1" t="s">
        <v>56</v>
      </c>
    </row>
    <row r="402" spans="6:26">
      <c r="F402" s="1" t="s">
        <v>42</v>
      </c>
      <c r="G402" s="1" t="s">
        <v>44</v>
      </c>
      <c r="I402" s="1" t="s">
        <v>42</v>
      </c>
      <c r="J402" s="1" t="s">
        <v>44</v>
      </c>
      <c r="K402" s="1" t="s">
        <v>43</v>
      </c>
      <c r="X402" s="1" t="s">
        <v>42</v>
      </c>
      <c r="Y402" s="1" t="s">
        <v>44</v>
      </c>
      <c r="Z402" s="1" t="s">
        <v>43</v>
      </c>
    </row>
    <row r="403" spans="6:26">
      <c r="F403">
        <v>47</v>
      </c>
      <c r="G403" s="1" t="s">
        <v>55</v>
      </c>
      <c r="I403">
        <v>47</v>
      </c>
      <c r="J403" s="1" t="s">
        <v>55</v>
      </c>
      <c r="K403" s="1" t="s">
        <v>54</v>
      </c>
      <c r="X403">
        <v>47</v>
      </c>
      <c r="Y403" s="1" t="s">
        <v>55</v>
      </c>
      <c r="Z403" s="1" t="s">
        <v>56</v>
      </c>
    </row>
    <row r="404" spans="6:26">
      <c r="F404" s="1" t="s">
        <v>42</v>
      </c>
      <c r="G404" s="1" t="s">
        <v>44</v>
      </c>
      <c r="I404" s="1" t="s">
        <v>42</v>
      </c>
      <c r="J404" s="1" t="s">
        <v>44</v>
      </c>
      <c r="K404" s="1" t="s">
        <v>43</v>
      </c>
      <c r="X404" s="1" t="s">
        <v>42</v>
      </c>
      <c r="Y404" s="1" t="s">
        <v>44</v>
      </c>
      <c r="Z404" s="1" t="s">
        <v>43</v>
      </c>
    </row>
    <row r="405" spans="6:26">
      <c r="F405">
        <v>48</v>
      </c>
      <c r="G405" s="1" t="s">
        <v>55</v>
      </c>
      <c r="I405">
        <v>48</v>
      </c>
      <c r="J405" s="1" t="s">
        <v>55</v>
      </c>
      <c r="K405" s="1" t="s">
        <v>54</v>
      </c>
      <c r="X405">
        <v>48</v>
      </c>
      <c r="Y405" s="1" t="s">
        <v>55</v>
      </c>
      <c r="Z405" s="1" t="s">
        <v>56</v>
      </c>
    </row>
    <row r="406" spans="6:26">
      <c r="F406" s="1" t="s">
        <v>42</v>
      </c>
      <c r="G406" s="1" t="s">
        <v>44</v>
      </c>
      <c r="I406" s="1" t="s">
        <v>42</v>
      </c>
      <c r="J406" s="1" t="s">
        <v>44</v>
      </c>
      <c r="K406" s="1" t="s">
        <v>43</v>
      </c>
      <c r="X406" s="1" t="s">
        <v>42</v>
      </c>
      <c r="Y406" s="1" t="s">
        <v>44</v>
      </c>
      <c r="Z406" s="1" t="s">
        <v>43</v>
      </c>
    </row>
    <row r="407" spans="6:26">
      <c r="F407">
        <v>49</v>
      </c>
      <c r="G407" s="1" t="s">
        <v>55</v>
      </c>
      <c r="I407">
        <v>49</v>
      </c>
      <c r="J407" s="1" t="s">
        <v>55</v>
      </c>
      <c r="K407" s="1" t="s">
        <v>54</v>
      </c>
      <c r="X407">
        <v>49</v>
      </c>
      <c r="Y407" s="1" t="s">
        <v>55</v>
      </c>
      <c r="Z407" s="1" t="s">
        <v>56</v>
      </c>
    </row>
    <row r="408" spans="6:26">
      <c r="F408" s="1" t="s">
        <v>42</v>
      </c>
      <c r="G408" s="1" t="s">
        <v>44</v>
      </c>
      <c r="I408" s="1" t="s">
        <v>42</v>
      </c>
      <c r="J408" s="1" t="s">
        <v>44</v>
      </c>
      <c r="K408" s="1" t="s">
        <v>43</v>
      </c>
      <c r="X408" s="1" t="s">
        <v>42</v>
      </c>
      <c r="Y408" s="1" t="s">
        <v>44</v>
      </c>
      <c r="Z408" s="1" t="s">
        <v>43</v>
      </c>
    </row>
    <row r="409" spans="6:26">
      <c r="F409">
        <v>50</v>
      </c>
      <c r="G409" s="1" t="s">
        <v>55</v>
      </c>
      <c r="I409">
        <v>50</v>
      </c>
      <c r="J409" s="1" t="s">
        <v>55</v>
      </c>
      <c r="K409" s="1" t="s">
        <v>54</v>
      </c>
      <c r="X409">
        <v>50</v>
      </c>
      <c r="Y409" s="1" t="s">
        <v>55</v>
      </c>
      <c r="Z409" s="1" t="s">
        <v>56</v>
      </c>
    </row>
    <row r="410" spans="6:26">
      <c r="F410" s="1" t="s">
        <v>42</v>
      </c>
      <c r="G410" s="1" t="s">
        <v>44</v>
      </c>
      <c r="I410" s="1" t="s">
        <v>42</v>
      </c>
      <c r="J410" s="1" t="s">
        <v>44</v>
      </c>
      <c r="K410" s="1" t="s">
        <v>43</v>
      </c>
      <c r="X410" s="1" t="s">
        <v>42</v>
      </c>
      <c r="Y410" s="1" t="s">
        <v>44</v>
      </c>
      <c r="Z410" s="1" t="s">
        <v>43</v>
      </c>
    </row>
    <row r="411" spans="6:26">
      <c r="F411">
        <v>51</v>
      </c>
      <c r="G411" s="1" t="s">
        <v>55</v>
      </c>
      <c r="I411">
        <v>51</v>
      </c>
      <c r="J411" s="1" t="s">
        <v>55</v>
      </c>
      <c r="K411" s="1" t="s">
        <v>54</v>
      </c>
      <c r="X411">
        <v>51</v>
      </c>
      <c r="Y411" s="1" t="s">
        <v>55</v>
      </c>
      <c r="Z411" s="1" t="s">
        <v>56</v>
      </c>
    </row>
    <row r="412" spans="6:26">
      <c r="F412" s="1" t="s">
        <v>42</v>
      </c>
      <c r="G412" s="1" t="s">
        <v>44</v>
      </c>
      <c r="I412" s="1" t="s">
        <v>42</v>
      </c>
      <c r="J412" s="1" t="s">
        <v>44</v>
      </c>
      <c r="K412" s="1" t="s">
        <v>43</v>
      </c>
      <c r="X412" s="1" t="s">
        <v>42</v>
      </c>
      <c r="Y412" s="1" t="s">
        <v>44</v>
      </c>
      <c r="Z412" s="1" t="s">
        <v>43</v>
      </c>
    </row>
    <row r="413" spans="6:26">
      <c r="F413">
        <v>52</v>
      </c>
      <c r="G413" s="1" t="s">
        <v>55</v>
      </c>
      <c r="I413">
        <v>52</v>
      </c>
      <c r="J413" s="1" t="s">
        <v>55</v>
      </c>
      <c r="K413" s="1" t="s">
        <v>54</v>
      </c>
      <c r="X413">
        <v>52</v>
      </c>
      <c r="Y413" s="1" t="s">
        <v>55</v>
      </c>
      <c r="Z413" s="1" t="s">
        <v>56</v>
      </c>
    </row>
    <row r="414" spans="6:26">
      <c r="F414" s="1" t="s">
        <v>42</v>
      </c>
      <c r="G414" s="1" t="s">
        <v>44</v>
      </c>
      <c r="I414" s="1" t="s">
        <v>42</v>
      </c>
      <c r="J414" s="1" t="s">
        <v>44</v>
      </c>
      <c r="K414" s="1" t="s">
        <v>43</v>
      </c>
      <c r="X414" s="1" t="s">
        <v>42</v>
      </c>
      <c r="Y414" s="1" t="s">
        <v>44</v>
      </c>
      <c r="Z414" s="1" t="s">
        <v>43</v>
      </c>
    </row>
    <row r="415" spans="6:26">
      <c r="F415">
        <v>53</v>
      </c>
      <c r="G415" s="1" t="s">
        <v>55</v>
      </c>
      <c r="I415">
        <v>53</v>
      </c>
      <c r="J415" s="1" t="s">
        <v>55</v>
      </c>
      <c r="K415" s="1" t="s">
        <v>54</v>
      </c>
      <c r="X415">
        <v>53</v>
      </c>
      <c r="Y415" s="1" t="s">
        <v>55</v>
      </c>
      <c r="Z415" s="1" t="s">
        <v>56</v>
      </c>
    </row>
    <row r="416" spans="6:26">
      <c r="F416" s="1" t="s">
        <v>42</v>
      </c>
      <c r="G416" s="1" t="s">
        <v>44</v>
      </c>
      <c r="I416" s="1" t="s">
        <v>42</v>
      </c>
      <c r="J416" s="1" t="s">
        <v>44</v>
      </c>
      <c r="K416" s="1" t="s">
        <v>43</v>
      </c>
      <c r="X416" s="1" t="s">
        <v>42</v>
      </c>
      <c r="Y416" s="1" t="s">
        <v>44</v>
      </c>
      <c r="Z416" s="1" t="s">
        <v>43</v>
      </c>
    </row>
    <row r="417" spans="6:26">
      <c r="F417">
        <v>54</v>
      </c>
      <c r="G417" s="1" t="s">
        <v>55</v>
      </c>
      <c r="I417">
        <v>54</v>
      </c>
      <c r="J417" s="1" t="s">
        <v>55</v>
      </c>
      <c r="K417" s="1" t="s">
        <v>54</v>
      </c>
      <c r="X417">
        <v>54</v>
      </c>
      <c r="Y417" s="1" t="s">
        <v>55</v>
      </c>
      <c r="Z417" s="1" t="s">
        <v>56</v>
      </c>
    </row>
    <row r="418" spans="6:26">
      <c r="F418" s="1" t="s">
        <v>42</v>
      </c>
      <c r="G418" s="1" t="s">
        <v>44</v>
      </c>
      <c r="I418" s="1" t="s">
        <v>42</v>
      </c>
      <c r="J418" s="1" t="s">
        <v>44</v>
      </c>
      <c r="K418" s="1" t="s">
        <v>43</v>
      </c>
      <c r="X418" s="1" t="s">
        <v>42</v>
      </c>
      <c r="Y418" s="1" t="s">
        <v>44</v>
      </c>
      <c r="Z418" s="1" t="s">
        <v>43</v>
      </c>
    </row>
    <row r="419" spans="6:26">
      <c r="F419">
        <v>55</v>
      </c>
      <c r="G419" s="1" t="s">
        <v>55</v>
      </c>
      <c r="I419">
        <v>55</v>
      </c>
      <c r="J419" s="1" t="s">
        <v>55</v>
      </c>
      <c r="K419" s="1" t="s">
        <v>54</v>
      </c>
      <c r="X419">
        <v>55</v>
      </c>
      <c r="Y419" s="1" t="s">
        <v>55</v>
      </c>
      <c r="Z419" s="1" t="s">
        <v>56</v>
      </c>
    </row>
    <row r="420" spans="6:26">
      <c r="F420" s="1" t="s">
        <v>42</v>
      </c>
      <c r="G420" s="1" t="s">
        <v>44</v>
      </c>
      <c r="I420" s="1" t="s">
        <v>42</v>
      </c>
      <c r="J420" s="1" t="s">
        <v>44</v>
      </c>
      <c r="K420" s="1" t="s">
        <v>43</v>
      </c>
      <c r="X420" s="1" t="s">
        <v>42</v>
      </c>
      <c r="Y420" s="1" t="s">
        <v>44</v>
      </c>
      <c r="Z420" s="1" t="s">
        <v>43</v>
      </c>
    </row>
    <row r="421" spans="6:26">
      <c r="F421">
        <v>56</v>
      </c>
      <c r="G421" s="1" t="s">
        <v>55</v>
      </c>
      <c r="I421">
        <v>56</v>
      </c>
      <c r="J421" s="1" t="s">
        <v>55</v>
      </c>
      <c r="K421" s="1" t="s">
        <v>54</v>
      </c>
      <c r="X421">
        <v>56</v>
      </c>
      <c r="Y421" s="1" t="s">
        <v>55</v>
      </c>
      <c r="Z421" s="1" t="s">
        <v>56</v>
      </c>
    </row>
    <row r="422" spans="6:26">
      <c r="F422" s="1" t="s">
        <v>42</v>
      </c>
      <c r="G422" s="1" t="s">
        <v>44</v>
      </c>
      <c r="I422" s="1" t="s">
        <v>42</v>
      </c>
      <c r="J422" s="1" t="s">
        <v>44</v>
      </c>
      <c r="K422" s="1" t="s">
        <v>43</v>
      </c>
      <c r="X422" s="1" t="s">
        <v>42</v>
      </c>
      <c r="Y422" s="1" t="s">
        <v>44</v>
      </c>
      <c r="Z422" s="1" t="s">
        <v>43</v>
      </c>
    </row>
    <row r="423" spans="6:26">
      <c r="F423">
        <v>57</v>
      </c>
      <c r="G423" s="1" t="s">
        <v>55</v>
      </c>
      <c r="I423">
        <v>57</v>
      </c>
      <c r="J423" s="1" t="s">
        <v>55</v>
      </c>
      <c r="K423" s="1" t="s">
        <v>54</v>
      </c>
      <c r="X423">
        <v>57</v>
      </c>
      <c r="Y423" s="1" t="s">
        <v>55</v>
      </c>
      <c r="Z423" s="1" t="s">
        <v>56</v>
      </c>
    </row>
    <row r="424" spans="6:26">
      <c r="F424" s="1" t="s">
        <v>42</v>
      </c>
      <c r="G424" s="1" t="s">
        <v>44</v>
      </c>
      <c r="I424" s="1" t="s">
        <v>42</v>
      </c>
      <c r="J424" s="1" t="s">
        <v>44</v>
      </c>
      <c r="K424" s="1" t="s">
        <v>43</v>
      </c>
      <c r="X424" s="1" t="s">
        <v>42</v>
      </c>
      <c r="Y424" s="1" t="s">
        <v>44</v>
      </c>
      <c r="Z424" s="1" t="s">
        <v>43</v>
      </c>
    </row>
    <row r="425" spans="6:26">
      <c r="F425">
        <v>58</v>
      </c>
      <c r="G425" s="1" t="s">
        <v>55</v>
      </c>
      <c r="I425">
        <v>58</v>
      </c>
      <c r="J425" s="1" t="s">
        <v>55</v>
      </c>
      <c r="K425" s="1" t="s">
        <v>54</v>
      </c>
      <c r="X425">
        <v>58</v>
      </c>
      <c r="Y425" s="1" t="s">
        <v>55</v>
      </c>
      <c r="Z425" s="1" t="s">
        <v>56</v>
      </c>
    </row>
    <row r="426" spans="6:26">
      <c r="F426" s="1" t="s">
        <v>42</v>
      </c>
      <c r="G426" s="1" t="s">
        <v>44</v>
      </c>
      <c r="I426" s="1" t="s">
        <v>42</v>
      </c>
      <c r="J426" s="1" t="s">
        <v>44</v>
      </c>
      <c r="K426" s="1" t="s">
        <v>43</v>
      </c>
      <c r="X426" s="1" t="s">
        <v>42</v>
      </c>
      <c r="Y426" s="1" t="s">
        <v>44</v>
      </c>
      <c r="Z426" s="1" t="s">
        <v>43</v>
      </c>
    </row>
    <row r="427" spans="6:26">
      <c r="F427">
        <v>59</v>
      </c>
      <c r="G427" s="1" t="s">
        <v>55</v>
      </c>
      <c r="I427">
        <v>59</v>
      </c>
      <c r="J427" s="1" t="s">
        <v>55</v>
      </c>
      <c r="K427" s="1" t="s">
        <v>54</v>
      </c>
      <c r="X427">
        <v>59</v>
      </c>
      <c r="Y427" s="1" t="s">
        <v>55</v>
      </c>
      <c r="Z427" s="1" t="s">
        <v>56</v>
      </c>
    </row>
    <row r="428" spans="6:26">
      <c r="F428" s="1" t="s">
        <v>42</v>
      </c>
      <c r="G428" s="1" t="s">
        <v>44</v>
      </c>
      <c r="I428" s="1" t="s">
        <v>42</v>
      </c>
      <c r="J428" s="1" t="s">
        <v>44</v>
      </c>
      <c r="K428" s="1" t="s">
        <v>43</v>
      </c>
      <c r="X428" s="1" t="s">
        <v>42</v>
      </c>
      <c r="Y428" s="1" t="s">
        <v>44</v>
      </c>
      <c r="Z428" s="1" t="s">
        <v>43</v>
      </c>
    </row>
    <row r="429" spans="6:26">
      <c r="F429">
        <v>60</v>
      </c>
      <c r="G429" s="1" t="s">
        <v>55</v>
      </c>
      <c r="I429">
        <v>60</v>
      </c>
      <c r="J429" s="1" t="s">
        <v>55</v>
      </c>
      <c r="K429" s="1" t="s">
        <v>54</v>
      </c>
      <c r="X429">
        <v>60</v>
      </c>
      <c r="Y429" s="1" t="s">
        <v>55</v>
      </c>
      <c r="Z429" s="1" t="s">
        <v>56</v>
      </c>
    </row>
    <row r="430" spans="6:26">
      <c r="F430" s="1" t="s">
        <v>42</v>
      </c>
      <c r="G430" s="1" t="s">
        <v>44</v>
      </c>
      <c r="I430" s="1" t="s">
        <v>42</v>
      </c>
      <c r="J430" s="1" t="s">
        <v>44</v>
      </c>
      <c r="K430" s="1" t="s">
        <v>43</v>
      </c>
      <c r="X430" s="1" t="s">
        <v>42</v>
      </c>
      <c r="Y430" s="1" t="s">
        <v>44</v>
      </c>
      <c r="Z430" s="1" t="s">
        <v>43</v>
      </c>
    </row>
    <row r="431" spans="6:26">
      <c r="F431">
        <v>61</v>
      </c>
      <c r="G431" s="1" t="s">
        <v>55</v>
      </c>
      <c r="I431">
        <v>61</v>
      </c>
      <c r="J431" s="1" t="s">
        <v>55</v>
      </c>
      <c r="K431" s="1" t="s">
        <v>54</v>
      </c>
      <c r="X431">
        <v>61</v>
      </c>
      <c r="Y431" s="1" t="s">
        <v>55</v>
      </c>
      <c r="Z431" s="1" t="s">
        <v>56</v>
      </c>
    </row>
    <row r="432" spans="6:26">
      <c r="F432" s="1" t="s">
        <v>42</v>
      </c>
      <c r="G432" s="1" t="s">
        <v>44</v>
      </c>
      <c r="I432" s="1" t="s">
        <v>42</v>
      </c>
      <c r="J432" s="1" t="s">
        <v>44</v>
      </c>
      <c r="K432" s="1" t="s">
        <v>43</v>
      </c>
      <c r="X432" s="1" t="s">
        <v>42</v>
      </c>
      <c r="Y432" s="1" t="s">
        <v>44</v>
      </c>
      <c r="Z432" s="1" t="s">
        <v>43</v>
      </c>
    </row>
    <row r="433" spans="6:26">
      <c r="F433">
        <v>62</v>
      </c>
      <c r="G433" s="1" t="s">
        <v>55</v>
      </c>
      <c r="I433">
        <v>62</v>
      </c>
      <c r="J433" s="1" t="s">
        <v>55</v>
      </c>
      <c r="K433" s="1" t="s">
        <v>54</v>
      </c>
      <c r="X433">
        <v>62</v>
      </c>
      <c r="Y433" s="1" t="s">
        <v>55</v>
      </c>
      <c r="Z433" s="1" t="s">
        <v>56</v>
      </c>
    </row>
    <row r="434" spans="6:26">
      <c r="F434" s="1" t="s">
        <v>42</v>
      </c>
      <c r="G434" s="1" t="s">
        <v>44</v>
      </c>
      <c r="I434" s="1" t="s">
        <v>42</v>
      </c>
      <c r="J434" s="1" t="s">
        <v>44</v>
      </c>
      <c r="K434" s="1" t="s">
        <v>43</v>
      </c>
      <c r="X434" s="1" t="s">
        <v>42</v>
      </c>
      <c r="Y434" s="1" t="s">
        <v>44</v>
      </c>
      <c r="Z434" s="1" t="s">
        <v>43</v>
      </c>
    </row>
    <row r="435" spans="6:26">
      <c r="F435">
        <v>63</v>
      </c>
      <c r="G435" s="1" t="s">
        <v>55</v>
      </c>
      <c r="I435">
        <v>63</v>
      </c>
      <c r="J435" s="1" t="s">
        <v>55</v>
      </c>
      <c r="K435" s="1" t="s">
        <v>54</v>
      </c>
      <c r="X435">
        <v>63</v>
      </c>
      <c r="Y435" s="1" t="s">
        <v>55</v>
      </c>
      <c r="Z435" s="1" t="s">
        <v>56</v>
      </c>
    </row>
    <row r="436" spans="6:26">
      <c r="F436" s="1" t="s">
        <v>42</v>
      </c>
      <c r="G436" s="1" t="s">
        <v>44</v>
      </c>
      <c r="I436" s="1" t="s">
        <v>42</v>
      </c>
      <c r="J436" s="1" t="s">
        <v>44</v>
      </c>
      <c r="K436" s="1" t="s">
        <v>43</v>
      </c>
      <c r="X436" s="1" t="s">
        <v>42</v>
      </c>
      <c r="Y436" s="1" t="s">
        <v>44</v>
      </c>
      <c r="Z436" s="1" t="s">
        <v>43</v>
      </c>
    </row>
    <row r="437" spans="6:26">
      <c r="F437">
        <v>64</v>
      </c>
      <c r="G437" s="1" t="s">
        <v>55</v>
      </c>
      <c r="I437">
        <v>64</v>
      </c>
      <c r="J437" s="1" t="s">
        <v>55</v>
      </c>
      <c r="K437" s="1" t="s">
        <v>54</v>
      </c>
      <c r="X437">
        <v>64</v>
      </c>
      <c r="Y437" s="1" t="s">
        <v>55</v>
      </c>
      <c r="Z437" s="1" t="s">
        <v>56</v>
      </c>
    </row>
    <row r="438" spans="6:26">
      <c r="F438" s="1" t="s">
        <v>42</v>
      </c>
      <c r="G438" s="1" t="s">
        <v>44</v>
      </c>
      <c r="I438" s="1" t="s">
        <v>42</v>
      </c>
      <c r="J438" s="1" t="s">
        <v>44</v>
      </c>
      <c r="K438" s="1" t="s">
        <v>43</v>
      </c>
      <c r="X438" s="1" t="s">
        <v>42</v>
      </c>
      <c r="Y438" s="1" t="s">
        <v>44</v>
      </c>
      <c r="Z438" s="1" t="s">
        <v>43</v>
      </c>
    </row>
    <row r="439" spans="6:26">
      <c r="F439">
        <v>65</v>
      </c>
      <c r="G439" s="1" t="s">
        <v>55</v>
      </c>
      <c r="I439">
        <v>65</v>
      </c>
      <c r="J439" s="1" t="s">
        <v>55</v>
      </c>
      <c r="K439" s="1" t="s">
        <v>54</v>
      </c>
      <c r="X439">
        <v>65</v>
      </c>
      <c r="Y439" s="1" t="s">
        <v>55</v>
      </c>
      <c r="Z439" s="1" t="s">
        <v>56</v>
      </c>
    </row>
    <row r="440" spans="6:26">
      <c r="F440" s="1" t="s">
        <v>42</v>
      </c>
      <c r="G440" s="1" t="s">
        <v>44</v>
      </c>
      <c r="I440" s="1" t="s">
        <v>42</v>
      </c>
      <c r="J440" s="1" t="s">
        <v>44</v>
      </c>
      <c r="K440" s="1" t="s">
        <v>43</v>
      </c>
      <c r="X440" s="1" t="s">
        <v>42</v>
      </c>
      <c r="Y440" s="1" t="s">
        <v>44</v>
      </c>
      <c r="Z440" s="1" t="s">
        <v>43</v>
      </c>
    </row>
    <row r="441" spans="6:26">
      <c r="F441">
        <v>66</v>
      </c>
      <c r="G441" s="1" t="s">
        <v>55</v>
      </c>
      <c r="I441">
        <v>66</v>
      </c>
      <c r="J441" s="1" t="s">
        <v>55</v>
      </c>
      <c r="K441" s="1" t="s">
        <v>54</v>
      </c>
      <c r="X441">
        <v>66</v>
      </c>
      <c r="Y441" s="1" t="s">
        <v>55</v>
      </c>
      <c r="Z441" s="1" t="s">
        <v>56</v>
      </c>
    </row>
    <row r="442" spans="6:26">
      <c r="F442" s="1" t="s">
        <v>42</v>
      </c>
      <c r="G442" s="1" t="s">
        <v>44</v>
      </c>
      <c r="I442" s="1" t="s">
        <v>42</v>
      </c>
      <c r="J442" s="1" t="s">
        <v>44</v>
      </c>
      <c r="K442" s="1" t="s">
        <v>43</v>
      </c>
      <c r="X442" s="1" t="s">
        <v>42</v>
      </c>
      <c r="Y442" s="1" t="s">
        <v>44</v>
      </c>
      <c r="Z442" s="1" t="s">
        <v>43</v>
      </c>
    </row>
    <row r="443" spans="6:26">
      <c r="F443">
        <v>67</v>
      </c>
      <c r="G443" s="1" t="s">
        <v>55</v>
      </c>
      <c r="I443">
        <v>67</v>
      </c>
      <c r="J443" s="1" t="s">
        <v>55</v>
      </c>
      <c r="K443" s="1" t="s">
        <v>54</v>
      </c>
      <c r="X443">
        <v>67</v>
      </c>
      <c r="Y443" s="1" t="s">
        <v>55</v>
      </c>
      <c r="Z443" s="1" t="s">
        <v>56</v>
      </c>
    </row>
    <row r="444" spans="6:26">
      <c r="F444" s="1" t="s">
        <v>42</v>
      </c>
      <c r="G444" s="1" t="s">
        <v>44</v>
      </c>
      <c r="I444" s="1" t="s">
        <v>42</v>
      </c>
      <c r="J444" s="1" t="s">
        <v>44</v>
      </c>
      <c r="K444" s="1" t="s">
        <v>43</v>
      </c>
      <c r="X444" s="1" t="s">
        <v>42</v>
      </c>
      <c r="Y444" s="1" t="s">
        <v>44</v>
      </c>
      <c r="Z444" s="1" t="s">
        <v>43</v>
      </c>
    </row>
    <row r="445" spans="6:26">
      <c r="F445">
        <v>68</v>
      </c>
      <c r="G445" s="1" t="s">
        <v>55</v>
      </c>
      <c r="I445">
        <v>68</v>
      </c>
      <c r="J445" s="1" t="s">
        <v>55</v>
      </c>
      <c r="K445" s="1" t="s">
        <v>54</v>
      </c>
      <c r="X445">
        <v>68</v>
      </c>
      <c r="Y445" s="1" t="s">
        <v>55</v>
      </c>
      <c r="Z445" s="1" t="s">
        <v>56</v>
      </c>
    </row>
    <row r="446" spans="6:26">
      <c r="F446" s="1" t="s">
        <v>42</v>
      </c>
      <c r="G446" s="1" t="s">
        <v>44</v>
      </c>
      <c r="I446" s="1" t="s">
        <v>42</v>
      </c>
      <c r="J446" s="1" t="s">
        <v>44</v>
      </c>
      <c r="K446" s="1" t="s">
        <v>43</v>
      </c>
      <c r="X446" s="1" t="s">
        <v>42</v>
      </c>
      <c r="Y446" s="1" t="s">
        <v>44</v>
      </c>
      <c r="Z446" s="1" t="s">
        <v>43</v>
      </c>
    </row>
    <row r="447" spans="6:26">
      <c r="F447">
        <v>69</v>
      </c>
      <c r="G447" s="1" t="s">
        <v>55</v>
      </c>
      <c r="I447">
        <v>69</v>
      </c>
      <c r="J447" s="1" t="s">
        <v>55</v>
      </c>
      <c r="K447" s="1" t="s">
        <v>54</v>
      </c>
      <c r="X447">
        <v>69</v>
      </c>
      <c r="Y447" s="1" t="s">
        <v>55</v>
      </c>
      <c r="Z447" s="1" t="s">
        <v>56</v>
      </c>
    </row>
    <row r="448" spans="6:26">
      <c r="F448" s="1" t="s">
        <v>42</v>
      </c>
      <c r="G448" s="1" t="s">
        <v>44</v>
      </c>
      <c r="I448" s="1" t="s">
        <v>42</v>
      </c>
      <c r="J448" s="1" t="s">
        <v>44</v>
      </c>
      <c r="K448" s="1" t="s">
        <v>43</v>
      </c>
      <c r="X448" s="1" t="s">
        <v>42</v>
      </c>
      <c r="Y448" s="1" t="s">
        <v>44</v>
      </c>
      <c r="Z448" s="1" t="s">
        <v>43</v>
      </c>
    </row>
    <row r="449" spans="6:26">
      <c r="F449">
        <v>70</v>
      </c>
      <c r="G449" s="1" t="s">
        <v>55</v>
      </c>
      <c r="I449">
        <v>70</v>
      </c>
      <c r="J449" s="1" t="s">
        <v>55</v>
      </c>
      <c r="K449" s="1" t="s">
        <v>54</v>
      </c>
      <c r="X449">
        <v>70</v>
      </c>
      <c r="Y449" s="1" t="s">
        <v>55</v>
      </c>
      <c r="Z449" s="1" t="s">
        <v>56</v>
      </c>
    </row>
    <row r="450" spans="6:26">
      <c r="F450" s="1" t="s">
        <v>42</v>
      </c>
      <c r="G450" s="1" t="s">
        <v>44</v>
      </c>
      <c r="I450" s="1" t="s">
        <v>42</v>
      </c>
      <c r="J450" s="1" t="s">
        <v>44</v>
      </c>
      <c r="K450" s="1" t="s">
        <v>43</v>
      </c>
      <c r="X450" s="1" t="s">
        <v>42</v>
      </c>
      <c r="Y450" s="1" t="s">
        <v>44</v>
      </c>
      <c r="Z450" s="1" t="s">
        <v>43</v>
      </c>
    </row>
    <row r="451" spans="6:26">
      <c r="F451">
        <v>71</v>
      </c>
      <c r="G451" s="1" t="s">
        <v>55</v>
      </c>
      <c r="I451">
        <v>71</v>
      </c>
      <c r="J451" s="1" t="s">
        <v>55</v>
      </c>
      <c r="K451" s="1" t="s">
        <v>54</v>
      </c>
      <c r="X451">
        <v>71</v>
      </c>
      <c r="Y451" s="1" t="s">
        <v>55</v>
      </c>
      <c r="Z451" s="1" t="s">
        <v>56</v>
      </c>
    </row>
    <row r="452" spans="6:26">
      <c r="F452" s="1" t="s">
        <v>42</v>
      </c>
      <c r="G452" s="1" t="s">
        <v>44</v>
      </c>
      <c r="I452" s="1" t="s">
        <v>42</v>
      </c>
      <c r="J452" s="1" t="s">
        <v>44</v>
      </c>
      <c r="K452" s="1" t="s">
        <v>43</v>
      </c>
      <c r="X452" s="1" t="s">
        <v>42</v>
      </c>
      <c r="Y452" s="1" t="s">
        <v>44</v>
      </c>
      <c r="Z452" s="1" t="s">
        <v>43</v>
      </c>
    </row>
    <row r="453" spans="6:26">
      <c r="F453">
        <v>72</v>
      </c>
      <c r="G453" s="1" t="s">
        <v>55</v>
      </c>
      <c r="I453">
        <v>72</v>
      </c>
      <c r="J453" s="1" t="s">
        <v>55</v>
      </c>
      <c r="K453" s="1" t="s">
        <v>54</v>
      </c>
      <c r="X453">
        <v>72</v>
      </c>
      <c r="Y453" s="1" t="s">
        <v>55</v>
      </c>
      <c r="Z453" s="1" t="s">
        <v>56</v>
      </c>
    </row>
    <row r="454" spans="6:26">
      <c r="F454" s="1" t="s">
        <v>42</v>
      </c>
      <c r="G454" s="1" t="s">
        <v>44</v>
      </c>
      <c r="I454" s="1" t="s">
        <v>42</v>
      </c>
      <c r="J454" s="1" t="s">
        <v>44</v>
      </c>
      <c r="K454" s="1" t="s">
        <v>43</v>
      </c>
      <c r="X454" s="1" t="s">
        <v>42</v>
      </c>
      <c r="Y454" s="1" t="s">
        <v>44</v>
      </c>
      <c r="Z454" s="1" t="s">
        <v>43</v>
      </c>
    </row>
    <row r="455" spans="6:26">
      <c r="F455">
        <v>73</v>
      </c>
      <c r="G455" s="1" t="s">
        <v>55</v>
      </c>
      <c r="I455">
        <v>73</v>
      </c>
      <c r="J455" s="1" t="s">
        <v>55</v>
      </c>
      <c r="K455" s="1" t="s">
        <v>54</v>
      </c>
      <c r="X455">
        <v>73</v>
      </c>
      <c r="Y455" s="1" t="s">
        <v>55</v>
      </c>
      <c r="Z455" s="1" t="s">
        <v>56</v>
      </c>
    </row>
    <row r="456" spans="6:26">
      <c r="F456" s="1" t="s">
        <v>42</v>
      </c>
      <c r="G456" s="1" t="s">
        <v>44</v>
      </c>
      <c r="I456" s="1" t="s">
        <v>42</v>
      </c>
      <c r="J456" s="1" t="s">
        <v>44</v>
      </c>
      <c r="K456" s="1" t="s">
        <v>43</v>
      </c>
      <c r="X456" s="1" t="s">
        <v>42</v>
      </c>
      <c r="Y456" s="1" t="s">
        <v>44</v>
      </c>
      <c r="Z456" s="1" t="s">
        <v>43</v>
      </c>
    </row>
    <row r="457" spans="6:26">
      <c r="F457">
        <v>74</v>
      </c>
      <c r="G457" s="1" t="s">
        <v>55</v>
      </c>
      <c r="I457">
        <v>74</v>
      </c>
      <c r="J457" s="1" t="s">
        <v>55</v>
      </c>
      <c r="K457" s="1" t="s">
        <v>54</v>
      </c>
      <c r="X457">
        <v>74</v>
      </c>
      <c r="Y457" s="1" t="s">
        <v>55</v>
      </c>
      <c r="Z457" s="1" t="s">
        <v>56</v>
      </c>
    </row>
    <row r="458" spans="6:26">
      <c r="F458" s="1" t="s">
        <v>42</v>
      </c>
      <c r="G458" s="1" t="s">
        <v>44</v>
      </c>
      <c r="I458" s="1" t="s">
        <v>42</v>
      </c>
      <c r="J458" s="1" t="s">
        <v>44</v>
      </c>
      <c r="K458" s="1" t="s">
        <v>43</v>
      </c>
      <c r="X458" s="1" t="s">
        <v>42</v>
      </c>
      <c r="Y458" s="1" t="s">
        <v>44</v>
      </c>
      <c r="Z458" s="1" t="s">
        <v>43</v>
      </c>
    </row>
    <row r="459" spans="6:26">
      <c r="F459">
        <v>75</v>
      </c>
      <c r="G459" s="1" t="s">
        <v>55</v>
      </c>
      <c r="I459">
        <v>75</v>
      </c>
      <c r="J459" s="1" t="s">
        <v>55</v>
      </c>
      <c r="K459" s="1" t="s">
        <v>54</v>
      </c>
      <c r="X459">
        <v>75</v>
      </c>
      <c r="Y459" s="1" t="s">
        <v>55</v>
      </c>
      <c r="Z459" s="1" t="s">
        <v>56</v>
      </c>
    </row>
    <row r="460" spans="6:26">
      <c r="F460" s="1" t="s">
        <v>42</v>
      </c>
      <c r="G460" s="1" t="s">
        <v>44</v>
      </c>
      <c r="I460" s="1" t="s">
        <v>42</v>
      </c>
      <c r="J460" s="1" t="s">
        <v>44</v>
      </c>
      <c r="K460" s="1" t="s">
        <v>43</v>
      </c>
      <c r="X460" s="1" t="s">
        <v>42</v>
      </c>
      <c r="Y460" s="1" t="s">
        <v>44</v>
      </c>
      <c r="Z460" s="1" t="s">
        <v>43</v>
      </c>
    </row>
    <row r="461" spans="6:26">
      <c r="F461">
        <v>76</v>
      </c>
      <c r="G461" s="1" t="s">
        <v>55</v>
      </c>
      <c r="I461">
        <v>76</v>
      </c>
      <c r="J461" s="1" t="s">
        <v>55</v>
      </c>
      <c r="K461" s="1" t="s">
        <v>54</v>
      </c>
      <c r="X461">
        <v>76</v>
      </c>
      <c r="Y461" s="1" t="s">
        <v>55</v>
      </c>
      <c r="Z461" s="1" t="s">
        <v>56</v>
      </c>
    </row>
    <row r="462" spans="6:26">
      <c r="F462" s="1" t="s">
        <v>42</v>
      </c>
      <c r="G462" s="1" t="s">
        <v>44</v>
      </c>
      <c r="I462" s="1" t="s">
        <v>42</v>
      </c>
      <c r="J462" s="1" t="s">
        <v>44</v>
      </c>
      <c r="K462" s="1" t="s">
        <v>43</v>
      </c>
      <c r="X462" s="1" t="s">
        <v>42</v>
      </c>
      <c r="Y462" s="1" t="s">
        <v>44</v>
      </c>
      <c r="Z462" s="1" t="s">
        <v>43</v>
      </c>
    </row>
    <row r="463" spans="6:26">
      <c r="F463">
        <v>77</v>
      </c>
      <c r="G463" s="1" t="s">
        <v>55</v>
      </c>
      <c r="I463">
        <v>77</v>
      </c>
      <c r="J463" s="1" t="s">
        <v>55</v>
      </c>
      <c r="K463" s="1" t="s">
        <v>54</v>
      </c>
      <c r="X463">
        <v>77</v>
      </c>
      <c r="Y463" s="1" t="s">
        <v>55</v>
      </c>
      <c r="Z463" s="1" t="s">
        <v>56</v>
      </c>
    </row>
    <row r="464" spans="6:26">
      <c r="F464" s="1" t="s">
        <v>42</v>
      </c>
      <c r="G464" s="1" t="s">
        <v>44</v>
      </c>
      <c r="I464" s="1" t="s">
        <v>42</v>
      </c>
      <c r="J464" s="1" t="s">
        <v>44</v>
      </c>
      <c r="K464" s="1" t="s">
        <v>43</v>
      </c>
      <c r="X464" s="1" t="s">
        <v>42</v>
      </c>
      <c r="Y464" s="1" t="s">
        <v>44</v>
      </c>
      <c r="Z464" s="1" t="s">
        <v>43</v>
      </c>
    </row>
    <row r="465" spans="6:26">
      <c r="F465">
        <v>78</v>
      </c>
      <c r="G465" s="1" t="s">
        <v>55</v>
      </c>
      <c r="I465">
        <v>78</v>
      </c>
      <c r="J465" s="1" t="s">
        <v>55</v>
      </c>
      <c r="K465" s="1" t="s">
        <v>54</v>
      </c>
      <c r="X465">
        <v>78</v>
      </c>
      <c r="Y465" s="1" t="s">
        <v>55</v>
      </c>
      <c r="Z465" s="1" t="s">
        <v>56</v>
      </c>
    </row>
    <row r="466" spans="6:26">
      <c r="F466" s="1" t="s">
        <v>42</v>
      </c>
      <c r="G466" s="1" t="s">
        <v>44</v>
      </c>
      <c r="I466" s="1" t="s">
        <v>42</v>
      </c>
      <c r="J466" s="1" t="s">
        <v>44</v>
      </c>
      <c r="K466" s="1" t="s">
        <v>43</v>
      </c>
      <c r="X466" s="1" t="s">
        <v>42</v>
      </c>
      <c r="Y466" s="1" t="s">
        <v>44</v>
      </c>
      <c r="Z466" s="1" t="s">
        <v>43</v>
      </c>
    </row>
    <row r="467" spans="6:26">
      <c r="F467">
        <v>79</v>
      </c>
      <c r="G467" s="1" t="s">
        <v>55</v>
      </c>
      <c r="I467">
        <v>79</v>
      </c>
      <c r="J467" s="1" t="s">
        <v>55</v>
      </c>
      <c r="K467" s="1" t="s">
        <v>54</v>
      </c>
      <c r="X467">
        <v>79</v>
      </c>
      <c r="Y467" s="1" t="s">
        <v>55</v>
      </c>
      <c r="Z467" s="1" t="s">
        <v>56</v>
      </c>
    </row>
    <row r="468" spans="6:26">
      <c r="F468" s="1" t="s">
        <v>42</v>
      </c>
      <c r="G468" s="1" t="s">
        <v>44</v>
      </c>
      <c r="I468" s="1" t="s">
        <v>42</v>
      </c>
      <c r="J468" s="1" t="s">
        <v>44</v>
      </c>
      <c r="K468" s="1" t="s">
        <v>43</v>
      </c>
      <c r="X468" s="1" t="s">
        <v>42</v>
      </c>
      <c r="Y468" s="1" t="s">
        <v>44</v>
      </c>
      <c r="Z468" s="1" t="s">
        <v>43</v>
      </c>
    </row>
    <row r="469" spans="6:26">
      <c r="F469">
        <v>80</v>
      </c>
      <c r="G469" s="1" t="s">
        <v>55</v>
      </c>
      <c r="I469">
        <v>80</v>
      </c>
      <c r="J469" s="1" t="s">
        <v>55</v>
      </c>
      <c r="K469" s="1" t="s">
        <v>54</v>
      </c>
      <c r="X469">
        <v>80</v>
      </c>
      <c r="Y469" s="1" t="s">
        <v>55</v>
      </c>
      <c r="Z469" s="1" t="s">
        <v>56</v>
      </c>
    </row>
    <row r="470" spans="6:26">
      <c r="F470" s="1" t="s">
        <v>42</v>
      </c>
      <c r="G470" s="1" t="s">
        <v>44</v>
      </c>
      <c r="I470" s="1" t="s">
        <v>42</v>
      </c>
      <c r="J470" s="1" t="s">
        <v>44</v>
      </c>
      <c r="K470" s="1" t="s">
        <v>43</v>
      </c>
      <c r="X470" s="1" t="s">
        <v>42</v>
      </c>
      <c r="Y470" s="1" t="s">
        <v>44</v>
      </c>
      <c r="Z470" s="1" t="s">
        <v>43</v>
      </c>
    </row>
    <row r="471" spans="6:26">
      <c r="F471">
        <v>81</v>
      </c>
      <c r="G471" s="1" t="s">
        <v>55</v>
      </c>
      <c r="I471">
        <v>81</v>
      </c>
      <c r="J471" s="1" t="s">
        <v>55</v>
      </c>
      <c r="K471" s="1" t="s">
        <v>54</v>
      </c>
      <c r="X471">
        <v>81</v>
      </c>
      <c r="Y471" s="1" t="s">
        <v>55</v>
      </c>
      <c r="Z471" s="1" t="s">
        <v>56</v>
      </c>
    </row>
    <row r="472" spans="6:26">
      <c r="F472" s="1" t="s">
        <v>42</v>
      </c>
      <c r="G472" s="1" t="s">
        <v>44</v>
      </c>
      <c r="I472" s="1" t="s">
        <v>42</v>
      </c>
      <c r="J472" s="1" t="s">
        <v>44</v>
      </c>
      <c r="K472" s="1" t="s">
        <v>43</v>
      </c>
      <c r="X472" s="1" t="s">
        <v>42</v>
      </c>
      <c r="Y472" s="1" t="s">
        <v>44</v>
      </c>
      <c r="Z472" s="1" t="s">
        <v>43</v>
      </c>
    </row>
    <row r="473" spans="6:26">
      <c r="F473">
        <v>82</v>
      </c>
      <c r="G473" s="1" t="s">
        <v>55</v>
      </c>
      <c r="I473">
        <v>82</v>
      </c>
      <c r="J473" s="1" t="s">
        <v>55</v>
      </c>
      <c r="K473" s="1" t="s">
        <v>54</v>
      </c>
      <c r="X473">
        <v>82</v>
      </c>
      <c r="Y473" s="1" t="s">
        <v>55</v>
      </c>
      <c r="Z473" s="1" t="s">
        <v>56</v>
      </c>
    </row>
    <row r="474" spans="6:26">
      <c r="F474" s="1" t="s">
        <v>42</v>
      </c>
      <c r="G474" s="1" t="s">
        <v>44</v>
      </c>
      <c r="I474" s="1" t="s">
        <v>42</v>
      </c>
      <c r="J474" s="1" t="s">
        <v>44</v>
      </c>
      <c r="K474" s="1" t="s">
        <v>43</v>
      </c>
      <c r="X474" s="1" t="s">
        <v>42</v>
      </c>
      <c r="Y474" s="1" t="s">
        <v>44</v>
      </c>
      <c r="Z474" s="1" t="s">
        <v>43</v>
      </c>
    </row>
    <row r="475" spans="6:26">
      <c r="F475">
        <v>83</v>
      </c>
      <c r="G475" s="1" t="s">
        <v>55</v>
      </c>
      <c r="I475">
        <v>83</v>
      </c>
      <c r="J475" s="1" t="s">
        <v>55</v>
      </c>
      <c r="K475" s="1" t="s">
        <v>54</v>
      </c>
      <c r="X475">
        <v>83</v>
      </c>
      <c r="Y475" s="1" t="s">
        <v>55</v>
      </c>
      <c r="Z475" s="1" t="s">
        <v>56</v>
      </c>
    </row>
    <row r="476" spans="6:26">
      <c r="F476" s="1" t="s">
        <v>42</v>
      </c>
      <c r="G476" s="1" t="s">
        <v>44</v>
      </c>
      <c r="I476" s="1" t="s">
        <v>42</v>
      </c>
      <c r="J476" s="1" t="s">
        <v>44</v>
      </c>
      <c r="K476" s="1" t="s">
        <v>43</v>
      </c>
      <c r="X476" s="1" t="s">
        <v>42</v>
      </c>
      <c r="Y476" s="1" t="s">
        <v>44</v>
      </c>
      <c r="Z476" s="1" t="s">
        <v>43</v>
      </c>
    </row>
    <row r="477" spans="6:26">
      <c r="F477">
        <v>84</v>
      </c>
      <c r="G477" s="1" t="s">
        <v>55</v>
      </c>
      <c r="I477">
        <v>84</v>
      </c>
      <c r="J477" s="1" t="s">
        <v>55</v>
      </c>
      <c r="K477" s="1" t="s">
        <v>54</v>
      </c>
      <c r="X477">
        <v>84</v>
      </c>
      <c r="Y477" s="1" t="s">
        <v>55</v>
      </c>
      <c r="Z477" s="1" t="s">
        <v>56</v>
      </c>
    </row>
    <row r="478" spans="6:26">
      <c r="F478" s="1" t="s">
        <v>42</v>
      </c>
      <c r="G478" s="1" t="s">
        <v>44</v>
      </c>
      <c r="I478" s="1" t="s">
        <v>42</v>
      </c>
      <c r="J478" s="1" t="s">
        <v>44</v>
      </c>
      <c r="K478" s="1" t="s">
        <v>43</v>
      </c>
      <c r="X478" s="1" t="s">
        <v>42</v>
      </c>
      <c r="Y478" s="1" t="s">
        <v>44</v>
      </c>
      <c r="Z478" s="1" t="s">
        <v>43</v>
      </c>
    </row>
    <row r="479" spans="6:26">
      <c r="F479">
        <v>85</v>
      </c>
      <c r="G479" s="1" t="s">
        <v>55</v>
      </c>
      <c r="I479">
        <v>85</v>
      </c>
      <c r="J479" s="1" t="s">
        <v>55</v>
      </c>
      <c r="K479" s="1" t="s">
        <v>54</v>
      </c>
      <c r="X479">
        <v>85</v>
      </c>
      <c r="Y479" s="1" t="s">
        <v>55</v>
      </c>
      <c r="Z479" s="1" t="s">
        <v>56</v>
      </c>
    </row>
    <row r="480" spans="6:26">
      <c r="F480" s="1" t="s">
        <v>42</v>
      </c>
      <c r="G480" s="1" t="s">
        <v>44</v>
      </c>
      <c r="I480" s="1" t="s">
        <v>42</v>
      </c>
      <c r="J480" s="1" t="s">
        <v>44</v>
      </c>
      <c r="K480" s="1" t="s">
        <v>43</v>
      </c>
      <c r="X480" s="1" t="s">
        <v>42</v>
      </c>
      <c r="Y480" s="1" t="s">
        <v>44</v>
      </c>
      <c r="Z480" s="1" t="s">
        <v>43</v>
      </c>
    </row>
    <row r="481" spans="6:26">
      <c r="F481">
        <v>86</v>
      </c>
      <c r="G481" s="1" t="s">
        <v>55</v>
      </c>
      <c r="I481">
        <v>86</v>
      </c>
      <c r="J481" s="1" t="s">
        <v>55</v>
      </c>
      <c r="K481" s="1" t="s">
        <v>54</v>
      </c>
      <c r="X481">
        <v>86</v>
      </c>
      <c r="Y481" s="1" t="s">
        <v>55</v>
      </c>
      <c r="Z481" s="1" t="s">
        <v>56</v>
      </c>
    </row>
    <row r="482" spans="6:26">
      <c r="F482" s="1" t="s">
        <v>42</v>
      </c>
      <c r="G482" s="1" t="s">
        <v>44</v>
      </c>
      <c r="I482" s="1" t="s">
        <v>42</v>
      </c>
      <c r="J482" s="1" t="s">
        <v>44</v>
      </c>
      <c r="K482" s="1" t="s">
        <v>43</v>
      </c>
      <c r="X482" s="1" t="s">
        <v>42</v>
      </c>
      <c r="Y482" s="1" t="s">
        <v>44</v>
      </c>
      <c r="Z482" s="1" t="s">
        <v>43</v>
      </c>
    </row>
    <row r="483" spans="6:26">
      <c r="F483">
        <v>87</v>
      </c>
      <c r="G483" s="1" t="s">
        <v>55</v>
      </c>
      <c r="I483">
        <v>87</v>
      </c>
      <c r="J483" s="1" t="s">
        <v>55</v>
      </c>
      <c r="K483" s="1" t="s">
        <v>54</v>
      </c>
      <c r="X483">
        <v>87</v>
      </c>
      <c r="Y483" s="1" t="s">
        <v>55</v>
      </c>
      <c r="Z483" s="1" t="s">
        <v>56</v>
      </c>
    </row>
    <row r="484" spans="6:26">
      <c r="F484" s="1" t="s">
        <v>42</v>
      </c>
      <c r="G484" s="1" t="s">
        <v>44</v>
      </c>
      <c r="I484" s="1" t="s">
        <v>42</v>
      </c>
      <c r="J484" s="1" t="s">
        <v>44</v>
      </c>
      <c r="K484" s="1" t="s">
        <v>43</v>
      </c>
      <c r="X484" s="1" t="s">
        <v>42</v>
      </c>
      <c r="Y484" s="1" t="s">
        <v>44</v>
      </c>
      <c r="Z484" s="1" t="s">
        <v>43</v>
      </c>
    </row>
    <row r="485" spans="6:26">
      <c r="F485">
        <v>88</v>
      </c>
      <c r="G485" s="1" t="s">
        <v>55</v>
      </c>
      <c r="I485">
        <v>88</v>
      </c>
      <c r="J485" s="1" t="s">
        <v>55</v>
      </c>
      <c r="K485" s="1" t="s">
        <v>54</v>
      </c>
      <c r="X485">
        <v>88</v>
      </c>
      <c r="Y485" s="1" t="s">
        <v>55</v>
      </c>
      <c r="Z485" s="1" t="s">
        <v>56</v>
      </c>
    </row>
    <row r="486" spans="6:26">
      <c r="F486" s="1" t="s">
        <v>42</v>
      </c>
      <c r="G486" s="1" t="s">
        <v>44</v>
      </c>
      <c r="I486" s="1" t="s">
        <v>42</v>
      </c>
      <c r="J486" s="1" t="s">
        <v>44</v>
      </c>
      <c r="K486" s="1" t="s">
        <v>43</v>
      </c>
      <c r="X486" s="1" t="s">
        <v>42</v>
      </c>
      <c r="Y486" s="1" t="s">
        <v>44</v>
      </c>
      <c r="Z486" s="1" t="s">
        <v>43</v>
      </c>
    </row>
    <row r="487" spans="6:26">
      <c r="F487">
        <v>89</v>
      </c>
      <c r="G487" s="1" t="s">
        <v>55</v>
      </c>
      <c r="I487">
        <v>89</v>
      </c>
      <c r="J487" s="1" t="s">
        <v>55</v>
      </c>
      <c r="K487" s="1" t="s">
        <v>54</v>
      </c>
      <c r="X487">
        <v>89</v>
      </c>
      <c r="Y487" s="1" t="s">
        <v>55</v>
      </c>
      <c r="Z487" s="1" t="s">
        <v>56</v>
      </c>
    </row>
    <row r="488" spans="6:26">
      <c r="F488" s="1" t="s">
        <v>42</v>
      </c>
      <c r="G488" s="1" t="s">
        <v>44</v>
      </c>
      <c r="I488" s="1" t="s">
        <v>42</v>
      </c>
      <c r="J488" s="1" t="s">
        <v>44</v>
      </c>
      <c r="K488" s="1" t="s">
        <v>43</v>
      </c>
      <c r="X488" s="1" t="s">
        <v>42</v>
      </c>
      <c r="Y488" s="1" t="s">
        <v>44</v>
      </c>
      <c r="Z488" s="1" t="s">
        <v>43</v>
      </c>
    </row>
    <row r="489" spans="6:26">
      <c r="F489">
        <v>90</v>
      </c>
      <c r="G489" s="1" t="s">
        <v>55</v>
      </c>
      <c r="I489">
        <v>90</v>
      </c>
      <c r="J489" s="1" t="s">
        <v>55</v>
      </c>
      <c r="K489" s="1" t="s">
        <v>54</v>
      </c>
      <c r="X489">
        <v>90</v>
      </c>
      <c r="Y489" s="1" t="s">
        <v>55</v>
      </c>
      <c r="Z489" s="1" t="s">
        <v>56</v>
      </c>
    </row>
    <row r="490" spans="6:26">
      <c r="F490" s="1" t="s">
        <v>42</v>
      </c>
      <c r="G490" s="1" t="s">
        <v>44</v>
      </c>
      <c r="I490" s="1" t="s">
        <v>42</v>
      </c>
      <c r="J490" s="1" t="s">
        <v>44</v>
      </c>
      <c r="K490" s="1" t="s">
        <v>43</v>
      </c>
      <c r="X490" s="1" t="s">
        <v>42</v>
      </c>
      <c r="Y490" s="1" t="s">
        <v>44</v>
      </c>
      <c r="Z490" s="1" t="s">
        <v>43</v>
      </c>
    </row>
    <row r="491" spans="6:26">
      <c r="F491">
        <v>91</v>
      </c>
      <c r="G491" s="1" t="s">
        <v>55</v>
      </c>
      <c r="I491">
        <v>91</v>
      </c>
      <c r="J491" s="1" t="s">
        <v>55</v>
      </c>
      <c r="K491" s="1" t="s">
        <v>54</v>
      </c>
      <c r="X491">
        <v>91</v>
      </c>
      <c r="Y491" s="1" t="s">
        <v>55</v>
      </c>
      <c r="Z491" s="1" t="s">
        <v>56</v>
      </c>
    </row>
    <row r="492" spans="6:26">
      <c r="F492" s="1" t="s">
        <v>42</v>
      </c>
      <c r="G492" s="1" t="s">
        <v>44</v>
      </c>
      <c r="I492" s="1" t="s">
        <v>42</v>
      </c>
      <c r="J492" s="1" t="s">
        <v>44</v>
      </c>
      <c r="K492" s="1" t="s">
        <v>43</v>
      </c>
      <c r="X492" s="1" t="s">
        <v>42</v>
      </c>
      <c r="Y492" s="1" t="s">
        <v>44</v>
      </c>
      <c r="Z492" s="1" t="s">
        <v>43</v>
      </c>
    </row>
    <row r="493" spans="6:26">
      <c r="F493">
        <v>92</v>
      </c>
      <c r="G493" s="1" t="s">
        <v>55</v>
      </c>
      <c r="I493">
        <v>92</v>
      </c>
      <c r="J493" s="1" t="s">
        <v>55</v>
      </c>
      <c r="K493" s="1" t="s">
        <v>54</v>
      </c>
      <c r="X493">
        <v>92</v>
      </c>
      <c r="Y493" s="1" t="s">
        <v>55</v>
      </c>
      <c r="Z493" s="1" t="s">
        <v>56</v>
      </c>
    </row>
    <row r="494" spans="6:26">
      <c r="F494" s="1" t="s">
        <v>42</v>
      </c>
      <c r="G494" s="1" t="s">
        <v>44</v>
      </c>
      <c r="I494" s="1" t="s">
        <v>42</v>
      </c>
      <c r="J494" s="1" t="s">
        <v>44</v>
      </c>
      <c r="K494" s="1" t="s">
        <v>43</v>
      </c>
      <c r="X494" s="1" t="s">
        <v>42</v>
      </c>
      <c r="Y494" s="1" t="s">
        <v>44</v>
      </c>
      <c r="Z494" s="1" t="s">
        <v>43</v>
      </c>
    </row>
    <row r="495" spans="6:26">
      <c r="F495">
        <v>93</v>
      </c>
      <c r="G495" s="1" t="s">
        <v>55</v>
      </c>
      <c r="I495">
        <v>93</v>
      </c>
      <c r="J495" s="1" t="s">
        <v>55</v>
      </c>
      <c r="K495" s="1" t="s">
        <v>54</v>
      </c>
      <c r="X495">
        <v>93</v>
      </c>
      <c r="Y495" s="1" t="s">
        <v>55</v>
      </c>
      <c r="Z495" s="1" t="s">
        <v>56</v>
      </c>
    </row>
    <row r="496" spans="6:26">
      <c r="F496" s="1" t="s">
        <v>42</v>
      </c>
      <c r="G496" s="1" t="s">
        <v>44</v>
      </c>
      <c r="I496" s="1" t="s">
        <v>42</v>
      </c>
      <c r="J496" s="1" t="s">
        <v>44</v>
      </c>
      <c r="K496" s="1" t="s">
        <v>43</v>
      </c>
      <c r="X496" s="1" t="s">
        <v>42</v>
      </c>
      <c r="Y496" s="1" t="s">
        <v>44</v>
      </c>
      <c r="Z496" s="1" t="s">
        <v>43</v>
      </c>
    </row>
    <row r="497" spans="6:26">
      <c r="F497">
        <v>94</v>
      </c>
      <c r="G497" s="1" t="s">
        <v>55</v>
      </c>
      <c r="I497">
        <v>94</v>
      </c>
      <c r="J497" s="1" t="s">
        <v>55</v>
      </c>
      <c r="K497" s="1" t="s">
        <v>54</v>
      </c>
      <c r="X497">
        <v>94</v>
      </c>
      <c r="Y497" s="1" t="s">
        <v>55</v>
      </c>
      <c r="Z497" s="1" t="s">
        <v>56</v>
      </c>
    </row>
    <row r="498" spans="6:26">
      <c r="F498" s="1" t="s">
        <v>42</v>
      </c>
      <c r="G498" s="1" t="s">
        <v>44</v>
      </c>
      <c r="I498" s="1" t="s">
        <v>42</v>
      </c>
      <c r="J498" s="1" t="s">
        <v>44</v>
      </c>
      <c r="K498" s="1" t="s">
        <v>43</v>
      </c>
      <c r="X498" s="1" t="s">
        <v>42</v>
      </c>
      <c r="Y498" s="1" t="s">
        <v>44</v>
      </c>
      <c r="Z498" s="1" t="s">
        <v>43</v>
      </c>
    </row>
    <row r="499" spans="6:26">
      <c r="F499">
        <v>95</v>
      </c>
      <c r="G499" s="1" t="s">
        <v>55</v>
      </c>
      <c r="I499">
        <v>95</v>
      </c>
      <c r="J499" s="1" t="s">
        <v>55</v>
      </c>
      <c r="K499" s="1" t="s">
        <v>54</v>
      </c>
      <c r="X499">
        <v>95</v>
      </c>
      <c r="Y499" s="1" t="s">
        <v>55</v>
      </c>
      <c r="Z499" s="1" t="s">
        <v>56</v>
      </c>
    </row>
    <row r="500" spans="6:26">
      <c r="F500" s="1" t="s">
        <v>42</v>
      </c>
      <c r="G500" s="1" t="s">
        <v>44</v>
      </c>
      <c r="I500" s="1" t="s">
        <v>42</v>
      </c>
      <c r="J500" s="1" t="s">
        <v>44</v>
      </c>
      <c r="K500" s="1" t="s">
        <v>43</v>
      </c>
      <c r="X500" s="1" t="s">
        <v>42</v>
      </c>
      <c r="Y500" s="1" t="s">
        <v>44</v>
      </c>
      <c r="Z500" s="1" t="s">
        <v>43</v>
      </c>
    </row>
    <row r="501" spans="6:26">
      <c r="F501">
        <v>96</v>
      </c>
      <c r="G501" s="1" t="s">
        <v>55</v>
      </c>
      <c r="I501">
        <v>96</v>
      </c>
      <c r="J501" s="1" t="s">
        <v>55</v>
      </c>
      <c r="K501" s="1" t="s">
        <v>54</v>
      </c>
      <c r="X501">
        <v>96</v>
      </c>
      <c r="Y501" s="1" t="s">
        <v>55</v>
      </c>
      <c r="Z501" s="1" t="s">
        <v>56</v>
      </c>
    </row>
    <row r="502" spans="6:26">
      <c r="F502" s="1" t="s">
        <v>42</v>
      </c>
      <c r="G502" s="1" t="s">
        <v>44</v>
      </c>
      <c r="I502" s="1" t="s">
        <v>42</v>
      </c>
      <c r="J502" s="1" t="s">
        <v>44</v>
      </c>
      <c r="K502" s="1" t="s">
        <v>43</v>
      </c>
      <c r="X502" s="1" t="s">
        <v>42</v>
      </c>
      <c r="Y502" s="1" t="s">
        <v>44</v>
      </c>
      <c r="Z502" s="1" t="s">
        <v>43</v>
      </c>
    </row>
    <row r="503" spans="6:26">
      <c r="F503">
        <v>97</v>
      </c>
      <c r="G503" s="1" t="s">
        <v>55</v>
      </c>
      <c r="I503">
        <v>97</v>
      </c>
      <c r="J503" s="1" t="s">
        <v>55</v>
      </c>
      <c r="K503" s="1" t="s">
        <v>54</v>
      </c>
      <c r="X503">
        <v>97</v>
      </c>
      <c r="Y503" s="1" t="s">
        <v>55</v>
      </c>
      <c r="Z503" s="1" t="s">
        <v>56</v>
      </c>
    </row>
    <row r="504" spans="6:26">
      <c r="F504" s="1" t="s">
        <v>42</v>
      </c>
      <c r="G504" s="1" t="s">
        <v>44</v>
      </c>
      <c r="I504" s="1" t="s">
        <v>42</v>
      </c>
      <c r="J504" s="1" t="s">
        <v>44</v>
      </c>
      <c r="K504" s="1" t="s">
        <v>43</v>
      </c>
      <c r="X504" s="1" t="s">
        <v>42</v>
      </c>
      <c r="Y504" s="1" t="s">
        <v>44</v>
      </c>
      <c r="Z504" s="1" t="s">
        <v>43</v>
      </c>
    </row>
    <row r="505" spans="6:26">
      <c r="F505">
        <v>98</v>
      </c>
      <c r="G505" s="1" t="s">
        <v>55</v>
      </c>
      <c r="I505">
        <v>98</v>
      </c>
      <c r="J505" s="1" t="s">
        <v>55</v>
      </c>
      <c r="K505" s="1" t="s">
        <v>54</v>
      </c>
      <c r="X505">
        <v>98</v>
      </c>
      <c r="Y505" s="1" t="s">
        <v>55</v>
      </c>
      <c r="Z505" s="1" t="s">
        <v>56</v>
      </c>
    </row>
    <row r="506" spans="6:26">
      <c r="F506" s="1" t="s">
        <v>42</v>
      </c>
      <c r="G506" s="1" t="s">
        <v>44</v>
      </c>
      <c r="I506" s="1" t="s">
        <v>42</v>
      </c>
      <c r="J506" s="1" t="s">
        <v>44</v>
      </c>
      <c r="K506" s="1" t="s">
        <v>43</v>
      </c>
      <c r="X506" s="1" t="s">
        <v>42</v>
      </c>
      <c r="Y506" s="1" t="s">
        <v>44</v>
      </c>
      <c r="Z506" s="1" t="s">
        <v>43</v>
      </c>
    </row>
    <row r="507" spans="6:26">
      <c r="F507">
        <v>99</v>
      </c>
      <c r="G507" s="1" t="s">
        <v>55</v>
      </c>
      <c r="I507">
        <v>99</v>
      </c>
      <c r="J507" s="1" t="s">
        <v>55</v>
      </c>
      <c r="K507" s="1" t="s">
        <v>54</v>
      </c>
      <c r="X507">
        <v>99</v>
      </c>
      <c r="Y507" s="1" t="s">
        <v>55</v>
      </c>
      <c r="Z507" s="1" t="s">
        <v>56</v>
      </c>
    </row>
    <row r="508" spans="6:26">
      <c r="F508" s="1" t="s">
        <v>42</v>
      </c>
      <c r="G508" s="1" t="s">
        <v>44</v>
      </c>
      <c r="I508" s="1" t="s">
        <v>42</v>
      </c>
      <c r="J508" s="1" t="s">
        <v>44</v>
      </c>
      <c r="K508" s="1" t="s">
        <v>43</v>
      </c>
      <c r="X508" s="1" t="s">
        <v>42</v>
      </c>
      <c r="Y508" s="1" t="s">
        <v>44</v>
      </c>
      <c r="Z508" s="1" t="s">
        <v>43</v>
      </c>
    </row>
    <row r="509" spans="6:26">
      <c r="F509">
        <v>100</v>
      </c>
      <c r="G509" s="1" t="s">
        <v>55</v>
      </c>
      <c r="I509">
        <v>100</v>
      </c>
      <c r="J509" s="1" t="s">
        <v>55</v>
      </c>
      <c r="K509" s="1" t="s">
        <v>54</v>
      </c>
      <c r="X509">
        <v>100</v>
      </c>
      <c r="Y509" s="1" t="s">
        <v>55</v>
      </c>
      <c r="Z509" s="1" t="s">
        <v>56</v>
      </c>
    </row>
    <row r="510" spans="6:26">
      <c r="F510" s="1"/>
      <c r="G510" s="1"/>
      <c r="H510" s="1"/>
    </row>
    <row r="511" spans="6:26">
      <c r="G511" s="1"/>
      <c r="H511" s="1"/>
    </row>
    <row r="512" spans="6:26">
      <c r="F512" s="1"/>
      <c r="G512" s="1"/>
      <c r="H512" s="1"/>
      <c r="L512" s="1"/>
    </row>
    <row r="513" spans="6:12">
      <c r="G513" s="1"/>
      <c r="H513" s="1"/>
      <c r="L513" s="1"/>
    </row>
    <row r="514" spans="6:12">
      <c r="F514" s="1"/>
      <c r="G514" s="1"/>
      <c r="H514" s="1"/>
      <c r="L514" s="1"/>
    </row>
    <row r="515" spans="6:12">
      <c r="G515" s="1"/>
      <c r="H515" s="1"/>
      <c r="L515" s="1"/>
    </row>
    <row r="516" spans="6:12">
      <c r="F516" s="1"/>
      <c r="G516" s="1"/>
      <c r="H516" s="1"/>
      <c r="L516" s="1"/>
    </row>
    <row r="517" spans="6:12">
      <c r="G517" s="1"/>
      <c r="H517" s="1"/>
      <c r="L517" s="1"/>
    </row>
    <row r="518" spans="6:12">
      <c r="F518" s="1"/>
      <c r="G518" s="1"/>
      <c r="H518" s="1"/>
      <c r="L518" s="1"/>
    </row>
    <row r="519" spans="6:12">
      <c r="G519" s="1"/>
      <c r="H519" s="1"/>
      <c r="L519" s="1"/>
    </row>
    <row r="520" spans="6:12">
      <c r="F520" s="1"/>
      <c r="G520" s="1"/>
      <c r="H520" s="1"/>
      <c r="L520" s="1"/>
    </row>
    <row r="521" spans="6:12">
      <c r="G521" s="1"/>
      <c r="H521" s="1"/>
      <c r="L521" s="1"/>
    </row>
    <row r="522" spans="6:12">
      <c r="F522" s="1"/>
      <c r="G522" s="1"/>
      <c r="H522" s="1"/>
      <c r="L522" s="1"/>
    </row>
    <row r="523" spans="6:12">
      <c r="G523" s="1"/>
      <c r="H523" s="1"/>
      <c r="L523" s="1"/>
    </row>
    <row r="524" spans="6:12">
      <c r="F524" s="1"/>
      <c r="G524" s="1"/>
      <c r="H524" s="1"/>
      <c r="L524" s="1"/>
    </row>
    <row r="525" spans="6:12">
      <c r="G525" s="1"/>
      <c r="H525" s="1"/>
      <c r="L525" s="1"/>
    </row>
    <row r="526" spans="6:12">
      <c r="F526" s="1"/>
      <c r="G526" s="1"/>
      <c r="H526" s="1"/>
      <c r="L526" s="1"/>
    </row>
    <row r="527" spans="6:12">
      <c r="G527" s="1"/>
      <c r="H527" s="1"/>
      <c r="L527" s="1"/>
    </row>
    <row r="528" spans="6:12">
      <c r="F528" s="1"/>
      <c r="G528" s="1"/>
      <c r="H528" s="1"/>
      <c r="L528" s="1"/>
    </row>
    <row r="529" spans="6:12">
      <c r="G529" s="1"/>
      <c r="H529" s="1"/>
      <c r="L529" s="1"/>
    </row>
    <row r="530" spans="6:12">
      <c r="F530" s="1"/>
      <c r="G530" s="1"/>
      <c r="H530" s="1"/>
      <c r="L530" s="1"/>
    </row>
    <row r="531" spans="6:12">
      <c r="G531" s="1"/>
      <c r="H531" s="1"/>
      <c r="L531" s="1"/>
    </row>
    <row r="532" spans="6:12">
      <c r="F532" s="1"/>
      <c r="G532" s="1"/>
      <c r="H532" s="1"/>
      <c r="L532" s="1"/>
    </row>
    <row r="533" spans="6:12">
      <c r="G533" s="1"/>
      <c r="H533" s="1"/>
      <c r="L533" s="1"/>
    </row>
    <row r="534" spans="6:12">
      <c r="F534" s="1"/>
      <c r="G534" s="1"/>
      <c r="H534" s="1"/>
      <c r="L534" s="1"/>
    </row>
    <row r="535" spans="6:12">
      <c r="G535" s="1"/>
      <c r="H535" s="1"/>
      <c r="L535" s="1"/>
    </row>
    <row r="536" spans="6:12">
      <c r="F536" s="1"/>
      <c r="G536" s="1"/>
      <c r="H536" s="1"/>
      <c r="L536" s="1"/>
    </row>
    <row r="537" spans="6:12">
      <c r="G537" s="1"/>
      <c r="H537" s="1"/>
      <c r="L537" s="1"/>
    </row>
    <row r="538" spans="6:12">
      <c r="F538" s="1"/>
      <c r="G538" s="1"/>
      <c r="H538" s="1"/>
      <c r="L538" s="1"/>
    </row>
    <row r="539" spans="6:12">
      <c r="G539" s="1"/>
      <c r="H539" s="1"/>
      <c r="L539" s="1"/>
    </row>
    <row r="540" spans="6:12">
      <c r="F540" s="1"/>
      <c r="G540" s="1"/>
      <c r="H540" s="1"/>
      <c r="L540" s="1"/>
    </row>
    <row r="541" spans="6:12">
      <c r="G541" s="1"/>
      <c r="H541" s="1"/>
      <c r="L541" s="1"/>
    </row>
    <row r="542" spans="6:12">
      <c r="F542" s="1"/>
      <c r="G542" s="1"/>
      <c r="H542" s="1"/>
      <c r="L542" s="1"/>
    </row>
    <row r="543" spans="6:12">
      <c r="G543" s="1"/>
      <c r="H543" s="1"/>
      <c r="L543" s="1"/>
    </row>
    <row r="544" spans="6:12">
      <c r="F544" s="1"/>
      <c r="G544" s="1"/>
      <c r="H544" s="1"/>
      <c r="L544" s="1"/>
    </row>
    <row r="545" spans="6:12">
      <c r="G545" s="1"/>
      <c r="H545" s="1"/>
      <c r="L545" s="1"/>
    </row>
    <row r="546" spans="6:12">
      <c r="F546" s="1"/>
      <c r="G546" s="1"/>
      <c r="H546" s="1"/>
      <c r="L546" s="1"/>
    </row>
    <row r="547" spans="6:12">
      <c r="G547" s="1"/>
      <c r="H547" s="1"/>
      <c r="L547" s="1"/>
    </row>
    <row r="548" spans="6:12">
      <c r="F548" s="1"/>
      <c r="G548" s="1"/>
      <c r="H548" s="1"/>
      <c r="L548" s="1"/>
    </row>
    <row r="549" spans="6:12">
      <c r="G549" s="1"/>
      <c r="H549" s="1"/>
      <c r="L549" s="1"/>
    </row>
    <row r="550" spans="6:12">
      <c r="F550" s="1"/>
      <c r="G550" s="1"/>
      <c r="H550" s="1"/>
      <c r="L550" s="1"/>
    </row>
    <row r="551" spans="6:12">
      <c r="G551" s="1"/>
      <c r="H551" s="1"/>
      <c r="L551" s="1"/>
    </row>
    <row r="552" spans="6:12">
      <c r="F552" s="1"/>
      <c r="G552" s="1"/>
      <c r="H552" s="1"/>
      <c r="L552" s="1"/>
    </row>
    <row r="553" spans="6:12">
      <c r="G553" s="1"/>
      <c r="H553" s="1"/>
      <c r="L553" s="1"/>
    </row>
    <row r="554" spans="6:12">
      <c r="F554" s="1"/>
      <c r="G554" s="1"/>
      <c r="H554" s="1"/>
      <c r="L554" s="1"/>
    </row>
    <row r="555" spans="6:12">
      <c r="G555" s="1"/>
      <c r="H555" s="1"/>
      <c r="L555" s="1"/>
    </row>
    <row r="556" spans="6:12">
      <c r="F556" s="1"/>
      <c r="G556" s="1"/>
      <c r="H556" s="1"/>
      <c r="L556" s="1"/>
    </row>
    <row r="557" spans="6:12">
      <c r="G557" s="1"/>
      <c r="H557" s="1"/>
      <c r="L557" s="1"/>
    </row>
    <row r="558" spans="6:12">
      <c r="F558" s="1"/>
      <c r="G558" s="1"/>
      <c r="H558" s="1"/>
      <c r="L558" s="1"/>
    </row>
    <row r="559" spans="6:12">
      <c r="G559" s="1"/>
      <c r="H559" s="1"/>
      <c r="L559" s="1"/>
    </row>
    <row r="560" spans="6:12">
      <c r="F560" s="1"/>
      <c r="G560" s="1"/>
      <c r="H560" s="1"/>
      <c r="L560" s="1"/>
    </row>
    <row r="561" spans="6:12">
      <c r="G561" s="1"/>
      <c r="H561" s="1"/>
      <c r="L561" s="1"/>
    </row>
    <row r="562" spans="6:12">
      <c r="F562" s="1"/>
      <c r="G562" s="1"/>
      <c r="H562" s="1"/>
      <c r="L562" s="1"/>
    </row>
    <row r="563" spans="6:12">
      <c r="G563" s="1"/>
      <c r="H563" s="1"/>
      <c r="L563" s="1"/>
    </row>
    <row r="564" spans="6:12">
      <c r="F564" s="1"/>
      <c r="G564" s="1"/>
      <c r="H564" s="1"/>
      <c r="L564" s="1"/>
    </row>
    <row r="565" spans="6:12">
      <c r="G565" s="1"/>
      <c r="H565" s="1"/>
      <c r="L565" s="1"/>
    </row>
    <row r="566" spans="6:12">
      <c r="F566" s="1"/>
      <c r="G566" s="1"/>
      <c r="H566" s="1"/>
      <c r="L566" s="1"/>
    </row>
    <row r="567" spans="6:12">
      <c r="G567" s="1"/>
      <c r="H567" s="1"/>
      <c r="L567" s="1"/>
    </row>
    <row r="568" spans="6:12">
      <c r="F568" s="1"/>
      <c r="G568" s="1"/>
      <c r="H568" s="1"/>
      <c r="L568" s="1"/>
    </row>
    <row r="569" spans="6:12">
      <c r="G569" s="1"/>
      <c r="H569" s="1"/>
      <c r="L569" s="1"/>
    </row>
    <row r="570" spans="6:12">
      <c r="F570" s="1"/>
      <c r="G570" s="1"/>
      <c r="H570" s="1"/>
      <c r="L570" s="1"/>
    </row>
    <row r="571" spans="6:12">
      <c r="G571" s="1"/>
      <c r="H571" s="1"/>
      <c r="L571" s="1"/>
    </row>
    <row r="572" spans="6:12">
      <c r="F572" s="1"/>
      <c r="G572" s="1"/>
      <c r="H572" s="1"/>
      <c r="L572" s="1"/>
    </row>
    <row r="573" spans="6:12">
      <c r="G573" s="1"/>
      <c r="H573" s="1"/>
      <c r="L573" s="1"/>
    </row>
    <row r="574" spans="6:12">
      <c r="F574" s="1"/>
      <c r="G574" s="1"/>
      <c r="H574" s="1"/>
      <c r="L574" s="1"/>
    </row>
    <row r="575" spans="6:12">
      <c r="G575" s="1"/>
      <c r="H575" s="1"/>
      <c r="L575" s="1"/>
    </row>
    <row r="576" spans="6:12">
      <c r="F576" s="1"/>
      <c r="G576" s="1"/>
      <c r="H576" s="1"/>
      <c r="L576" s="1"/>
    </row>
    <row r="577" spans="6:12">
      <c r="G577" s="1"/>
      <c r="H577" s="1"/>
      <c r="L577" s="1"/>
    </row>
    <row r="578" spans="6:12">
      <c r="F578" s="1"/>
      <c r="G578" s="1"/>
      <c r="H578" s="1"/>
      <c r="L578" s="1"/>
    </row>
    <row r="579" spans="6:12">
      <c r="G579" s="1"/>
      <c r="H579" s="1"/>
      <c r="L579" s="1"/>
    </row>
    <row r="580" spans="6:12">
      <c r="F580" s="1"/>
      <c r="G580" s="1"/>
      <c r="H580" s="1"/>
      <c r="L580" s="1"/>
    </row>
    <row r="581" spans="6:12">
      <c r="G581" s="1"/>
      <c r="H581" s="1"/>
      <c r="L581" s="1"/>
    </row>
    <row r="582" spans="6:12">
      <c r="F582" s="1"/>
      <c r="G582" s="1"/>
      <c r="H582" s="1"/>
      <c r="L582" s="1"/>
    </row>
    <row r="583" spans="6:12">
      <c r="G583" s="1"/>
      <c r="H583" s="1"/>
      <c r="L583" s="1"/>
    </row>
    <row r="584" spans="6:12">
      <c r="F584" s="1"/>
      <c r="G584" s="1"/>
      <c r="H584" s="1"/>
      <c r="L584" s="1"/>
    </row>
    <row r="585" spans="6:12">
      <c r="G585" s="1"/>
      <c r="H585" s="1"/>
      <c r="L585" s="1"/>
    </row>
    <row r="586" spans="6:12">
      <c r="F586" s="1"/>
      <c r="G586" s="1"/>
      <c r="H586" s="1"/>
      <c r="L586" s="1"/>
    </row>
    <row r="587" spans="6:12">
      <c r="G587" s="1"/>
      <c r="H587" s="1"/>
      <c r="L587" s="1"/>
    </row>
    <row r="588" spans="6:12">
      <c r="F588" s="1"/>
      <c r="G588" s="1"/>
      <c r="H588" s="1"/>
      <c r="L588" s="1"/>
    </row>
    <row r="589" spans="6:12">
      <c r="G589" s="1"/>
      <c r="H589" s="1"/>
      <c r="L589" s="1"/>
    </row>
    <row r="590" spans="6:12">
      <c r="F590" s="1"/>
      <c r="G590" s="1"/>
      <c r="H590" s="1"/>
      <c r="L590" s="1"/>
    </row>
    <row r="591" spans="6:12">
      <c r="G591" s="1"/>
      <c r="H591" s="1"/>
      <c r="L591" s="1"/>
    </row>
    <row r="592" spans="6:12">
      <c r="F592" s="1"/>
      <c r="G592" s="1"/>
      <c r="H592" s="1"/>
      <c r="L592" s="1"/>
    </row>
    <row r="593" spans="6:12">
      <c r="G593" s="1"/>
      <c r="H593" s="1"/>
      <c r="L593" s="1"/>
    </row>
    <row r="594" spans="6:12">
      <c r="F594" s="1"/>
      <c r="G594" s="1"/>
      <c r="H594" s="1"/>
      <c r="L594" s="1"/>
    </row>
    <row r="595" spans="6:12">
      <c r="G595" s="1"/>
      <c r="H595" s="1"/>
      <c r="L595" s="1"/>
    </row>
    <row r="596" spans="6:12">
      <c r="F596" s="1"/>
      <c r="G596" s="1"/>
      <c r="H596" s="1"/>
      <c r="L596" s="1"/>
    </row>
    <row r="597" spans="6:12">
      <c r="G597" s="1"/>
      <c r="H597" s="1"/>
      <c r="L597" s="1"/>
    </row>
    <row r="598" spans="6:12">
      <c r="F598" s="1"/>
      <c r="G598" s="1"/>
      <c r="H598" s="1"/>
      <c r="L598" s="1"/>
    </row>
    <row r="599" spans="6:12">
      <c r="G599" s="1"/>
      <c r="H599" s="1"/>
      <c r="L599" s="1"/>
    </row>
    <row r="600" spans="6:12">
      <c r="F600" s="1"/>
      <c r="G600" s="1"/>
      <c r="H600" s="1"/>
      <c r="L600" s="1"/>
    </row>
    <row r="601" spans="6:12">
      <c r="G601" s="1"/>
      <c r="H601" s="1"/>
      <c r="L601" s="1"/>
    </row>
    <row r="602" spans="6:12">
      <c r="F602" s="1"/>
      <c r="G602" s="1"/>
      <c r="H602" s="1"/>
      <c r="L602" s="1"/>
    </row>
    <row r="603" spans="6:12">
      <c r="G603" s="1"/>
      <c r="H603" s="1"/>
      <c r="L603" s="1"/>
    </row>
    <row r="604" spans="6:12">
      <c r="F604" s="1"/>
      <c r="G604" s="1"/>
      <c r="H604" s="1"/>
      <c r="L604" s="1"/>
    </row>
    <row r="605" spans="6:12">
      <c r="G605" s="1"/>
      <c r="H605" s="1"/>
      <c r="L605" s="1"/>
    </row>
    <row r="606" spans="6:12">
      <c r="F606" s="1"/>
      <c r="G606" s="1"/>
      <c r="H606" s="1"/>
      <c r="L606" s="1"/>
    </row>
    <row r="607" spans="6:12">
      <c r="G607" s="1"/>
      <c r="H607" s="1"/>
      <c r="L607" s="1"/>
    </row>
    <row r="608" spans="6:12">
      <c r="F608" s="1"/>
      <c r="G608" s="1"/>
      <c r="H608" s="1"/>
      <c r="L608" s="1"/>
    </row>
    <row r="609" spans="6:12">
      <c r="G609" s="1"/>
      <c r="H609" s="1"/>
      <c r="L609" s="1"/>
    </row>
    <row r="610" spans="6:12">
      <c r="F610" s="1"/>
      <c r="G610" s="1"/>
      <c r="H610" s="1"/>
      <c r="L610" s="1"/>
    </row>
    <row r="611" spans="6:12">
      <c r="G611" s="1"/>
      <c r="H611" s="1"/>
      <c r="L611" s="1"/>
    </row>
    <row r="612" spans="6:12">
      <c r="F612" s="1"/>
      <c r="G612" s="1"/>
      <c r="H612" s="1"/>
      <c r="L612" s="1"/>
    </row>
    <row r="613" spans="6:12">
      <c r="G613" s="1"/>
      <c r="H613" s="1"/>
      <c r="L613" s="1"/>
    </row>
    <row r="614" spans="6:12">
      <c r="F614" s="1"/>
      <c r="G614" s="1"/>
      <c r="H614" s="1"/>
      <c r="L614" s="1"/>
    </row>
    <row r="615" spans="6:12">
      <c r="G615" s="1"/>
      <c r="H615" s="1"/>
      <c r="L615" s="1"/>
    </row>
    <row r="616" spans="6:12">
      <c r="F616" s="1"/>
      <c r="G616" s="1"/>
      <c r="H616" s="1"/>
      <c r="L616" s="1"/>
    </row>
    <row r="617" spans="6:12">
      <c r="G617" s="1"/>
      <c r="H617" s="1"/>
      <c r="L617" s="1"/>
    </row>
    <row r="618" spans="6:12">
      <c r="F618" s="1"/>
      <c r="G618" s="1"/>
      <c r="H618" s="1"/>
      <c r="L618" s="1"/>
    </row>
    <row r="619" spans="6:12">
      <c r="G619" s="1"/>
      <c r="H619" s="1"/>
      <c r="L619" s="1"/>
    </row>
    <row r="620" spans="6:12">
      <c r="F620" s="1"/>
      <c r="G620" s="1"/>
      <c r="H620" s="1"/>
      <c r="L620" s="1"/>
    </row>
    <row r="621" spans="6:12">
      <c r="G621" s="1"/>
      <c r="H621" s="1"/>
      <c r="L621" s="1"/>
    </row>
    <row r="622" spans="6:12">
      <c r="F622" s="1"/>
      <c r="G622" s="1"/>
      <c r="H622" s="1"/>
      <c r="L622" s="1"/>
    </row>
    <row r="623" spans="6:12">
      <c r="G623" s="1"/>
      <c r="H623" s="1"/>
      <c r="L623" s="1"/>
    </row>
    <row r="624" spans="6:12">
      <c r="F624" s="1"/>
      <c r="G624" s="1"/>
      <c r="H624" s="1"/>
      <c r="L624" s="1"/>
    </row>
    <row r="625" spans="6:12">
      <c r="G625" s="1"/>
      <c r="H625" s="1"/>
      <c r="L625" s="1"/>
    </row>
    <row r="626" spans="6:12">
      <c r="F626" s="1"/>
      <c r="G626" s="1"/>
      <c r="H626" s="1"/>
      <c r="L626" s="1"/>
    </row>
    <row r="627" spans="6:12">
      <c r="G627" s="1"/>
      <c r="H627" s="1"/>
      <c r="L627" s="1"/>
    </row>
    <row r="628" spans="6:12">
      <c r="F628" s="1"/>
      <c r="G628" s="1"/>
      <c r="H628" s="1"/>
      <c r="L628" s="1"/>
    </row>
    <row r="629" spans="6:12">
      <c r="G629" s="1"/>
      <c r="H629" s="1"/>
      <c r="L629" s="1"/>
    </row>
    <row r="630" spans="6:12">
      <c r="F630" s="1"/>
      <c r="G630" s="1"/>
      <c r="H630" s="1"/>
      <c r="L630" s="1"/>
    </row>
    <row r="631" spans="6:12">
      <c r="G631" s="1"/>
      <c r="H631" s="1"/>
      <c r="L631" s="1"/>
    </row>
    <row r="632" spans="6:12">
      <c r="F632" s="1"/>
      <c r="G632" s="1"/>
      <c r="H632" s="1"/>
    </row>
    <row r="633" spans="6:12">
      <c r="G633" s="1"/>
      <c r="H633" s="1"/>
    </row>
    <row r="634" spans="6:12">
      <c r="F634" s="1"/>
      <c r="G634" s="1"/>
      <c r="H634" s="1"/>
    </row>
    <row r="635" spans="6:12">
      <c r="G635" s="1"/>
      <c r="H635" s="1"/>
    </row>
    <row r="636" spans="6:12">
      <c r="F636" s="1"/>
      <c r="G636" s="1"/>
      <c r="H636" s="1"/>
    </row>
    <row r="637" spans="6:12">
      <c r="G637" s="1"/>
      <c r="H637" s="1"/>
    </row>
    <row r="638" spans="6:12">
      <c r="F638" s="1"/>
      <c r="G638" s="1"/>
      <c r="H638" s="1"/>
    </row>
    <row r="639" spans="6:12">
      <c r="G639" s="1"/>
      <c r="H639" s="1"/>
    </row>
    <row r="640" spans="6:12">
      <c r="F640" s="1"/>
      <c r="G640" s="1"/>
      <c r="H640" s="1"/>
    </row>
    <row r="641" spans="6:8">
      <c r="G641" s="1"/>
      <c r="H641" s="1"/>
    </row>
    <row r="642" spans="6:8">
      <c r="F642" s="1"/>
      <c r="G642" s="1"/>
      <c r="H642" s="1"/>
    </row>
    <row r="643" spans="6:8">
      <c r="G643" s="1"/>
      <c r="H643" s="1"/>
    </row>
    <row r="644" spans="6:8">
      <c r="F644" s="1"/>
      <c r="G644" s="1"/>
      <c r="H644" s="1"/>
    </row>
    <row r="645" spans="6:8">
      <c r="G645" s="1"/>
      <c r="H645" s="1"/>
    </row>
    <row r="646" spans="6:8">
      <c r="F646" s="1"/>
      <c r="G646" s="1"/>
      <c r="H646" s="1"/>
    </row>
    <row r="647" spans="6:8">
      <c r="G647" s="1"/>
      <c r="H647" s="1"/>
    </row>
    <row r="648" spans="6:8">
      <c r="F648" s="1"/>
      <c r="G648" s="1"/>
      <c r="H648" s="1"/>
    </row>
    <row r="649" spans="6:8">
      <c r="G649" s="1"/>
      <c r="H649" s="1"/>
    </row>
    <row r="650" spans="6:8">
      <c r="F650" s="1"/>
      <c r="G650" s="1"/>
      <c r="H650" s="1"/>
    </row>
    <row r="651" spans="6:8">
      <c r="G651" s="1"/>
      <c r="H651" s="1"/>
    </row>
    <row r="652" spans="6:8">
      <c r="F652" s="1"/>
      <c r="G652" s="1"/>
      <c r="H652" s="1"/>
    </row>
    <row r="653" spans="6:8">
      <c r="G653" s="1"/>
      <c r="H653" s="1"/>
    </row>
    <row r="654" spans="6:8">
      <c r="F654" s="1"/>
      <c r="G654" s="1"/>
      <c r="H654" s="1"/>
    </row>
    <row r="655" spans="6:8">
      <c r="G655" s="1"/>
      <c r="H655" s="1"/>
    </row>
    <row r="656" spans="6:8">
      <c r="F656" s="1"/>
      <c r="G656" s="1"/>
      <c r="H656" s="1"/>
    </row>
    <row r="657" spans="6:8">
      <c r="G657" s="1"/>
      <c r="H657" s="1"/>
    </row>
    <row r="658" spans="6:8">
      <c r="F658" s="1"/>
      <c r="G658" s="1"/>
      <c r="H658" s="1"/>
    </row>
    <row r="659" spans="6:8">
      <c r="G659" s="1"/>
      <c r="H659" s="1"/>
    </row>
    <row r="660" spans="6:8">
      <c r="F660" s="1"/>
      <c r="G660" s="1"/>
      <c r="H660" s="1"/>
    </row>
    <row r="661" spans="6:8">
      <c r="G661" s="1"/>
      <c r="H661" s="1"/>
    </row>
    <row r="662" spans="6:8">
      <c r="F662" s="1"/>
      <c r="G662" s="1"/>
      <c r="H662" s="1"/>
    </row>
    <row r="663" spans="6:8">
      <c r="G663" s="1"/>
      <c r="H663" s="1"/>
    </row>
    <row r="664" spans="6:8">
      <c r="F664" s="1"/>
      <c r="G664" s="1"/>
      <c r="H664" s="1"/>
    </row>
    <row r="665" spans="6:8">
      <c r="G665" s="1"/>
      <c r="H665" s="1"/>
    </row>
    <row r="666" spans="6:8">
      <c r="F666" s="1"/>
      <c r="G666" s="1"/>
      <c r="H666" s="1"/>
    </row>
    <row r="667" spans="6:8">
      <c r="G667" s="1"/>
      <c r="H667" s="1"/>
    </row>
    <row r="668" spans="6:8">
      <c r="F668" s="1"/>
      <c r="G668" s="1"/>
      <c r="H668" s="1"/>
    </row>
    <row r="669" spans="6:8">
      <c r="G669" s="1"/>
      <c r="H669" s="1"/>
    </row>
    <row r="670" spans="6:8">
      <c r="F670" s="1"/>
      <c r="G670" s="1"/>
      <c r="H670" s="1"/>
    </row>
    <row r="671" spans="6:8">
      <c r="G671" s="1"/>
      <c r="H671" s="1"/>
    </row>
    <row r="672" spans="6:8">
      <c r="F672" s="1"/>
      <c r="G672" s="1"/>
      <c r="H672" s="1"/>
    </row>
    <row r="673" spans="6:8">
      <c r="G673" s="1"/>
      <c r="H673" s="1"/>
    </row>
    <row r="674" spans="6:8">
      <c r="F674" s="1"/>
      <c r="G674" s="1"/>
      <c r="H674" s="1"/>
    </row>
    <row r="675" spans="6:8">
      <c r="G675" s="1"/>
      <c r="H675" s="1"/>
    </row>
    <row r="676" spans="6:8">
      <c r="F676" s="1"/>
      <c r="G676" s="1"/>
      <c r="H676" s="1"/>
    </row>
    <row r="677" spans="6:8">
      <c r="G677" s="1"/>
      <c r="H677" s="1"/>
    </row>
    <row r="678" spans="6:8">
      <c r="F678" s="1"/>
      <c r="G678" s="1"/>
      <c r="H678" s="1"/>
    </row>
    <row r="679" spans="6:8">
      <c r="G679" s="1"/>
      <c r="H679" s="1"/>
    </row>
    <row r="680" spans="6:8">
      <c r="F680" s="1"/>
      <c r="G680" s="1"/>
      <c r="H680" s="1"/>
    </row>
    <row r="681" spans="6:8">
      <c r="G681" s="1"/>
      <c r="H681" s="1"/>
    </row>
    <row r="682" spans="6:8">
      <c r="F682" s="1"/>
      <c r="G682" s="1"/>
      <c r="H682" s="1"/>
    </row>
    <row r="683" spans="6:8">
      <c r="G683" s="1"/>
      <c r="H683" s="1"/>
    </row>
    <row r="684" spans="6:8">
      <c r="F684" s="1"/>
      <c r="G684" s="1"/>
      <c r="H684" s="1"/>
    </row>
    <row r="685" spans="6:8">
      <c r="G685" s="1"/>
      <c r="H685" s="1"/>
    </row>
    <row r="686" spans="6:8">
      <c r="F686" s="1"/>
      <c r="G686" s="1"/>
      <c r="H686" s="1"/>
    </row>
    <row r="687" spans="6:8">
      <c r="G687" s="1"/>
      <c r="H687" s="1"/>
    </row>
    <row r="688" spans="6:8">
      <c r="F688" s="1"/>
      <c r="G688" s="1"/>
      <c r="H688" s="1"/>
    </row>
    <row r="689" spans="6:8">
      <c r="G689" s="1"/>
      <c r="H689" s="1"/>
    </row>
    <row r="690" spans="6:8">
      <c r="F690" s="1"/>
      <c r="G690" s="1"/>
      <c r="H690" s="1"/>
    </row>
    <row r="691" spans="6:8">
      <c r="G691" s="1"/>
      <c r="H691" s="1"/>
    </row>
    <row r="692" spans="6:8">
      <c r="F692" s="1"/>
      <c r="G692" s="1"/>
      <c r="H692" s="1"/>
    </row>
    <row r="693" spans="6:8">
      <c r="G693" s="1"/>
      <c r="H693" s="1"/>
    </row>
    <row r="694" spans="6:8">
      <c r="F694" s="1"/>
      <c r="G694" s="1"/>
      <c r="H694" s="1"/>
    </row>
    <row r="695" spans="6:8">
      <c r="G695" s="1"/>
      <c r="H695" s="1"/>
    </row>
    <row r="696" spans="6:8">
      <c r="F696" s="1"/>
      <c r="G696" s="1"/>
      <c r="H696" s="1"/>
    </row>
    <row r="697" spans="6:8">
      <c r="G697" s="1"/>
      <c r="H697" s="1"/>
    </row>
    <row r="698" spans="6:8">
      <c r="F698" s="1"/>
      <c r="G698" s="1"/>
      <c r="H698" s="1"/>
    </row>
    <row r="699" spans="6:8">
      <c r="G699" s="1"/>
      <c r="H699" s="1"/>
    </row>
    <row r="700" spans="6:8">
      <c r="F700" s="1"/>
      <c r="G700" s="1"/>
      <c r="H700" s="1"/>
    </row>
    <row r="701" spans="6:8">
      <c r="G701" s="1"/>
      <c r="H701" s="1"/>
    </row>
    <row r="702" spans="6:8">
      <c r="F702" s="1"/>
      <c r="G702" s="1"/>
      <c r="H702" s="1"/>
    </row>
    <row r="703" spans="6:8">
      <c r="G703" s="1"/>
      <c r="H703" s="1"/>
    </row>
    <row r="704" spans="6:8">
      <c r="F704" s="1"/>
      <c r="G704" s="1"/>
      <c r="H704" s="1"/>
    </row>
    <row r="705" spans="6:8">
      <c r="G705" s="1"/>
      <c r="H705" s="1"/>
    </row>
    <row r="706" spans="6:8">
      <c r="F706" s="1"/>
      <c r="G706" s="1"/>
      <c r="H706" s="1"/>
    </row>
    <row r="707" spans="6:8">
      <c r="G707" s="1"/>
      <c r="H707" s="1"/>
    </row>
    <row r="708" spans="6:8">
      <c r="F708" s="1"/>
      <c r="G708" s="1"/>
      <c r="H708" s="1"/>
    </row>
    <row r="709" spans="6:8">
      <c r="G709" s="1"/>
      <c r="H709" s="1"/>
    </row>
    <row r="710" spans="6:8">
      <c r="F710" s="1"/>
      <c r="G710" s="1"/>
      <c r="H710" s="1"/>
    </row>
    <row r="711" spans="6:8">
      <c r="G711" s="1"/>
      <c r="H711" s="1"/>
    </row>
    <row r="712" spans="6:8">
      <c r="F712" s="1"/>
      <c r="G712" s="1"/>
      <c r="H712" s="1"/>
    </row>
    <row r="713" spans="6:8">
      <c r="G713" s="1"/>
      <c r="H713" s="1"/>
    </row>
    <row r="714" spans="6:8">
      <c r="F714" s="1"/>
      <c r="G714" s="1"/>
      <c r="H714" s="1"/>
    </row>
    <row r="715" spans="6:8">
      <c r="G715" s="1"/>
      <c r="H715" s="1"/>
    </row>
    <row r="716" spans="6:8">
      <c r="F716" s="1"/>
      <c r="G716" s="1"/>
      <c r="H716" s="1"/>
    </row>
    <row r="717" spans="6:8">
      <c r="G717" s="1"/>
      <c r="H717" s="1"/>
    </row>
    <row r="718" spans="6:8">
      <c r="F718" s="1"/>
      <c r="G718" s="1"/>
      <c r="H718" s="1"/>
    </row>
    <row r="719" spans="6:8">
      <c r="G719" s="1"/>
      <c r="H719" s="1"/>
    </row>
    <row r="720" spans="6:8">
      <c r="F720" s="1"/>
      <c r="G720" s="1"/>
      <c r="H720" s="1"/>
    </row>
    <row r="721" spans="6:8">
      <c r="G721" s="1"/>
      <c r="H721" s="1"/>
    </row>
    <row r="722" spans="6:8">
      <c r="F722" s="1"/>
      <c r="G722" s="1"/>
      <c r="H722" s="1"/>
    </row>
    <row r="723" spans="6:8">
      <c r="G723" s="1"/>
      <c r="H723" s="1"/>
    </row>
    <row r="724" spans="6:8">
      <c r="F724" s="1"/>
      <c r="G724" s="1"/>
      <c r="H724" s="1"/>
    </row>
    <row r="725" spans="6:8">
      <c r="G725" s="1"/>
      <c r="H725" s="1"/>
    </row>
    <row r="726" spans="6:8">
      <c r="F726" s="1"/>
      <c r="G726" s="1"/>
      <c r="H726" s="1"/>
    </row>
    <row r="727" spans="6:8">
      <c r="G727" s="1"/>
      <c r="H727" s="1"/>
    </row>
    <row r="728" spans="6:8">
      <c r="F728" s="1"/>
      <c r="G728" s="1"/>
      <c r="H728" s="1"/>
    </row>
    <row r="729" spans="6:8">
      <c r="G729" s="1"/>
      <c r="H729" s="1"/>
    </row>
    <row r="730" spans="6:8">
      <c r="F730" s="1"/>
      <c r="G730" s="1"/>
      <c r="H730" s="1"/>
    </row>
    <row r="731" spans="6:8">
      <c r="G731" s="1"/>
      <c r="H731" s="1"/>
    </row>
    <row r="732" spans="6:8">
      <c r="F732" s="1"/>
      <c r="G732" s="1"/>
      <c r="H732" s="1"/>
    </row>
    <row r="733" spans="6:8">
      <c r="G733" s="1"/>
      <c r="H733" s="1"/>
    </row>
    <row r="734" spans="6:8">
      <c r="F734" s="1"/>
      <c r="G734" s="1"/>
      <c r="H734" s="1"/>
    </row>
    <row r="735" spans="6:8">
      <c r="G735" s="1"/>
      <c r="H735" s="1"/>
    </row>
    <row r="736" spans="6:8">
      <c r="F736" s="1"/>
      <c r="G736" s="1"/>
      <c r="H736" s="1"/>
    </row>
    <row r="737" spans="6:8">
      <c r="G737" s="1"/>
      <c r="H737" s="1"/>
    </row>
    <row r="738" spans="6:8">
      <c r="F738" s="1"/>
      <c r="G738" s="1"/>
      <c r="H738" s="1"/>
    </row>
    <row r="739" spans="6:8">
      <c r="G739" s="1"/>
      <c r="H739" s="1"/>
    </row>
    <row r="740" spans="6:8">
      <c r="F740" s="1"/>
      <c r="G740" s="1"/>
      <c r="H740" s="1"/>
    </row>
    <row r="741" spans="6:8">
      <c r="G741" s="1"/>
      <c r="H741" s="1"/>
    </row>
    <row r="742" spans="6:8">
      <c r="F742" s="1"/>
      <c r="G742" s="1"/>
      <c r="H742" s="1"/>
    </row>
    <row r="743" spans="6:8">
      <c r="G743" s="1"/>
      <c r="H743" s="1"/>
    </row>
    <row r="744" spans="6:8">
      <c r="F744" s="1"/>
      <c r="G744" s="1"/>
      <c r="H744" s="1"/>
    </row>
    <row r="745" spans="6:8">
      <c r="G745" s="1"/>
      <c r="H745" s="1"/>
    </row>
    <row r="746" spans="6:8">
      <c r="F746" s="1"/>
      <c r="G746" s="1"/>
      <c r="H746" s="1"/>
    </row>
    <row r="747" spans="6:8">
      <c r="G747" s="1"/>
      <c r="H747" s="1"/>
    </row>
    <row r="748" spans="6:8">
      <c r="F748" s="1"/>
      <c r="G748" s="1"/>
      <c r="H748" s="1"/>
    </row>
    <row r="749" spans="6:8">
      <c r="G749" s="1"/>
      <c r="H749" s="1"/>
    </row>
    <row r="750" spans="6:8">
      <c r="F750" s="1"/>
      <c r="G750" s="1"/>
      <c r="H750" s="1"/>
    </row>
    <row r="751" spans="6:8">
      <c r="G751" s="1"/>
      <c r="H751" s="1"/>
    </row>
    <row r="752" spans="6:8">
      <c r="F752" s="1"/>
      <c r="G752" s="1"/>
      <c r="H752" s="1"/>
    </row>
    <row r="753" spans="6:8">
      <c r="G753" s="1"/>
      <c r="H753" s="1"/>
    </row>
    <row r="754" spans="6:8">
      <c r="F754" s="1"/>
      <c r="G754" s="1"/>
      <c r="H754" s="1"/>
    </row>
    <row r="755" spans="6:8">
      <c r="G755" s="1"/>
      <c r="H755" s="1"/>
    </row>
    <row r="756" spans="6:8">
      <c r="F756" s="1"/>
      <c r="G756" s="1"/>
      <c r="H756" s="1"/>
    </row>
    <row r="757" spans="6:8">
      <c r="G757" s="1"/>
      <c r="H757" s="1"/>
    </row>
    <row r="758" spans="6:8">
      <c r="F758" s="1"/>
      <c r="G758" s="1"/>
      <c r="H758" s="1"/>
    </row>
    <row r="759" spans="6:8">
      <c r="G759" s="1"/>
      <c r="H759" s="1"/>
    </row>
    <row r="760" spans="6:8">
      <c r="F760" s="1"/>
      <c r="G760" s="1"/>
      <c r="H760" s="1"/>
    </row>
    <row r="761" spans="6:8">
      <c r="G761" s="1"/>
      <c r="H761" s="1"/>
    </row>
    <row r="762" spans="6:8">
      <c r="F762" s="1"/>
      <c r="G762" s="1"/>
      <c r="H762" s="1"/>
    </row>
    <row r="763" spans="6:8">
      <c r="G763" s="1"/>
      <c r="H763" s="1"/>
    </row>
    <row r="764" spans="6:8">
      <c r="F764" s="1"/>
      <c r="G764" s="1"/>
      <c r="H764" s="1"/>
    </row>
    <row r="765" spans="6:8">
      <c r="G765" s="1"/>
      <c r="H765" s="1"/>
    </row>
    <row r="766" spans="6:8">
      <c r="F766" s="1"/>
      <c r="G766" s="1"/>
      <c r="H766" s="1"/>
    </row>
    <row r="767" spans="6:8">
      <c r="G767" s="1"/>
      <c r="H767" s="1"/>
    </row>
    <row r="768" spans="6:8">
      <c r="F768" s="1"/>
      <c r="G768" s="1"/>
      <c r="H768" s="1"/>
    </row>
    <row r="769" spans="6:8">
      <c r="G769" s="1"/>
      <c r="H769" s="1"/>
    </row>
    <row r="770" spans="6:8">
      <c r="F770" s="1"/>
      <c r="G770" s="1"/>
      <c r="H770" s="1"/>
    </row>
    <row r="771" spans="6:8">
      <c r="G771" s="1"/>
      <c r="H771" s="1"/>
    </row>
    <row r="772" spans="6:8">
      <c r="F772" s="1"/>
      <c r="G772" s="1"/>
      <c r="H772" s="1"/>
    </row>
    <row r="773" spans="6:8">
      <c r="G773" s="1"/>
      <c r="H773" s="1"/>
    </row>
    <row r="774" spans="6:8">
      <c r="F774" s="1"/>
      <c r="G774" s="1"/>
      <c r="H774" s="1"/>
    </row>
    <row r="775" spans="6:8">
      <c r="G775" s="1"/>
      <c r="H775" s="1"/>
    </row>
    <row r="776" spans="6:8">
      <c r="F776" s="1"/>
      <c r="G776" s="1"/>
      <c r="H776" s="1"/>
    </row>
    <row r="777" spans="6:8">
      <c r="G777" s="1"/>
      <c r="H777" s="1"/>
    </row>
    <row r="778" spans="6:8">
      <c r="F778" s="1"/>
      <c r="G778" s="1"/>
      <c r="H778" s="1"/>
    </row>
    <row r="779" spans="6:8">
      <c r="G779" s="1"/>
      <c r="H779" s="1"/>
    </row>
    <row r="780" spans="6:8">
      <c r="F780" s="1"/>
      <c r="G780" s="1"/>
      <c r="H780" s="1"/>
    </row>
    <row r="781" spans="6:8">
      <c r="G781" s="1"/>
      <c r="H781" s="1"/>
    </row>
    <row r="782" spans="6:8">
      <c r="F782" s="1"/>
      <c r="G782" s="1"/>
      <c r="H782" s="1"/>
    </row>
    <row r="783" spans="6:8">
      <c r="G783" s="1"/>
      <c r="H783" s="1"/>
    </row>
    <row r="784" spans="6:8">
      <c r="F784" s="1"/>
      <c r="G784" s="1"/>
      <c r="H784" s="1"/>
    </row>
    <row r="785" spans="6:8">
      <c r="G785" s="1"/>
      <c r="H785" s="1"/>
    </row>
    <row r="786" spans="6:8">
      <c r="F786" s="1"/>
      <c r="G786" s="1"/>
      <c r="H786" s="1"/>
    </row>
    <row r="787" spans="6:8">
      <c r="G787" s="1"/>
      <c r="H787" s="1"/>
    </row>
    <row r="788" spans="6:8">
      <c r="F788" s="1"/>
      <c r="G788" s="1"/>
      <c r="H788" s="1"/>
    </row>
    <row r="789" spans="6:8">
      <c r="G789" s="1"/>
      <c r="H789" s="1"/>
    </row>
    <row r="790" spans="6:8">
      <c r="F790" s="1"/>
      <c r="G790" s="1"/>
      <c r="H790" s="1"/>
    </row>
    <row r="791" spans="6:8">
      <c r="G791" s="1"/>
      <c r="H791" s="1"/>
    </row>
    <row r="792" spans="6:8">
      <c r="F792" s="1"/>
      <c r="G792" s="1"/>
      <c r="H792" s="1"/>
    </row>
    <row r="793" spans="6:8">
      <c r="G793" s="1"/>
      <c r="H793" s="1"/>
    </row>
    <row r="794" spans="6:8">
      <c r="F794" s="1"/>
      <c r="G794" s="1"/>
      <c r="H794" s="1"/>
    </row>
    <row r="795" spans="6:8">
      <c r="G795" s="1"/>
      <c r="H795" s="1"/>
    </row>
    <row r="796" spans="6:8">
      <c r="F796" s="1"/>
      <c r="G796" s="1"/>
      <c r="H796" s="1"/>
    </row>
    <row r="797" spans="6:8">
      <c r="G797" s="1"/>
      <c r="H797" s="1"/>
    </row>
    <row r="798" spans="6:8">
      <c r="F798" s="1"/>
      <c r="G798" s="1"/>
      <c r="H798" s="1"/>
    </row>
    <row r="799" spans="6:8">
      <c r="G799" s="1"/>
      <c r="H799" s="1"/>
    </row>
    <row r="800" spans="6:8">
      <c r="F800" s="1"/>
      <c r="G800" s="1"/>
      <c r="H800" s="1"/>
    </row>
    <row r="801" spans="6:8">
      <c r="G801" s="1"/>
      <c r="H801" s="1"/>
    </row>
    <row r="802" spans="6:8">
      <c r="F802" s="1"/>
      <c r="G802" s="1"/>
      <c r="H802" s="1"/>
    </row>
    <row r="803" spans="6:8">
      <c r="G803" s="1"/>
      <c r="H803" s="1"/>
    </row>
    <row r="804" spans="6:8">
      <c r="F804" s="1"/>
      <c r="G804" s="1"/>
      <c r="H804" s="1"/>
    </row>
    <row r="805" spans="6:8">
      <c r="G805" s="1"/>
      <c r="H805" s="1"/>
    </row>
    <row r="806" spans="6:8">
      <c r="F806" s="1"/>
      <c r="G806" s="1"/>
      <c r="H806" s="1"/>
    </row>
    <row r="807" spans="6:8">
      <c r="G807" s="1"/>
      <c r="H807" s="1"/>
    </row>
    <row r="808" spans="6:8">
      <c r="F808" s="1"/>
      <c r="G808" s="1"/>
      <c r="H808" s="1"/>
    </row>
    <row r="809" spans="6:8">
      <c r="G809" s="1"/>
      <c r="H809" s="1"/>
    </row>
    <row r="810" spans="6:8">
      <c r="F810" s="1"/>
      <c r="G810" s="1"/>
      <c r="H810" s="1"/>
    </row>
    <row r="811" spans="6:8">
      <c r="G811" s="1"/>
      <c r="H811" s="1"/>
    </row>
    <row r="812" spans="6:8">
      <c r="F812" s="1"/>
      <c r="G812" s="1"/>
      <c r="H812" s="1"/>
    </row>
    <row r="813" spans="6:8">
      <c r="G813" s="1"/>
      <c r="H813" s="1"/>
    </row>
    <row r="814" spans="6:8">
      <c r="F814" s="1"/>
      <c r="G814" s="1"/>
      <c r="H814" s="1"/>
    </row>
    <row r="815" spans="6:8">
      <c r="G815" s="1"/>
      <c r="H815" s="1"/>
    </row>
    <row r="816" spans="6:8">
      <c r="F816" s="1"/>
      <c r="G816" s="1"/>
      <c r="H816" s="1"/>
    </row>
    <row r="817" spans="6:8">
      <c r="G817" s="1"/>
      <c r="H817" s="1"/>
    </row>
    <row r="818" spans="6:8">
      <c r="F818" s="1"/>
      <c r="G818" s="1"/>
      <c r="H818" s="1"/>
    </row>
    <row r="819" spans="6:8">
      <c r="G819" s="1"/>
      <c r="H819" s="1"/>
    </row>
    <row r="820" spans="6:8">
      <c r="F820" s="1"/>
      <c r="G820" s="1"/>
      <c r="H820" s="1"/>
    </row>
    <row r="821" spans="6:8">
      <c r="G821" s="1"/>
      <c r="H821" s="1"/>
    </row>
    <row r="822" spans="6:8">
      <c r="F822" s="1"/>
      <c r="G822" s="1"/>
      <c r="H822" s="1"/>
    </row>
    <row r="823" spans="6:8">
      <c r="G823" s="1"/>
      <c r="H823" s="1"/>
    </row>
    <row r="824" spans="6:8">
      <c r="F824" s="1"/>
      <c r="G824" s="1"/>
      <c r="H824" s="1"/>
    </row>
    <row r="825" spans="6:8">
      <c r="G825" s="1"/>
      <c r="H825" s="1"/>
    </row>
    <row r="826" spans="6:8">
      <c r="F826" s="1"/>
      <c r="G826" s="1"/>
      <c r="H826" s="1"/>
    </row>
    <row r="827" spans="6:8">
      <c r="G827" s="1"/>
      <c r="H827" s="1"/>
    </row>
    <row r="828" spans="6:8">
      <c r="F828" s="1"/>
      <c r="G828" s="1"/>
      <c r="H828" s="1"/>
    </row>
    <row r="829" spans="6:8">
      <c r="G829" s="1"/>
      <c r="H829" s="1"/>
    </row>
    <row r="830" spans="6:8">
      <c r="F830" s="1"/>
      <c r="G830" s="1"/>
      <c r="H830" s="1"/>
    </row>
    <row r="831" spans="6:8">
      <c r="G831" s="1"/>
      <c r="H831" s="1"/>
    </row>
    <row r="832" spans="6:8">
      <c r="F832" s="1"/>
      <c r="G832" s="1"/>
      <c r="H832" s="1"/>
    </row>
    <row r="833" spans="6:8">
      <c r="G833" s="1"/>
      <c r="H833" s="1"/>
    </row>
    <row r="834" spans="6:8">
      <c r="F834" s="1"/>
      <c r="G834" s="1"/>
      <c r="H834" s="1"/>
    </row>
    <row r="835" spans="6:8">
      <c r="G835" s="1"/>
      <c r="H835" s="1"/>
    </row>
    <row r="836" spans="6:8">
      <c r="F836" s="1"/>
      <c r="G836" s="1"/>
      <c r="H836" s="1"/>
    </row>
    <row r="837" spans="6:8">
      <c r="G837" s="1"/>
      <c r="H837" s="1"/>
    </row>
    <row r="838" spans="6:8">
      <c r="F838" s="1"/>
      <c r="G838" s="1"/>
      <c r="H838" s="1"/>
    </row>
    <row r="839" spans="6:8">
      <c r="G839" s="1"/>
      <c r="H839" s="1"/>
    </row>
    <row r="840" spans="6:8">
      <c r="F840" s="1"/>
      <c r="G840" s="1"/>
      <c r="H840" s="1"/>
    </row>
    <row r="841" spans="6:8">
      <c r="G841" s="1"/>
      <c r="H841" s="1"/>
    </row>
    <row r="842" spans="6:8">
      <c r="F842" s="1"/>
      <c r="G842" s="1"/>
      <c r="H842" s="1"/>
    </row>
    <row r="843" spans="6:8">
      <c r="G843" s="1"/>
      <c r="H843" s="1"/>
    </row>
    <row r="844" spans="6:8">
      <c r="F844" s="1"/>
      <c r="G844" s="1"/>
      <c r="H844" s="1"/>
    </row>
    <row r="845" spans="6:8">
      <c r="G845" s="1"/>
      <c r="H845" s="1"/>
    </row>
    <row r="846" spans="6:8">
      <c r="F846" s="1"/>
      <c r="G846" s="1"/>
      <c r="H846" s="1"/>
    </row>
    <row r="847" spans="6:8">
      <c r="G847" s="1"/>
      <c r="H847" s="1"/>
    </row>
    <row r="848" spans="6:8">
      <c r="F848" s="1"/>
      <c r="G848" s="1"/>
      <c r="H848" s="1"/>
    </row>
    <row r="849" spans="6:8">
      <c r="G849" s="1"/>
      <c r="H849" s="1"/>
    </row>
    <row r="850" spans="6:8">
      <c r="F850" s="1"/>
      <c r="G850" s="1"/>
      <c r="H850" s="1"/>
    </row>
    <row r="851" spans="6:8">
      <c r="G851" s="1"/>
      <c r="H851" s="1"/>
    </row>
    <row r="852" spans="6:8">
      <c r="F852" s="1"/>
      <c r="G852" s="1"/>
      <c r="H852" s="1"/>
    </row>
    <row r="853" spans="6:8">
      <c r="G853" s="1"/>
      <c r="H853" s="1"/>
    </row>
    <row r="854" spans="6:8">
      <c r="F854" s="1"/>
      <c r="G854" s="1"/>
      <c r="H854" s="1"/>
    </row>
    <row r="855" spans="6:8">
      <c r="G855" s="1"/>
      <c r="H855" s="1"/>
    </row>
    <row r="856" spans="6:8">
      <c r="F856" s="1"/>
      <c r="G856" s="1"/>
      <c r="H856" s="1"/>
    </row>
    <row r="857" spans="6:8">
      <c r="G857" s="1"/>
      <c r="H857" s="1"/>
    </row>
    <row r="858" spans="6:8">
      <c r="F858" s="1"/>
      <c r="G858" s="1"/>
      <c r="H858" s="1"/>
    </row>
    <row r="859" spans="6:8">
      <c r="G859" s="1"/>
      <c r="H859" s="1"/>
    </row>
    <row r="860" spans="6:8">
      <c r="F860" s="1"/>
      <c r="G860" s="1"/>
      <c r="H860" s="1"/>
    </row>
    <row r="861" spans="6:8">
      <c r="G861" s="1"/>
      <c r="H861" s="1"/>
    </row>
    <row r="862" spans="6:8">
      <c r="F862" s="1"/>
      <c r="G862" s="1"/>
      <c r="H862" s="1"/>
    </row>
    <row r="863" spans="6:8">
      <c r="G863" s="1"/>
      <c r="H863" s="1"/>
    </row>
    <row r="864" spans="6:8">
      <c r="F864" s="1"/>
      <c r="G864" s="1"/>
      <c r="H864" s="1"/>
    </row>
    <row r="865" spans="6:8">
      <c r="G865" s="1"/>
      <c r="H865" s="1"/>
    </row>
    <row r="866" spans="6:8">
      <c r="F866" s="1"/>
      <c r="G866" s="1"/>
      <c r="H866" s="1"/>
    </row>
    <row r="867" spans="6:8">
      <c r="G867" s="1"/>
      <c r="H867" s="1"/>
    </row>
    <row r="868" spans="6:8">
      <c r="F868" s="1"/>
      <c r="G868" s="1"/>
      <c r="H868" s="1"/>
    </row>
    <row r="869" spans="6:8">
      <c r="G869" s="1"/>
      <c r="H869" s="1"/>
    </row>
    <row r="870" spans="6:8">
      <c r="F870" s="1"/>
      <c r="G870" s="1"/>
      <c r="H870" s="1"/>
    </row>
    <row r="871" spans="6:8">
      <c r="G871" s="1"/>
      <c r="H871" s="1"/>
    </row>
    <row r="872" spans="6:8">
      <c r="F872" s="1"/>
      <c r="G872" s="1"/>
      <c r="H872" s="1"/>
    </row>
    <row r="873" spans="6:8">
      <c r="G873" s="1"/>
      <c r="H873" s="1"/>
    </row>
    <row r="874" spans="6:8">
      <c r="F874" s="1"/>
      <c r="G874" s="1"/>
      <c r="H874" s="1"/>
    </row>
    <row r="875" spans="6:8">
      <c r="G875" s="1"/>
      <c r="H875" s="1"/>
    </row>
    <row r="876" spans="6:8">
      <c r="F876" s="1"/>
      <c r="G876" s="1"/>
      <c r="H876" s="1"/>
    </row>
    <row r="877" spans="6:8">
      <c r="G877" s="1"/>
      <c r="H877" s="1"/>
    </row>
    <row r="878" spans="6:8">
      <c r="F878" s="1"/>
      <c r="G878" s="1"/>
      <c r="H878" s="1"/>
    </row>
    <row r="879" spans="6:8">
      <c r="G879" s="1"/>
      <c r="H879" s="1"/>
    </row>
    <row r="880" spans="6:8">
      <c r="F880" s="1"/>
      <c r="G880" s="1"/>
      <c r="H880" s="1"/>
    </row>
    <row r="881" spans="6:8">
      <c r="G881" s="1"/>
      <c r="H881" s="1"/>
    </row>
    <row r="882" spans="6:8">
      <c r="F882" s="1"/>
      <c r="G882" s="1"/>
      <c r="H882" s="1"/>
    </row>
    <row r="883" spans="6:8">
      <c r="G883" s="1"/>
      <c r="H883" s="1"/>
    </row>
    <row r="884" spans="6:8">
      <c r="F884" s="1"/>
      <c r="G884" s="1"/>
      <c r="H884" s="1"/>
    </row>
    <row r="885" spans="6:8">
      <c r="G885" s="1"/>
      <c r="H885" s="1"/>
    </row>
    <row r="886" spans="6:8">
      <c r="F886" s="1"/>
      <c r="G886" s="1"/>
      <c r="H886" s="1"/>
    </row>
    <row r="887" spans="6:8">
      <c r="G887" s="1"/>
      <c r="H887" s="1"/>
    </row>
    <row r="888" spans="6:8">
      <c r="F888" s="1"/>
      <c r="G888" s="1"/>
      <c r="H888" s="1"/>
    </row>
    <row r="889" spans="6:8">
      <c r="G889" s="1"/>
      <c r="H889" s="1"/>
    </row>
    <row r="890" spans="6:8">
      <c r="F890" s="1"/>
      <c r="G890" s="1"/>
      <c r="H890" s="1"/>
    </row>
    <row r="891" spans="6:8">
      <c r="G891" s="1"/>
      <c r="H891" s="1"/>
    </row>
    <row r="892" spans="6:8">
      <c r="F892" s="1"/>
      <c r="G892" s="1"/>
      <c r="H892" s="1"/>
    </row>
    <row r="893" spans="6:8">
      <c r="G893" s="1"/>
      <c r="H893" s="1"/>
    </row>
    <row r="894" spans="6:8">
      <c r="F894" s="1"/>
      <c r="G894" s="1"/>
      <c r="H894" s="1"/>
    </row>
    <row r="895" spans="6:8">
      <c r="G895" s="1"/>
      <c r="H895" s="1"/>
    </row>
    <row r="896" spans="6:8">
      <c r="F896" s="1"/>
      <c r="G896" s="1"/>
      <c r="H896" s="1"/>
    </row>
    <row r="897" spans="6:8">
      <c r="G897" s="1"/>
      <c r="H897" s="1"/>
    </row>
    <row r="898" spans="6:8">
      <c r="F898" s="1"/>
      <c r="G898" s="1"/>
      <c r="H898" s="1"/>
    </row>
    <row r="899" spans="6:8">
      <c r="G899" s="1"/>
      <c r="H899" s="1"/>
    </row>
    <row r="900" spans="6:8">
      <c r="F900" s="1"/>
      <c r="G900" s="1"/>
      <c r="H900" s="1"/>
    </row>
    <row r="901" spans="6:8">
      <c r="G901" s="1"/>
      <c r="H901" s="1"/>
    </row>
    <row r="902" spans="6:8">
      <c r="F902" s="1"/>
      <c r="G902" s="1"/>
      <c r="H902" s="1"/>
    </row>
    <row r="903" spans="6:8">
      <c r="G903" s="1"/>
      <c r="H903" s="1"/>
    </row>
    <row r="904" spans="6:8">
      <c r="F904" s="1"/>
      <c r="G904" s="1"/>
      <c r="H904" s="1"/>
    </row>
    <row r="905" spans="6:8">
      <c r="G905" s="1"/>
      <c r="H905" s="1"/>
    </row>
    <row r="906" spans="6:8">
      <c r="F906" s="1"/>
      <c r="G906" s="1"/>
      <c r="H906" s="1"/>
    </row>
    <row r="907" spans="6:8">
      <c r="G907" s="1"/>
      <c r="H907" s="1"/>
    </row>
    <row r="908" spans="6:8">
      <c r="F908" s="1"/>
      <c r="G908" s="1"/>
      <c r="H908" s="1"/>
    </row>
    <row r="909" spans="6:8">
      <c r="G909" s="1"/>
      <c r="H909" s="1"/>
    </row>
    <row r="910" spans="6:8">
      <c r="F910" s="1"/>
      <c r="G910" s="1"/>
      <c r="H910" s="1"/>
    </row>
    <row r="911" spans="6:8">
      <c r="G911" s="1"/>
      <c r="H911" s="1"/>
    </row>
    <row r="912" spans="6:8">
      <c r="F912" s="1"/>
      <c r="G912" s="1"/>
      <c r="H912" s="1"/>
    </row>
    <row r="913" spans="6:8">
      <c r="G913" s="1"/>
      <c r="H913" s="1"/>
    </row>
    <row r="914" spans="6:8">
      <c r="F914" s="1"/>
      <c r="G914" s="1"/>
      <c r="H914" s="1"/>
    </row>
    <row r="915" spans="6:8">
      <c r="G915" s="1"/>
      <c r="H915" s="1"/>
    </row>
    <row r="916" spans="6:8">
      <c r="F916" s="1"/>
      <c r="G916" s="1"/>
      <c r="H916" s="1"/>
    </row>
    <row r="917" spans="6:8">
      <c r="G917" s="1"/>
      <c r="H917" s="1"/>
    </row>
    <row r="918" spans="6:8">
      <c r="F918" s="1"/>
      <c r="G918" s="1"/>
      <c r="H918" s="1"/>
    </row>
    <row r="919" spans="6:8">
      <c r="G919" s="1"/>
      <c r="H919" s="1"/>
    </row>
    <row r="920" spans="6:8">
      <c r="F920" s="1"/>
      <c r="G920" s="1"/>
      <c r="H920" s="1"/>
    </row>
    <row r="921" spans="6:8">
      <c r="G921" s="1"/>
      <c r="H921" s="1"/>
    </row>
    <row r="922" spans="6:8">
      <c r="F922" s="1"/>
      <c r="G922" s="1"/>
      <c r="H922" s="1"/>
    </row>
    <row r="923" spans="6:8">
      <c r="G923" s="1"/>
      <c r="H923" s="1"/>
    </row>
    <row r="924" spans="6:8">
      <c r="F924" s="1"/>
      <c r="G924" s="1"/>
      <c r="H924" s="1"/>
    </row>
    <row r="925" spans="6:8">
      <c r="G925" s="1"/>
      <c r="H925" s="1"/>
    </row>
    <row r="926" spans="6:8">
      <c r="F926" s="1"/>
      <c r="G926" s="1"/>
      <c r="H926" s="1"/>
    </row>
    <row r="927" spans="6:8">
      <c r="G927" s="1"/>
      <c r="H927" s="1"/>
    </row>
    <row r="928" spans="6:8">
      <c r="F928" s="1"/>
      <c r="G928" s="1"/>
      <c r="H928" s="1"/>
    </row>
    <row r="929" spans="6:8">
      <c r="G929" s="1"/>
      <c r="H929" s="1"/>
    </row>
    <row r="930" spans="6:8">
      <c r="F930" s="1"/>
      <c r="G930" s="1"/>
      <c r="H930" s="1"/>
    </row>
    <row r="931" spans="6:8">
      <c r="G931" s="1"/>
      <c r="H931" s="1"/>
    </row>
    <row r="932" spans="6:8">
      <c r="F932" s="1"/>
      <c r="G932" s="1"/>
      <c r="H932" s="1"/>
    </row>
    <row r="933" spans="6:8">
      <c r="G933" s="1"/>
      <c r="H933" s="1"/>
    </row>
    <row r="934" spans="6:8">
      <c r="F934" s="1"/>
      <c r="G934" s="1"/>
      <c r="H934" s="1"/>
    </row>
    <row r="935" spans="6:8">
      <c r="G935" s="1"/>
      <c r="H935" s="1"/>
    </row>
    <row r="936" spans="6:8">
      <c r="F936" s="1"/>
      <c r="G936" s="1"/>
      <c r="H936" s="1"/>
    </row>
    <row r="937" spans="6:8">
      <c r="G937" s="1"/>
      <c r="H937" s="1"/>
    </row>
    <row r="938" spans="6:8">
      <c r="F938" s="1"/>
      <c r="G938" s="1"/>
      <c r="H938" s="1"/>
    </row>
    <row r="939" spans="6:8">
      <c r="G939" s="1"/>
      <c r="H939" s="1"/>
    </row>
    <row r="940" spans="6:8">
      <c r="F940" s="1"/>
      <c r="G940" s="1"/>
      <c r="H940" s="1"/>
    </row>
    <row r="941" spans="6:8">
      <c r="G941" s="1"/>
      <c r="H941" s="1"/>
    </row>
    <row r="942" spans="6:8">
      <c r="F942" s="1"/>
      <c r="G942" s="1"/>
      <c r="H942" s="1"/>
    </row>
    <row r="943" spans="6:8">
      <c r="G943" s="1"/>
      <c r="H943" s="1"/>
    </row>
    <row r="944" spans="6:8">
      <c r="F944" s="1"/>
      <c r="G944" s="1"/>
      <c r="H944" s="1"/>
    </row>
    <row r="945" spans="6:8">
      <c r="G945" s="1"/>
      <c r="H945" s="1"/>
    </row>
    <row r="946" spans="6:8">
      <c r="F946" s="1"/>
      <c r="G946" s="1"/>
      <c r="H946" s="1"/>
    </row>
    <row r="947" spans="6:8">
      <c r="G947" s="1"/>
      <c r="H947" s="1"/>
    </row>
    <row r="948" spans="6:8">
      <c r="F948" s="1"/>
      <c r="G948" s="1"/>
      <c r="H948" s="1"/>
    </row>
    <row r="949" spans="6:8">
      <c r="G949" s="1"/>
      <c r="H949" s="1"/>
    </row>
    <row r="950" spans="6:8">
      <c r="F950" s="1"/>
      <c r="G950" s="1"/>
      <c r="H950" s="1"/>
    </row>
    <row r="951" spans="6:8">
      <c r="G951" s="1"/>
      <c r="H951" s="1"/>
    </row>
    <row r="952" spans="6:8">
      <c r="F952" s="1"/>
      <c r="G952" s="1"/>
      <c r="H952" s="1"/>
    </row>
    <row r="953" spans="6:8">
      <c r="G953" s="1"/>
      <c r="H953" s="1"/>
    </row>
    <row r="954" spans="6:8">
      <c r="F954" s="1"/>
      <c r="G954" s="1"/>
      <c r="H954" s="1"/>
    </row>
    <row r="955" spans="6:8">
      <c r="G955" s="1"/>
      <c r="H955" s="1"/>
    </row>
    <row r="956" spans="6:8">
      <c r="F956" s="1"/>
      <c r="G956" s="1"/>
      <c r="H956" s="1"/>
    </row>
    <row r="957" spans="6:8">
      <c r="G957" s="1"/>
      <c r="H957" s="1"/>
    </row>
    <row r="958" spans="6:8">
      <c r="F958" s="1"/>
      <c r="G958" s="1"/>
      <c r="H958" s="1"/>
    </row>
    <row r="959" spans="6:8">
      <c r="G959" s="1"/>
      <c r="H959" s="1"/>
    </row>
    <row r="960" spans="6:8">
      <c r="F960" s="1"/>
      <c r="G960" s="1"/>
      <c r="H960" s="1"/>
    </row>
    <row r="961" spans="6:8">
      <c r="G961" s="1"/>
      <c r="H961" s="1"/>
    </row>
    <row r="962" spans="6:8">
      <c r="F962" s="1"/>
      <c r="G962" s="1"/>
      <c r="H962" s="1"/>
    </row>
    <row r="963" spans="6:8">
      <c r="G963" s="1"/>
      <c r="H963" s="1"/>
    </row>
    <row r="964" spans="6:8">
      <c r="F964" s="1"/>
      <c r="G964" s="1"/>
      <c r="H964" s="1"/>
    </row>
    <row r="965" spans="6:8">
      <c r="G965" s="1"/>
      <c r="H965" s="1"/>
    </row>
    <row r="966" spans="6:8">
      <c r="F966" s="1"/>
      <c r="G966" s="1"/>
      <c r="H966" s="1"/>
    </row>
    <row r="967" spans="6:8">
      <c r="G967" s="1"/>
      <c r="H967" s="1"/>
    </row>
    <row r="968" spans="6:8">
      <c r="F968" s="1"/>
      <c r="G968" s="1"/>
      <c r="H968" s="1"/>
    </row>
    <row r="969" spans="6:8">
      <c r="G969" s="1"/>
      <c r="H969" s="1"/>
    </row>
    <row r="970" spans="6:8">
      <c r="F970" s="1"/>
      <c r="G970" s="1"/>
      <c r="H970" s="1"/>
    </row>
    <row r="971" spans="6:8">
      <c r="G971" s="1"/>
      <c r="H971" s="1"/>
    </row>
    <row r="972" spans="6:8">
      <c r="F972" s="1"/>
      <c r="G972" s="1"/>
      <c r="H972" s="1"/>
    </row>
    <row r="973" spans="6:8">
      <c r="G973" s="1"/>
      <c r="H973" s="1"/>
    </row>
    <row r="974" spans="6:8">
      <c r="F974" s="1"/>
      <c r="G974" s="1"/>
      <c r="H974" s="1"/>
    </row>
    <row r="975" spans="6:8">
      <c r="G975" s="1"/>
      <c r="H975" s="1"/>
    </row>
    <row r="976" spans="6:8">
      <c r="F976" s="1"/>
      <c r="G976" s="1"/>
      <c r="H976" s="1"/>
    </row>
    <row r="977" spans="6:8">
      <c r="G977" s="1"/>
      <c r="H977" s="1"/>
    </row>
    <row r="978" spans="6:8">
      <c r="F978" s="1"/>
      <c r="G978" s="1"/>
      <c r="H978" s="1"/>
    </row>
    <row r="979" spans="6:8">
      <c r="G979" s="1"/>
      <c r="H979" s="1"/>
    </row>
    <row r="980" spans="6:8">
      <c r="F980" s="1"/>
      <c r="G980" s="1"/>
      <c r="H980" s="1"/>
    </row>
    <row r="981" spans="6:8">
      <c r="G981" s="1"/>
      <c r="H981" s="1"/>
    </row>
    <row r="982" spans="6:8">
      <c r="F982" s="1"/>
      <c r="G982" s="1"/>
      <c r="H982" s="1"/>
    </row>
    <row r="983" spans="6:8">
      <c r="G983" s="1"/>
      <c r="H983" s="1"/>
    </row>
    <row r="984" spans="6:8">
      <c r="F984" s="1"/>
      <c r="G984" s="1"/>
      <c r="H984" s="1"/>
    </row>
    <row r="985" spans="6:8">
      <c r="G985" s="1"/>
      <c r="H985" s="1"/>
    </row>
    <row r="986" spans="6:8">
      <c r="F986" s="1"/>
      <c r="G986" s="1"/>
      <c r="H986" s="1"/>
    </row>
    <row r="987" spans="6:8">
      <c r="G987" s="1"/>
      <c r="H987" s="1"/>
    </row>
    <row r="988" spans="6:8">
      <c r="F988" s="1"/>
      <c r="G988" s="1"/>
      <c r="H988" s="1"/>
    </row>
    <row r="989" spans="6:8">
      <c r="G989" s="1"/>
      <c r="H989" s="1"/>
    </row>
    <row r="990" spans="6:8">
      <c r="F990" s="1"/>
      <c r="G990" s="1"/>
      <c r="H990" s="1"/>
    </row>
    <row r="991" spans="6:8">
      <c r="G991" s="1"/>
      <c r="H991" s="1"/>
    </row>
    <row r="992" spans="6:8">
      <c r="F992" s="1"/>
      <c r="G992" s="1"/>
      <c r="H992" s="1"/>
    </row>
    <row r="993" spans="6:8">
      <c r="G993" s="1"/>
      <c r="H993" s="1"/>
    </row>
    <row r="994" spans="6:8">
      <c r="F994" s="1"/>
      <c r="G994" s="1"/>
      <c r="H994" s="1"/>
    </row>
    <row r="995" spans="6:8">
      <c r="G995" s="1"/>
      <c r="H995" s="1"/>
    </row>
    <row r="996" spans="6:8">
      <c r="F996" s="1"/>
      <c r="G996" s="1"/>
      <c r="H996" s="1"/>
    </row>
    <row r="997" spans="6:8">
      <c r="G997" s="1"/>
      <c r="H997" s="1"/>
    </row>
    <row r="998" spans="6:8">
      <c r="F998" s="1"/>
      <c r="G998" s="1"/>
      <c r="H998" s="1"/>
    </row>
    <row r="999" spans="6:8">
      <c r="G999" s="1"/>
      <c r="H999" s="1"/>
    </row>
    <row r="1000" spans="6:8">
      <c r="F1000" s="1"/>
      <c r="G1000" s="1"/>
      <c r="H1000" s="1"/>
    </row>
    <row r="1001" spans="6:8">
      <c r="G1001" s="1"/>
      <c r="H1001" s="1"/>
    </row>
    <row r="1002" spans="6:8">
      <c r="F1002" s="1"/>
      <c r="G1002" s="1"/>
      <c r="H1002" s="1"/>
    </row>
    <row r="1003" spans="6:8">
      <c r="G1003" s="1"/>
      <c r="H1003" s="1"/>
    </row>
    <row r="1004" spans="6:8">
      <c r="F1004" s="1"/>
      <c r="G1004" s="1"/>
      <c r="H1004" s="1"/>
    </row>
    <row r="1005" spans="6:8">
      <c r="G1005" s="1"/>
      <c r="H1005" s="1"/>
    </row>
    <row r="1006" spans="6:8">
      <c r="F1006" s="1"/>
      <c r="G1006" s="1"/>
      <c r="H1006" s="1"/>
    </row>
    <row r="1007" spans="6:8">
      <c r="G1007" s="1"/>
      <c r="H1007" s="1"/>
    </row>
    <row r="1008" spans="6:8">
      <c r="F1008" s="1"/>
      <c r="G1008" s="1"/>
      <c r="H1008" s="1"/>
    </row>
    <row r="1009" spans="6:8">
      <c r="G1009" s="1"/>
      <c r="H1009" s="1"/>
    </row>
    <row r="1010" spans="6:8">
      <c r="F1010" s="1"/>
      <c r="G1010" s="1"/>
      <c r="H1010" s="1"/>
    </row>
    <row r="1011" spans="6:8">
      <c r="G1011" s="1"/>
      <c r="H1011" s="1"/>
    </row>
    <row r="1012" spans="6:8">
      <c r="F1012" s="1"/>
      <c r="G1012" s="1"/>
      <c r="H1012" s="1"/>
    </row>
    <row r="1013" spans="6:8">
      <c r="G1013" s="1"/>
      <c r="H1013" s="1"/>
    </row>
    <row r="1014" spans="6:8">
      <c r="F1014" s="1"/>
      <c r="G1014" s="1"/>
      <c r="H1014" s="1"/>
    </row>
    <row r="1015" spans="6:8">
      <c r="G1015" s="1"/>
      <c r="H1015" s="1"/>
    </row>
    <row r="1016" spans="6:8">
      <c r="F1016" s="1"/>
      <c r="G1016" s="1"/>
      <c r="H1016" s="1"/>
    </row>
    <row r="1017" spans="6:8">
      <c r="G1017" s="1"/>
      <c r="H1017" s="1"/>
    </row>
    <row r="1018" spans="6:8">
      <c r="F1018" s="1"/>
      <c r="G1018" s="1"/>
      <c r="H1018" s="1"/>
    </row>
    <row r="1019" spans="6:8">
      <c r="G1019" s="1"/>
      <c r="H1019" s="1"/>
    </row>
    <row r="1020" spans="6:8">
      <c r="F1020" s="1"/>
      <c r="G1020" s="1"/>
      <c r="H1020" s="1"/>
    </row>
    <row r="1021" spans="6:8">
      <c r="G1021" s="1"/>
      <c r="H1021" s="1"/>
    </row>
    <row r="1022" spans="6:8">
      <c r="F1022" s="1"/>
      <c r="G1022" s="1"/>
      <c r="H1022" s="1"/>
    </row>
    <row r="1023" spans="6:8">
      <c r="G1023" s="1"/>
      <c r="H1023" s="1"/>
    </row>
    <row r="1024" spans="6:8">
      <c r="F1024" s="1"/>
      <c r="G1024" s="1"/>
      <c r="H1024" s="1"/>
    </row>
    <row r="1025" spans="7:8">
      <c r="G1025" s="1"/>
      <c r="H1025" s="1"/>
    </row>
  </sheetData>
  <sheetProtection selectLockedCells="1" selectUnlockedCells="1"/>
  <phoneticPr fontId="9" type="noConversion"/>
  <printOptions gridLines="1" gridLinesSet="0"/>
  <pageMargins left="0.75" right="0.75" top="1" bottom="1" header="0.511811024" footer="0.511811024"/>
  <headerFooter alignWithMargins="0">
    <oddHeader>&amp;A</oddHeader>
    <oddFooter>Página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EI28231"/>
  <sheetViews>
    <sheetView zoomScale="115" zoomScaleNormal="115" workbookViewId="0">
      <pane ySplit="2" topLeftCell="A28200" activePane="bottomLeft" state="frozen"/>
      <selection pane="bottomLeft" activeCell="A28231" sqref="A28231"/>
    </sheetView>
  </sheetViews>
  <sheetFormatPr baseColWidth="10" defaultRowHeight="12.5"/>
  <cols>
    <col min="1" max="1" width="11.453125" bestFit="1" customWidth="1"/>
    <col min="3" max="3" width="17.81640625" customWidth="1"/>
    <col min="4" max="4" width="17" customWidth="1"/>
    <col min="5" max="5" width="5" customWidth="1"/>
    <col min="6" max="14" width="6" customWidth="1"/>
    <col min="15" max="15" width="13.1796875" customWidth="1"/>
    <col min="16" max="20" width="6" customWidth="1"/>
    <col min="21" max="21" width="8.7265625" customWidth="1"/>
    <col min="22" max="22" width="7" customWidth="1"/>
    <col min="23" max="27" width="6" customWidth="1"/>
    <col min="28" max="28" width="9.7265625" customWidth="1"/>
    <col min="29" max="35" width="6" customWidth="1"/>
    <col min="36" max="36" width="8.7265625" customWidth="1"/>
    <col min="37" max="37" width="7" customWidth="1"/>
    <col min="38" max="41" width="6" customWidth="1"/>
    <col min="42" max="42" width="9.7265625" customWidth="1"/>
    <col min="43" max="48" width="6" customWidth="1"/>
    <col min="49" max="49" width="8.7265625" customWidth="1"/>
    <col min="50" max="50" width="7" customWidth="1"/>
    <col min="51" max="51" width="9.7265625" customWidth="1"/>
    <col min="52" max="59" width="6" customWidth="1"/>
    <col min="60" max="60" width="8.7265625" customWidth="1"/>
    <col min="61" max="61" width="7" customWidth="1"/>
    <col min="62" max="62" width="9.7265625" customWidth="1"/>
    <col min="63" max="68" width="6" customWidth="1"/>
    <col min="69" max="69" width="8.7265625" customWidth="1"/>
    <col min="70" max="70" width="13.1796875" customWidth="1"/>
    <col min="71" max="71" width="6" customWidth="1"/>
    <col min="72" max="72" width="8.7265625" customWidth="1"/>
    <col min="73" max="73" width="6" customWidth="1"/>
    <col min="74" max="74" width="8.7265625" customWidth="1"/>
    <col min="75" max="75" width="7" customWidth="1"/>
    <col min="76" max="76" width="9.7265625" customWidth="1"/>
    <col min="77" max="77" width="6" customWidth="1"/>
    <col min="78" max="78" width="8.7265625" customWidth="1"/>
    <col min="79" max="79" width="7.1796875" customWidth="1"/>
    <col min="80" max="82" width="6" customWidth="1"/>
    <col min="83" max="84" width="8.7265625" customWidth="1"/>
    <col min="85" max="85" width="7" customWidth="1"/>
    <col min="86" max="88" width="6" customWidth="1"/>
    <col min="89" max="89" width="9.7265625" customWidth="1"/>
    <col min="90" max="95" width="6" customWidth="1"/>
    <col min="96" max="96" width="8.7265625" customWidth="1"/>
    <col min="97" max="97" width="7" customWidth="1"/>
    <col min="98" max="100" width="6" customWidth="1"/>
    <col min="101" max="101" width="9.7265625" customWidth="1"/>
    <col min="102" max="106" width="6" customWidth="1"/>
    <col min="107" max="107" width="8.7265625" customWidth="1"/>
    <col min="108" max="108" width="7" customWidth="1"/>
    <col min="109" max="109" width="6" customWidth="1"/>
    <col min="110" max="110" width="9.7265625" customWidth="1"/>
    <col min="111" max="113" width="6" customWidth="1"/>
    <col min="114" max="114" width="8.7265625" customWidth="1"/>
    <col min="115" max="117" width="6" customWidth="1"/>
    <col min="118" max="118" width="8.7265625" customWidth="1"/>
    <col min="119" max="123" width="6" customWidth="1"/>
    <col min="124" max="124" width="8.7265625" customWidth="1"/>
    <col min="125" max="125" width="7.1796875" customWidth="1"/>
    <col min="126" max="127" width="6" customWidth="1"/>
    <col min="128" max="129" width="8.7265625" customWidth="1"/>
    <col min="130" max="130" width="7" customWidth="1"/>
    <col min="131" max="133" width="6" customWidth="1"/>
    <col min="134" max="134" width="9.7265625" customWidth="1"/>
    <col min="135" max="140" width="6" customWidth="1"/>
    <col min="141" max="141" width="8.7265625" customWidth="1"/>
    <col min="142" max="142" width="7" customWidth="1"/>
    <col min="143" max="147" width="6" customWidth="1"/>
    <col min="148" max="148" width="9.7265625" customWidth="1"/>
    <col min="149" max="154" width="6" customWidth="1"/>
    <col min="155" max="155" width="8.7265625" customWidth="1"/>
    <col min="156" max="156" width="7" customWidth="1"/>
    <col min="157" max="158" width="6" customWidth="1"/>
    <col min="159" max="159" width="9.7265625" customWidth="1"/>
    <col min="160" max="164" width="6" customWidth="1"/>
    <col min="165" max="165" width="8.7265625" customWidth="1"/>
    <col min="166" max="166" width="7" customWidth="1"/>
    <col min="167" max="167" width="9.7265625" customWidth="1"/>
    <col min="168" max="172" width="6" customWidth="1"/>
    <col min="173" max="173" width="8.7265625" customWidth="1"/>
    <col min="174" max="174" width="7" customWidth="1"/>
    <col min="175" max="175" width="9.7265625" customWidth="1"/>
    <col min="176" max="178" width="6" customWidth="1"/>
    <col min="179" max="179" width="8.7265625" customWidth="1"/>
    <col min="180" max="180" width="7.1796875" customWidth="1"/>
    <col min="181" max="182" width="6" customWidth="1"/>
    <col min="183" max="184" width="8.7265625" customWidth="1"/>
    <col min="185" max="185" width="7" customWidth="1"/>
    <col min="186" max="187" width="6" customWidth="1"/>
    <col min="188" max="188" width="9.7265625" customWidth="1"/>
    <col min="189" max="192" width="6" customWidth="1"/>
    <col min="193" max="193" width="8.7265625" customWidth="1"/>
    <col min="194" max="194" width="7" customWidth="1"/>
    <col min="195" max="197" width="6" customWidth="1"/>
    <col min="198" max="198" width="9.7265625" customWidth="1"/>
    <col min="199" max="201" width="6" customWidth="1"/>
    <col min="202" max="202" width="8.7265625" customWidth="1"/>
    <col min="203" max="203" width="7" customWidth="1"/>
    <col min="204" max="204" width="9.7265625" customWidth="1"/>
    <col min="205" max="205" width="7" customWidth="1"/>
    <col min="206" max="206" width="9.7265625" customWidth="1"/>
    <col min="207" max="208" width="6" customWidth="1"/>
    <col min="209" max="209" width="8.7265625" customWidth="1"/>
    <col min="210" max="210" width="6" customWidth="1"/>
    <col min="211" max="211" width="8.7265625" customWidth="1"/>
    <col min="212" max="212" width="7.1796875" customWidth="1"/>
    <col min="213" max="213" width="7" customWidth="1"/>
    <col min="214" max="214" width="6" customWidth="1"/>
    <col min="215" max="215" width="9.7265625" customWidth="1"/>
    <col min="216" max="219" width="6" customWidth="1"/>
    <col min="220" max="220" width="8.7265625" customWidth="1"/>
    <col min="221" max="221" width="7" customWidth="1"/>
    <col min="222" max="224" width="6" customWidth="1"/>
    <col min="225" max="225" width="9.7265625" customWidth="1"/>
    <col min="226" max="230" width="6" customWidth="1"/>
    <col min="231" max="231" width="8.7265625" customWidth="1"/>
    <col min="232" max="233" width="6" customWidth="1"/>
    <col min="234" max="234" width="8.7265625" customWidth="1"/>
    <col min="235" max="235" width="6" customWidth="1"/>
    <col min="236" max="236" width="8.7265625" customWidth="1"/>
    <col min="237" max="237" width="7.1796875" customWidth="1"/>
    <col min="238" max="238" width="6" customWidth="1"/>
    <col min="239" max="240" width="8.7265625" customWidth="1"/>
    <col min="241" max="241" width="7" customWidth="1"/>
    <col min="242" max="242" width="6" customWidth="1"/>
    <col min="243" max="243" width="9.7265625" customWidth="1"/>
    <col min="244" max="248" width="6" customWidth="1"/>
    <col min="249" max="249" width="8.7265625" customWidth="1"/>
    <col min="250" max="250" width="7" customWidth="1"/>
    <col min="251" max="253" width="6" customWidth="1"/>
    <col min="254" max="254" width="9.7265625" customWidth="1"/>
    <col min="255" max="256" width="6" customWidth="1"/>
    <col min="257" max="257" width="8.7265625" customWidth="1"/>
    <col min="258" max="258" width="7" customWidth="1"/>
    <col min="259" max="259" width="9.7265625" customWidth="1"/>
    <col min="260" max="262" width="6" customWidth="1"/>
    <col min="263" max="263" width="8.7265625" customWidth="1"/>
    <col min="264" max="264" width="6" customWidth="1"/>
    <col min="265" max="265" width="8.7265625" customWidth="1"/>
    <col min="266" max="266" width="7.1796875" customWidth="1"/>
    <col min="267" max="267" width="6" customWidth="1"/>
    <col min="268" max="269" width="8.7265625" customWidth="1"/>
    <col min="270" max="270" width="6" customWidth="1"/>
    <col min="271" max="272" width="8.7265625" customWidth="1"/>
    <col min="273" max="273" width="7" customWidth="1"/>
    <col min="274" max="275" width="6" customWidth="1"/>
    <col min="276" max="276" width="9.7265625" customWidth="1"/>
    <col min="277" max="280" width="6" customWidth="1"/>
    <col min="281" max="281" width="8.7265625" customWidth="1"/>
    <col min="282" max="282" width="7" customWidth="1"/>
    <col min="283" max="285" width="6" customWidth="1"/>
    <col min="286" max="286" width="9.7265625" customWidth="1"/>
    <col min="287" max="288" width="6" customWidth="1"/>
    <col min="289" max="289" width="8.7265625" customWidth="1"/>
    <col min="290" max="290" width="7" customWidth="1"/>
    <col min="291" max="291" width="9.7265625" customWidth="1"/>
    <col min="292" max="292" width="6" customWidth="1"/>
    <col min="293" max="293" width="8.7265625" customWidth="1"/>
    <col min="294" max="294" width="6" customWidth="1"/>
    <col min="295" max="295" width="8.7265625" customWidth="1"/>
    <col min="296" max="296" width="7.1796875" customWidth="1"/>
    <col min="297" max="298" width="6" customWidth="1"/>
    <col min="299" max="300" width="8.7265625" customWidth="1"/>
    <col min="301" max="301" width="7" customWidth="1"/>
    <col min="302" max="304" width="6" customWidth="1"/>
    <col min="305" max="305" width="9.7265625" customWidth="1"/>
    <col min="306" max="311" width="6" customWidth="1"/>
    <col min="312" max="312" width="8.7265625" customWidth="1"/>
    <col min="313" max="313" width="7" customWidth="1"/>
    <col min="314" max="317" width="6" customWidth="1"/>
    <col min="318" max="318" width="9.7265625" customWidth="1"/>
    <col min="319" max="324" width="6" customWidth="1"/>
    <col min="325" max="325" width="8.7265625" customWidth="1"/>
    <col min="326" max="326" width="7" customWidth="1"/>
    <col min="327" max="327" width="6" customWidth="1"/>
    <col min="328" max="328" width="9.7265625" customWidth="1"/>
    <col min="329" max="333" width="6" customWidth="1"/>
    <col min="334" max="334" width="8.7265625" customWidth="1"/>
    <col min="335" max="337" width="6" customWidth="1"/>
    <col min="338" max="338" width="8.7265625" customWidth="1"/>
    <col min="339" max="343" width="6" customWidth="1"/>
    <col min="344" max="344" width="8.7265625" customWidth="1"/>
    <col min="345" max="345" width="8.1796875" customWidth="1"/>
    <col min="346" max="346" width="7" customWidth="1"/>
    <col min="347" max="347" width="6" customWidth="1"/>
    <col min="348" max="348" width="9.7265625" customWidth="1"/>
    <col min="349" max="352" width="6" customWidth="1"/>
    <col min="353" max="353" width="8.7265625" customWidth="1"/>
    <col min="354" max="354" width="7" customWidth="1"/>
    <col min="355" max="355" width="9.7265625" customWidth="1"/>
    <col min="356" max="358" width="6" customWidth="1"/>
    <col min="359" max="359" width="8.7265625" customWidth="1"/>
    <col min="360" max="360" width="6" customWidth="1"/>
    <col min="361" max="361" width="8.7265625" customWidth="1"/>
    <col min="362" max="362" width="8.1796875" customWidth="1"/>
    <col min="363" max="363" width="7" customWidth="1"/>
    <col min="364" max="364" width="6" customWidth="1"/>
    <col min="365" max="365" width="9.7265625" customWidth="1"/>
    <col min="366" max="370" width="6" customWidth="1"/>
    <col min="371" max="371" width="8.7265625" customWidth="1"/>
    <col min="372" max="372" width="7" customWidth="1"/>
    <col min="373" max="374" width="6" customWidth="1"/>
    <col min="375" max="375" width="9.7265625" customWidth="1"/>
    <col min="376" max="378" width="6" customWidth="1"/>
    <col min="379" max="379" width="8.7265625" customWidth="1"/>
    <col min="380" max="380" width="7" customWidth="1"/>
    <col min="381" max="381" width="9.7265625" customWidth="1"/>
    <col min="382" max="382" width="6" customWidth="1"/>
    <col min="383" max="383" width="8.7265625" customWidth="1"/>
    <col min="384" max="385" width="6" customWidth="1"/>
    <col min="386" max="386" width="8.7265625" customWidth="1"/>
    <col min="387" max="387" width="8.1796875" customWidth="1"/>
    <col min="388" max="388" width="7" customWidth="1"/>
    <col min="389" max="389" width="9.7265625" customWidth="1"/>
    <col min="390" max="394" width="6" customWidth="1"/>
    <col min="395" max="395" width="8.7265625" customWidth="1"/>
    <col min="396" max="396" width="7" customWidth="1"/>
    <col min="397" max="397" width="9.7265625" customWidth="1"/>
    <col min="398" max="399" width="6" customWidth="1"/>
    <col min="400" max="400" width="8.7265625" customWidth="1"/>
    <col min="401" max="401" width="7" customWidth="1"/>
    <col min="402" max="402" width="9.7265625" customWidth="1"/>
    <col min="403" max="403" width="6" customWidth="1"/>
    <col min="404" max="404" width="8.7265625" customWidth="1"/>
    <col min="405" max="406" width="6" customWidth="1"/>
    <col min="407" max="407" width="8.7265625" customWidth="1"/>
    <col min="408" max="408" width="8.1796875" customWidth="1"/>
    <col min="409" max="409" width="7" customWidth="1"/>
    <col min="410" max="410" width="6" customWidth="1"/>
    <col min="411" max="411" width="9.7265625" customWidth="1"/>
    <col min="412" max="416" width="6" customWidth="1"/>
    <col min="417" max="417" width="8.7265625" customWidth="1"/>
    <col min="418" max="418" width="7" customWidth="1"/>
    <col min="419" max="419" width="9.7265625" customWidth="1"/>
    <col min="420" max="421" width="6" customWidth="1"/>
    <col min="422" max="422" width="8.7265625" customWidth="1"/>
    <col min="423" max="423" width="6" customWidth="1"/>
    <col min="424" max="424" width="8.7265625" customWidth="1"/>
    <col min="425" max="425" width="8.1796875" customWidth="1"/>
    <col min="426" max="426" width="7" customWidth="1"/>
    <col min="427" max="429" width="6" customWidth="1"/>
    <col min="430" max="430" width="9.7265625" customWidth="1"/>
    <col min="431" max="435" width="6" customWidth="1"/>
    <col min="436" max="436" width="8.7265625" customWidth="1"/>
    <col min="437" max="437" width="7" customWidth="1"/>
    <col min="438" max="441" width="6" customWidth="1"/>
    <col min="442" max="442" width="9.7265625" customWidth="1"/>
    <col min="443" max="447" width="6" customWidth="1"/>
    <col min="448" max="448" width="8.7265625" customWidth="1"/>
    <col min="449" max="449" width="7" customWidth="1"/>
    <col min="450" max="450" width="9.7265625" customWidth="1"/>
    <col min="451" max="454" width="6" customWidth="1"/>
    <col min="455" max="455" width="8.7265625" customWidth="1"/>
    <col min="456" max="460" width="6" customWidth="1"/>
    <col min="461" max="461" width="8.7265625" customWidth="1"/>
    <col min="462" max="462" width="6" customWidth="1"/>
    <col min="463" max="463" width="8.7265625" customWidth="1"/>
    <col min="464" max="464" width="8.1796875" customWidth="1"/>
    <col min="465" max="465" width="7" customWidth="1"/>
    <col min="466" max="466" width="9.7265625" customWidth="1"/>
    <col min="467" max="471" width="6" customWidth="1"/>
    <col min="472" max="472" width="8.7265625" customWidth="1"/>
    <col min="473" max="473" width="7" customWidth="1"/>
    <col min="474" max="474" width="6" customWidth="1"/>
    <col min="475" max="475" width="9.7265625" customWidth="1"/>
    <col min="476" max="477" width="6" customWidth="1"/>
    <col min="478" max="478" width="8.7265625" customWidth="1"/>
    <col min="479" max="479" width="8.1796875" customWidth="1"/>
    <col min="480" max="480" width="7" customWidth="1"/>
    <col min="481" max="481" width="6" customWidth="1"/>
    <col min="482" max="482" width="9.7265625" customWidth="1"/>
    <col min="483" max="486" width="6" customWidth="1"/>
    <col min="487" max="487" width="8.7265625" customWidth="1"/>
    <col min="488" max="488" width="7" customWidth="1"/>
    <col min="489" max="489" width="9.7265625" customWidth="1"/>
    <col min="490" max="491" width="6" customWidth="1"/>
    <col min="492" max="492" width="8.7265625" customWidth="1"/>
    <col min="493" max="493" width="6" customWidth="1"/>
    <col min="494" max="494" width="8.7265625" customWidth="1"/>
    <col min="495" max="495" width="6" customWidth="1"/>
    <col min="496" max="496" width="8.7265625" customWidth="1"/>
    <col min="497" max="497" width="6" customWidth="1"/>
    <col min="498" max="498" width="8.7265625" customWidth="1"/>
    <col min="499" max="499" width="8.1796875" customWidth="1"/>
    <col min="500" max="503" width="6" customWidth="1"/>
    <col min="504" max="504" width="8.7265625" customWidth="1"/>
    <col min="505" max="505" width="7" customWidth="1"/>
    <col min="506" max="506" width="6" customWidth="1"/>
    <col min="507" max="507" width="9.7265625" customWidth="1"/>
    <col min="508" max="510" width="6" customWidth="1"/>
    <col min="511" max="511" width="8.7265625" customWidth="1"/>
    <col min="512" max="512" width="6" customWidth="1"/>
    <col min="513" max="513" width="8.7265625" customWidth="1"/>
    <col min="514" max="514" width="8.1796875" customWidth="1"/>
    <col min="515" max="515" width="7" customWidth="1"/>
    <col min="516" max="516" width="9.7265625" customWidth="1"/>
    <col min="517" max="518" width="6" customWidth="1"/>
    <col min="519" max="519" width="8.7265625" customWidth="1"/>
    <col min="520" max="520" width="7" customWidth="1"/>
    <col min="521" max="521" width="9.7265625" customWidth="1"/>
    <col min="522" max="522" width="6" customWidth="1"/>
    <col min="523" max="523" width="8.7265625" customWidth="1"/>
    <col min="524" max="524" width="8.1796875" customWidth="1"/>
    <col min="525" max="525" width="7" customWidth="1"/>
    <col min="526" max="526" width="6" customWidth="1"/>
    <col min="527" max="527" width="9.7265625" customWidth="1"/>
    <col min="528" max="531" width="6" customWidth="1"/>
    <col min="532" max="532" width="8.7265625" customWidth="1"/>
    <col min="533" max="533" width="7" customWidth="1"/>
    <col min="534" max="535" width="6" customWidth="1"/>
    <col min="536" max="536" width="9.7265625" customWidth="1"/>
    <col min="537" max="540" width="6" customWidth="1"/>
    <col min="541" max="541" width="8.7265625" customWidth="1"/>
    <col min="542" max="542" width="7" customWidth="1"/>
    <col min="543" max="543" width="6" customWidth="1"/>
    <col min="544" max="544" width="9.7265625" customWidth="1"/>
    <col min="545" max="545" width="6" customWidth="1"/>
    <col min="546" max="546" width="8.7265625" customWidth="1"/>
    <col min="547" max="551" width="6" customWidth="1"/>
    <col min="552" max="552" width="8.7265625" customWidth="1"/>
    <col min="553" max="555" width="6" customWidth="1"/>
    <col min="556" max="556" width="8.7265625" customWidth="1"/>
    <col min="557" max="557" width="8.1796875" customWidth="1"/>
    <col min="558" max="560" width="6" customWidth="1"/>
    <col min="561" max="561" width="8.7265625" customWidth="1"/>
    <col min="562" max="562" width="8.1796875" customWidth="1"/>
    <col min="563" max="564" width="6" customWidth="1"/>
    <col min="565" max="565" width="8.7265625" customWidth="1"/>
    <col min="566" max="566" width="7" customWidth="1"/>
    <col min="567" max="567" width="9.7265625" customWidth="1"/>
    <col min="568" max="568" width="8.1796875" customWidth="1"/>
    <col min="569" max="570" width="6" customWidth="1"/>
    <col min="571" max="571" width="8.7265625" customWidth="1"/>
    <col min="572" max="572" width="8.1796875" customWidth="1"/>
    <col min="573" max="573" width="7" customWidth="1"/>
    <col min="574" max="574" width="9.7265625" customWidth="1"/>
    <col min="575" max="577" width="6" customWidth="1"/>
    <col min="578" max="578" width="8.7265625" customWidth="1"/>
    <col min="579" max="579" width="8.1796875" customWidth="1"/>
    <col min="580" max="580" width="7" customWidth="1"/>
    <col min="581" max="582" width="6" customWidth="1"/>
    <col min="583" max="583" width="9.7265625" customWidth="1"/>
    <col min="584" max="584" width="6" customWidth="1"/>
    <col min="585" max="585" width="5" customWidth="1"/>
    <col min="586" max="590" width="6" customWidth="1"/>
    <col min="591" max="591" width="8.7265625" customWidth="1"/>
    <col min="592" max="592" width="7" customWidth="1"/>
    <col min="593" max="594" width="6" customWidth="1"/>
    <col min="595" max="595" width="9.7265625" customWidth="1"/>
    <col min="596" max="601" width="6" customWidth="1"/>
    <col min="602" max="602" width="8.7265625" customWidth="1"/>
    <col min="603" max="603" width="7" customWidth="1"/>
    <col min="604" max="605" width="6" customWidth="1"/>
    <col min="606" max="606" width="9.7265625" customWidth="1"/>
    <col min="607" max="611" width="6" customWidth="1"/>
    <col min="612" max="612" width="8.7265625" customWidth="1"/>
    <col min="613" max="618" width="6" customWidth="1"/>
    <col min="619" max="619" width="8.7265625" customWidth="1"/>
    <col min="620" max="620" width="8.1796875" customWidth="1"/>
    <col min="621" max="623" width="6" customWidth="1"/>
    <col min="624" max="624" width="8.7265625" customWidth="1"/>
    <col min="625" max="625" width="8.1796875" customWidth="1"/>
    <col min="626" max="626" width="6" customWidth="1"/>
    <col min="627" max="627" width="8.7265625" customWidth="1"/>
    <col min="628" max="628" width="8.1796875" customWidth="1"/>
    <col min="629" max="631" width="6" customWidth="1"/>
    <col min="632" max="632" width="8.7265625" customWidth="1"/>
    <col min="633" max="633" width="6" customWidth="1"/>
    <col min="634" max="634" width="8.7265625" customWidth="1"/>
    <col min="635" max="636" width="6" customWidth="1"/>
    <col min="637" max="637" width="8.7265625" customWidth="1"/>
    <col min="638" max="638" width="8.1796875" customWidth="1"/>
    <col min="639" max="639" width="6" customWidth="1"/>
    <col min="640" max="640" width="8.7265625" customWidth="1"/>
    <col min="641" max="641" width="8.1796875" customWidth="1"/>
    <col min="642" max="642" width="6" customWidth="1"/>
    <col min="643" max="643" width="8.7265625" customWidth="1"/>
    <col min="644" max="644" width="8.1796875" customWidth="1"/>
    <col min="645" max="645" width="6" customWidth="1"/>
    <col min="646" max="646" width="5" customWidth="1"/>
    <col min="647" max="647" width="8.7265625" customWidth="1"/>
    <col min="648" max="648" width="9.1796875" customWidth="1"/>
    <col min="649" max="649" width="6" customWidth="1"/>
    <col min="650" max="650" width="8.7265625" customWidth="1"/>
    <col min="651" max="651" width="9.1796875" customWidth="1"/>
    <col min="652" max="652" width="6" customWidth="1"/>
    <col min="653" max="653" width="8.7265625" customWidth="1"/>
    <col min="654" max="654" width="9.1796875" customWidth="1"/>
    <col min="655" max="655" width="7" customWidth="1"/>
    <col min="656" max="656" width="8.7265625" customWidth="1"/>
    <col min="657" max="657" width="10.1796875" customWidth="1"/>
    <col min="658" max="658" width="7" customWidth="1"/>
    <col min="659" max="659" width="8.7265625" customWidth="1"/>
    <col min="660" max="660" width="10.1796875" customWidth="1"/>
    <col min="661" max="661" width="7" customWidth="1"/>
    <col min="662" max="662" width="8.7265625" customWidth="1"/>
    <col min="663" max="663" width="10.1796875" customWidth="1"/>
    <col min="664" max="664" width="7" customWidth="1"/>
    <col min="665" max="665" width="8.7265625" customWidth="1"/>
    <col min="666" max="666" width="10.1796875" customWidth="1"/>
    <col min="667" max="667" width="7" customWidth="1"/>
    <col min="668" max="668" width="8.7265625" customWidth="1"/>
    <col min="669" max="669" width="10.1796875" customWidth="1"/>
    <col min="670" max="670" width="7" customWidth="1"/>
    <col min="671" max="671" width="8.7265625" customWidth="1"/>
    <col min="672" max="672" width="10.1796875" customWidth="1"/>
    <col min="673" max="673" width="8" customWidth="1"/>
    <col min="674" max="674" width="8.7265625" customWidth="1"/>
    <col min="675" max="675" width="11.1796875" customWidth="1"/>
    <col min="676" max="676" width="9" customWidth="1"/>
    <col min="677" max="677" width="8.7265625" customWidth="1"/>
    <col min="678" max="678" width="12.1796875" customWidth="1"/>
    <col min="679" max="679" width="13.1796875" customWidth="1"/>
    <col min="680" max="680" width="7" customWidth="1"/>
    <col min="681" max="681" width="6" customWidth="1"/>
    <col min="682" max="682" width="9.7265625" customWidth="1"/>
    <col min="683" max="686" width="6" customWidth="1"/>
    <col min="687" max="687" width="8.7265625" customWidth="1"/>
    <col min="688" max="688" width="7" customWidth="1"/>
    <col min="689" max="690" width="6" customWidth="1"/>
    <col min="691" max="691" width="9.7265625" customWidth="1"/>
    <col min="692" max="695" width="6" customWidth="1"/>
    <col min="696" max="696" width="8.7265625" customWidth="1"/>
    <col min="697" max="697" width="7" customWidth="1"/>
    <col min="698" max="698" width="9.7265625" customWidth="1"/>
    <col min="699" max="700" width="6" customWidth="1"/>
    <col min="701" max="701" width="8.7265625" customWidth="1"/>
    <col min="702" max="702" width="7" customWidth="1"/>
    <col min="703" max="703" width="9.7265625" customWidth="1"/>
    <col min="704" max="705" width="6" customWidth="1"/>
    <col min="706" max="706" width="8.7265625" customWidth="1"/>
    <col min="707" max="707" width="7.1796875" customWidth="1"/>
    <col min="708" max="711" width="6" customWidth="1"/>
    <col min="712" max="712" width="8.7265625" customWidth="1"/>
    <col min="713" max="713" width="6" customWidth="1"/>
    <col min="714" max="714" width="8.7265625" customWidth="1"/>
    <col min="715" max="715" width="7" customWidth="1"/>
    <col min="716" max="716" width="9.7265625" customWidth="1"/>
    <col min="717" max="717" width="7.1796875" customWidth="1"/>
    <col min="718" max="721" width="6" customWidth="1"/>
    <col min="722" max="722" width="8.7265625" customWidth="1"/>
    <col min="723" max="723" width="6" customWidth="1"/>
    <col min="724" max="724" width="8.7265625" customWidth="1"/>
    <col min="725" max="725" width="7.1796875" customWidth="1"/>
    <col min="726" max="729" width="6" customWidth="1"/>
    <col min="730" max="730" width="8.7265625" customWidth="1"/>
    <col min="731" max="731" width="7" customWidth="1"/>
    <col min="732" max="732" width="9.7265625" customWidth="1"/>
    <col min="733" max="733" width="7.1796875" customWidth="1"/>
    <col min="734" max="734" width="6" customWidth="1"/>
    <col min="735" max="735" width="8.7265625" customWidth="1"/>
    <col min="736" max="736" width="7.1796875" customWidth="1"/>
    <col min="737" max="737" width="7" customWidth="1"/>
    <col min="738" max="738" width="9.7265625" customWidth="1"/>
    <col min="739" max="742" width="6" customWidth="1"/>
    <col min="743" max="743" width="8.7265625" customWidth="1"/>
    <col min="744" max="744" width="7" customWidth="1"/>
    <col min="745" max="745" width="9.7265625" customWidth="1"/>
    <col min="746" max="748" width="6" customWidth="1"/>
    <col min="749" max="749" width="8.7265625" customWidth="1"/>
    <col min="750" max="751" width="6" customWidth="1"/>
    <col min="752" max="752" width="8.7265625" customWidth="1"/>
    <col min="753" max="753" width="6" customWidth="1"/>
    <col min="754" max="754" width="8.7265625" customWidth="1"/>
    <col min="755" max="755" width="8.1796875" customWidth="1"/>
    <col min="756" max="756" width="6" customWidth="1"/>
    <col min="757" max="757" width="8.7265625" customWidth="1"/>
    <col min="758" max="758" width="7" customWidth="1"/>
    <col min="759" max="759" width="9.7265625" customWidth="1"/>
    <col min="760" max="760" width="6" customWidth="1"/>
    <col min="761" max="761" width="8.7265625" customWidth="1"/>
    <col min="762" max="762" width="8.1796875" customWidth="1"/>
    <col min="763" max="764" width="6" customWidth="1"/>
    <col min="765" max="765" width="8.7265625" customWidth="1"/>
    <col min="766" max="766" width="8.1796875" customWidth="1"/>
    <col min="767" max="767" width="6" customWidth="1"/>
    <col min="768" max="768" width="8.7265625" customWidth="1"/>
    <col min="769" max="769" width="6" customWidth="1"/>
    <col min="770" max="770" width="8.7265625" customWidth="1"/>
    <col min="771" max="771" width="8.1796875" customWidth="1"/>
    <col min="772" max="772" width="6" customWidth="1"/>
    <col min="773" max="773" width="8.7265625" customWidth="1"/>
    <col min="774" max="774" width="8.1796875" customWidth="1"/>
    <col min="775" max="778" width="6" customWidth="1"/>
    <col min="779" max="779" width="8.7265625" customWidth="1"/>
    <col min="780" max="780" width="7" customWidth="1"/>
    <col min="781" max="781" width="9.7265625" customWidth="1"/>
    <col min="782" max="783" width="6" customWidth="1"/>
    <col min="784" max="784" width="8.7265625" customWidth="1"/>
    <col min="785" max="785" width="6" customWidth="1"/>
    <col min="786" max="786" width="8.7265625" customWidth="1"/>
    <col min="787" max="787" width="6" customWidth="1"/>
    <col min="788" max="788" width="8.7265625" customWidth="1"/>
    <col min="789" max="789" width="8.1796875" customWidth="1"/>
    <col min="790" max="791" width="6" customWidth="1"/>
    <col min="792" max="792" width="8.7265625" customWidth="1"/>
    <col min="793" max="794" width="6" customWidth="1"/>
    <col min="795" max="795" width="8.7265625" customWidth="1"/>
    <col min="796" max="796" width="8.1796875" customWidth="1"/>
    <col min="797" max="797" width="6" customWidth="1"/>
    <col min="798" max="798" width="8.7265625" customWidth="1"/>
    <col min="799" max="799" width="8.1796875" customWidth="1"/>
    <col min="800" max="802" width="6" customWidth="1"/>
    <col min="803" max="803" width="8.7265625" customWidth="1"/>
    <col min="804" max="804" width="7" customWidth="1"/>
    <col min="805" max="805" width="9.7265625" customWidth="1"/>
    <col min="806" max="807" width="6" customWidth="1"/>
    <col min="808" max="808" width="8.7265625" customWidth="1"/>
    <col min="809" max="809" width="8.1796875" customWidth="1"/>
    <col min="810" max="810" width="6" customWidth="1"/>
    <col min="811" max="811" width="8.7265625" customWidth="1"/>
    <col min="812" max="812" width="8.1796875" customWidth="1"/>
    <col min="813" max="813" width="6" customWidth="1"/>
    <col min="814" max="814" width="8.7265625" customWidth="1"/>
    <col min="815" max="815" width="8.1796875" customWidth="1"/>
    <col min="816" max="819" width="6" customWidth="1"/>
    <col min="820" max="820" width="8.7265625" customWidth="1"/>
    <col min="821" max="821" width="7" customWidth="1"/>
    <col min="822" max="822" width="9.7265625" customWidth="1"/>
    <col min="823" max="823" width="7" customWidth="1"/>
    <col min="824" max="824" width="9.7265625" customWidth="1"/>
    <col min="825" max="826" width="6" customWidth="1"/>
    <col min="827" max="827" width="8.7265625" customWidth="1"/>
    <col min="828" max="829" width="6" customWidth="1"/>
    <col min="830" max="830" width="8.7265625" customWidth="1"/>
    <col min="831" max="831" width="8.1796875" customWidth="1"/>
    <col min="832" max="832" width="7" customWidth="1"/>
    <col min="833" max="833" width="8.7265625" customWidth="1"/>
    <col min="834" max="835" width="10.1796875" customWidth="1"/>
    <col min="836" max="836" width="7" customWidth="1"/>
    <col min="837" max="837" width="9.7265625" customWidth="1"/>
    <col min="838" max="838" width="7.1796875" customWidth="1"/>
    <col min="839" max="839" width="7" customWidth="1"/>
    <col min="840" max="840" width="9.7265625" customWidth="1"/>
    <col min="841" max="841" width="6" customWidth="1"/>
    <col min="842" max="842" width="8.7265625" customWidth="1"/>
    <col min="843" max="843" width="7.1796875" customWidth="1"/>
    <col min="844" max="844" width="6" customWidth="1"/>
    <col min="845" max="845" width="8.7265625" customWidth="1"/>
    <col min="846" max="846" width="7" customWidth="1"/>
    <col min="847" max="847" width="9.7265625" customWidth="1"/>
    <col min="848" max="848" width="7.1796875" customWidth="1"/>
    <col min="849" max="849" width="10.1796875" customWidth="1"/>
    <col min="850" max="850" width="7" customWidth="1"/>
    <col min="851" max="851" width="8.7265625" customWidth="1"/>
    <col min="852" max="852" width="8.1796875" customWidth="1"/>
    <col min="853" max="853" width="10.1796875" customWidth="1"/>
    <col min="854" max="854" width="7" customWidth="1"/>
    <col min="855" max="855" width="6" customWidth="1"/>
    <col min="856" max="856" width="8.7265625" customWidth="1"/>
    <col min="857" max="857" width="6" customWidth="1"/>
    <col min="858" max="858" width="8.7265625" customWidth="1"/>
    <col min="859" max="859" width="7.1796875" customWidth="1"/>
    <col min="860" max="861" width="6" customWidth="1"/>
    <col min="862" max="862" width="8.7265625" customWidth="1"/>
    <col min="863" max="863" width="7.1796875" customWidth="1"/>
    <col min="864" max="864" width="6" customWidth="1"/>
    <col min="865" max="865" width="8.7265625" customWidth="1"/>
    <col min="866" max="866" width="7.1796875" customWidth="1"/>
    <col min="867" max="867" width="6" customWidth="1"/>
    <col min="868" max="868" width="8.7265625" customWidth="1"/>
    <col min="869" max="869" width="8.1796875" customWidth="1"/>
    <col min="870" max="870" width="6" customWidth="1"/>
    <col min="871" max="871" width="8.7265625" customWidth="1"/>
    <col min="872" max="872" width="8.1796875" customWidth="1"/>
    <col min="873" max="873" width="10.1796875" customWidth="1"/>
    <col min="874" max="874" width="7" customWidth="1"/>
    <col min="875" max="875" width="8.7265625" customWidth="1"/>
    <col min="876" max="876" width="7.1796875" customWidth="1"/>
    <col min="877" max="877" width="6" customWidth="1"/>
    <col min="878" max="878" width="8.7265625" customWidth="1"/>
    <col min="879" max="879" width="8.1796875" customWidth="1"/>
    <col min="880" max="880" width="10.1796875" customWidth="1"/>
    <col min="881" max="881" width="7" customWidth="1"/>
    <col min="882" max="882" width="8.7265625" customWidth="1"/>
    <col min="883" max="883" width="7.1796875" customWidth="1"/>
    <col min="884" max="885" width="6" customWidth="1"/>
    <col min="886" max="886" width="8.7265625" customWidth="1"/>
    <col min="887" max="887" width="7.1796875" customWidth="1"/>
    <col min="888" max="888" width="6" customWidth="1"/>
    <col min="889" max="889" width="8.7265625" customWidth="1"/>
    <col min="890" max="890" width="7.1796875" customWidth="1"/>
    <col min="891" max="891" width="10.1796875" customWidth="1"/>
    <col min="892" max="892" width="7" customWidth="1"/>
    <col min="893" max="893" width="8.7265625" customWidth="1"/>
    <col min="894" max="894" width="7.1796875" customWidth="1"/>
    <col min="895" max="895" width="10.1796875" customWidth="1"/>
    <col min="896" max="896" width="7" customWidth="1"/>
    <col min="897" max="897" width="8.7265625" customWidth="1"/>
    <col min="898" max="898" width="7.1796875" customWidth="1"/>
    <col min="899" max="903" width="6" customWidth="1"/>
    <col min="904" max="904" width="8.7265625" customWidth="1"/>
    <col min="905" max="905" width="7" customWidth="1"/>
    <col min="906" max="906" width="9.7265625" customWidth="1"/>
    <col min="907" max="907" width="7.1796875" customWidth="1"/>
    <col min="908" max="910" width="6" customWidth="1"/>
    <col min="911" max="911" width="8.7265625" customWidth="1"/>
    <col min="912" max="912" width="7.1796875" customWidth="1"/>
    <col min="913" max="916" width="6" customWidth="1"/>
    <col min="917" max="917" width="8.7265625" customWidth="1"/>
    <col min="918" max="918" width="7.1796875" customWidth="1"/>
    <col min="919" max="919" width="6" customWidth="1"/>
    <col min="920" max="920" width="8.7265625" customWidth="1"/>
    <col min="921" max="921" width="7.1796875" customWidth="1"/>
    <col min="922" max="922" width="6" customWidth="1"/>
    <col min="923" max="923" width="8.7265625" customWidth="1"/>
    <col min="924" max="924" width="7.1796875" customWidth="1"/>
    <col min="925" max="925" width="6" customWidth="1"/>
    <col min="926" max="926" width="8.7265625" customWidth="1"/>
    <col min="927" max="927" width="8.1796875" customWidth="1"/>
    <col min="928" max="928" width="6" customWidth="1"/>
    <col min="929" max="929" width="8.7265625" customWidth="1"/>
    <col min="930" max="930" width="8.1796875" customWidth="1"/>
    <col min="931" max="931" width="10.1796875" customWidth="1"/>
    <col min="932" max="932" width="7" customWidth="1"/>
    <col min="933" max="933" width="8.7265625" customWidth="1"/>
    <col min="934" max="934" width="7.1796875" customWidth="1"/>
    <col min="935" max="937" width="6" customWidth="1"/>
    <col min="938" max="938" width="8.7265625" customWidth="1"/>
    <col min="939" max="939" width="7.1796875" customWidth="1"/>
    <col min="940" max="940" width="6" customWidth="1"/>
    <col min="941" max="941" width="8.7265625" customWidth="1"/>
    <col min="942" max="942" width="8.1796875" customWidth="1"/>
    <col min="943" max="943" width="6" customWidth="1"/>
    <col min="944" max="944" width="8.7265625" customWidth="1"/>
    <col min="945" max="945" width="8.1796875" customWidth="1"/>
    <col min="946" max="946" width="10.1796875" customWidth="1"/>
    <col min="947" max="947" width="7" customWidth="1"/>
    <col min="948" max="948" width="9.7265625" customWidth="1"/>
    <col min="949" max="949" width="6" customWidth="1"/>
    <col min="950" max="950" width="8.7265625" customWidth="1"/>
    <col min="951" max="951" width="7.1796875" customWidth="1"/>
    <col min="952" max="952" width="6" customWidth="1"/>
    <col min="953" max="953" width="8.7265625" customWidth="1"/>
    <col min="954" max="954" width="7.1796875" customWidth="1"/>
    <col min="955" max="955" width="6" customWidth="1"/>
    <col min="956" max="956" width="8.7265625" customWidth="1"/>
    <col min="957" max="957" width="6" customWidth="1"/>
    <col min="958" max="958" width="8.7265625" customWidth="1"/>
    <col min="959" max="959" width="7.1796875" customWidth="1"/>
    <col min="960" max="960" width="6" customWidth="1"/>
    <col min="961" max="962" width="8.7265625" customWidth="1"/>
    <col min="963" max="965" width="6" customWidth="1"/>
    <col min="966" max="966" width="8.7265625" customWidth="1"/>
    <col min="967" max="967" width="7.1796875" customWidth="1"/>
    <col min="968" max="968" width="7" customWidth="1"/>
    <col min="969" max="969" width="9.7265625" customWidth="1"/>
    <col min="970" max="973" width="6" customWidth="1"/>
    <col min="974" max="974" width="8.7265625" customWidth="1"/>
    <col min="975" max="975" width="7" customWidth="1"/>
    <col min="976" max="976" width="6" customWidth="1"/>
    <col min="977" max="977" width="9.7265625" customWidth="1"/>
    <col min="978" max="978" width="6" customWidth="1"/>
    <col min="979" max="979" width="8.7265625" customWidth="1"/>
    <col min="980" max="980" width="7.1796875" customWidth="1"/>
    <col min="981" max="981" width="6" customWidth="1"/>
    <col min="982" max="982" width="8.7265625" customWidth="1"/>
    <col min="983" max="983" width="7.1796875" customWidth="1"/>
    <col min="984" max="984" width="6" customWidth="1"/>
    <col min="985" max="985" width="8.7265625" customWidth="1"/>
    <col min="986" max="986" width="7.1796875" customWidth="1"/>
    <col min="987" max="987" width="6" customWidth="1"/>
    <col min="988" max="988" width="8.7265625" customWidth="1"/>
    <col min="989" max="989" width="7.1796875" customWidth="1"/>
    <col min="990" max="991" width="6" customWidth="1"/>
    <col min="992" max="992" width="8.7265625" customWidth="1"/>
    <col min="993" max="993" width="8.1796875" customWidth="1"/>
    <col min="994" max="994" width="6" customWidth="1"/>
    <col min="995" max="995" width="8.7265625" customWidth="1"/>
    <col min="996" max="996" width="8.1796875" customWidth="1"/>
    <col min="997" max="997" width="6" customWidth="1"/>
    <col min="998" max="998" width="8.7265625" customWidth="1"/>
    <col min="999" max="999" width="8.1796875" customWidth="1"/>
    <col min="1000" max="1001" width="6" customWidth="1"/>
    <col min="1002" max="1002" width="8.7265625" customWidth="1"/>
    <col min="1003" max="1003" width="8.1796875" customWidth="1"/>
    <col min="1004" max="1004" width="6" customWidth="1"/>
    <col min="1005" max="1005" width="8.7265625" customWidth="1"/>
    <col min="1006" max="1006" width="8.1796875" customWidth="1"/>
    <col min="1007" max="1007" width="7" customWidth="1"/>
    <col min="1008" max="1008" width="9.7265625" customWidth="1"/>
    <col min="1009" max="1009" width="8.1796875" customWidth="1"/>
    <col min="1010" max="1010" width="6" customWidth="1"/>
    <col min="1011" max="1011" width="8.7265625" customWidth="1"/>
    <col min="1012" max="1012" width="8.1796875" customWidth="1"/>
    <col min="1013" max="1013" width="10.1796875" customWidth="1"/>
    <col min="1014" max="1014" width="7" customWidth="1"/>
    <col min="1015" max="1015" width="9.7265625" customWidth="1"/>
    <col min="1016" max="1016" width="7.1796875" customWidth="1"/>
    <col min="1017" max="1018" width="6" customWidth="1"/>
    <col min="1019" max="1019" width="8.7265625" customWidth="1"/>
    <col min="1020" max="1020" width="7.1796875" customWidth="1"/>
    <col min="1021" max="1021" width="10.1796875" customWidth="1"/>
    <col min="1022" max="1022" width="7" customWidth="1"/>
    <col min="1023" max="1023" width="9.7265625" customWidth="1"/>
    <col min="1024" max="1025" width="6" customWidth="1"/>
    <col min="1026" max="1026" width="8.7265625" customWidth="1"/>
    <col min="1027" max="1027" width="7.1796875" customWidth="1"/>
    <col min="1028" max="1028" width="7" customWidth="1"/>
    <col min="1029" max="1029" width="9.7265625" customWidth="1"/>
    <col min="1030" max="1030" width="6" customWidth="1"/>
    <col min="1031" max="1031" width="8.7265625" customWidth="1"/>
    <col min="1032" max="1032" width="7.1796875" customWidth="1"/>
    <col min="1033" max="1033" width="7" customWidth="1"/>
    <col min="1034" max="1034" width="6" customWidth="1"/>
    <col min="1035" max="1035" width="9.7265625" customWidth="1"/>
    <col min="1036" max="1039" width="6" customWidth="1"/>
    <col min="1040" max="1040" width="8.7265625" customWidth="1"/>
    <col min="1041" max="1041" width="7" customWidth="1"/>
    <col min="1042" max="1042" width="9.7265625" customWidth="1"/>
    <col min="1043" max="1044" width="6" customWidth="1"/>
    <col min="1045" max="1045" width="8.7265625" customWidth="1"/>
    <col min="1046" max="1046" width="6" customWidth="1"/>
    <col min="1047" max="1047" width="8.7265625" customWidth="1"/>
    <col min="1048" max="1048" width="7.1796875" customWidth="1"/>
    <col min="1049" max="1049" width="6" customWidth="1"/>
    <col min="1050" max="1051" width="8.7265625" customWidth="1"/>
    <col min="1052" max="1055" width="6" customWidth="1"/>
    <col min="1056" max="1056" width="8.7265625" customWidth="1"/>
    <col min="1057" max="1057" width="7" customWidth="1"/>
    <col min="1058" max="1058" width="6" customWidth="1"/>
    <col min="1059" max="1059" width="9.7265625" customWidth="1"/>
    <col min="1060" max="1060" width="6" customWidth="1"/>
    <col min="1061" max="1061" width="8.7265625" customWidth="1"/>
    <col min="1062" max="1064" width="6" customWidth="1"/>
    <col min="1065" max="1065" width="8.7265625" customWidth="1"/>
    <col min="1066" max="1066" width="7.1796875" customWidth="1"/>
    <col min="1067" max="1067" width="7" customWidth="1"/>
    <col min="1068" max="1068" width="6" customWidth="1"/>
    <col min="1069" max="1069" width="9.7265625" customWidth="1"/>
    <col min="1070" max="1073" width="6" customWidth="1"/>
    <col min="1074" max="1074" width="8.7265625" customWidth="1"/>
    <col min="1075" max="1075" width="7" customWidth="1"/>
    <col min="1076" max="1078" width="6" customWidth="1"/>
    <col min="1079" max="1079" width="9.7265625" customWidth="1"/>
    <col min="1080" max="1081" width="6" customWidth="1"/>
    <col min="1082" max="1082" width="8.7265625" customWidth="1"/>
    <col min="1083" max="1083" width="7" customWidth="1"/>
    <col min="1084" max="1084" width="9.7265625" customWidth="1"/>
    <col min="1085" max="1085" width="6" customWidth="1"/>
    <col min="1086" max="1086" width="8.7265625" customWidth="1"/>
    <col min="1087" max="1087" width="7.1796875" customWidth="1"/>
    <col min="1088" max="1090" width="6" customWidth="1"/>
    <col min="1091" max="1091" width="8.7265625" customWidth="1"/>
    <col min="1092" max="1092" width="7" customWidth="1"/>
    <col min="1093" max="1093" width="9.7265625" customWidth="1"/>
    <col min="1094" max="1094" width="6" customWidth="1"/>
    <col min="1095" max="1095" width="8.7265625" customWidth="1"/>
    <col min="1096" max="1096" width="7.1796875" customWidth="1"/>
    <col min="1097" max="1099" width="6" customWidth="1"/>
    <col min="1100" max="1100" width="8.7265625" customWidth="1"/>
    <col min="1101" max="1101" width="7" customWidth="1"/>
    <col min="1102" max="1102" width="9.7265625" customWidth="1"/>
    <col min="1103" max="1103" width="6" customWidth="1"/>
    <col min="1104" max="1104" width="8.7265625" customWidth="1"/>
    <col min="1105" max="1105" width="7.1796875" customWidth="1"/>
    <col min="1106" max="1108" width="6" customWidth="1"/>
    <col min="1109" max="1109" width="8.7265625" customWidth="1"/>
    <col min="1110" max="1110" width="7" customWidth="1"/>
    <col min="1111" max="1111" width="9.7265625" customWidth="1"/>
    <col min="1112" max="1112" width="6" customWidth="1"/>
    <col min="1113" max="1113" width="8.7265625" customWidth="1"/>
    <col min="1114" max="1114" width="6" customWidth="1"/>
    <col min="1115" max="1115" width="8.7265625" customWidth="1"/>
    <col min="1116" max="1116" width="7.1796875" customWidth="1"/>
    <col min="1117" max="1117" width="6" customWidth="1"/>
    <col min="1118" max="1118" width="8.7265625" customWidth="1"/>
    <col min="1119" max="1119" width="7" customWidth="1"/>
    <col min="1120" max="1120" width="9.7265625" customWidth="1"/>
    <col min="1121" max="1121" width="6" customWidth="1"/>
    <col min="1122" max="1122" width="8.7265625" customWidth="1"/>
    <col min="1123" max="1123" width="7.1796875" customWidth="1"/>
    <col min="1124" max="1124" width="7" customWidth="1"/>
    <col min="1125" max="1125" width="9.7265625" customWidth="1"/>
    <col min="1126" max="1129" width="6" customWidth="1"/>
    <col min="1130" max="1130" width="8.7265625" customWidth="1"/>
    <col min="1131" max="1131" width="7" customWidth="1"/>
    <col min="1132" max="1132" width="9.7265625" customWidth="1"/>
    <col min="1133" max="1133" width="6" customWidth="1"/>
    <col min="1134" max="1134" width="8.7265625" customWidth="1"/>
    <col min="1135" max="1135" width="6" customWidth="1"/>
    <col min="1136" max="1136" width="8.7265625" customWidth="1"/>
    <col min="1137" max="1137" width="8.1796875" customWidth="1"/>
    <col min="1138" max="1138" width="6" customWidth="1"/>
    <col min="1139" max="1139" width="8.7265625" customWidth="1"/>
    <col min="1140" max="1140" width="8.1796875" customWidth="1"/>
    <col min="1141" max="1143" width="6" customWidth="1"/>
    <col min="1144" max="1144" width="8.7265625" customWidth="1"/>
    <col min="1145" max="1145" width="6" customWidth="1"/>
    <col min="1146" max="1146" width="8.7265625" customWidth="1"/>
    <col min="1147" max="1147" width="8.1796875" customWidth="1"/>
    <col min="1148" max="1148" width="7" customWidth="1"/>
    <col min="1149" max="1149" width="9.7265625" customWidth="1"/>
    <col min="1150" max="1150" width="8.1796875" customWidth="1"/>
    <col min="1151" max="1152" width="6" customWidth="1"/>
    <col min="1153" max="1153" width="8.7265625" customWidth="1"/>
    <col min="1154" max="1154" width="8.1796875" customWidth="1"/>
    <col min="1155" max="1158" width="6" customWidth="1"/>
    <col min="1159" max="1159" width="8.7265625" customWidth="1"/>
    <col min="1160" max="1160" width="7" customWidth="1"/>
    <col min="1161" max="1162" width="6" customWidth="1"/>
    <col min="1163" max="1163" width="9.7265625" customWidth="1"/>
    <col min="1164" max="1164" width="8.1796875" customWidth="1"/>
    <col min="1165" max="1165" width="6" customWidth="1"/>
    <col min="1166" max="1166" width="8.7265625" customWidth="1"/>
    <col min="1167" max="1167" width="8.1796875" customWidth="1"/>
    <col min="1168" max="1168" width="6" customWidth="1"/>
    <col min="1169" max="1169" width="8.7265625" customWidth="1"/>
    <col min="1170" max="1170" width="8.1796875" customWidth="1"/>
    <col min="1171" max="1171" width="6" customWidth="1"/>
    <col min="1172" max="1172" width="8.7265625" customWidth="1"/>
    <col min="1173" max="1173" width="8.1796875" customWidth="1"/>
    <col min="1174" max="1174" width="6" customWidth="1"/>
    <col min="1175" max="1175" width="8.7265625" customWidth="1"/>
    <col min="1176" max="1176" width="8.1796875" customWidth="1"/>
    <col min="1177" max="1179" width="6" customWidth="1"/>
    <col min="1180" max="1180" width="8.7265625" customWidth="1"/>
    <col min="1181" max="1183" width="6" customWidth="1"/>
    <col min="1184" max="1184" width="8.7265625" customWidth="1"/>
    <col min="1185" max="1185" width="8.1796875" customWidth="1"/>
    <col min="1186" max="1186" width="10.1796875" customWidth="1"/>
    <col min="1187" max="1187" width="7" customWidth="1"/>
    <col min="1188" max="1188" width="8.7265625" customWidth="1"/>
    <col min="1189" max="1189" width="7.1796875" customWidth="1"/>
    <col min="1190" max="1192" width="6" customWidth="1"/>
    <col min="1193" max="1193" width="8.7265625" customWidth="1"/>
    <col min="1194" max="1194" width="7.1796875" customWidth="1"/>
    <col min="1195" max="1196" width="6" customWidth="1"/>
    <col min="1197" max="1197" width="8.7265625" customWidth="1"/>
    <col min="1198" max="1198" width="7.1796875" customWidth="1"/>
    <col min="1199" max="1201" width="6" customWidth="1"/>
    <col min="1202" max="1202" width="8.7265625" customWidth="1"/>
    <col min="1203" max="1203" width="7.1796875" customWidth="1"/>
    <col min="1204" max="1205" width="6" customWidth="1"/>
    <col min="1206" max="1206" width="8.7265625" customWidth="1"/>
    <col min="1207" max="1207" width="8.1796875" customWidth="1"/>
    <col min="1208" max="1209" width="6" customWidth="1"/>
    <col min="1210" max="1210" width="8.7265625" customWidth="1"/>
    <col min="1211" max="1211" width="8.1796875" customWidth="1"/>
    <col min="1212" max="1212" width="6" customWidth="1"/>
    <col min="1213" max="1213" width="8.7265625" customWidth="1"/>
    <col min="1214" max="1214" width="8.1796875" customWidth="1"/>
    <col min="1215" max="1215" width="6" customWidth="1"/>
    <col min="1216" max="1216" width="8.7265625" customWidth="1"/>
    <col min="1217" max="1217" width="8.1796875" customWidth="1"/>
    <col min="1218" max="1218" width="10.1796875" customWidth="1"/>
    <col min="1219" max="1219" width="7" customWidth="1"/>
    <col min="1220" max="1220" width="8.7265625" customWidth="1"/>
    <col min="1221" max="1221" width="7.1796875" customWidth="1"/>
    <col min="1222" max="1222" width="10.1796875" customWidth="1"/>
    <col min="1223" max="1223" width="7" customWidth="1"/>
    <col min="1224" max="1224" width="8.7265625" customWidth="1"/>
    <col min="1225" max="1225" width="7.1796875" customWidth="1"/>
    <col min="1226" max="1226" width="6" customWidth="1"/>
    <col min="1227" max="1227" width="8.7265625" customWidth="1"/>
    <col min="1228" max="1228" width="7.1796875" customWidth="1"/>
    <col min="1229" max="1229" width="10.1796875" customWidth="1"/>
    <col min="1230" max="1230" width="7" customWidth="1"/>
    <col min="1231" max="1231" width="6" customWidth="1"/>
    <col min="1232" max="1232" width="8.7265625" customWidth="1"/>
    <col min="1233" max="1233" width="7.1796875" customWidth="1"/>
    <col min="1234" max="1234" width="6" customWidth="1"/>
    <col min="1235" max="1235" width="8.7265625" customWidth="1"/>
    <col min="1236" max="1236" width="7.1796875" customWidth="1"/>
    <col min="1237" max="1238" width="6" customWidth="1"/>
    <col min="1239" max="1239" width="8.7265625" customWidth="1"/>
    <col min="1240" max="1240" width="7.1796875" customWidth="1"/>
    <col min="1241" max="1241" width="6" customWidth="1"/>
    <col min="1242" max="1242" width="8.7265625" customWidth="1"/>
    <col min="1243" max="1243" width="8.1796875" customWidth="1"/>
    <col min="1244" max="1244" width="10.1796875" customWidth="1"/>
    <col min="1245" max="1245" width="7" customWidth="1"/>
    <col min="1246" max="1246" width="8.7265625" customWidth="1"/>
    <col min="1247" max="1247" width="7.1796875" customWidth="1"/>
    <col min="1248" max="1248" width="10.1796875" customWidth="1"/>
    <col min="1249" max="1249" width="7" customWidth="1"/>
    <col min="1250" max="1250" width="6" customWidth="1"/>
    <col min="1251" max="1251" width="8.7265625" customWidth="1"/>
    <col min="1252" max="1252" width="7.1796875" customWidth="1"/>
    <col min="1253" max="1253" width="6" customWidth="1"/>
    <col min="1254" max="1254" width="8.7265625" customWidth="1"/>
    <col min="1255" max="1255" width="7.1796875" customWidth="1"/>
    <col min="1256" max="1256" width="6" customWidth="1"/>
    <col min="1257" max="1257" width="8.7265625" customWidth="1"/>
    <col min="1258" max="1258" width="7.1796875" customWidth="1"/>
    <col min="1259" max="1259" width="6" customWidth="1"/>
    <col min="1260" max="1260" width="8.7265625" customWidth="1"/>
    <col min="1261" max="1261" width="7.1796875" customWidth="1"/>
    <col min="1262" max="1262" width="7" customWidth="1"/>
    <col min="1263" max="1263" width="9.7265625" customWidth="1"/>
    <col min="1264" max="1264" width="8.1796875" customWidth="1"/>
    <col min="1265" max="1266" width="6" customWidth="1"/>
    <col min="1267" max="1267" width="8.7265625" customWidth="1"/>
    <col min="1268" max="1268" width="8.1796875" customWidth="1"/>
    <col min="1269" max="1269" width="10.1796875" customWidth="1"/>
    <col min="1270" max="1270" width="7" customWidth="1"/>
    <col min="1271" max="1271" width="8.7265625" customWidth="1"/>
    <col min="1272" max="1272" width="8.1796875" customWidth="1"/>
    <col min="1273" max="1273" width="10.1796875" customWidth="1"/>
    <col min="1274" max="1274" width="7" customWidth="1"/>
    <col min="1275" max="1275" width="9.7265625" customWidth="1"/>
    <col min="1276" max="1279" width="6" customWidth="1"/>
    <col min="1280" max="1280" width="8.7265625" customWidth="1"/>
    <col min="1281" max="1281" width="7.1796875" customWidth="1"/>
    <col min="1282" max="1282" width="6" customWidth="1"/>
    <col min="1283" max="1284" width="8.7265625" customWidth="1"/>
    <col min="1285" max="1287" width="6" customWidth="1"/>
    <col min="1288" max="1288" width="8.7265625" customWidth="1"/>
    <col min="1289" max="1289" width="6" customWidth="1"/>
    <col min="1290" max="1290" width="8.7265625" customWidth="1"/>
    <col min="1291" max="1291" width="7.1796875" customWidth="1"/>
    <col min="1292" max="1292" width="7" customWidth="1"/>
    <col min="1293" max="1293" width="6" customWidth="1"/>
    <col min="1294" max="1294" width="9.7265625" customWidth="1"/>
    <col min="1295" max="1299" width="6" customWidth="1"/>
    <col min="1300" max="1300" width="8.7265625" customWidth="1"/>
    <col min="1301" max="1301" width="7" customWidth="1"/>
    <col min="1302" max="1303" width="6" customWidth="1"/>
    <col min="1304" max="1304" width="9.7265625" customWidth="1"/>
    <col min="1305" max="1306" width="6" customWidth="1"/>
    <col min="1307" max="1307" width="8.7265625" customWidth="1"/>
    <col min="1308" max="1308" width="6" customWidth="1"/>
    <col min="1309" max="1309" width="8.7265625" customWidth="1"/>
    <col min="1310" max="1310" width="6" customWidth="1"/>
    <col min="1311" max="1311" width="8.7265625" customWidth="1"/>
    <col min="1312" max="1312" width="7.1796875" customWidth="1"/>
    <col min="1313" max="1313" width="7" customWidth="1"/>
    <col min="1314" max="1314" width="9.7265625" customWidth="1"/>
    <col min="1315" max="1318" width="6" customWidth="1"/>
    <col min="1319" max="1319" width="8.7265625" customWidth="1"/>
    <col min="1320" max="1320" width="7" customWidth="1"/>
    <col min="1321" max="1321" width="6" customWidth="1"/>
    <col min="1322" max="1322" width="9.7265625" customWidth="1"/>
    <col min="1323" max="1324" width="6" customWidth="1"/>
    <col min="1325" max="1325" width="8.7265625" customWidth="1"/>
    <col min="1326" max="1326" width="6" customWidth="1"/>
    <col min="1327" max="1327" width="8.7265625" customWidth="1"/>
    <col min="1328" max="1328" width="6" customWidth="1"/>
    <col min="1329" max="1329" width="8.7265625" customWidth="1"/>
    <col min="1330" max="1330" width="7.1796875" customWidth="1"/>
    <col min="1331" max="1331" width="6" customWidth="1"/>
    <col min="1332" max="1333" width="8.7265625" customWidth="1"/>
    <col min="1334" max="1334" width="7" customWidth="1"/>
    <col min="1335" max="1335" width="9.7265625" customWidth="1"/>
    <col min="1336" max="1339" width="6" customWidth="1"/>
    <col min="1340" max="1340" width="8.7265625" customWidth="1"/>
    <col min="1341" max="1341" width="7" customWidth="1"/>
    <col min="1342" max="1344" width="6" customWidth="1"/>
    <col min="1345" max="1345" width="9.7265625" customWidth="1"/>
    <col min="1346" max="1349" width="6" customWidth="1"/>
    <col min="1350" max="1350" width="8.7265625" customWidth="1"/>
    <col min="1351" max="1351" width="7" customWidth="1"/>
    <col min="1352" max="1352" width="9.7265625" customWidth="1"/>
    <col min="1353" max="1355" width="6" customWidth="1"/>
    <col min="1356" max="1356" width="8.7265625" customWidth="1"/>
    <col min="1357" max="1359" width="6" customWidth="1"/>
    <col min="1360" max="1360" width="8.7265625" customWidth="1"/>
    <col min="1361" max="1361" width="6" customWidth="1"/>
    <col min="1362" max="1362" width="8.7265625" customWidth="1"/>
    <col min="1363" max="1363" width="7.1796875" customWidth="1"/>
    <col min="1364" max="1367" width="6" customWidth="1"/>
    <col min="1368" max="1368" width="8.7265625" customWidth="1"/>
    <col min="1369" max="1369" width="7" customWidth="1"/>
    <col min="1370" max="1370" width="9.7265625" customWidth="1"/>
    <col min="1371" max="1372" width="6" customWidth="1"/>
    <col min="1373" max="1373" width="8.7265625" customWidth="1"/>
    <col min="1374" max="1374" width="7.1796875" customWidth="1"/>
    <col min="1375" max="1378" width="6" customWidth="1"/>
    <col min="1379" max="1379" width="8.7265625" customWidth="1"/>
    <col min="1380" max="1380" width="6" customWidth="1"/>
    <col min="1381" max="1381" width="8.7265625" customWidth="1"/>
    <col min="1382" max="1382" width="7.1796875" customWidth="1"/>
    <col min="1383" max="1386" width="6" customWidth="1"/>
    <col min="1387" max="1387" width="8.7265625" customWidth="1"/>
    <col min="1388" max="1388" width="7" customWidth="1"/>
    <col min="1389" max="1389" width="6" customWidth="1"/>
    <col min="1390" max="1390" width="9.7265625" customWidth="1"/>
    <col min="1391" max="1391" width="7.1796875" customWidth="1"/>
    <col min="1392" max="1394" width="6" customWidth="1"/>
    <col min="1395" max="1395" width="8.7265625" customWidth="1"/>
    <col min="1396" max="1396" width="6" customWidth="1"/>
    <col min="1397" max="1397" width="8.7265625" customWidth="1"/>
    <col min="1398" max="1398" width="6" customWidth="1"/>
    <col min="1399" max="1399" width="8.7265625" customWidth="1"/>
    <col min="1400" max="1400" width="7.1796875" customWidth="1"/>
    <col min="1401" max="1401" width="7" customWidth="1"/>
    <col min="1402" max="1402" width="6" customWidth="1"/>
    <col min="1403" max="1403" width="9.7265625" customWidth="1"/>
    <col min="1404" max="1407" width="6" customWidth="1"/>
    <col min="1408" max="1408" width="8.7265625" customWidth="1"/>
    <col min="1409" max="1409" width="7" customWidth="1"/>
    <col min="1410" max="1410" width="9.7265625" customWidth="1"/>
    <col min="1411" max="1412" width="6" customWidth="1"/>
    <col min="1413" max="1413" width="8.7265625" customWidth="1"/>
    <col min="1414" max="1416" width="6" customWidth="1"/>
    <col min="1417" max="1417" width="8.7265625" customWidth="1"/>
    <col min="1418" max="1418" width="6" customWidth="1"/>
    <col min="1419" max="1419" width="8.7265625" customWidth="1"/>
    <col min="1420" max="1420" width="6" customWidth="1"/>
    <col min="1421" max="1421" width="8.7265625" customWidth="1"/>
    <col min="1422" max="1422" width="8.1796875" customWidth="1"/>
    <col min="1423" max="1423" width="7" customWidth="1"/>
    <col min="1424" max="1424" width="9.7265625" customWidth="1"/>
    <col min="1425" max="1427" width="6" customWidth="1"/>
    <col min="1428" max="1428" width="8.7265625" customWidth="1"/>
    <col min="1429" max="1429" width="7" customWidth="1"/>
    <col min="1430" max="1430" width="9.7265625" customWidth="1"/>
    <col min="1431" max="1431" width="8.1796875" customWidth="1"/>
    <col min="1432" max="1432" width="7" customWidth="1"/>
    <col min="1433" max="1433" width="9.7265625" customWidth="1"/>
    <col min="1434" max="1435" width="6" customWidth="1"/>
    <col min="1436" max="1436" width="8.7265625" customWidth="1"/>
    <col min="1437" max="1437" width="7" customWidth="1"/>
    <col min="1438" max="1438" width="9.7265625" customWidth="1"/>
    <col min="1439" max="1439" width="6" customWidth="1"/>
    <col min="1440" max="1440" width="8.7265625" customWidth="1"/>
    <col min="1441" max="1441" width="8.1796875" customWidth="1"/>
    <col min="1442" max="1444" width="6" customWidth="1"/>
    <col min="1445" max="1445" width="8.7265625" customWidth="1"/>
    <col min="1446" max="1446" width="7" customWidth="1"/>
    <col min="1447" max="1447" width="9.7265625" customWidth="1"/>
    <col min="1448" max="1448" width="6" customWidth="1"/>
    <col min="1449" max="1449" width="8.7265625" customWidth="1"/>
    <col min="1450" max="1450" width="8.1796875" customWidth="1"/>
    <col min="1451" max="1452" width="6" customWidth="1"/>
    <col min="1453" max="1453" width="8.7265625" customWidth="1"/>
    <col min="1454" max="1454" width="8.1796875" customWidth="1"/>
    <col min="1455" max="1458" width="6" customWidth="1"/>
    <col min="1459" max="1459" width="8.7265625" customWidth="1"/>
    <col min="1460" max="1460" width="7" customWidth="1"/>
    <col min="1461" max="1463" width="6" customWidth="1"/>
    <col min="1464" max="1464" width="9.7265625" customWidth="1"/>
    <col min="1465" max="1468" width="6" customWidth="1"/>
    <col min="1469" max="1469" width="8.7265625" customWidth="1"/>
    <col min="1470" max="1470" width="6" customWidth="1"/>
    <col min="1471" max="1471" width="8.7265625" customWidth="1"/>
    <col min="1472" max="1472" width="6" customWidth="1"/>
    <col min="1473" max="1473" width="8.7265625" customWidth="1"/>
    <col min="1474" max="1474" width="8.1796875" customWidth="1"/>
    <col min="1475" max="1477" width="6" customWidth="1"/>
    <col min="1478" max="1478" width="8.7265625" customWidth="1"/>
    <col min="1479" max="1479" width="8.1796875" customWidth="1"/>
    <col min="1480" max="1480" width="6" customWidth="1"/>
    <col min="1481" max="1481" width="8.7265625" customWidth="1"/>
    <col min="1482" max="1482" width="6" customWidth="1"/>
    <col min="1483" max="1483" width="8.7265625" customWidth="1"/>
    <col min="1484" max="1484" width="8.1796875" customWidth="1"/>
    <col min="1485" max="1486" width="6" customWidth="1"/>
    <col min="1487" max="1487" width="8.7265625" customWidth="1"/>
    <col min="1488" max="1488" width="6" customWidth="1"/>
    <col min="1489" max="1489" width="8.7265625" customWidth="1"/>
    <col min="1490" max="1490" width="8.1796875" customWidth="1"/>
    <col min="1491" max="1491" width="6" customWidth="1"/>
    <col min="1492" max="1492" width="8.7265625" customWidth="1"/>
    <col min="1493" max="1493" width="8.1796875" customWidth="1"/>
    <col min="1494" max="1497" width="6" customWidth="1"/>
    <col min="1498" max="1498" width="8.7265625" customWidth="1"/>
    <col min="1499" max="1499" width="6" customWidth="1"/>
    <col min="1500" max="1500" width="8.7265625" customWidth="1"/>
    <col min="1501" max="1501" width="6" customWidth="1"/>
    <col min="1502" max="1502" width="8.7265625" customWidth="1"/>
    <col min="1503" max="1503" width="8.1796875" customWidth="1"/>
    <col min="1504" max="1505" width="6" customWidth="1"/>
    <col min="1506" max="1506" width="8.7265625" customWidth="1"/>
    <col min="1507" max="1507" width="8.1796875" customWidth="1"/>
    <col min="1508" max="1508" width="6" customWidth="1"/>
    <col min="1509" max="1509" width="8.7265625" customWidth="1"/>
    <col min="1510" max="1510" width="8.1796875" customWidth="1"/>
    <col min="1511" max="1514" width="6" customWidth="1"/>
    <col min="1515" max="1515" width="8.7265625" customWidth="1"/>
    <col min="1516" max="1516" width="7" customWidth="1"/>
    <col min="1517" max="1517" width="6" customWidth="1"/>
    <col min="1518" max="1518" width="9.7265625" customWidth="1"/>
    <col min="1519" max="1519" width="6" customWidth="1"/>
    <col min="1520" max="1520" width="8.7265625" customWidth="1"/>
    <col min="1521" max="1521" width="6" customWidth="1"/>
    <col min="1522" max="1522" width="8.7265625" customWidth="1"/>
    <col min="1523" max="1523" width="8.1796875" customWidth="1"/>
    <col min="1524" max="1524" width="6" customWidth="1"/>
    <col min="1525" max="1525" width="8.7265625" customWidth="1"/>
    <col min="1526" max="1526" width="8.1796875" customWidth="1"/>
    <col min="1527" max="1527" width="6" customWidth="1"/>
    <col min="1528" max="1528" width="8.7265625" customWidth="1"/>
    <col min="1529" max="1529" width="6" customWidth="1"/>
    <col min="1530" max="1530" width="8.7265625" customWidth="1"/>
    <col min="1531" max="1531" width="8.1796875" customWidth="1"/>
    <col min="1532" max="1532" width="8" customWidth="1"/>
    <col min="1533" max="1533" width="8.7265625" customWidth="1"/>
    <col min="1534" max="1534" width="11.1796875" customWidth="1"/>
    <col min="1535" max="1535" width="10.1796875" customWidth="1"/>
    <col min="1536" max="1536" width="7" customWidth="1"/>
    <col min="1537" max="1537" width="8.7265625" customWidth="1"/>
    <col min="1538" max="1538" width="7.1796875" customWidth="1"/>
    <col min="1539" max="1541" width="6" customWidth="1"/>
    <col min="1542" max="1542" width="8.7265625" customWidth="1"/>
    <col min="1543" max="1543" width="7.1796875" customWidth="1"/>
    <col min="1544" max="1547" width="6" customWidth="1"/>
    <col min="1548" max="1548" width="8.7265625" customWidth="1"/>
    <col min="1549" max="1550" width="6" customWidth="1"/>
    <col min="1551" max="1551" width="8.7265625" customWidth="1"/>
    <col min="1552" max="1552" width="7.1796875" customWidth="1"/>
    <col min="1553" max="1553" width="7" customWidth="1"/>
    <col min="1554" max="1554" width="9.7265625" customWidth="1"/>
    <col min="1555" max="1558" width="6" customWidth="1"/>
    <col min="1559" max="1559" width="8.7265625" customWidth="1"/>
    <col min="1560" max="1560" width="7" customWidth="1"/>
    <col min="1561" max="1562" width="6" customWidth="1"/>
    <col min="1563" max="1563" width="9.7265625" customWidth="1"/>
    <col min="1564" max="1564" width="6" customWidth="1"/>
    <col min="1565" max="1565" width="8.7265625" customWidth="1"/>
    <col min="1566" max="1567" width="6" customWidth="1"/>
    <col min="1568" max="1568" width="8.7265625" customWidth="1"/>
    <col min="1569" max="1569" width="7.1796875" customWidth="1"/>
    <col min="1570" max="1573" width="6" customWidth="1"/>
    <col min="1574" max="1574" width="8.7265625" customWidth="1"/>
    <col min="1575" max="1575" width="7.1796875" customWidth="1"/>
    <col min="1576" max="1578" width="6" customWidth="1"/>
    <col min="1579" max="1579" width="8.7265625" customWidth="1"/>
    <col min="1580" max="1580" width="7.1796875" customWidth="1"/>
    <col min="1581" max="1583" width="6" customWidth="1"/>
    <col min="1584" max="1584" width="8.7265625" customWidth="1"/>
    <col min="1585" max="1585" width="6" customWidth="1"/>
    <col min="1586" max="1586" width="8.7265625" customWidth="1"/>
    <col min="1587" max="1587" width="7.1796875" customWidth="1"/>
    <col min="1588" max="1590" width="6" customWidth="1"/>
    <col min="1591" max="1591" width="8.7265625" customWidth="1"/>
    <col min="1592" max="1593" width="6" customWidth="1"/>
    <col min="1594" max="1594" width="8.7265625" customWidth="1"/>
    <col min="1595" max="1595" width="8.1796875" customWidth="1"/>
    <col min="1596" max="1596" width="6" customWidth="1"/>
    <col min="1597" max="1597" width="8.7265625" customWidth="1"/>
    <col min="1598" max="1598" width="8.1796875" customWidth="1"/>
    <col min="1599" max="1599" width="6" customWidth="1"/>
    <col min="1600" max="1600" width="8.7265625" customWidth="1"/>
    <col min="1601" max="1601" width="8.1796875" customWidth="1"/>
    <col min="1602" max="1602" width="6" customWidth="1"/>
    <col min="1603" max="1603" width="8.7265625" customWidth="1"/>
    <col min="1604" max="1604" width="8.1796875" customWidth="1"/>
    <col min="1605" max="1606" width="6" customWidth="1"/>
    <col min="1607" max="1607" width="8.7265625" customWidth="1"/>
    <col min="1608" max="1608" width="8.1796875" customWidth="1"/>
    <col min="1609" max="1609" width="6" customWidth="1"/>
    <col min="1610" max="1610" width="8.7265625" customWidth="1"/>
    <col min="1611" max="1611" width="6" customWidth="1"/>
    <col min="1612" max="1612" width="8.7265625" customWidth="1"/>
    <col min="1613" max="1613" width="8.1796875" customWidth="1"/>
    <col min="1614" max="1615" width="6" customWidth="1"/>
    <col min="1616" max="1616" width="8.7265625" customWidth="1"/>
    <col min="1617" max="1617" width="6" customWidth="1"/>
    <col min="1618" max="1618" width="8.7265625" customWidth="1"/>
    <col min="1619" max="1619" width="8.1796875" customWidth="1"/>
    <col min="1620" max="1620" width="10.1796875" customWidth="1"/>
    <col min="1621" max="1621" width="7" customWidth="1"/>
    <col min="1622" max="1622" width="8.7265625" customWidth="1"/>
    <col min="1623" max="1623" width="7.1796875" customWidth="1"/>
    <col min="1624" max="1624" width="10.1796875" customWidth="1"/>
    <col min="1625" max="1625" width="7" customWidth="1"/>
    <col min="1626" max="1626" width="8.7265625" customWidth="1"/>
    <col min="1627" max="1627" width="8.1796875" customWidth="1"/>
    <col min="1628" max="1628" width="10.1796875" customWidth="1"/>
    <col min="1629" max="1629" width="7" customWidth="1"/>
    <col min="1630" max="1630" width="8.7265625" customWidth="1"/>
    <col min="1631" max="1631" width="8.1796875" customWidth="1"/>
    <col min="1632" max="1632" width="10.1796875" customWidth="1"/>
    <col min="1633" max="1633" width="7" customWidth="1"/>
    <col min="1634" max="1634" width="8.7265625" customWidth="1"/>
    <col min="1635" max="1635" width="7.1796875" customWidth="1"/>
    <col min="1636" max="1636" width="10.1796875" customWidth="1"/>
    <col min="1637" max="1637" width="7" customWidth="1"/>
    <col min="1638" max="1638" width="8.7265625" customWidth="1"/>
    <col min="1639" max="1639" width="7.1796875" customWidth="1"/>
    <col min="1640" max="1640" width="6" customWidth="1"/>
    <col min="1641" max="1641" width="8.7265625" customWidth="1"/>
    <col min="1642" max="1642" width="8.1796875" customWidth="1"/>
    <col min="1643" max="1643" width="10.1796875" customWidth="1"/>
    <col min="1644" max="1644" width="7" customWidth="1"/>
    <col min="1645" max="1645" width="6" customWidth="1"/>
    <col min="1646" max="1646" width="8.7265625" customWidth="1"/>
    <col min="1647" max="1647" width="7.1796875" customWidth="1"/>
    <col min="1648" max="1649" width="6" customWidth="1"/>
    <col min="1650" max="1650" width="8.7265625" customWidth="1"/>
    <col min="1651" max="1651" width="7.1796875" customWidth="1"/>
    <col min="1652" max="1655" width="6" customWidth="1"/>
    <col min="1656" max="1656" width="8.7265625" customWidth="1"/>
    <col min="1657" max="1657" width="7.1796875" customWidth="1"/>
    <col min="1658" max="1658" width="7" customWidth="1"/>
    <col min="1659" max="1659" width="6" customWidth="1"/>
    <col min="1660" max="1660" width="9.7265625" customWidth="1"/>
    <col min="1661" max="1664" width="6" customWidth="1"/>
    <col min="1665" max="1665" width="8.7265625" customWidth="1"/>
    <col min="1666" max="1666" width="6" customWidth="1"/>
    <col min="1667" max="1667" width="8.7265625" customWidth="1"/>
    <col min="1668" max="1668" width="7" customWidth="1"/>
    <col min="1669" max="1669" width="9.7265625" customWidth="1"/>
    <col min="1670" max="1670" width="6" customWidth="1"/>
    <col min="1671" max="1671" width="8.7265625" customWidth="1"/>
    <col min="1672" max="1672" width="7.1796875" customWidth="1"/>
    <col min="1673" max="1676" width="6" customWidth="1"/>
    <col min="1677" max="1677" width="8.7265625" customWidth="1"/>
    <col min="1678" max="1678" width="7" customWidth="1"/>
    <col min="1679" max="1679" width="6" customWidth="1"/>
    <col min="1680" max="1680" width="9.7265625" customWidth="1"/>
    <col min="1681" max="1682" width="6" customWidth="1"/>
    <col min="1683" max="1683" width="8.7265625" customWidth="1"/>
    <col min="1684" max="1685" width="6" customWidth="1"/>
    <col min="1686" max="1686" width="8.7265625" customWidth="1"/>
    <col min="1687" max="1687" width="7.1796875" customWidth="1"/>
    <col min="1688" max="1691" width="6" customWidth="1"/>
    <col min="1692" max="1692" width="8.7265625" customWidth="1"/>
    <col min="1693" max="1693" width="7.1796875" customWidth="1"/>
    <col min="1694" max="1696" width="6" customWidth="1"/>
    <col min="1697" max="1697" width="8.7265625" customWidth="1"/>
    <col min="1698" max="1698" width="7" customWidth="1"/>
    <col min="1699" max="1699" width="9.7265625" customWidth="1"/>
    <col min="1700" max="1700" width="7.1796875" customWidth="1"/>
    <col min="1701" max="1704" width="6" customWidth="1"/>
    <col min="1705" max="1705" width="8.7265625" customWidth="1"/>
    <col min="1706" max="1706" width="7.1796875" customWidth="1"/>
    <col min="1707" max="1707" width="6" customWidth="1"/>
    <col min="1708" max="1708" width="8.7265625" customWidth="1"/>
    <col min="1709" max="1709" width="7" customWidth="1"/>
    <col min="1710" max="1710" width="9.7265625" customWidth="1"/>
    <col min="1711" max="1711" width="7.1796875" customWidth="1"/>
    <col min="1712" max="1716" width="6" customWidth="1"/>
    <col min="1717" max="1717" width="8.7265625" customWidth="1"/>
    <col min="1718" max="1718" width="7" customWidth="1"/>
    <col min="1719" max="1719" width="6" customWidth="1"/>
    <col min="1720" max="1720" width="9.7265625" customWidth="1"/>
    <col min="1721" max="1721" width="6" customWidth="1"/>
    <col min="1722" max="1722" width="8.7265625" customWidth="1"/>
    <col min="1723" max="1723" width="6" customWidth="1"/>
    <col min="1724" max="1724" width="8.7265625" customWidth="1"/>
    <col min="1725" max="1725" width="8.1796875" customWidth="1"/>
    <col min="1726" max="1726" width="6" customWidth="1"/>
    <col min="1727" max="1727" width="8.7265625" customWidth="1"/>
    <col min="1728" max="1728" width="8.1796875" customWidth="1"/>
    <col min="1729" max="1730" width="6" customWidth="1"/>
    <col min="1731" max="1731" width="8.7265625" customWidth="1"/>
    <col min="1732" max="1732" width="8.1796875" customWidth="1"/>
    <col min="1733" max="1733" width="6" customWidth="1"/>
    <col min="1734" max="1734" width="8.7265625" customWidth="1"/>
    <col min="1735" max="1735" width="6" customWidth="1"/>
    <col min="1736" max="1736" width="8.7265625" customWidth="1"/>
    <col min="1737" max="1737" width="8.1796875" customWidth="1"/>
    <col min="1738" max="1738" width="6" customWidth="1"/>
    <col min="1739" max="1739" width="8.7265625" customWidth="1"/>
    <col min="1740" max="1740" width="8.1796875" customWidth="1"/>
    <col min="1741" max="1743" width="6" customWidth="1"/>
    <col min="1744" max="1744" width="8.7265625" customWidth="1"/>
    <col min="1745" max="1745" width="6" customWidth="1"/>
    <col min="1746" max="1746" width="8.7265625" customWidth="1"/>
    <col min="1747" max="1747" width="6" customWidth="1"/>
    <col min="1748" max="1748" width="8.7265625" customWidth="1"/>
    <col min="1749" max="1749" width="8.1796875" customWidth="1"/>
    <col min="1750" max="1750" width="7" customWidth="1"/>
    <col min="1751" max="1751" width="9.7265625" customWidth="1"/>
    <col min="1752" max="1752" width="8.1796875" customWidth="1"/>
    <col min="1753" max="1754" width="6" customWidth="1"/>
    <col min="1755" max="1755" width="8.7265625" customWidth="1"/>
    <col min="1756" max="1756" width="8.1796875" customWidth="1"/>
    <col min="1757" max="1759" width="6" customWidth="1"/>
    <col min="1760" max="1760" width="8.7265625" customWidth="1"/>
    <col min="1761" max="1761" width="7" customWidth="1"/>
    <col min="1762" max="1762" width="6" customWidth="1"/>
    <col min="1763" max="1763" width="9.7265625" customWidth="1"/>
    <col min="1764" max="1764" width="8.1796875" customWidth="1"/>
    <col min="1765" max="1767" width="6" customWidth="1"/>
    <col min="1768" max="1768" width="8.7265625" customWidth="1"/>
    <col min="1769" max="1769" width="7" customWidth="1"/>
    <col min="1770" max="1770" width="9.7265625" customWidth="1"/>
    <col min="1771" max="1771" width="7" customWidth="1"/>
    <col min="1772" max="1772" width="6" customWidth="1"/>
    <col min="1773" max="1773" width="9.7265625" customWidth="1"/>
    <col min="1774" max="1774" width="6" customWidth="1"/>
    <col min="1775" max="1775" width="8.7265625" customWidth="1"/>
    <col min="1776" max="1776" width="8.1796875" customWidth="1"/>
    <col min="1777" max="1777" width="10.1796875" customWidth="1"/>
    <col min="1778" max="1778" width="7" customWidth="1"/>
    <col min="1779" max="1779" width="8.7265625" customWidth="1"/>
    <col min="1780" max="1780" width="7.1796875" customWidth="1"/>
    <col min="1781" max="1781" width="10.1796875" customWidth="1"/>
    <col min="1782" max="1782" width="7" customWidth="1"/>
    <col min="1783" max="1783" width="8.7265625" customWidth="1"/>
    <col min="1784" max="1784" width="7.1796875" customWidth="1"/>
    <col min="1785" max="1786" width="6" customWidth="1"/>
    <col min="1787" max="1787" width="8.7265625" customWidth="1"/>
    <col min="1788" max="1788" width="7.1796875" customWidth="1"/>
    <col min="1789" max="1791" width="6" customWidth="1"/>
    <col min="1792" max="1792" width="8.7265625" customWidth="1"/>
    <col min="1793" max="1793" width="7" customWidth="1"/>
    <col min="1794" max="1794" width="9.7265625" customWidth="1"/>
    <col min="1795" max="1795" width="7.1796875" customWidth="1"/>
    <col min="1796" max="1796" width="6" customWidth="1"/>
    <col min="1797" max="1797" width="8.7265625" customWidth="1"/>
    <col min="1798" max="1798" width="7.1796875" customWidth="1"/>
    <col min="1799" max="1799" width="6" customWidth="1"/>
    <col min="1800" max="1800" width="8.7265625" customWidth="1"/>
    <col min="1801" max="1801" width="7.1796875" customWidth="1"/>
    <col min="1802" max="1802" width="6" customWidth="1"/>
    <col min="1803" max="1803" width="8.7265625" customWidth="1"/>
    <col min="1804" max="1804" width="7.1796875" customWidth="1"/>
    <col min="1805" max="1807" width="6" customWidth="1"/>
    <col min="1808" max="1808" width="8.7265625" customWidth="1"/>
    <col min="1809" max="1809" width="8.1796875" customWidth="1"/>
    <col min="1810" max="1810" width="10.1796875" customWidth="1"/>
    <col min="1811" max="1811" width="7" customWidth="1"/>
    <col min="1812" max="1812" width="8.7265625" customWidth="1"/>
    <col min="1813" max="1813" width="8.1796875" customWidth="1"/>
    <col min="1814" max="1814" width="10.1796875" customWidth="1"/>
    <col min="1815" max="1815" width="7" customWidth="1"/>
    <col min="1816" max="1816" width="6" customWidth="1"/>
    <col min="1817" max="1817" width="8.7265625" customWidth="1"/>
    <col min="1818" max="1818" width="7.1796875" customWidth="1"/>
    <col min="1819" max="1819" width="6" customWidth="1"/>
    <col min="1820" max="1821" width="8.7265625" customWidth="1"/>
    <col min="1822" max="1822" width="7" customWidth="1"/>
    <col min="1823" max="1823" width="9.7265625" customWidth="1"/>
    <col min="1824" max="1827" width="6" customWidth="1"/>
    <col min="1828" max="1828" width="8.7265625" customWidth="1"/>
    <col min="1829" max="1829" width="7.1796875" customWidth="1"/>
    <col min="1830" max="1832" width="6" customWidth="1"/>
    <col min="1833" max="1833" width="8.7265625" customWidth="1"/>
    <col min="1834" max="1834" width="6" customWidth="1"/>
    <col min="1835" max="1835" width="8.7265625" customWidth="1"/>
    <col min="1836" max="1836" width="7.1796875" customWidth="1"/>
    <col min="1837" max="1840" width="6" customWidth="1"/>
    <col min="1841" max="1841" width="8.7265625" customWidth="1"/>
    <col min="1842" max="1842" width="7" customWidth="1"/>
    <col min="1843" max="1843" width="9.7265625" customWidth="1"/>
    <col min="1844" max="1844" width="7.1796875" customWidth="1"/>
    <col min="1845" max="1845" width="6" customWidth="1"/>
    <col min="1846" max="1846" width="8.7265625" customWidth="1"/>
    <col min="1847" max="1847" width="7.1796875" customWidth="1"/>
    <col min="1848" max="1848" width="6" customWidth="1"/>
    <col min="1849" max="1849" width="8.7265625" customWidth="1"/>
    <col min="1850" max="1850" width="7.1796875" customWidth="1"/>
    <col min="1851" max="1851" width="6" customWidth="1"/>
    <col min="1852" max="1852" width="8.7265625" customWidth="1"/>
    <col min="1853" max="1853" width="7" customWidth="1"/>
    <col min="1854" max="1854" width="9.7265625" customWidth="1"/>
    <col min="1855" max="1856" width="6" customWidth="1"/>
    <col min="1857" max="1857" width="8.7265625" customWidth="1"/>
    <col min="1858" max="1858" width="7.1796875" customWidth="1"/>
    <col min="1859" max="1859" width="6" customWidth="1"/>
    <col min="1860" max="1860" width="8.7265625" customWidth="1"/>
    <col min="1861" max="1861" width="7" customWidth="1"/>
    <col min="1862" max="1862" width="9.7265625" customWidth="1"/>
    <col min="1863" max="1863" width="7.1796875" customWidth="1"/>
    <col min="1864" max="1865" width="6" customWidth="1"/>
    <col min="1866" max="1866" width="8.7265625" customWidth="1"/>
    <col min="1867" max="1867" width="7" customWidth="1"/>
    <col min="1868" max="1868" width="9.7265625" customWidth="1"/>
    <col min="1869" max="1869" width="8.1796875" customWidth="1"/>
    <col min="1870" max="1870" width="6" customWidth="1"/>
    <col min="1871" max="1871" width="8.7265625" customWidth="1"/>
    <col min="1872" max="1872" width="8.1796875" customWidth="1"/>
    <col min="1873" max="1874" width="6" customWidth="1"/>
    <col min="1875" max="1875" width="8.7265625" customWidth="1"/>
    <col min="1876" max="1876" width="8.1796875" customWidth="1"/>
    <col min="1877" max="1877" width="6" customWidth="1"/>
    <col min="1878" max="1878" width="8.7265625" customWidth="1"/>
    <col min="1879" max="1879" width="8.1796875" customWidth="1"/>
    <col min="1880" max="1881" width="6" customWidth="1"/>
    <col min="1882" max="1882" width="8.7265625" customWidth="1"/>
    <col min="1883" max="1883" width="8.1796875" customWidth="1"/>
    <col min="1884" max="1884" width="10.1796875" customWidth="1"/>
    <col min="1885" max="1885" width="7" customWidth="1"/>
    <col min="1886" max="1886" width="8.7265625" customWidth="1"/>
    <col min="1887" max="1887" width="7.1796875" customWidth="1"/>
    <col min="1888" max="1888" width="6" customWidth="1"/>
    <col min="1889" max="1889" width="8.7265625" customWidth="1"/>
    <col min="1890" max="1890" width="7.1796875" customWidth="1"/>
    <col min="1891" max="1891" width="6" customWidth="1"/>
    <col min="1892" max="1892" width="8.7265625" customWidth="1"/>
    <col min="1893" max="1893" width="7.1796875" customWidth="1"/>
    <col min="1894" max="1894" width="7" customWidth="1"/>
    <col min="1895" max="1895" width="9.7265625" customWidth="1"/>
    <col min="1896" max="1896" width="7.1796875" customWidth="1"/>
    <col min="1897" max="1897" width="6" customWidth="1"/>
    <col min="1898" max="1898" width="8.7265625" customWidth="1"/>
    <col min="1899" max="1899" width="8.1796875" customWidth="1"/>
    <col min="1900" max="1900" width="6" customWidth="1"/>
    <col min="1901" max="1901" width="8.7265625" customWidth="1"/>
    <col min="1902" max="1902" width="8.1796875" customWidth="1"/>
    <col min="1903" max="1903" width="6" customWidth="1"/>
    <col min="1904" max="1904" width="8.7265625" customWidth="1"/>
    <col min="1905" max="1905" width="8.1796875" customWidth="1"/>
    <col min="1906" max="1906" width="6" customWidth="1"/>
    <col min="1907" max="1907" width="8.7265625" customWidth="1"/>
    <col min="1908" max="1908" width="8.1796875" customWidth="1"/>
    <col min="1909" max="1909" width="6" customWidth="1"/>
    <col min="1910" max="1910" width="8.7265625" customWidth="1"/>
    <col min="1911" max="1911" width="8.1796875" customWidth="1"/>
    <col min="1912" max="1912" width="10.1796875" customWidth="1"/>
    <col min="1913" max="1913" width="7" customWidth="1"/>
    <col min="1914" max="1914" width="8.7265625" customWidth="1"/>
    <col min="1915" max="1915" width="8.1796875" customWidth="1"/>
    <col min="1916" max="1916" width="10.1796875" customWidth="1"/>
    <col min="1917" max="1917" width="7" customWidth="1"/>
    <col min="1918" max="1918" width="8.7265625" customWidth="1"/>
    <col min="1919" max="1919" width="7.1796875" customWidth="1"/>
    <col min="1920" max="1921" width="6" customWidth="1"/>
    <col min="1922" max="1922" width="8.7265625" customWidth="1"/>
    <col min="1923" max="1923" width="6" customWidth="1"/>
    <col min="1924" max="1924" width="8.7265625" customWidth="1"/>
    <col min="1925" max="1925" width="7.1796875" customWidth="1"/>
    <col min="1926" max="1926" width="7" customWidth="1"/>
    <col min="1927" max="1927" width="6" customWidth="1"/>
    <col min="1928" max="1928" width="9.7265625" customWidth="1"/>
    <col min="1929" max="1932" width="6" customWidth="1"/>
    <col min="1933" max="1933" width="8.7265625" customWidth="1"/>
    <col min="1934" max="1934" width="6" customWidth="1"/>
    <col min="1935" max="1935" width="8.7265625" customWidth="1"/>
    <col min="1936" max="1936" width="7.1796875" customWidth="1"/>
    <col min="1937" max="1937" width="7" customWidth="1"/>
    <col min="1938" max="1938" width="6" customWidth="1"/>
    <col min="1939" max="1939" width="9.7265625" customWidth="1"/>
    <col min="1940" max="1943" width="6" customWidth="1"/>
    <col min="1944" max="1944" width="8.7265625" customWidth="1"/>
    <col min="1945" max="1945" width="6" customWidth="1"/>
    <col min="1946" max="1946" width="8.7265625" customWidth="1"/>
    <col min="1947" max="1947" width="6" customWidth="1"/>
    <col min="1948" max="1948" width="8.7265625" customWidth="1"/>
    <col min="1949" max="1949" width="6" customWidth="1"/>
    <col min="1950" max="1950" width="8.7265625" customWidth="1"/>
    <col min="1951" max="1951" width="7.1796875" customWidth="1"/>
    <col min="1952" max="1952" width="7" customWidth="1"/>
    <col min="1953" max="1953" width="9.7265625" customWidth="1"/>
    <col min="1954" max="1957" width="6" customWidth="1"/>
    <col min="1958" max="1958" width="8.7265625" customWidth="1"/>
    <col min="1959" max="1959" width="7" customWidth="1"/>
    <col min="1960" max="1961" width="6" customWidth="1"/>
    <col min="1962" max="1962" width="9.7265625" customWidth="1"/>
    <col min="1963" max="1964" width="6" customWidth="1"/>
    <col min="1965" max="1965" width="8.7265625" customWidth="1"/>
    <col min="1966" max="1966" width="6" customWidth="1"/>
    <col min="1967" max="1967" width="8.7265625" customWidth="1"/>
    <col min="1968" max="1968" width="6" customWidth="1"/>
    <col min="1969" max="1969" width="8.7265625" customWidth="1"/>
    <col min="1970" max="1970" width="7.1796875" customWidth="1"/>
    <col min="1971" max="1974" width="6" customWidth="1"/>
    <col min="1975" max="1975" width="8.7265625" customWidth="1"/>
    <col min="1976" max="1976" width="7" customWidth="1"/>
    <col min="1977" max="1977" width="9.7265625" customWidth="1"/>
    <col min="1978" max="1978" width="6" customWidth="1"/>
    <col min="1979" max="1979" width="8.7265625" customWidth="1"/>
    <col min="1980" max="1980" width="7.1796875" customWidth="1"/>
    <col min="1981" max="1983" width="6" customWidth="1"/>
    <col min="1984" max="1984" width="8.7265625" customWidth="1"/>
    <col min="1985" max="1985" width="7" customWidth="1"/>
    <col min="1986" max="1986" width="9.7265625" customWidth="1"/>
    <col min="1987" max="1987" width="6" customWidth="1"/>
    <col min="1988" max="1988" width="8.7265625" customWidth="1"/>
    <col min="1989" max="1989" width="7.1796875" customWidth="1"/>
    <col min="1990" max="1992" width="6" customWidth="1"/>
    <col min="1993" max="1993" width="8.7265625" customWidth="1"/>
    <col min="1994" max="1994" width="7" customWidth="1"/>
    <col min="1995" max="1995" width="9.7265625" customWidth="1"/>
    <col min="1996" max="1996" width="7.1796875" customWidth="1"/>
    <col min="1997" max="1998" width="6" customWidth="1"/>
    <col min="1999" max="1999" width="8.7265625" customWidth="1"/>
    <col min="2000" max="2000" width="7.1796875" customWidth="1"/>
    <col min="2001" max="2001" width="7" customWidth="1"/>
    <col min="2002" max="2002" width="9.7265625" customWidth="1"/>
    <col min="2003" max="2006" width="6" customWidth="1"/>
    <col min="2007" max="2007" width="8.7265625" customWidth="1"/>
    <col min="2008" max="2008" width="7" customWidth="1"/>
    <col min="2009" max="2009" width="9.7265625" customWidth="1"/>
    <col min="2010" max="2010" width="8.1796875" customWidth="1"/>
    <col min="2011" max="2012" width="6" customWidth="1"/>
    <col min="2013" max="2013" width="8.7265625" customWidth="1"/>
    <col min="2014" max="2014" width="8.1796875" customWidth="1"/>
    <col min="2015" max="2017" width="6" customWidth="1"/>
    <col min="2018" max="2018" width="8.7265625" customWidth="1"/>
    <col min="2019" max="2019" width="8.1796875" customWidth="1"/>
    <col min="2020" max="2020" width="6" customWidth="1"/>
    <col min="2021" max="2021" width="8.7265625" customWidth="1"/>
    <col min="2022" max="2022" width="7" customWidth="1"/>
    <col min="2023" max="2023" width="9.7265625" customWidth="1"/>
    <col min="2024" max="2024" width="8.1796875" customWidth="1"/>
    <col min="2025" max="2025" width="6" customWidth="1"/>
    <col min="2026" max="2026" width="8.7265625" customWidth="1"/>
    <col min="2027" max="2027" width="6" customWidth="1"/>
    <col min="2028" max="2028" width="8.7265625" customWidth="1"/>
    <col min="2029" max="2029" width="8.1796875" customWidth="1"/>
    <col min="2030" max="2030" width="7" customWidth="1"/>
    <col min="2031" max="2031" width="9.7265625" customWidth="1"/>
    <col min="2032" max="2035" width="6" customWidth="1"/>
    <col min="2036" max="2036" width="8.7265625" customWidth="1"/>
    <col min="2037" max="2037" width="7" customWidth="1"/>
    <col min="2038" max="2038" width="9.7265625" customWidth="1"/>
    <col min="2039" max="2039" width="8.1796875" customWidth="1"/>
    <col min="2040" max="2040" width="6" customWidth="1"/>
    <col min="2041" max="2041" width="8.7265625" customWidth="1"/>
    <col min="2042" max="2042" width="7" customWidth="1"/>
    <col min="2043" max="2043" width="9.7265625" customWidth="1"/>
    <col min="2044" max="2044" width="8.1796875" customWidth="1"/>
    <col min="2045" max="2047" width="6" customWidth="1"/>
    <col min="2048" max="2048" width="8.7265625" customWidth="1"/>
    <col min="2049" max="2049" width="8.1796875" customWidth="1"/>
    <col min="2050" max="2050" width="7" customWidth="1"/>
    <col min="2051" max="2051" width="9.7265625" customWidth="1"/>
    <col min="2052" max="2053" width="6" customWidth="1"/>
    <col min="2054" max="2054" width="8.7265625" customWidth="1"/>
    <col min="2055" max="2055" width="8.1796875" customWidth="1"/>
    <col min="2056" max="2056" width="6" customWidth="1"/>
    <col min="2057" max="2057" width="8.7265625" customWidth="1"/>
    <col min="2058" max="2058" width="8.1796875" customWidth="1"/>
    <col min="2059" max="2059" width="7" customWidth="1"/>
    <col min="2060" max="2060" width="9.7265625" customWidth="1"/>
    <col min="2061" max="2064" width="6" customWidth="1"/>
    <col min="2065" max="2065" width="8.7265625" customWidth="1"/>
    <col min="2066" max="2066" width="8.1796875" customWidth="1"/>
    <col min="2067" max="2067" width="6" customWidth="1"/>
    <col min="2068" max="2068" width="8.7265625" customWidth="1"/>
    <col min="2069" max="2069" width="8.1796875" customWidth="1"/>
    <col min="2070" max="2070" width="6" customWidth="1"/>
    <col min="2071" max="2071" width="8.7265625" customWidth="1"/>
    <col min="2072" max="2072" width="8.1796875" customWidth="1"/>
    <col min="2073" max="2073" width="6" customWidth="1"/>
    <col min="2074" max="2074" width="8.7265625" customWidth="1"/>
    <col min="2075" max="2075" width="8.1796875" customWidth="1"/>
    <col min="2076" max="2076" width="10.1796875" customWidth="1"/>
    <col min="2077" max="2077" width="7" customWidth="1"/>
    <col min="2078" max="2078" width="8.7265625" customWidth="1"/>
    <col min="2079" max="2079" width="7.1796875" customWidth="1"/>
    <col min="2080" max="2082" width="6" customWidth="1"/>
    <col min="2083" max="2083" width="8.7265625" customWidth="1"/>
    <col min="2084" max="2084" width="6" customWidth="1"/>
    <col min="2085" max="2085" width="8.7265625" customWidth="1"/>
    <col min="2086" max="2086" width="7.1796875" customWidth="1"/>
    <col min="2087" max="2089" width="6" customWidth="1"/>
    <col min="2090" max="2090" width="8.7265625" customWidth="1"/>
    <col min="2091" max="2091" width="6" customWidth="1"/>
    <col min="2092" max="2092" width="8.7265625" customWidth="1"/>
    <col min="2093" max="2093" width="7.1796875" customWidth="1"/>
    <col min="2094" max="2094" width="6" customWidth="1"/>
    <col min="2095" max="2095" width="8.7265625" customWidth="1"/>
    <col min="2096" max="2096" width="7.1796875" customWidth="1"/>
    <col min="2097" max="2097" width="7" customWidth="1"/>
    <col min="2098" max="2098" width="9.7265625" customWidth="1"/>
    <col min="2099" max="2099" width="6" customWidth="1"/>
    <col min="2100" max="2100" width="8.7265625" customWidth="1"/>
    <col min="2101" max="2101" width="8.1796875" customWidth="1"/>
    <col min="2102" max="2102" width="6" customWidth="1"/>
    <col min="2103" max="2103" width="8.7265625" customWidth="1"/>
    <col min="2104" max="2104" width="8.1796875" customWidth="1"/>
    <col min="2105" max="2105" width="7" customWidth="1"/>
    <col min="2106" max="2106" width="9.7265625" customWidth="1"/>
    <col min="2107" max="2107" width="6" customWidth="1"/>
    <col min="2108" max="2108" width="8.7265625" customWidth="1"/>
    <col min="2109" max="2109" width="8.1796875" customWidth="1"/>
    <col min="2110" max="2110" width="10.1796875" customWidth="1"/>
    <col min="2111" max="2111" width="7" customWidth="1"/>
    <col min="2112" max="2113" width="6" customWidth="1"/>
    <col min="2114" max="2114" width="8.7265625" customWidth="1"/>
    <col min="2115" max="2115" width="7.1796875" customWidth="1"/>
    <col min="2116" max="2116" width="6" customWidth="1"/>
    <col min="2117" max="2117" width="8.7265625" customWidth="1"/>
    <col min="2118" max="2118" width="7.1796875" customWidth="1"/>
    <col min="2119" max="2121" width="6" customWidth="1"/>
    <col min="2122" max="2122" width="8.7265625" customWidth="1"/>
    <col min="2123" max="2123" width="7.1796875" customWidth="1"/>
    <col min="2124" max="2124" width="6" customWidth="1"/>
    <col min="2125" max="2125" width="8.7265625" customWidth="1"/>
    <col min="2126" max="2126" width="7.1796875" customWidth="1"/>
    <col min="2127" max="2127" width="6" customWidth="1"/>
    <col min="2128" max="2128" width="8.7265625" customWidth="1"/>
    <col min="2129" max="2129" width="8.1796875" customWidth="1"/>
    <col min="2130" max="2130" width="6" customWidth="1"/>
    <col min="2131" max="2131" width="8.7265625" customWidth="1"/>
    <col min="2132" max="2132" width="8.1796875" customWidth="1"/>
    <col min="2133" max="2133" width="6" customWidth="1"/>
    <col min="2134" max="2134" width="8.7265625" customWidth="1"/>
    <col min="2135" max="2135" width="8.1796875" customWidth="1"/>
    <col min="2136" max="2136" width="10.1796875" customWidth="1"/>
    <col min="2137" max="2137" width="7" customWidth="1"/>
    <col min="2138" max="2138" width="8.7265625" customWidth="1"/>
    <col min="2139" max="2139" width="6" customWidth="1"/>
    <col min="2140" max="2140" width="8.7265625" customWidth="1"/>
    <col min="2141" max="2141" width="7.1796875" customWidth="1"/>
    <col min="2142" max="2142" width="6" customWidth="1"/>
    <col min="2143" max="2143" width="8.7265625" customWidth="1"/>
    <col min="2144" max="2144" width="8.1796875" customWidth="1"/>
    <col min="2145" max="2145" width="6" customWidth="1"/>
    <col min="2146" max="2146" width="8.7265625" customWidth="1"/>
    <col min="2147" max="2147" width="8.1796875" customWidth="1"/>
    <col min="2148" max="2148" width="6" customWidth="1"/>
    <col min="2149" max="2149" width="8.7265625" customWidth="1"/>
    <col min="2150" max="2150" width="8.1796875" customWidth="1"/>
    <col min="2151" max="2151" width="10.1796875" customWidth="1"/>
    <col min="2152" max="2152" width="7" customWidth="1"/>
    <col min="2153" max="2153" width="8.7265625" customWidth="1"/>
    <col min="2154" max="2154" width="8.1796875" customWidth="1"/>
    <col min="2155" max="2155" width="10.1796875" customWidth="1"/>
    <col min="2156" max="2156" width="7" customWidth="1"/>
    <col min="2157" max="2157" width="8.7265625" customWidth="1"/>
    <col min="2158" max="2158" width="8.1796875" customWidth="1"/>
    <col min="2159" max="2159" width="10.1796875" customWidth="1"/>
    <col min="2160" max="2160" width="7" customWidth="1"/>
    <col min="2161" max="2161" width="8.7265625" customWidth="1"/>
    <col min="2162" max="2162" width="7.1796875" customWidth="1"/>
    <col min="2163" max="2163" width="6" customWidth="1"/>
    <col min="2164" max="2164" width="8.7265625" customWidth="1"/>
    <col min="2165" max="2165" width="7.1796875" customWidth="1"/>
    <col min="2166" max="2167" width="6" customWidth="1"/>
    <col min="2168" max="2168" width="8.7265625" customWidth="1"/>
    <col min="2169" max="2169" width="7.1796875" customWidth="1"/>
    <col min="2170" max="2170" width="6" customWidth="1"/>
    <col min="2171" max="2171" width="8.7265625" customWidth="1"/>
    <col min="2172" max="2172" width="7" customWidth="1"/>
    <col min="2173" max="2173" width="9.7265625" customWidth="1"/>
    <col min="2174" max="2174" width="7.1796875" customWidth="1"/>
    <col min="2175" max="2175" width="6" customWidth="1"/>
    <col min="2176" max="2176" width="8.7265625" customWidth="1"/>
    <col min="2177" max="2177" width="7" customWidth="1"/>
    <col min="2178" max="2178" width="9.7265625" customWidth="1"/>
    <col min="2179" max="2179" width="6" customWidth="1"/>
    <col min="2180" max="2180" width="8.7265625" customWidth="1"/>
    <col min="2181" max="2181" width="8.1796875" customWidth="1"/>
    <col min="2182" max="2182" width="6" customWidth="1"/>
    <col min="2183" max="2183" width="8.7265625" customWidth="1"/>
    <col min="2184" max="2184" width="8.1796875" customWidth="1"/>
    <col min="2185" max="2186" width="6" customWidth="1"/>
    <col min="2187" max="2187" width="8.7265625" customWidth="1"/>
    <col min="2188" max="2188" width="8.1796875" customWidth="1"/>
    <col min="2189" max="2189" width="6" customWidth="1"/>
    <col min="2190" max="2190" width="8.7265625" customWidth="1"/>
    <col min="2191" max="2191" width="8.1796875" customWidth="1"/>
    <col min="2192" max="2192" width="6" customWidth="1"/>
    <col min="2193" max="2193" width="8.7265625" customWidth="1"/>
    <col min="2194" max="2194" width="8.1796875" customWidth="1"/>
    <col min="2195" max="2195" width="6" customWidth="1"/>
    <col min="2196" max="2196" width="8.7265625" customWidth="1"/>
    <col min="2197" max="2197" width="7" customWidth="1"/>
    <col min="2198" max="2198" width="9.7265625" customWidth="1"/>
    <col min="2199" max="2199" width="8.1796875" customWidth="1"/>
    <col min="2200" max="2200" width="10.1796875" customWidth="1"/>
    <col min="2201" max="2201" width="7" customWidth="1"/>
    <col min="2202" max="2202" width="8.7265625" customWidth="1"/>
    <col min="2203" max="2203" width="7.1796875" customWidth="1"/>
    <col min="2204" max="2204" width="6" customWidth="1"/>
    <col min="2205" max="2205" width="8.7265625" customWidth="1"/>
    <col min="2206" max="2206" width="7.1796875" customWidth="1"/>
    <col min="2207" max="2207" width="6" customWidth="1"/>
    <col min="2208" max="2208" width="8.7265625" customWidth="1"/>
    <col min="2209" max="2209" width="7.1796875" customWidth="1"/>
    <col min="2210" max="2210" width="6" customWidth="1"/>
    <col min="2211" max="2212" width="8.7265625" customWidth="1"/>
    <col min="2213" max="2213" width="6" customWidth="1"/>
    <col min="2214" max="2214" width="8.7265625" customWidth="1"/>
    <col min="2215" max="2215" width="8.1796875" customWidth="1"/>
    <col min="2216" max="2216" width="6" customWidth="1"/>
    <col min="2217" max="2217" width="8.7265625" customWidth="1"/>
    <col min="2218" max="2218" width="8.1796875" customWidth="1"/>
    <col min="2219" max="2219" width="6" customWidth="1"/>
    <col min="2220" max="2220" width="8.7265625" customWidth="1"/>
    <col min="2221" max="2221" width="8.1796875" customWidth="1"/>
    <col min="2222" max="2222" width="6" customWidth="1"/>
    <col min="2223" max="2223" width="8.7265625" customWidth="1"/>
    <col min="2224" max="2224" width="8.1796875" customWidth="1"/>
    <col min="2225" max="2225" width="10.1796875" customWidth="1"/>
    <col min="2226" max="2226" width="7" customWidth="1"/>
    <col min="2227" max="2227" width="8.7265625" customWidth="1"/>
    <col min="2228" max="2228" width="8.1796875" customWidth="1"/>
    <col min="2229" max="2229" width="10.1796875" customWidth="1"/>
    <col min="2230" max="2230" width="7" customWidth="1"/>
    <col min="2231" max="2231" width="8.7265625" customWidth="1"/>
    <col min="2232" max="2232" width="7.1796875" customWidth="1"/>
    <col min="2233" max="2233" width="6" customWidth="1"/>
    <col min="2234" max="2234" width="8.7265625" customWidth="1"/>
    <col min="2235" max="2235" width="7" customWidth="1"/>
    <col min="2236" max="2236" width="9.7265625" customWidth="1"/>
    <col min="2237" max="2237" width="7.1796875" customWidth="1"/>
    <col min="2238" max="2238" width="6" customWidth="1"/>
    <col min="2239" max="2239" width="8.7265625" customWidth="1"/>
    <col min="2240" max="2240" width="7.1796875" customWidth="1"/>
    <col min="2241" max="2241" width="7" customWidth="1"/>
    <col min="2242" max="2242" width="9.7265625" customWidth="1"/>
    <col min="2243" max="2243" width="7.1796875" customWidth="1"/>
    <col min="2244" max="2244" width="6" customWidth="1"/>
    <col min="2245" max="2245" width="8.7265625" customWidth="1"/>
    <col min="2246" max="2246" width="8.1796875" customWidth="1"/>
    <col min="2247" max="2247" width="6" customWidth="1"/>
    <col min="2248" max="2248" width="8.7265625" customWidth="1"/>
    <col min="2249" max="2249" width="8.1796875" customWidth="1"/>
    <col min="2250" max="2250" width="6" customWidth="1"/>
    <col min="2251" max="2251" width="8.7265625" customWidth="1"/>
    <col min="2252" max="2252" width="8.1796875" customWidth="1"/>
    <col min="2253" max="2253" width="6" customWidth="1"/>
    <col min="2254" max="2254" width="8.7265625" customWidth="1"/>
    <col min="2255" max="2255" width="8.1796875" customWidth="1"/>
    <col min="2256" max="2256" width="6" customWidth="1"/>
    <col min="2257" max="2257" width="8.7265625" customWidth="1"/>
    <col min="2258" max="2258" width="8.1796875" customWidth="1"/>
    <col min="2259" max="2259" width="10.1796875" customWidth="1"/>
    <col min="2260" max="2260" width="7" customWidth="1"/>
    <col min="2261" max="2262" width="8.7265625" customWidth="1"/>
    <col min="2263" max="2263" width="6" customWidth="1"/>
    <col min="2264" max="2264" width="8.7265625" customWidth="1"/>
    <col min="2265" max="2265" width="7.1796875" customWidth="1"/>
    <col min="2266" max="2266" width="6" customWidth="1"/>
    <col min="2267" max="2267" width="8.7265625" customWidth="1"/>
    <col min="2268" max="2268" width="7.1796875" customWidth="1"/>
    <col min="2269" max="2269" width="6" customWidth="1"/>
    <col min="2270" max="2270" width="8.7265625" customWidth="1"/>
    <col min="2271" max="2271" width="8.1796875" customWidth="1"/>
    <col min="2272" max="2272" width="10.1796875" customWidth="1"/>
    <col min="2273" max="2273" width="7" customWidth="1"/>
    <col min="2274" max="2274" width="8.7265625" customWidth="1"/>
    <col min="2275" max="2275" width="7.1796875" customWidth="1"/>
    <col min="2276" max="2276" width="6" customWidth="1"/>
    <col min="2277" max="2277" width="8.7265625" customWidth="1"/>
    <col min="2278" max="2278" width="8.1796875" customWidth="1"/>
    <col min="2279" max="2279" width="10.1796875" customWidth="1"/>
    <col min="2280" max="2280" width="7" customWidth="1"/>
    <col min="2281" max="2281" width="8.7265625" customWidth="1"/>
    <col min="2282" max="2282" width="7.1796875" customWidth="1"/>
    <col min="2283" max="2283" width="6" customWidth="1"/>
    <col min="2284" max="2284" width="8.7265625" customWidth="1"/>
    <col min="2285" max="2285" width="7.1796875" customWidth="1"/>
    <col min="2286" max="2286" width="6" customWidth="1"/>
    <col min="2287" max="2287" width="8.7265625" customWidth="1"/>
    <col min="2288" max="2288" width="7.1796875" customWidth="1"/>
    <col min="2289" max="2289" width="10.1796875" customWidth="1"/>
    <col min="2290" max="2290" width="8" customWidth="1"/>
    <col min="2291" max="2292" width="6" customWidth="1"/>
    <col min="2293" max="2293" width="8.7265625" customWidth="1"/>
    <col min="2294" max="2294" width="7.1796875" customWidth="1"/>
    <col min="2295" max="2295" width="7" customWidth="1"/>
    <col min="2296" max="2296" width="9.7265625" customWidth="1"/>
    <col min="2297" max="2300" width="6" customWidth="1"/>
    <col min="2301" max="2301" width="8.7265625" customWidth="1"/>
    <col min="2302" max="2302" width="7.1796875" customWidth="1"/>
    <col min="2303" max="2303" width="7" customWidth="1"/>
    <col min="2304" max="2304" width="9.7265625" customWidth="1"/>
    <col min="2305" max="2308" width="6" customWidth="1"/>
    <col min="2309" max="2309" width="8.7265625" customWidth="1"/>
    <col min="2310" max="2310" width="7" customWidth="1"/>
    <col min="2311" max="2311" width="6" customWidth="1"/>
    <col min="2312" max="2312" width="9.7265625" customWidth="1"/>
    <col min="2313" max="2313" width="6" customWidth="1"/>
    <col min="2314" max="2314" width="8.7265625" customWidth="1"/>
    <col min="2315" max="2315" width="6" customWidth="1"/>
    <col min="2316" max="2316" width="8.7265625" customWidth="1"/>
    <col min="2317" max="2317" width="6" customWidth="1"/>
    <col min="2318" max="2318" width="8.7265625" customWidth="1"/>
    <col min="2319" max="2319" width="7.1796875" customWidth="1"/>
    <col min="2320" max="2321" width="6" customWidth="1"/>
    <col min="2322" max="2322" width="8.7265625" customWidth="1"/>
    <col min="2323" max="2323" width="7.1796875" customWidth="1"/>
    <col min="2324" max="2326" width="6" customWidth="1"/>
    <col min="2327" max="2327" width="8.7265625" customWidth="1"/>
    <col min="2328" max="2328" width="7.1796875" customWidth="1"/>
    <col min="2329" max="2330" width="6" customWidth="1"/>
    <col min="2331" max="2331" width="8.7265625" customWidth="1"/>
    <col min="2332" max="2332" width="6" customWidth="1"/>
    <col min="2333" max="2333" width="8.7265625" customWidth="1"/>
    <col min="2334" max="2334" width="7.1796875" customWidth="1"/>
    <col min="2335" max="2335" width="6" customWidth="1"/>
    <col min="2336" max="2336" width="8.7265625" customWidth="1"/>
    <col min="2337" max="2337" width="7.1796875" customWidth="1"/>
    <col min="2338" max="2338" width="7" customWidth="1"/>
    <col min="2339" max="2339" width="6" customWidth="1"/>
    <col min="2340" max="2340" width="9.7265625" customWidth="1"/>
    <col min="2341" max="2344" width="6" customWidth="1"/>
    <col min="2345" max="2345" width="8.7265625" customWidth="1"/>
    <col min="2346" max="2346" width="7" customWidth="1"/>
    <col min="2347" max="2347" width="6" customWidth="1"/>
    <col min="2348" max="2348" width="9.7265625" customWidth="1"/>
    <col min="2349" max="2349" width="8.1796875" customWidth="1"/>
    <col min="2350" max="2350" width="6" customWidth="1"/>
    <col min="2351" max="2351" width="8.7265625" customWidth="1"/>
    <col min="2352" max="2352" width="8.1796875" customWidth="1"/>
    <col min="2353" max="2353" width="7" customWidth="1"/>
    <col min="2354" max="2354" width="9.7265625" customWidth="1"/>
    <col min="2355" max="2355" width="8.1796875" customWidth="1"/>
    <col min="2356" max="2356" width="7" customWidth="1"/>
    <col min="2357" max="2357" width="9.7265625" customWidth="1"/>
    <col min="2358" max="2358" width="8.1796875" customWidth="1"/>
    <col min="2359" max="2361" width="6" customWidth="1"/>
    <col min="2362" max="2362" width="8.7265625" customWidth="1"/>
    <col min="2363" max="2363" width="8.1796875" customWidth="1"/>
    <col min="2364" max="2364" width="7" customWidth="1"/>
    <col min="2365" max="2365" width="9.7265625" customWidth="1"/>
    <col min="2366" max="2366" width="8.1796875" customWidth="1"/>
    <col min="2367" max="2368" width="6" customWidth="1"/>
    <col min="2369" max="2369" width="8.7265625" customWidth="1"/>
    <col min="2370" max="2370" width="8.1796875" customWidth="1"/>
    <col min="2371" max="2371" width="6" customWidth="1"/>
    <col min="2372" max="2372" width="8.7265625" customWidth="1"/>
    <col min="2373" max="2373" width="8.1796875" customWidth="1"/>
    <col min="2374" max="2376" width="6" customWidth="1"/>
    <col min="2377" max="2377" width="8.7265625" customWidth="1"/>
    <col min="2378" max="2378" width="8.1796875" customWidth="1"/>
    <col min="2379" max="2379" width="11.1796875" customWidth="1"/>
    <col min="2380" max="2380" width="8" customWidth="1"/>
    <col min="2381" max="2381" width="8.7265625" customWidth="1"/>
    <col min="2382" max="2382" width="7.1796875" customWidth="1"/>
    <col min="2383" max="2384" width="6" customWidth="1"/>
    <col min="2385" max="2385" width="8.7265625" customWidth="1"/>
    <col min="2386" max="2386" width="7.1796875" customWidth="1"/>
    <col min="2387" max="2387" width="6" customWidth="1"/>
    <col min="2388" max="2388" width="8.7265625" customWidth="1"/>
    <col min="2389" max="2389" width="7.1796875" customWidth="1"/>
    <col min="2390" max="2390" width="6" customWidth="1"/>
    <col min="2391" max="2391" width="8.7265625" customWidth="1"/>
    <col min="2392" max="2392" width="8.1796875" customWidth="1"/>
    <col min="2393" max="2393" width="11.1796875" customWidth="1"/>
    <col min="2394" max="2394" width="8" customWidth="1"/>
    <col min="2395" max="2395" width="8.7265625" customWidth="1"/>
    <col min="2396" max="2396" width="7.1796875" customWidth="1"/>
    <col min="2397" max="2397" width="7" customWidth="1"/>
    <col min="2398" max="2398" width="9.7265625" customWidth="1"/>
    <col min="2399" max="2399" width="7.1796875" customWidth="1"/>
    <col min="2400" max="2400" width="6" customWidth="1"/>
    <col min="2401" max="2401" width="8.7265625" customWidth="1"/>
    <col min="2402" max="2402" width="7.1796875" customWidth="1"/>
    <col min="2403" max="2403" width="11.1796875" customWidth="1"/>
    <col min="2404" max="2404" width="8" customWidth="1"/>
    <col min="2405" max="2405" width="8.7265625" customWidth="1"/>
    <col min="2406" max="2406" width="7.1796875" customWidth="1"/>
    <col min="2407" max="2407" width="6" customWidth="1"/>
    <col min="2408" max="2408" width="8.7265625" customWidth="1"/>
    <col min="2409" max="2409" width="7.1796875" customWidth="1"/>
    <col min="2410" max="2410" width="6" customWidth="1"/>
    <col min="2411" max="2411" width="8.7265625" customWidth="1"/>
    <col min="2412" max="2412" width="7.1796875" customWidth="1"/>
    <col min="2413" max="2413" width="11.1796875" customWidth="1"/>
    <col min="2414" max="2414" width="8" customWidth="1"/>
    <col min="2415" max="2415" width="8.7265625" customWidth="1"/>
    <col min="2416" max="2416" width="7.1796875" customWidth="1"/>
    <col min="2417" max="2417" width="6" customWidth="1"/>
    <col min="2418" max="2418" width="8.7265625" customWidth="1"/>
    <col min="2419" max="2419" width="7.1796875" customWidth="1"/>
    <col min="2420" max="2420" width="6" customWidth="1"/>
    <col min="2421" max="2421" width="8.7265625" customWidth="1"/>
    <col min="2422" max="2422" width="7.1796875" customWidth="1"/>
    <col min="2423" max="2424" width="6" customWidth="1"/>
    <col min="2425" max="2425" width="8.7265625" customWidth="1"/>
    <col min="2426" max="2426" width="7.1796875" customWidth="1"/>
    <col min="2427" max="2427" width="11.1796875" customWidth="1"/>
    <col min="2428" max="2428" width="8" customWidth="1"/>
    <col min="2429" max="2429" width="9.7265625" customWidth="1"/>
    <col min="2430" max="2430" width="7.1796875" customWidth="1"/>
    <col min="2431" max="2431" width="7" customWidth="1"/>
    <col min="2432" max="2432" width="9.7265625" customWidth="1"/>
    <col min="2433" max="2433" width="8.1796875" customWidth="1"/>
    <col min="2434" max="2434" width="11.1796875" customWidth="1"/>
    <col min="2435" max="2435" width="8" customWidth="1"/>
    <col min="2436" max="2436" width="8.7265625" customWidth="1"/>
    <col min="2437" max="2437" width="7.1796875" customWidth="1"/>
    <col min="2438" max="2438" width="6" customWidth="1"/>
    <col min="2439" max="2439" width="8.7265625" customWidth="1"/>
    <col min="2440" max="2440" width="8.1796875" customWidth="1"/>
    <col min="2441" max="2441" width="11.1796875" customWidth="1"/>
    <col min="2442" max="2442" width="8" customWidth="1"/>
    <col min="2443" max="2443" width="8.7265625" customWidth="1"/>
    <col min="2444" max="2444" width="7.1796875" customWidth="1"/>
    <col min="2445" max="2445" width="11.1796875" customWidth="1"/>
    <col min="2446" max="2446" width="8" customWidth="1"/>
    <col min="2447" max="2447" width="8.7265625" customWidth="1"/>
    <col min="2448" max="2448" width="7.1796875" customWidth="1"/>
    <col min="2449" max="2451" width="6" customWidth="1"/>
    <col min="2452" max="2452" width="8.7265625" customWidth="1"/>
    <col min="2453" max="2453" width="6" customWidth="1"/>
    <col min="2454" max="2454" width="8.7265625" customWidth="1"/>
    <col min="2455" max="2455" width="7.1796875" customWidth="1"/>
    <col min="2456" max="2457" width="6" customWidth="1"/>
    <col min="2458" max="2458" width="8.7265625" customWidth="1"/>
    <col min="2459" max="2459" width="7" customWidth="1"/>
    <col min="2460" max="2460" width="9.7265625" customWidth="1"/>
    <col min="2461" max="2461" width="7.1796875" customWidth="1"/>
    <col min="2462" max="2464" width="6" customWidth="1"/>
    <col min="2465" max="2465" width="8.7265625" customWidth="1"/>
    <col min="2466" max="2466" width="8.1796875" customWidth="1"/>
    <col min="2467" max="2467" width="6" customWidth="1"/>
    <col min="2468" max="2468" width="8.7265625" customWidth="1"/>
    <col min="2469" max="2469" width="7" customWidth="1"/>
    <col min="2470" max="2470" width="9.7265625" customWidth="1"/>
    <col min="2471" max="2471" width="8.1796875" customWidth="1"/>
    <col min="2472" max="2472" width="6" customWidth="1"/>
    <col min="2473" max="2473" width="8.7265625" customWidth="1"/>
    <col min="2474" max="2474" width="8.1796875" customWidth="1"/>
    <col min="2475" max="2476" width="6" customWidth="1"/>
    <col min="2477" max="2477" width="8.7265625" customWidth="1"/>
    <col min="2478" max="2478" width="8.1796875" customWidth="1"/>
    <col min="2479" max="2479" width="11.1796875" customWidth="1"/>
    <col min="2480" max="2480" width="8" customWidth="1"/>
    <col min="2481" max="2481" width="8.7265625" customWidth="1"/>
    <col min="2482" max="2482" width="7.1796875" customWidth="1"/>
    <col min="2483" max="2483" width="6" customWidth="1"/>
    <col min="2484" max="2484" width="8.7265625" customWidth="1"/>
    <col min="2485" max="2485" width="8.1796875" customWidth="1"/>
    <col min="2486" max="2486" width="6" customWidth="1"/>
    <col min="2487" max="2487" width="8.7265625" customWidth="1"/>
    <col min="2488" max="2488" width="7" customWidth="1"/>
    <col min="2489" max="2489" width="9.7265625" customWidth="1"/>
    <col min="2490" max="2490" width="8.1796875" customWidth="1"/>
    <col min="2491" max="2491" width="11.1796875" customWidth="1"/>
    <col min="2492" max="2492" width="8" customWidth="1"/>
    <col min="2493" max="2493" width="6" customWidth="1"/>
    <col min="2494" max="2494" width="8.7265625" customWidth="1"/>
    <col min="2495" max="2495" width="7.1796875" customWidth="1"/>
    <col min="2496" max="2496" width="11.1796875" customWidth="1"/>
    <col min="2497" max="2497" width="8" customWidth="1"/>
    <col min="2498" max="2498" width="8.7265625" customWidth="1"/>
    <col min="2499" max="2499" width="7.1796875" customWidth="1"/>
    <col min="2500" max="2500" width="7" customWidth="1"/>
    <col min="2501" max="2501" width="9.7265625" customWidth="1"/>
    <col min="2502" max="2502" width="7.1796875" customWidth="1"/>
    <col min="2503" max="2503" width="11.1796875" customWidth="1"/>
    <col min="2504" max="2504" width="8" customWidth="1"/>
    <col min="2505" max="2505" width="8.7265625" customWidth="1"/>
    <col min="2506" max="2506" width="7.1796875" customWidth="1"/>
    <col min="2507" max="2507" width="11.1796875" customWidth="1"/>
    <col min="2508" max="2508" width="8" customWidth="1"/>
    <col min="2509" max="2509" width="8.7265625" customWidth="1"/>
    <col min="2510" max="2510" width="7.1796875" customWidth="1"/>
    <col min="2511" max="2511" width="6" customWidth="1"/>
    <col min="2512" max="2512" width="8.7265625" customWidth="1"/>
    <col min="2513" max="2513" width="7.1796875" customWidth="1"/>
    <col min="2514" max="2514" width="11.1796875" customWidth="1"/>
    <col min="2515" max="2515" width="8" customWidth="1"/>
    <col min="2516" max="2518" width="6" customWidth="1"/>
    <col min="2519" max="2519" width="8.7265625" customWidth="1"/>
    <col min="2520" max="2520" width="7.1796875" customWidth="1"/>
    <col min="2521" max="2524" width="6" customWidth="1"/>
    <col min="2525" max="2525" width="8.7265625" customWidth="1"/>
    <col min="2526" max="2526" width="7.1796875" customWidth="1"/>
    <col min="2527" max="2529" width="6" customWidth="1"/>
    <col min="2530" max="2530" width="8.7265625" customWidth="1"/>
    <col min="2531" max="2531" width="7.1796875" customWidth="1"/>
    <col min="2532" max="2533" width="6" customWidth="1"/>
    <col min="2534" max="2534" width="8.7265625" customWidth="1"/>
    <col min="2535" max="2535" width="7.1796875" customWidth="1"/>
    <col min="2536" max="2536" width="6" customWidth="1"/>
    <col min="2537" max="2537" width="8.7265625" customWidth="1"/>
    <col min="2538" max="2538" width="7.1796875" customWidth="1"/>
    <col min="2539" max="2540" width="6" customWidth="1"/>
    <col min="2541" max="2541" width="8.7265625" customWidth="1"/>
    <col min="2542" max="2542" width="8.1796875" customWidth="1"/>
    <col min="2543" max="2543" width="6" customWidth="1"/>
    <col min="2544" max="2544" width="8.7265625" customWidth="1"/>
    <col min="2545" max="2545" width="8.1796875" customWidth="1"/>
    <col min="2546" max="2547" width="6" customWidth="1"/>
    <col min="2548" max="2548" width="8.7265625" customWidth="1"/>
    <col min="2549" max="2549" width="8.1796875" customWidth="1"/>
    <col min="2550" max="2550" width="7" customWidth="1"/>
    <col min="2551" max="2551" width="9.7265625" customWidth="1"/>
    <col min="2552" max="2552" width="8.1796875" customWidth="1"/>
    <col min="2553" max="2553" width="6" customWidth="1"/>
    <col min="2554" max="2554" width="8.7265625" customWidth="1"/>
    <col min="2555" max="2555" width="8.1796875" customWidth="1"/>
    <col min="2556" max="2556" width="6" customWidth="1"/>
    <col min="2557" max="2557" width="8.7265625" customWidth="1"/>
    <col min="2558" max="2558" width="8.1796875" customWidth="1"/>
    <col min="2559" max="2560" width="6" customWidth="1"/>
    <col min="2561" max="2561" width="8.7265625" customWidth="1"/>
    <col min="2562" max="2562" width="6" customWidth="1"/>
    <col min="2563" max="2563" width="8.7265625" customWidth="1"/>
    <col min="2564" max="2564" width="8.1796875" customWidth="1"/>
    <col min="2565" max="2565" width="6" customWidth="1"/>
    <col min="2566" max="2566" width="8.7265625" customWidth="1"/>
    <col min="2567" max="2567" width="6" customWidth="1"/>
    <col min="2568" max="2568" width="8.7265625" customWidth="1"/>
    <col min="2569" max="2569" width="8.1796875" customWidth="1"/>
    <col min="2570" max="2570" width="6" customWidth="1"/>
    <col min="2571" max="2571" width="8.7265625" customWidth="1"/>
    <col min="2572" max="2572" width="8.1796875" customWidth="1"/>
    <col min="2573" max="2573" width="11.1796875" customWidth="1"/>
    <col min="2574" max="2574" width="8" customWidth="1"/>
    <col min="2575" max="2575" width="6" customWidth="1"/>
    <col min="2576" max="2576" width="8.7265625" customWidth="1"/>
    <col min="2577" max="2577" width="7.1796875" customWidth="1"/>
    <col min="2578" max="2579" width="6" customWidth="1"/>
    <col min="2580" max="2580" width="8.7265625" customWidth="1"/>
    <col min="2581" max="2581" width="7.1796875" customWidth="1"/>
    <col min="2582" max="2582" width="6" customWidth="1"/>
    <col min="2583" max="2583" width="8.7265625" customWidth="1"/>
    <col min="2584" max="2584" width="7.1796875" customWidth="1"/>
    <col min="2585" max="2585" width="6" customWidth="1"/>
    <col min="2586" max="2586" width="8.7265625" customWidth="1"/>
    <col min="2587" max="2587" width="8.1796875" customWidth="1"/>
    <col min="2588" max="2588" width="11.1796875" customWidth="1"/>
    <col min="2589" max="2589" width="8" customWidth="1"/>
    <col min="2590" max="2590" width="8.7265625" customWidth="1"/>
    <col min="2591" max="2591" width="7.1796875" customWidth="1"/>
    <col min="2592" max="2592" width="6" customWidth="1"/>
    <col min="2593" max="2593" width="8.7265625" customWidth="1"/>
    <col min="2594" max="2594" width="7.1796875" customWidth="1"/>
    <col min="2595" max="2595" width="7" customWidth="1"/>
    <col min="2596" max="2596" width="9.7265625" customWidth="1"/>
    <col min="2597" max="2597" width="7.1796875" customWidth="1"/>
    <col min="2598" max="2598" width="11.1796875" customWidth="1"/>
    <col min="2599" max="2599" width="8" customWidth="1"/>
    <col min="2600" max="2600" width="8.7265625" customWidth="1"/>
    <col min="2601" max="2601" width="7.1796875" customWidth="1"/>
    <col min="2602" max="2602" width="11.1796875" customWidth="1"/>
    <col min="2603" max="2603" width="8" customWidth="1"/>
    <col min="2604" max="2604" width="8.7265625" customWidth="1"/>
    <col min="2605" max="2605" width="8.1796875" customWidth="1"/>
    <col min="2606" max="2606" width="6" customWidth="1"/>
    <col min="2607" max="2607" width="8.7265625" customWidth="1"/>
    <col min="2608" max="2608" width="8.1796875" customWidth="1"/>
    <col min="2609" max="2609" width="11.1796875" customWidth="1"/>
    <col min="2610" max="2610" width="8" customWidth="1"/>
    <col min="2611" max="2611" width="8.7265625" customWidth="1"/>
    <col min="2612" max="2612" width="7.1796875" customWidth="1"/>
    <col min="2613" max="2613" width="6" customWidth="1"/>
    <col min="2614" max="2614" width="8.7265625" customWidth="1"/>
    <col min="2615" max="2615" width="7.1796875" customWidth="1"/>
    <col min="2616" max="2616" width="6" customWidth="1"/>
    <col min="2617" max="2617" width="8.7265625" customWidth="1"/>
    <col min="2618" max="2618" width="8.1796875" customWidth="1"/>
    <col min="2619" max="2619" width="6" customWidth="1"/>
    <col min="2620" max="2620" width="8.7265625" customWidth="1"/>
    <col min="2621" max="2621" width="6" customWidth="1"/>
    <col min="2622" max="2622" width="8.7265625" customWidth="1"/>
    <col min="2623" max="2623" width="8.1796875" customWidth="1"/>
    <col min="2624" max="2624" width="11.1796875" customWidth="1"/>
    <col min="2625" max="2625" width="8" customWidth="1"/>
    <col min="2626" max="2626" width="6" customWidth="1"/>
    <col min="2627" max="2627" width="9.7265625" customWidth="1"/>
    <col min="2628" max="2628" width="7.1796875" customWidth="1"/>
    <col min="2629" max="2629" width="7" customWidth="1"/>
    <col min="2630" max="2630" width="9.7265625" customWidth="1"/>
    <col min="2631" max="2632" width="6" customWidth="1"/>
    <col min="2633" max="2633" width="8.7265625" customWidth="1"/>
    <col min="2634" max="2634" width="7.1796875" customWidth="1"/>
    <col min="2635" max="2635" width="6" customWidth="1"/>
    <col min="2636" max="2636" width="8.7265625" customWidth="1"/>
    <col min="2637" max="2637" width="8.1796875" customWidth="1"/>
    <col min="2638" max="2638" width="6" customWidth="1"/>
    <col min="2639" max="2639" width="8.7265625" customWidth="1"/>
    <col min="2640" max="2640" width="8.1796875" customWidth="1"/>
    <col min="2641" max="2641" width="6" customWidth="1"/>
    <col min="2642" max="2642" width="8.7265625" customWidth="1"/>
    <col min="2643" max="2643" width="8.1796875" customWidth="1"/>
    <col min="2644" max="2644" width="6" customWidth="1"/>
    <col min="2645" max="2645" width="8.7265625" customWidth="1"/>
    <col min="2646" max="2646" width="8.1796875" customWidth="1"/>
    <col min="2647" max="2647" width="11.1796875" customWidth="1"/>
    <col min="2648" max="2648" width="8" customWidth="1"/>
    <col min="2649" max="2650" width="6" customWidth="1"/>
    <col min="2651" max="2651" width="8.7265625" customWidth="1"/>
    <col min="2652" max="2652" width="7.1796875" customWidth="1"/>
    <col min="2653" max="2656" width="6" customWidth="1"/>
    <col min="2657" max="2657" width="8.7265625" customWidth="1"/>
    <col min="2658" max="2658" width="7.1796875" customWidth="1"/>
    <col min="2659" max="2659" width="7" customWidth="1"/>
    <col min="2660" max="2660" width="9.7265625" customWidth="1"/>
    <col min="2661" max="2664" width="6" customWidth="1"/>
    <col min="2665" max="2665" width="8.7265625" customWidth="1"/>
    <col min="2666" max="2666" width="6" customWidth="1"/>
    <col min="2667" max="2667" width="8.7265625" customWidth="1"/>
    <col min="2668" max="2668" width="6" customWidth="1"/>
    <col min="2669" max="2669" width="8.7265625" customWidth="1"/>
    <col min="2670" max="2670" width="7.1796875" customWidth="1"/>
    <col min="2671" max="2672" width="6" customWidth="1"/>
    <col min="2673" max="2673" width="8.7265625" customWidth="1"/>
    <col min="2674" max="2674" width="7.1796875" customWidth="1"/>
    <col min="2675" max="2675" width="6" customWidth="1"/>
    <col min="2676" max="2676" width="8.7265625" customWidth="1"/>
    <col min="2677" max="2677" width="7.1796875" customWidth="1"/>
    <col min="2678" max="2679" width="6" customWidth="1"/>
    <col min="2680" max="2680" width="8.7265625" customWidth="1"/>
    <col min="2681" max="2681" width="7.1796875" customWidth="1"/>
    <col min="2682" max="2683" width="6" customWidth="1"/>
    <col min="2684" max="2684" width="8.7265625" customWidth="1"/>
    <col min="2685" max="2685" width="8.1796875" customWidth="1"/>
    <col min="2686" max="2686" width="6" customWidth="1"/>
    <col min="2687" max="2687" width="8.7265625" customWidth="1"/>
    <col min="2688" max="2688" width="8.1796875" customWidth="1"/>
    <col min="2689" max="2689" width="6" customWidth="1"/>
    <col min="2690" max="2690" width="8.7265625" customWidth="1"/>
    <col min="2691" max="2691" width="8.1796875" customWidth="1"/>
    <col min="2692" max="2692" width="6" customWidth="1"/>
    <col min="2693" max="2693" width="8.7265625" customWidth="1"/>
    <col min="2694" max="2694" width="7" customWidth="1"/>
    <col min="2695" max="2695" width="9.7265625" customWidth="1"/>
    <col min="2696" max="2696" width="8.1796875" customWidth="1"/>
    <col min="2697" max="2697" width="6" customWidth="1"/>
    <col min="2698" max="2698" width="8.7265625" customWidth="1"/>
    <col min="2699" max="2699" width="8.1796875" customWidth="1"/>
    <col min="2700" max="2700" width="11.1796875" customWidth="1"/>
    <col min="2701" max="2701" width="8" customWidth="1"/>
    <col min="2702" max="2702" width="8.7265625" customWidth="1"/>
    <col min="2703" max="2703" width="7.1796875" customWidth="1"/>
    <col min="2704" max="2704" width="6" customWidth="1"/>
    <col min="2705" max="2705" width="8.7265625" customWidth="1"/>
    <col min="2706" max="2706" width="8.1796875" customWidth="1"/>
    <col min="2707" max="2707" width="11.1796875" customWidth="1"/>
    <col min="2708" max="2708" width="8" customWidth="1"/>
    <col min="2709" max="2709" width="8.7265625" customWidth="1"/>
    <col min="2710" max="2710" width="7.1796875" customWidth="1"/>
    <col min="2711" max="2711" width="11.1796875" customWidth="1"/>
    <col min="2712" max="2712" width="8" customWidth="1"/>
    <col min="2713" max="2715" width="6" customWidth="1"/>
    <col min="2716" max="2716" width="8.7265625" customWidth="1"/>
    <col min="2717" max="2717" width="7.1796875" customWidth="1"/>
    <col min="2718" max="2720" width="6" customWidth="1"/>
    <col min="2721" max="2721" width="8.7265625" customWidth="1"/>
    <col min="2722" max="2722" width="7.1796875" customWidth="1"/>
    <col min="2723" max="2723" width="7" customWidth="1"/>
    <col min="2724" max="2724" width="6" customWidth="1"/>
    <col min="2725" max="2725" width="9.7265625" customWidth="1"/>
    <col min="2726" max="2730" width="6" customWidth="1"/>
    <col min="2731" max="2731" width="8.7265625" customWidth="1"/>
    <col min="2732" max="2732" width="7" customWidth="1"/>
    <col min="2733" max="2733" width="9.7265625" customWidth="1"/>
    <col min="2734" max="2735" width="6" customWidth="1"/>
    <col min="2736" max="2736" width="8.7265625" customWidth="1"/>
    <col min="2737" max="2737" width="6" customWidth="1"/>
    <col min="2738" max="2738" width="8.7265625" customWidth="1"/>
    <col min="2739" max="2739" width="7.1796875" customWidth="1"/>
    <col min="2740" max="2740" width="7" customWidth="1"/>
    <col min="2741" max="2743" width="6" customWidth="1"/>
    <col min="2744" max="2744" width="9.7265625" customWidth="1"/>
    <col min="2745" max="2748" width="6" customWidth="1"/>
    <col min="2749" max="2749" width="8.7265625" customWidth="1"/>
    <col min="2750" max="2750" width="7" customWidth="1"/>
    <col min="2751" max="2751" width="9.7265625" customWidth="1"/>
    <col min="2752" max="2754" width="6" customWidth="1"/>
    <col min="2755" max="2755" width="8.7265625" customWidth="1"/>
    <col min="2756" max="2757" width="6" customWidth="1"/>
    <col min="2758" max="2758" width="8.7265625" customWidth="1"/>
    <col min="2759" max="2759" width="6" customWidth="1"/>
    <col min="2760" max="2760" width="8.7265625" customWidth="1"/>
    <col min="2761" max="2761" width="6" customWidth="1"/>
    <col min="2762" max="2762" width="8.7265625" customWidth="1"/>
    <col min="2763" max="2763" width="7.1796875" customWidth="1"/>
    <col min="2764" max="2765" width="6" customWidth="1"/>
    <col min="2766" max="2767" width="8.7265625" customWidth="1"/>
    <col min="2768" max="2768" width="7" customWidth="1"/>
    <col min="2769" max="2770" width="6" customWidth="1"/>
    <col min="2771" max="2771" width="9.7265625" customWidth="1"/>
    <col min="2772" max="2776" width="6" customWidth="1"/>
    <col min="2777" max="2777" width="8.7265625" customWidth="1"/>
    <col min="2778" max="2778" width="7" customWidth="1"/>
    <col min="2779" max="2782" width="6" customWidth="1"/>
    <col min="2783" max="2783" width="9.7265625" customWidth="1"/>
    <col min="2784" max="2788" width="6" customWidth="1"/>
    <col min="2789" max="2789" width="8.7265625" customWidth="1"/>
    <col min="2790" max="2790" width="7" customWidth="1"/>
    <col min="2791" max="2791" width="9.7265625" customWidth="1"/>
    <col min="2792" max="2794" width="6" customWidth="1"/>
    <col min="2795" max="2795" width="8.7265625" customWidth="1"/>
    <col min="2796" max="2799" width="6" customWidth="1"/>
    <col min="2800" max="2800" width="8.7265625" customWidth="1"/>
    <col min="2801" max="2801" width="7" customWidth="1"/>
    <col min="2802" max="2802" width="9.7265625" customWidth="1"/>
    <col min="2803" max="2803" width="6" customWidth="1"/>
    <col min="2804" max="2804" width="8.7265625" customWidth="1"/>
    <col min="2805" max="2805" width="7.1796875" customWidth="1"/>
    <col min="2806" max="2806" width="7" customWidth="1"/>
    <col min="2807" max="2807" width="6" customWidth="1"/>
    <col min="2808" max="2808" width="9.7265625" customWidth="1"/>
    <col min="2809" max="2812" width="6" customWidth="1"/>
    <col min="2813" max="2813" width="8.7265625" customWidth="1"/>
    <col min="2814" max="2814" width="7" customWidth="1"/>
    <col min="2815" max="2815" width="9.7265625" customWidth="1"/>
    <col min="2816" max="2817" width="6" customWidth="1"/>
    <col min="2818" max="2818" width="8.7265625" customWidth="1"/>
    <col min="2819" max="2819" width="7" customWidth="1"/>
    <col min="2820" max="2820" width="9.7265625" customWidth="1"/>
    <col min="2821" max="2821" width="6" customWidth="1"/>
    <col min="2822" max="2822" width="8.7265625" customWidth="1"/>
    <col min="2823" max="2823" width="7.1796875" customWidth="1"/>
    <col min="2824" max="2827" width="6" customWidth="1"/>
    <col min="2828" max="2828" width="8.7265625" customWidth="1"/>
    <col min="2829" max="2830" width="6" customWidth="1"/>
    <col min="2831" max="2831" width="8.7265625" customWidth="1"/>
    <col min="2832" max="2832" width="6" customWidth="1"/>
    <col min="2833" max="2833" width="8.7265625" customWidth="1"/>
    <col min="2834" max="2834" width="6" customWidth="1"/>
    <col min="2835" max="2835" width="8.7265625" customWidth="1"/>
    <col min="2836" max="2836" width="7.1796875" customWidth="1"/>
    <col min="2837" max="2840" width="6" customWidth="1"/>
    <col min="2841" max="2841" width="8.7265625" customWidth="1"/>
    <col min="2842" max="2842" width="6" customWidth="1"/>
    <col min="2843" max="2843" width="8.7265625" customWidth="1"/>
    <col min="2844" max="2844" width="6" customWidth="1"/>
    <col min="2845" max="2845" width="8.7265625" customWidth="1"/>
    <col min="2846" max="2846" width="7.1796875" customWidth="1"/>
    <col min="2847" max="2847" width="7" customWidth="1"/>
    <col min="2848" max="2848" width="6" customWidth="1"/>
    <col min="2849" max="2849" width="9.7265625" customWidth="1"/>
    <col min="2850" max="2853" width="6" customWidth="1"/>
    <col min="2854" max="2854" width="8.7265625" customWidth="1"/>
    <col min="2855" max="2855" width="6" customWidth="1"/>
    <col min="2856" max="2856" width="8.7265625" customWidth="1"/>
    <col min="2857" max="2857" width="7.1796875" customWidth="1"/>
    <col min="2858" max="2858" width="7" customWidth="1"/>
    <col min="2859" max="2860" width="6" customWidth="1"/>
    <col min="2861" max="2861" width="9.7265625" customWidth="1"/>
    <col min="2862" max="2865" width="6" customWidth="1"/>
    <col min="2866" max="2866" width="8.7265625" customWidth="1"/>
    <col min="2867" max="2867" width="7" customWidth="1"/>
    <col min="2868" max="2869" width="6" customWidth="1"/>
    <col min="2870" max="2870" width="9.7265625" customWidth="1"/>
    <col min="2871" max="2873" width="6" customWidth="1"/>
    <col min="2874" max="2874" width="8.7265625" customWidth="1"/>
    <col min="2875" max="2875" width="7" customWidth="1"/>
    <col min="2876" max="2876" width="9.7265625" customWidth="1"/>
    <col min="2877" max="2878" width="6" customWidth="1"/>
    <col min="2879" max="2879" width="8.7265625" customWidth="1"/>
    <col min="2880" max="2882" width="6" customWidth="1"/>
    <col min="2883" max="2883" width="8.7265625" customWidth="1"/>
    <col min="2884" max="2886" width="6" customWidth="1"/>
    <col min="2887" max="2887" width="8.7265625" customWidth="1"/>
    <col min="2888" max="2888" width="8.1796875" customWidth="1"/>
    <col min="2889" max="2892" width="6" customWidth="1"/>
    <col min="2893" max="2893" width="8.7265625" customWidth="1"/>
    <col min="2894" max="2894" width="6" customWidth="1"/>
    <col min="2895" max="2895" width="8.7265625" customWidth="1"/>
    <col min="2896" max="2896" width="8.1796875" customWidth="1"/>
    <col min="2897" max="2901" width="6" customWidth="1"/>
    <col min="2902" max="2902" width="8.7265625" customWidth="1"/>
    <col min="2903" max="2903" width="6" customWidth="1"/>
    <col min="2904" max="2904" width="8.7265625" customWidth="1"/>
    <col min="2905" max="2906" width="6" customWidth="1"/>
    <col min="2907" max="2907" width="8.7265625" customWidth="1"/>
    <col min="2908" max="2908" width="8.1796875" customWidth="1"/>
    <col min="2909" max="2911" width="6" customWidth="1"/>
    <col min="2912" max="2912" width="8.7265625" customWidth="1"/>
    <col min="2913" max="2913" width="6" customWidth="1"/>
    <col min="2914" max="2914" width="8.7265625" customWidth="1"/>
    <col min="2915" max="2915" width="8.1796875" customWidth="1"/>
    <col min="2916" max="2919" width="6" customWidth="1"/>
    <col min="2920" max="2920" width="8.7265625" customWidth="1"/>
    <col min="2921" max="2921" width="6" customWidth="1"/>
    <col min="2922" max="2922" width="8.7265625" customWidth="1"/>
    <col min="2923" max="2923" width="6" customWidth="1"/>
    <col min="2924" max="2924" width="8.7265625" customWidth="1"/>
    <col min="2925" max="2925" width="8.1796875" customWidth="1"/>
    <col min="2926" max="2926" width="7" customWidth="1"/>
    <col min="2927" max="2927" width="9.7265625" customWidth="1"/>
    <col min="2928" max="2931" width="6" customWidth="1"/>
    <col min="2932" max="2932" width="8.7265625" customWidth="1"/>
    <col min="2933" max="2933" width="7" customWidth="1"/>
    <col min="2934" max="2934" width="6" customWidth="1"/>
    <col min="2935" max="2935" width="9.7265625" customWidth="1"/>
    <col min="2936" max="2938" width="6" customWidth="1"/>
    <col min="2939" max="2939" width="8.7265625" customWidth="1"/>
    <col min="2940" max="2940" width="6" customWidth="1"/>
    <col min="2941" max="2941" width="8.7265625" customWidth="1"/>
    <col min="2942" max="2942" width="6" customWidth="1"/>
    <col min="2943" max="2943" width="8.7265625" customWidth="1"/>
    <col min="2944" max="2944" width="6" customWidth="1"/>
    <col min="2945" max="2945" width="8.7265625" customWidth="1"/>
    <col min="2946" max="2946" width="8.1796875" customWidth="1"/>
    <col min="2947" max="2947" width="7" customWidth="1"/>
    <col min="2948" max="2948" width="9.7265625" customWidth="1"/>
    <col min="2949" max="2950" width="6" customWidth="1"/>
    <col min="2951" max="2951" width="8.7265625" customWidth="1"/>
    <col min="2952" max="2952" width="7" customWidth="1"/>
    <col min="2953" max="2953" width="9.7265625" customWidth="1"/>
    <col min="2954" max="2955" width="6" customWidth="1"/>
    <col min="2956" max="2956" width="8.7265625" customWidth="1"/>
    <col min="2957" max="2957" width="8.1796875" customWidth="1"/>
    <col min="2958" max="2958" width="7" customWidth="1"/>
    <col min="2959" max="2959" width="6" customWidth="1"/>
    <col min="2960" max="2960" width="9.7265625" customWidth="1"/>
    <col min="2961" max="2964" width="6" customWidth="1"/>
    <col min="2965" max="2965" width="8.7265625" customWidth="1"/>
    <col min="2966" max="2966" width="6" customWidth="1"/>
    <col min="2967" max="2967" width="8.7265625" customWidth="1"/>
    <col min="2968" max="2968" width="6" customWidth="1"/>
    <col min="2969" max="2969" width="8.7265625" customWidth="1"/>
    <col min="2970" max="2970" width="8.1796875" customWidth="1"/>
    <col min="2971" max="2971" width="6" customWidth="1"/>
    <col min="2972" max="2972" width="8.7265625" customWidth="1"/>
    <col min="2973" max="2973" width="6" customWidth="1"/>
    <col min="2974" max="2974" width="8.7265625" customWidth="1"/>
    <col min="2975" max="2975" width="8.1796875" customWidth="1"/>
    <col min="2976" max="2976" width="6" customWidth="1"/>
    <col min="2977" max="2977" width="8.7265625" customWidth="1"/>
    <col min="2978" max="2978" width="7" customWidth="1"/>
    <col min="2979" max="2979" width="9.7265625" customWidth="1"/>
    <col min="2980" max="2980" width="8.1796875" customWidth="1"/>
    <col min="2981" max="2984" width="6" customWidth="1"/>
    <col min="2985" max="2985" width="8.7265625" customWidth="1"/>
    <col min="2986" max="2986" width="6" customWidth="1"/>
    <col min="2987" max="2987" width="8.7265625" customWidth="1"/>
    <col min="2988" max="2989" width="6" customWidth="1"/>
    <col min="2990" max="2990" width="8.7265625" customWidth="1"/>
    <col min="2991" max="2992" width="6" customWidth="1"/>
    <col min="2993" max="2993" width="8.7265625" customWidth="1"/>
    <col min="2994" max="2994" width="8.1796875" customWidth="1"/>
    <col min="2995" max="2996" width="6" customWidth="1"/>
    <col min="2997" max="2997" width="8.7265625" customWidth="1"/>
    <col min="2998" max="2998" width="8.1796875" customWidth="1"/>
    <col min="2999" max="2999" width="6" customWidth="1"/>
    <col min="3000" max="3000" width="8.7265625" customWidth="1"/>
    <col min="3001" max="3001" width="8.1796875" customWidth="1"/>
    <col min="3002" max="3006" width="6" customWidth="1"/>
    <col min="3007" max="3007" width="8.7265625" customWidth="1"/>
    <col min="3008" max="3008" width="7" customWidth="1"/>
    <col min="3009" max="3009" width="9.7265625" customWidth="1"/>
    <col min="3010" max="3012" width="6" customWidth="1"/>
    <col min="3013" max="3013" width="8.7265625" customWidth="1"/>
    <col min="3014" max="3014" width="7" customWidth="1"/>
    <col min="3015" max="3015" width="9.7265625" customWidth="1"/>
    <col min="3016" max="3019" width="6" customWidth="1"/>
    <col min="3020" max="3020" width="8.7265625" customWidth="1"/>
    <col min="3021" max="3024" width="6" customWidth="1"/>
    <col min="3025" max="3025" width="8.7265625" customWidth="1"/>
    <col min="3026" max="3026" width="8.1796875" customWidth="1"/>
    <col min="3027" max="3027" width="6" customWidth="1"/>
    <col min="3028" max="3028" width="8.7265625" customWidth="1"/>
    <col min="3029" max="3029" width="6" customWidth="1"/>
    <col min="3030" max="3030" width="8.7265625" customWidth="1"/>
    <col min="3031" max="3031" width="8.1796875" customWidth="1"/>
    <col min="3032" max="3032" width="11.1796875" customWidth="1"/>
    <col min="3033" max="3033" width="9" customWidth="1"/>
    <col min="3034" max="3034" width="8.7265625" customWidth="1"/>
    <col min="3035" max="3035" width="10.1796875" customWidth="1"/>
    <col min="3036" max="3036" width="12.1796875" bestFit="1" customWidth="1"/>
    <col min="3037" max="3037" width="10" customWidth="1"/>
    <col min="3038" max="3038" width="5" customWidth="1"/>
    <col min="3039" max="3039" width="8.7265625" customWidth="1"/>
    <col min="3040" max="3040" width="9.1796875" customWidth="1"/>
    <col min="3041" max="3041" width="7" customWidth="1"/>
    <col min="3042" max="3042" width="8.7265625" customWidth="1"/>
    <col min="3043" max="3043" width="10.1796875" customWidth="1"/>
    <col min="3044" max="3044" width="7" customWidth="1"/>
    <col min="3045" max="3045" width="8.7265625" customWidth="1"/>
    <col min="3046" max="3046" width="10.1796875" customWidth="1"/>
    <col min="3047" max="3047" width="7" customWidth="1"/>
    <col min="3048" max="3048" width="8.7265625" customWidth="1"/>
    <col min="3049" max="3049" width="10.1796875" customWidth="1"/>
    <col min="3050" max="3050" width="7" customWidth="1"/>
    <col min="3051" max="3051" width="8.7265625" customWidth="1"/>
    <col min="3052" max="3052" width="10.1796875" customWidth="1"/>
    <col min="3053" max="3053" width="7" customWidth="1"/>
    <col min="3054" max="3054" width="8.7265625" customWidth="1"/>
    <col min="3055" max="3055" width="10.1796875" customWidth="1"/>
    <col min="3056" max="3056" width="7" customWidth="1"/>
    <col min="3057" max="3057" width="8.7265625" customWidth="1"/>
    <col min="3058" max="3058" width="10.1796875" customWidth="1"/>
    <col min="3059" max="3059" width="13.1796875" bestFit="1" customWidth="1"/>
    <col min="3060" max="3060" width="10" customWidth="1"/>
    <col min="3061" max="3061" width="8.7265625" customWidth="1"/>
    <col min="3062" max="3062" width="9.1796875" customWidth="1"/>
    <col min="3063" max="3063" width="7" customWidth="1"/>
    <col min="3064" max="3064" width="8.7265625" customWidth="1"/>
    <col min="3065" max="3065" width="10.1796875" customWidth="1"/>
    <col min="3066" max="3066" width="7" customWidth="1"/>
    <col min="3067" max="3067" width="8.7265625" customWidth="1"/>
    <col min="3068" max="3068" width="10.1796875" customWidth="1"/>
    <col min="3069" max="3069" width="13.1796875" bestFit="1" customWidth="1"/>
    <col min="3070" max="3070" width="10" customWidth="1"/>
    <col min="3071" max="3071" width="8.7265625" customWidth="1"/>
    <col min="3072" max="3072" width="8.1796875" customWidth="1"/>
    <col min="3073" max="3073" width="13.1796875" bestFit="1" customWidth="1"/>
    <col min="3074" max="3074" width="10" customWidth="1"/>
    <col min="3075" max="3075" width="8.7265625" customWidth="1"/>
    <col min="3076" max="3076" width="10.1796875" customWidth="1"/>
    <col min="3077" max="3077" width="13.1796875" bestFit="1" customWidth="1"/>
    <col min="3078" max="3078" width="10" customWidth="1"/>
    <col min="3079" max="3079" width="8.7265625" customWidth="1"/>
    <col min="3080" max="3080" width="9.1796875" customWidth="1"/>
    <col min="3081" max="3081" width="7" customWidth="1"/>
    <col min="3082" max="3082" width="8.7265625" customWidth="1"/>
    <col min="3083" max="3083" width="10.1796875" customWidth="1"/>
    <col min="3084" max="3084" width="7" customWidth="1"/>
    <col min="3085" max="3085" width="8.7265625" customWidth="1"/>
    <col min="3086" max="3086" width="10.1796875" customWidth="1"/>
    <col min="3087" max="3087" width="13.1796875" bestFit="1" customWidth="1"/>
    <col min="3088" max="3088" width="10" customWidth="1"/>
    <col min="3089" max="3089" width="8.7265625" customWidth="1"/>
    <col min="3090" max="3090" width="10.1796875" customWidth="1"/>
    <col min="3091" max="3091" width="13.1796875" bestFit="1" customWidth="1"/>
    <col min="3092" max="3092" width="12.26953125" bestFit="1" customWidth="1"/>
    <col min="3093" max="3093" width="6" customWidth="1"/>
    <col min="3094" max="3094" width="9.7265625" customWidth="1"/>
    <col min="3095" max="3098" width="6" customWidth="1"/>
    <col min="3099" max="3099" width="8.7265625" customWidth="1"/>
    <col min="3100" max="3100" width="7.1796875" customWidth="1"/>
    <col min="3101" max="3101" width="7" customWidth="1"/>
    <col min="3102" max="3104" width="6" customWidth="1"/>
    <col min="3105" max="3105" width="9.7265625" customWidth="1"/>
    <col min="3106" max="3109" width="6" customWidth="1"/>
    <col min="3110" max="3110" width="8.7265625" customWidth="1"/>
    <col min="3111" max="3112" width="6" customWidth="1"/>
    <col min="3113" max="3113" width="8.7265625" customWidth="1"/>
    <col min="3114" max="3114" width="7.1796875" customWidth="1"/>
    <col min="3115" max="3115" width="7" customWidth="1"/>
    <col min="3116" max="3118" width="6" customWidth="1"/>
    <col min="3119" max="3119" width="9.7265625" customWidth="1"/>
    <col min="3120" max="3123" width="6" customWidth="1"/>
    <col min="3124" max="3124" width="8.7265625" customWidth="1"/>
    <col min="3125" max="3125" width="7" customWidth="1"/>
    <col min="3126" max="3126" width="6" customWidth="1"/>
    <col min="3127" max="3127" width="9.7265625" customWidth="1"/>
    <col min="3128" max="3131" width="6" customWidth="1"/>
    <col min="3132" max="3132" width="8.7265625" customWidth="1"/>
    <col min="3133" max="3133" width="7" customWidth="1"/>
    <col min="3134" max="3134" width="9.7265625" customWidth="1"/>
    <col min="3135" max="3138" width="6" customWidth="1"/>
    <col min="3139" max="3139" width="8.7265625" customWidth="1"/>
    <col min="3140" max="3140" width="6" customWidth="1"/>
    <col min="3141" max="3141" width="8.7265625" customWidth="1"/>
    <col min="3142" max="3142" width="7" customWidth="1"/>
    <col min="3143" max="3143" width="9.7265625" customWidth="1"/>
    <col min="3144" max="3144" width="7.1796875" customWidth="1"/>
    <col min="3145" max="3145" width="7" customWidth="1"/>
    <col min="3146" max="3148" width="6" customWidth="1"/>
    <col min="3149" max="3149" width="9.7265625" customWidth="1"/>
    <col min="3150" max="3153" width="6" customWidth="1"/>
    <col min="3154" max="3154" width="8.7265625" customWidth="1"/>
    <col min="3155" max="3155" width="7" customWidth="1"/>
    <col min="3156" max="3157" width="6" customWidth="1"/>
    <col min="3158" max="3158" width="9.7265625" customWidth="1"/>
    <col min="3159" max="3161" width="6" customWidth="1"/>
    <col min="3162" max="3162" width="8.7265625" customWidth="1"/>
    <col min="3163" max="3164" width="6" customWidth="1"/>
    <col min="3165" max="3165" width="8.7265625" customWidth="1"/>
    <col min="3166" max="3166" width="7.1796875" customWidth="1"/>
    <col min="3167" max="3168" width="6" customWidth="1"/>
    <col min="3169" max="3170" width="8.7265625" customWidth="1"/>
    <col min="3171" max="3171" width="7" customWidth="1"/>
    <col min="3172" max="3174" width="6" customWidth="1"/>
    <col min="3175" max="3175" width="9.7265625" customWidth="1"/>
    <col min="3176" max="3180" width="6" customWidth="1"/>
    <col min="3181" max="3181" width="8.7265625" customWidth="1"/>
    <col min="3182" max="3182" width="7" customWidth="1"/>
    <col min="3183" max="3185" width="6" customWidth="1"/>
    <col min="3186" max="3186" width="9.7265625" customWidth="1"/>
    <col min="3187" max="3190" width="6" customWidth="1"/>
    <col min="3191" max="3191" width="8.7265625" customWidth="1"/>
    <col min="3192" max="3192" width="7" customWidth="1"/>
    <col min="3193" max="3193" width="6" customWidth="1"/>
    <col min="3194" max="3194" width="9.7265625" customWidth="1"/>
    <col min="3195" max="3196" width="6" customWidth="1"/>
    <col min="3197" max="3197" width="8.7265625" customWidth="1"/>
    <col min="3198" max="3200" width="6" customWidth="1"/>
    <col min="3201" max="3201" width="8.7265625" customWidth="1"/>
    <col min="3202" max="3203" width="6" customWidth="1"/>
    <col min="3204" max="3204" width="8.7265625" customWidth="1"/>
    <col min="3205" max="3205" width="7.1796875" customWidth="1"/>
    <col min="3206" max="3207" width="6" customWidth="1"/>
    <col min="3208" max="3209" width="8.7265625" customWidth="1"/>
    <col min="3210" max="3210" width="7" customWidth="1"/>
    <col min="3211" max="3211" width="6" customWidth="1"/>
    <col min="3212" max="3212" width="9.7265625" customWidth="1"/>
    <col min="3213" max="3216" width="6" customWidth="1"/>
    <col min="3217" max="3217" width="8.7265625" customWidth="1"/>
    <col min="3218" max="3218" width="7" customWidth="1"/>
    <col min="3219" max="3219" width="9.7265625" customWidth="1"/>
    <col min="3220" max="3221" width="6" customWidth="1"/>
    <col min="3222" max="3222" width="8.7265625" customWidth="1"/>
    <col min="3223" max="3223" width="6" customWidth="1"/>
    <col min="3224" max="3224" width="8.7265625" customWidth="1"/>
    <col min="3225" max="3225" width="6" customWidth="1"/>
    <col min="3226" max="3226" width="8.7265625" customWidth="1"/>
    <col min="3227" max="3227" width="7.1796875" customWidth="1"/>
    <col min="3228" max="3228" width="7" customWidth="1"/>
    <col min="3229" max="3229" width="6" customWidth="1"/>
    <col min="3230" max="3230" width="9.7265625" customWidth="1"/>
    <col min="3231" max="3234" width="6" customWidth="1"/>
    <col min="3235" max="3235" width="8.7265625" customWidth="1"/>
    <col min="3236" max="3236" width="6" customWidth="1"/>
    <col min="3237" max="3237" width="8.7265625" customWidth="1"/>
    <col min="3238" max="3238" width="7.1796875" customWidth="1"/>
    <col min="3239" max="3239" width="6" customWidth="1"/>
    <col min="3240" max="3241" width="8.7265625" customWidth="1"/>
    <col min="3242" max="3242" width="7" customWidth="1"/>
    <col min="3243" max="3243" width="6" customWidth="1"/>
    <col min="3244" max="3244" width="9.7265625" customWidth="1"/>
    <col min="3245" max="3248" width="6" customWidth="1"/>
    <col min="3249" max="3249" width="8.7265625" customWidth="1"/>
    <col min="3250" max="3250" width="7" customWidth="1"/>
    <col min="3251" max="3251" width="9.7265625" customWidth="1"/>
    <col min="3252" max="3253" width="6" customWidth="1"/>
    <col min="3254" max="3254" width="8.7265625" customWidth="1"/>
    <col min="3255" max="3255" width="7.1796875" customWidth="1"/>
    <col min="3256" max="3256" width="6" customWidth="1"/>
    <col min="3257" max="3258" width="8.7265625" customWidth="1"/>
    <col min="3259" max="3259" width="7" customWidth="1"/>
    <col min="3260" max="3260" width="9.7265625" customWidth="1"/>
    <col min="3261" max="3264" width="6" customWidth="1"/>
    <col min="3265" max="3265" width="8.7265625" customWidth="1"/>
    <col min="3266" max="3266" width="7" customWidth="1"/>
    <col min="3267" max="3267" width="9.7265625" customWidth="1"/>
    <col min="3268" max="3268" width="7" customWidth="1"/>
    <col min="3269" max="3269" width="9.7265625" customWidth="1"/>
    <col min="3270" max="3270" width="7.1796875" customWidth="1"/>
    <col min="3271" max="3272" width="6" customWidth="1"/>
    <col min="3273" max="3274" width="8.7265625" customWidth="1"/>
    <col min="3275" max="3275" width="7" customWidth="1"/>
    <col min="3276" max="3277" width="6" customWidth="1"/>
    <col min="3278" max="3278" width="9.7265625" customWidth="1"/>
    <col min="3279" max="3283" width="6" customWidth="1"/>
    <col min="3284" max="3284" width="8.7265625" customWidth="1"/>
    <col min="3285" max="3285" width="7" customWidth="1"/>
    <col min="3286" max="3288" width="6" customWidth="1"/>
    <col min="3289" max="3289" width="9.7265625" customWidth="1"/>
    <col min="3290" max="3293" width="6" customWidth="1"/>
    <col min="3294" max="3294" width="8.7265625" customWidth="1"/>
    <col min="3295" max="3295" width="7" customWidth="1"/>
    <col min="3296" max="3296" width="9.7265625" customWidth="1"/>
    <col min="3297" max="3299" width="6" customWidth="1"/>
    <col min="3300" max="3300" width="8.7265625" customWidth="1"/>
    <col min="3301" max="3301" width="6" customWidth="1"/>
    <col min="3302" max="3302" width="8.7265625" customWidth="1"/>
    <col min="3303" max="3303" width="8.1796875" customWidth="1"/>
    <col min="3304" max="3304" width="7" customWidth="1"/>
    <col min="3305" max="3305" width="9.7265625" customWidth="1"/>
    <col min="3306" max="3308" width="6" customWidth="1"/>
    <col min="3309" max="3309" width="8.7265625" customWidth="1"/>
    <col min="3310" max="3311" width="6" customWidth="1"/>
    <col min="3312" max="3312" width="8.7265625" customWidth="1"/>
    <col min="3313" max="3313" width="6" customWidth="1"/>
    <col min="3314" max="3314" width="8.7265625" customWidth="1"/>
    <col min="3315" max="3315" width="8.1796875" customWidth="1"/>
    <col min="3316" max="3316" width="7" customWidth="1"/>
    <col min="3317" max="3317" width="9.7265625" customWidth="1"/>
    <col min="3318" max="3321" width="6" customWidth="1"/>
    <col min="3322" max="3322" width="8.7265625" customWidth="1"/>
    <col min="3323" max="3323" width="7" customWidth="1"/>
    <col min="3324" max="3324" width="9.7265625" customWidth="1"/>
    <col min="3325" max="3325" width="6" customWidth="1"/>
    <col min="3326" max="3326" width="8.7265625" customWidth="1"/>
    <col min="3327" max="3327" width="6" customWidth="1"/>
    <col min="3328" max="3328" width="8.7265625" customWidth="1"/>
    <col min="3329" max="3329" width="6" customWidth="1"/>
    <col min="3330" max="3330" width="8.7265625" customWidth="1"/>
    <col min="3331" max="3331" width="8.1796875" customWidth="1"/>
    <col min="3332" max="3332" width="7" customWidth="1"/>
    <col min="3333" max="3333" width="9.7265625" customWidth="1"/>
    <col min="3334" max="3338" width="6" customWidth="1"/>
    <col min="3339" max="3339" width="8.7265625" customWidth="1"/>
    <col min="3340" max="3340" width="6" customWidth="1"/>
    <col min="3341" max="3341" width="8.7265625" customWidth="1"/>
    <col min="3342" max="3342" width="8.1796875" customWidth="1"/>
    <col min="3343" max="3343" width="7" customWidth="1"/>
    <col min="3344" max="3344" width="9.7265625" customWidth="1"/>
    <col min="3345" max="3348" width="6" customWidth="1"/>
    <col min="3349" max="3349" width="8.7265625" customWidth="1"/>
    <col min="3350" max="3350" width="7" customWidth="1"/>
    <col min="3351" max="3351" width="9.7265625" customWidth="1"/>
    <col min="3352" max="3353" width="6" customWidth="1"/>
    <col min="3354" max="3354" width="8.7265625" customWidth="1"/>
    <col min="3355" max="3355" width="8.1796875" customWidth="1"/>
    <col min="3356" max="3356" width="7" customWidth="1"/>
    <col min="3357" max="3359" width="6" customWidth="1"/>
    <col min="3360" max="3360" width="9.7265625" customWidth="1"/>
    <col min="3361" max="3364" width="6" customWidth="1"/>
    <col min="3365" max="3365" width="8.7265625" customWidth="1"/>
    <col min="3366" max="3366" width="7" customWidth="1"/>
    <col min="3367" max="3368" width="6" customWidth="1"/>
    <col min="3369" max="3369" width="9.7265625" customWidth="1"/>
    <col min="3370" max="3370" width="6" customWidth="1"/>
    <col min="3371" max="3371" width="8.7265625" customWidth="1"/>
    <col min="3372" max="3372" width="7" customWidth="1"/>
    <col min="3373" max="3373" width="9.7265625" customWidth="1"/>
    <col min="3374" max="3376" width="6" customWidth="1"/>
    <col min="3377" max="3377" width="8.7265625" customWidth="1"/>
    <col min="3378" max="3379" width="6" customWidth="1"/>
    <col min="3380" max="3380" width="8.7265625" customWidth="1"/>
    <col min="3381" max="3381" width="6" customWidth="1"/>
    <col min="3382" max="3382" width="8.7265625" customWidth="1"/>
    <col min="3383" max="3383" width="8.1796875" customWidth="1"/>
    <col min="3384" max="3384" width="7" customWidth="1"/>
    <col min="3385" max="3385" width="9.7265625" customWidth="1"/>
    <col min="3386" max="3390" width="6" customWidth="1"/>
    <col min="3391" max="3391" width="8.7265625" customWidth="1"/>
    <col min="3392" max="3392" width="8.1796875" customWidth="1"/>
    <col min="3393" max="3393" width="7" customWidth="1"/>
    <col min="3394" max="3394" width="9.7265625" customWidth="1"/>
    <col min="3395" max="3397" width="6" customWidth="1"/>
    <col min="3398" max="3398" width="8.7265625" customWidth="1"/>
    <col min="3399" max="3399" width="6" customWidth="1"/>
    <col min="3400" max="3400" width="8.7265625" customWidth="1"/>
    <col min="3401" max="3401" width="8.1796875" customWidth="1"/>
    <col min="3402" max="3405" width="6" customWidth="1"/>
    <col min="3406" max="3406" width="8.7265625" customWidth="1"/>
    <col min="3407" max="3407" width="7" customWidth="1"/>
    <col min="3408" max="3408" width="9.7265625" customWidth="1"/>
    <col min="3409" max="3409" width="6" customWidth="1"/>
    <col min="3410" max="3410" width="8.7265625" customWidth="1"/>
    <col min="3411" max="3411" width="8.1796875" customWidth="1"/>
    <col min="3412" max="3412" width="7" customWidth="1"/>
    <col min="3413" max="3413" width="9.7265625" customWidth="1"/>
    <col min="3414" max="3415" width="6" customWidth="1"/>
    <col min="3416" max="3416" width="8.7265625" customWidth="1"/>
    <col min="3417" max="3417" width="8.1796875" customWidth="1"/>
    <col min="3418" max="3418" width="7" customWidth="1"/>
    <col min="3419" max="3419" width="9.7265625" customWidth="1"/>
    <col min="3420" max="3423" width="6" customWidth="1"/>
    <col min="3424" max="3424" width="8.7265625" customWidth="1"/>
    <col min="3425" max="3425" width="7" customWidth="1"/>
    <col min="3426" max="3427" width="6" customWidth="1"/>
    <col min="3428" max="3428" width="9.7265625" customWidth="1"/>
    <col min="3429" max="3430" width="6" customWidth="1"/>
    <col min="3431" max="3431" width="8.7265625" customWidth="1"/>
    <col min="3432" max="3433" width="6" customWidth="1"/>
    <col min="3434" max="3434" width="8.7265625" customWidth="1"/>
    <col min="3435" max="3436" width="6" customWidth="1"/>
    <col min="3437" max="3437" width="8.7265625" customWidth="1"/>
    <col min="3438" max="3438" width="8.1796875" customWidth="1"/>
    <col min="3439" max="3440" width="6" customWidth="1"/>
    <col min="3441" max="3441" width="8.7265625" customWidth="1"/>
    <col min="3442" max="3442" width="8.1796875" customWidth="1"/>
    <col min="3443" max="3443" width="6" customWidth="1"/>
    <col min="3444" max="3444" width="8.7265625" customWidth="1"/>
    <col min="3445" max="3445" width="7" customWidth="1"/>
    <col min="3446" max="3446" width="9.7265625" customWidth="1"/>
    <col min="3447" max="3447" width="8.1796875" customWidth="1"/>
    <col min="3448" max="3449" width="6" customWidth="1"/>
    <col min="3450" max="3450" width="8.7265625" customWidth="1"/>
    <col min="3451" max="3451" width="8.1796875" customWidth="1"/>
    <col min="3452" max="3453" width="6" customWidth="1"/>
    <col min="3454" max="3454" width="8.7265625" customWidth="1"/>
    <col min="3455" max="3455" width="8.1796875" customWidth="1"/>
    <col min="3456" max="3456" width="7" customWidth="1"/>
    <col min="3457" max="3457" width="6" customWidth="1"/>
    <col min="3458" max="3458" width="9.7265625" customWidth="1"/>
    <col min="3459" max="3464" width="6" customWidth="1"/>
    <col min="3465" max="3465" width="8.7265625" customWidth="1"/>
    <col min="3466" max="3466" width="7" customWidth="1"/>
    <col min="3467" max="3467" width="9.7265625" customWidth="1"/>
    <col min="3468" max="3473" width="6" customWidth="1"/>
    <col min="3474" max="3474" width="8.7265625" customWidth="1"/>
    <col min="3475" max="3475" width="7" customWidth="1"/>
    <col min="3476" max="3477" width="6" customWidth="1"/>
    <col min="3478" max="3478" width="9.7265625" customWidth="1"/>
    <col min="3479" max="3481" width="6" customWidth="1"/>
    <col min="3482" max="3482" width="8.7265625" customWidth="1"/>
    <col min="3483" max="3485" width="6" customWidth="1"/>
    <col min="3486" max="3486" width="8.7265625" customWidth="1"/>
    <col min="3487" max="3487" width="8.1796875" customWidth="1"/>
    <col min="3488" max="3489" width="6" customWidth="1"/>
    <col min="3490" max="3490" width="8.7265625" customWidth="1"/>
    <col min="3491" max="3491" width="8.1796875" customWidth="1"/>
    <col min="3492" max="3492" width="6" customWidth="1"/>
    <col min="3493" max="3493" width="8.7265625" customWidth="1"/>
    <col min="3494" max="3494" width="8.1796875" customWidth="1"/>
    <col min="3495" max="3497" width="6" customWidth="1"/>
    <col min="3498" max="3498" width="8.7265625" customWidth="1"/>
    <col min="3499" max="3499" width="8.1796875" customWidth="1"/>
    <col min="3500" max="3500" width="6" customWidth="1"/>
    <col min="3501" max="3501" width="8.7265625" customWidth="1"/>
    <col min="3502" max="3502" width="9.1796875" customWidth="1"/>
    <col min="3503" max="3503" width="6" customWidth="1"/>
    <col min="3504" max="3504" width="8.7265625" customWidth="1"/>
    <col min="3505" max="3505" width="9.1796875" customWidth="1"/>
    <col min="3506" max="3506" width="6" customWidth="1"/>
    <col min="3507" max="3507" width="8.7265625" customWidth="1"/>
    <col min="3508" max="3508" width="9.1796875" customWidth="1"/>
    <col min="3509" max="3509" width="7" customWidth="1"/>
    <col min="3510" max="3510" width="8.7265625" customWidth="1"/>
    <col min="3511" max="3511" width="10.1796875" customWidth="1"/>
    <col min="3512" max="3512" width="7" customWidth="1"/>
    <col min="3513" max="3513" width="8.7265625" customWidth="1"/>
    <col min="3514" max="3514" width="10.1796875" customWidth="1"/>
    <col min="3515" max="3515" width="9" customWidth="1"/>
    <col min="3516" max="3516" width="8.7265625" customWidth="1"/>
    <col min="3517" max="3517" width="12.1796875" bestFit="1" customWidth="1"/>
    <col min="3518" max="3518" width="15.453125" bestFit="1" customWidth="1"/>
    <col min="3519" max="3519" width="13.1796875" bestFit="1" customWidth="1"/>
  </cols>
  <sheetData>
    <row r="1" spans="1:3519" s="38" customFormat="1" ht="13"/>
    <row r="2" spans="1:3519" s="38" customFormat="1" ht="13">
      <c r="A2" t="s">
        <v>313</v>
      </c>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c r="BIM2"/>
      <c r="BIN2"/>
      <c r="BIO2"/>
      <c r="BIP2"/>
      <c r="BIQ2"/>
      <c r="BIR2"/>
      <c r="BIS2"/>
      <c r="BIT2"/>
      <c r="BIU2"/>
      <c r="BIV2"/>
      <c r="BIW2"/>
      <c r="BIX2"/>
      <c r="BIY2"/>
      <c r="BIZ2"/>
      <c r="BJA2"/>
      <c r="BJB2"/>
      <c r="BJC2"/>
      <c r="BJD2"/>
      <c r="BJE2"/>
      <c r="BJF2"/>
      <c r="BJG2"/>
      <c r="BJH2"/>
      <c r="BJI2"/>
      <c r="BJJ2"/>
      <c r="BJK2"/>
      <c r="BJL2"/>
      <c r="BJM2"/>
      <c r="BJN2"/>
      <c r="BJO2"/>
      <c r="BJP2"/>
      <c r="BJQ2"/>
      <c r="BJR2"/>
      <c r="BJS2"/>
      <c r="BJT2"/>
      <c r="BJU2"/>
      <c r="BJV2"/>
      <c r="BJW2"/>
      <c r="BJX2"/>
      <c r="BJY2"/>
      <c r="BJZ2"/>
      <c r="BKA2"/>
      <c r="BKB2"/>
      <c r="BKC2"/>
      <c r="BKD2"/>
      <c r="BKE2"/>
      <c r="BKF2"/>
      <c r="BKG2"/>
      <c r="BKH2"/>
      <c r="BKI2"/>
      <c r="BKJ2"/>
      <c r="BKK2"/>
      <c r="BKL2"/>
      <c r="BKM2"/>
      <c r="BKN2"/>
      <c r="BKO2"/>
      <c r="BKP2"/>
      <c r="BKQ2"/>
      <c r="BKR2"/>
      <c r="BKS2"/>
      <c r="BKT2"/>
      <c r="BKU2"/>
      <c r="BKV2"/>
      <c r="BKW2"/>
      <c r="BKX2"/>
      <c r="BKY2"/>
      <c r="BKZ2"/>
      <c r="BLA2"/>
      <c r="BLB2"/>
      <c r="BLC2"/>
      <c r="BLD2"/>
      <c r="BLE2"/>
      <c r="BLF2"/>
      <c r="BLG2"/>
      <c r="BLH2"/>
      <c r="BLI2"/>
      <c r="BLJ2"/>
      <c r="BLK2"/>
      <c r="BLL2"/>
      <c r="BLM2"/>
      <c r="BLN2"/>
      <c r="BLO2"/>
      <c r="BLP2"/>
      <c r="BLQ2"/>
      <c r="BLR2"/>
      <c r="BLS2"/>
      <c r="BLT2"/>
      <c r="BLU2"/>
      <c r="BLV2"/>
      <c r="BLW2"/>
      <c r="BLX2"/>
      <c r="BLY2"/>
      <c r="BLZ2"/>
      <c r="BMA2"/>
      <c r="BMB2"/>
      <c r="BMC2"/>
      <c r="BMD2"/>
      <c r="BME2"/>
      <c r="BMF2"/>
      <c r="BMG2"/>
      <c r="BMH2"/>
      <c r="BMI2"/>
      <c r="BMJ2"/>
      <c r="BMK2"/>
      <c r="BML2"/>
      <c r="BMM2"/>
      <c r="BMN2"/>
      <c r="BMO2"/>
      <c r="BMP2"/>
      <c r="BMQ2"/>
      <c r="BMR2"/>
      <c r="BMS2"/>
      <c r="BMT2"/>
      <c r="BMU2"/>
      <c r="BMV2"/>
      <c r="BMW2"/>
      <c r="BMX2"/>
      <c r="BMY2"/>
      <c r="BMZ2"/>
      <c r="BNA2"/>
      <c r="BNB2"/>
      <c r="BNC2"/>
      <c r="BND2"/>
      <c r="BNE2"/>
      <c r="BNF2"/>
      <c r="BNG2"/>
      <c r="BNH2"/>
      <c r="BNI2"/>
      <c r="BNJ2"/>
      <c r="BNK2"/>
      <c r="BNL2"/>
      <c r="BNM2"/>
      <c r="BNN2"/>
      <c r="BNO2"/>
      <c r="BNP2"/>
      <c r="BNQ2"/>
      <c r="BNR2"/>
      <c r="BNS2"/>
      <c r="BNT2"/>
      <c r="BNU2"/>
      <c r="BNV2"/>
      <c r="BNW2"/>
      <c r="BNX2"/>
      <c r="BNY2"/>
      <c r="BNZ2"/>
      <c r="BOA2"/>
      <c r="BOB2"/>
      <c r="BOC2"/>
      <c r="BOD2"/>
      <c r="BOE2"/>
      <c r="BOF2"/>
      <c r="BOG2"/>
      <c r="BOH2"/>
      <c r="BOI2"/>
      <c r="BOJ2"/>
      <c r="BOK2"/>
      <c r="BOL2"/>
      <c r="BOM2"/>
      <c r="BON2"/>
      <c r="BOO2"/>
      <c r="BOP2"/>
      <c r="BOQ2"/>
      <c r="BOR2"/>
      <c r="BOS2"/>
      <c r="BOT2"/>
      <c r="BOU2"/>
      <c r="BOV2"/>
      <c r="BOW2"/>
      <c r="BOX2"/>
      <c r="BOY2"/>
      <c r="BOZ2"/>
      <c r="BPA2"/>
      <c r="BPB2"/>
      <c r="BPC2"/>
      <c r="BPD2"/>
      <c r="BPE2"/>
      <c r="BPF2"/>
      <c r="BPG2"/>
      <c r="BPH2"/>
      <c r="BPI2"/>
      <c r="BPJ2"/>
      <c r="BPK2"/>
      <c r="BPL2"/>
      <c r="BPM2"/>
      <c r="BPN2"/>
      <c r="BPO2"/>
      <c r="BPP2"/>
      <c r="BPQ2"/>
      <c r="BPR2"/>
      <c r="BPS2"/>
      <c r="BPT2"/>
      <c r="BPU2"/>
      <c r="BPV2"/>
      <c r="BPW2"/>
      <c r="BPX2"/>
      <c r="BPY2"/>
      <c r="BPZ2"/>
      <c r="BQA2"/>
      <c r="BQB2"/>
      <c r="BQC2"/>
      <c r="BQD2"/>
      <c r="BQE2"/>
      <c r="BQF2"/>
      <c r="BQG2"/>
      <c r="BQH2"/>
      <c r="BQI2"/>
      <c r="BQJ2"/>
      <c r="BQK2"/>
      <c r="BQL2"/>
      <c r="BQM2"/>
      <c r="BQN2"/>
      <c r="BQO2"/>
      <c r="BQP2"/>
      <c r="BQQ2"/>
      <c r="BQR2"/>
      <c r="BQS2"/>
      <c r="BQT2"/>
      <c r="BQU2"/>
      <c r="BQV2"/>
      <c r="BQW2"/>
      <c r="BQX2"/>
      <c r="BQY2"/>
      <c r="BQZ2"/>
      <c r="BRA2"/>
      <c r="BRB2"/>
      <c r="BRC2"/>
      <c r="BRD2"/>
      <c r="BRE2"/>
      <c r="BRF2"/>
      <c r="BRG2"/>
      <c r="BRH2"/>
      <c r="BRI2"/>
      <c r="BRJ2"/>
      <c r="BRK2"/>
      <c r="BRL2"/>
      <c r="BRM2"/>
      <c r="BRN2"/>
      <c r="BRO2"/>
      <c r="BRP2"/>
      <c r="BRQ2"/>
      <c r="BRR2"/>
      <c r="BRS2"/>
      <c r="BRT2"/>
      <c r="BRU2"/>
      <c r="BRV2"/>
      <c r="BRW2"/>
      <c r="BRX2"/>
      <c r="BRY2"/>
      <c r="BRZ2"/>
      <c r="BSA2"/>
      <c r="BSB2"/>
      <c r="BSC2"/>
      <c r="BSD2"/>
      <c r="BSE2"/>
      <c r="BSF2"/>
      <c r="BSG2"/>
      <c r="BSH2"/>
      <c r="BSI2"/>
      <c r="BSJ2"/>
      <c r="BSK2"/>
      <c r="BSL2"/>
      <c r="BSM2"/>
      <c r="BSN2"/>
      <c r="BSO2"/>
      <c r="BSP2"/>
      <c r="BSQ2"/>
      <c r="BSR2"/>
      <c r="BSS2"/>
      <c r="BST2"/>
      <c r="BSU2"/>
      <c r="BSV2"/>
      <c r="BSW2"/>
      <c r="BSX2"/>
      <c r="BSY2"/>
      <c r="BSZ2"/>
      <c r="BTA2"/>
      <c r="BTB2"/>
      <c r="BTC2"/>
      <c r="BTD2"/>
      <c r="BTE2"/>
      <c r="BTF2"/>
      <c r="BTG2"/>
      <c r="BTH2"/>
      <c r="BTI2"/>
      <c r="BTJ2"/>
      <c r="BTK2"/>
      <c r="BTL2"/>
      <c r="BTM2"/>
      <c r="BTN2"/>
      <c r="BTO2"/>
      <c r="BTP2"/>
      <c r="BTQ2"/>
      <c r="BTR2"/>
      <c r="BTS2"/>
      <c r="BTT2"/>
      <c r="BTU2"/>
      <c r="BTV2"/>
      <c r="BTW2"/>
      <c r="BTX2"/>
      <c r="BTY2"/>
      <c r="BTZ2"/>
      <c r="BUA2"/>
      <c r="BUB2"/>
      <c r="BUC2"/>
      <c r="BUD2"/>
      <c r="BUE2"/>
      <c r="BUF2"/>
      <c r="BUG2"/>
      <c r="BUH2"/>
      <c r="BUI2"/>
      <c r="BUJ2"/>
      <c r="BUK2"/>
      <c r="BUL2"/>
      <c r="BUM2"/>
      <c r="BUN2"/>
      <c r="BUO2"/>
      <c r="BUP2"/>
      <c r="BUQ2"/>
      <c r="BUR2"/>
      <c r="BUS2"/>
      <c r="BUT2"/>
      <c r="BUU2"/>
      <c r="BUV2"/>
      <c r="BUW2"/>
      <c r="BUX2"/>
      <c r="BUY2"/>
      <c r="BUZ2"/>
      <c r="BVA2"/>
      <c r="BVB2"/>
      <c r="BVC2"/>
      <c r="BVD2"/>
      <c r="BVE2"/>
      <c r="BVF2"/>
      <c r="BVG2"/>
      <c r="BVH2"/>
      <c r="BVI2"/>
      <c r="BVJ2"/>
      <c r="BVK2"/>
      <c r="BVL2"/>
      <c r="BVM2"/>
      <c r="BVN2"/>
      <c r="BVO2"/>
      <c r="BVP2"/>
      <c r="BVQ2"/>
      <c r="BVR2"/>
      <c r="BVS2"/>
      <c r="BVT2"/>
      <c r="BVU2"/>
      <c r="BVV2"/>
      <c r="BVW2"/>
      <c r="BVX2"/>
      <c r="BVY2"/>
      <c r="BVZ2"/>
      <c r="BWA2"/>
      <c r="BWB2"/>
      <c r="BWC2"/>
      <c r="BWD2"/>
      <c r="BWE2"/>
      <c r="BWF2"/>
      <c r="BWG2"/>
      <c r="BWH2"/>
      <c r="BWI2"/>
      <c r="BWJ2"/>
      <c r="BWK2"/>
      <c r="BWL2"/>
      <c r="BWM2"/>
      <c r="BWN2"/>
      <c r="BWO2"/>
      <c r="BWP2"/>
      <c r="BWQ2"/>
      <c r="BWR2"/>
      <c r="BWS2"/>
      <c r="BWT2"/>
      <c r="BWU2"/>
      <c r="BWV2"/>
      <c r="BWW2"/>
      <c r="BWX2"/>
      <c r="BWY2"/>
      <c r="BWZ2"/>
      <c r="BXA2"/>
      <c r="BXB2"/>
      <c r="BXC2"/>
      <c r="BXD2"/>
      <c r="BXE2"/>
      <c r="BXF2"/>
      <c r="BXG2"/>
      <c r="BXH2"/>
      <c r="BXI2"/>
      <c r="BXJ2"/>
      <c r="BXK2"/>
      <c r="BXL2"/>
      <c r="BXM2"/>
      <c r="BXN2"/>
      <c r="BXO2"/>
      <c r="BXP2"/>
      <c r="BXQ2"/>
      <c r="BXR2"/>
      <c r="BXS2"/>
      <c r="BXT2"/>
      <c r="BXU2"/>
      <c r="BXV2"/>
      <c r="BXW2"/>
      <c r="BXX2"/>
      <c r="BXY2"/>
      <c r="BXZ2"/>
      <c r="BYA2"/>
      <c r="BYB2"/>
      <c r="BYC2"/>
      <c r="BYD2"/>
      <c r="BYE2"/>
      <c r="BYF2"/>
      <c r="BYG2"/>
      <c r="BYH2"/>
      <c r="BYI2"/>
      <c r="BYJ2"/>
      <c r="BYK2"/>
      <c r="BYL2"/>
      <c r="BYM2"/>
      <c r="BYN2"/>
      <c r="BYO2"/>
      <c r="BYP2"/>
      <c r="BYQ2"/>
      <c r="BYR2"/>
      <c r="BYS2"/>
      <c r="BYT2"/>
      <c r="BYU2"/>
      <c r="BYV2"/>
      <c r="BYW2"/>
      <c r="BYX2"/>
      <c r="BYY2"/>
      <c r="BYZ2"/>
      <c r="BZA2"/>
      <c r="BZB2"/>
      <c r="BZC2"/>
      <c r="BZD2"/>
      <c r="BZE2"/>
      <c r="BZF2"/>
      <c r="BZG2"/>
      <c r="BZH2"/>
      <c r="BZI2"/>
      <c r="BZJ2"/>
      <c r="BZK2"/>
      <c r="BZL2"/>
      <c r="BZM2"/>
      <c r="BZN2"/>
      <c r="BZO2"/>
      <c r="BZP2"/>
      <c r="BZQ2"/>
      <c r="BZR2"/>
      <c r="BZS2"/>
      <c r="BZT2"/>
      <c r="BZU2"/>
      <c r="BZV2"/>
      <c r="BZW2"/>
      <c r="BZX2"/>
      <c r="BZY2"/>
      <c r="BZZ2"/>
      <c r="CAA2"/>
      <c r="CAB2"/>
      <c r="CAC2"/>
      <c r="CAD2"/>
      <c r="CAE2"/>
      <c r="CAF2"/>
      <c r="CAG2"/>
      <c r="CAH2"/>
      <c r="CAI2"/>
      <c r="CAJ2"/>
      <c r="CAK2"/>
      <c r="CAL2"/>
      <c r="CAM2"/>
      <c r="CAN2"/>
      <c r="CAO2"/>
      <c r="CAP2"/>
      <c r="CAQ2"/>
      <c r="CAR2"/>
      <c r="CAS2"/>
      <c r="CAT2"/>
      <c r="CAU2"/>
      <c r="CAV2"/>
      <c r="CAW2"/>
      <c r="CAX2"/>
      <c r="CAY2"/>
      <c r="CAZ2"/>
      <c r="CBA2"/>
      <c r="CBB2"/>
      <c r="CBC2"/>
      <c r="CBD2"/>
      <c r="CBE2"/>
      <c r="CBF2"/>
      <c r="CBG2"/>
      <c r="CBH2"/>
      <c r="CBI2"/>
      <c r="CBJ2"/>
      <c r="CBK2"/>
      <c r="CBL2"/>
      <c r="CBM2"/>
      <c r="CBN2"/>
      <c r="CBO2"/>
      <c r="CBP2"/>
      <c r="CBQ2"/>
      <c r="CBR2"/>
      <c r="CBS2"/>
      <c r="CBT2"/>
      <c r="CBU2"/>
      <c r="CBV2"/>
      <c r="CBW2"/>
      <c r="CBX2"/>
      <c r="CBY2"/>
      <c r="CBZ2"/>
      <c r="CCA2"/>
      <c r="CCB2"/>
      <c r="CCC2"/>
      <c r="CCD2"/>
      <c r="CCE2"/>
      <c r="CCF2"/>
      <c r="CCG2"/>
      <c r="CCH2"/>
      <c r="CCI2"/>
      <c r="CCJ2"/>
      <c r="CCK2"/>
      <c r="CCL2"/>
      <c r="CCM2"/>
      <c r="CCN2"/>
      <c r="CCO2"/>
      <c r="CCP2"/>
      <c r="CCQ2"/>
      <c r="CCR2"/>
      <c r="CCS2"/>
      <c r="CCT2"/>
      <c r="CCU2"/>
      <c r="CCV2"/>
      <c r="CCW2"/>
      <c r="CCX2"/>
      <c r="CCY2"/>
      <c r="CCZ2"/>
      <c r="CDA2"/>
      <c r="CDB2"/>
      <c r="CDC2"/>
      <c r="CDD2"/>
      <c r="CDE2"/>
      <c r="CDF2"/>
      <c r="CDG2"/>
      <c r="CDH2"/>
      <c r="CDI2"/>
      <c r="CDJ2"/>
      <c r="CDK2"/>
      <c r="CDL2"/>
      <c r="CDM2"/>
      <c r="CDN2"/>
      <c r="CDO2"/>
      <c r="CDP2"/>
      <c r="CDQ2"/>
      <c r="CDR2"/>
      <c r="CDS2"/>
      <c r="CDT2"/>
      <c r="CDU2"/>
      <c r="CDV2"/>
      <c r="CDW2"/>
      <c r="CDX2"/>
      <c r="CDY2"/>
      <c r="CDZ2"/>
      <c r="CEA2"/>
      <c r="CEB2"/>
      <c r="CEC2"/>
      <c r="CED2"/>
      <c r="CEE2"/>
      <c r="CEF2"/>
      <c r="CEG2"/>
      <c r="CEH2"/>
      <c r="CEI2"/>
      <c r="CEJ2"/>
      <c r="CEK2"/>
      <c r="CEL2"/>
      <c r="CEM2"/>
      <c r="CEN2"/>
      <c r="CEO2"/>
      <c r="CEP2"/>
      <c r="CEQ2"/>
      <c r="CER2"/>
      <c r="CES2"/>
      <c r="CET2"/>
      <c r="CEU2"/>
      <c r="CEV2"/>
      <c r="CEW2"/>
      <c r="CEX2"/>
      <c r="CEY2"/>
      <c r="CEZ2"/>
      <c r="CFA2"/>
      <c r="CFB2"/>
      <c r="CFC2"/>
      <c r="CFD2"/>
      <c r="CFE2"/>
      <c r="CFF2"/>
      <c r="CFG2"/>
      <c r="CFH2"/>
      <c r="CFI2"/>
      <c r="CFJ2"/>
      <c r="CFK2"/>
      <c r="CFL2"/>
      <c r="CFM2"/>
      <c r="CFN2"/>
      <c r="CFO2"/>
      <c r="CFP2"/>
      <c r="CFQ2"/>
      <c r="CFR2"/>
      <c r="CFS2"/>
      <c r="CFT2"/>
      <c r="CFU2"/>
      <c r="CFV2"/>
      <c r="CFW2"/>
      <c r="CFX2"/>
      <c r="CFY2"/>
      <c r="CFZ2"/>
      <c r="CGA2"/>
      <c r="CGB2"/>
      <c r="CGC2"/>
      <c r="CGD2"/>
      <c r="CGE2"/>
      <c r="CGF2"/>
      <c r="CGG2"/>
      <c r="CGH2"/>
      <c r="CGI2"/>
      <c r="CGJ2"/>
      <c r="CGK2"/>
      <c r="CGL2"/>
      <c r="CGM2"/>
      <c r="CGN2"/>
      <c r="CGO2"/>
      <c r="CGP2"/>
      <c r="CGQ2"/>
      <c r="CGR2"/>
      <c r="CGS2"/>
      <c r="CGT2"/>
      <c r="CGU2"/>
      <c r="CGV2"/>
      <c r="CGW2"/>
      <c r="CGX2"/>
      <c r="CGY2"/>
      <c r="CGZ2"/>
      <c r="CHA2"/>
      <c r="CHB2"/>
      <c r="CHC2"/>
      <c r="CHD2"/>
      <c r="CHE2"/>
      <c r="CHF2"/>
      <c r="CHG2"/>
      <c r="CHH2"/>
      <c r="CHI2"/>
      <c r="CHJ2"/>
      <c r="CHK2"/>
      <c r="CHL2"/>
      <c r="CHM2"/>
      <c r="CHN2"/>
      <c r="CHO2"/>
      <c r="CHP2"/>
      <c r="CHQ2"/>
      <c r="CHR2"/>
      <c r="CHS2"/>
      <c r="CHT2"/>
      <c r="CHU2"/>
      <c r="CHV2"/>
      <c r="CHW2"/>
      <c r="CHX2"/>
      <c r="CHY2"/>
      <c r="CHZ2"/>
      <c r="CIA2"/>
      <c r="CIB2"/>
      <c r="CIC2"/>
      <c r="CID2"/>
      <c r="CIE2"/>
      <c r="CIF2"/>
      <c r="CIG2"/>
      <c r="CIH2"/>
      <c r="CII2"/>
      <c r="CIJ2"/>
      <c r="CIK2"/>
      <c r="CIL2"/>
      <c r="CIM2"/>
      <c r="CIN2"/>
      <c r="CIO2"/>
      <c r="CIP2"/>
      <c r="CIQ2"/>
      <c r="CIR2"/>
      <c r="CIS2"/>
      <c r="CIT2"/>
      <c r="CIU2"/>
      <c r="CIV2"/>
      <c r="CIW2"/>
      <c r="CIX2"/>
      <c r="CIY2"/>
      <c r="CIZ2"/>
      <c r="CJA2"/>
      <c r="CJB2"/>
      <c r="CJC2"/>
      <c r="CJD2"/>
      <c r="CJE2"/>
      <c r="CJF2"/>
      <c r="CJG2"/>
      <c r="CJH2"/>
      <c r="CJI2"/>
      <c r="CJJ2"/>
      <c r="CJK2"/>
      <c r="CJL2"/>
      <c r="CJM2"/>
      <c r="CJN2"/>
      <c r="CJO2"/>
      <c r="CJP2"/>
      <c r="CJQ2"/>
      <c r="CJR2"/>
      <c r="CJS2"/>
      <c r="CJT2"/>
      <c r="CJU2"/>
      <c r="CJV2"/>
      <c r="CJW2"/>
      <c r="CJX2"/>
      <c r="CJY2"/>
      <c r="CJZ2"/>
      <c r="CKA2"/>
      <c r="CKB2"/>
      <c r="CKC2"/>
      <c r="CKD2"/>
      <c r="CKE2"/>
      <c r="CKF2"/>
      <c r="CKG2"/>
      <c r="CKH2"/>
      <c r="CKI2"/>
      <c r="CKJ2"/>
      <c r="CKK2"/>
      <c r="CKL2"/>
      <c r="CKM2"/>
      <c r="CKN2"/>
      <c r="CKO2"/>
      <c r="CKP2"/>
      <c r="CKQ2"/>
      <c r="CKR2"/>
      <c r="CKS2"/>
      <c r="CKT2"/>
      <c r="CKU2"/>
      <c r="CKV2"/>
      <c r="CKW2"/>
      <c r="CKX2"/>
      <c r="CKY2"/>
      <c r="CKZ2"/>
      <c r="CLA2"/>
      <c r="CLB2"/>
      <c r="CLC2"/>
      <c r="CLD2"/>
      <c r="CLE2"/>
      <c r="CLF2"/>
      <c r="CLG2"/>
      <c r="CLH2"/>
      <c r="CLI2"/>
      <c r="CLJ2"/>
      <c r="CLK2"/>
      <c r="CLL2"/>
      <c r="CLM2"/>
      <c r="CLN2"/>
      <c r="CLO2"/>
      <c r="CLP2"/>
      <c r="CLQ2"/>
      <c r="CLR2"/>
      <c r="CLS2"/>
      <c r="CLT2"/>
      <c r="CLU2"/>
      <c r="CLV2"/>
      <c r="CLW2"/>
      <c r="CLX2"/>
      <c r="CLY2"/>
      <c r="CLZ2"/>
      <c r="CMA2"/>
      <c r="CMB2"/>
      <c r="CMC2"/>
      <c r="CMD2"/>
      <c r="CME2"/>
      <c r="CMF2"/>
      <c r="CMG2"/>
      <c r="CMH2"/>
      <c r="CMI2"/>
      <c r="CMJ2"/>
      <c r="CMK2"/>
      <c r="CML2"/>
      <c r="CMM2"/>
      <c r="CMN2"/>
      <c r="CMO2"/>
      <c r="CMP2"/>
      <c r="CMQ2"/>
      <c r="CMR2"/>
      <c r="CMS2"/>
      <c r="CMT2"/>
      <c r="CMU2"/>
      <c r="CMV2"/>
      <c r="CMW2"/>
      <c r="CMX2"/>
      <c r="CMY2"/>
      <c r="CMZ2"/>
      <c r="CNA2"/>
      <c r="CNB2"/>
      <c r="CNC2"/>
      <c r="CND2"/>
      <c r="CNE2"/>
      <c r="CNF2"/>
      <c r="CNG2"/>
      <c r="CNH2"/>
      <c r="CNI2"/>
      <c r="CNJ2"/>
      <c r="CNK2"/>
      <c r="CNL2"/>
      <c r="CNM2"/>
      <c r="CNN2"/>
      <c r="CNO2"/>
      <c r="CNP2"/>
      <c r="CNQ2"/>
      <c r="CNR2"/>
      <c r="CNS2"/>
      <c r="CNT2"/>
      <c r="CNU2"/>
      <c r="CNV2"/>
      <c r="CNW2"/>
      <c r="CNX2"/>
      <c r="CNY2"/>
      <c r="CNZ2"/>
      <c r="COA2"/>
      <c r="COB2"/>
      <c r="COC2"/>
      <c r="COD2"/>
      <c r="COE2"/>
      <c r="COF2"/>
      <c r="COG2"/>
      <c r="COH2"/>
      <c r="COI2"/>
      <c r="COJ2"/>
      <c r="COK2"/>
      <c r="COL2"/>
      <c r="COM2"/>
      <c r="CON2"/>
      <c r="COO2"/>
      <c r="COP2"/>
      <c r="COQ2"/>
      <c r="COR2"/>
      <c r="COS2"/>
      <c r="COT2"/>
      <c r="COU2"/>
      <c r="COV2"/>
      <c r="COW2"/>
      <c r="COX2"/>
      <c r="COY2"/>
      <c r="COZ2"/>
      <c r="CPA2"/>
      <c r="CPB2"/>
      <c r="CPC2"/>
      <c r="CPD2"/>
      <c r="CPE2"/>
      <c r="CPF2"/>
      <c r="CPG2"/>
      <c r="CPH2"/>
      <c r="CPI2"/>
      <c r="CPJ2"/>
      <c r="CPK2"/>
      <c r="CPL2"/>
      <c r="CPM2"/>
      <c r="CPN2"/>
      <c r="CPO2"/>
      <c r="CPP2"/>
      <c r="CPQ2"/>
      <c r="CPR2"/>
      <c r="CPS2"/>
      <c r="CPT2"/>
      <c r="CPU2"/>
      <c r="CPV2"/>
      <c r="CPW2"/>
      <c r="CPX2"/>
      <c r="CPY2"/>
      <c r="CPZ2"/>
      <c r="CQA2"/>
      <c r="CQB2"/>
      <c r="CQC2"/>
      <c r="CQD2"/>
      <c r="CQE2"/>
      <c r="CQF2"/>
      <c r="CQG2"/>
      <c r="CQH2"/>
      <c r="CQI2"/>
      <c r="CQJ2"/>
      <c r="CQK2"/>
      <c r="CQL2"/>
      <c r="CQM2"/>
      <c r="CQN2"/>
      <c r="CQO2"/>
      <c r="CQP2"/>
      <c r="CQQ2"/>
      <c r="CQR2"/>
      <c r="CQS2"/>
      <c r="CQT2"/>
      <c r="CQU2"/>
      <c r="CQV2"/>
      <c r="CQW2"/>
      <c r="CQX2"/>
      <c r="CQY2"/>
      <c r="CQZ2"/>
      <c r="CRA2"/>
      <c r="CRB2"/>
      <c r="CRC2"/>
      <c r="CRD2"/>
      <c r="CRE2"/>
      <c r="CRF2"/>
      <c r="CRG2"/>
      <c r="CRH2"/>
      <c r="CRI2"/>
      <c r="CRJ2"/>
      <c r="CRK2"/>
      <c r="CRL2"/>
      <c r="CRM2"/>
      <c r="CRN2"/>
      <c r="CRO2"/>
      <c r="CRP2"/>
      <c r="CRQ2"/>
      <c r="CRR2"/>
      <c r="CRS2"/>
      <c r="CRT2"/>
      <c r="CRU2"/>
      <c r="CRV2"/>
      <c r="CRW2"/>
      <c r="CRX2"/>
      <c r="CRY2"/>
      <c r="CRZ2"/>
      <c r="CSA2"/>
      <c r="CSB2"/>
      <c r="CSC2"/>
      <c r="CSD2"/>
      <c r="CSE2"/>
      <c r="CSF2"/>
      <c r="CSG2"/>
      <c r="CSH2"/>
      <c r="CSI2"/>
      <c r="CSJ2"/>
      <c r="CSK2"/>
      <c r="CSL2"/>
      <c r="CSM2"/>
      <c r="CSN2"/>
      <c r="CSO2"/>
      <c r="CSP2"/>
      <c r="CSQ2"/>
      <c r="CSR2"/>
      <c r="CSS2"/>
      <c r="CST2"/>
      <c r="CSU2"/>
      <c r="CSV2"/>
      <c r="CSW2"/>
      <c r="CSX2"/>
      <c r="CSY2"/>
      <c r="CSZ2"/>
      <c r="CTA2"/>
      <c r="CTB2"/>
      <c r="CTC2"/>
      <c r="CTD2"/>
      <c r="CTE2"/>
      <c r="CTF2"/>
      <c r="CTG2"/>
      <c r="CTH2"/>
      <c r="CTI2"/>
      <c r="CTJ2"/>
      <c r="CTK2"/>
      <c r="CTL2"/>
      <c r="CTM2"/>
      <c r="CTN2"/>
      <c r="CTO2"/>
      <c r="CTP2"/>
      <c r="CTQ2"/>
      <c r="CTR2"/>
      <c r="CTS2"/>
      <c r="CTT2"/>
      <c r="CTU2"/>
      <c r="CTV2"/>
      <c r="CTW2"/>
      <c r="CTX2"/>
      <c r="CTY2"/>
      <c r="CTZ2"/>
      <c r="CUA2"/>
      <c r="CUB2"/>
      <c r="CUC2"/>
      <c r="CUD2"/>
      <c r="CUE2"/>
      <c r="CUF2"/>
      <c r="CUG2"/>
      <c r="CUH2"/>
      <c r="CUI2"/>
      <c r="CUJ2"/>
      <c r="CUK2"/>
      <c r="CUL2"/>
      <c r="CUM2"/>
      <c r="CUN2"/>
      <c r="CUO2"/>
      <c r="CUP2"/>
      <c r="CUQ2"/>
      <c r="CUR2"/>
      <c r="CUS2"/>
      <c r="CUT2"/>
      <c r="CUU2"/>
      <c r="CUV2"/>
      <c r="CUW2"/>
      <c r="CUX2"/>
      <c r="CUY2"/>
      <c r="CUZ2"/>
      <c r="CVA2"/>
      <c r="CVB2"/>
      <c r="CVC2"/>
      <c r="CVD2"/>
      <c r="CVE2"/>
      <c r="CVF2"/>
      <c r="CVG2"/>
      <c r="CVH2"/>
      <c r="CVI2"/>
      <c r="CVJ2"/>
      <c r="CVK2"/>
      <c r="CVL2"/>
      <c r="CVM2"/>
      <c r="CVN2"/>
      <c r="CVO2"/>
      <c r="CVP2"/>
      <c r="CVQ2"/>
      <c r="CVR2"/>
      <c r="CVS2"/>
      <c r="CVT2"/>
      <c r="CVU2"/>
      <c r="CVV2"/>
      <c r="CVW2"/>
      <c r="CVX2"/>
      <c r="CVY2"/>
      <c r="CVZ2"/>
      <c r="CWA2"/>
      <c r="CWB2"/>
      <c r="CWC2"/>
      <c r="CWD2"/>
      <c r="CWE2"/>
      <c r="CWF2"/>
      <c r="CWG2"/>
      <c r="CWH2"/>
      <c r="CWI2"/>
      <c r="CWJ2"/>
      <c r="CWK2"/>
      <c r="CWL2"/>
      <c r="CWM2"/>
      <c r="CWN2"/>
      <c r="CWO2"/>
      <c r="CWP2"/>
      <c r="CWQ2"/>
      <c r="CWR2"/>
      <c r="CWS2"/>
      <c r="CWT2"/>
      <c r="CWU2"/>
      <c r="CWV2"/>
      <c r="CWW2"/>
      <c r="CWX2"/>
      <c r="CWY2"/>
      <c r="CWZ2"/>
      <c r="CXA2"/>
      <c r="CXB2"/>
      <c r="CXC2"/>
      <c r="CXD2"/>
      <c r="CXE2"/>
      <c r="CXF2"/>
      <c r="CXG2"/>
      <c r="CXH2"/>
      <c r="CXI2"/>
      <c r="CXJ2"/>
      <c r="CXK2"/>
      <c r="CXL2"/>
      <c r="CXM2"/>
      <c r="CXN2"/>
      <c r="CXO2"/>
      <c r="CXP2"/>
      <c r="CXQ2"/>
      <c r="CXR2"/>
      <c r="CXS2"/>
      <c r="CXT2"/>
      <c r="CXU2"/>
      <c r="CXV2"/>
      <c r="CXW2"/>
      <c r="CXX2"/>
      <c r="CXY2"/>
      <c r="CXZ2"/>
      <c r="CYA2"/>
      <c r="CYB2"/>
      <c r="CYC2"/>
      <c r="CYD2"/>
      <c r="CYE2"/>
      <c r="CYF2"/>
      <c r="CYG2"/>
      <c r="CYH2"/>
      <c r="CYI2"/>
      <c r="CYJ2"/>
      <c r="CYK2"/>
      <c r="CYL2"/>
      <c r="CYM2"/>
      <c r="CYN2"/>
      <c r="CYO2"/>
      <c r="CYP2"/>
      <c r="CYQ2"/>
      <c r="CYR2"/>
      <c r="CYS2"/>
      <c r="CYT2"/>
      <c r="CYU2"/>
      <c r="CYV2"/>
      <c r="CYW2"/>
      <c r="CYX2"/>
      <c r="CYY2"/>
      <c r="CYZ2"/>
      <c r="CZA2"/>
      <c r="CZB2"/>
      <c r="CZC2"/>
      <c r="CZD2"/>
      <c r="CZE2"/>
      <c r="CZF2"/>
      <c r="CZG2"/>
      <c r="CZH2"/>
      <c r="CZI2"/>
      <c r="CZJ2"/>
      <c r="CZK2"/>
      <c r="CZL2"/>
      <c r="CZM2"/>
      <c r="CZN2"/>
      <c r="CZO2"/>
      <c r="CZP2"/>
      <c r="CZQ2"/>
      <c r="CZR2"/>
      <c r="CZS2"/>
      <c r="CZT2"/>
      <c r="CZU2"/>
      <c r="CZV2"/>
      <c r="CZW2"/>
      <c r="CZX2"/>
      <c r="CZY2"/>
      <c r="CZZ2"/>
      <c r="DAA2"/>
      <c r="DAB2"/>
      <c r="DAC2"/>
      <c r="DAD2"/>
      <c r="DAE2"/>
      <c r="DAF2"/>
      <c r="DAG2"/>
      <c r="DAH2"/>
      <c r="DAI2"/>
      <c r="DAJ2"/>
      <c r="DAK2"/>
      <c r="DAL2"/>
      <c r="DAM2"/>
      <c r="DAN2"/>
      <c r="DAO2"/>
      <c r="DAP2"/>
      <c r="DAQ2"/>
      <c r="DAR2"/>
      <c r="DAS2"/>
      <c r="DAT2"/>
      <c r="DAU2"/>
      <c r="DAV2"/>
      <c r="DAW2"/>
      <c r="DAX2"/>
      <c r="DAY2"/>
      <c r="DAZ2"/>
      <c r="DBA2"/>
      <c r="DBB2"/>
      <c r="DBC2"/>
      <c r="DBD2"/>
      <c r="DBE2"/>
      <c r="DBF2"/>
      <c r="DBG2"/>
      <c r="DBH2"/>
      <c r="DBI2"/>
      <c r="DBJ2"/>
      <c r="DBK2"/>
      <c r="DBL2"/>
      <c r="DBM2"/>
      <c r="DBN2"/>
      <c r="DBO2"/>
      <c r="DBP2"/>
      <c r="DBQ2"/>
      <c r="DBR2"/>
      <c r="DBS2"/>
      <c r="DBT2"/>
      <c r="DBU2"/>
      <c r="DBV2"/>
      <c r="DBW2"/>
      <c r="DBX2"/>
      <c r="DBY2"/>
      <c r="DBZ2"/>
      <c r="DCA2"/>
      <c r="DCB2"/>
      <c r="DCC2"/>
      <c r="DCD2"/>
      <c r="DCE2"/>
      <c r="DCF2"/>
      <c r="DCG2"/>
      <c r="DCH2"/>
      <c r="DCI2"/>
      <c r="DCJ2"/>
      <c r="DCK2"/>
      <c r="DCL2"/>
      <c r="DCM2"/>
      <c r="DCN2"/>
      <c r="DCO2"/>
      <c r="DCP2"/>
      <c r="DCQ2"/>
      <c r="DCR2"/>
      <c r="DCS2"/>
      <c r="DCT2"/>
      <c r="DCU2"/>
      <c r="DCV2"/>
      <c r="DCW2"/>
      <c r="DCX2"/>
      <c r="DCY2"/>
      <c r="DCZ2"/>
      <c r="DDA2"/>
      <c r="DDB2"/>
      <c r="DDC2"/>
      <c r="DDD2"/>
      <c r="DDE2"/>
      <c r="DDF2"/>
      <c r="DDG2"/>
      <c r="DDH2"/>
      <c r="DDI2"/>
      <c r="DDJ2"/>
      <c r="DDK2"/>
      <c r="DDL2"/>
      <c r="DDM2"/>
      <c r="DDN2"/>
      <c r="DDO2"/>
      <c r="DDP2"/>
      <c r="DDQ2"/>
      <c r="DDR2"/>
      <c r="DDS2"/>
      <c r="DDT2"/>
      <c r="DDU2"/>
      <c r="DDV2"/>
      <c r="DDW2"/>
      <c r="DDX2"/>
      <c r="DDY2"/>
      <c r="DDZ2"/>
      <c r="DEA2"/>
      <c r="DEB2"/>
      <c r="DEC2"/>
      <c r="DED2"/>
      <c r="DEE2"/>
      <c r="DEF2"/>
      <c r="DEG2"/>
      <c r="DEH2"/>
      <c r="DEI2"/>
      <c r="DEJ2"/>
      <c r="DEK2"/>
      <c r="DEL2"/>
      <c r="DEM2"/>
      <c r="DEN2"/>
      <c r="DEO2"/>
      <c r="DEP2"/>
      <c r="DEQ2"/>
      <c r="DER2"/>
      <c r="DES2"/>
      <c r="DET2"/>
      <c r="DEU2"/>
      <c r="DEV2"/>
      <c r="DEW2"/>
      <c r="DEX2"/>
      <c r="DEY2"/>
      <c r="DEZ2"/>
      <c r="DFA2"/>
      <c r="DFB2"/>
      <c r="DFC2"/>
      <c r="DFD2"/>
      <c r="DFE2"/>
      <c r="DFF2"/>
      <c r="DFG2"/>
      <c r="DFH2"/>
      <c r="DFI2"/>
      <c r="DFJ2"/>
      <c r="DFK2"/>
      <c r="DFL2"/>
      <c r="DFM2"/>
      <c r="DFN2"/>
      <c r="DFO2"/>
      <c r="DFP2"/>
      <c r="DFQ2"/>
      <c r="DFR2"/>
      <c r="DFS2"/>
      <c r="DFT2"/>
      <c r="DFU2"/>
      <c r="DFV2"/>
      <c r="DFW2"/>
      <c r="DFX2"/>
      <c r="DFY2"/>
      <c r="DFZ2"/>
      <c r="DGA2"/>
      <c r="DGB2"/>
      <c r="DGC2"/>
      <c r="DGD2"/>
      <c r="DGE2"/>
      <c r="DGF2"/>
      <c r="DGG2"/>
      <c r="DGH2"/>
      <c r="DGI2"/>
      <c r="DGJ2"/>
      <c r="DGK2"/>
      <c r="DGL2"/>
      <c r="DGM2"/>
      <c r="DGN2"/>
      <c r="DGO2"/>
      <c r="DGP2"/>
      <c r="DGQ2"/>
      <c r="DGR2"/>
      <c r="DGS2"/>
      <c r="DGT2"/>
      <c r="DGU2"/>
      <c r="DGV2"/>
      <c r="DGW2"/>
      <c r="DGX2"/>
      <c r="DGY2"/>
      <c r="DGZ2"/>
      <c r="DHA2"/>
      <c r="DHB2"/>
      <c r="DHC2"/>
      <c r="DHD2"/>
      <c r="DHE2"/>
      <c r="DHF2"/>
      <c r="DHG2"/>
      <c r="DHH2"/>
      <c r="DHI2"/>
      <c r="DHJ2"/>
      <c r="DHK2"/>
      <c r="DHL2"/>
      <c r="DHM2"/>
      <c r="DHN2"/>
      <c r="DHO2"/>
      <c r="DHP2"/>
      <c r="DHQ2"/>
      <c r="DHR2"/>
      <c r="DHS2"/>
      <c r="DHT2"/>
      <c r="DHU2"/>
      <c r="DHV2"/>
      <c r="DHW2"/>
      <c r="DHX2"/>
      <c r="DHY2"/>
      <c r="DHZ2"/>
      <c r="DIA2"/>
      <c r="DIB2"/>
      <c r="DIC2"/>
      <c r="DID2"/>
      <c r="DIE2"/>
      <c r="DIF2"/>
      <c r="DIG2"/>
      <c r="DIH2"/>
      <c r="DII2"/>
      <c r="DIJ2"/>
      <c r="DIK2"/>
      <c r="DIL2"/>
      <c r="DIM2"/>
      <c r="DIN2"/>
      <c r="DIO2"/>
      <c r="DIP2"/>
      <c r="DIQ2"/>
      <c r="DIR2"/>
      <c r="DIS2"/>
      <c r="DIT2"/>
      <c r="DIU2"/>
      <c r="DIV2"/>
      <c r="DIW2"/>
      <c r="DIX2"/>
      <c r="DIY2"/>
      <c r="DIZ2"/>
      <c r="DJA2"/>
      <c r="DJB2"/>
      <c r="DJC2"/>
      <c r="DJD2"/>
      <c r="DJE2"/>
      <c r="DJF2"/>
      <c r="DJG2"/>
      <c r="DJH2"/>
      <c r="DJI2"/>
      <c r="DJJ2"/>
      <c r="DJK2"/>
      <c r="DJL2"/>
      <c r="DJM2"/>
      <c r="DJN2"/>
      <c r="DJO2"/>
      <c r="DJP2"/>
      <c r="DJQ2"/>
      <c r="DJR2"/>
      <c r="DJS2"/>
      <c r="DJT2"/>
      <c r="DJU2"/>
      <c r="DJV2"/>
      <c r="DJW2"/>
      <c r="DJX2"/>
      <c r="DJY2"/>
      <c r="DJZ2"/>
      <c r="DKA2"/>
      <c r="DKB2"/>
      <c r="DKC2"/>
      <c r="DKD2"/>
      <c r="DKE2"/>
      <c r="DKF2"/>
      <c r="DKG2"/>
      <c r="DKH2"/>
      <c r="DKI2"/>
      <c r="DKJ2"/>
      <c r="DKK2"/>
      <c r="DKL2"/>
      <c r="DKM2"/>
      <c r="DKN2"/>
      <c r="DKO2"/>
      <c r="DKP2"/>
      <c r="DKQ2"/>
      <c r="DKR2"/>
      <c r="DKS2"/>
      <c r="DKT2"/>
      <c r="DKU2"/>
      <c r="DKV2"/>
      <c r="DKW2"/>
      <c r="DKX2"/>
      <c r="DKY2"/>
      <c r="DKZ2"/>
      <c r="DLA2"/>
      <c r="DLB2"/>
      <c r="DLC2"/>
      <c r="DLD2"/>
      <c r="DLE2"/>
      <c r="DLF2"/>
      <c r="DLG2"/>
      <c r="DLH2"/>
      <c r="DLI2"/>
      <c r="DLJ2"/>
      <c r="DLK2"/>
      <c r="DLL2"/>
      <c r="DLM2"/>
      <c r="DLN2"/>
      <c r="DLO2"/>
      <c r="DLP2"/>
      <c r="DLQ2"/>
      <c r="DLR2"/>
      <c r="DLS2"/>
      <c r="DLT2"/>
      <c r="DLU2"/>
      <c r="DLV2"/>
      <c r="DLW2"/>
      <c r="DLX2"/>
      <c r="DLY2"/>
      <c r="DLZ2"/>
      <c r="DMA2"/>
      <c r="DMB2"/>
      <c r="DMC2"/>
      <c r="DMD2"/>
      <c r="DME2"/>
      <c r="DMF2"/>
      <c r="DMG2"/>
      <c r="DMH2"/>
      <c r="DMI2"/>
      <c r="DMJ2"/>
      <c r="DMK2"/>
      <c r="DML2"/>
      <c r="DMM2"/>
      <c r="DMN2"/>
      <c r="DMO2"/>
      <c r="DMP2"/>
      <c r="DMQ2"/>
      <c r="DMR2"/>
      <c r="DMS2"/>
      <c r="DMT2"/>
      <c r="DMU2"/>
      <c r="DMV2"/>
      <c r="DMW2"/>
      <c r="DMX2"/>
      <c r="DMY2"/>
      <c r="DMZ2"/>
      <c r="DNA2"/>
      <c r="DNB2"/>
      <c r="DNC2"/>
      <c r="DND2"/>
      <c r="DNE2"/>
      <c r="DNF2"/>
      <c r="DNG2"/>
      <c r="DNH2"/>
      <c r="DNI2"/>
      <c r="DNJ2"/>
      <c r="DNK2"/>
      <c r="DNL2"/>
      <c r="DNM2"/>
      <c r="DNN2"/>
      <c r="DNO2"/>
      <c r="DNP2"/>
      <c r="DNQ2"/>
      <c r="DNR2"/>
      <c r="DNS2"/>
      <c r="DNT2"/>
      <c r="DNU2"/>
      <c r="DNV2"/>
      <c r="DNW2"/>
      <c r="DNX2"/>
      <c r="DNY2"/>
      <c r="DNZ2"/>
      <c r="DOA2"/>
      <c r="DOB2"/>
      <c r="DOC2"/>
      <c r="DOD2"/>
      <c r="DOE2"/>
      <c r="DOF2"/>
      <c r="DOG2"/>
      <c r="DOH2"/>
      <c r="DOI2"/>
      <c r="DOJ2"/>
      <c r="DOK2"/>
      <c r="DOL2"/>
      <c r="DOM2"/>
      <c r="DON2"/>
      <c r="DOO2"/>
      <c r="DOP2"/>
      <c r="DOQ2"/>
      <c r="DOR2"/>
      <c r="DOS2"/>
      <c r="DOT2"/>
      <c r="DOU2"/>
      <c r="DOV2"/>
      <c r="DOW2"/>
      <c r="DOX2"/>
      <c r="DOY2"/>
      <c r="DOZ2"/>
      <c r="DPA2"/>
      <c r="DPB2"/>
      <c r="DPC2"/>
      <c r="DPD2"/>
      <c r="DPE2"/>
      <c r="DPF2"/>
      <c r="DPG2"/>
      <c r="DPH2"/>
      <c r="DPI2"/>
      <c r="DPJ2"/>
      <c r="DPK2"/>
      <c r="DPL2"/>
      <c r="DPM2"/>
      <c r="DPN2"/>
      <c r="DPO2"/>
      <c r="DPP2"/>
      <c r="DPQ2"/>
      <c r="DPR2"/>
      <c r="DPS2"/>
      <c r="DPT2"/>
      <c r="DPU2"/>
      <c r="DPV2"/>
      <c r="DPW2"/>
      <c r="DPX2"/>
      <c r="DPY2"/>
      <c r="DPZ2"/>
      <c r="DQA2"/>
      <c r="DQB2"/>
      <c r="DQC2"/>
      <c r="DQD2"/>
      <c r="DQE2"/>
      <c r="DQF2"/>
      <c r="DQG2"/>
      <c r="DQH2"/>
      <c r="DQI2"/>
      <c r="DQJ2"/>
      <c r="DQK2"/>
      <c r="DQL2"/>
      <c r="DQM2"/>
      <c r="DQN2"/>
      <c r="DQO2"/>
      <c r="DQP2"/>
      <c r="DQQ2"/>
      <c r="DQR2"/>
      <c r="DQS2"/>
      <c r="DQT2"/>
      <c r="DQU2"/>
      <c r="DQV2"/>
      <c r="DQW2"/>
      <c r="DQX2"/>
      <c r="DQY2"/>
      <c r="DQZ2"/>
      <c r="DRA2"/>
      <c r="DRB2"/>
      <c r="DRC2"/>
      <c r="DRD2"/>
      <c r="DRE2"/>
      <c r="DRF2"/>
      <c r="DRG2"/>
      <c r="DRH2"/>
      <c r="DRI2"/>
      <c r="DRJ2"/>
      <c r="DRK2"/>
      <c r="DRL2"/>
      <c r="DRM2"/>
      <c r="DRN2"/>
      <c r="DRO2"/>
      <c r="DRP2"/>
      <c r="DRQ2"/>
      <c r="DRR2"/>
      <c r="DRS2"/>
      <c r="DRT2"/>
      <c r="DRU2"/>
      <c r="DRV2"/>
      <c r="DRW2"/>
      <c r="DRX2"/>
      <c r="DRY2"/>
      <c r="DRZ2"/>
      <c r="DSA2"/>
      <c r="DSB2"/>
      <c r="DSC2"/>
      <c r="DSD2"/>
      <c r="DSE2"/>
      <c r="DSF2"/>
      <c r="DSG2"/>
      <c r="DSH2"/>
      <c r="DSI2"/>
      <c r="DSJ2"/>
      <c r="DSK2"/>
      <c r="DSL2"/>
      <c r="DSM2"/>
      <c r="DSN2"/>
      <c r="DSO2"/>
      <c r="DSP2"/>
      <c r="DSQ2"/>
      <c r="DSR2"/>
      <c r="DSS2"/>
      <c r="DST2"/>
      <c r="DSU2"/>
      <c r="DSV2"/>
      <c r="DSW2"/>
      <c r="DSX2"/>
      <c r="DSY2"/>
      <c r="DSZ2"/>
      <c r="DTA2"/>
      <c r="DTB2"/>
      <c r="DTC2"/>
      <c r="DTD2"/>
      <c r="DTE2"/>
      <c r="DTF2"/>
      <c r="DTG2"/>
      <c r="DTH2"/>
      <c r="DTI2"/>
      <c r="DTJ2"/>
      <c r="DTK2"/>
      <c r="DTL2"/>
      <c r="DTM2"/>
      <c r="DTN2"/>
      <c r="DTO2"/>
      <c r="DTP2"/>
      <c r="DTQ2"/>
      <c r="DTR2"/>
      <c r="DTS2"/>
      <c r="DTT2"/>
      <c r="DTU2"/>
      <c r="DTV2"/>
      <c r="DTW2"/>
      <c r="DTX2"/>
      <c r="DTY2"/>
      <c r="DTZ2"/>
      <c r="DUA2"/>
      <c r="DUB2"/>
      <c r="DUC2"/>
      <c r="DUD2"/>
      <c r="DUE2"/>
      <c r="DUF2"/>
      <c r="DUG2"/>
      <c r="DUH2"/>
      <c r="DUI2"/>
      <c r="DUJ2"/>
      <c r="DUK2"/>
      <c r="DUL2"/>
      <c r="DUM2"/>
      <c r="DUN2"/>
      <c r="DUO2"/>
      <c r="DUP2"/>
      <c r="DUQ2"/>
      <c r="DUR2"/>
      <c r="DUS2"/>
      <c r="DUT2"/>
      <c r="DUU2"/>
      <c r="DUV2"/>
      <c r="DUW2"/>
      <c r="DUX2"/>
      <c r="DUY2"/>
      <c r="DUZ2"/>
      <c r="DVA2"/>
      <c r="DVB2"/>
      <c r="DVC2"/>
      <c r="DVD2"/>
      <c r="DVE2"/>
      <c r="DVF2"/>
      <c r="DVG2"/>
      <c r="DVH2"/>
      <c r="DVI2"/>
      <c r="DVJ2"/>
      <c r="DVK2"/>
      <c r="DVL2"/>
      <c r="DVM2"/>
      <c r="DVN2"/>
      <c r="DVO2"/>
      <c r="DVP2"/>
      <c r="DVQ2"/>
      <c r="DVR2"/>
      <c r="DVS2"/>
      <c r="DVT2"/>
      <c r="DVU2"/>
      <c r="DVV2"/>
      <c r="DVW2"/>
      <c r="DVX2"/>
      <c r="DVY2"/>
      <c r="DVZ2"/>
      <c r="DWA2"/>
      <c r="DWB2"/>
      <c r="DWC2"/>
      <c r="DWD2"/>
      <c r="DWE2"/>
      <c r="DWF2"/>
      <c r="DWG2"/>
      <c r="DWH2"/>
      <c r="DWI2"/>
      <c r="DWJ2"/>
      <c r="DWK2"/>
      <c r="DWL2"/>
      <c r="DWM2"/>
      <c r="DWN2"/>
      <c r="DWO2"/>
      <c r="DWP2"/>
      <c r="DWQ2"/>
      <c r="DWR2"/>
      <c r="DWS2"/>
      <c r="DWT2"/>
      <c r="DWU2"/>
      <c r="DWV2"/>
      <c r="DWW2"/>
      <c r="DWX2"/>
      <c r="DWY2"/>
      <c r="DWZ2"/>
      <c r="DXA2"/>
      <c r="DXB2"/>
      <c r="DXC2"/>
      <c r="DXD2"/>
      <c r="DXE2"/>
      <c r="DXF2"/>
      <c r="DXG2"/>
      <c r="DXH2"/>
      <c r="DXI2"/>
      <c r="DXJ2"/>
      <c r="DXK2"/>
      <c r="DXL2"/>
      <c r="DXM2"/>
      <c r="DXN2"/>
      <c r="DXO2"/>
      <c r="DXP2"/>
      <c r="DXQ2"/>
      <c r="DXR2"/>
      <c r="DXS2"/>
      <c r="DXT2"/>
      <c r="DXU2"/>
      <c r="DXV2"/>
      <c r="DXW2"/>
      <c r="DXX2"/>
      <c r="DXY2"/>
      <c r="DXZ2"/>
      <c r="DYA2"/>
      <c r="DYB2"/>
      <c r="DYC2"/>
      <c r="DYD2"/>
      <c r="DYE2"/>
      <c r="DYF2"/>
      <c r="DYG2"/>
      <c r="DYH2"/>
      <c r="DYI2"/>
      <c r="DYJ2"/>
      <c r="DYK2"/>
      <c r="DYL2"/>
      <c r="DYM2"/>
      <c r="DYN2"/>
      <c r="DYO2"/>
      <c r="DYP2"/>
      <c r="DYQ2"/>
      <c r="DYR2"/>
      <c r="DYS2"/>
      <c r="DYT2"/>
      <c r="DYU2"/>
      <c r="DYV2"/>
      <c r="DYW2"/>
      <c r="DYX2"/>
      <c r="DYY2"/>
      <c r="DYZ2"/>
      <c r="DZA2"/>
      <c r="DZB2"/>
      <c r="DZC2"/>
      <c r="DZD2"/>
      <c r="DZE2"/>
      <c r="DZF2"/>
      <c r="DZG2"/>
      <c r="DZH2"/>
      <c r="DZI2"/>
      <c r="DZJ2"/>
      <c r="DZK2"/>
      <c r="DZL2"/>
      <c r="DZM2"/>
      <c r="DZN2"/>
      <c r="DZO2"/>
      <c r="DZP2"/>
      <c r="DZQ2"/>
      <c r="DZR2"/>
      <c r="DZS2"/>
      <c r="DZT2"/>
      <c r="DZU2"/>
      <c r="DZV2"/>
      <c r="DZW2"/>
      <c r="DZX2"/>
      <c r="DZY2"/>
      <c r="DZZ2"/>
      <c r="EAA2"/>
      <c r="EAB2"/>
      <c r="EAC2"/>
      <c r="EAD2"/>
      <c r="EAE2"/>
      <c r="EAF2"/>
      <c r="EAG2"/>
      <c r="EAH2"/>
      <c r="EAI2"/>
      <c r="EAJ2"/>
      <c r="EAK2"/>
      <c r="EAL2"/>
      <c r="EAM2"/>
      <c r="EAN2"/>
      <c r="EAO2"/>
      <c r="EAP2"/>
      <c r="EAQ2"/>
      <c r="EAR2"/>
      <c r="EAS2"/>
      <c r="EAT2"/>
      <c r="EAU2"/>
      <c r="EAV2"/>
      <c r="EAW2"/>
      <c r="EAX2"/>
      <c r="EAY2"/>
      <c r="EAZ2"/>
      <c r="EBA2"/>
      <c r="EBB2"/>
      <c r="EBC2"/>
      <c r="EBD2"/>
      <c r="EBE2"/>
      <c r="EBF2"/>
      <c r="EBG2"/>
      <c r="EBH2"/>
      <c r="EBI2"/>
      <c r="EBJ2"/>
      <c r="EBK2"/>
      <c r="EBL2"/>
      <c r="EBM2"/>
      <c r="EBN2"/>
      <c r="EBO2"/>
      <c r="EBP2"/>
      <c r="EBQ2"/>
      <c r="EBR2"/>
      <c r="EBS2"/>
      <c r="EBT2"/>
      <c r="EBU2"/>
      <c r="EBV2"/>
      <c r="EBW2"/>
      <c r="EBX2"/>
      <c r="EBY2"/>
      <c r="EBZ2"/>
      <c r="ECA2"/>
      <c r="ECB2"/>
      <c r="ECC2"/>
      <c r="ECD2"/>
      <c r="ECE2"/>
      <c r="ECF2"/>
      <c r="ECG2"/>
      <c r="ECH2"/>
      <c r="ECI2"/>
      <c r="ECJ2"/>
      <c r="ECK2"/>
      <c r="ECL2"/>
      <c r="ECM2"/>
      <c r="ECN2"/>
      <c r="ECO2"/>
      <c r="ECP2"/>
      <c r="ECQ2"/>
      <c r="ECR2"/>
      <c r="ECS2"/>
      <c r="ECT2"/>
      <c r="ECU2"/>
      <c r="ECV2"/>
      <c r="ECW2"/>
      <c r="ECX2"/>
      <c r="ECY2"/>
      <c r="ECZ2"/>
      <c r="EDA2"/>
      <c r="EDB2"/>
      <c r="EDC2"/>
      <c r="EDD2"/>
      <c r="EDE2"/>
      <c r="EDF2"/>
      <c r="EDG2"/>
      <c r="EDH2"/>
      <c r="EDI2"/>
      <c r="EDJ2"/>
      <c r="EDK2"/>
      <c r="EDL2"/>
      <c r="EDM2"/>
      <c r="EDN2"/>
      <c r="EDO2"/>
      <c r="EDP2"/>
      <c r="EDQ2"/>
      <c r="EDR2"/>
      <c r="EDS2"/>
      <c r="EDT2"/>
      <c r="EDU2"/>
      <c r="EDV2"/>
      <c r="EDW2"/>
      <c r="EDX2"/>
      <c r="EDY2"/>
      <c r="EDZ2"/>
      <c r="EEA2"/>
      <c r="EEB2"/>
      <c r="EEC2"/>
      <c r="EED2"/>
      <c r="EEE2"/>
      <c r="EEF2"/>
      <c r="EEG2"/>
      <c r="EEH2"/>
      <c r="EEI2"/>
    </row>
    <row r="3" spans="1:3519">
      <c r="A3" s="324" t="s">
        <v>535</v>
      </c>
    </row>
    <row r="4" spans="1:3519">
      <c r="A4" t="s">
        <v>536</v>
      </c>
    </row>
    <row r="5" spans="1:3519">
      <c r="A5" t="s">
        <v>537</v>
      </c>
    </row>
    <row r="6" spans="1:3519">
      <c r="A6" s="324" t="s">
        <v>538</v>
      </c>
    </row>
    <row r="7" spans="1:3519">
      <c r="A7" t="s">
        <v>539</v>
      </c>
    </row>
    <row r="8" spans="1:3519">
      <c r="A8" t="s">
        <v>540</v>
      </c>
    </row>
    <row r="9" spans="1:3519">
      <c r="A9" t="s">
        <v>541</v>
      </c>
    </row>
    <row r="10" spans="1:3519">
      <c r="A10" t="s">
        <v>542</v>
      </c>
    </row>
    <row r="11" spans="1:3519">
      <c r="A11" t="s">
        <v>543</v>
      </c>
    </row>
    <row r="12" spans="1:3519">
      <c r="A12" t="s">
        <v>544</v>
      </c>
    </row>
    <row r="13" spans="1:3519">
      <c r="A13" t="s">
        <v>545</v>
      </c>
    </row>
    <row r="14" spans="1:3519">
      <c r="A14" t="s">
        <v>546</v>
      </c>
    </row>
    <row r="15" spans="1:3519">
      <c r="A15" t="s">
        <v>547</v>
      </c>
    </row>
    <row r="16" spans="1:3519">
      <c r="A16" t="s">
        <v>548</v>
      </c>
    </row>
    <row r="17" spans="1:1">
      <c r="A17" t="s">
        <v>549</v>
      </c>
    </row>
    <row r="18" spans="1:1">
      <c r="A18" t="s">
        <v>550</v>
      </c>
    </row>
    <row r="19" spans="1:1">
      <c r="A19" t="s">
        <v>551</v>
      </c>
    </row>
    <row r="20" spans="1:1">
      <c r="A20" t="s">
        <v>552</v>
      </c>
    </row>
    <row r="21" spans="1:1">
      <c r="A21" t="s">
        <v>553</v>
      </c>
    </row>
    <row r="22" spans="1:1">
      <c r="A22" t="s">
        <v>554</v>
      </c>
    </row>
    <row r="23" spans="1:1">
      <c r="A23" t="s">
        <v>555</v>
      </c>
    </row>
    <row r="24" spans="1:1">
      <c r="A24" t="s">
        <v>556</v>
      </c>
    </row>
    <row r="25" spans="1:1">
      <c r="A25" t="s">
        <v>557</v>
      </c>
    </row>
    <row r="26" spans="1:1">
      <c r="A26" t="s">
        <v>558</v>
      </c>
    </row>
    <row r="27" spans="1:1">
      <c r="A27" t="s">
        <v>559</v>
      </c>
    </row>
    <row r="28" spans="1:1">
      <c r="A28" t="s">
        <v>560</v>
      </c>
    </row>
    <row r="29" spans="1:1">
      <c r="A29" t="s">
        <v>561</v>
      </c>
    </row>
    <row r="30" spans="1:1">
      <c r="A30" t="s">
        <v>562</v>
      </c>
    </row>
    <row r="31" spans="1:1">
      <c r="A31" t="s">
        <v>563</v>
      </c>
    </row>
    <row r="32" spans="1:1">
      <c r="A32" t="s">
        <v>564</v>
      </c>
    </row>
    <row r="33" spans="1:1">
      <c r="A33" t="s">
        <v>565</v>
      </c>
    </row>
    <row r="34" spans="1:1">
      <c r="A34" t="s">
        <v>566</v>
      </c>
    </row>
    <row r="35" spans="1:1">
      <c r="A35" t="s">
        <v>567</v>
      </c>
    </row>
    <row r="36" spans="1:1">
      <c r="A36" t="s">
        <v>568</v>
      </c>
    </row>
    <row r="37" spans="1:1">
      <c r="A37" t="s">
        <v>569</v>
      </c>
    </row>
    <row r="38" spans="1:1">
      <c r="A38" t="s">
        <v>570</v>
      </c>
    </row>
    <row r="39" spans="1:1">
      <c r="A39" t="s">
        <v>571</v>
      </c>
    </row>
    <row r="40" spans="1:1">
      <c r="A40" t="s">
        <v>572</v>
      </c>
    </row>
    <row r="41" spans="1:1">
      <c r="A41" t="s">
        <v>573</v>
      </c>
    </row>
    <row r="42" spans="1:1">
      <c r="A42" t="s">
        <v>574</v>
      </c>
    </row>
    <row r="43" spans="1:1">
      <c r="A43" t="s">
        <v>575</v>
      </c>
    </row>
    <row r="44" spans="1:1">
      <c r="A44" t="s">
        <v>576</v>
      </c>
    </row>
    <row r="45" spans="1:1">
      <c r="A45" t="s">
        <v>577</v>
      </c>
    </row>
    <row r="46" spans="1:1">
      <c r="A46" t="s">
        <v>578</v>
      </c>
    </row>
    <row r="47" spans="1:1">
      <c r="A47" t="s">
        <v>579</v>
      </c>
    </row>
    <row r="48" spans="1:1">
      <c r="A48" t="s">
        <v>580</v>
      </c>
    </row>
    <row r="49" spans="1:1">
      <c r="A49" t="s">
        <v>581</v>
      </c>
    </row>
    <row r="50" spans="1:1">
      <c r="A50" t="s">
        <v>582</v>
      </c>
    </row>
    <row r="51" spans="1:1">
      <c r="A51" s="324" t="s">
        <v>583</v>
      </c>
    </row>
    <row r="52" spans="1:1">
      <c r="A52" t="s">
        <v>584</v>
      </c>
    </row>
    <row r="53" spans="1:1">
      <c r="A53" t="s">
        <v>585</v>
      </c>
    </row>
    <row r="54" spans="1:1">
      <c r="A54" t="s">
        <v>586</v>
      </c>
    </row>
    <row r="55" spans="1:1">
      <c r="A55" t="s">
        <v>587</v>
      </c>
    </row>
    <row r="56" spans="1:1">
      <c r="A56" t="s">
        <v>588</v>
      </c>
    </row>
    <row r="57" spans="1:1">
      <c r="A57" t="s">
        <v>589</v>
      </c>
    </row>
    <row r="58" spans="1:1">
      <c r="A58" t="s">
        <v>590</v>
      </c>
    </row>
    <row r="59" spans="1:1">
      <c r="A59" t="s">
        <v>591</v>
      </c>
    </row>
    <row r="60" spans="1:1">
      <c r="A60" t="s">
        <v>592</v>
      </c>
    </row>
    <row r="61" spans="1:1">
      <c r="A61" t="s">
        <v>593</v>
      </c>
    </row>
    <row r="62" spans="1:1">
      <c r="A62" t="s">
        <v>594</v>
      </c>
    </row>
    <row r="63" spans="1:1">
      <c r="A63" t="s">
        <v>595</v>
      </c>
    </row>
    <row r="64" spans="1:1">
      <c r="A64" t="s">
        <v>596</v>
      </c>
    </row>
    <row r="65" spans="1:1">
      <c r="A65" t="s">
        <v>597</v>
      </c>
    </row>
    <row r="66" spans="1:1">
      <c r="A66" t="s">
        <v>598</v>
      </c>
    </row>
    <row r="67" spans="1:1">
      <c r="A67" t="s">
        <v>599</v>
      </c>
    </row>
    <row r="68" spans="1:1">
      <c r="A68" t="s">
        <v>600</v>
      </c>
    </row>
    <row r="69" spans="1:1">
      <c r="A69" t="s">
        <v>601</v>
      </c>
    </row>
    <row r="70" spans="1:1">
      <c r="A70" t="s">
        <v>602</v>
      </c>
    </row>
    <row r="71" spans="1:1">
      <c r="A71" t="s">
        <v>603</v>
      </c>
    </row>
    <row r="72" spans="1:1">
      <c r="A72" t="s">
        <v>604</v>
      </c>
    </row>
    <row r="73" spans="1:1">
      <c r="A73" t="s">
        <v>605</v>
      </c>
    </row>
    <row r="74" spans="1:1">
      <c r="A74" t="s">
        <v>606</v>
      </c>
    </row>
    <row r="75" spans="1:1">
      <c r="A75" t="s">
        <v>607</v>
      </c>
    </row>
    <row r="76" spans="1:1">
      <c r="A76" t="s">
        <v>608</v>
      </c>
    </row>
    <row r="77" spans="1:1">
      <c r="A77" t="s">
        <v>609</v>
      </c>
    </row>
    <row r="78" spans="1:1">
      <c r="A78" t="s">
        <v>610</v>
      </c>
    </row>
    <row r="79" spans="1:1">
      <c r="A79" t="s">
        <v>611</v>
      </c>
    </row>
    <row r="80" spans="1:1">
      <c r="A80" t="s">
        <v>612</v>
      </c>
    </row>
    <row r="81" spans="1:1">
      <c r="A81" t="s">
        <v>613</v>
      </c>
    </row>
    <row r="82" spans="1:1">
      <c r="A82" t="s">
        <v>614</v>
      </c>
    </row>
    <row r="83" spans="1:1">
      <c r="A83" t="s">
        <v>615</v>
      </c>
    </row>
    <row r="84" spans="1:1">
      <c r="A84" t="s">
        <v>616</v>
      </c>
    </row>
    <row r="85" spans="1:1">
      <c r="A85" t="s">
        <v>617</v>
      </c>
    </row>
    <row r="86" spans="1:1">
      <c r="A86" t="s">
        <v>618</v>
      </c>
    </row>
    <row r="87" spans="1:1">
      <c r="A87" t="s">
        <v>619</v>
      </c>
    </row>
    <row r="88" spans="1:1">
      <c r="A88" t="s">
        <v>620</v>
      </c>
    </row>
    <row r="89" spans="1:1">
      <c r="A89" t="s">
        <v>621</v>
      </c>
    </row>
    <row r="90" spans="1:1">
      <c r="A90" t="s">
        <v>622</v>
      </c>
    </row>
    <row r="91" spans="1:1">
      <c r="A91" t="s">
        <v>623</v>
      </c>
    </row>
    <row r="92" spans="1:1">
      <c r="A92" t="s">
        <v>624</v>
      </c>
    </row>
    <row r="93" spans="1:1">
      <c r="A93" t="s">
        <v>625</v>
      </c>
    </row>
    <row r="94" spans="1:1">
      <c r="A94" t="s">
        <v>626</v>
      </c>
    </row>
    <row r="95" spans="1:1">
      <c r="A95" t="s">
        <v>627</v>
      </c>
    </row>
    <row r="96" spans="1:1">
      <c r="A96" t="s">
        <v>628</v>
      </c>
    </row>
    <row r="97" spans="1:1">
      <c r="A97" t="s">
        <v>629</v>
      </c>
    </row>
    <row r="98" spans="1:1">
      <c r="A98" t="s">
        <v>630</v>
      </c>
    </row>
    <row r="99" spans="1:1">
      <c r="A99" t="s">
        <v>631</v>
      </c>
    </row>
    <row r="100" spans="1:1">
      <c r="A100" t="s">
        <v>632</v>
      </c>
    </row>
    <row r="101" spans="1:1">
      <c r="A101" t="s">
        <v>633</v>
      </c>
    </row>
    <row r="102" spans="1:1">
      <c r="A102" t="s">
        <v>634</v>
      </c>
    </row>
    <row r="103" spans="1:1">
      <c r="A103" t="s">
        <v>635</v>
      </c>
    </row>
    <row r="104" spans="1:1">
      <c r="A104" t="s">
        <v>636</v>
      </c>
    </row>
    <row r="105" spans="1:1">
      <c r="A105" t="s">
        <v>637</v>
      </c>
    </row>
    <row r="106" spans="1:1">
      <c r="A106" t="s">
        <v>638</v>
      </c>
    </row>
    <row r="107" spans="1:1">
      <c r="A107" t="s">
        <v>639</v>
      </c>
    </row>
    <row r="108" spans="1:1">
      <c r="A108" t="s">
        <v>640</v>
      </c>
    </row>
    <row r="109" spans="1:1">
      <c r="A109" t="s">
        <v>641</v>
      </c>
    </row>
    <row r="110" spans="1:1">
      <c r="A110" t="s">
        <v>642</v>
      </c>
    </row>
    <row r="111" spans="1:1">
      <c r="A111" t="s">
        <v>643</v>
      </c>
    </row>
    <row r="112" spans="1:1">
      <c r="A112" t="s">
        <v>644</v>
      </c>
    </row>
    <row r="113" spans="1:1">
      <c r="A113" t="s">
        <v>645</v>
      </c>
    </row>
    <row r="114" spans="1:1">
      <c r="A114" t="s">
        <v>646</v>
      </c>
    </row>
    <row r="115" spans="1:1">
      <c r="A115" t="s">
        <v>647</v>
      </c>
    </row>
    <row r="116" spans="1:1">
      <c r="A116" t="s">
        <v>648</v>
      </c>
    </row>
    <row r="117" spans="1:1">
      <c r="A117" t="s">
        <v>649</v>
      </c>
    </row>
    <row r="118" spans="1:1">
      <c r="A118" t="s">
        <v>650</v>
      </c>
    </row>
    <row r="119" spans="1:1">
      <c r="A119" t="s">
        <v>651</v>
      </c>
    </row>
    <row r="120" spans="1:1">
      <c r="A120" t="s">
        <v>652</v>
      </c>
    </row>
    <row r="121" spans="1:1">
      <c r="A121" t="s">
        <v>653</v>
      </c>
    </row>
    <row r="122" spans="1:1">
      <c r="A122" t="s">
        <v>654</v>
      </c>
    </row>
    <row r="123" spans="1:1">
      <c r="A123" t="s">
        <v>655</v>
      </c>
    </row>
    <row r="124" spans="1:1">
      <c r="A124" t="s">
        <v>656</v>
      </c>
    </row>
    <row r="125" spans="1:1">
      <c r="A125" t="s">
        <v>657</v>
      </c>
    </row>
    <row r="126" spans="1:1">
      <c r="A126" t="s">
        <v>658</v>
      </c>
    </row>
    <row r="127" spans="1:1">
      <c r="A127" t="s">
        <v>659</v>
      </c>
    </row>
    <row r="128" spans="1:1">
      <c r="A128" t="s">
        <v>660</v>
      </c>
    </row>
    <row r="129" spans="1:1">
      <c r="A129" t="s">
        <v>661</v>
      </c>
    </row>
    <row r="130" spans="1:1">
      <c r="A130" t="s">
        <v>662</v>
      </c>
    </row>
    <row r="131" spans="1:1">
      <c r="A131" t="s">
        <v>663</v>
      </c>
    </row>
    <row r="132" spans="1:1">
      <c r="A132" t="s">
        <v>664</v>
      </c>
    </row>
    <row r="133" spans="1:1">
      <c r="A133" t="s">
        <v>665</v>
      </c>
    </row>
    <row r="134" spans="1:1">
      <c r="A134" t="s">
        <v>666</v>
      </c>
    </row>
    <row r="135" spans="1:1">
      <c r="A135" t="s">
        <v>667</v>
      </c>
    </row>
    <row r="136" spans="1:1">
      <c r="A136" t="s">
        <v>668</v>
      </c>
    </row>
    <row r="137" spans="1:1">
      <c r="A137" t="s">
        <v>669</v>
      </c>
    </row>
    <row r="138" spans="1:1">
      <c r="A138" t="s">
        <v>670</v>
      </c>
    </row>
    <row r="139" spans="1:1">
      <c r="A139" t="s">
        <v>671</v>
      </c>
    </row>
    <row r="140" spans="1:1">
      <c r="A140" t="s">
        <v>672</v>
      </c>
    </row>
    <row r="141" spans="1:1">
      <c r="A141" t="s">
        <v>673</v>
      </c>
    </row>
    <row r="142" spans="1:1">
      <c r="A142" t="s">
        <v>674</v>
      </c>
    </row>
    <row r="143" spans="1:1">
      <c r="A143" t="s">
        <v>675</v>
      </c>
    </row>
    <row r="144" spans="1:1">
      <c r="A144" t="s">
        <v>676</v>
      </c>
    </row>
    <row r="145" spans="1:1">
      <c r="A145" t="s">
        <v>677</v>
      </c>
    </row>
    <row r="146" spans="1:1">
      <c r="A146" t="s">
        <v>678</v>
      </c>
    </row>
    <row r="147" spans="1:1">
      <c r="A147" t="s">
        <v>679</v>
      </c>
    </row>
    <row r="148" spans="1:1">
      <c r="A148" t="s">
        <v>680</v>
      </c>
    </row>
    <row r="149" spans="1:1">
      <c r="A149" t="s">
        <v>681</v>
      </c>
    </row>
    <row r="150" spans="1:1">
      <c r="A150" t="s">
        <v>682</v>
      </c>
    </row>
    <row r="151" spans="1:1">
      <c r="A151" t="s">
        <v>683</v>
      </c>
    </row>
    <row r="152" spans="1:1">
      <c r="A152" t="s">
        <v>684</v>
      </c>
    </row>
    <row r="153" spans="1:1">
      <c r="A153" t="s">
        <v>685</v>
      </c>
    </row>
    <row r="154" spans="1:1">
      <c r="A154" t="s">
        <v>686</v>
      </c>
    </row>
    <row r="155" spans="1:1">
      <c r="A155" t="s">
        <v>687</v>
      </c>
    </row>
    <row r="156" spans="1:1">
      <c r="A156" t="s">
        <v>688</v>
      </c>
    </row>
    <row r="157" spans="1:1">
      <c r="A157" t="s">
        <v>689</v>
      </c>
    </row>
    <row r="158" spans="1:1">
      <c r="A158" t="s">
        <v>690</v>
      </c>
    </row>
    <row r="159" spans="1:1">
      <c r="A159" t="s">
        <v>691</v>
      </c>
    </row>
    <row r="160" spans="1:1">
      <c r="A160" t="s">
        <v>692</v>
      </c>
    </row>
    <row r="161" spans="1:1">
      <c r="A161" t="s">
        <v>693</v>
      </c>
    </row>
    <row r="162" spans="1:1">
      <c r="A162" t="s">
        <v>694</v>
      </c>
    </row>
    <row r="163" spans="1:1">
      <c r="A163" t="s">
        <v>695</v>
      </c>
    </row>
    <row r="164" spans="1:1">
      <c r="A164" t="s">
        <v>696</v>
      </c>
    </row>
    <row r="165" spans="1:1">
      <c r="A165" t="s">
        <v>697</v>
      </c>
    </row>
    <row r="166" spans="1:1">
      <c r="A166" t="s">
        <v>698</v>
      </c>
    </row>
    <row r="167" spans="1:1">
      <c r="A167" t="s">
        <v>699</v>
      </c>
    </row>
    <row r="168" spans="1:1">
      <c r="A168" t="s">
        <v>700</v>
      </c>
    </row>
    <row r="169" spans="1:1">
      <c r="A169" t="s">
        <v>701</v>
      </c>
    </row>
    <row r="170" spans="1:1">
      <c r="A170" t="s">
        <v>702</v>
      </c>
    </row>
    <row r="171" spans="1:1">
      <c r="A171" t="s">
        <v>703</v>
      </c>
    </row>
    <row r="172" spans="1:1">
      <c r="A172" t="s">
        <v>704</v>
      </c>
    </row>
    <row r="173" spans="1:1">
      <c r="A173" t="s">
        <v>705</v>
      </c>
    </row>
    <row r="174" spans="1:1">
      <c r="A174" t="s">
        <v>706</v>
      </c>
    </row>
    <row r="175" spans="1:1">
      <c r="A175" t="s">
        <v>707</v>
      </c>
    </row>
    <row r="176" spans="1:1">
      <c r="A176" t="s">
        <v>708</v>
      </c>
    </row>
    <row r="177" spans="1:1">
      <c r="A177" t="s">
        <v>709</v>
      </c>
    </row>
    <row r="178" spans="1:1">
      <c r="A178" t="s">
        <v>710</v>
      </c>
    </row>
    <row r="179" spans="1:1">
      <c r="A179" t="s">
        <v>711</v>
      </c>
    </row>
    <row r="180" spans="1:1">
      <c r="A180" t="s">
        <v>712</v>
      </c>
    </row>
    <row r="181" spans="1:1">
      <c r="A181" t="s">
        <v>713</v>
      </c>
    </row>
    <row r="182" spans="1:1">
      <c r="A182" t="s">
        <v>714</v>
      </c>
    </row>
    <row r="183" spans="1:1">
      <c r="A183" t="s">
        <v>715</v>
      </c>
    </row>
    <row r="184" spans="1:1">
      <c r="A184" t="s">
        <v>716</v>
      </c>
    </row>
    <row r="185" spans="1:1">
      <c r="A185" t="s">
        <v>717</v>
      </c>
    </row>
    <row r="186" spans="1:1">
      <c r="A186" t="s">
        <v>718</v>
      </c>
    </row>
    <row r="187" spans="1:1">
      <c r="A187" t="s">
        <v>719</v>
      </c>
    </row>
    <row r="188" spans="1:1">
      <c r="A188" t="s">
        <v>720</v>
      </c>
    </row>
    <row r="189" spans="1:1">
      <c r="A189" t="s">
        <v>721</v>
      </c>
    </row>
    <row r="190" spans="1:1">
      <c r="A190" t="s">
        <v>722</v>
      </c>
    </row>
    <row r="191" spans="1:1">
      <c r="A191" t="s">
        <v>723</v>
      </c>
    </row>
    <row r="192" spans="1:1">
      <c r="A192" t="s">
        <v>724</v>
      </c>
    </row>
    <row r="193" spans="1:1">
      <c r="A193" t="s">
        <v>725</v>
      </c>
    </row>
    <row r="194" spans="1:1">
      <c r="A194" t="s">
        <v>726</v>
      </c>
    </row>
    <row r="195" spans="1:1">
      <c r="A195" t="s">
        <v>727</v>
      </c>
    </row>
    <row r="196" spans="1:1">
      <c r="A196" t="s">
        <v>728</v>
      </c>
    </row>
    <row r="197" spans="1:1">
      <c r="A197" t="s">
        <v>729</v>
      </c>
    </row>
    <row r="198" spans="1:1">
      <c r="A198" t="s">
        <v>730</v>
      </c>
    </row>
    <row r="199" spans="1:1">
      <c r="A199" t="s">
        <v>731</v>
      </c>
    </row>
    <row r="200" spans="1:1">
      <c r="A200" t="s">
        <v>732</v>
      </c>
    </row>
    <row r="201" spans="1:1">
      <c r="A201" t="s">
        <v>733</v>
      </c>
    </row>
    <row r="202" spans="1:1">
      <c r="A202" t="s">
        <v>734</v>
      </c>
    </row>
    <row r="203" spans="1:1">
      <c r="A203" t="s">
        <v>735</v>
      </c>
    </row>
    <row r="204" spans="1:1">
      <c r="A204" t="s">
        <v>736</v>
      </c>
    </row>
    <row r="205" spans="1:1">
      <c r="A205" t="s">
        <v>737</v>
      </c>
    </row>
    <row r="206" spans="1:1">
      <c r="A206" t="s">
        <v>738</v>
      </c>
    </row>
    <row r="207" spans="1:1">
      <c r="A207" t="s">
        <v>739</v>
      </c>
    </row>
    <row r="208" spans="1:1">
      <c r="A208" t="s">
        <v>740</v>
      </c>
    </row>
    <row r="209" spans="1:1">
      <c r="A209" t="s">
        <v>741</v>
      </c>
    </row>
    <row r="210" spans="1:1">
      <c r="A210" t="s">
        <v>742</v>
      </c>
    </row>
    <row r="211" spans="1:1">
      <c r="A211" t="s">
        <v>743</v>
      </c>
    </row>
    <row r="212" spans="1:1">
      <c r="A212" t="s">
        <v>744</v>
      </c>
    </row>
    <row r="213" spans="1:1">
      <c r="A213" t="s">
        <v>745</v>
      </c>
    </row>
    <row r="214" spans="1:1">
      <c r="A214" t="s">
        <v>746</v>
      </c>
    </row>
    <row r="215" spans="1:1">
      <c r="A215" t="s">
        <v>747</v>
      </c>
    </row>
    <row r="216" spans="1:1">
      <c r="A216" t="s">
        <v>748</v>
      </c>
    </row>
    <row r="217" spans="1:1">
      <c r="A217" t="s">
        <v>749</v>
      </c>
    </row>
    <row r="218" spans="1:1">
      <c r="A218" t="s">
        <v>750</v>
      </c>
    </row>
    <row r="219" spans="1:1">
      <c r="A219" t="s">
        <v>751</v>
      </c>
    </row>
    <row r="220" spans="1:1">
      <c r="A220" t="s">
        <v>752</v>
      </c>
    </row>
    <row r="221" spans="1:1">
      <c r="A221" t="s">
        <v>753</v>
      </c>
    </row>
    <row r="222" spans="1:1">
      <c r="A222" t="s">
        <v>754</v>
      </c>
    </row>
    <row r="223" spans="1:1">
      <c r="A223" t="s">
        <v>755</v>
      </c>
    </row>
    <row r="224" spans="1:1">
      <c r="A224" t="s">
        <v>756</v>
      </c>
    </row>
    <row r="225" spans="1:1">
      <c r="A225" t="s">
        <v>757</v>
      </c>
    </row>
    <row r="226" spans="1:1">
      <c r="A226" t="s">
        <v>758</v>
      </c>
    </row>
    <row r="227" spans="1:1">
      <c r="A227" t="s">
        <v>759</v>
      </c>
    </row>
    <row r="228" spans="1:1">
      <c r="A228" t="s">
        <v>760</v>
      </c>
    </row>
    <row r="229" spans="1:1">
      <c r="A229" t="s">
        <v>761</v>
      </c>
    </row>
    <row r="230" spans="1:1">
      <c r="A230" t="s">
        <v>762</v>
      </c>
    </row>
    <row r="231" spans="1:1">
      <c r="A231" t="s">
        <v>763</v>
      </c>
    </row>
    <row r="232" spans="1:1">
      <c r="A232" t="s">
        <v>764</v>
      </c>
    </row>
    <row r="233" spans="1:1">
      <c r="A233" t="s">
        <v>765</v>
      </c>
    </row>
    <row r="234" spans="1:1">
      <c r="A234" t="s">
        <v>766</v>
      </c>
    </row>
    <row r="235" spans="1:1">
      <c r="A235" t="s">
        <v>767</v>
      </c>
    </row>
    <row r="236" spans="1:1">
      <c r="A236" t="s">
        <v>768</v>
      </c>
    </row>
    <row r="237" spans="1:1">
      <c r="A237" t="s">
        <v>769</v>
      </c>
    </row>
    <row r="238" spans="1:1">
      <c r="A238" t="s">
        <v>770</v>
      </c>
    </row>
    <row r="239" spans="1:1">
      <c r="A239" t="s">
        <v>771</v>
      </c>
    </row>
    <row r="240" spans="1:1">
      <c r="A240" t="s">
        <v>772</v>
      </c>
    </row>
    <row r="241" spans="1:1">
      <c r="A241" t="s">
        <v>773</v>
      </c>
    </row>
    <row r="242" spans="1:1">
      <c r="A242" t="s">
        <v>774</v>
      </c>
    </row>
    <row r="243" spans="1:1">
      <c r="A243" t="s">
        <v>775</v>
      </c>
    </row>
    <row r="244" spans="1:1">
      <c r="A244" t="s">
        <v>776</v>
      </c>
    </row>
    <row r="245" spans="1:1">
      <c r="A245" t="s">
        <v>777</v>
      </c>
    </row>
    <row r="246" spans="1:1">
      <c r="A246" t="s">
        <v>778</v>
      </c>
    </row>
    <row r="247" spans="1:1">
      <c r="A247" t="s">
        <v>779</v>
      </c>
    </row>
    <row r="248" spans="1:1">
      <c r="A248" t="s">
        <v>780</v>
      </c>
    </row>
    <row r="249" spans="1:1">
      <c r="A249" t="s">
        <v>781</v>
      </c>
    </row>
    <row r="250" spans="1:1">
      <c r="A250" t="s">
        <v>782</v>
      </c>
    </row>
    <row r="251" spans="1:1">
      <c r="A251" t="s">
        <v>783</v>
      </c>
    </row>
    <row r="252" spans="1:1">
      <c r="A252" t="s">
        <v>784</v>
      </c>
    </row>
    <row r="253" spans="1:1">
      <c r="A253" t="s">
        <v>785</v>
      </c>
    </row>
    <row r="254" spans="1:1">
      <c r="A254" t="s">
        <v>786</v>
      </c>
    </row>
    <row r="255" spans="1:1">
      <c r="A255" t="s">
        <v>787</v>
      </c>
    </row>
    <row r="256" spans="1:1">
      <c r="A256" t="s">
        <v>788</v>
      </c>
    </row>
    <row r="257" spans="1:1">
      <c r="A257" t="s">
        <v>789</v>
      </c>
    </row>
    <row r="258" spans="1:1">
      <c r="A258" t="s">
        <v>790</v>
      </c>
    </row>
    <row r="259" spans="1:1">
      <c r="A259" t="s">
        <v>791</v>
      </c>
    </row>
    <row r="260" spans="1:1">
      <c r="A260" t="s">
        <v>792</v>
      </c>
    </row>
    <row r="261" spans="1:1">
      <c r="A261" t="s">
        <v>793</v>
      </c>
    </row>
    <row r="262" spans="1:1">
      <c r="A262" t="s">
        <v>794</v>
      </c>
    </row>
    <row r="263" spans="1:1">
      <c r="A263" t="s">
        <v>795</v>
      </c>
    </row>
    <row r="264" spans="1:1">
      <c r="A264" t="s">
        <v>796</v>
      </c>
    </row>
    <row r="265" spans="1:1">
      <c r="A265" t="s">
        <v>797</v>
      </c>
    </row>
    <row r="266" spans="1:1">
      <c r="A266" t="s">
        <v>798</v>
      </c>
    </row>
    <row r="267" spans="1:1">
      <c r="A267" t="s">
        <v>799</v>
      </c>
    </row>
    <row r="268" spans="1:1">
      <c r="A268" t="s">
        <v>800</v>
      </c>
    </row>
    <row r="269" spans="1:1">
      <c r="A269" t="s">
        <v>801</v>
      </c>
    </row>
    <row r="270" spans="1:1">
      <c r="A270" t="s">
        <v>802</v>
      </c>
    </row>
    <row r="271" spans="1:1">
      <c r="A271" t="s">
        <v>803</v>
      </c>
    </row>
    <row r="272" spans="1:1">
      <c r="A272" t="s">
        <v>804</v>
      </c>
    </row>
    <row r="273" spans="1:1">
      <c r="A273" t="s">
        <v>805</v>
      </c>
    </row>
    <row r="274" spans="1:1">
      <c r="A274" t="s">
        <v>806</v>
      </c>
    </row>
    <row r="275" spans="1:1">
      <c r="A275" t="s">
        <v>807</v>
      </c>
    </row>
    <row r="276" spans="1:1">
      <c r="A276" t="s">
        <v>808</v>
      </c>
    </row>
    <row r="277" spans="1:1">
      <c r="A277" t="s">
        <v>809</v>
      </c>
    </row>
    <row r="278" spans="1:1">
      <c r="A278" t="s">
        <v>810</v>
      </c>
    </row>
    <row r="279" spans="1:1">
      <c r="A279" t="s">
        <v>811</v>
      </c>
    </row>
    <row r="280" spans="1:1">
      <c r="A280" t="s">
        <v>812</v>
      </c>
    </row>
    <row r="281" spans="1:1">
      <c r="A281" t="s">
        <v>813</v>
      </c>
    </row>
    <row r="282" spans="1:1">
      <c r="A282" t="s">
        <v>814</v>
      </c>
    </row>
    <row r="283" spans="1:1">
      <c r="A283" t="s">
        <v>815</v>
      </c>
    </row>
    <row r="284" spans="1:1">
      <c r="A284" t="s">
        <v>816</v>
      </c>
    </row>
    <row r="285" spans="1:1">
      <c r="A285" t="s">
        <v>817</v>
      </c>
    </row>
    <row r="286" spans="1:1">
      <c r="A286" t="s">
        <v>818</v>
      </c>
    </row>
    <row r="287" spans="1:1">
      <c r="A287" t="s">
        <v>819</v>
      </c>
    </row>
    <row r="288" spans="1:1">
      <c r="A288" t="s">
        <v>820</v>
      </c>
    </row>
    <row r="289" spans="1:1">
      <c r="A289" t="s">
        <v>821</v>
      </c>
    </row>
    <row r="290" spans="1:1">
      <c r="A290" t="s">
        <v>822</v>
      </c>
    </row>
    <row r="291" spans="1:1">
      <c r="A291" t="s">
        <v>823</v>
      </c>
    </row>
    <row r="292" spans="1:1">
      <c r="A292" t="s">
        <v>824</v>
      </c>
    </row>
    <row r="293" spans="1:1">
      <c r="A293" t="s">
        <v>825</v>
      </c>
    </row>
    <row r="294" spans="1:1">
      <c r="A294" t="s">
        <v>826</v>
      </c>
    </row>
    <row r="295" spans="1:1">
      <c r="A295" t="s">
        <v>827</v>
      </c>
    </row>
    <row r="296" spans="1:1">
      <c r="A296" t="s">
        <v>828</v>
      </c>
    </row>
    <row r="297" spans="1:1">
      <c r="A297" t="s">
        <v>829</v>
      </c>
    </row>
    <row r="298" spans="1:1">
      <c r="A298" t="s">
        <v>830</v>
      </c>
    </row>
    <row r="299" spans="1:1">
      <c r="A299" t="s">
        <v>831</v>
      </c>
    </row>
    <row r="300" spans="1:1">
      <c r="A300" t="s">
        <v>832</v>
      </c>
    </row>
    <row r="301" spans="1:1">
      <c r="A301" t="s">
        <v>833</v>
      </c>
    </row>
    <row r="302" spans="1:1">
      <c r="A302" t="s">
        <v>834</v>
      </c>
    </row>
    <row r="303" spans="1:1">
      <c r="A303" t="s">
        <v>835</v>
      </c>
    </row>
    <row r="304" spans="1:1">
      <c r="A304" t="s">
        <v>836</v>
      </c>
    </row>
    <row r="305" spans="1:1">
      <c r="A305" t="s">
        <v>837</v>
      </c>
    </row>
    <row r="306" spans="1:1">
      <c r="A306" t="s">
        <v>838</v>
      </c>
    </row>
    <row r="307" spans="1:1">
      <c r="A307" t="s">
        <v>839</v>
      </c>
    </row>
    <row r="308" spans="1:1">
      <c r="A308" t="s">
        <v>840</v>
      </c>
    </row>
    <row r="309" spans="1:1">
      <c r="A309" t="s">
        <v>841</v>
      </c>
    </row>
    <row r="310" spans="1:1">
      <c r="A310" t="s">
        <v>842</v>
      </c>
    </row>
    <row r="311" spans="1:1">
      <c r="A311" t="s">
        <v>843</v>
      </c>
    </row>
    <row r="312" spans="1:1">
      <c r="A312" t="s">
        <v>844</v>
      </c>
    </row>
    <row r="313" spans="1:1">
      <c r="A313" t="s">
        <v>845</v>
      </c>
    </row>
    <row r="314" spans="1:1">
      <c r="A314" t="s">
        <v>846</v>
      </c>
    </row>
    <row r="315" spans="1:1">
      <c r="A315" t="s">
        <v>847</v>
      </c>
    </row>
    <row r="316" spans="1:1">
      <c r="A316" t="s">
        <v>848</v>
      </c>
    </row>
    <row r="317" spans="1:1">
      <c r="A317" t="s">
        <v>849</v>
      </c>
    </row>
    <row r="318" spans="1:1">
      <c r="A318" t="s">
        <v>850</v>
      </c>
    </row>
    <row r="319" spans="1:1">
      <c r="A319" t="s">
        <v>851</v>
      </c>
    </row>
    <row r="320" spans="1:1">
      <c r="A320" t="s">
        <v>852</v>
      </c>
    </row>
    <row r="321" spans="1:1">
      <c r="A321" t="s">
        <v>853</v>
      </c>
    </row>
    <row r="322" spans="1:1">
      <c r="A322" t="s">
        <v>854</v>
      </c>
    </row>
    <row r="323" spans="1:1">
      <c r="A323" t="s">
        <v>855</v>
      </c>
    </row>
    <row r="324" spans="1:1">
      <c r="A324" t="s">
        <v>856</v>
      </c>
    </row>
    <row r="325" spans="1:1">
      <c r="A325" t="s">
        <v>857</v>
      </c>
    </row>
    <row r="326" spans="1:1">
      <c r="A326" t="s">
        <v>858</v>
      </c>
    </row>
    <row r="327" spans="1:1">
      <c r="A327" t="s">
        <v>859</v>
      </c>
    </row>
    <row r="328" spans="1:1">
      <c r="A328" t="s">
        <v>860</v>
      </c>
    </row>
    <row r="329" spans="1:1">
      <c r="A329" t="s">
        <v>861</v>
      </c>
    </row>
    <row r="330" spans="1:1">
      <c r="A330" t="s">
        <v>862</v>
      </c>
    </row>
    <row r="331" spans="1:1">
      <c r="A331" t="s">
        <v>863</v>
      </c>
    </row>
    <row r="332" spans="1:1">
      <c r="A332" t="s">
        <v>864</v>
      </c>
    </row>
    <row r="333" spans="1:1">
      <c r="A333" t="s">
        <v>865</v>
      </c>
    </row>
    <row r="334" spans="1:1">
      <c r="A334" t="s">
        <v>866</v>
      </c>
    </row>
    <row r="335" spans="1:1">
      <c r="A335" t="s">
        <v>867</v>
      </c>
    </row>
    <row r="336" spans="1:1">
      <c r="A336" t="s">
        <v>868</v>
      </c>
    </row>
    <row r="337" spans="1:1">
      <c r="A337" t="s">
        <v>869</v>
      </c>
    </row>
    <row r="338" spans="1:1">
      <c r="A338" t="s">
        <v>870</v>
      </c>
    </row>
    <row r="339" spans="1:1">
      <c r="A339" t="s">
        <v>871</v>
      </c>
    </row>
    <row r="340" spans="1:1">
      <c r="A340" t="s">
        <v>872</v>
      </c>
    </row>
    <row r="341" spans="1:1">
      <c r="A341" t="s">
        <v>873</v>
      </c>
    </row>
    <row r="342" spans="1:1">
      <c r="A342" t="s">
        <v>874</v>
      </c>
    </row>
    <row r="343" spans="1:1">
      <c r="A343" t="s">
        <v>875</v>
      </c>
    </row>
    <row r="344" spans="1:1">
      <c r="A344" t="s">
        <v>876</v>
      </c>
    </row>
    <row r="345" spans="1:1">
      <c r="A345" t="s">
        <v>877</v>
      </c>
    </row>
    <row r="346" spans="1:1">
      <c r="A346" t="s">
        <v>878</v>
      </c>
    </row>
    <row r="347" spans="1:1">
      <c r="A347" t="s">
        <v>879</v>
      </c>
    </row>
    <row r="348" spans="1:1">
      <c r="A348" t="s">
        <v>880</v>
      </c>
    </row>
    <row r="349" spans="1:1">
      <c r="A349" t="s">
        <v>881</v>
      </c>
    </row>
    <row r="350" spans="1:1">
      <c r="A350" t="s">
        <v>882</v>
      </c>
    </row>
    <row r="351" spans="1:1">
      <c r="A351" t="s">
        <v>883</v>
      </c>
    </row>
    <row r="352" spans="1:1">
      <c r="A352" t="s">
        <v>884</v>
      </c>
    </row>
    <row r="353" spans="1:1">
      <c r="A353" t="s">
        <v>885</v>
      </c>
    </row>
    <row r="354" spans="1:1">
      <c r="A354" t="s">
        <v>886</v>
      </c>
    </row>
    <row r="355" spans="1:1">
      <c r="A355" t="s">
        <v>887</v>
      </c>
    </row>
    <row r="356" spans="1:1">
      <c r="A356" t="s">
        <v>888</v>
      </c>
    </row>
    <row r="357" spans="1:1">
      <c r="A357" t="s">
        <v>889</v>
      </c>
    </row>
    <row r="358" spans="1:1">
      <c r="A358" t="s">
        <v>890</v>
      </c>
    </row>
    <row r="359" spans="1:1">
      <c r="A359" t="s">
        <v>891</v>
      </c>
    </row>
    <row r="360" spans="1:1">
      <c r="A360" t="s">
        <v>892</v>
      </c>
    </row>
    <row r="361" spans="1:1">
      <c r="A361" t="s">
        <v>893</v>
      </c>
    </row>
    <row r="362" spans="1:1">
      <c r="A362" t="s">
        <v>894</v>
      </c>
    </row>
    <row r="363" spans="1:1">
      <c r="A363" t="s">
        <v>895</v>
      </c>
    </row>
    <row r="364" spans="1:1">
      <c r="A364" t="s">
        <v>896</v>
      </c>
    </row>
    <row r="365" spans="1:1">
      <c r="A365" t="s">
        <v>897</v>
      </c>
    </row>
    <row r="366" spans="1:1">
      <c r="A366" t="s">
        <v>898</v>
      </c>
    </row>
    <row r="367" spans="1:1">
      <c r="A367" t="s">
        <v>899</v>
      </c>
    </row>
    <row r="368" spans="1:1">
      <c r="A368" t="s">
        <v>900</v>
      </c>
    </row>
    <row r="369" spans="1:1">
      <c r="A369" t="s">
        <v>901</v>
      </c>
    </row>
    <row r="370" spans="1:1">
      <c r="A370" t="s">
        <v>902</v>
      </c>
    </row>
    <row r="371" spans="1:1">
      <c r="A371" t="s">
        <v>903</v>
      </c>
    </row>
    <row r="372" spans="1:1">
      <c r="A372" t="s">
        <v>904</v>
      </c>
    </row>
    <row r="373" spans="1:1">
      <c r="A373" t="s">
        <v>905</v>
      </c>
    </row>
    <row r="374" spans="1:1">
      <c r="A374" t="s">
        <v>906</v>
      </c>
    </row>
    <row r="375" spans="1:1">
      <c r="A375" t="s">
        <v>907</v>
      </c>
    </row>
    <row r="376" spans="1:1">
      <c r="A376" t="s">
        <v>908</v>
      </c>
    </row>
    <row r="377" spans="1:1">
      <c r="A377" t="s">
        <v>909</v>
      </c>
    </row>
    <row r="378" spans="1:1">
      <c r="A378" t="s">
        <v>910</v>
      </c>
    </row>
    <row r="379" spans="1:1">
      <c r="A379" t="s">
        <v>911</v>
      </c>
    </row>
    <row r="380" spans="1:1">
      <c r="A380" t="s">
        <v>912</v>
      </c>
    </row>
    <row r="381" spans="1:1">
      <c r="A381" t="s">
        <v>913</v>
      </c>
    </row>
    <row r="382" spans="1:1">
      <c r="A382" t="s">
        <v>914</v>
      </c>
    </row>
    <row r="383" spans="1:1">
      <c r="A383" t="s">
        <v>915</v>
      </c>
    </row>
    <row r="384" spans="1:1">
      <c r="A384" t="s">
        <v>916</v>
      </c>
    </row>
    <row r="385" spans="1:1">
      <c r="A385" t="s">
        <v>917</v>
      </c>
    </row>
    <row r="386" spans="1:1">
      <c r="A386" t="s">
        <v>918</v>
      </c>
    </row>
    <row r="387" spans="1:1">
      <c r="A387" t="s">
        <v>919</v>
      </c>
    </row>
    <row r="388" spans="1:1">
      <c r="A388" t="s">
        <v>920</v>
      </c>
    </row>
    <row r="389" spans="1:1">
      <c r="A389" t="s">
        <v>921</v>
      </c>
    </row>
    <row r="390" spans="1:1">
      <c r="A390" t="s">
        <v>922</v>
      </c>
    </row>
    <row r="391" spans="1:1">
      <c r="A391" t="s">
        <v>923</v>
      </c>
    </row>
    <row r="392" spans="1:1">
      <c r="A392" t="s">
        <v>924</v>
      </c>
    </row>
    <row r="393" spans="1:1">
      <c r="A393" t="s">
        <v>925</v>
      </c>
    </row>
    <row r="394" spans="1:1">
      <c r="A394" t="s">
        <v>926</v>
      </c>
    </row>
    <row r="395" spans="1:1">
      <c r="A395" t="s">
        <v>927</v>
      </c>
    </row>
    <row r="396" spans="1:1">
      <c r="A396" t="s">
        <v>928</v>
      </c>
    </row>
    <row r="397" spans="1:1">
      <c r="A397" t="s">
        <v>929</v>
      </c>
    </row>
    <row r="398" spans="1:1">
      <c r="A398" t="s">
        <v>930</v>
      </c>
    </row>
    <row r="399" spans="1:1">
      <c r="A399" t="s">
        <v>931</v>
      </c>
    </row>
    <row r="400" spans="1:1">
      <c r="A400" t="s">
        <v>932</v>
      </c>
    </row>
    <row r="401" spans="1:1">
      <c r="A401" t="s">
        <v>933</v>
      </c>
    </row>
    <row r="402" spans="1:1">
      <c r="A402" t="s">
        <v>934</v>
      </c>
    </row>
    <row r="403" spans="1:1">
      <c r="A403" t="s">
        <v>935</v>
      </c>
    </row>
    <row r="404" spans="1:1">
      <c r="A404" t="s">
        <v>936</v>
      </c>
    </row>
    <row r="405" spans="1:1">
      <c r="A405" t="s">
        <v>937</v>
      </c>
    </row>
    <row r="406" spans="1:1">
      <c r="A406" t="s">
        <v>938</v>
      </c>
    </row>
    <row r="407" spans="1:1">
      <c r="A407" t="s">
        <v>939</v>
      </c>
    </row>
    <row r="408" spans="1:1">
      <c r="A408" t="s">
        <v>940</v>
      </c>
    </row>
    <row r="409" spans="1:1">
      <c r="A409" t="s">
        <v>941</v>
      </c>
    </row>
    <row r="410" spans="1:1">
      <c r="A410" t="s">
        <v>942</v>
      </c>
    </row>
    <row r="411" spans="1:1">
      <c r="A411" t="s">
        <v>943</v>
      </c>
    </row>
    <row r="412" spans="1:1">
      <c r="A412" t="s">
        <v>944</v>
      </c>
    </row>
    <row r="413" spans="1:1">
      <c r="A413" t="s">
        <v>945</v>
      </c>
    </row>
    <row r="414" spans="1:1">
      <c r="A414" t="s">
        <v>946</v>
      </c>
    </row>
    <row r="415" spans="1:1">
      <c r="A415" t="s">
        <v>947</v>
      </c>
    </row>
    <row r="416" spans="1:1">
      <c r="A416" t="s">
        <v>948</v>
      </c>
    </row>
    <row r="417" spans="1:1">
      <c r="A417" t="s">
        <v>949</v>
      </c>
    </row>
    <row r="418" spans="1:1">
      <c r="A418" t="s">
        <v>950</v>
      </c>
    </row>
    <row r="419" spans="1:1">
      <c r="A419" t="s">
        <v>951</v>
      </c>
    </row>
    <row r="420" spans="1:1">
      <c r="A420" t="s">
        <v>952</v>
      </c>
    </row>
    <row r="421" spans="1:1">
      <c r="A421" t="s">
        <v>953</v>
      </c>
    </row>
    <row r="422" spans="1:1">
      <c r="A422" t="s">
        <v>954</v>
      </c>
    </row>
    <row r="423" spans="1:1">
      <c r="A423" t="s">
        <v>955</v>
      </c>
    </row>
    <row r="424" spans="1:1">
      <c r="A424" t="s">
        <v>956</v>
      </c>
    </row>
    <row r="425" spans="1:1">
      <c r="A425" t="s">
        <v>957</v>
      </c>
    </row>
    <row r="426" spans="1:1">
      <c r="A426" t="s">
        <v>958</v>
      </c>
    </row>
    <row r="427" spans="1:1">
      <c r="A427" t="s">
        <v>959</v>
      </c>
    </row>
    <row r="428" spans="1:1">
      <c r="A428" t="s">
        <v>960</v>
      </c>
    </row>
    <row r="429" spans="1:1">
      <c r="A429" t="s">
        <v>961</v>
      </c>
    </row>
    <row r="430" spans="1:1">
      <c r="A430" t="s">
        <v>962</v>
      </c>
    </row>
    <row r="431" spans="1:1">
      <c r="A431" t="s">
        <v>963</v>
      </c>
    </row>
    <row r="432" spans="1:1">
      <c r="A432" t="s">
        <v>964</v>
      </c>
    </row>
    <row r="433" spans="1:1">
      <c r="A433" t="s">
        <v>965</v>
      </c>
    </row>
    <row r="434" spans="1:1">
      <c r="A434" t="s">
        <v>966</v>
      </c>
    </row>
    <row r="435" spans="1:1">
      <c r="A435" t="s">
        <v>967</v>
      </c>
    </row>
    <row r="436" spans="1:1">
      <c r="A436" t="s">
        <v>968</v>
      </c>
    </row>
    <row r="437" spans="1:1">
      <c r="A437" t="s">
        <v>969</v>
      </c>
    </row>
    <row r="438" spans="1:1">
      <c r="A438" t="s">
        <v>970</v>
      </c>
    </row>
    <row r="439" spans="1:1">
      <c r="A439" t="s">
        <v>971</v>
      </c>
    </row>
    <row r="440" spans="1:1">
      <c r="A440" t="s">
        <v>972</v>
      </c>
    </row>
    <row r="441" spans="1:1">
      <c r="A441" t="s">
        <v>973</v>
      </c>
    </row>
    <row r="442" spans="1:1">
      <c r="A442" t="s">
        <v>974</v>
      </c>
    </row>
    <row r="443" spans="1:1">
      <c r="A443" t="s">
        <v>975</v>
      </c>
    </row>
    <row r="444" spans="1:1">
      <c r="A444" t="s">
        <v>976</v>
      </c>
    </row>
    <row r="445" spans="1:1">
      <c r="A445" t="s">
        <v>977</v>
      </c>
    </row>
    <row r="446" spans="1:1">
      <c r="A446" t="s">
        <v>978</v>
      </c>
    </row>
    <row r="447" spans="1:1">
      <c r="A447" t="s">
        <v>979</v>
      </c>
    </row>
    <row r="448" spans="1:1">
      <c r="A448" t="s">
        <v>980</v>
      </c>
    </row>
    <row r="449" spans="1:1">
      <c r="A449" t="s">
        <v>981</v>
      </c>
    </row>
    <row r="450" spans="1:1">
      <c r="A450" t="s">
        <v>982</v>
      </c>
    </row>
    <row r="451" spans="1:1">
      <c r="A451" t="s">
        <v>983</v>
      </c>
    </row>
    <row r="452" spans="1:1">
      <c r="A452" t="s">
        <v>984</v>
      </c>
    </row>
    <row r="453" spans="1:1">
      <c r="A453" t="s">
        <v>985</v>
      </c>
    </row>
    <row r="454" spans="1:1">
      <c r="A454" t="s">
        <v>986</v>
      </c>
    </row>
    <row r="455" spans="1:1">
      <c r="A455" t="s">
        <v>987</v>
      </c>
    </row>
    <row r="456" spans="1:1">
      <c r="A456" t="s">
        <v>988</v>
      </c>
    </row>
    <row r="457" spans="1:1">
      <c r="A457" t="s">
        <v>989</v>
      </c>
    </row>
    <row r="458" spans="1:1">
      <c r="A458" t="s">
        <v>990</v>
      </c>
    </row>
    <row r="459" spans="1:1">
      <c r="A459" t="s">
        <v>991</v>
      </c>
    </row>
    <row r="460" spans="1:1">
      <c r="A460" t="s">
        <v>992</v>
      </c>
    </row>
    <row r="461" spans="1:1">
      <c r="A461" t="s">
        <v>993</v>
      </c>
    </row>
    <row r="462" spans="1:1">
      <c r="A462" t="s">
        <v>994</v>
      </c>
    </row>
    <row r="463" spans="1:1">
      <c r="A463" t="s">
        <v>995</v>
      </c>
    </row>
    <row r="464" spans="1:1">
      <c r="A464" t="s">
        <v>996</v>
      </c>
    </row>
    <row r="465" spans="1:1">
      <c r="A465" t="s">
        <v>997</v>
      </c>
    </row>
    <row r="466" spans="1:1">
      <c r="A466" t="s">
        <v>998</v>
      </c>
    </row>
    <row r="467" spans="1:1">
      <c r="A467" t="s">
        <v>999</v>
      </c>
    </row>
    <row r="468" spans="1:1">
      <c r="A468" t="s">
        <v>1000</v>
      </c>
    </row>
    <row r="469" spans="1:1">
      <c r="A469" t="s">
        <v>1001</v>
      </c>
    </row>
    <row r="470" spans="1:1">
      <c r="A470" t="s">
        <v>1002</v>
      </c>
    </row>
    <row r="471" spans="1:1">
      <c r="A471" t="s">
        <v>1003</v>
      </c>
    </row>
    <row r="472" spans="1:1">
      <c r="A472" t="s">
        <v>1004</v>
      </c>
    </row>
    <row r="473" spans="1:1">
      <c r="A473" t="s">
        <v>1005</v>
      </c>
    </row>
    <row r="474" spans="1:1">
      <c r="A474" t="s">
        <v>1006</v>
      </c>
    </row>
    <row r="475" spans="1:1">
      <c r="A475" t="s">
        <v>1007</v>
      </c>
    </row>
    <row r="476" spans="1:1">
      <c r="A476" t="s">
        <v>1008</v>
      </c>
    </row>
    <row r="477" spans="1:1">
      <c r="A477" t="s">
        <v>1009</v>
      </c>
    </row>
    <row r="478" spans="1:1">
      <c r="A478" t="s">
        <v>1010</v>
      </c>
    </row>
    <row r="479" spans="1:1">
      <c r="A479" t="s">
        <v>1011</v>
      </c>
    </row>
    <row r="480" spans="1:1">
      <c r="A480" t="s">
        <v>1012</v>
      </c>
    </row>
    <row r="481" spans="1:1">
      <c r="A481" t="s">
        <v>1013</v>
      </c>
    </row>
    <row r="482" spans="1:1">
      <c r="A482" t="s">
        <v>1014</v>
      </c>
    </row>
    <row r="483" spans="1:1">
      <c r="A483" t="s">
        <v>1015</v>
      </c>
    </row>
    <row r="484" spans="1:1">
      <c r="A484" t="s">
        <v>1016</v>
      </c>
    </row>
    <row r="485" spans="1:1">
      <c r="A485" t="s">
        <v>1017</v>
      </c>
    </row>
    <row r="486" spans="1:1">
      <c r="A486" t="s">
        <v>1018</v>
      </c>
    </row>
    <row r="487" spans="1:1">
      <c r="A487" t="s">
        <v>1019</v>
      </c>
    </row>
    <row r="488" spans="1:1">
      <c r="A488" t="s">
        <v>1020</v>
      </c>
    </row>
    <row r="489" spans="1:1">
      <c r="A489" t="s">
        <v>1021</v>
      </c>
    </row>
    <row r="490" spans="1:1">
      <c r="A490" t="s">
        <v>1022</v>
      </c>
    </row>
    <row r="491" spans="1:1">
      <c r="A491" t="s">
        <v>1023</v>
      </c>
    </row>
    <row r="492" spans="1:1">
      <c r="A492" t="s">
        <v>1024</v>
      </c>
    </row>
    <row r="493" spans="1:1">
      <c r="A493" t="s">
        <v>1025</v>
      </c>
    </row>
    <row r="494" spans="1:1">
      <c r="A494" t="s">
        <v>1026</v>
      </c>
    </row>
    <row r="495" spans="1:1">
      <c r="A495" t="s">
        <v>1027</v>
      </c>
    </row>
    <row r="496" spans="1:1">
      <c r="A496" t="s">
        <v>1028</v>
      </c>
    </row>
    <row r="497" spans="1:1">
      <c r="A497" t="s">
        <v>1029</v>
      </c>
    </row>
    <row r="498" spans="1:1">
      <c r="A498" t="s">
        <v>1030</v>
      </c>
    </row>
    <row r="499" spans="1:1">
      <c r="A499" t="s">
        <v>1031</v>
      </c>
    </row>
    <row r="500" spans="1:1">
      <c r="A500" t="s">
        <v>1032</v>
      </c>
    </row>
    <row r="501" spans="1:1">
      <c r="A501" t="s">
        <v>1033</v>
      </c>
    </row>
    <row r="502" spans="1:1">
      <c r="A502" t="s">
        <v>1034</v>
      </c>
    </row>
    <row r="503" spans="1:1">
      <c r="A503" t="s">
        <v>1035</v>
      </c>
    </row>
    <row r="504" spans="1:1">
      <c r="A504" t="s">
        <v>1036</v>
      </c>
    </row>
    <row r="505" spans="1:1">
      <c r="A505" t="s">
        <v>1037</v>
      </c>
    </row>
    <row r="506" spans="1:1">
      <c r="A506" t="s">
        <v>1038</v>
      </c>
    </row>
    <row r="507" spans="1:1">
      <c r="A507" t="s">
        <v>1039</v>
      </c>
    </row>
    <row r="508" spans="1:1">
      <c r="A508" t="s">
        <v>1040</v>
      </c>
    </row>
    <row r="509" spans="1:1">
      <c r="A509" t="s">
        <v>1041</v>
      </c>
    </row>
    <row r="510" spans="1:1">
      <c r="A510" t="s">
        <v>1042</v>
      </c>
    </row>
    <row r="511" spans="1:1">
      <c r="A511" t="s">
        <v>1043</v>
      </c>
    </row>
    <row r="512" spans="1:1">
      <c r="A512" t="s">
        <v>1044</v>
      </c>
    </row>
    <row r="513" spans="1:1">
      <c r="A513" t="s">
        <v>1045</v>
      </c>
    </row>
    <row r="514" spans="1:1">
      <c r="A514" t="s">
        <v>1046</v>
      </c>
    </row>
    <row r="515" spans="1:1">
      <c r="A515" t="s">
        <v>1047</v>
      </c>
    </row>
    <row r="516" spans="1:1">
      <c r="A516" t="s">
        <v>1048</v>
      </c>
    </row>
    <row r="517" spans="1:1">
      <c r="A517" t="s">
        <v>1049</v>
      </c>
    </row>
    <row r="518" spans="1:1">
      <c r="A518" t="s">
        <v>1050</v>
      </c>
    </row>
    <row r="519" spans="1:1">
      <c r="A519" t="s">
        <v>1051</v>
      </c>
    </row>
    <row r="520" spans="1:1">
      <c r="A520" t="s">
        <v>1052</v>
      </c>
    </row>
    <row r="521" spans="1:1">
      <c r="A521" t="s">
        <v>1053</v>
      </c>
    </row>
    <row r="522" spans="1:1">
      <c r="A522" t="s">
        <v>1054</v>
      </c>
    </row>
    <row r="523" spans="1:1">
      <c r="A523" t="s">
        <v>1055</v>
      </c>
    </row>
    <row r="524" spans="1:1">
      <c r="A524" t="s">
        <v>1056</v>
      </c>
    </row>
    <row r="525" spans="1:1">
      <c r="A525" t="s">
        <v>1057</v>
      </c>
    </row>
    <row r="526" spans="1:1">
      <c r="A526" t="s">
        <v>1058</v>
      </c>
    </row>
    <row r="527" spans="1:1">
      <c r="A527" t="s">
        <v>1059</v>
      </c>
    </row>
    <row r="528" spans="1:1">
      <c r="A528" t="s">
        <v>1060</v>
      </c>
    </row>
    <row r="529" spans="1:1">
      <c r="A529" t="s">
        <v>1061</v>
      </c>
    </row>
    <row r="530" spans="1:1">
      <c r="A530" t="s">
        <v>1062</v>
      </c>
    </row>
    <row r="531" spans="1:1">
      <c r="A531" t="s">
        <v>1063</v>
      </c>
    </row>
    <row r="532" spans="1:1">
      <c r="A532" t="s">
        <v>1064</v>
      </c>
    </row>
    <row r="533" spans="1:1">
      <c r="A533" t="s">
        <v>1065</v>
      </c>
    </row>
    <row r="534" spans="1:1">
      <c r="A534" t="s">
        <v>1066</v>
      </c>
    </row>
    <row r="535" spans="1:1">
      <c r="A535" t="s">
        <v>1067</v>
      </c>
    </row>
    <row r="536" spans="1:1">
      <c r="A536" t="s">
        <v>1068</v>
      </c>
    </row>
    <row r="537" spans="1:1">
      <c r="A537" t="s">
        <v>1069</v>
      </c>
    </row>
    <row r="538" spans="1:1">
      <c r="A538" t="s">
        <v>1070</v>
      </c>
    </row>
    <row r="539" spans="1:1">
      <c r="A539" t="s">
        <v>1071</v>
      </c>
    </row>
    <row r="540" spans="1:1">
      <c r="A540" t="s">
        <v>1072</v>
      </c>
    </row>
    <row r="541" spans="1:1">
      <c r="A541" t="s">
        <v>1073</v>
      </c>
    </row>
    <row r="542" spans="1:1">
      <c r="A542" t="s">
        <v>1074</v>
      </c>
    </row>
    <row r="543" spans="1:1">
      <c r="A543" t="s">
        <v>1075</v>
      </c>
    </row>
    <row r="544" spans="1:1">
      <c r="A544" t="s">
        <v>1076</v>
      </c>
    </row>
    <row r="545" spans="1:1">
      <c r="A545" t="s">
        <v>1077</v>
      </c>
    </row>
    <row r="546" spans="1:1">
      <c r="A546" t="s">
        <v>1078</v>
      </c>
    </row>
    <row r="547" spans="1:1">
      <c r="A547" t="s">
        <v>1079</v>
      </c>
    </row>
    <row r="548" spans="1:1">
      <c r="A548" t="s">
        <v>1080</v>
      </c>
    </row>
    <row r="549" spans="1:1">
      <c r="A549" t="s">
        <v>1081</v>
      </c>
    </row>
    <row r="550" spans="1:1">
      <c r="A550" t="s">
        <v>1082</v>
      </c>
    </row>
    <row r="551" spans="1:1">
      <c r="A551" t="s">
        <v>1083</v>
      </c>
    </row>
    <row r="552" spans="1:1">
      <c r="A552" t="s">
        <v>1084</v>
      </c>
    </row>
    <row r="553" spans="1:1">
      <c r="A553" t="s">
        <v>1085</v>
      </c>
    </row>
    <row r="554" spans="1:1">
      <c r="A554" t="s">
        <v>1086</v>
      </c>
    </row>
    <row r="555" spans="1:1">
      <c r="A555" t="s">
        <v>1087</v>
      </c>
    </row>
    <row r="556" spans="1:1">
      <c r="A556" t="s">
        <v>1088</v>
      </c>
    </row>
    <row r="557" spans="1:1">
      <c r="A557" t="s">
        <v>1089</v>
      </c>
    </row>
    <row r="558" spans="1:1">
      <c r="A558" t="s">
        <v>1090</v>
      </c>
    </row>
    <row r="559" spans="1:1">
      <c r="A559" t="s">
        <v>1091</v>
      </c>
    </row>
    <row r="560" spans="1:1">
      <c r="A560" t="s">
        <v>1092</v>
      </c>
    </row>
    <row r="561" spans="1:1">
      <c r="A561" t="s">
        <v>1093</v>
      </c>
    </row>
    <row r="562" spans="1:1">
      <c r="A562" t="s">
        <v>1094</v>
      </c>
    </row>
    <row r="563" spans="1:1">
      <c r="A563" t="s">
        <v>1095</v>
      </c>
    </row>
    <row r="564" spans="1:1">
      <c r="A564" t="s">
        <v>1096</v>
      </c>
    </row>
    <row r="565" spans="1:1">
      <c r="A565" t="s">
        <v>1097</v>
      </c>
    </row>
    <row r="566" spans="1:1">
      <c r="A566" t="s">
        <v>1098</v>
      </c>
    </row>
    <row r="567" spans="1:1">
      <c r="A567" t="s">
        <v>1099</v>
      </c>
    </row>
    <row r="568" spans="1:1">
      <c r="A568" t="s">
        <v>1100</v>
      </c>
    </row>
    <row r="569" spans="1:1">
      <c r="A569" t="s">
        <v>1101</v>
      </c>
    </row>
    <row r="570" spans="1:1">
      <c r="A570" t="s">
        <v>1102</v>
      </c>
    </row>
    <row r="571" spans="1:1">
      <c r="A571" t="s">
        <v>1103</v>
      </c>
    </row>
    <row r="572" spans="1:1">
      <c r="A572" t="s">
        <v>1104</v>
      </c>
    </row>
    <row r="573" spans="1:1">
      <c r="A573" t="s">
        <v>1105</v>
      </c>
    </row>
    <row r="574" spans="1:1">
      <c r="A574" t="s">
        <v>1106</v>
      </c>
    </row>
    <row r="575" spans="1:1">
      <c r="A575" t="s">
        <v>1107</v>
      </c>
    </row>
    <row r="576" spans="1:1">
      <c r="A576" t="s">
        <v>1108</v>
      </c>
    </row>
    <row r="577" spans="1:1">
      <c r="A577" t="s">
        <v>1109</v>
      </c>
    </row>
    <row r="578" spans="1:1">
      <c r="A578" t="s">
        <v>1110</v>
      </c>
    </row>
    <row r="579" spans="1:1">
      <c r="A579" t="s">
        <v>1111</v>
      </c>
    </row>
    <row r="580" spans="1:1">
      <c r="A580" t="s">
        <v>1112</v>
      </c>
    </row>
    <row r="581" spans="1:1">
      <c r="A581" t="s">
        <v>1113</v>
      </c>
    </row>
    <row r="582" spans="1:1">
      <c r="A582" t="s">
        <v>1114</v>
      </c>
    </row>
    <row r="583" spans="1:1">
      <c r="A583" t="s">
        <v>1115</v>
      </c>
    </row>
    <row r="584" spans="1:1">
      <c r="A584" t="s">
        <v>1116</v>
      </c>
    </row>
    <row r="585" spans="1:1">
      <c r="A585" t="s">
        <v>1117</v>
      </c>
    </row>
    <row r="586" spans="1:1">
      <c r="A586" t="s">
        <v>1118</v>
      </c>
    </row>
    <row r="587" spans="1:1">
      <c r="A587" t="s">
        <v>1119</v>
      </c>
    </row>
    <row r="588" spans="1:1">
      <c r="A588" t="s">
        <v>1120</v>
      </c>
    </row>
    <row r="589" spans="1:1">
      <c r="A589" t="s">
        <v>1121</v>
      </c>
    </row>
    <row r="590" spans="1:1">
      <c r="A590" t="s">
        <v>1122</v>
      </c>
    </row>
    <row r="591" spans="1:1">
      <c r="A591" t="s">
        <v>1123</v>
      </c>
    </row>
    <row r="592" spans="1:1">
      <c r="A592" t="s">
        <v>1124</v>
      </c>
    </row>
    <row r="593" spans="1:1">
      <c r="A593" t="s">
        <v>1125</v>
      </c>
    </row>
    <row r="594" spans="1:1">
      <c r="A594" t="s">
        <v>1126</v>
      </c>
    </row>
    <row r="595" spans="1:1">
      <c r="A595" t="s">
        <v>1127</v>
      </c>
    </row>
    <row r="596" spans="1:1">
      <c r="A596" t="s">
        <v>1128</v>
      </c>
    </row>
    <row r="597" spans="1:1">
      <c r="A597" t="s">
        <v>1129</v>
      </c>
    </row>
    <row r="598" spans="1:1">
      <c r="A598" t="s">
        <v>1130</v>
      </c>
    </row>
    <row r="599" spans="1:1">
      <c r="A599" t="s">
        <v>1131</v>
      </c>
    </row>
    <row r="600" spans="1:1">
      <c r="A600" t="s">
        <v>1132</v>
      </c>
    </row>
    <row r="601" spans="1:1">
      <c r="A601" t="s">
        <v>1133</v>
      </c>
    </row>
    <row r="602" spans="1:1">
      <c r="A602" t="s">
        <v>1134</v>
      </c>
    </row>
    <row r="603" spans="1:1">
      <c r="A603" t="s">
        <v>1135</v>
      </c>
    </row>
    <row r="604" spans="1:1">
      <c r="A604" t="s">
        <v>1136</v>
      </c>
    </row>
    <row r="605" spans="1:1">
      <c r="A605" t="s">
        <v>1137</v>
      </c>
    </row>
    <row r="606" spans="1:1">
      <c r="A606" t="s">
        <v>1138</v>
      </c>
    </row>
    <row r="607" spans="1:1">
      <c r="A607" t="s">
        <v>1139</v>
      </c>
    </row>
    <row r="608" spans="1:1">
      <c r="A608" t="s">
        <v>1140</v>
      </c>
    </row>
    <row r="609" spans="1:1">
      <c r="A609" t="s">
        <v>1141</v>
      </c>
    </row>
    <row r="610" spans="1:1">
      <c r="A610" t="s">
        <v>1142</v>
      </c>
    </row>
    <row r="611" spans="1:1">
      <c r="A611" t="s">
        <v>1143</v>
      </c>
    </row>
    <row r="612" spans="1:1">
      <c r="A612" t="s">
        <v>1144</v>
      </c>
    </row>
    <row r="613" spans="1:1">
      <c r="A613" t="s">
        <v>1145</v>
      </c>
    </row>
    <row r="614" spans="1:1">
      <c r="A614" t="s">
        <v>1146</v>
      </c>
    </row>
    <row r="615" spans="1:1">
      <c r="A615" t="s">
        <v>1147</v>
      </c>
    </row>
    <row r="616" spans="1:1">
      <c r="A616" t="s">
        <v>1148</v>
      </c>
    </row>
    <row r="617" spans="1:1">
      <c r="A617" t="s">
        <v>1149</v>
      </c>
    </row>
    <row r="618" spans="1:1">
      <c r="A618" t="s">
        <v>1150</v>
      </c>
    </row>
    <row r="619" spans="1:1">
      <c r="A619" t="s">
        <v>1151</v>
      </c>
    </row>
    <row r="620" spans="1:1">
      <c r="A620" t="s">
        <v>1152</v>
      </c>
    </row>
    <row r="621" spans="1:1">
      <c r="A621" t="s">
        <v>1153</v>
      </c>
    </row>
    <row r="622" spans="1:1">
      <c r="A622" t="s">
        <v>1154</v>
      </c>
    </row>
    <row r="623" spans="1:1">
      <c r="A623" t="s">
        <v>1155</v>
      </c>
    </row>
    <row r="624" spans="1:1">
      <c r="A624" t="s">
        <v>1156</v>
      </c>
    </row>
    <row r="625" spans="1:1">
      <c r="A625" t="s">
        <v>1157</v>
      </c>
    </row>
    <row r="626" spans="1:1">
      <c r="A626" t="s">
        <v>1158</v>
      </c>
    </row>
    <row r="627" spans="1:1">
      <c r="A627" t="s">
        <v>1159</v>
      </c>
    </row>
    <row r="628" spans="1:1">
      <c r="A628" t="s">
        <v>1160</v>
      </c>
    </row>
    <row r="629" spans="1:1">
      <c r="A629" t="s">
        <v>1161</v>
      </c>
    </row>
    <row r="630" spans="1:1">
      <c r="A630" t="s">
        <v>1162</v>
      </c>
    </row>
    <row r="631" spans="1:1">
      <c r="A631" t="s">
        <v>1163</v>
      </c>
    </row>
    <row r="632" spans="1:1">
      <c r="A632" t="s">
        <v>1164</v>
      </c>
    </row>
    <row r="633" spans="1:1">
      <c r="A633" t="s">
        <v>1165</v>
      </c>
    </row>
    <row r="634" spans="1:1">
      <c r="A634" t="s">
        <v>1166</v>
      </c>
    </row>
    <row r="635" spans="1:1">
      <c r="A635" t="s">
        <v>1167</v>
      </c>
    </row>
    <row r="636" spans="1:1">
      <c r="A636" t="s">
        <v>1168</v>
      </c>
    </row>
    <row r="637" spans="1:1">
      <c r="A637" t="s">
        <v>1169</v>
      </c>
    </row>
    <row r="638" spans="1:1">
      <c r="A638" t="s">
        <v>1170</v>
      </c>
    </row>
    <row r="639" spans="1:1">
      <c r="A639" t="s">
        <v>1171</v>
      </c>
    </row>
    <row r="640" spans="1:1">
      <c r="A640" t="s">
        <v>1172</v>
      </c>
    </row>
    <row r="641" spans="1:1">
      <c r="A641" t="s">
        <v>1173</v>
      </c>
    </row>
    <row r="642" spans="1:1">
      <c r="A642" t="s">
        <v>1174</v>
      </c>
    </row>
    <row r="643" spans="1:1">
      <c r="A643" t="s">
        <v>1175</v>
      </c>
    </row>
    <row r="644" spans="1:1">
      <c r="A644" t="s">
        <v>1176</v>
      </c>
    </row>
    <row r="645" spans="1:1">
      <c r="A645" t="s">
        <v>1177</v>
      </c>
    </row>
    <row r="646" spans="1:1">
      <c r="A646" t="s">
        <v>1178</v>
      </c>
    </row>
    <row r="647" spans="1:1">
      <c r="A647" t="s">
        <v>1179</v>
      </c>
    </row>
    <row r="648" spans="1:1">
      <c r="A648" t="s">
        <v>1180</v>
      </c>
    </row>
    <row r="649" spans="1:1">
      <c r="A649" t="s">
        <v>1181</v>
      </c>
    </row>
    <row r="650" spans="1:1">
      <c r="A650" t="s">
        <v>1182</v>
      </c>
    </row>
    <row r="651" spans="1:1">
      <c r="A651" t="s">
        <v>1183</v>
      </c>
    </row>
    <row r="652" spans="1:1">
      <c r="A652" t="s">
        <v>1184</v>
      </c>
    </row>
    <row r="653" spans="1:1">
      <c r="A653" t="s">
        <v>1185</v>
      </c>
    </row>
    <row r="654" spans="1:1">
      <c r="A654" t="s">
        <v>1186</v>
      </c>
    </row>
    <row r="655" spans="1:1">
      <c r="A655" t="s">
        <v>1187</v>
      </c>
    </row>
    <row r="656" spans="1:1">
      <c r="A656" t="s">
        <v>1188</v>
      </c>
    </row>
    <row r="657" spans="1:1">
      <c r="A657" t="s">
        <v>1189</v>
      </c>
    </row>
    <row r="658" spans="1:1">
      <c r="A658" t="s">
        <v>1190</v>
      </c>
    </row>
    <row r="659" spans="1:1">
      <c r="A659" t="s">
        <v>1191</v>
      </c>
    </row>
    <row r="660" spans="1:1">
      <c r="A660" t="s">
        <v>1192</v>
      </c>
    </row>
    <row r="661" spans="1:1">
      <c r="A661" t="s">
        <v>1193</v>
      </c>
    </row>
    <row r="662" spans="1:1">
      <c r="A662" t="s">
        <v>1194</v>
      </c>
    </row>
    <row r="663" spans="1:1">
      <c r="A663" t="s">
        <v>1195</v>
      </c>
    </row>
    <row r="664" spans="1:1">
      <c r="A664" t="s">
        <v>1196</v>
      </c>
    </row>
    <row r="665" spans="1:1">
      <c r="A665" t="s">
        <v>1197</v>
      </c>
    </row>
    <row r="666" spans="1:1">
      <c r="A666" t="s">
        <v>1198</v>
      </c>
    </row>
    <row r="667" spans="1:1">
      <c r="A667" t="s">
        <v>1199</v>
      </c>
    </row>
    <row r="668" spans="1:1">
      <c r="A668" t="s">
        <v>1200</v>
      </c>
    </row>
    <row r="669" spans="1:1">
      <c r="A669" t="s">
        <v>1201</v>
      </c>
    </row>
    <row r="670" spans="1:1">
      <c r="A670" t="s">
        <v>1202</v>
      </c>
    </row>
    <row r="671" spans="1:1">
      <c r="A671" t="s">
        <v>1203</v>
      </c>
    </row>
    <row r="672" spans="1:1">
      <c r="A672" t="s">
        <v>1204</v>
      </c>
    </row>
    <row r="673" spans="1:1">
      <c r="A673" t="s">
        <v>1205</v>
      </c>
    </row>
    <row r="674" spans="1:1">
      <c r="A674" t="s">
        <v>1206</v>
      </c>
    </row>
    <row r="675" spans="1:1">
      <c r="A675" t="s">
        <v>1207</v>
      </c>
    </row>
    <row r="676" spans="1:1">
      <c r="A676" t="s">
        <v>1208</v>
      </c>
    </row>
    <row r="677" spans="1:1">
      <c r="A677" t="s">
        <v>1209</v>
      </c>
    </row>
    <row r="678" spans="1:1">
      <c r="A678" t="s">
        <v>1210</v>
      </c>
    </row>
    <row r="679" spans="1:1">
      <c r="A679" t="s">
        <v>1211</v>
      </c>
    </row>
    <row r="680" spans="1:1">
      <c r="A680" t="s">
        <v>1212</v>
      </c>
    </row>
    <row r="681" spans="1:1">
      <c r="A681" t="s">
        <v>1213</v>
      </c>
    </row>
    <row r="682" spans="1:1">
      <c r="A682" t="s">
        <v>1214</v>
      </c>
    </row>
    <row r="683" spans="1:1">
      <c r="A683" t="s">
        <v>1215</v>
      </c>
    </row>
    <row r="684" spans="1:1">
      <c r="A684" t="s">
        <v>1216</v>
      </c>
    </row>
    <row r="685" spans="1:1">
      <c r="A685" t="s">
        <v>1217</v>
      </c>
    </row>
    <row r="686" spans="1:1">
      <c r="A686" t="s">
        <v>1218</v>
      </c>
    </row>
    <row r="687" spans="1:1">
      <c r="A687" t="s">
        <v>1219</v>
      </c>
    </row>
    <row r="688" spans="1:1">
      <c r="A688" t="s">
        <v>1220</v>
      </c>
    </row>
    <row r="689" spans="1:1">
      <c r="A689" t="s">
        <v>1221</v>
      </c>
    </row>
    <row r="690" spans="1:1">
      <c r="A690" t="s">
        <v>1222</v>
      </c>
    </row>
    <row r="691" spans="1:1">
      <c r="A691" t="s">
        <v>1223</v>
      </c>
    </row>
    <row r="692" spans="1:1">
      <c r="A692" t="s">
        <v>1224</v>
      </c>
    </row>
    <row r="693" spans="1:1">
      <c r="A693" t="s">
        <v>1225</v>
      </c>
    </row>
    <row r="694" spans="1:1">
      <c r="A694" t="s">
        <v>1226</v>
      </c>
    </row>
    <row r="695" spans="1:1">
      <c r="A695" t="s">
        <v>1227</v>
      </c>
    </row>
    <row r="696" spans="1:1">
      <c r="A696" t="s">
        <v>1228</v>
      </c>
    </row>
    <row r="697" spans="1:1">
      <c r="A697" t="s">
        <v>1229</v>
      </c>
    </row>
    <row r="698" spans="1:1">
      <c r="A698" t="s">
        <v>1230</v>
      </c>
    </row>
    <row r="699" spans="1:1">
      <c r="A699" t="s">
        <v>1231</v>
      </c>
    </row>
    <row r="700" spans="1:1">
      <c r="A700" t="s">
        <v>1232</v>
      </c>
    </row>
    <row r="701" spans="1:1">
      <c r="A701" t="s">
        <v>1233</v>
      </c>
    </row>
    <row r="702" spans="1:1">
      <c r="A702" t="s">
        <v>1234</v>
      </c>
    </row>
    <row r="703" spans="1:1">
      <c r="A703" t="s">
        <v>1235</v>
      </c>
    </row>
    <row r="704" spans="1:1">
      <c r="A704" t="s">
        <v>1236</v>
      </c>
    </row>
    <row r="705" spans="1:1">
      <c r="A705" t="s">
        <v>1237</v>
      </c>
    </row>
    <row r="706" spans="1:1">
      <c r="A706" t="s">
        <v>1238</v>
      </c>
    </row>
    <row r="707" spans="1:1">
      <c r="A707" t="s">
        <v>1239</v>
      </c>
    </row>
    <row r="708" spans="1:1">
      <c r="A708" t="s">
        <v>1240</v>
      </c>
    </row>
    <row r="709" spans="1:1">
      <c r="A709" t="s">
        <v>1241</v>
      </c>
    </row>
    <row r="710" spans="1:1">
      <c r="A710" t="s">
        <v>1242</v>
      </c>
    </row>
    <row r="711" spans="1:1">
      <c r="A711" t="s">
        <v>1243</v>
      </c>
    </row>
    <row r="712" spans="1:1">
      <c r="A712" t="s">
        <v>1244</v>
      </c>
    </row>
    <row r="713" spans="1:1">
      <c r="A713" t="s">
        <v>1245</v>
      </c>
    </row>
    <row r="714" spans="1:1">
      <c r="A714" t="s">
        <v>1246</v>
      </c>
    </row>
    <row r="715" spans="1:1">
      <c r="A715" t="s">
        <v>1247</v>
      </c>
    </row>
    <row r="716" spans="1:1">
      <c r="A716" t="s">
        <v>1248</v>
      </c>
    </row>
    <row r="717" spans="1:1">
      <c r="A717" t="s">
        <v>1249</v>
      </c>
    </row>
    <row r="718" spans="1:1">
      <c r="A718" t="s">
        <v>1250</v>
      </c>
    </row>
    <row r="719" spans="1:1">
      <c r="A719" t="s">
        <v>1251</v>
      </c>
    </row>
    <row r="720" spans="1:1">
      <c r="A720" t="s">
        <v>1252</v>
      </c>
    </row>
    <row r="721" spans="1:1">
      <c r="A721" t="s">
        <v>1253</v>
      </c>
    </row>
    <row r="722" spans="1:1">
      <c r="A722" t="s">
        <v>1254</v>
      </c>
    </row>
    <row r="723" spans="1:1">
      <c r="A723" t="s">
        <v>1255</v>
      </c>
    </row>
    <row r="724" spans="1:1">
      <c r="A724" t="s">
        <v>1256</v>
      </c>
    </row>
    <row r="725" spans="1:1">
      <c r="A725" t="s">
        <v>1257</v>
      </c>
    </row>
    <row r="726" spans="1:1">
      <c r="A726" t="s">
        <v>1258</v>
      </c>
    </row>
    <row r="727" spans="1:1">
      <c r="A727" t="s">
        <v>1259</v>
      </c>
    </row>
    <row r="728" spans="1:1">
      <c r="A728" t="s">
        <v>1260</v>
      </c>
    </row>
    <row r="729" spans="1:1">
      <c r="A729" t="s">
        <v>1261</v>
      </c>
    </row>
    <row r="730" spans="1:1">
      <c r="A730" t="s">
        <v>1262</v>
      </c>
    </row>
    <row r="731" spans="1:1">
      <c r="A731" t="s">
        <v>1263</v>
      </c>
    </row>
    <row r="732" spans="1:1">
      <c r="A732" t="s">
        <v>1264</v>
      </c>
    </row>
    <row r="733" spans="1:1">
      <c r="A733" t="s">
        <v>1265</v>
      </c>
    </row>
    <row r="734" spans="1:1">
      <c r="A734" t="s">
        <v>1266</v>
      </c>
    </row>
    <row r="735" spans="1:1">
      <c r="A735" t="s">
        <v>1267</v>
      </c>
    </row>
    <row r="736" spans="1:1">
      <c r="A736" t="s">
        <v>1268</v>
      </c>
    </row>
    <row r="737" spans="1:1">
      <c r="A737" t="s">
        <v>1269</v>
      </c>
    </row>
    <row r="738" spans="1:1">
      <c r="A738" t="s">
        <v>1270</v>
      </c>
    </row>
    <row r="739" spans="1:1">
      <c r="A739" t="s">
        <v>1271</v>
      </c>
    </row>
    <row r="740" spans="1:1">
      <c r="A740" t="s">
        <v>1272</v>
      </c>
    </row>
    <row r="741" spans="1:1">
      <c r="A741" t="s">
        <v>1273</v>
      </c>
    </row>
    <row r="742" spans="1:1">
      <c r="A742" t="s">
        <v>1274</v>
      </c>
    </row>
    <row r="743" spans="1:1">
      <c r="A743" t="s">
        <v>1275</v>
      </c>
    </row>
    <row r="744" spans="1:1">
      <c r="A744" t="s">
        <v>1276</v>
      </c>
    </row>
    <row r="745" spans="1:1">
      <c r="A745" t="s">
        <v>1277</v>
      </c>
    </row>
    <row r="746" spans="1:1">
      <c r="A746" t="s">
        <v>1278</v>
      </c>
    </row>
    <row r="747" spans="1:1">
      <c r="A747" t="s">
        <v>1279</v>
      </c>
    </row>
    <row r="748" spans="1:1">
      <c r="A748" t="s">
        <v>1280</v>
      </c>
    </row>
    <row r="749" spans="1:1">
      <c r="A749" t="s">
        <v>1281</v>
      </c>
    </row>
    <row r="750" spans="1:1">
      <c r="A750" t="s">
        <v>1282</v>
      </c>
    </row>
    <row r="751" spans="1:1">
      <c r="A751" t="s">
        <v>1283</v>
      </c>
    </row>
    <row r="752" spans="1:1">
      <c r="A752" t="s">
        <v>1284</v>
      </c>
    </row>
    <row r="753" spans="1:1">
      <c r="A753" t="s">
        <v>1285</v>
      </c>
    </row>
    <row r="754" spans="1:1">
      <c r="A754" t="s">
        <v>1286</v>
      </c>
    </row>
    <row r="755" spans="1:1">
      <c r="A755" t="s">
        <v>1287</v>
      </c>
    </row>
    <row r="756" spans="1:1">
      <c r="A756" t="s">
        <v>1288</v>
      </c>
    </row>
    <row r="757" spans="1:1">
      <c r="A757" t="s">
        <v>1289</v>
      </c>
    </row>
    <row r="758" spans="1:1">
      <c r="A758" t="s">
        <v>1290</v>
      </c>
    </row>
    <row r="759" spans="1:1">
      <c r="A759" t="s">
        <v>1291</v>
      </c>
    </row>
    <row r="760" spans="1:1">
      <c r="A760" t="s">
        <v>1292</v>
      </c>
    </row>
    <row r="761" spans="1:1">
      <c r="A761" t="s">
        <v>1293</v>
      </c>
    </row>
    <row r="762" spans="1:1">
      <c r="A762" t="s">
        <v>1294</v>
      </c>
    </row>
    <row r="763" spans="1:1">
      <c r="A763" t="s">
        <v>1295</v>
      </c>
    </row>
    <row r="764" spans="1:1">
      <c r="A764" t="s">
        <v>1296</v>
      </c>
    </row>
    <row r="765" spans="1:1">
      <c r="A765" t="s">
        <v>1297</v>
      </c>
    </row>
    <row r="766" spans="1:1">
      <c r="A766" t="s">
        <v>1298</v>
      </c>
    </row>
    <row r="767" spans="1:1">
      <c r="A767" t="s">
        <v>1299</v>
      </c>
    </row>
    <row r="768" spans="1:1">
      <c r="A768" t="s">
        <v>1300</v>
      </c>
    </row>
    <row r="769" spans="1:1">
      <c r="A769" t="s">
        <v>1301</v>
      </c>
    </row>
    <row r="770" spans="1:1">
      <c r="A770" t="s">
        <v>1302</v>
      </c>
    </row>
    <row r="771" spans="1:1">
      <c r="A771" t="s">
        <v>1303</v>
      </c>
    </row>
    <row r="772" spans="1:1">
      <c r="A772" t="s">
        <v>1304</v>
      </c>
    </row>
    <row r="773" spans="1:1">
      <c r="A773" t="s">
        <v>1305</v>
      </c>
    </row>
    <row r="774" spans="1:1">
      <c r="A774" t="s">
        <v>1306</v>
      </c>
    </row>
    <row r="775" spans="1:1">
      <c r="A775" t="s">
        <v>1307</v>
      </c>
    </row>
    <row r="776" spans="1:1">
      <c r="A776" t="s">
        <v>1308</v>
      </c>
    </row>
    <row r="777" spans="1:1">
      <c r="A777" t="s">
        <v>1309</v>
      </c>
    </row>
    <row r="778" spans="1:1">
      <c r="A778" t="s">
        <v>1310</v>
      </c>
    </row>
    <row r="779" spans="1:1">
      <c r="A779" t="s">
        <v>1311</v>
      </c>
    </row>
    <row r="780" spans="1:1">
      <c r="A780" t="s">
        <v>1312</v>
      </c>
    </row>
    <row r="781" spans="1:1">
      <c r="A781" t="s">
        <v>1313</v>
      </c>
    </row>
    <row r="782" spans="1:1">
      <c r="A782" t="s">
        <v>1314</v>
      </c>
    </row>
    <row r="783" spans="1:1">
      <c r="A783" t="s">
        <v>1315</v>
      </c>
    </row>
    <row r="784" spans="1:1">
      <c r="A784" t="s">
        <v>1316</v>
      </c>
    </row>
    <row r="785" spans="1:1">
      <c r="A785" t="s">
        <v>1317</v>
      </c>
    </row>
    <row r="786" spans="1:1">
      <c r="A786" t="s">
        <v>1318</v>
      </c>
    </row>
    <row r="787" spans="1:1">
      <c r="A787" t="s">
        <v>1319</v>
      </c>
    </row>
    <row r="788" spans="1:1">
      <c r="A788" t="s">
        <v>1320</v>
      </c>
    </row>
    <row r="789" spans="1:1">
      <c r="A789" t="s">
        <v>1321</v>
      </c>
    </row>
    <row r="790" spans="1:1">
      <c r="A790" t="s">
        <v>1322</v>
      </c>
    </row>
    <row r="791" spans="1:1">
      <c r="A791" t="s">
        <v>1323</v>
      </c>
    </row>
    <row r="792" spans="1:1">
      <c r="A792" t="s">
        <v>1324</v>
      </c>
    </row>
    <row r="793" spans="1:1">
      <c r="A793" t="s">
        <v>1325</v>
      </c>
    </row>
    <row r="794" spans="1:1">
      <c r="A794" t="s">
        <v>1326</v>
      </c>
    </row>
    <row r="795" spans="1:1">
      <c r="A795" t="s">
        <v>1327</v>
      </c>
    </row>
    <row r="796" spans="1:1">
      <c r="A796" t="s">
        <v>1328</v>
      </c>
    </row>
    <row r="797" spans="1:1">
      <c r="A797" t="s">
        <v>1329</v>
      </c>
    </row>
    <row r="798" spans="1:1">
      <c r="A798" t="s">
        <v>1330</v>
      </c>
    </row>
    <row r="799" spans="1:1">
      <c r="A799" t="s">
        <v>1331</v>
      </c>
    </row>
    <row r="800" spans="1:1">
      <c r="A800" t="s">
        <v>1332</v>
      </c>
    </row>
    <row r="801" spans="1:1">
      <c r="A801" t="s">
        <v>1333</v>
      </c>
    </row>
    <row r="802" spans="1:1">
      <c r="A802" t="s">
        <v>1334</v>
      </c>
    </row>
    <row r="803" spans="1:1">
      <c r="A803" t="s">
        <v>1335</v>
      </c>
    </row>
    <row r="804" spans="1:1">
      <c r="A804" t="s">
        <v>1336</v>
      </c>
    </row>
    <row r="805" spans="1:1">
      <c r="A805" t="s">
        <v>1337</v>
      </c>
    </row>
    <row r="806" spans="1:1">
      <c r="A806" t="s">
        <v>1338</v>
      </c>
    </row>
    <row r="807" spans="1:1">
      <c r="A807" t="s">
        <v>1339</v>
      </c>
    </row>
    <row r="808" spans="1:1">
      <c r="A808" t="s">
        <v>1340</v>
      </c>
    </row>
    <row r="809" spans="1:1">
      <c r="A809" t="s">
        <v>1341</v>
      </c>
    </row>
    <row r="810" spans="1:1">
      <c r="A810" t="s">
        <v>1342</v>
      </c>
    </row>
    <row r="811" spans="1:1">
      <c r="A811" t="s">
        <v>1343</v>
      </c>
    </row>
    <row r="812" spans="1:1">
      <c r="A812" t="s">
        <v>1344</v>
      </c>
    </row>
    <row r="813" spans="1:1">
      <c r="A813" t="s">
        <v>1345</v>
      </c>
    </row>
    <row r="814" spans="1:1">
      <c r="A814" t="s">
        <v>1346</v>
      </c>
    </row>
    <row r="815" spans="1:1">
      <c r="A815" t="s">
        <v>1347</v>
      </c>
    </row>
    <row r="816" spans="1:1">
      <c r="A816" t="s">
        <v>1348</v>
      </c>
    </row>
    <row r="817" spans="1:1">
      <c r="A817" t="s">
        <v>1349</v>
      </c>
    </row>
    <row r="818" spans="1:1">
      <c r="A818" t="s">
        <v>1350</v>
      </c>
    </row>
    <row r="819" spans="1:1">
      <c r="A819" t="s">
        <v>1351</v>
      </c>
    </row>
    <row r="820" spans="1:1">
      <c r="A820" t="s">
        <v>1352</v>
      </c>
    </row>
    <row r="821" spans="1:1">
      <c r="A821" t="s">
        <v>1353</v>
      </c>
    </row>
    <row r="822" spans="1:1">
      <c r="A822" t="s">
        <v>1354</v>
      </c>
    </row>
    <row r="823" spans="1:1">
      <c r="A823" t="s">
        <v>1355</v>
      </c>
    </row>
    <row r="824" spans="1:1">
      <c r="A824" t="s">
        <v>1356</v>
      </c>
    </row>
    <row r="825" spans="1:1">
      <c r="A825" t="s">
        <v>1357</v>
      </c>
    </row>
    <row r="826" spans="1:1">
      <c r="A826" t="s">
        <v>1358</v>
      </c>
    </row>
    <row r="827" spans="1:1">
      <c r="A827" t="s">
        <v>1359</v>
      </c>
    </row>
    <row r="828" spans="1:1">
      <c r="A828" t="s">
        <v>1360</v>
      </c>
    </row>
    <row r="829" spans="1:1">
      <c r="A829" t="s">
        <v>1361</v>
      </c>
    </row>
    <row r="830" spans="1:1">
      <c r="A830" t="s">
        <v>1362</v>
      </c>
    </row>
    <row r="831" spans="1:1">
      <c r="A831" t="s">
        <v>1363</v>
      </c>
    </row>
    <row r="832" spans="1:1">
      <c r="A832" t="s">
        <v>1364</v>
      </c>
    </row>
    <row r="833" spans="1:1">
      <c r="A833" t="s">
        <v>1365</v>
      </c>
    </row>
    <row r="834" spans="1:1">
      <c r="A834" t="s">
        <v>1366</v>
      </c>
    </row>
    <row r="835" spans="1:1">
      <c r="A835" t="s">
        <v>1367</v>
      </c>
    </row>
    <row r="836" spans="1:1">
      <c r="A836" t="s">
        <v>1368</v>
      </c>
    </row>
    <row r="837" spans="1:1">
      <c r="A837" t="s">
        <v>1369</v>
      </c>
    </row>
    <row r="838" spans="1:1">
      <c r="A838" t="s">
        <v>1370</v>
      </c>
    </row>
    <row r="839" spans="1:1">
      <c r="A839" t="s">
        <v>1371</v>
      </c>
    </row>
    <row r="840" spans="1:1">
      <c r="A840" t="s">
        <v>1372</v>
      </c>
    </row>
    <row r="841" spans="1:1">
      <c r="A841" t="s">
        <v>1373</v>
      </c>
    </row>
    <row r="842" spans="1:1">
      <c r="A842" t="s">
        <v>1374</v>
      </c>
    </row>
    <row r="843" spans="1:1">
      <c r="A843" t="s">
        <v>1375</v>
      </c>
    </row>
    <row r="844" spans="1:1">
      <c r="A844" t="s">
        <v>1376</v>
      </c>
    </row>
    <row r="845" spans="1:1">
      <c r="A845" t="s">
        <v>1377</v>
      </c>
    </row>
    <row r="846" spans="1:1">
      <c r="A846" t="s">
        <v>1378</v>
      </c>
    </row>
    <row r="847" spans="1:1">
      <c r="A847" t="s">
        <v>1379</v>
      </c>
    </row>
    <row r="848" spans="1:1">
      <c r="A848" t="s">
        <v>1380</v>
      </c>
    </row>
    <row r="849" spans="1:1">
      <c r="A849" t="s">
        <v>1381</v>
      </c>
    </row>
    <row r="850" spans="1:1">
      <c r="A850" t="s">
        <v>1382</v>
      </c>
    </row>
    <row r="851" spans="1:1">
      <c r="A851" t="s">
        <v>1383</v>
      </c>
    </row>
    <row r="852" spans="1:1">
      <c r="A852" t="s">
        <v>1384</v>
      </c>
    </row>
    <row r="853" spans="1:1">
      <c r="A853" t="s">
        <v>1385</v>
      </c>
    </row>
    <row r="854" spans="1:1">
      <c r="A854" t="s">
        <v>1386</v>
      </c>
    </row>
    <row r="855" spans="1:1">
      <c r="A855" t="s">
        <v>1387</v>
      </c>
    </row>
    <row r="856" spans="1:1">
      <c r="A856" t="s">
        <v>1388</v>
      </c>
    </row>
    <row r="857" spans="1:1">
      <c r="A857" t="s">
        <v>1389</v>
      </c>
    </row>
    <row r="858" spans="1:1">
      <c r="A858" t="s">
        <v>1390</v>
      </c>
    </row>
    <row r="859" spans="1:1">
      <c r="A859" t="s">
        <v>1391</v>
      </c>
    </row>
    <row r="860" spans="1:1">
      <c r="A860" t="s">
        <v>1392</v>
      </c>
    </row>
    <row r="861" spans="1:1">
      <c r="A861" t="s">
        <v>1393</v>
      </c>
    </row>
    <row r="862" spans="1:1">
      <c r="A862" t="s">
        <v>1394</v>
      </c>
    </row>
    <row r="863" spans="1:1">
      <c r="A863" t="s">
        <v>1395</v>
      </c>
    </row>
    <row r="864" spans="1:1">
      <c r="A864" t="s">
        <v>1396</v>
      </c>
    </row>
    <row r="865" spans="1:1">
      <c r="A865" t="s">
        <v>1397</v>
      </c>
    </row>
    <row r="866" spans="1:1">
      <c r="A866" t="s">
        <v>1398</v>
      </c>
    </row>
    <row r="867" spans="1:1">
      <c r="A867" t="s">
        <v>1399</v>
      </c>
    </row>
    <row r="868" spans="1:1">
      <c r="A868" t="s">
        <v>1400</v>
      </c>
    </row>
    <row r="869" spans="1:1">
      <c r="A869" t="s">
        <v>1401</v>
      </c>
    </row>
    <row r="870" spans="1:1">
      <c r="A870" t="s">
        <v>1402</v>
      </c>
    </row>
    <row r="871" spans="1:1">
      <c r="A871" t="s">
        <v>1403</v>
      </c>
    </row>
    <row r="872" spans="1:1">
      <c r="A872" t="s">
        <v>1404</v>
      </c>
    </row>
    <row r="873" spans="1:1">
      <c r="A873" t="s">
        <v>1405</v>
      </c>
    </row>
    <row r="874" spans="1:1">
      <c r="A874" t="s">
        <v>1406</v>
      </c>
    </row>
    <row r="875" spans="1:1">
      <c r="A875" t="s">
        <v>1407</v>
      </c>
    </row>
    <row r="876" spans="1:1">
      <c r="A876" t="s">
        <v>1408</v>
      </c>
    </row>
    <row r="877" spans="1:1">
      <c r="A877" t="s">
        <v>1409</v>
      </c>
    </row>
    <row r="878" spans="1:1">
      <c r="A878" t="s">
        <v>1410</v>
      </c>
    </row>
    <row r="879" spans="1:1">
      <c r="A879" t="s">
        <v>1411</v>
      </c>
    </row>
    <row r="880" spans="1:1">
      <c r="A880" t="s">
        <v>1412</v>
      </c>
    </row>
    <row r="881" spans="1:1">
      <c r="A881" t="s">
        <v>1413</v>
      </c>
    </row>
    <row r="882" spans="1:1">
      <c r="A882" t="s">
        <v>1414</v>
      </c>
    </row>
    <row r="883" spans="1:1">
      <c r="A883" t="s">
        <v>1415</v>
      </c>
    </row>
    <row r="884" spans="1:1">
      <c r="A884" t="s">
        <v>1416</v>
      </c>
    </row>
    <row r="885" spans="1:1">
      <c r="A885" t="s">
        <v>1417</v>
      </c>
    </row>
    <row r="886" spans="1:1">
      <c r="A886" t="s">
        <v>1418</v>
      </c>
    </row>
    <row r="887" spans="1:1">
      <c r="A887" t="s">
        <v>1419</v>
      </c>
    </row>
    <row r="888" spans="1:1">
      <c r="A888" t="s">
        <v>1420</v>
      </c>
    </row>
    <row r="889" spans="1:1">
      <c r="A889" t="s">
        <v>1421</v>
      </c>
    </row>
    <row r="890" spans="1:1">
      <c r="A890" t="s">
        <v>1422</v>
      </c>
    </row>
    <row r="891" spans="1:1">
      <c r="A891" t="s">
        <v>1423</v>
      </c>
    </row>
    <row r="892" spans="1:1">
      <c r="A892" t="s">
        <v>1424</v>
      </c>
    </row>
    <row r="893" spans="1:1">
      <c r="A893" t="s">
        <v>1425</v>
      </c>
    </row>
    <row r="894" spans="1:1">
      <c r="A894" t="s">
        <v>1426</v>
      </c>
    </row>
    <row r="895" spans="1:1">
      <c r="A895" t="s">
        <v>1427</v>
      </c>
    </row>
    <row r="896" spans="1:1">
      <c r="A896" t="s">
        <v>1428</v>
      </c>
    </row>
    <row r="897" spans="1:1">
      <c r="A897" t="s">
        <v>1429</v>
      </c>
    </row>
    <row r="898" spans="1:1">
      <c r="A898" t="s">
        <v>1430</v>
      </c>
    </row>
    <row r="899" spans="1:1">
      <c r="A899" t="s">
        <v>1431</v>
      </c>
    </row>
    <row r="900" spans="1:1">
      <c r="A900" t="s">
        <v>1432</v>
      </c>
    </row>
    <row r="901" spans="1:1">
      <c r="A901" t="s">
        <v>1433</v>
      </c>
    </row>
    <row r="902" spans="1:1">
      <c r="A902" t="s">
        <v>1434</v>
      </c>
    </row>
    <row r="903" spans="1:1">
      <c r="A903" t="s">
        <v>1435</v>
      </c>
    </row>
    <row r="904" spans="1:1">
      <c r="A904" t="s">
        <v>1436</v>
      </c>
    </row>
    <row r="905" spans="1:1">
      <c r="A905" t="s">
        <v>1437</v>
      </c>
    </row>
    <row r="906" spans="1:1">
      <c r="A906" t="s">
        <v>1438</v>
      </c>
    </row>
    <row r="907" spans="1:1">
      <c r="A907" t="s">
        <v>1439</v>
      </c>
    </row>
    <row r="908" spans="1:1">
      <c r="A908" t="s">
        <v>1440</v>
      </c>
    </row>
    <row r="909" spans="1:1">
      <c r="A909" t="s">
        <v>1441</v>
      </c>
    </row>
    <row r="910" spans="1:1">
      <c r="A910" t="s">
        <v>1442</v>
      </c>
    </row>
    <row r="911" spans="1:1">
      <c r="A911" t="s">
        <v>1443</v>
      </c>
    </row>
    <row r="912" spans="1:1">
      <c r="A912" t="s">
        <v>1444</v>
      </c>
    </row>
    <row r="913" spans="1:1">
      <c r="A913" t="s">
        <v>1445</v>
      </c>
    </row>
    <row r="914" spans="1:1">
      <c r="A914" t="s">
        <v>1446</v>
      </c>
    </row>
    <row r="915" spans="1:1">
      <c r="A915" t="s">
        <v>1447</v>
      </c>
    </row>
    <row r="916" spans="1:1">
      <c r="A916" t="s">
        <v>1448</v>
      </c>
    </row>
    <row r="917" spans="1:1">
      <c r="A917" t="s">
        <v>1449</v>
      </c>
    </row>
    <row r="918" spans="1:1">
      <c r="A918" t="s">
        <v>1450</v>
      </c>
    </row>
    <row r="919" spans="1:1">
      <c r="A919" t="s">
        <v>1451</v>
      </c>
    </row>
    <row r="920" spans="1:1">
      <c r="A920" t="s">
        <v>1452</v>
      </c>
    </row>
    <row r="921" spans="1:1">
      <c r="A921" t="s">
        <v>1453</v>
      </c>
    </row>
    <row r="922" spans="1:1">
      <c r="A922" t="s">
        <v>1454</v>
      </c>
    </row>
    <row r="923" spans="1:1">
      <c r="A923" t="s">
        <v>1455</v>
      </c>
    </row>
    <row r="924" spans="1:1">
      <c r="A924" t="s">
        <v>1456</v>
      </c>
    </row>
    <row r="925" spans="1:1">
      <c r="A925" t="s">
        <v>1457</v>
      </c>
    </row>
    <row r="926" spans="1:1">
      <c r="A926" t="s">
        <v>1458</v>
      </c>
    </row>
    <row r="927" spans="1:1">
      <c r="A927" t="s">
        <v>1459</v>
      </c>
    </row>
    <row r="928" spans="1:1">
      <c r="A928" t="s">
        <v>1460</v>
      </c>
    </row>
    <row r="929" spans="1:1">
      <c r="A929" t="s">
        <v>1461</v>
      </c>
    </row>
    <row r="930" spans="1:1">
      <c r="A930" t="s">
        <v>1462</v>
      </c>
    </row>
    <row r="931" spans="1:1">
      <c r="A931" t="s">
        <v>1463</v>
      </c>
    </row>
    <row r="932" spans="1:1">
      <c r="A932" t="s">
        <v>1464</v>
      </c>
    </row>
    <row r="933" spans="1:1">
      <c r="A933" t="s">
        <v>1465</v>
      </c>
    </row>
    <row r="934" spans="1:1">
      <c r="A934" t="s">
        <v>1466</v>
      </c>
    </row>
    <row r="935" spans="1:1">
      <c r="A935" t="s">
        <v>1467</v>
      </c>
    </row>
    <row r="936" spans="1:1">
      <c r="A936" t="s">
        <v>1468</v>
      </c>
    </row>
    <row r="937" spans="1:1">
      <c r="A937" t="s">
        <v>1469</v>
      </c>
    </row>
    <row r="938" spans="1:1">
      <c r="A938" t="s">
        <v>1470</v>
      </c>
    </row>
    <row r="939" spans="1:1">
      <c r="A939" t="s">
        <v>1471</v>
      </c>
    </row>
    <row r="940" spans="1:1">
      <c r="A940" t="s">
        <v>1472</v>
      </c>
    </row>
    <row r="941" spans="1:1">
      <c r="A941" t="s">
        <v>1473</v>
      </c>
    </row>
    <row r="942" spans="1:1">
      <c r="A942" t="s">
        <v>1474</v>
      </c>
    </row>
    <row r="943" spans="1:1">
      <c r="A943" t="s">
        <v>1475</v>
      </c>
    </row>
    <row r="944" spans="1:1">
      <c r="A944" t="s">
        <v>1476</v>
      </c>
    </row>
    <row r="945" spans="1:1">
      <c r="A945" t="s">
        <v>1477</v>
      </c>
    </row>
    <row r="946" spans="1:1">
      <c r="A946" t="s">
        <v>1478</v>
      </c>
    </row>
    <row r="947" spans="1:1">
      <c r="A947" t="s">
        <v>1479</v>
      </c>
    </row>
    <row r="948" spans="1:1">
      <c r="A948" t="s">
        <v>1480</v>
      </c>
    </row>
    <row r="949" spans="1:1">
      <c r="A949" t="s">
        <v>1481</v>
      </c>
    </row>
    <row r="950" spans="1:1">
      <c r="A950" t="s">
        <v>1482</v>
      </c>
    </row>
    <row r="951" spans="1:1">
      <c r="A951" t="s">
        <v>1483</v>
      </c>
    </row>
    <row r="952" spans="1:1">
      <c r="A952" t="s">
        <v>1484</v>
      </c>
    </row>
    <row r="953" spans="1:1">
      <c r="A953" t="s">
        <v>1485</v>
      </c>
    </row>
    <row r="954" spans="1:1">
      <c r="A954" t="s">
        <v>1486</v>
      </c>
    </row>
    <row r="955" spans="1:1">
      <c r="A955" t="s">
        <v>1487</v>
      </c>
    </row>
    <row r="956" spans="1:1">
      <c r="A956" t="s">
        <v>1488</v>
      </c>
    </row>
    <row r="957" spans="1:1">
      <c r="A957" t="s">
        <v>1489</v>
      </c>
    </row>
    <row r="958" spans="1:1">
      <c r="A958" t="s">
        <v>1490</v>
      </c>
    </row>
    <row r="959" spans="1:1">
      <c r="A959" t="s">
        <v>1491</v>
      </c>
    </row>
    <row r="960" spans="1:1">
      <c r="A960" t="s">
        <v>1492</v>
      </c>
    </row>
    <row r="961" spans="1:1">
      <c r="A961" t="s">
        <v>1493</v>
      </c>
    </row>
    <row r="962" spans="1:1">
      <c r="A962" t="s">
        <v>1494</v>
      </c>
    </row>
    <row r="963" spans="1:1">
      <c r="A963" t="s">
        <v>1495</v>
      </c>
    </row>
    <row r="964" spans="1:1">
      <c r="A964" t="s">
        <v>1496</v>
      </c>
    </row>
    <row r="965" spans="1:1">
      <c r="A965" t="s">
        <v>1497</v>
      </c>
    </row>
    <row r="966" spans="1:1">
      <c r="A966" t="s">
        <v>1498</v>
      </c>
    </row>
    <row r="967" spans="1:1">
      <c r="A967" t="s">
        <v>1499</v>
      </c>
    </row>
    <row r="968" spans="1:1">
      <c r="A968" t="s">
        <v>1500</v>
      </c>
    </row>
    <row r="969" spans="1:1">
      <c r="A969" t="s">
        <v>1501</v>
      </c>
    </row>
    <row r="970" spans="1:1">
      <c r="A970" t="s">
        <v>1502</v>
      </c>
    </row>
    <row r="971" spans="1:1">
      <c r="A971" t="s">
        <v>1503</v>
      </c>
    </row>
    <row r="972" spans="1:1">
      <c r="A972" t="s">
        <v>1504</v>
      </c>
    </row>
    <row r="973" spans="1:1">
      <c r="A973" t="s">
        <v>1505</v>
      </c>
    </row>
    <row r="974" spans="1:1">
      <c r="A974" t="s">
        <v>1506</v>
      </c>
    </row>
    <row r="975" spans="1:1">
      <c r="A975" t="s">
        <v>1507</v>
      </c>
    </row>
    <row r="976" spans="1:1">
      <c r="A976" t="s">
        <v>1508</v>
      </c>
    </row>
    <row r="977" spans="1:1">
      <c r="A977" t="s">
        <v>1509</v>
      </c>
    </row>
    <row r="978" spans="1:1">
      <c r="A978" t="s">
        <v>1510</v>
      </c>
    </row>
    <row r="979" spans="1:1">
      <c r="A979" t="s">
        <v>1511</v>
      </c>
    </row>
    <row r="980" spans="1:1">
      <c r="A980" t="s">
        <v>1512</v>
      </c>
    </row>
    <row r="981" spans="1:1">
      <c r="A981" t="s">
        <v>1513</v>
      </c>
    </row>
    <row r="982" spans="1:1">
      <c r="A982" t="s">
        <v>1514</v>
      </c>
    </row>
    <row r="983" spans="1:1">
      <c r="A983" t="s">
        <v>1515</v>
      </c>
    </row>
    <row r="984" spans="1:1">
      <c r="A984" t="s">
        <v>1516</v>
      </c>
    </row>
    <row r="985" spans="1:1">
      <c r="A985" t="s">
        <v>1517</v>
      </c>
    </row>
    <row r="986" spans="1:1">
      <c r="A986" t="s">
        <v>1518</v>
      </c>
    </row>
    <row r="987" spans="1:1">
      <c r="A987" t="s">
        <v>1519</v>
      </c>
    </row>
    <row r="988" spans="1:1">
      <c r="A988" t="s">
        <v>1520</v>
      </c>
    </row>
    <row r="989" spans="1:1">
      <c r="A989" t="s">
        <v>1521</v>
      </c>
    </row>
    <row r="990" spans="1:1">
      <c r="A990" t="s">
        <v>1522</v>
      </c>
    </row>
    <row r="991" spans="1:1">
      <c r="A991" t="s">
        <v>1523</v>
      </c>
    </row>
    <row r="992" spans="1:1">
      <c r="A992" t="s">
        <v>1524</v>
      </c>
    </row>
    <row r="993" spans="1:1">
      <c r="A993" t="s">
        <v>1525</v>
      </c>
    </row>
    <row r="994" spans="1:1">
      <c r="A994" t="s">
        <v>1526</v>
      </c>
    </row>
    <row r="995" spans="1:1">
      <c r="A995" t="s">
        <v>1527</v>
      </c>
    </row>
    <row r="996" spans="1:1">
      <c r="A996" t="s">
        <v>1528</v>
      </c>
    </row>
    <row r="997" spans="1:1">
      <c r="A997" t="s">
        <v>1529</v>
      </c>
    </row>
    <row r="998" spans="1:1">
      <c r="A998" t="s">
        <v>1530</v>
      </c>
    </row>
    <row r="999" spans="1:1">
      <c r="A999" t="s">
        <v>1531</v>
      </c>
    </row>
    <row r="1000" spans="1:1">
      <c r="A1000" t="s">
        <v>1532</v>
      </c>
    </row>
    <row r="1001" spans="1:1">
      <c r="A1001" t="s">
        <v>1533</v>
      </c>
    </row>
    <row r="1002" spans="1:1">
      <c r="A1002" t="s">
        <v>1534</v>
      </c>
    </row>
    <row r="1003" spans="1:1">
      <c r="A1003" t="s">
        <v>1535</v>
      </c>
    </row>
    <row r="1004" spans="1:1">
      <c r="A1004" t="s">
        <v>1536</v>
      </c>
    </row>
    <row r="1005" spans="1:1">
      <c r="A1005" t="s">
        <v>1537</v>
      </c>
    </row>
    <row r="1006" spans="1:1">
      <c r="A1006" t="s">
        <v>1538</v>
      </c>
    </row>
    <row r="1007" spans="1:1">
      <c r="A1007" t="s">
        <v>1539</v>
      </c>
    </row>
    <row r="1008" spans="1:1">
      <c r="A1008" t="s">
        <v>1540</v>
      </c>
    </row>
    <row r="1009" spans="1:1">
      <c r="A1009" t="s">
        <v>1541</v>
      </c>
    </row>
    <row r="1010" spans="1:1">
      <c r="A1010" t="s">
        <v>1542</v>
      </c>
    </row>
    <row r="1011" spans="1:1">
      <c r="A1011" t="s">
        <v>1543</v>
      </c>
    </row>
    <row r="1012" spans="1:1">
      <c r="A1012" t="s">
        <v>1544</v>
      </c>
    </row>
    <row r="1013" spans="1:1">
      <c r="A1013" t="s">
        <v>1545</v>
      </c>
    </row>
    <row r="1014" spans="1:1">
      <c r="A1014" t="s">
        <v>1546</v>
      </c>
    </row>
    <row r="1015" spans="1:1">
      <c r="A1015" t="s">
        <v>1547</v>
      </c>
    </row>
    <row r="1016" spans="1:1">
      <c r="A1016" t="s">
        <v>1548</v>
      </c>
    </row>
    <row r="1017" spans="1:1">
      <c r="A1017" t="s">
        <v>1549</v>
      </c>
    </row>
    <row r="1018" spans="1:1">
      <c r="A1018" t="s">
        <v>1550</v>
      </c>
    </row>
    <row r="1019" spans="1:1">
      <c r="A1019" t="s">
        <v>1551</v>
      </c>
    </row>
    <row r="1020" spans="1:1">
      <c r="A1020" t="s">
        <v>1552</v>
      </c>
    </row>
    <row r="1021" spans="1:1">
      <c r="A1021" t="s">
        <v>1553</v>
      </c>
    </row>
    <row r="1022" spans="1:1">
      <c r="A1022" t="s">
        <v>1554</v>
      </c>
    </row>
    <row r="1023" spans="1:1">
      <c r="A1023" t="s">
        <v>1555</v>
      </c>
    </row>
    <row r="1024" spans="1:1">
      <c r="A1024" t="s">
        <v>1556</v>
      </c>
    </row>
    <row r="1025" spans="1:1">
      <c r="A1025" t="s">
        <v>1557</v>
      </c>
    </row>
    <row r="1026" spans="1:1">
      <c r="A1026" t="s">
        <v>1558</v>
      </c>
    </row>
    <row r="1027" spans="1:1">
      <c r="A1027" t="s">
        <v>1559</v>
      </c>
    </row>
    <row r="1028" spans="1:1">
      <c r="A1028" t="s">
        <v>1560</v>
      </c>
    </row>
    <row r="1029" spans="1:1">
      <c r="A1029" t="s">
        <v>1561</v>
      </c>
    </row>
    <row r="1030" spans="1:1">
      <c r="A1030" t="s">
        <v>1562</v>
      </c>
    </row>
    <row r="1031" spans="1:1">
      <c r="A1031" t="s">
        <v>1563</v>
      </c>
    </row>
    <row r="1032" spans="1:1">
      <c r="A1032" t="s">
        <v>1564</v>
      </c>
    </row>
    <row r="1033" spans="1:1">
      <c r="A1033" t="s">
        <v>1565</v>
      </c>
    </row>
    <row r="1034" spans="1:1">
      <c r="A1034" t="s">
        <v>1566</v>
      </c>
    </row>
    <row r="1035" spans="1:1">
      <c r="A1035" t="s">
        <v>1567</v>
      </c>
    </row>
    <row r="1036" spans="1:1">
      <c r="A1036" t="s">
        <v>1568</v>
      </c>
    </row>
    <row r="1037" spans="1:1">
      <c r="A1037" t="s">
        <v>1569</v>
      </c>
    </row>
    <row r="1038" spans="1:1">
      <c r="A1038" t="s">
        <v>1570</v>
      </c>
    </row>
    <row r="1039" spans="1:1">
      <c r="A1039" t="s">
        <v>1571</v>
      </c>
    </row>
    <row r="1040" spans="1:1">
      <c r="A1040" t="s">
        <v>1572</v>
      </c>
    </row>
    <row r="1041" spans="1:1">
      <c r="A1041" t="s">
        <v>1573</v>
      </c>
    </row>
    <row r="1042" spans="1:1">
      <c r="A1042" t="s">
        <v>1574</v>
      </c>
    </row>
    <row r="1043" spans="1:1">
      <c r="A1043" t="s">
        <v>1575</v>
      </c>
    </row>
    <row r="1044" spans="1:1">
      <c r="A1044" t="s">
        <v>1576</v>
      </c>
    </row>
    <row r="1045" spans="1:1">
      <c r="A1045" t="s">
        <v>1577</v>
      </c>
    </row>
    <row r="1046" spans="1:1">
      <c r="A1046" t="s">
        <v>1578</v>
      </c>
    </row>
    <row r="1047" spans="1:1">
      <c r="A1047" t="s">
        <v>1579</v>
      </c>
    </row>
    <row r="1048" spans="1:1">
      <c r="A1048" t="s">
        <v>1580</v>
      </c>
    </row>
    <row r="1049" spans="1:1">
      <c r="A1049" t="s">
        <v>1581</v>
      </c>
    </row>
    <row r="1050" spans="1:1">
      <c r="A1050" t="s">
        <v>1582</v>
      </c>
    </row>
    <row r="1051" spans="1:1">
      <c r="A1051" t="s">
        <v>1583</v>
      </c>
    </row>
    <row r="1052" spans="1:1">
      <c r="A1052" t="s">
        <v>1584</v>
      </c>
    </row>
    <row r="1053" spans="1:1">
      <c r="A1053" t="s">
        <v>1585</v>
      </c>
    </row>
    <row r="1054" spans="1:1">
      <c r="A1054" t="s">
        <v>1586</v>
      </c>
    </row>
    <row r="1055" spans="1:1">
      <c r="A1055" t="s">
        <v>1587</v>
      </c>
    </row>
    <row r="1056" spans="1:1">
      <c r="A1056" t="s">
        <v>1588</v>
      </c>
    </row>
    <row r="1057" spans="1:1">
      <c r="A1057" t="s">
        <v>1589</v>
      </c>
    </row>
    <row r="1058" spans="1:1">
      <c r="A1058" t="s">
        <v>1590</v>
      </c>
    </row>
    <row r="1059" spans="1:1">
      <c r="A1059" t="s">
        <v>1591</v>
      </c>
    </row>
    <row r="1060" spans="1:1">
      <c r="A1060" t="s">
        <v>1592</v>
      </c>
    </row>
    <row r="1061" spans="1:1">
      <c r="A1061" t="s">
        <v>1593</v>
      </c>
    </row>
    <row r="1062" spans="1:1">
      <c r="A1062" t="s">
        <v>1594</v>
      </c>
    </row>
    <row r="1063" spans="1:1">
      <c r="A1063" t="s">
        <v>1595</v>
      </c>
    </row>
    <row r="1064" spans="1:1">
      <c r="A1064" t="s">
        <v>1596</v>
      </c>
    </row>
    <row r="1065" spans="1:1">
      <c r="A1065" t="s">
        <v>1597</v>
      </c>
    </row>
    <row r="1066" spans="1:1">
      <c r="A1066" t="s">
        <v>1598</v>
      </c>
    </row>
    <row r="1067" spans="1:1">
      <c r="A1067" t="s">
        <v>1599</v>
      </c>
    </row>
    <row r="1068" spans="1:1">
      <c r="A1068" t="s">
        <v>1600</v>
      </c>
    </row>
    <row r="1069" spans="1:1">
      <c r="A1069" t="s">
        <v>1601</v>
      </c>
    </row>
    <row r="1070" spans="1:1">
      <c r="A1070" t="s">
        <v>1602</v>
      </c>
    </row>
    <row r="1071" spans="1:1">
      <c r="A1071" t="s">
        <v>1603</v>
      </c>
    </row>
    <row r="1072" spans="1:1">
      <c r="A1072" t="s">
        <v>1604</v>
      </c>
    </row>
    <row r="1073" spans="1:1">
      <c r="A1073" t="s">
        <v>1605</v>
      </c>
    </row>
    <row r="1074" spans="1:1">
      <c r="A1074" t="s">
        <v>1606</v>
      </c>
    </row>
    <row r="1075" spans="1:1">
      <c r="A1075" t="s">
        <v>1607</v>
      </c>
    </row>
    <row r="1076" spans="1:1">
      <c r="A1076" t="s">
        <v>1608</v>
      </c>
    </row>
    <row r="1077" spans="1:1">
      <c r="A1077" t="s">
        <v>1609</v>
      </c>
    </row>
    <row r="1078" spans="1:1">
      <c r="A1078" t="s">
        <v>1610</v>
      </c>
    </row>
    <row r="1079" spans="1:1">
      <c r="A1079" t="s">
        <v>1611</v>
      </c>
    </row>
    <row r="1080" spans="1:1">
      <c r="A1080" t="s">
        <v>1612</v>
      </c>
    </row>
    <row r="1081" spans="1:1">
      <c r="A1081" t="s">
        <v>1613</v>
      </c>
    </row>
    <row r="1082" spans="1:1">
      <c r="A1082" t="s">
        <v>1614</v>
      </c>
    </row>
    <row r="1083" spans="1:1">
      <c r="A1083" t="s">
        <v>1615</v>
      </c>
    </row>
    <row r="1084" spans="1:1">
      <c r="A1084" t="s">
        <v>1616</v>
      </c>
    </row>
    <row r="1085" spans="1:1">
      <c r="A1085" t="s">
        <v>1617</v>
      </c>
    </row>
    <row r="1086" spans="1:1">
      <c r="A1086" t="s">
        <v>1618</v>
      </c>
    </row>
    <row r="1087" spans="1:1">
      <c r="A1087" t="s">
        <v>1619</v>
      </c>
    </row>
    <row r="1088" spans="1:1">
      <c r="A1088" t="s">
        <v>1620</v>
      </c>
    </row>
    <row r="1089" spans="1:1">
      <c r="A1089" t="s">
        <v>1621</v>
      </c>
    </row>
    <row r="1090" spans="1:1">
      <c r="A1090" t="s">
        <v>1622</v>
      </c>
    </row>
    <row r="1091" spans="1:1">
      <c r="A1091" t="s">
        <v>1623</v>
      </c>
    </row>
    <row r="1092" spans="1:1">
      <c r="A1092" t="s">
        <v>1624</v>
      </c>
    </row>
    <row r="1093" spans="1:1">
      <c r="A1093" t="s">
        <v>1625</v>
      </c>
    </row>
    <row r="1094" spans="1:1">
      <c r="A1094" t="s">
        <v>1626</v>
      </c>
    </row>
    <row r="1095" spans="1:1">
      <c r="A1095" t="s">
        <v>1627</v>
      </c>
    </row>
    <row r="1096" spans="1:1">
      <c r="A1096" t="s">
        <v>1628</v>
      </c>
    </row>
    <row r="1097" spans="1:1">
      <c r="A1097" t="s">
        <v>1629</v>
      </c>
    </row>
    <row r="1098" spans="1:1">
      <c r="A1098" t="s">
        <v>1630</v>
      </c>
    </row>
    <row r="1099" spans="1:1">
      <c r="A1099" t="s">
        <v>1631</v>
      </c>
    </row>
    <row r="1100" spans="1:1">
      <c r="A1100" t="s">
        <v>1632</v>
      </c>
    </row>
    <row r="1101" spans="1:1">
      <c r="A1101" t="s">
        <v>1633</v>
      </c>
    </row>
    <row r="1102" spans="1:1">
      <c r="A1102" t="s">
        <v>1634</v>
      </c>
    </row>
    <row r="1103" spans="1:1">
      <c r="A1103" t="s">
        <v>1635</v>
      </c>
    </row>
    <row r="1104" spans="1:1">
      <c r="A1104" t="s">
        <v>1636</v>
      </c>
    </row>
    <row r="1105" spans="1:1">
      <c r="A1105" t="s">
        <v>1637</v>
      </c>
    </row>
    <row r="1106" spans="1:1">
      <c r="A1106" t="s">
        <v>1638</v>
      </c>
    </row>
    <row r="1107" spans="1:1">
      <c r="A1107" t="s">
        <v>1639</v>
      </c>
    </row>
    <row r="1108" spans="1:1">
      <c r="A1108" t="s">
        <v>1640</v>
      </c>
    </row>
    <row r="1109" spans="1:1">
      <c r="A1109" t="s">
        <v>1641</v>
      </c>
    </row>
    <row r="1110" spans="1:1">
      <c r="A1110" t="s">
        <v>1642</v>
      </c>
    </row>
    <row r="1111" spans="1:1">
      <c r="A1111" t="s">
        <v>1643</v>
      </c>
    </row>
    <row r="1112" spans="1:1">
      <c r="A1112" t="s">
        <v>1644</v>
      </c>
    </row>
    <row r="1113" spans="1:1">
      <c r="A1113" t="s">
        <v>1645</v>
      </c>
    </row>
    <row r="1114" spans="1:1">
      <c r="A1114" t="s">
        <v>1646</v>
      </c>
    </row>
    <row r="1115" spans="1:1">
      <c r="A1115" t="s">
        <v>1647</v>
      </c>
    </row>
    <row r="1116" spans="1:1">
      <c r="A1116" t="s">
        <v>1648</v>
      </c>
    </row>
    <row r="1117" spans="1:1">
      <c r="A1117" t="s">
        <v>1649</v>
      </c>
    </row>
    <row r="1118" spans="1:1">
      <c r="A1118" t="s">
        <v>1650</v>
      </c>
    </row>
    <row r="1119" spans="1:1">
      <c r="A1119" t="s">
        <v>1651</v>
      </c>
    </row>
    <row r="1120" spans="1:1">
      <c r="A1120" t="s">
        <v>1652</v>
      </c>
    </row>
    <row r="1121" spans="1:1">
      <c r="A1121" t="s">
        <v>1653</v>
      </c>
    </row>
    <row r="1122" spans="1:1">
      <c r="A1122" t="s">
        <v>1654</v>
      </c>
    </row>
    <row r="1123" spans="1:1">
      <c r="A1123" t="s">
        <v>1655</v>
      </c>
    </row>
    <row r="1124" spans="1:1">
      <c r="A1124" t="s">
        <v>1656</v>
      </c>
    </row>
    <row r="1125" spans="1:1">
      <c r="A1125" t="s">
        <v>1657</v>
      </c>
    </row>
    <row r="1126" spans="1:1">
      <c r="A1126" t="s">
        <v>1658</v>
      </c>
    </row>
    <row r="1127" spans="1:1">
      <c r="A1127" t="s">
        <v>1659</v>
      </c>
    </row>
    <row r="1128" spans="1:1">
      <c r="A1128" t="s">
        <v>1660</v>
      </c>
    </row>
    <row r="1129" spans="1:1">
      <c r="A1129" t="s">
        <v>1661</v>
      </c>
    </row>
    <row r="1130" spans="1:1">
      <c r="A1130" t="s">
        <v>1662</v>
      </c>
    </row>
    <row r="1131" spans="1:1">
      <c r="A1131" t="s">
        <v>1663</v>
      </c>
    </row>
    <row r="1132" spans="1:1">
      <c r="A1132" t="s">
        <v>1664</v>
      </c>
    </row>
    <row r="1133" spans="1:1">
      <c r="A1133" t="s">
        <v>1665</v>
      </c>
    </row>
    <row r="1134" spans="1:1">
      <c r="A1134" t="s">
        <v>1666</v>
      </c>
    </row>
    <row r="1135" spans="1:1">
      <c r="A1135" t="s">
        <v>1667</v>
      </c>
    </row>
    <row r="1136" spans="1:1">
      <c r="A1136" t="s">
        <v>1668</v>
      </c>
    </row>
    <row r="1137" spans="1:1">
      <c r="A1137" t="s">
        <v>1669</v>
      </c>
    </row>
    <row r="1138" spans="1:1">
      <c r="A1138" t="s">
        <v>1670</v>
      </c>
    </row>
    <row r="1139" spans="1:1">
      <c r="A1139" t="s">
        <v>1671</v>
      </c>
    </row>
    <row r="1140" spans="1:1">
      <c r="A1140" t="s">
        <v>1672</v>
      </c>
    </row>
    <row r="1141" spans="1:1">
      <c r="A1141" t="s">
        <v>1673</v>
      </c>
    </row>
    <row r="1142" spans="1:1">
      <c r="A1142" t="s">
        <v>1674</v>
      </c>
    </row>
    <row r="1143" spans="1:1">
      <c r="A1143" t="s">
        <v>1675</v>
      </c>
    </row>
    <row r="1144" spans="1:1">
      <c r="A1144" t="s">
        <v>1676</v>
      </c>
    </row>
    <row r="1145" spans="1:1">
      <c r="A1145" t="s">
        <v>1677</v>
      </c>
    </row>
    <row r="1146" spans="1:1">
      <c r="A1146" t="s">
        <v>1678</v>
      </c>
    </row>
    <row r="1147" spans="1:1">
      <c r="A1147" t="s">
        <v>1679</v>
      </c>
    </row>
    <row r="1148" spans="1:1">
      <c r="A1148" t="s">
        <v>1680</v>
      </c>
    </row>
    <row r="1149" spans="1:1">
      <c r="A1149" t="s">
        <v>1681</v>
      </c>
    </row>
    <row r="1150" spans="1:1">
      <c r="A1150" t="s">
        <v>1682</v>
      </c>
    </row>
    <row r="1151" spans="1:1">
      <c r="A1151" t="s">
        <v>1683</v>
      </c>
    </row>
    <row r="1152" spans="1:1">
      <c r="A1152" t="s">
        <v>1684</v>
      </c>
    </row>
    <row r="1153" spans="1:1">
      <c r="A1153" t="s">
        <v>1685</v>
      </c>
    </row>
    <row r="1154" spans="1:1">
      <c r="A1154" t="s">
        <v>1686</v>
      </c>
    </row>
    <row r="1155" spans="1:1">
      <c r="A1155" t="s">
        <v>1687</v>
      </c>
    </row>
    <row r="1156" spans="1:1">
      <c r="A1156" t="s">
        <v>1688</v>
      </c>
    </row>
    <row r="1157" spans="1:1">
      <c r="A1157" t="s">
        <v>1689</v>
      </c>
    </row>
    <row r="1158" spans="1:1">
      <c r="A1158" t="s">
        <v>1690</v>
      </c>
    </row>
    <row r="1159" spans="1:1">
      <c r="A1159" t="s">
        <v>1691</v>
      </c>
    </row>
    <row r="1160" spans="1:1">
      <c r="A1160" t="s">
        <v>1692</v>
      </c>
    </row>
    <row r="1161" spans="1:1">
      <c r="A1161" t="s">
        <v>1693</v>
      </c>
    </row>
    <row r="1162" spans="1:1">
      <c r="A1162" t="s">
        <v>1694</v>
      </c>
    </row>
    <row r="1163" spans="1:1">
      <c r="A1163" t="s">
        <v>1695</v>
      </c>
    </row>
    <row r="1164" spans="1:1">
      <c r="A1164" t="s">
        <v>1696</v>
      </c>
    </row>
    <row r="1165" spans="1:1">
      <c r="A1165" t="s">
        <v>1697</v>
      </c>
    </row>
    <row r="1166" spans="1:1">
      <c r="A1166" t="s">
        <v>1698</v>
      </c>
    </row>
    <row r="1167" spans="1:1">
      <c r="A1167" t="s">
        <v>1699</v>
      </c>
    </row>
    <row r="1168" spans="1:1">
      <c r="A1168" t="s">
        <v>1700</v>
      </c>
    </row>
    <row r="1169" spans="1:1">
      <c r="A1169" t="s">
        <v>1701</v>
      </c>
    </row>
    <row r="1170" spans="1:1">
      <c r="A1170" t="s">
        <v>1702</v>
      </c>
    </row>
    <row r="1171" spans="1:1">
      <c r="A1171" t="s">
        <v>1703</v>
      </c>
    </row>
    <row r="1172" spans="1:1">
      <c r="A1172" t="s">
        <v>1704</v>
      </c>
    </row>
    <row r="1173" spans="1:1">
      <c r="A1173" t="s">
        <v>1705</v>
      </c>
    </row>
    <row r="1174" spans="1:1">
      <c r="A1174" t="s">
        <v>1706</v>
      </c>
    </row>
    <row r="1175" spans="1:1">
      <c r="A1175" t="s">
        <v>1707</v>
      </c>
    </row>
    <row r="1176" spans="1:1">
      <c r="A1176" t="s">
        <v>1708</v>
      </c>
    </row>
    <row r="1177" spans="1:1">
      <c r="A1177" t="s">
        <v>1709</v>
      </c>
    </row>
    <row r="1178" spans="1:1">
      <c r="A1178" t="s">
        <v>1710</v>
      </c>
    </row>
    <row r="1179" spans="1:1">
      <c r="A1179" t="s">
        <v>1711</v>
      </c>
    </row>
    <row r="1180" spans="1:1">
      <c r="A1180" t="s">
        <v>1712</v>
      </c>
    </row>
    <row r="1181" spans="1:1">
      <c r="A1181" t="s">
        <v>1713</v>
      </c>
    </row>
    <row r="1182" spans="1:1">
      <c r="A1182" t="s">
        <v>1714</v>
      </c>
    </row>
    <row r="1183" spans="1:1">
      <c r="A1183" t="s">
        <v>1715</v>
      </c>
    </row>
    <row r="1184" spans="1:1">
      <c r="A1184" t="s">
        <v>1716</v>
      </c>
    </row>
    <row r="1185" spans="1:1">
      <c r="A1185" t="s">
        <v>1717</v>
      </c>
    </row>
    <row r="1186" spans="1:1">
      <c r="A1186" t="s">
        <v>1718</v>
      </c>
    </row>
    <row r="1187" spans="1:1">
      <c r="A1187" t="s">
        <v>1719</v>
      </c>
    </row>
    <row r="1188" spans="1:1">
      <c r="A1188" t="s">
        <v>1720</v>
      </c>
    </row>
    <row r="1189" spans="1:1">
      <c r="A1189" t="s">
        <v>1721</v>
      </c>
    </row>
    <row r="1190" spans="1:1">
      <c r="A1190" t="s">
        <v>1722</v>
      </c>
    </row>
    <row r="1191" spans="1:1">
      <c r="A1191" t="s">
        <v>1723</v>
      </c>
    </row>
    <row r="1192" spans="1:1">
      <c r="A1192" t="s">
        <v>1724</v>
      </c>
    </row>
    <row r="1193" spans="1:1">
      <c r="A1193" t="s">
        <v>1725</v>
      </c>
    </row>
    <row r="1194" spans="1:1">
      <c r="A1194" t="s">
        <v>1726</v>
      </c>
    </row>
    <row r="1195" spans="1:1">
      <c r="A1195" t="s">
        <v>1727</v>
      </c>
    </row>
    <row r="1196" spans="1:1">
      <c r="A1196" t="s">
        <v>1728</v>
      </c>
    </row>
    <row r="1197" spans="1:1">
      <c r="A1197" t="s">
        <v>1729</v>
      </c>
    </row>
    <row r="1198" spans="1:1">
      <c r="A1198" t="s">
        <v>1730</v>
      </c>
    </row>
    <row r="1199" spans="1:1">
      <c r="A1199" t="s">
        <v>1731</v>
      </c>
    </row>
    <row r="1200" spans="1:1">
      <c r="A1200" t="s">
        <v>1732</v>
      </c>
    </row>
    <row r="1201" spans="1:1">
      <c r="A1201" t="s">
        <v>1733</v>
      </c>
    </row>
    <row r="1202" spans="1:1">
      <c r="A1202" t="s">
        <v>1734</v>
      </c>
    </row>
    <row r="1203" spans="1:1">
      <c r="A1203" t="s">
        <v>1735</v>
      </c>
    </row>
    <row r="1204" spans="1:1">
      <c r="A1204" t="s">
        <v>1736</v>
      </c>
    </row>
    <row r="1205" spans="1:1">
      <c r="A1205" t="s">
        <v>1737</v>
      </c>
    </row>
    <row r="1206" spans="1:1">
      <c r="A1206" t="s">
        <v>1738</v>
      </c>
    </row>
    <row r="1207" spans="1:1">
      <c r="A1207" t="s">
        <v>1739</v>
      </c>
    </row>
    <row r="1208" spans="1:1">
      <c r="A1208" t="s">
        <v>1740</v>
      </c>
    </row>
    <row r="1209" spans="1:1">
      <c r="A1209" t="s">
        <v>1741</v>
      </c>
    </row>
    <row r="1210" spans="1:1">
      <c r="A1210" t="s">
        <v>1742</v>
      </c>
    </row>
    <row r="1211" spans="1:1">
      <c r="A1211" t="s">
        <v>1743</v>
      </c>
    </row>
    <row r="1212" spans="1:1">
      <c r="A1212" t="s">
        <v>1744</v>
      </c>
    </row>
    <row r="1213" spans="1:1">
      <c r="A1213" t="s">
        <v>1745</v>
      </c>
    </row>
    <row r="1214" spans="1:1">
      <c r="A1214" t="s">
        <v>1746</v>
      </c>
    </row>
    <row r="1215" spans="1:1">
      <c r="A1215" t="s">
        <v>1747</v>
      </c>
    </row>
    <row r="1216" spans="1:1">
      <c r="A1216" t="s">
        <v>1748</v>
      </c>
    </row>
    <row r="1217" spans="1:1">
      <c r="A1217" t="s">
        <v>1749</v>
      </c>
    </row>
    <row r="1218" spans="1:1">
      <c r="A1218" t="s">
        <v>1750</v>
      </c>
    </row>
    <row r="1219" spans="1:1">
      <c r="A1219" t="s">
        <v>1751</v>
      </c>
    </row>
    <row r="1220" spans="1:1">
      <c r="A1220" t="s">
        <v>1752</v>
      </c>
    </row>
    <row r="1221" spans="1:1">
      <c r="A1221" t="s">
        <v>1753</v>
      </c>
    </row>
    <row r="1222" spans="1:1">
      <c r="A1222" t="s">
        <v>1754</v>
      </c>
    </row>
    <row r="1223" spans="1:1">
      <c r="A1223" t="s">
        <v>1755</v>
      </c>
    </row>
    <row r="1224" spans="1:1">
      <c r="A1224" t="s">
        <v>1756</v>
      </c>
    </row>
    <row r="1225" spans="1:1">
      <c r="A1225" t="s">
        <v>1757</v>
      </c>
    </row>
    <row r="1226" spans="1:1">
      <c r="A1226" t="s">
        <v>1758</v>
      </c>
    </row>
    <row r="1227" spans="1:1">
      <c r="A1227" t="s">
        <v>1759</v>
      </c>
    </row>
    <row r="1228" spans="1:1">
      <c r="A1228" t="s">
        <v>1760</v>
      </c>
    </row>
    <row r="1229" spans="1:1">
      <c r="A1229" t="s">
        <v>1761</v>
      </c>
    </row>
    <row r="1230" spans="1:1">
      <c r="A1230" t="s">
        <v>1762</v>
      </c>
    </row>
    <row r="1231" spans="1:1">
      <c r="A1231" t="s">
        <v>1763</v>
      </c>
    </row>
    <row r="1232" spans="1:1">
      <c r="A1232" t="s">
        <v>1764</v>
      </c>
    </row>
    <row r="1233" spans="1:1">
      <c r="A1233" t="s">
        <v>1765</v>
      </c>
    </row>
    <row r="1234" spans="1:1">
      <c r="A1234" t="s">
        <v>1766</v>
      </c>
    </row>
    <row r="1235" spans="1:1">
      <c r="A1235" t="s">
        <v>1767</v>
      </c>
    </row>
    <row r="1236" spans="1:1">
      <c r="A1236" t="s">
        <v>1768</v>
      </c>
    </row>
    <row r="1237" spans="1:1">
      <c r="A1237" t="s">
        <v>1769</v>
      </c>
    </row>
    <row r="1238" spans="1:1">
      <c r="A1238" t="s">
        <v>1770</v>
      </c>
    </row>
    <row r="1239" spans="1:1">
      <c r="A1239" t="s">
        <v>1771</v>
      </c>
    </row>
    <row r="1240" spans="1:1">
      <c r="A1240" t="s">
        <v>1772</v>
      </c>
    </row>
    <row r="1241" spans="1:1">
      <c r="A1241" t="s">
        <v>1773</v>
      </c>
    </row>
    <row r="1242" spans="1:1">
      <c r="A1242" t="s">
        <v>1774</v>
      </c>
    </row>
    <row r="1243" spans="1:1">
      <c r="A1243" t="s">
        <v>1775</v>
      </c>
    </row>
    <row r="1244" spans="1:1">
      <c r="A1244" t="s">
        <v>1776</v>
      </c>
    </row>
    <row r="1245" spans="1:1">
      <c r="A1245" t="s">
        <v>1777</v>
      </c>
    </row>
    <row r="1246" spans="1:1">
      <c r="A1246" t="s">
        <v>1778</v>
      </c>
    </row>
    <row r="1247" spans="1:1">
      <c r="A1247" t="s">
        <v>1779</v>
      </c>
    </row>
    <row r="1248" spans="1:1">
      <c r="A1248" t="s">
        <v>1780</v>
      </c>
    </row>
    <row r="1249" spans="1:1">
      <c r="A1249" t="s">
        <v>1781</v>
      </c>
    </row>
    <row r="1250" spans="1:1">
      <c r="A1250" t="s">
        <v>1782</v>
      </c>
    </row>
    <row r="1251" spans="1:1">
      <c r="A1251" t="s">
        <v>1783</v>
      </c>
    </row>
    <row r="1252" spans="1:1">
      <c r="A1252" t="s">
        <v>1784</v>
      </c>
    </row>
    <row r="1253" spans="1:1">
      <c r="A1253" t="s">
        <v>1785</v>
      </c>
    </row>
    <row r="1254" spans="1:1">
      <c r="A1254" t="s">
        <v>1786</v>
      </c>
    </row>
    <row r="1255" spans="1:1">
      <c r="A1255" t="s">
        <v>1787</v>
      </c>
    </row>
    <row r="1256" spans="1:1">
      <c r="A1256" t="s">
        <v>1788</v>
      </c>
    </row>
    <row r="1257" spans="1:1">
      <c r="A1257" t="s">
        <v>1789</v>
      </c>
    </row>
    <row r="1258" spans="1:1">
      <c r="A1258" t="s">
        <v>1790</v>
      </c>
    </row>
    <row r="1259" spans="1:1">
      <c r="A1259" t="s">
        <v>1791</v>
      </c>
    </row>
    <row r="1260" spans="1:1">
      <c r="A1260" t="s">
        <v>1792</v>
      </c>
    </row>
    <row r="1261" spans="1:1">
      <c r="A1261" t="s">
        <v>1793</v>
      </c>
    </row>
    <row r="1262" spans="1:1">
      <c r="A1262" t="s">
        <v>1794</v>
      </c>
    </row>
    <row r="1263" spans="1:1">
      <c r="A1263" t="s">
        <v>1795</v>
      </c>
    </row>
    <row r="1264" spans="1:1">
      <c r="A1264" t="s">
        <v>1796</v>
      </c>
    </row>
    <row r="1265" spans="1:1">
      <c r="A1265" t="s">
        <v>1797</v>
      </c>
    </row>
    <row r="1266" spans="1:1">
      <c r="A1266" t="s">
        <v>1798</v>
      </c>
    </row>
    <row r="1267" spans="1:1">
      <c r="A1267" t="s">
        <v>1799</v>
      </c>
    </row>
    <row r="1268" spans="1:1">
      <c r="A1268" t="s">
        <v>1800</v>
      </c>
    </row>
    <row r="1269" spans="1:1">
      <c r="A1269" t="s">
        <v>1801</v>
      </c>
    </row>
    <row r="1270" spans="1:1">
      <c r="A1270" t="s">
        <v>1802</v>
      </c>
    </row>
    <row r="1271" spans="1:1">
      <c r="A1271" t="s">
        <v>1803</v>
      </c>
    </row>
    <row r="1272" spans="1:1">
      <c r="A1272" t="s">
        <v>1804</v>
      </c>
    </row>
    <row r="1273" spans="1:1">
      <c r="A1273" t="s">
        <v>1805</v>
      </c>
    </row>
    <row r="1274" spans="1:1">
      <c r="A1274" t="s">
        <v>1806</v>
      </c>
    </row>
    <row r="1275" spans="1:1">
      <c r="A1275" t="s">
        <v>1807</v>
      </c>
    </row>
    <row r="1276" spans="1:1">
      <c r="A1276" t="s">
        <v>1808</v>
      </c>
    </row>
    <row r="1277" spans="1:1">
      <c r="A1277" t="s">
        <v>1809</v>
      </c>
    </row>
    <row r="1278" spans="1:1">
      <c r="A1278" t="s">
        <v>1810</v>
      </c>
    </row>
    <row r="1279" spans="1:1">
      <c r="A1279" t="s">
        <v>1811</v>
      </c>
    </row>
    <row r="1280" spans="1:1">
      <c r="A1280" t="s">
        <v>1812</v>
      </c>
    </row>
    <row r="1281" spans="1:1">
      <c r="A1281" t="s">
        <v>1813</v>
      </c>
    </row>
    <row r="1282" spans="1:1">
      <c r="A1282" t="s">
        <v>1814</v>
      </c>
    </row>
    <row r="1283" spans="1:1">
      <c r="A1283" t="s">
        <v>1815</v>
      </c>
    </row>
    <row r="1284" spans="1:1">
      <c r="A1284" t="s">
        <v>1816</v>
      </c>
    </row>
    <row r="1285" spans="1:1">
      <c r="A1285" t="s">
        <v>1817</v>
      </c>
    </row>
    <row r="1286" spans="1:1">
      <c r="A1286" t="s">
        <v>1818</v>
      </c>
    </row>
    <row r="1287" spans="1:1">
      <c r="A1287" t="s">
        <v>1819</v>
      </c>
    </row>
    <row r="1288" spans="1:1">
      <c r="A1288" t="s">
        <v>1820</v>
      </c>
    </row>
    <row r="1289" spans="1:1">
      <c r="A1289" t="s">
        <v>1821</v>
      </c>
    </row>
    <row r="1290" spans="1:1">
      <c r="A1290" t="s">
        <v>1822</v>
      </c>
    </row>
    <row r="1291" spans="1:1">
      <c r="A1291" t="s">
        <v>1823</v>
      </c>
    </row>
    <row r="1292" spans="1:1">
      <c r="A1292" t="s">
        <v>1824</v>
      </c>
    </row>
    <row r="1293" spans="1:1">
      <c r="A1293" t="s">
        <v>1825</v>
      </c>
    </row>
    <row r="1294" spans="1:1">
      <c r="A1294" t="s">
        <v>1826</v>
      </c>
    </row>
    <row r="1295" spans="1:1">
      <c r="A1295" t="s">
        <v>1827</v>
      </c>
    </row>
    <row r="1296" spans="1:1">
      <c r="A1296" t="s">
        <v>1828</v>
      </c>
    </row>
    <row r="1297" spans="1:1">
      <c r="A1297" t="s">
        <v>1829</v>
      </c>
    </row>
    <row r="1298" spans="1:1">
      <c r="A1298" t="s">
        <v>1830</v>
      </c>
    </row>
    <row r="1299" spans="1:1">
      <c r="A1299" t="s">
        <v>1831</v>
      </c>
    </row>
    <row r="1300" spans="1:1">
      <c r="A1300" t="s">
        <v>1832</v>
      </c>
    </row>
    <row r="1301" spans="1:1">
      <c r="A1301" t="s">
        <v>1833</v>
      </c>
    </row>
    <row r="1302" spans="1:1">
      <c r="A1302" t="s">
        <v>1834</v>
      </c>
    </row>
    <row r="1303" spans="1:1">
      <c r="A1303" t="s">
        <v>1835</v>
      </c>
    </row>
    <row r="1304" spans="1:1">
      <c r="A1304" t="s">
        <v>1836</v>
      </c>
    </row>
    <row r="1305" spans="1:1">
      <c r="A1305" t="s">
        <v>1837</v>
      </c>
    </row>
    <row r="1306" spans="1:1">
      <c r="A1306" t="s">
        <v>1838</v>
      </c>
    </row>
    <row r="1307" spans="1:1">
      <c r="A1307" t="s">
        <v>1839</v>
      </c>
    </row>
    <row r="1308" spans="1:1">
      <c r="A1308" t="s">
        <v>1840</v>
      </c>
    </row>
    <row r="1309" spans="1:1">
      <c r="A1309" t="s">
        <v>1841</v>
      </c>
    </row>
    <row r="1310" spans="1:1">
      <c r="A1310" t="s">
        <v>1842</v>
      </c>
    </row>
    <row r="1311" spans="1:1">
      <c r="A1311" t="s">
        <v>1843</v>
      </c>
    </row>
    <row r="1312" spans="1:1">
      <c r="A1312" t="s">
        <v>1844</v>
      </c>
    </row>
    <row r="1313" spans="1:1">
      <c r="A1313" t="s">
        <v>1845</v>
      </c>
    </row>
    <row r="1314" spans="1:1">
      <c r="A1314" t="s">
        <v>1846</v>
      </c>
    </row>
    <row r="1315" spans="1:1">
      <c r="A1315" t="s">
        <v>1847</v>
      </c>
    </row>
    <row r="1316" spans="1:1">
      <c r="A1316" t="s">
        <v>1848</v>
      </c>
    </row>
    <row r="1317" spans="1:1">
      <c r="A1317" t="s">
        <v>1849</v>
      </c>
    </row>
    <row r="1318" spans="1:1">
      <c r="A1318" t="s">
        <v>1850</v>
      </c>
    </row>
    <row r="1319" spans="1:1">
      <c r="A1319" t="s">
        <v>1851</v>
      </c>
    </row>
    <row r="1320" spans="1:1">
      <c r="A1320" t="s">
        <v>1852</v>
      </c>
    </row>
    <row r="1321" spans="1:1">
      <c r="A1321" t="s">
        <v>1853</v>
      </c>
    </row>
    <row r="1322" spans="1:1">
      <c r="A1322" t="s">
        <v>1854</v>
      </c>
    </row>
    <row r="1323" spans="1:1">
      <c r="A1323" t="s">
        <v>1855</v>
      </c>
    </row>
    <row r="1324" spans="1:1">
      <c r="A1324" t="s">
        <v>1856</v>
      </c>
    </row>
    <row r="1325" spans="1:1">
      <c r="A1325" t="s">
        <v>1857</v>
      </c>
    </row>
    <row r="1326" spans="1:1">
      <c r="A1326" t="s">
        <v>1858</v>
      </c>
    </row>
    <row r="1327" spans="1:1">
      <c r="A1327" t="s">
        <v>1859</v>
      </c>
    </row>
    <row r="1328" spans="1:1">
      <c r="A1328" t="s">
        <v>1860</v>
      </c>
    </row>
    <row r="1329" spans="1:1">
      <c r="A1329" t="s">
        <v>1861</v>
      </c>
    </row>
    <row r="1330" spans="1:1">
      <c r="A1330" t="s">
        <v>1862</v>
      </c>
    </row>
    <row r="1331" spans="1:1">
      <c r="A1331" t="s">
        <v>1863</v>
      </c>
    </row>
    <row r="1332" spans="1:1">
      <c r="A1332" t="s">
        <v>1864</v>
      </c>
    </row>
    <row r="1333" spans="1:1">
      <c r="A1333" t="s">
        <v>1865</v>
      </c>
    </row>
    <row r="1334" spans="1:1">
      <c r="A1334" t="s">
        <v>1866</v>
      </c>
    </row>
    <row r="1335" spans="1:1">
      <c r="A1335" t="s">
        <v>1867</v>
      </c>
    </row>
    <row r="1336" spans="1:1">
      <c r="A1336" t="s">
        <v>1868</v>
      </c>
    </row>
    <row r="1337" spans="1:1">
      <c r="A1337" t="s">
        <v>1869</v>
      </c>
    </row>
    <row r="1338" spans="1:1">
      <c r="A1338" t="s">
        <v>1870</v>
      </c>
    </row>
    <row r="1339" spans="1:1">
      <c r="A1339" t="s">
        <v>1871</v>
      </c>
    </row>
    <row r="1340" spans="1:1">
      <c r="A1340" t="s">
        <v>1872</v>
      </c>
    </row>
    <row r="1341" spans="1:1">
      <c r="A1341" t="s">
        <v>1873</v>
      </c>
    </row>
    <row r="1342" spans="1:1">
      <c r="A1342" t="s">
        <v>1874</v>
      </c>
    </row>
    <row r="1343" spans="1:1">
      <c r="A1343" t="s">
        <v>1875</v>
      </c>
    </row>
    <row r="1344" spans="1:1">
      <c r="A1344" t="s">
        <v>1876</v>
      </c>
    </row>
    <row r="1345" spans="1:1">
      <c r="A1345" t="s">
        <v>1877</v>
      </c>
    </row>
    <row r="1346" spans="1:1">
      <c r="A1346" t="s">
        <v>1878</v>
      </c>
    </row>
    <row r="1347" spans="1:1">
      <c r="A1347" t="s">
        <v>1879</v>
      </c>
    </row>
    <row r="1348" spans="1:1">
      <c r="A1348" t="s">
        <v>1880</v>
      </c>
    </row>
    <row r="1349" spans="1:1">
      <c r="A1349" t="s">
        <v>1881</v>
      </c>
    </row>
    <row r="1350" spans="1:1">
      <c r="A1350" t="s">
        <v>1882</v>
      </c>
    </row>
    <row r="1351" spans="1:1">
      <c r="A1351" t="s">
        <v>1883</v>
      </c>
    </row>
    <row r="1352" spans="1:1">
      <c r="A1352" t="s">
        <v>1884</v>
      </c>
    </row>
    <row r="1353" spans="1:1">
      <c r="A1353" t="s">
        <v>1885</v>
      </c>
    </row>
    <row r="1354" spans="1:1">
      <c r="A1354" t="s">
        <v>1886</v>
      </c>
    </row>
    <row r="1355" spans="1:1">
      <c r="A1355" t="s">
        <v>1887</v>
      </c>
    </row>
    <row r="1356" spans="1:1">
      <c r="A1356" t="s">
        <v>1888</v>
      </c>
    </row>
    <row r="1357" spans="1:1">
      <c r="A1357" t="s">
        <v>1889</v>
      </c>
    </row>
    <row r="1358" spans="1:1">
      <c r="A1358" t="s">
        <v>1890</v>
      </c>
    </row>
    <row r="1359" spans="1:1">
      <c r="A1359" t="s">
        <v>1891</v>
      </c>
    </row>
    <row r="1360" spans="1:1">
      <c r="A1360" t="s">
        <v>1892</v>
      </c>
    </row>
    <row r="1361" spans="1:1">
      <c r="A1361" t="s">
        <v>1893</v>
      </c>
    </row>
    <row r="1362" spans="1:1">
      <c r="A1362" t="s">
        <v>1894</v>
      </c>
    </row>
    <row r="1363" spans="1:1">
      <c r="A1363" t="s">
        <v>1895</v>
      </c>
    </row>
    <row r="1364" spans="1:1">
      <c r="A1364" t="s">
        <v>1896</v>
      </c>
    </row>
    <row r="1365" spans="1:1">
      <c r="A1365" t="s">
        <v>1897</v>
      </c>
    </row>
    <row r="1366" spans="1:1">
      <c r="A1366" t="s">
        <v>1898</v>
      </c>
    </row>
    <row r="1367" spans="1:1">
      <c r="A1367" t="s">
        <v>1899</v>
      </c>
    </row>
    <row r="1368" spans="1:1">
      <c r="A1368" t="s">
        <v>1900</v>
      </c>
    </row>
    <row r="1369" spans="1:1">
      <c r="A1369" t="s">
        <v>1901</v>
      </c>
    </row>
    <row r="1370" spans="1:1">
      <c r="A1370" t="s">
        <v>1902</v>
      </c>
    </row>
    <row r="1371" spans="1:1">
      <c r="A1371" t="s">
        <v>1903</v>
      </c>
    </row>
    <row r="1372" spans="1:1">
      <c r="A1372" t="s">
        <v>1904</v>
      </c>
    </row>
    <row r="1373" spans="1:1">
      <c r="A1373" t="s">
        <v>1905</v>
      </c>
    </row>
    <row r="1374" spans="1:1">
      <c r="A1374" t="s">
        <v>1906</v>
      </c>
    </row>
    <row r="1375" spans="1:1">
      <c r="A1375" t="s">
        <v>1907</v>
      </c>
    </row>
    <row r="1376" spans="1:1">
      <c r="A1376" t="s">
        <v>1908</v>
      </c>
    </row>
    <row r="1377" spans="1:1">
      <c r="A1377" t="s">
        <v>1909</v>
      </c>
    </row>
    <row r="1378" spans="1:1">
      <c r="A1378" t="s">
        <v>1910</v>
      </c>
    </row>
    <row r="1379" spans="1:1">
      <c r="A1379" t="s">
        <v>1911</v>
      </c>
    </row>
    <row r="1380" spans="1:1">
      <c r="A1380" t="s">
        <v>1912</v>
      </c>
    </row>
    <row r="1381" spans="1:1">
      <c r="A1381" t="s">
        <v>1913</v>
      </c>
    </row>
    <row r="1382" spans="1:1">
      <c r="A1382" t="s">
        <v>1914</v>
      </c>
    </row>
    <row r="1383" spans="1:1">
      <c r="A1383" t="s">
        <v>1915</v>
      </c>
    </row>
    <row r="1384" spans="1:1">
      <c r="A1384" t="s">
        <v>1916</v>
      </c>
    </row>
    <row r="1385" spans="1:1">
      <c r="A1385" t="s">
        <v>1917</v>
      </c>
    </row>
    <row r="1386" spans="1:1">
      <c r="A1386" t="s">
        <v>1918</v>
      </c>
    </row>
    <row r="1387" spans="1:1">
      <c r="A1387" t="s">
        <v>1919</v>
      </c>
    </row>
    <row r="1388" spans="1:1">
      <c r="A1388" t="s">
        <v>1920</v>
      </c>
    </row>
    <row r="1389" spans="1:1">
      <c r="A1389" t="s">
        <v>1921</v>
      </c>
    </row>
    <row r="1390" spans="1:1">
      <c r="A1390" t="s">
        <v>1922</v>
      </c>
    </row>
    <row r="1391" spans="1:1">
      <c r="A1391" t="s">
        <v>1923</v>
      </c>
    </row>
    <row r="1392" spans="1:1">
      <c r="A1392" t="s">
        <v>1924</v>
      </c>
    </row>
    <row r="1393" spans="1:1">
      <c r="A1393" t="s">
        <v>1925</v>
      </c>
    </row>
    <row r="1394" spans="1:1">
      <c r="A1394" t="s">
        <v>1926</v>
      </c>
    </row>
    <row r="1395" spans="1:1">
      <c r="A1395" t="s">
        <v>1927</v>
      </c>
    </row>
    <row r="1396" spans="1:1">
      <c r="A1396" t="s">
        <v>1928</v>
      </c>
    </row>
    <row r="1397" spans="1:1">
      <c r="A1397" t="s">
        <v>1929</v>
      </c>
    </row>
    <row r="1398" spans="1:1">
      <c r="A1398" t="s">
        <v>1930</v>
      </c>
    </row>
    <row r="1399" spans="1:1">
      <c r="A1399" t="s">
        <v>1931</v>
      </c>
    </row>
    <row r="1400" spans="1:1">
      <c r="A1400" t="s">
        <v>1932</v>
      </c>
    </row>
    <row r="1401" spans="1:1">
      <c r="A1401" t="s">
        <v>1933</v>
      </c>
    </row>
    <row r="1402" spans="1:1">
      <c r="A1402" t="s">
        <v>1934</v>
      </c>
    </row>
    <row r="1403" spans="1:1">
      <c r="A1403" t="s">
        <v>1935</v>
      </c>
    </row>
    <row r="1404" spans="1:1">
      <c r="A1404" t="s">
        <v>1936</v>
      </c>
    </row>
    <row r="1405" spans="1:1">
      <c r="A1405" t="s">
        <v>1937</v>
      </c>
    </row>
    <row r="1406" spans="1:1">
      <c r="A1406" t="s">
        <v>1938</v>
      </c>
    </row>
    <row r="1407" spans="1:1">
      <c r="A1407" t="s">
        <v>1939</v>
      </c>
    </row>
    <row r="1408" spans="1:1">
      <c r="A1408" t="s">
        <v>1940</v>
      </c>
    </row>
    <row r="1409" spans="1:1">
      <c r="A1409" t="s">
        <v>1941</v>
      </c>
    </row>
    <row r="1410" spans="1:1">
      <c r="A1410" t="s">
        <v>1942</v>
      </c>
    </row>
    <row r="1411" spans="1:1">
      <c r="A1411" t="s">
        <v>1943</v>
      </c>
    </row>
    <row r="1412" spans="1:1">
      <c r="A1412" t="s">
        <v>1944</v>
      </c>
    </row>
    <row r="1413" spans="1:1">
      <c r="A1413" t="s">
        <v>1945</v>
      </c>
    </row>
    <row r="1414" spans="1:1">
      <c r="A1414" t="s">
        <v>1946</v>
      </c>
    </row>
    <row r="1415" spans="1:1">
      <c r="A1415" t="s">
        <v>1947</v>
      </c>
    </row>
    <row r="1416" spans="1:1">
      <c r="A1416" t="s">
        <v>1948</v>
      </c>
    </row>
    <row r="1417" spans="1:1">
      <c r="A1417" t="s">
        <v>1949</v>
      </c>
    </row>
    <row r="1418" spans="1:1">
      <c r="A1418" t="s">
        <v>1950</v>
      </c>
    </row>
    <row r="1419" spans="1:1">
      <c r="A1419" t="s">
        <v>1951</v>
      </c>
    </row>
    <row r="1420" spans="1:1">
      <c r="A1420" t="s">
        <v>1952</v>
      </c>
    </row>
    <row r="1421" spans="1:1">
      <c r="A1421" t="s">
        <v>1953</v>
      </c>
    </row>
    <row r="1422" spans="1:1">
      <c r="A1422" t="s">
        <v>1954</v>
      </c>
    </row>
    <row r="1423" spans="1:1">
      <c r="A1423" t="s">
        <v>1955</v>
      </c>
    </row>
    <row r="1424" spans="1:1">
      <c r="A1424" t="s">
        <v>1956</v>
      </c>
    </row>
    <row r="1425" spans="1:1">
      <c r="A1425" t="s">
        <v>1957</v>
      </c>
    </row>
    <row r="1426" spans="1:1">
      <c r="A1426" t="s">
        <v>1958</v>
      </c>
    </row>
    <row r="1427" spans="1:1">
      <c r="A1427" t="s">
        <v>1959</v>
      </c>
    </row>
    <row r="1428" spans="1:1">
      <c r="A1428" t="s">
        <v>1960</v>
      </c>
    </row>
    <row r="1429" spans="1:1">
      <c r="A1429" t="s">
        <v>1961</v>
      </c>
    </row>
    <row r="1430" spans="1:1">
      <c r="A1430" t="s">
        <v>1962</v>
      </c>
    </row>
    <row r="1431" spans="1:1">
      <c r="A1431" t="s">
        <v>1963</v>
      </c>
    </row>
    <row r="1432" spans="1:1">
      <c r="A1432" t="s">
        <v>1964</v>
      </c>
    </row>
    <row r="1433" spans="1:1">
      <c r="A1433" t="s">
        <v>1965</v>
      </c>
    </row>
    <row r="1434" spans="1:1">
      <c r="A1434" t="s">
        <v>1966</v>
      </c>
    </row>
    <row r="1435" spans="1:1">
      <c r="A1435" t="s">
        <v>1967</v>
      </c>
    </row>
    <row r="1436" spans="1:1">
      <c r="A1436" t="s">
        <v>1968</v>
      </c>
    </row>
    <row r="1437" spans="1:1">
      <c r="A1437" t="s">
        <v>1969</v>
      </c>
    </row>
    <row r="1438" spans="1:1">
      <c r="A1438" t="s">
        <v>1970</v>
      </c>
    </row>
    <row r="1439" spans="1:1">
      <c r="A1439" t="s">
        <v>1971</v>
      </c>
    </row>
    <row r="1440" spans="1:1">
      <c r="A1440" t="s">
        <v>1972</v>
      </c>
    </row>
    <row r="1441" spans="1:1">
      <c r="A1441" t="s">
        <v>1973</v>
      </c>
    </row>
    <row r="1442" spans="1:1">
      <c r="A1442" t="s">
        <v>1974</v>
      </c>
    </row>
    <row r="1443" spans="1:1">
      <c r="A1443" t="s">
        <v>1975</v>
      </c>
    </row>
    <row r="1444" spans="1:1">
      <c r="A1444" t="s">
        <v>1976</v>
      </c>
    </row>
    <row r="1445" spans="1:1">
      <c r="A1445" t="s">
        <v>1977</v>
      </c>
    </row>
    <row r="1446" spans="1:1">
      <c r="A1446" t="s">
        <v>1978</v>
      </c>
    </row>
    <row r="1447" spans="1:1">
      <c r="A1447" t="s">
        <v>1979</v>
      </c>
    </row>
    <row r="1448" spans="1:1">
      <c r="A1448" t="s">
        <v>1980</v>
      </c>
    </row>
    <row r="1449" spans="1:1">
      <c r="A1449" t="s">
        <v>1981</v>
      </c>
    </row>
    <row r="1450" spans="1:1">
      <c r="A1450" t="s">
        <v>1982</v>
      </c>
    </row>
    <row r="1451" spans="1:1">
      <c r="A1451" t="s">
        <v>1983</v>
      </c>
    </row>
    <row r="1452" spans="1:1">
      <c r="A1452" t="s">
        <v>1984</v>
      </c>
    </row>
    <row r="1453" spans="1:1">
      <c r="A1453" t="s">
        <v>1985</v>
      </c>
    </row>
    <row r="1454" spans="1:1">
      <c r="A1454" t="s">
        <v>1986</v>
      </c>
    </row>
    <row r="1455" spans="1:1">
      <c r="A1455" t="s">
        <v>1987</v>
      </c>
    </row>
    <row r="1456" spans="1:1">
      <c r="A1456" t="s">
        <v>1988</v>
      </c>
    </row>
    <row r="1457" spans="1:1">
      <c r="A1457" t="s">
        <v>1989</v>
      </c>
    </row>
    <row r="1458" spans="1:1">
      <c r="A1458" t="s">
        <v>1990</v>
      </c>
    </row>
    <row r="1459" spans="1:1">
      <c r="A1459" t="s">
        <v>1991</v>
      </c>
    </row>
    <row r="1460" spans="1:1">
      <c r="A1460" t="s">
        <v>1992</v>
      </c>
    </row>
    <row r="1461" spans="1:1">
      <c r="A1461" t="s">
        <v>1993</v>
      </c>
    </row>
    <row r="1462" spans="1:1">
      <c r="A1462" t="s">
        <v>1994</v>
      </c>
    </row>
    <row r="1463" spans="1:1">
      <c r="A1463" t="s">
        <v>1995</v>
      </c>
    </row>
    <row r="1464" spans="1:1">
      <c r="A1464" t="s">
        <v>1996</v>
      </c>
    </row>
    <row r="1465" spans="1:1">
      <c r="A1465" t="s">
        <v>1997</v>
      </c>
    </row>
    <row r="1466" spans="1:1">
      <c r="A1466" t="s">
        <v>1998</v>
      </c>
    </row>
    <row r="1467" spans="1:1">
      <c r="A1467" t="s">
        <v>1999</v>
      </c>
    </row>
    <row r="1468" spans="1:1">
      <c r="A1468" t="s">
        <v>2000</v>
      </c>
    </row>
    <row r="1469" spans="1:1">
      <c r="A1469" t="s">
        <v>2001</v>
      </c>
    </row>
    <row r="1470" spans="1:1">
      <c r="A1470" t="s">
        <v>2002</v>
      </c>
    </row>
    <row r="1471" spans="1:1">
      <c r="A1471" t="s">
        <v>2003</v>
      </c>
    </row>
    <row r="1472" spans="1:1">
      <c r="A1472" t="s">
        <v>2004</v>
      </c>
    </row>
    <row r="1473" spans="1:1">
      <c r="A1473" t="s">
        <v>2005</v>
      </c>
    </row>
    <row r="1474" spans="1:1">
      <c r="A1474" t="s">
        <v>2006</v>
      </c>
    </row>
    <row r="1475" spans="1:1">
      <c r="A1475" t="s">
        <v>2007</v>
      </c>
    </row>
    <row r="1476" spans="1:1">
      <c r="A1476" t="s">
        <v>2008</v>
      </c>
    </row>
    <row r="1477" spans="1:1">
      <c r="A1477" t="s">
        <v>2009</v>
      </c>
    </row>
    <row r="1478" spans="1:1">
      <c r="A1478" t="s">
        <v>2010</v>
      </c>
    </row>
    <row r="1479" spans="1:1">
      <c r="A1479" t="s">
        <v>2011</v>
      </c>
    </row>
    <row r="1480" spans="1:1">
      <c r="A1480" t="s">
        <v>2012</v>
      </c>
    </row>
    <row r="1481" spans="1:1">
      <c r="A1481" t="s">
        <v>2013</v>
      </c>
    </row>
    <row r="1482" spans="1:1">
      <c r="A1482" t="s">
        <v>2014</v>
      </c>
    </row>
    <row r="1483" spans="1:1">
      <c r="A1483" t="s">
        <v>2015</v>
      </c>
    </row>
    <row r="1484" spans="1:1">
      <c r="A1484" t="s">
        <v>2016</v>
      </c>
    </row>
    <row r="1485" spans="1:1">
      <c r="A1485" t="s">
        <v>2017</v>
      </c>
    </row>
    <row r="1486" spans="1:1">
      <c r="A1486" t="s">
        <v>2018</v>
      </c>
    </row>
    <row r="1487" spans="1:1">
      <c r="A1487" t="s">
        <v>2019</v>
      </c>
    </row>
    <row r="1488" spans="1:1">
      <c r="A1488" t="s">
        <v>2020</v>
      </c>
    </row>
    <row r="1489" spans="1:1">
      <c r="A1489" t="s">
        <v>2021</v>
      </c>
    </row>
    <row r="1490" spans="1:1">
      <c r="A1490" t="s">
        <v>2022</v>
      </c>
    </row>
    <row r="1491" spans="1:1">
      <c r="A1491" t="s">
        <v>2023</v>
      </c>
    </row>
    <row r="1492" spans="1:1">
      <c r="A1492" t="s">
        <v>2024</v>
      </c>
    </row>
    <row r="1493" spans="1:1">
      <c r="A1493" t="s">
        <v>2025</v>
      </c>
    </row>
    <row r="1494" spans="1:1">
      <c r="A1494" t="s">
        <v>2026</v>
      </c>
    </row>
    <row r="1495" spans="1:1">
      <c r="A1495" t="s">
        <v>2027</v>
      </c>
    </row>
    <row r="1496" spans="1:1">
      <c r="A1496" t="s">
        <v>2028</v>
      </c>
    </row>
    <row r="1497" spans="1:1">
      <c r="A1497" t="s">
        <v>2029</v>
      </c>
    </row>
    <row r="1498" spans="1:1">
      <c r="A1498" t="s">
        <v>2030</v>
      </c>
    </row>
    <row r="1499" spans="1:1">
      <c r="A1499" t="s">
        <v>2031</v>
      </c>
    </row>
    <row r="1500" spans="1:1">
      <c r="A1500" t="s">
        <v>2032</v>
      </c>
    </row>
    <row r="1501" spans="1:1">
      <c r="A1501" t="s">
        <v>2033</v>
      </c>
    </row>
    <row r="1502" spans="1:1">
      <c r="A1502" t="s">
        <v>2034</v>
      </c>
    </row>
    <row r="1503" spans="1:1">
      <c r="A1503" t="s">
        <v>2035</v>
      </c>
    </row>
    <row r="1504" spans="1:1">
      <c r="A1504" t="s">
        <v>2036</v>
      </c>
    </row>
    <row r="1505" spans="1:1">
      <c r="A1505" t="s">
        <v>2037</v>
      </c>
    </row>
    <row r="1506" spans="1:1">
      <c r="A1506" t="s">
        <v>2038</v>
      </c>
    </row>
    <row r="1507" spans="1:1">
      <c r="A1507" t="s">
        <v>2039</v>
      </c>
    </row>
    <row r="1508" spans="1:1">
      <c r="A1508" t="s">
        <v>2040</v>
      </c>
    </row>
    <row r="1509" spans="1:1">
      <c r="A1509" t="s">
        <v>2041</v>
      </c>
    </row>
    <row r="1510" spans="1:1">
      <c r="A1510" t="s">
        <v>2042</v>
      </c>
    </row>
    <row r="1511" spans="1:1">
      <c r="A1511" t="s">
        <v>2043</v>
      </c>
    </row>
    <row r="1512" spans="1:1">
      <c r="A1512" t="s">
        <v>2044</v>
      </c>
    </row>
    <row r="1513" spans="1:1">
      <c r="A1513" t="s">
        <v>2045</v>
      </c>
    </row>
    <row r="1514" spans="1:1">
      <c r="A1514" t="s">
        <v>2046</v>
      </c>
    </row>
    <row r="1515" spans="1:1">
      <c r="A1515" t="s">
        <v>2047</v>
      </c>
    </row>
    <row r="1516" spans="1:1">
      <c r="A1516" t="s">
        <v>2048</v>
      </c>
    </row>
    <row r="1517" spans="1:1">
      <c r="A1517" t="s">
        <v>2049</v>
      </c>
    </row>
    <row r="1518" spans="1:1">
      <c r="A1518" t="s">
        <v>2050</v>
      </c>
    </row>
    <row r="1519" spans="1:1">
      <c r="A1519" t="s">
        <v>2051</v>
      </c>
    </row>
    <row r="1520" spans="1:1">
      <c r="A1520" t="s">
        <v>2052</v>
      </c>
    </row>
    <row r="1521" spans="1:1">
      <c r="A1521" t="s">
        <v>2053</v>
      </c>
    </row>
    <row r="1522" spans="1:1">
      <c r="A1522" t="s">
        <v>2054</v>
      </c>
    </row>
    <row r="1523" spans="1:1">
      <c r="A1523" t="s">
        <v>2055</v>
      </c>
    </row>
    <row r="1524" spans="1:1">
      <c r="A1524" t="s">
        <v>2056</v>
      </c>
    </row>
    <row r="1525" spans="1:1">
      <c r="A1525" t="s">
        <v>2057</v>
      </c>
    </row>
    <row r="1526" spans="1:1">
      <c r="A1526" t="s">
        <v>2058</v>
      </c>
    </row>
    <row r="1527" spans="1:1">
      <c r="A1527" t="s">
        <v>2059</v>
      </c>
    </row>
    <row r="1528" spans="1:1">
      <c r="A1528" t="s">
        <v>2060</v>
      </c>
    </row>
    <row r="1529" spans="1:1">
      <c r="A1529" t="s">
        <v>2061</v>
      </c>
    </row>
    <row r="1530" spans="1:1">
      <c r="A1530" t="s">
        <v>2062</v>
      </c>
    </row>
    <row r="1531" spans="1:1">
      <c r="A1531" t="s">
        <v>2063</v>
      </c>
    </row>
    <row r="1532" spans="1:1">
      <c r="A1532" t="s">
        <v>2064</v>
      </c>
    </row>
    <row r="1533" spans="1:1">
      <c r="A1533" t="s">
        <v>2065</v>
      </c>
    </row>
    <row r="1534" spans="1:1">
      <c r="A1534" t="s">
        <v>2066</v>
      </c>
    </row>
    <row r="1535" spans="1:1">
      <c r="A1535" t="s">
        <v>2067</v>
      </c>
    </row>
    <row r="1536" spans="1:1">
      <c r="A1536" t="s">
        <v>2068</v>
      </c>
    </row>
    <row r="1537" spans="1:1">
      <c r="A1537" t="s">
        <v>2069</v>
      </c>
    </row>
    <row r="1538" spans="1:1">
      <c r="A1538" t="s">
        <v>2070</v>
      </c>
    </row>
    <row r="1539" spans="1:1">
      <c r="A1539" t="s">
        <v>2071</v>
      </c>
    </row>
    <row r="1540" spans="1:1">
      <c r="A1540" t="s">
        <v>2072</v>
      </c>
    </row>
    <row r="1541" spans="1:1">
      <c r="A1541" t="s">
        <v>2073</v>
      </c>
    </row>
    <row r="1542" spans="1:1">
      <c r="A1542" t="s">
        <v>2074</v>
      </c>
    </row>
    <row r="1543" spans="1:1">
      <c r="A1543" t="s">
        <v>2075</v>
      </c>
    </row>
    <row r="1544" spans="1:1">
      <c r="A1544" t="s">
        <v>2076</v>
      </c>
    </row>
    <row r="1545" spans="1:1">
      <c r="A1545" t="s">
        <v>2077</v>
      </c>
    </row>
    <row r="1546" spans="1:1">
      <c r="A1546" t="s">
        <v>2078</v>
      </c>
    </row>
    <row r="1547" spans="1:1">
      <c r="A1547" t="s">
        <v>2079</v>
      </c>
    </row>
    <row r="1548" spans="1:1">
      <c r="A1548" t="s">
        <v>2080</v>
      </c>
    </row>
    <row r="1549" spans="1:1">
      <c r="A1549" t="s">
        <v>2081</v>
      </c>
    </row>
    <row r="1550" spans="1:1">
      <c r="A1550" t="s">
        <v>2082</v>
      </c>
    </row>
    <row r="1551" spans="1:1">
      <c r="A1551" t="s">
        <v>2083</v>
      </c>
    </row>
    <row r="1552" spans="1:1">
      <c r="A1552" t="s">
        <v>2084</v>
      </c>
    </row>
    <row r="1553" spans="1:1">
      <c r="A1553" t="s">
        <v>2085</v>
      </c>
    </row>
    <row r="1554" spans="1:1">
      <c r="A1554" t="s">
        <v>2086</v>
      </c>
    </row>
    <row r="1555" spans="1:1">
      <c r="A1555" t="s">
        <v>2087</v>
      </c>
    </row>
    <row r="1556" spans="1:1">
      <c r="A1556" t="s">
        <v>2088</v>
      </c>
    </row>
    <row r="1557" spans="1:1">
      <c r="A1557" t="s">
        <v>2089</v>
      </c>
    </row>
    <row r="1558" spans="1:1">
      <c r="A1558" t="s">
        <v>2090</v>
      </c>
    </row>
    <row r="1559" spans="1:1">
      <c r="A1559" t="s">
        <v>2091</v>
      </c>
    </row>
    <row r="1560" spans="1:1">
      <c r="A1560" t="s">
        <v>2092</v>
      </c>
    </row>
    <row r="1561" spans="1:1">
      <c r="A1561" t="s">
        <v>2093</v>
      </c>
    </row>
    <row r="1562" spans="1:1">
      <c r="A1562" t="s">
        <v>2094</v>
      </c>
    </row>
    <row r="1563" spans="1:1">
      <c r="A1563" t="s">
        <v>2095</v>
      </c>
    </row>
    <row r="1564" spans="1:1">
      <c r="A1564" t="s">
        <v>2096</v>
      </c>
    </row>
    <row r="1565" spans="1:1">
      <c r="A1565" t="s">
        <v>2097</v>
      </c>
    </row>
    <row r="1566" spans="1:1">
      <c r="A1566" t="s">
        <v>2098</v>
      </c>
    </row>
    <row r="1567" spans="1:1">
      <c r="A1567" t="s">
        <v>2099</v>
      </c>
    </row>
    <row r="1568" spans="1:1">
      <c r="A1568" t="s">
        <v>2100</v>
      </c>
    </row>
    <row r="1569" spans="1:1">
      <c r="A1569" t="s">
        <v>2101</v>
      </c>
    </row>
    <row r="1570" spans="1:1">
      <c r="A1570" t="s">
        <v>2102</v>
      </c>
    </row>
    <row r="1571" spans="1:1">
      <c r="A1571" t="s">
        <v>2103</v>
      </c>
    </row>
    <row r="1572" spans="1:1">
      <c r="A1572" t="s">
        <v>2104</v>
      </c>
    </row>
    <row r="1573" spans="1:1">
      <c r="A1573" t="s">
        <v>2105</v>
      </c>
    </row>
    <row r="1574" spans="1:1">
      <c r="A1574" t="s">
        <v>2106</v>
      </c>
    </row>
    <row r="1575" spans="1:1">
      <c r="A1575" t="s">
        <v>2107</v>
      </c>
    </row>
    <row r="1576" spans="1:1">
      <c r="A1576" t="s">
        <v>2108</v>
      </c>
    </row>
    <row r="1577" spans="1:1">
      <c r="A1577" t="s">
        <v>2109</v>
      </c>
    </row>
    <row r="1578" spans="1:1">
      <c r="A1578" t="s">
        <v>2110</v>
      </c>
    </row>
    <row r="1579" spans="1:1">
      <c r="A1579" t="s">
        <v>2111</v>
      </c>
    </row>
    <row r="1580" spans="1:1">
      <c r="A1580" t="s">
        <v>2112</v>
      </c>
    </row>
    <row r="1581" spans="1:1">
      <c r="A1581" t="s">
        <v>2113</v>
      </c>
    </row>
    <row r="1582" spans="1:1">
      <c r="A1582" t="s">
        <v>2114</v>
      </c>
    </row>
    <row r="1583" spans="1:1">
      <c r="A1583" t="s">
        <v>2115</v>
      </c>
    </row>
    <row r="1584" spans="1:1">
      <c r="A1584" t="s">
        <v>2116</v>
      </c>
    </row>
    <row r="1585" spans="1:1">
      <c r="A1585" t="s">
        <v>2117</v>
      </c>
    </row>
    <row r="1586" spans="1:1">
      <c r="A1586" t="s">
        <v>2118</v>
      </c>
    </row>
    <row r="1587" spans="1:1">
      <c r="A1587" t="s">
        <v>2119</v>
      </c>
    </row>
    <row r="1588" spans="1:1">
      <c r="A1588" t="s">
        <v>2120</v>
      </c>
    </row>
    <row r="1589" spans="1:1">
      <c r="A1589" t="s">
        <v>2121</v>
      </c>
    </row>
    <row r="1590" spans="1:1">
      <c r="A1590" t="s">
        <v>2122</v>
      </c>
    </row>
    <row r="1591" spans="1:1">
      <c r="A1591" t="s">
        <v>2123</v>
      </c>
    </row>
    <row r="1592" spans="1:1">
      <c r="A1592" t="s">
        <v>2124</v>
      </c>
    </row>
    <row r="1593" spans="1:1">
      <c r="A1593" t="s">
        <v>2125</v>
      </c>
    </row>
    <row r="1594" spans="1:1">
      <c r="A1594" t="s">
        <v>2126</v>
      </c>
    </row>
    <row r="1595" spans="1:1">
      <c r="A1595" t="s">
        <v>2127</v>
      </c>
    </row>
    <row r="1596" spans="1:1">
      <c r="A1596" t="s">
        <v>2128</v>
      </c>
    </row>
    <row r="1597" spans="1:1">
      <c r="A1597" t="s">
        <v>2129</v>
      </c>
    </row>
    <row r="1598" spans="1:1">
      <c r="A1598" t="s">
        <v>2130</v>
      </c>
    </row>
    <row r="1599" spans="1:1">
      <c r="A1599" t="s">
        <v>2131</v>
      </c>
    </row>
    <row r="1600" spans="1:1">
      <c r="A1600" t="s">
        <v>2132</v>
      </c>
    </row>
    <row r="1601" spans="1:1">
      <c r="A1601" t="s">
        <v>2133</v>
      </c>
    </row>
    <row r="1602" spans="1:1">
      <c r="A1602" t="s">
        <v>2134</v>
      </c>
    </row>
    <row r="1603" spans="1:1">
      <c r="A1603" t="s">
        <v>2135</v>
      </c>
    </row>
    <row r="1604" spans="1:1">
      <c r="A1604" t="s">
        <v>2136</v>
      </c>
    </row>
    <row r="1605" spans="1:1">
      <c r="A1605" t="s">
        <v>2137</v>
      </c>
    </row>
    <row r="1606" spans="1:1">
      <c r="A1606" t="s">
        <v>2138</v>
      </c>
    </row>
    <row r="1607" spans="1:1">
      <c r="A1607" t="s">
        <v>2139</v>
      </c>
    </row>
    <row r="1608" spans="1:1">
      <c r="A1608" t="s">
        <v>2140</v>
      </c>
    </row>
    <row r="1609" spans="1:1">
      <c r="A1609" t="s">
        <v>2141</v>
      </c>
    </row>
    <row r="1610" spans="1:1">
      <c r="A1610" t="s">
        <v>2142</v>
      </c>
    </row>
    <row r="1611" spans="1:1">
      <c r="A1611" t="s">
        <v>2143</v>
      </c>
    </row>
    <row r="1612" spans="1:1">
      <c r="A1612" t="s">
        <v>2144</v>
      </c>
    </row>
    <row r="1613" spans="1:1">
      <c r="A1613" t="s">
        <v>2145</v>
      </c>
    </row>
    <row r="1614" spans="1:1">
      <c r="A1614" t="s">
        <v>2146</v>
      </c>
    </row>
    <row r="1615" spans="1:1">
      <c r="A1615" t="s">
        <v>2147</v>
      </c>
    </row>
    <row r="1616" spans="1:1">
      <c r="A1616" t="s">
        <v>2148</v>
      </c>
    </row>
    <row r="1617" spans="1:1">
      <c r="A1617" t="s">
        <v>2149</v>
      </c>
    </row>
    <row r="1618" spans="1:1">
      <c r="A1618" t="s">
        <v>2150</v>
      </c>
    </row>
    <row r="1619" spans="1:1">
      <c r="A1619" t="s">
        <v>2151</v>
      </c>
    </row>
    <row r="1620" spans="1:1">
      <c r="A1620" t="s">
        <v>2152</v>
      </c>
    </row>
    <row r="1621" spans="1:1">
      <c r="A1621" t="s">
        <v>2153</v>
      </c>
    </row>
    <row r="1622" spans="1:1">
      <c r="A1622" t="s">
        <v>2154</v>
      </c>
    </row>
    <row r="1623" spans="1:1">
      <c r="A1623" t="s">
        <v>2155</v>
      </c>
    </row>
    <row r="1624" spans="1:1">
      <c r="A1624" t="s">
        <v>2156</v>
      </c>
    </row>
    <row r="1625" spans="1:1">
      <c r="A1625" t="s">
        <v>2157</v>
      </c>
    </row>
    <row r="1626" spans="1:1">
      <c r="A1626" t="s">
        <v>2158</v>
      </c>
    </row>
    <row r="1627" spans="1:1">
      <c r="A1627" t="s">
        <v>2159</v>
      </c>
    </row>
    <row r="1628" spans="1:1">
      <c r="A1628" t="s">
        <v>2160</v>
      </c>
    </row>
    <row r="1629" spans="1:1">
      <c r="A1629" t="s">
        <v>2161</v>
      </c>
    </row>
    <row r="1630" spans="1:1">
      <c r="A1630" t="s">
        <v>2162</v>
      </c>
    </row>
    <row r="1631" spans="1:1">
      <c r="A1631" t="s">
        <v>2163</v>
      </c>
    </row>
    <row r="1632" spans="1:1">
      <c r="A1632" t="s">
        <v>2164</v>
      </c>
    </row>
    <row r="1633" spans="1:1">
      <c r="A1633" t="s">
        <v>2165</v>
      </c>
    </row>
    <row r="1634" spans="1:1">
      <c r="A1634" t="s">
        <v>2166</v>
      </c>
    </row>
    <row r="1635" spans="1:1">
      <c r="A1635" t="s">
        <v>2167</v>
      </c>
    </row>
    <row r="1636" spans="1:1">
      <c r="A1636" t="s">
        <v>2168</v>
      </c>
    </row>
    <row r="1637" spans="1:1">
      <c r="A1637" t="s">
        <v>2169</v>
      </c>
    </row>
    <row r="1638" spans="1:1">
      <c r="A1638" t="s">
        <v>2170</v>
      </c>
    </row>
    <row r="1639" spans="1:1">
      <c r="A1639" t="s">
        <v>2171</v>
      </c>
    </row>
    <row r="1640" spans="1:1">
      <c r="A1640" t="s">
        <v>2172</v>
      </c>
    </row>
    <row r="1641" spans="1:1">
      <c r="A1641" t="s">
        <v>2173</v>
      </c>
    </row>
    <row r="1642" spans="1:1">
      <c r="A1642" t="s">
        <v>2174</v>
      </c>
    </row>
    <row r="1643" spans="1:1">
      <c r="A1643" t="s">
        <v>2175</v>
      </c>
    </row>
    <row r="1644" spans="1:1">
      <c r="A1644" t="s">
        <v>2176</v>
      </c>
    </row>
    <row r="1645" spans="1:1">
      <c r="A1645" t="s">
        <v>2177</v>
      </c>
    </row>
    <row r="1646" spans="1:1">
      <c r="A1646" t="s">
        <v>2178</v>
      </c>
    </row>
    <row r="1647" spans="1:1">
      <c r="A1647" t="s">
        <v>2179</v>
      </c>
    </row>
    <row r="1648" spans="1:1">
      <c r="A1648" t="s">
        <v>2180</v>
      </c>
    </row>
    <row r="1649" spans="1:1">
      <c r="A1649" t="s">
        <v>2181</v>
      </c>
    </row>
    <row r="1650" spans="1:1">
      <c r="A1650" t="s">
        <v>2182</v>
      </c>
    </row>
    <row r="1651" spans="1:1">
      <c r="A1651" t="s">
        <v>2183</v>
      </c>
    </row>
    <row r="1652" spans="1:1">
      <c r="A1652" t="s">
        <v>2184</v>
      </c>
    </row>
    <row r="1653" spans="1:1">
      <c r="A1653" t="s">
        <v>2185</v>
      </c>
    </row>
    <row r="1654" spans="1:1">
      <c r="A1654" t="s">
        <v>2186</v>
      </c>
    </row>
    <row r="1655" spans="1:1">
      <c r="A1655" t="s">
        <v>2187</v>
      </c>
    </row>
    <row r="1656" spans="1:1">
      <c r="A1656" t="s">
        <v>2188</v>
      </c>
    </row>
    <row r="1657" spans="1:1">
      <c r="A1657" t="s">
        <v>2189</v>
      </c>
    </row>
    <row r="1658" spans="1:1">
      <c r="A1658" t="s">
        <v>2190</v>
      </c>
    </row>
    <row r="1659" spans="1:1">
      <c r="A1659" t="s">
        <v>2191</v>
      </c>
    </row>
    <row r="1660" spans="1:1">
      <c r="A1660" t="s">
        <v>2192</v>
      </c>
    </row>
    <row r="1661" spans="1:1">
      <c r="A1661" t="s">
        <v>2193</v>
      </c>
    </row>
    <row r="1662" spans="1:1">
      <c r="A1662" t="s">
        <v>2194</v>
      </c>
    </row>
    <row r="1663" spans="1:1">
      <c r="A1663" t="s">
        <v>2195</v>
      </c>
    </row>
    <row r="1664" spans="1:1">
      <c r="A1664" t="s">
        <v>2196</v>
      </c>
    </row>
    <row r="1665" spans="1:1">
      <c r="A1665" t="s">
        <v>2197</v>
      </c>
    </row>
    <row r="1666" spans="1:1">
      <c r="A1666" t="s">
        <v>2198</v>
      </c>
    </row>
    <row r="1667" spans="1:1">
      <c r="A1667" t="s">
        <v>2199</v>
      </c>
    </row>
    <row r="1668" spans="1:1">
      <c r="A1668" t="s">
        <v>2200</v>
      </c>
    </row>
    <row r="1669" spans="1:1">
      <c r="A1669" t="s">
        <v>2201</v>
      </c>
    </row>
    <row r="1670" spans="1:1">
      <c r="A1670" t="s">
        <v>2202</v>
      </c>
    </row>
    <row r="1671" spans="1:1">
      <c r="A1671" t="s">
        <v>2203</v>
      </c>
    </row>
    <row r="1672" spans="1:1">
      <c r="A1672" t="s">
        <v>2204</v>
      </c>
    </row>
    <row r="1673" spans="1:1">
      <c r="A1673" t="s">
        <v>2205</v>
      </c>
    </row>
    <row r="1674" spans="1:1">
      <c r="A1674" t="s">
        <v>2206</v>
      </c>
    </row>
    <row r="1675" spans="1:1">
      <c r="A1675" t="s">
        <v>2207</v>
      </c>
    </row>
    <row r="1676" spans="1:1">
      <c r="A1676" t="s">
        <v>2208</v>
      </c>
    </row>
    <row r="1677" spans="1:1">
      <c r="A1677" t="s">
        <v>2209</v>
      </c>
    </row>
    <row r="1678" spans="1:1">
      <c r="A1678" t="s">
        <v>2210</v>
      </c>
    </row>
    <row r="1679" spans="1:1">
      <c r="A1679" t="s">
        <v>2211</v>
      </c>
    </row>
    <row r="1680" spans="1:1">
      <c r="A1680" t="s">
        <v>2212</v>
      </c>
    </row>
    <row r="1681" spans="1:1">
      <c r="A1681" t="s">
        <v>2213</v>
      </c>
    </row>
    <row r="1682" spans="1:1">
      <c r="A1682" t="s">
        <v>2214</v>
      </c>
    </row>
    <row r="1683" spans="1:1">
      <c r="A1683" t="s">
        <v>2215</v>
      </c>
    </row>
    <row r="1684" spans="1:1">
      <c r="A1684" t="s">
        <v>2216</v>
      </c>
    </row>
    <row r="1685" spans="1:1">
      <c r="A1685" t="s">
        <v>2217</v>
      </c>
    </row>
    <row r="1686" spans="1:1">
      <c r="A1686" t="s">
        <v>2218</v>
      </c>
    </row>
    <row r="1687" spans="1:1">
      <c r="A1687" t="s">
        <v>2219</v>
      </c>
    </row>
    <row r="1688" spans="1:1">
      <c r="A1688" t="s">
        <v>2220</v>
      </c>
    </row>
    <row r="1689" spans="1:1">
      <c r="A1689" t="s">
        <v>2221</v>
      </c>
    </row>
    <row r="1690" spans="1:1">
      <c r="A1690" t="s">
        <v>2222</v>
      </c>
    </row>
    <row r="1691" spans="1:1">
      <c r="A1691" t="s">
        <v>2223</v>
      </c>
    </row>
    <row r="1692" spans="1:1">
      <c r="A1692" t="s">
        <v>2224</v>
      </c>
    </row>
    <row r="1693" spans="1:1">
      <c r="A1693" t="s">
        <v>2225</v>
      </c>
    </row>
    <row r="1694" spans="1:1">
      <c r="A1694" t="s">
        <v>2226</v>
      </c>
    </row>
    <row r="1695" spans="1:1">
      <c r="A1695" t="s">
        <v>2227</v>
      </c>
    </row>
    <row r="1696" spans="1:1">
      <c r="A1696" t="s">
        <v>2228</v>
      </c>
    </row>
    <row r="1697" spans="1:1">
      <c r="A1697" t="s">
        <v>2229</v>
      </c>
    </row>
    <row r="1698" spans="1:1">
      <c r="A1698" t="s">
        <v>2230</v>
      </c>
    </row>
    <row r="1699" spans="1:1">
      <c r="A1699" t="s">
        <v>2231</v>
      </c>
    </row>
    <row r="1700" spans="1:1">
      <c r="A1700" t="s">
        <v>2232</v>
      </c>
    </row>
    <row r="1701" spans="1:1">
      <c r="A1701" t="s">
        <v>2233</v>
      </c>
    </row>
    <row r="1702" spans="1:1">
      <c r="A1702" t="s">
        <v>2234</v>
      </c>
    </row>
    <row r="1703" spans="1:1">
      <c r="A1703" t="s">
        <v>2235</v>
      </c>
    </row>
    <row r="1704" spans="1:1">
      <c r="A1704" t="s">
        <v>2236</v>
      </c>
    </row>
    <row r="1705" spans="1:1">
      <c r="A1705" t="s">
        <v>2237</v>
      </c>
    </row>
    <row r="1706" spans="1:1">
      <c r="A1706" t="s">
        <v>2238</v>
      </c>
    </row>
    <row r="1707" spans="1:1">
      <c r="A1707" t="s">
        <v>2239</v>
      </c>
    </row>
    <row r="1708" spans="1:1">
      <c r="A1708" t="s">
        <v>2240</v>
      </c>
    </row>
    <row r="1709" spans="1:1">
      <c r="A1709" t="s">
        <v>2241</v>
      </c>
    </row>
    <row r="1710" spans="1:1">
      <c r="A1710" t="s">
        <v>2242</v>
      </c>
    </row>
    <row r="1711" spans="1:1">
      <c r="A1711" t="s">
        <v>2243</v>
      </c>
    </row>
    <row r="1712" spans="1:1">
      <c r="A1712" t="s">
        <v>2244</v>
      </c>
    </row>
    <row r="1713" spans="1:1">
      <c r="A1713" t="s">
        <v>2245</v>
      </c>
    </row>
    <row r="1714" spans="1:1">
      <c r="A1714" t="s">
        <v>2246</v>
      </c>
    </row>
    <row r="1715" spans="1:1">
      <c r="A1715" t="s">
        <v>2247</v>
      </c>
    </row>
    <row r="1716" spans="1:1">
      <c r="A1716" t="s">
        <v>2248</v>
      </c>
    </row>
    <row r="1717" spans="1:1">
      <c r="A1717" t="s">
        <v>2249</v>
      </c>
    </row>
    <row r="1718" spans="1:1">
      <c r="A1718" t="s">
        <v>2250</v>
      </c>
    </row>
    <row r="1719" spans="1:1">
      <c r="A1719" t="s">
        <v>2251</v>
      </c>
    </row>
    <row r="1720" spans="1:1">
      <c r="A1720" t="s">
        <v>2252</v>
      </c>
    </row>
    <row r="1721" spans="1:1">
      <c r="A1721" t="s">
        <v>2253</v>
      </c>
    </row>
    <row r="1722" spans="1:1">
      <c r="A1722" t="s">
        <v>2254</v>
      </c>
    </row>
    <row r="1723" spans="1:1">
      <c r="A1723" t="s">
        <v>2255</v>
      </c>
    </row>
    <row r="1724" spans="1:1">
      <c r="A1724" t="s">
        <v>2256</v>
      </c>
    </row>
    <row r="1725" spans="1:1">
      <c r="A1725" t="s">
        <v>2257</v>
      </c>
    </row>
    <row r="1726" spans="1:1">
      <c r="A1726" t="s">
        <v>2258</v>
      </c>
    </row>
    <row r="1727" spans="1:1">
      <c r="A1727" t="s">
        <v>2259</v>
      </c>
    </row>
    <row r="1728" spans="1:1">
      <c r="A1728" t="s">
        <v>2260</v>
      </c>
    </row>
    <row r="1729" spans="1:1">
      <c r="A1729" t="s">
        <v>2261</v>
      </c>
    </row>
    <row r="1730" spans="1:1">
      <c r="A1730" t="s">
        <v>2262</v>
      </c>
    </row>
    <row r="1731" spans="1:1">
      <c r="A1731" t="s">
        <v>2263</v>
      </c>
    </row>
    <row r="1732" spans="1:1">
      <c r="A1732" t="s">
        <v>2264</v>
      </c>
    </row>
    <row r="1733" spans="1:1">
      <c r="A1733" t="s">
        <v>2265</v>
      </c>
    </row>
    <row r="1734" spans="1:1">
      <c r="A1734" t="s">
        <v>2266</v>
      </c>
    </row>
    <row r="1735" spans="1:1">
      <c r="A1735" t="s">
        <v>2267</v>
      </c>
    </row>
    <row r="1736" spans="1:1">
      <c r="A1736" t="s">
        <v>2268</v>
      </c>
    </row>
    <row r="1737" spans="1:1">
      <c r="A1737" t="s">
        <v>2269</v>
      </c>
    </row>
    <row r="1738" spans="1:1">
      <c r="A1738" t="s">
        <v>2270</v>
      </c>
    </row>
    <row r="1739" spans="1:1">
      <c r="A1739" t="s">
        <v>2271</v>
      </c>
    </row>
    <row r="1740" spans="1:1">
      <c r="A1740" t="s">
        <v>2272</v>
      </c>
    </row>
    <row r="1741" spans="1:1">
      <c r="A1741" t="s">
        <v>2273</v>
      </c>
    </row>
    <row r="1742" spans="1:1">
      <c r="A1742" t="s">
        <v>2274</v>
      </c>
    </row>
    <row r="1743" spans="1:1">
      <c r="A1743" t="s">
        <v>2275</v>
      </c>
    </row>
    <row r="1744" spans="1:1">
      <c r="A1744" t="s">
        <v>2276</v>
      </c>
    </row>
    <row r="1745" spans="1:1">
      <c r="A1745" t="s">
        <v>2277</v>
      </c>
    </row>
    <row r="1746" spans="1:1">
      <c r="A1746" t="s">
        <v>2278</v>
      </c>
    </row>
    <row r="1747" spans="1:1">
      <c r="A1747" t="s">
        <v>2279</v>
      </c>
    </row>
    <row r="1748" spans="1:1">
      <c r="A1748" t="s">
        <v>2280</v>
      </c>
    </row>
    <row r="1749" spans="1:1">
      <c r="A1749" t="s">
        <v>2281</v>
      </c>
    </row>
    <row r="1750" spans="1:1">
      <c r="A1750" t="s">
        <v>2282</v>
      </c>
    </row>
    <row r="1751" spans="1:1">
      <c r="A1751" t="s">
        <v>2283</v>
      </c>
    </row>
    <row r="1752" spans="1:1">
      <c r="A1752" t="s">
        <v>2284</v>
      </c>
    </row>
    <row r="1753" spans="1:1">
      <c r="A1753" t="s">
        <v>2285</v>
      </c>
    </row>
    <row r="1754" spans="1:1">
      <c r="A1754" t="s">
        <v>2286</v>
      </c>
    </row>
    <row r="1755" spans="1:1">
      <c r="A1755" t="s">
        <v>2287</v>
      </c>
    </row>
    <row r="1756" spans="1:1">
      <c r="A1756" t="s">
        <v>2288</v>
      </c>
    </row>
    <row r="1757" spans="1:1">
      <c r="A1757" t="s">
        <v>2289</v>
      </c>
    </row>
    <row r="1758" spans="1:1">
      <c r="A1758" t="s">
        <v>2290</v>
      </c>
    </row>
    <row r="1759" spans="1:1">
      <c r="A1759" t="s">
        <v>2291</v>
      </c>
    </row>
    <row r="1760" spans="1:1">
      <c r="A1760" t="s">
        <v>2292</v>
      </c>
    </row>
    <row r="1761" spans="1:1">
      <c r="A1761" t="s">
        <v>2293</v>
      </c>
    </row>
    <row r="1762" spans="1:1">
      <c r="A1762" t="s">
        <v>2294</v>
      </c>
    </row>
    <row r="1763" spans="1:1">
      <c r="A1763" t="s">
        <v>2295</v>
      </c>
    </row>
    <row r="1764" spans="1:1">
      <c r="A1764" t="s">
        <v>2296</v>
      </c>
    </row>
    <row r="1765" spans="1:1">
      <c r="A1765" t="s">
        <v>2297</v>
      </c>
    </row>
    <row r="1766" spans="1:1">
      <c r="A1766" t="s">
        <v>2298</v>
      </c>
    </row>
    <row r="1767" spans="1:1">
      <c r="A1767" t="s">
        <v>2299</v>
      </c>
    </row>
    <row r="1768" spans="1:1">
      <c r="A1768" t="s">
        <v>2300</v>
      </c>
    </row>
    <row r="1769" spans="1:1">
      <c r="A1769" t="s">
        <v>2301</v>
      </c>
    </row>
    <row r="1770" spans="1:1">
      <c r="A1770" t="s">
        <v>2302</v>
      </c>
    </row>
    <row r="1771" spans="1:1">
      <c r="A1771" t="s">
        <v>2303</v>
      </c>
    </row>
    <row r="1772" spans="1:1">
      <c r="A1772" t="s">
        <v>2304</v>
      </c>
    </row>
    <row r="1773" spans="1:1">
      <c r="A1773" t="s">
        <v>2305</v>
      </c>
    </row>
    <row r="1774" spans="1:1">
      <c r="A1774" t="s">
        <v>2306</v>
      </c>
    </row>
    <row r="1775" spans="1:1">
      <c r="A1775" t="s">
        <v>2307</v>
      </c>
    </row>
    <row r="1776" spans="1:1">
      <c r="A1776" t="s">
        <v>2308</v>
      </c>
    </row>
    <row r="1777" spans="1:1">
      <c r="A1777" t="s">
        <v>2309</v>
      </c>
    </row>
    <row r="1778" spans="1:1">
      <c r="A1778" t="s">
        <v>2310</v>
      </c>
    </row>
    <row r="1779" spans="1:1">
      <c r="A1779" t="s">
        <v>2311</v>
      </c>
    </row>
    <row r="1780" spans="1:1">
      <c r="A1780" t="s">
        <v>2312</v>
      </c>
    </row>
    <row r="1781" spans="1:1">
      <c r="A1781" t="s">
        <v>2313</v>
      </c>
    </row>
    <row r="1782" spans="1:1">
      <c r="A1782" t="s">
        <v>2314</v>
      </c>
    </row>
    <row r="1783" spans="1:1">
      <c r="A1783" t="s">
        <v>2315</v>
      </c>
    </row>
    <row r="1784" spans="1:1">
      <c r="A1784" t="s">
        <v>2316</v>
      </c>
    </row>
    <row r="1785" spans="1:1">
      <c r="A1785" t="s">
        <v>2317</v>
      </c>
    </row>
    <row r="1786" spans="1:1">
      <c r="A1786" t="s">
        <v>2318</v>
      </c>
    </row>
    <row r="1787" spans="1:1">
      <c r="A1787" t="s">
        <v>2319</v>
      </c>
    </row>
    <row r="1788" spans="1:1">
      <c r="A1788" t="s">
        <v>2320</v>
      </c>
    </row>
    <row r="1789" spans="1:1">
      <c r="A1789" t="s">
        <v>2321</v>
      </c>
    </row>
    <row r="1790" spans="1:1">
      <c r="A1790" t="s">
        <v>2322</v>
      </c>
    </row>
    <row r="1791" spans="1:1">
      <c r="A1791" t="s">
        <v>2323</v>
      </c>
    </row>
    <row r="1792" spans="1:1">
      <c r="A1792" t="s">
        <v>2324</v>
      </c>
    </row>
    <row r="1793" spans="1:1">
      <c r="A1793" t="s">
        <v>2325</v>
      </c>
    </row>
    <row r="1794" spans="1:1">
      <c r="A1794" t="s">
        <v>2326</v>
      </c>
    </row>
    <row r="1795" spans="1:1">
      <c r="A1795" t="s">
        <v>2327</v>
      </c>
    </row>
    <row r="1796" spans="1:1">
      <c r="A1796" t="s">
        <v>2328</v>
      </c>
    </row>
    <row r="1797" spans="1:1">
      <c r="A1797" t="s">
        <v>2329</v>
      </c>
    </row>
    <row r="1798" spans="1:1">
      <c r="A1798" t="s">
        <v>2330</v>
      </c>
    </row>
    <row r="1799" spans="1:1">
      <c r="A1799" t="s">
        <v>2331</v>
      </c>
    </row>
    <row r="1800" spans="1:1">
      <c r="A1800" t="s">
        <v>2332</v>
      </c>
    </row>
    <row r="1801" spans="1:1">
      <c r="A1801" t="s">
        <v>2333</v>
      </c>
    </row>
    <row r="1802" spans="1:1">
      <c r="A1802" t="s">
        <v>2334</v>
      </c>
    </row>
    <row r="1803" spans="1:1">
      <c r="A1803" t="s">
        <v>2335</v>
      </c>
    </row>
    <row r="1804" spans="1:1">
      <c r="A1804" t="s">
        <v>2336</v>
      </c>
    </row>
    <row r="1805" spans="1:1">
      <c r="A1805" t="s">
        <v>2337</v>
      </c>
    </row>
    <row r="1806" spans="1:1">
      <c r="A1806" t="s">
        <v>2338</v>
      </c>
    </row>
    <row r="1807" spans="1:1">
      <c r="A1807" t="s">
        <v>2339</v>
      </c>
    </row>
    <row r="1808" spans="1:1">
      <c r="A1808" t="s">
        <v>2340</v>
      </c>
    </row>
    <row r="1809" spans="1:1">
      <c r="A1809" t="s">
        <v>2341</v>
      </c>
    </row>
    <row r="1810" spans="1:1">
      <c r="A1810" t="s">
        <v>2342</v>
      </c>
    </row>
    <row r="1811" spans="1:1">
      <c r="A1811" t="s">
        <v>2343</v>
      </c>
    </row>
    <row r="1812" spans="1:1">
      <c r="A1812" t="s">
        <v>2344</v>
      </c>
    </row>
    <row r="1813" spans="1:1">
      <c r="A1813" t="s">
        <v>2345</v>
      </c>
    </row>
    <row r="1814" spans="1:1">
      <c r="A1814" t="s">
        <v>2346</v>
      </c>
    </row>
    <row r="1815" spans="1:1">
      <c r="A1815" t="s">
        <v>2347</v>
      </c>
    </row>
    <row r="1816" spans="1:1">
      <c r="A1816" t="s">
        <v>2348</v>
      </c>
    </row>
    <row r="1817" spans="1:1">
      <c r="A1817" t="s">
        <v>2349</v>
      </c>
    </row>
    <row r="1818" spans="1:1">
      <c r="A1818" t="s">
        <v>2350</v>
      </c>
    </row>
    <row r="1819" spans="1:1">
      <c r="A1819" t="s">
        <v>2351</v>
      </c>
    </row>
    <row r="1820" spans="1:1">
      <c r="A1820" t="s">
        <v>2352</v>
      </c>
    </row>
    <row r="1821" spans="1:1">
      <c r="A1821" t="s">
        <v>2353</v>
      </c>
    </row>
    <row r="1822" spans="1:1">
      <c r="A1822" t="s">
        <v>2354</v>
      </c>
    </row>
    <row r="1823" spans="1:1">
      <c r="A1823" t="s">
        <v>2355</v>
      </c>
    </row>
    <row r="1824" spans="1:1">
      <c r="A1824" t="s">
        <v>2356</v>
      </c>
    </row>
    <row r="1825" spans="1:1">
      <c r="A1825" t="s">
        <v>2357</v>
      </c>
    </row>
    <row r="1826" spans="1:1">
      <c r="A1826" t="s">
        <v>2358</v>
      </c>
    </row>
    <row r="1827" spans="1:1">
      <c r="A1827" t="s">
        <v>2359</v>
      </c>
    </row>
    <row r="1828" spans="1:1">
      <c r="A1828" t="s">
        <v>2360</v>
      </c>
    </row>
    <row r="1829" spans="1:1">
      <c r="A1829" t="s">
        <v>2361</v>
      </c>
    </row>
    <row r="1830" spans="1:1">
      <c r="A1830" t="s">
        <v>2362</v>
      </c>
    </row>
    <row r="1831" spans="1:1">
      <c r="A1831" t="s">
        <v>2363</v>
      </c>
    </row>
    <row r="1832" spans="1:1">
      <c r="A1832" t="s">
        <v>2364</v>
      </c>
    </row>
    <row r="1833" spans="1:1">
      <c r="A1833" t="s">
        <v>2365</v>
      </c>
    </row>
    <row r="1834" spans="1:1">
      <c r="A1834" t="s">
        <v>2366</v>
      </c>
    </row>
    <row r="1835" spans="1:1">
      <c r="A1835" t="s">
        <v>2367</v>
      </c>
    </row>
    <row r="1836" spans="1:1">
      <c r="A1836" t="s">
        <v>2368</v>
      </c>
    </row>
    <row r="1837" spans="1:1">
      <c r="A1837" t="s">
        <v>2369</v>
      </c>
    </row>
    <row r="1838" spans="1:1">
      <c r="A1838" t="s">
        <v>2370</v>
      </c>
    </row>
    <row r="1839" spans="1:1">
      <c r="A1839" t="s">
        <v>2371</v>
      </c>
    </row>
    <row r="1840" spans="1:1">
      <c r="A1840" t="s">
        <v>2372</v>
      </c>
    </row>
    <row r="1841" spans="1:1">
      <c r="A1841" t="s">
        <v>2373</v>
      </c>
    </row>
    <row r="1842" spans="1:1">
      <c r="A1842" t="s">
        <v>2374</v>
      </c>
    </row>
    <row r="1843" spans="1:1">
      <c r="A1843" t="s">
        <v>2375</v>
      </c>
    </row>
    <row r="1844" spans="1:1">
      <c r="A1844" t="s">
        <v>2376</v>
      </c>
    </row>
    <row r="1845" spans="1:1">
      <c r="A1845" t="s">
        <v>2377</v>
      </c>
    </row>
    <row r="1846" spans="1:1">
      <c r="A1846" t="s">
        <v>2378</v>
      </c>
    </row>
    <row r="1847" spans="1:1">
      <c r="A1847" t="s">
        <v>2379</v>
      </c>
    </row>
    <row r="1848" spans="1:1">
      <c r="A1848" t="s">
        <v>2380</v>
      </c>
    </row>
    <row r="1849" spans="1:1">
      <c r="A1849" t="s">
        <v>2381</v>
      </c>
    </row>
    <row r="1850" spans="1:1">
      <c r="A1850" t="s">
        <v>2382</v>
      </c>
    </row>
    <row r="1851" spans="1:1">
      <c r="A1851" t="s">
        <v>2383</v>
      </c>
    </row>
    <row r="1852" spans="1:1">
      <c r="A1852" t="s">
        <v>2384</v>
      </c>
    </row>
    <row r="1853" spans="1:1">
      <c r="A1853" t="s">
        <v>2385</v>
      </c>
    </row>
    <row r="1854" spans="1:1">
      <c r="A1854" t="s">
        <v>2386</v>
      </c>
    </row>
    <row r="1855" spans="1:1">
      <c r="A1855" t="s">
        <v>2387</v>
      </c>
    </row>
    <row r="1856" spans="1:1">
      <c r="A1856" t="s">
        <v>2388</v>
      </c>
    </row>
    <row r="1857" spans="1:1">
      <c r="A1857" t="s">
        <v>2389</v>
      </c>
    </row>
    <row r="1858" spans="1:1">
      <c r="A1858" t="s">
        <v>2390</v>
      </c>
    </row>
    <row r="1859" spans="1:1">
      <c r="A1859" t="s">
        <v>2391</v>
      </c>
    </row>
    <row r="1860" spans="1:1">
      <c r="A1860" t="s">
        <v>2392</v>
      </c>
    </row>
    <row r="1861" spans="1:1">
      <c r="A1861" t="s">
        <v>2393</v>
      </c>
    </row>
    <row r="1862" spans="1:1">
      <c r="A1862" t="s">
        <v>2394</v>
      </c>
    </row>
    <row r="1863" spans="1:1">
      <c r="A1863" t="s">
        <v>2395</v>
      </c>
    </row>
    <row r="1864" spans="1:1">
      <c r="A1864" t="s">
        <v>2396</v>
      </c>
    </row>
    <row r="1865" spans="1:1">
      <c r="A1865" t="s">
        <v>2397</v>
      </c>
    </row>
    <row r="1866" spans="1:1">
      <c r="A1866" t="s">
        <v>2398</v>
      </c>
    </row>
    <row r="1867" spans="1:1">
      <c r="A1867" t="s">
        <v>2399</v>
      </c>
    </row>
    <row r="1868" spans="1:1">
      <c r="A1868" t="s">
        <v>2400</v>
      </c>
    </row>
    <row r="1869" spans="1:1">
      <c r="A1869" t="s">
        <v>2401</v>
      </c>
    </row>
    <row r="1870" spans="1:1">
      <c r="A1870" t="s">
        <v>2402</v>
      </c>
    </row>
    <row r="1871" spans="1:1">
      <c r="A1871" t="s">
        <v>2403</v>
      </c>
    </row>
    <row r="1872" spans="1:1">
      <c r="A1872" t="s">
        <v>2404</v>
      </c>
    </row>
    <row r="1873" spans="1:1">
      <c r="A1873" t="s">
        <v>2405</v>
      </c>
    </row>
    <row r="1874" spans="1:1">
      <c r="A1874" t="s">
        <v>2406</v>
      </c>
    </row>
    <row r="1875" spans="1:1">
      <c r="A1875" t="s">
        <v>2407</v>
      </c>
    </row>
    <row r="1876" spans="1:1">
      <c r="A1876" t="s">
        <v>2408</v>
      </c>
    </row>
    <row r="1877" spans="1:1">
      <c r="A1877" t="s">
        <v>2409</v>
      </c>
    </row>
    <row r="1878" spans="1:1">
      <c r="A1878" t="s">
        <v>2410</v>
      </c>
    </row>
    <row r="1879" spans="1:1">
      <c r="A1879" t="s">
        <v>2411</v>
      </c>
    </row>
    <row r="1880" spans="1:1">
      <c r="A1880" t="s">
        <v>2412</v>
      </c>
    </row>
    <row r="1881" spans="1:1">
      <c r="A1881" t="s">
        <v>2413</v>
      </c>
    </row>
    <row r="1882" spans="1:1">
      <c r="A1882" t="s">
        <v>2414</v>
      </c>
    </row>
    <row r="1883" spans="1:1">
      <c r="A1883" t="s">
        <v>2415</v>
      </c>
    </row>
    <row r="1884" spans="1:1">
      <c r="A1884" t="s">
        <v>2416</v>
      </c>
    </row>
    <row r="1885" spans="1:1">
      <c r="A1885" t="s">
        <v>2417</v>
      </c>
    </row>
    <row r="1886" spans="1:1">
      <c r="A1886" t="s">
        <v>2418</v>
      </c>
    </row>
    <row r="1887" spans="1:1">
      <c r="A1887" t="s">
        <v>2419</v>
      </c>
    </row>
    <row r="1888" spans="1:1">
      <c r="A1888" t="s">
        <v>2420</v>
      </c>
    </row>
    <row r="1889" spans="1:1">
      <c r="A1889" t="s">
        <v>2421</v>
      </c>
    </row>
    <row r="1890" spans="1:1">
      <c r="A1890" t="s">
        <v>2422</v>
      </c>
    </row>
    <row r="1891" spans="1:1">
      <c r="A1891" t="s">
        <v>2423</v>
      </c>
    </row>
    <row r="1892" spans="1:1">
      <c r="A1892" t="s">
        <v>2424</v>
      </c>
    </row>
    <row r="1893" spans="1:1">
      <c r="A1893" t="s">
        <v>2425</v>
      </c>
    </row>
    <row r="1894" spans="1:1">
      <c r="A1894" t="s">
        <v>2426</v>
      </c>
    </row>
    <row r="1895" spans="1:1">
      <c r="A1895" t="s">
        <v>2427</v>
      </c>
    </row>
    <row r="1896" spans="1:1">
      <c r="A1896" t="s">
        <v>2428</v>
      </c>
    </row>
    <row r="1897" spans="1:1">
      <c r="A1897" t="s">
        <v>2429</v>
      </c>
    </row>
    <row r="1898" spans="1:1">
      <c r="A1898" t="s">
        <v>2430</v>
      </c>
    </row>
    <row r="1899" spans="1:1">
      <c r="A1899" t="s">
        <v>2431</v>
      </c>
    </row>
    <row r="1900" spans="1:1">
      <c r="A1900" t="s">
        <v>2432</v>
      </c>
    </row>
    <row r="1901" spans="1:1">
      <c r="A1901" t="s">
        <v>2433</v>
      </c>
    </row>
    <row r="1902" spans="1:1">
      <c r="A1902" t="s">
        <v>2434</v>
      </c>
    </row>
    <row r="1903" spans="1:1">
      <c r="A1903" t="s">
        <v>2435</v>
      </c>
    </row>
    <row r="1904" spans="1:1">
      <c r="A1904" t="s">
        <v>2436</v>
      </c>
    </row>
    <row r="1905" spans="1:1">
      <c r="A1905" t="s">
        <v>2437</v>
      </c>
    </row>
    <row r="1906" spans="1:1">
      <c r="A1906" t="s">
        <v>2438</v>
      </c>
    </row>
    <row r="1907" spans="1:1">
      <c r="A1907" t="s">
        <v>2439</v>
      </c>
    </row>
    <row r="1908" spans="1:1">
      <c r="A1908" t="s">
        <v>2440</v>
      </c>
    </row>
    <row r="1909" spans="1:1">
      <c r="A1909" t="s">
        <v>2441</v>
      </c>
    </row>
    <row r="1910" spans="1:1">
      <c r="A1910" t="s">
        <v>2442</v>
      </c>
    </row>
    <row r="1911" spans="1:1">
      <c r="A1911" t="s">
        <v>2443</v>
      </c>
    </row>
    <row r="1912" spans="1:1">
      <c r="A1912" t="s">
        <v>2444</v>
      </c>
    </row>
    <row r="1913" spans="1:1">
      <c r="A1913" t="s">
        <v>2445</v>
      </c>
    </row>
    <row r="1914" spans="1:1">
      <c r="A1914" t="s">
        <v>2446</v>
      </c>
    </row>
    <row r="1915" spans="1:1">
      <c r="A1915" t="s">
        <v>2447</v>
      </c>
    </row>
    <row r="1916" spans="1:1">
      <c r="A1916" t="s">
        <v>2448</v>
      </c>
    </row>
    <row r="1917" spans="1:1">
      <c r="A1917" t="s">
        <v>2449</v>
      </c>
    </row>
    <row r="1918" spans="1:1">
      <c r="A1918" t="s">
        <v>2450</v>
      </c>
    </row>
    <row r="1919" spans="1:1">
      <c r="A1919" t="s">
        <v>2451</v>
      </c>
    </row>
    <row r="1920" spans="1:1">
      <c r="A1920" t="s">
        <v>2452</v>
      </c>
    </row>
    <row r="1921" spans="1:1">
      <c r="A1921" t="s">
        <v>2453</v>
      </c>
    </row>
    <row r="1922" spans="1:1">
      <c r="A1922" t="s">
        <v>2454</v>
      </c>
    </row>
    <row r="1923" spans="1:1">
      <c r="A1923" t="s">
        <v>2455</v>
      </c>
    </row>
    <row r="1924" spans="1:1">
      <c r="A1924" t="s">
        <v>2456</v>
      </c>
    </row>
    <row r="1925" spans="1:1">
      <c r="A1925" t="s">
        <v>2457</v>
      </c>
    </row>
    <row r="1926" spans="1:1">
      <c r="A1926" t="s">
        <v>2458</v>
      </c>
    </row>
    <row r="1927" spans="1:1">
      <c r="A1927" t="s">
        <v>2459</v>
      </c>
    </row>
    <row r="1928" spans="1:1">
      <c r="A1928" t="s">
        <v>2460</v>
      </c>
    </row>
    <row r="1929" spans="1:1">
      <c r="A1929" t="s">
        <v>2461</v>
      </c>
    </row>
    <row r="1930" spans="1:1">
      <c r="A1930" t="s">
        <v>2462</v>
      </c>
    </row>
    <row r="1931" spans="1:1">
      <c r="A1931" t="s">
        <v>2463</v>
      </c>
    </row>
    <row r="1932" spans="1:1">
      <c r="A1932" t="s">
        <v>2464</v>
      </c>
    </row>
    <row r="1933" spans="1:1">
      <c r="A1933" t="s">
        <v>2465</v>
      </c>
    </row>
    <row r="1934" spans="1:1">
      <c r="A1934" t="s">
        <v>2466</v>
      </c>
    </row>
    <row r="1935" spans="1:1">
      <c r="A1935" t="s">
        <v>2467</v>
      </c>
    </row>
    <row r="1936" spans="1:1">
      <c r="A1936" t="s">
        <v>2468</v>
      </c>
    </row>
    <row r="1937" spans="1:1">
      <c r="A1937" t="s">
        <v>2469</v>
      </c>
    </row>
    <row r="1938" spans="1:1">
      <c r="A1938" t="s">
        <v>2470</v>
      </c>
    </row>
    <row r="1939" spans="1:1">
      <c r="A1939" t="s">
        <v>2471</v>
      </c>
    </row>
    <row r="1940" spans="1:1">
      <c r="A1940" t="s">
        <v>2472</v>
      </c>
    </row>
    <row r="1941" spans="1:1">
      <c r="A1941" t="s">
        <v>2473</v>
      </c>
    </row>
    <row r="1942" spans="1:1">
      <c r="A1942" t="s">
        <v>2474</v>
      </c>
    </row>
    <row r="1943" spans="1:1">
      <c r="A1943" t="s">
        <v>2475</v>
      </c>
    </row>
    <row r="1944" spans="1:1">
      <c r="A1944" t="s">
        <v>2476</v>
      </c>
    </row>
    <row r="1945" spans="1:1">
      <c r="A1945" t="s">
        <v>2477</v>
      </c>
    </row>
    <row r="1946" spans="1:1">
      <c r="A1946" t="s">
        <v>2478</v>
      </c>
    </row>
    <row r="1947" spans="1:1">
      <c r="A1947" t="s">
        <v>2479</v>
      </c>
    </row>
    <row r="1948" spans="1:1">
      <c r="A1948" t="s">
        <v>2480</v>
      </c>
    </row>
    <row r="1949" spans="1:1">
      <c r="A1949" t="s">
        <v>2481</v>
      </c>
    </row>
    <row r="1950" spans="1:1">
      <c r="A1950" t="s">
        <v>2482</v>
      </c>
    </row>
    <row r="1951" spans="1:1">
      <c r="A1951" t="s">
        <v>2483</v>
      </c>
    </row>
    <row r="1952" spans="1:1">
      <c r="A1952" t="s">
        <v>2484</v>
      </c>
    </row>
    <row r="1953" spans="1:1">
      <c r="A1953" t="s">
        <v>2485</v>
      </c>
    </row>
    <row r="1954" spans="1:1">
      <c r="A1954" t="s">
        <v>2486</v>
      </c>
    </row>
    <row r="1955" spans="1:1">
      <c r="A1955" t="s">
        <v>2487</v>
      </c>
    </row>
    <row r="1956" spans="1:1">
      <c r="A1956" t="s">
        <v>2488</v>
      </c>
    </row>
    <row r="1957" spans="1:1">
      <c r="A1957" t="s">
        <v>2489</v>
      </c>
    </row>
    <row r="1958" spans="1:1">
      <c r="A1958" t="s">
        <v>2490</v>
      </c>
    </row>
    <row r="1959" spans="1:1">
      <c r="A1959" t="s">
        <v>2491</v>
      </c>
    </row>
    <row r="1960" spans="1:1">
      <c r="A1960" t="s">
        <v>2492</v>
      </c>
    </row>
    <row r="1961" spans="1:1">
      <c r="A1961" t="s">
        <v>2493</v>
      </c>
    </row>
    <row r="1962" spans="1:1">
      <c r="A1962" t="s">
        <v>2494</v>
      </c>
    </row>
    <row r="1963" spans="1:1">
      <c r="A1963" t="s">
        <v>2495</v>
      </c>
    </row>
    <row r="1964" spans="1:1">
      <c r="A1964" t="s">
        <v>2496</v>
      </c>
    </row>
    <row r="1965" spans="1:1">
      <c r="A1965" t="s">
        <v>2497</v>
      </c>
    </row>
    <row r="1966" spans="1:1">
      <c r="A1966" t="s">
        <v>2498</v>
      </c>
    </row>
    <row r="1967" spans="1:1">
      <c r="A1967" t="s">
        <v>2499</v>
      </c>
    </row>
    <row r="1968" spans="1:1">
      <c r="A1968" t="s">
        <v>2500</v>
      </c>
    </row>
    <row r="1969" spans="1:1">
      <c r="A1969" t="s">
        <v>2501</v>
      </c>
    </row>
    <row r="1970" spans="1:1">
      <c r="A1970" t="s">
        <v>2502</v>
      </c>
    </row>
    <row r="1971" spans="1:1">
      <c r="A1971" t="s">
        <v>2503</v>
      </c>
    </row>
    <row r="1972" spans="1:1">
      <c r="A1972" t="s">
        <v>2504</v>
      </c>
    </row>
    <row r="1973" spans="1:1">
      <c r="A1973" t="s">
        <v>2505</v>
      </c>
    </row>
    <row r="1974" spans="1:1">
      <c r="A1974" t="s">
        <v>2506</v>
      </c>
    </row>
    <row r="1975" spans="1:1">
      <c r="A1975" t="s">
        <v>2507</v>
      </c>
    </row>
    <row r="1976" spans="1:1">
      <c r="A1976" t="s">
        <v>2508</v>
      </c>
    </row>
    <row r="1977" spans="1:1">
      <c r="A1977" t="s">
        <v>2509</v>
      </c>
    </row>
    <row r="1978" spans="1:1">
      <c r="A1978" t="s">
        <v>2510</v>
      </c>
    </row>
    <row r="1979" spans="1:1">
      <c r="A1979" t="s">
        <v>2511</v>
      </c>
    </row>
    <row r="1980" spans="1:1">
      <c r="A1980" t="s">
        <v>2512</v>
      </c>
    </row>
    <row r="1981" spans="1:1">
      <c r="A1981" t="s">
        <v>2513</v>
      </c>
    </row>
    <row r="1982" spans="1:1">
      <c r="A1982" t="s">
        <v>2514</v>
      </c>
    </row>
    <row r="1983" spans="1:1">
      <c r="A1983" t="s">
        <v>2515</v>
      </c>
    </row>
    <row r="1984" spans="1:1">
      <c r="A1984" t="s">
        <v>2516</v>
      </c>
    </row>
    <row r="1985" spans="1:1">
      <c r="A1985" t="s">
        <v>2517</v>
      </c>
    </row>
    <row r="1986" spans="1:1">
      <c r="A1986" t="s">
        <v>2518</v>
      </c>
    </row>
    <row r="1987" spans="1:1">
      <c r="A1987" t="s">
        <v>2519</v>
      </c>
    </row>
    <row r="1988" spans="1:1">
      <c r="A1988" t="s">
        <v>2520</v>
      </c>
    </row>
    <row r="1989" spans="1:1">
      <c r="A1989" t="s">
        <v>2521</v>
      </c>
    </row>
    <row r="1990" spans="1:1">
      <c r="A1990" t="s">
        <v>2522</v>
      </c>
    </row>
    <row r="1991" spans="1:1">
      <c r="A1991" t="s">
        <v>2523</v>
      </c>
    </row>
    <row r="1992" spans="1:1">
      <c r="A1992" t="s">
        <v>2524</v>
      </c>
    </row>
    <row r="1993" spans="1:1">
      <c r="A1993" t="s">
        <v>2525</v>
      </c>
    </row>
    <row r="1994" spans="1:1">
      <c r="A1994" t="s">
        <v>2526</v>
      </c>
    </row>
    <row r="1995" spans="1:1">
      <c r="A1995" t="s">
        <v>2527</v>
      </c>
    </row>
    <row r="1996" spans="1:1">
      <c r="A1996" t="s">
        <v>2528</v>
      </c>
    </row>
    <row r="1997" spans="1:1">
      <c r="A1997" t="s">
        <v>2529</v>
      </c>
    </row>
    <row r="1998" spans="1:1">
      <c r="A1998" t="s">
        <v>2530</v>
      </c>
    </row>
    <row r="1999" spans="1:1">
      <c r="A1999" t="s">
        <v>2531</v>
      </c>
    </row>
    <row r="2000" spans="1:1">
      <c r="A2000" t="s">
        <v>2532</v>
      </c>
    </row>
    <row r="2001" spans="1:1">
      <c r="A2001" t="s">
        <v>2533</v>
      </c>
    </row>
    <row r="2002" spans="1:1">
      <c r="A2002" t="s">
        <v>2534</v>
      </c>
    </row>
    <row r="2003" spans="1:1">
      <c r="A2003" t="s">
        <v>2535</v>
      </c>
    </row>
    <row r="2004" spans="1:1">
      <c r="A2004" t="s">
        <v>2536</v>
      </c>
    </row>
    <row r="2005" spans="1:1">
      <c r="A2005" t="s">
        <v>2537</v>
      </c>
    </row>
    <row r="2006" spans="1:1">
      <c r="A2006" t="s">
        <v>2538</v>
      </c>
    </row>
    <row r="2007" spans="1:1">
      <c r="A2007" t="s">
        <v>2539</v>
      </c>
    </row>
    <row r="2008" spans="1:1">
      <c r="A2008" t="s">
        <v>2540</v>
      </c>
    </row>
    <row r="2009" spans="1:1">
      <c r="A2009" t="s">
        <v>2541</v>
      </c>
    </row>
    <row r="2010" spans="1:1">
      <c r="A2010" t="s">
        <v>2542</v>
      </c>
    </row>
    <row r="2011" spans="1:1">
      <c r="A2011" t="s">
        <v>2543</v>
      </c>
    </row>
    <row r="2012" spans="1:1">
      <c r="A2012" t="s">
        <v>2544</v>
      </c>
    </row>
    <row r="2013" spans="1:1">
      <c r="A2013" t="s">
        <v>2545</v>
      </c>
    </row>
    <row r="2014" spans="1:1">
      <c r="A2014" t="s">
        <v>2546</v>
      </c>
    </row>
    <row r="2015" spans="1:1">
      <c r="A2015" t="s">
        <v>2547</v>
      </c>
    </row>
    <row r="2016" spans="1:1">
      <c r="A2016" t="s">
        <v>2548</v>
      </c>
    </row>
    <row r="2017" spans="1:1">
      <c r="A2017" t="s">
        <v>2549</v>
      </c>
    </row>
    <row r="2018" spans="1:1">
      <c r="A2018" t="s">
        <v>2550</v>
      </c>
    </row>
    <row r="2019" spans="1:1">
      <c r="A2019" t="s">
        <v>2551</v>
      </c>
    </row>
    <row r="2020" spans="1:1">
      <c r="A2020" t="s">
        <v>2552</v>
      </c>
    </row>
    <row r="2021" spans="1:1">
      <c r="A2021" t="s">
        <v>2553</v>
      </c>
    </row>
    <row r="2022" spans="1:1">
      <c r="A2022" t="s">
        <v>2554</v>
      </c>
    </row>
    <row r="2023" spans="1:1">
      <c r="A2023" t="s">
        <v>2555</v>
      </c>
    </row>
    <row r="2024" spans="1:1">
      <c r="A2024" t="s">
        <v>2556</v>
      </c>
    </row>
    <row r="2025" spans="1:1">
      <c r="A2025" t="s">
        <v>2557</v>
      </c>
    </row>
    <row r="2026" spans="1:1">
      <c r="A2026" t="s">
        <v>2558</v>
      </c>
    </row>
    <row r="2027" spans="1:1">
      <c r="A2027" t="s">
        <v>2559</v>
      </c>
    </row>
    <row r="2028" spans="1:1">
      <c r="A2028" t="s">
        <v>2560</v>
      </c>
    </row>
    <row r="2029" spans="1:1">
      <c r="A2029" t="s">
        <v>2561</v>
      </c>
    </row>
    <row r="2030" spans="1:1">
      <c r="A2030" t="s">
        <v>2562</v>
      </c>
    </row>
    <row r="2031" spans="1:1">
      <c r="A2031" t="s">
        <v>2563</v>
      </c>
    </row>
    <row r="2032" spans="1:1">
      <c r="A2032" t="s">
        <v>2564</v>
      </c>
    </row>
    <row r="2033" spans="1:1">
      <c r="A2033" t="s">
        <v>2565</v>
      </c>
    </row>
    <row r="2034" spans="1:1">
      <c r="A2034" t="s">
        <v>2566</v>
      </c>
    </row>
    <row r="2035" spans="1:1">
      <c r="A2035" t="s">
        <v>2567</v>
      </c>
    </row>
    <row r="2036" spans="1:1">
      <c r="A2036" t="s">
        <v>2568</v>
      </c>
    </row>
    <row r="2037" spans="1:1">
      <c r="A2037" t="s">
        <v>2569</v>
      </c>
    </row>
    <row r="2038" spans="1:1">
      <c r="A2038" t="s">
        <v>2570</v>
      </c>
    </row>
    <row r="2039" spans="1:1">
      <c r="A2039" t="s">
        <v>2571</v>
      </c>
    </row>
    <row r="2040" spans="1:1">
      <c r="A2040" t="s">
        <v>2572</v>
      </c>
    </row>
    <row r="2041" spans="1:1">
      <c r="A2041" t="s">
        <v>2573</v>
      </c>
    </row>
    <row r="2042" spans="1:1">
      <c r="A2042" t="s">
        <v>2574</v>
      </c>
    </row>
    <row r="2043" spans="1:1">
      <c r="A2043" t="s">
        <v>2575</v>
      </c>
    </row>
    <row r="2044" spans="1:1">
      <c r="A2044" t="s">
        <v>2576</v>
      </c>
    </row>
    <row r="2045" spans="1:1">
      <c r="A2045" t="s">
        <v>2577</v>
      </c>
    </row>
    <row r="2046" spans="1:1">
      <c r="A2046" t="s">
        <v>2578</v>
      </c>
    </row>
    <row r="2047" spans="1:1">
      <c r="A2047" t="s">
        <v>2579</v>
      </c>
    </row>
    <row r="2048" spans="1:1">
      <c r="A2048" t="s">
        <v>2580</v>
      </c>
    </row>
    <row r="2049" spans="1:1">
      <c r="A2049" t="s">
        <v>2581</v>
      </c>
    </row>
    <row r="2050" spans="1:1">
      <c r="A2050" t="s">
        <v>2582</v>
      </c>
    </row>
    <row r="2051" spans="1:1">
      <c r="A2051" t="s">
        <v>2583</v>
      </c>
    </row>
    <row r="2052" spans="1:1">
      <c r="A2052" t="s">
        <v>2584</v>
      </c>
    </row>
    <row r="2053" spans="1:1">
      <c r="A2053" t="s">
        <v>2585</v>
      </c>
    </row>
    <row r="2054" spans="1:1">
      <c r="A2054" t="s">
        <v>2586</v>
      </c>
    </row>
    <row r="2055" spans="1:1">
      <c r="A2055" t="s">
        <v>2587</v>
      </c>
    </row>
    <row r="2056" spans="1:1">
      <c r="A2056" t="s">
        <v>2588</v>
      </c>
    </row>
    <row r="2057" spans="1:1">
      <c r="A2057" t="s">
        <v>2589</v>
      </c>
    </row>
    <row r="2058" spans="1:1">
      <c r="A2058" t="s">
        <v>2590</v>
      </c>
    </row>
    <row r="2059" spans="1:1">
      <c r="A2059" t="s">
        <v>2591</v>
      </c>
    </row>
    <row r="2060" spans="1:1">
      <c r="A2060" t="s">
        <v>2592</v>
      </c>
    </row>
    <row r="2061" spans="1:1">
      <c r="A2061" t="s">
        <v>2593</v>
      </c>
    </row>
    <row r="2062" spans="1:1">
      <c r="A2062" t="s">
        <v>2594</v>
      </c>
    </row>
    <row r="2063" spans="1:1">
      <c r="A2063" t="s">
        <v>2595</v>
      </c>
    </row>
    <row r="2064" spans="1:1">
      <c r="A2064" t="s">
        <v>2596</v>
      </c>
    </row>
    <row r="2065" spans="1:1">
      <c r="A2065" t="s">
        <v>2597</v>
      </c>
    </row>
    <row r="2066" spans="1:1">
      <c r="A2066" t="s">
        <v>2598</v>
      </c>
    </row>
    <row r="2067" spans="1:1">
      <c r="A2067" t="s">
        <v>2599</v>
      </c>
    </row>
    <row r="2068" spans="1:1">
      <c r="A2068" t="s">
        <v>2600</v>
      </c>
    </row>
    <row r="2069" spans="1:1">
      <c r="A2069" t="s">
        <v>2601</v>
      </c>
    </row>
    <row r="2070" spans="1:1">
      <c r="A2070" t="s">
        <v>2602</v>
      </c>
    </row>
    <row r="2071" spans="1:1">
      <c r="A2071" t="s">
        <v>2603</v>
      </c>
    </row>
    <row r="2072" spans="1:1">
      <c r="A2072" t="s">
        <v>2604</v>
      </c>
    </row>
    <row r="2073" spans="1:1">
      <c r="A2073" t="s">
        <v>2605</v>
      </c>
    </row>
    <row r="2074" spans="1:1">
      <c r="A2074" t="s">
        <v>2606</v>
      </c>
    </row>
    <row r="2075" spans="1:1">
      <c r="A2075" t="s">
        <v>2607</v>
      </c>
    </row>
    <row r="2076" spans="1:1">
      <c r="A2076" t="s">
        <v>2608</v>
      </c>
    </row>
    <row r="2077" spans="1:1">
      <c r="A2077" t="s">
        <v>2609</v>
      </c>
    </row>
    <row r="2078" spans="1:1">
      <c r="A2078" t="s">
        <v>2610</v>
      </c>
    </row>
    <row r="2079" spans="1:1">
      <c r="A2079" t="s">
        <v>2611</v>
      </c>
    </row>
    <row r="2080" spans="1:1">
      <c r="A2080" t="s">
        <v>2612</v>
      </c>
    </row>
    <row r="2081" spans="1:1">
      <c r="A2081" t="s">
        <v>2613</v>
      </c>
    </row>
    <row r="2082" spans="1:1">
      <c r="A2082" t="s">
        <v>2614</v>
      </c>
    </row>
    <row r="2083" spans="1:1">
      <c r="A2083" t="s">
        <v>2615</v>
      </c>
    </row>
    <row r="2084" spans="1:1">
      <c r="A2084" t="s">
        <v>2616</v>
      </c>
    </row>
    <row r="2085" spans="1:1">
      <c r="A2085" t="s">
        <v>2617</v>
      </c>
    </row>
    <row r="2086" spans="1:1">
      <c r="A2086" t="s">
        <v>2618</v>
      </c>
    </row>
    <row r="2087" spans="1:1">
      <c r="A2087" t="s">
        <v>2619</v>
      </c>
    </row>
    <row r="2088" spans="1:1">
      <c r="A2088" t="s">
        <v>2620</v>
      </c>
    </row>
    <row r="2089" spans="1:1">
      <c r="A2089" t="s">
        <v>2621</v>
      </c>
    </row>
    <row r="2090" spans="1:1">
      <c r="A2090" t="s">
        <v>2622</v>
      </c>
    </row>
    <row r="2091" spans="1:1">
      <c r="A2091" t="s">
        <v>2623</v>
      </c>
    </row>
    <row r="2092" spans="1:1">
      <c r="A2092" t="s">
        <v>2624</v>
      </c>
    </row>
    <row r="2093" spans="1:1">
      <c r="A2093" t="s">
        <v>2625</v>
      </c>
    </row>
    <row r="2094" spans="1:1">
      <c r="A2094" t="s">
        <v>2626</v>
      </c>
    </row>
    <row r="2095" spans="1:1">
      <c r="A2095" t="s">
        <v>2627</v>
      </c>
    </row>
    <row r="2096" spans="1:1">
      <c r="A2096" t="s">
        <v>2628</v>
      </c>
    </row>
    <row r="2097" spans="1:1">
      <c r="A2097" t="s">
        <v>2629</v>
      </c>
    </row>
    <row r="2098" spans="1:1">
      <c r="A2098" t="s">
        <v>2630</v>
      </c>
    </row>
    <row r="2099" spans="1:1">
      <c r="A2099" t="s">
        <v>2631</v>
      </c>
    </row>
    <row r="2100" spans="1:1">
      <c r="A2100" t="s">
        <v>2632</v>
      </c>
    </row>
    <row r="2101" spans="1:1">
      <c r="A2101" t="s">
        <v>2633</v>
      </c>
    </row>
    <row r="2102" spans="1:1">
      <c r="A2102" t="s">
        <v>2634</v>
      </c>
    </row>
    <row r="2103" spans="1:1">
      <c r="A2103" t="s">
        <v>2635</v>
      </c>
    </row>
    <row r="2104" spans="1:1">
      <c r="A2104" t="s">
        <v>2636</v>
      </c>
    </row>
    <row r="2105" spans="1:1">
      <c r="A2105" t="s">
        <v>2637</v>
      </c>
    </row>
    <row r="2106" spans="1:1">
      <c r="A2106" t="s">
        <v>2638</v>
      </c>
    </row>
    <row r="2107" spans="1:1">
      <c r="A2107" t="s">
        <v>2639</v>
      </c>
    </row>
    <row r="2108" spans="1:1">
      <c r="A2108" t="s">
        <v>2640</v>
      </c>
    </row>
    <row r="2109" spans="1:1">
      <c r="A2109" t="s">
        <v>2641</v>
      </c>
    </row>
    <row r="2110" spans="1:1">
      <c r="A2110" t="s">
        <v>2642</v>
      </c>
    </row>
    <row r="2111" spans="1:1">
      <c r="A2111" t="s">
        <v>2643</v>
      </c>
    </row>
    <row r="2112" spans="1:1">
      <c r="A2112" t="s">
        <v>2644</v>
      </c>
    </row>
    <row r="2113" spans="1:1">
      <c r="A2113" t="s">
        <v>2645</v>
      </c>
    </row>
    <row r="2114" spans="1:1">
      <c r="A2114" t="s">
        <v>2646</v>
      </c>
    </row>
    <row r="2115" spans="1:1">
      <c r="A2115" t="s">
        <v>2647</v>
      </c>
    </row>
    <row r="2116" spans="1:1">
      <c r="A2116" t="s">
        <v>2648</v>
      </c>
    </row>
    <row r="2117" spans="1:1">
      <c r="A2117" t="s">
        <v>2649</v>
      </c>
    </row>
    <row r="2118" spans="1:1">
      <c r="A2118" t="s">
        <v>2650</v>
      </c>
    </row>
    <row r="2119" spans="1:1">
      <c r="A2119" t="s">
        <v>2651</v>
      </c>
    </row>
    <row r="2120" spans="1:1">
      <c r="A2120" t="s">
        <v>2652</v>
      </c>
    </row>
    <row r="2121" spans="1:1">
      <c r="A2121" t="s">
        <v>2653</v>
      </c>
    </row>
    <row r="2122" spans="1:1">
      <c r="A2122" t="s">
        <v>2654</v>
      </c>
    </row>
    <row r="2123" spans="1:1">
      <c r="A2123" t="s">
        <v>2655</v>
      </c>
    </row>
    <row r="2124" spans="1:1">
      <c r="A2124" t="s">
        <v>2656</v>
      </c>
    </row>
    <row r="2125" spans="1:1">
      <c r="A2125" t="s">
        <v>2657</v>
      </c>
    </row>
    <row r="2126" spans="1:1">
      <c r="A2126" t="s">
        <v>2658</v>
      </c>
    </row>
    <row r="2127" spans="1:1">
      <c r="A2127" t="s">
        <v>2659</v>
      </c>
    </row>
    <row r="2128" spans="1:1">
      <c r="A2128" t="s">
        <v>2660</v>
      </c>
    </row>
    <row r="2129" spans="1:1">
      <c r="A2129" t="s">
        <v>2661</v>
      </c>
    </row>
    <row r="2130" spans="1:1">
      <c r="A2130" t="s">
        <v>2662</v>
      </c>
    </row>
    <row r="2131" spans="1:1">
      <c r="A2131" t="s">
        <v>2663</v>
      </c>
    </row>
    <row r="2132" spans="1:1">
      <c r="A2132" t="s">
        <v>2664</v>
      </c>
    </row>
    <row r="2133" spans="1:1">
      <c r="A2133" t="s">
        <v>2665</v>
      </c>
    </row>
    <row r="2134" spans="1:1">
      <c r="A2134" t="s">
        <v>2666</v>
      </c>
    </row>
    <row r="2135" spans="1:1">
      <c r="A2135" t="s">
        <v>2667</v>
      </c>
    </row>
    <row r="2136" spans="1:1">
      <c r="A2136" t="s">
        <v>2668</v>
      </c>
    </row>
    <row r="2137" spans="1:1">
      <c r="A2137" t="s">
        <v>2669</v>
      </c>
    </row>
    <row r="2138" spans="1:1">
      <c r="A2138" t="s">
        <v>2670</v>
      </c>
    </row>
    <row r="2139" spans="1:1">
      <c r="A2139" t="s">
        <v>2671</v>
      </c>
    </row>
    <row r="2140" spans="1:1">
      <c r="A2140" t="s">
        <v>2672</v>
      </c>
    </row>
    <row r="2141" spans="1:1">
      <c r="A2141" t="s">
        <v>2673</v>
      </c>
    </row>
    <row r="2142" spans="1:1">
      <c r="A2142" t="s">
        <v>2674</v>
      </c>
    </row>
    <row r="2143" spans="1:1">
      <c r="A2143" t="s">
        <v>2675</v>
      </c>
    </row>
    <row r="2144" spans="1:1">
      <c r="A2144" t="s">
        <v>2676</v>
      </c>
    </row>
    <row r="2145" spans="1:1">
      <c r="A2145" t="s">
        <v>2677</v>
      </c>
    </row>
    <row r="2146" spans="1:1">
      <c r="A2146" t="s">
        <v>2678</v>
      </c>
    </row>
    <row r="2147" spans="1:1">
      <c r="A2147" t="s">
        <v>2679</v>
      </c>
    </row>
    <row r="2148" spans="1:1">
      <c r="A2148" t="s">
        <v>2680</v>
      </c>
    </row>
    <row r="2149" spans="1:1">
      <c r="A2149" t="s">
        <v>2681</v>
      </c>
    </row>
    <row r="2150" spans="1:1">
      <c r="A2150" t="s">
        <v>2682</v>
      </c>
    </row>
    <row r="2151" spans="1:1">
      <c r="A2151" t="s">
        <v>2683</v>
      </c>
    </row>
    <row r="2152" spans="1:1">
      <c r="A2152" t="s">
        <v>2684</v>
      </c>
    </row>
    <row r="2153" spans="1:1">
      <c r="A2153" t="s">
        <v>2685</v>
      </c>
    </row>
    <row r="2154" spans="1:1">
      <c r="A2154" t="s">
        <v>2686</v>
      </c>
    </row>
    <row r="2155" spans="1:1">
      <c r="A2155" t="s">
        <v>2687</v>
      </c>
    </row>
    <row r="2156" spans="1:1">
      <c r="A2156" t="s">
        <v>2688</v>
      </c>
    </row>
    <row r="2157" spans="1:1">
      <c r="A2157" t="s">
        <v>2689</v>
      </c>
    </row>
    <row r="2158" spans="1:1">
      <c r="A2158" t="s">
        <v>2690</v>
      </c>
    </row>
    <row r="2159" spans="1:1">
      <c r="A2159" t="s">
        <v>2691</v>
      </c>
    </row>
    <row r="2160" spans="1:1">
      <c r="A2160" t="s">
        <v>2692</v>
      </c>
    </row>
    <row r="2161" spans="1:1">
      <c r="A2161" t="s">
        <v>2693</v>
      </c>
    </row>
    <row r="2162" spans="1:1">
      <c r="A2162" t="s">
        <v>2694</v>
      </c>
    </row>
    <row r="2163" spans="1:1">
      <c r="A2163" t="s">
        <v>2695</v>
      </c>
    </row>
    <row r="2164" spans="1:1">
      <c r="A2164" t="s">
        <v>2696</v>
      </c>
    </row>
    <row r="2165" spans="1:1">
      <c r="A2165" t="s">
        <v>2697</v>
      </c>
    </row>
    <row r="2166" spans="1:1">
      <c r="A2166" t="s">
        <v>2698</v>
      </c>
    </row>
    <row r="2167" spans="1:1">
      <c r="A2167" t="s">
        <v>2699</v>
      </c>
    </row>
    <row r="2168" spans="1:1">
      <c r="A2168" t="s">
        <v>2700</v>
      </c>
    </row>
    <row r="2169" spans="1:1">
      <c r="A2169" t="s">
        <v>2701</v>
      </c>
    </row>
    <row r="2170" spans="1:1">
      <c r="A2170" t="s">
        <v>2702</v>
      </c>
    </row>
    <row r="2171" spans="1:1">
      <c r="A2171" t="s">
        <v>2703</v>
      </c>
    </row>
    <row r="2172" spans="1:1">
      <c r="A2172" t="s">
        <v>2704</v>
      </c>
    </row>
    <row r="2173" spans="1:1">
      <c r="A2173" t="s">
        <v>2705</v>
      </c>
    </row>
    <row r="2174" spans="1:1">
      <c r="A2174" t="s">
        <v>2706</v>
      </c>
    </row>
    <row r="2175" spans="1:1">
      <c r="A2175" t="s">
        <v>2707</v>
      </c>
    </row>
    <row r="2176" spans="1:1">
      <c r="A2176" t="s">
        <v>2708</v>
      </c>
    </row>
    <row r="2177" spans="1:1">
      <c r="A2177" t="s">
        <v>2709</v>
      </c>
    </row>
    <row r="2178" spans="1:1">
      <c r="A2178" t="s">
        <v>2710</v>
      </c>
    </row>
    <row r="2179" spans="1:1">
      <c r="A2179" t="s">
        <v>2711</v>
      </c>
    </row>
    <row r="2180" spans="1:1">
      <c r="A2180" t="s">
        <v>2712</v>
      </c>
    </row>
    <row r="2181" spans="1:1">
      <c r="A2181" t="s">
        <v>2713</v>
      </c>
    </row>
    <row r="2182" spans="1:1">
      <c r="A2182" t="s">
        <v>2714</v>
      </c>
    </row>
    <row r="2183" spans="1:1">
      <c r="A2183" t="s">
        <v>2715</v>
      </c>
    </row>
    <row r="2184" spans="1:1">
      <c r="A2184" t="s">
        <v>2716</v>
      </c>
    </row>
    <row r="2185" spans="1:1">
      <c r="A2185" t="s">
        <v>2717</v>
      </c>
    </row>
    <row r="2186" spans="1:1">
      <c r="A2186" t="s">
        <v>2718</v>
      </c>
    </row>
    <row r="2187" spans="1:1">
      <c r="A2187" t="s">
        <v>2719</v>
      </c>
    </row>
    <row r="2188" spans="1:1">
      <c r="A2188" t="s">
        <v>2720</v>
      </c>
    </row>
    <row r="2189" spans="1:1">
      <c r="A2189" t="s">
        <v>2721</v>
      </c>
    </row>
    <row r="2190" spans="1:1">
      <c r="A2190" t="s">
        <v>2722</v>
      </c>
    </row>
    <row r="2191" spans="1:1">
      <c r="A2191" t="s">
        <v>2723</v>
      </c>
    </row>
    <row r="2192" spans="1:1">
      <c r="A2192" t="s">
        <v>2724</v>
      </c>
    </row>
    <row r="2193" spans="1:1">
      <c r="A2193" t="s">
        <v>2725</v>
      </c>
    </row>
    <row r="2194" spans="1:1">
      <c r="A2194" t="s">
        <v>2726</v>
      </c>
    </row>
    <row r="2195" spans="1:1">
      <c r="A2195" t="s">
        <v>2727</v>
      </c>
    </row>
    <row r="2196" spans="1:1">
      <c r="A2196" t="s">
        <v>2728</v>
      </c>
    </row>
    <row r="2197" spans="1:1">
      <c r="A2197" t="s">
        <v>2729</v>
      </c>
    </row>
    <row r="2198" spans="1:1">
      <c r="A2198" t="s">
        <v>2730</v>
      </c>
    </row>
    <row r="2199" spans="1:1">
      <c r="A2199" t="s">
        <v>2731</v>
      </c>
    </row>
    <row r="2200" spans="1:1">
      <c r="A2200" t="s">
        <v>2732</v>
      </c>
    </row>
    <row r="2201" spans="1:1">
      <c r="A2201" t="s">
        <v>2733</v>
      </c>
    </row>
    <row r="2202" spans="1:1">
      <c r="A2202" t="s">
        <v>2734</v>
      </c>
    </row>
    <row r="2203" spans="1:1">
      <c r="A2203" t="s">
        <v>2735</v>
      </c>
    </row>
    <row r="2204" spans="1:1">
      <c r="A2204" t="s">
        <v>2736</v>
      </c>
    </row>
    <row r="2205" spans="1:1">
      <c r="A2205" t="s">
        <v>2737</v>
      </c>
    </row>
    <row r="2206" spans="1:1">
      <c r="A2206" t="s">
        <v>2738</v>
      </c>
    </row>
    <row r="2207" spans="1:1">
      <c r="A2207" t="s">
        <v>2739</v>
      </c>
    </row>
    <row r="2208" spans="1:1">
      <c r="A2208" t="s">
        <v>2740</v>
      </c>
    </row>
    <row r="2209" spans="1:1">
      <c r="A2209" t="s">
        <v>2741</v>
      </c>
    </row>
    <row r="2210" spans="1:1">
      <c r="A2210" t="s">
        <v>2742</v>
      </c>
    </row>
    <row r="2211" spans="1:1">
      <c r="A2211" t="s">
        <v>2743</v>
      </c>
    </row>
    <row r="2212" spans="1:1">
      <c r="A2212" t="s">
        <v>2744</v>
      </c>
    </row>
    <row r="2213" spans="1:1">
      <c r="A2213" t="s">
        <v>2745</v>
      </c>
    </row>
    <row r="2214" spans="1:1">
      <c r="A2214" t="s">
        <v>2746</v>
      </c>
    </row>
    <row r="2215" spans="1:1">
      <c r="A2215" t="s">
        <v>2747</v>
      </c>
    </row>
    <row r="2216" spans="1:1">
      <c r="A2216" t="s">
        <v>2748</v>
      </c>
    </row>
    <row r="2217" spans="1:1">
      <c r="A2217" t="s">
        <v>2749</v>
      </c>
    </row>
    <row r="2218" spans="1:1">
      <c r="A2218" t="s">
        <v>2750</v>
      </c>
    </row>
    <row r="2219" spans="1:1">
      <c r="A2219" t="s">
        <v>2751</v>
      </c>
    </row>
    <row r="2220" spans="1:1">
      <c r="A2220" t="s">
        <v>2752</v>
      </c>
    </row>
    <row r="2221" spans="1:1">
      <c r="A2221" t="s">
        <v>2753</v>
      </c>
    </row>
    <row r="2222" spans="1:1">
      <c r="A2222" t="s">
        <v>2754</v>
      </c>
    </row>
    <row r="2223" spans="1:1">
      <c r="A2223" t="s">
        <v>2755</v>
      </c>
    </row>
    <row r="2224" spans="1:1">
      <c r="A2224" t="s">
        <v>2756</v>
      </c>
    </row>
    <row r="2225" spans="1:1">
      <c r="A2225" t="s">
        <v>2757</v>
      </c>
    </row>
    <row r="2226" spans="1:1">
      <c r="A2226" t="s">
        <v>2758</v>
      </c>
    </row>
    <row r="2227" spans="1:1">
      <c r="A2227" t="s">
        <v>2759</v>
      </c>
    </row>
    <row r="2228" spans="1:1">
      <c r="A2228" t="s">
        <v>2760</v>
      </c>
    </row>
    <row r="2229" spans="1:1">
      <c r="A2229" t="s">
        <v>2761</v>
      </c>
    </row>
    <row r="2230" spans="1:1">
      <c r="A2230" t="s">
        <v>2762</v>
      </c>
    </row>
    <row r="2231" spans="1:1">
      <c r="A2231" t="s">
        <v>2763</v>
      </c>
    </row>
    <row r="2232" spans="1:1">
      <c r="A2232" t="s">
        <v>2764</v>
      </c>
    </row>
    <row r="2233" spans="1:1">
      <c r="A2233" t="s">
        <v>2765</v>
      </c>
    </row>
    <row r="2234" spans="1:1">
      <c r="A2234" t="s">
        <v>2766</v>
      </c>
    </row>
    <row r="2235" spans="1:1">
      <c r="A2235" t="s">
        <v>2767</v>
      </c>
    </row>
    <row r="2236" spans="1:1">
      <c r="A2236" t="s">
        <v>2768</v>
      </c>
    </row>
    <row r="2237" spans="1:1">
      <c r="A2237" t="s">
        <v>2769</v>
      </c>
    </row>
    <row r="2238" spans="1:1">
      <c r="A2238" t="s">
        <v>2770</v>
      </c>
    </row>
    <row r="2239" spans="1:1">
      <c r="A2239" t="s">
        <v>2771</v>
      </c>
    </row>
    <row r="2240" spans="1:1">
      <c r="A2240" t="s">
        <v>2772</v>
      </c>
    </row>
    <row r="2241" spans="1:1">
      <c r="A2241" t="s">
        <v>2773</v>
      </c>
    </row>
    <row r="2242" spans="1:1">
      <c r="A2242" t="s">
        <v>2774</v>
      </c>
    </row>
    <row r="2243" spans="1:1">
      <c r="A2243" t="s">
        <v>2775</v>
      </c>
    </row>
    <row r="2244" spans="1:1">
      <c r="A2244" t="s">
        <v>2776</v>
      </c>
    </row>
    <row r="2245" spans="1:1">
      <c r="A2245" t="s">
        <v>2777</v>
      </c>
    </row>
    <row r="2246" spans="1:1">
      <c r="A2246" t="s">
        <v>2778</v>
      </c>
    </row>
    <row r="2247" spans="1:1">
      <c r="A2247" t="s">
        <v>2779</v>
      </c>
    </row>
    <row r="2248" spans="1:1">
      <c r="A2248" t="s">
        <v>2780</v>
      </c>
    </row>
    <row r="2249" spans="1:1">
      <c r="A2249" t="s">
        <v>2781</v>
      </c>
    </row>
    <row r="2250" spans="1:1">
      <c r="A2250" t="s">
        <v>2782</v>
      </c>
    </row>
    <row r="2251" spans="1:1">
      <c r="A2251" t="s">
        <v>2783</v>
      </c>
    </row>
    <row r="2252" spans="1:1">
      <c r="A2252" t="s">
        <v>2784</v>
      </c>
    </row>
    <row r="2253" spans="1:1">
      <c r="A2253" t="s">
        <v>2785</v>
      </c>
    </row>
    <row r="2254" spans="1:1">
      <c r="A2254" t="s">
        <v>2786</v>
      </c>
    </row>
    <row r="2255" spans="1:1">
      <c r="A2255" t="s">
        <v>2787</v>
      </c>
    </row>
    <row r="2256" spans="1:1">
      <c r="A2256" t="s">
        <v>2788</v>
      </c>
    </row>
    <row r="2257" spans="1:1">
      <c r="A2257" t="s">
        <v>2789</v>
      </c>
    </row>
    <row r="2258" spans="1:1">
      <c r="A2258" t="s">
        <v>2790</v>
      </c>
    </row>
    <row r="2259" spans="1:1">
      <c r="A2259" t="s">
        <v>2791</v>
      </c>
    </row>
    <row r="2260" spans="1:1">
      <c r="A2260" t="s">
        <v>2792</v>
      </c>
    </row>
    <row r="2261" spans="1:1">
      <c r="A2261" t="s">
        <v>2793</v>
      </c>
    </row>
    <row r="2262" spans="1:1">
      <c r="A2262" t="s">
        <v>2794</v>
      </c>
    </row>
    <row r="2263" spans="1:1">
      <c r="A2263" t="s">
        <v>2795</v>
      </c>
    </row>
    <row r="2264" spans="1:1">
      <c r="A2264" t="s">
        <v>2796</v>
      </c>
    </row>
    <row r="2265" spans="1:1">
      <c r="A2265" t="s">
        <v>2797</v>
      </c>
    </row>
    <row r="2266" spans="1:1">
      <c r="A2266" t="s">
        <v>2798</v>
      </c>
    </row>
    <row r="2267" spans="1:1">
      <c r="A2267" t="s">
        <v>2799</v>
      </c>
    </row>
    <row r="2268" spans="1:1">
      <c r="A2268" t="s">
        <v>2800</v>
      </c>
    </row>
    <row r="2269" spans="1:1">
      <c r="A2269" t="s">
        <v>2801</v>
      </c>
    </row>
    <row r="2270" spans="1:1">
      <c r="A2270" t="s">
        <v>2802</v>
      </c>
    </row>
    <row r="2271" spans="1:1">
      <c r="A2271" t="s">
        <v>2803</v>
      </c>
    </row>
    <row r="2272" spans="1:1">
      <c r="A2272" t="s">
        <v>2804</v>
      </c>
    </row>
    <row r="2273" spans="1:1">
      <c r="A2273" t="s">
        <v>2805</v>
      </c>
    </row>
    <row r="2274" spans="1:1">
      <c r="A2274" t="s">
        <v>2806</v>
      </c>
    </row>
    <row r="2275" spans="1:1">
      <c r="A2275" t="s">
        <v>2807</v>
      </c>
    </row>
    <row r="2276" spans="1:1">
      <c r="A2276" t="s">
        <v>2808</v>
      </c>
    </row>
    <row r="2277" spans="1:1">
      <c r="A2277" t="s">
        <v>2809</v>
      </c>
    </row>
    <row r="2278" spans="1:1">
      <c r="A2278" t="s">
        <v>2810</v>
      </c>
    </row>
    <row r="2279" spans="1:1">
      <c r="A2279" t="s">
        <v>2811</v>
      </c>
    </row>
    <row r="2280" spans="1:1">
      <c r="A2280" t="s">
        <v>2812</v>
      </c>
    </row>
    <row r="2281" spans="1:1">
      <c r="A2281" t="s">
        <v>2813</v>
      </c>
    </row>
    <row r="2282" spans="1:1">
      <c r="A2282" t="s">
        <v>2814</v>
      </c>
    </row>
    <row r="2283" spans="1:1">
      <c r="A2283" t="s">
        <v>2815</v>
      </c>
    </row>
    <row r="2284" spans="1:1">
      <c r="A2284" t="s">
        <v>2816</v>
      </c>
    </row>
    <row r="2285" spans="1:1">
      <c r="A2285" t="s">
        <v>2817</v>
      </c>
    </row>
    <row r="2286" spans="1:1">
      <c r="A2286" t="s">
        <v>2818</v>
      </c>
    </row>
    <row r="2287" spans="1:1">
      <c r="A2287" t="s">
        <v>2819</v>
      </c>
    </row>
    <row r="2288" spans="1:1">
      <c r="A2288" t="s">
        <v>2820</v>
      </c>
    </row>
    <row r="2289" spans="1:1">
      <c r="A2289" t="s">
        <v>2821</v>
      </c>
    </row>
    <row r="2290" spans="1:1">
      <c r="A2290" t="s">
        <v>2822</v>
      </c>
    </row>
    <row r="2291" spans="1:1">
      <c r="A2291" t="s">
        <v>2823</v>
      </c>
    </row>
    <row r="2292" spans="1:1">
      <c r="A2292" t="s">
        <v>2824</v>
      </c>
    </row>
    <row r="2293" spans="1:1">
      <c r="A2293" t="s">
        <v>2825</v>
      </c>
    </row>
    <row r="2294" spans="1:1">
      <c r="A2294" t="s">
        <v>2826</v>
      </c>
    </row>
    <row r="2295" spans="1:1">
      <c r="A2295" t="s">
        <v>2827</v>
      </c>
    </row>
    <row r="2296" spans="1:1">
      <c r="A2296" t="s">
        <v>2828</v>
      </c>
    </row>
    <row r="2297" spans="1:1">
      <c r="A2297" t="s">
        <v>2829</v>
      </c>
    </row>
    <row r="2298" spans="1:1">
      <c r="A2298" t="s">
        <v>2830</v>
      </c>
    </row>
    <row r="2299" spans="1:1">
      <c r="A2299" t="s">
        <v>2831</v>
      </c>
    </row>
    <row r="2300" spans="1:1">
      <c r="A2300" t="s">
        <v>2832</v>
      </c>
    </row>
    <row r="2301" spans="1:1">
      <c r="A2301" t="s">
        <v>2833</v>
      </c>
    </row>
    <row r="2302" spans="1:1">
      <c r="A2302" t="s">
        <v>2834</v>
      </c>
    </row>
    <row r="2303" spans="1:1">
      <c r="A2303" t="s">
        <v>2835</v>
      </c>
    </row>
    <row r="2304" spans="1:1">
      <c r="A2304" t="s">
        <v>2836</v>
      </c>
    </row>
    <row r="2305" spans="1:1">
      <c r="A2305" t="s">
        <v>2837</v>
      </c>
    </row>
    <row r="2306" spans="1:1">
      <c r="A2306" t="s">
        <v>2838</v>
      </c>
    </row>
    <row r="2307" spans="1:1">
      <c r="A2307" t="s">
        <v>2839</v>
      </c>
    </row>
    <row r="2308" spans="1:1">
      <c r="A2308" t="s">
        <v>2840</v>
      </c>
    </row>
    <row r="2309" spans="1:1">
      <c r="A2309" t="s">
        <v>2841</v>
      </c>
    </row>
    <row r="2310" spans="1:1">
      <c r="A2310" t="s">
        <v>2842</v>
      </c>
    </row>
    <row r="2311" spans="1:1">
      <c r="A2311" t="s">
        <v>2843</v>
      </c>
    </row>
    <row r="2312" spans="1:1">
      <c r="A2312" t="s">
        <v>2844</v>
      </c>
    </row>
    <row r="2313" spans="1:1">
      <c r="A2313" t="s">
        <v>2845</v>
      </c>
    </row>
    <row r="2314" spans="1:1">
      <c r="A2314" t="s">
        <v>2846</v>
      </c>
    </row>
    <row r="2315" spans="1:1">
      <c r="A2315" t="s">
        <v>2847</v>
      </c>
    </row>
    <row r="2316" spans="1:1">
      <c r="A2316" t="s">
        <v>2848</v>
      </c>
    </row>
    <row r="2317" spans="1:1">
      <c r="A2317" t="s">
        <v>2849</v>
      </c>
    </row>
    <row r="2318" spans="1:1">
      <c r="A2318" t="s">
        <v>2850</v>
      </c>
    </row>
    <row r="2319" spans="1:1">
      <c r="A2319" t="s">
        <v>2851</v>
      </c>
    </row>
    <row r="2320" spans="1:1">
      <c r="A2320" t="s">
        <v>2852</v>
      </c>
    </row>
    <row r="2321" spans="1:1">
      <c r="A2321" t="s">
        <v>2853</v>
      </c>
    </row>
    <row r="2322" spans="1:1">
      <c r="A2322" t="s">
        <v>2854</v>
      </c>
    </row>
    <row r="2323" spans="1:1">
      <c r="A2323" t="s">
        <v>2855</v>
      </c>
    </row>
    <row r="2324" spans="1:1">
      <c r="A2324" t="s">
        <v>2856</v>
      </c>
    </row>
    <row r="2325" spans="1:1">
      <c r="A2325" t="s">
        <v>2857</v>
      </c>
    </row>
    <row r="2326" spans="1:1">
      <c r="A2326" t="s">
        <v>2858</v>
      </c>
    </row>
    <row r="2327" spans="1:1">
      <c r="A2327" t="s">
        <v>2859</v>
      </c>
    </row>
    <row r="2328" spans="1:1">
      <c r="A2328" t="s">
        <v>2860</v>
      </c>
    </row>
    <row r="2329" spans="1:1">
      <c r="A2329" t="s">
        <v>2861</v>
      </c>
    </row>
    <row r="2330" spans="1:1">
      <c r="A2330" t="s">
        <v>2862</v>
      </c>
    </row>
    <row r="2331" spans="1:1">
      <c r="A2331" t="s">
        <v>2863</v>
      </c>
    </row>
    <row r="2332" spans="1:1">
      <c r="A2332" t="s">
        <v>2864</v>
      </c>
    </row>
    <row r="2333" spans="1:1">
      <c r="A2333" t="s">
        <v>2865</v>
      </c>
    </row>
    <row r="2334" spans="1:1">
      <c r="A2334" t="s">
        <v>2866</v>
      </c>
    </row>
    <row r="2335" spans="1:1">
      <c r="A2335" t="s">
        <v>2867</v>
      </c>
    </row>
    <row r="2336" spans="1:1">
      <c r="A2336" t="s">
        <v>2868</v>
      </c>
    </row>
    <row r="2337" spans="1:1">
      <c r="A2337" t="s">
        <v>2869</v>
      </c>
    </row>
    <row r="2338" spans="1:1">
      <c r="A2338" t="s">
        <v>2870</v>
      </c>
    </row>
    <row r="2339" spans="1:1">
      <c r="A2339" t="s">
        <v>2871</v>
      </c>
    </row>
    <row r="2340" spans="1:1">
      <c r="A2340" t="s">
        <v>2872</v>
      </c>
    </row>
    <row r="2341" spans="1:1">
      <c r="A2341" t="s">
        <v>2873</v>
      </c>
    </row>
    <row r="2342" spans="1:1">
      <c r="A2342" t="s">
        <v>2874</v>
      </c>
    </row>
    <row r="2343" spans="1:1">
      <c r="A2343" t="s">
        <v>2875</v>
      </c>
    </row>
    <row r="2344" spans="1:1">
      <c r="A2344" t="s">
        <v>2876</v>
      </c>
    </row>
    <row r="2345" spans="1:1">
      <c r="A2345" t="s">
        <v>2877</v>
      </c>
    </row>
    <row r="2346" spans="1:1">
      <c r="A2346" t="s">
        <v>2878</v>
      </c>
    </row>
    <row r="2347" spans="1:1">
      <c r="A2347" t="s">
        <v>2879</v>
      </c>
    </row>
    <row r="2348" spans="1:1">
      <c r="A2348" t="s">
        <v>2880</v>
      </c>
    </row>
    <row r="2349" spans="1:1">
      <c r="A2349" t="s">
        <v>2881</v>
      </c>
    </row>
    <row r="2350" spans="1:1">
      <c r="A2350" t="s">
        <v>2882</v>
      </c>
    </row>
    <row r="2351" spans="1:1">
      <c r="A2351" t="s">
        <v>2883</v>
      </c>
    </row>
    <row r="2352" spans="1:1">
      <c r="A2352" t="s">
        <v>2884</v>
      </c>
    </row>
    <row r="2353" spans="1:1">
      <c r="A2353" t="s">
        <v>2885</v>
      </c>
    </row>
    <row r="2354" spans="1:1">
      <c r="A2354" t="s">
        <v>2886</v>
      </c>
    </row>
    <row r="2355" spans="1:1">
      <c r="A2355" t="s">
        <v>2887</v>
      </c>
    </row>
    <row r="2356" spans="1:1">
      <c r="A2356" t="s">
        <v>2888</v>
      </c>
    </row>
    <row r="2357" spans="1:1">
      <c r="A2357" t="s">
        <v>2889</v>
      </c>
    </row>
    <row r="2358" spans="1:1">
      <c r="A2358" t="s">
        <v>2890</v>
      </c>
    </row>
    <row r="2359" spans="1:1">
      <c r="A2359" t="s">
        <v>2891</v>
      </c>
    </row>
    <row r="2360" spans="1:1">
      <c r="A2360" t="s">
        <v>2892</v>
      </c>
    </row>
    <row r="2361" spans="1:1">
      <c r="A2361" t="s">
        <v>2893</v>
      </c>
    </row>
    <row r="2362" spans="1:1">
      <c r="A2362" t="s">
        <v>2894</v>
      </c>
    </row>
    <row r="2363" spans="1:1">
      <c r="A2363" t="s">
        <v>2895</v>
      </c>
    </row>
    <row r="2364" spans="1:1">
      <c r="A2364" t="s">
        <v>2896</v>
      </c>
    </row>
    <row r="2365" spans="1:1">
      <c r="A2365" t="s">
        <v>2897</v>
      </c>
    </row>
    <row r="2366" spans="1:1">
      <c r="A2366" t="s">
        <v>2898</v>
      </c>
    </row>
    <row r="2367" spans="1:1">
      <c r="A2367" t="s">
        <v>2899</v>
      </c>
    </row>
    <row r="2368" spans="1:1">
      <c r="A2368" t="s">
        <v>2900</v>
      </c>
    </row>
    <row r="2369" spans="1:1">
      <c r="A2369" t="s">
        <v>2901</v>
      </c>
    </row>
    <row r="2370" spans="1:1">
      <c r="A2370" t="s">
        <v>2902</v>
      </c>
    </row>
    <row r="2371" spans="1:1">
      <c r="A2371" t="s">
        <v>2903</v>
      </c>
    </row>
    <row r="2372" spans="1:1">
      <c r="A2372" t="s">
        <v>2904</v>
      </c>
    </row>
    <row r="2373" spans="1:1">
      <c r="A2373" t="s">
        <v>2905</v>
      </c>
    </row>
    <row r="2374" spans="1:1">
      <c r="A2374" t="s">
        <v>2906</v>
      </c>
    </row>
    <row r="2375" spans="1:1">
      <c r="A2375" t="s">
        <v>2907</v>
      </c>
    </row>
    <row r="2376" spans="1:1">
      <c r="A2376" t="s">
        <v>2908</v>
      </c>
    </row>
    <row r="2377" spans="1:1">
      <c r="A2377" t="s">
        <v>2909</v>
      </c>
    </row>
    <row r="2378" spans="1:1">
      <c r="A2378" t="s">
        <v>2910</v>
      </c>
    </row>
    <row r="2379" spans="1:1">
      <c r="A2379" t="s">
        <v>2911</v>
      </c>
    </row>
    <row r="2380" spans="1:1">
      <c r="A2380" t="s">
        <v>2912</v>
      </c>
    </row>
    <row r="2381" spans="1:1">
      <c r="A2381" t="s">
        <v>2913</v>
      </c>
    </row>
    <row r="2382" spans="1:1">
      <c r="A2382" t="s">
        <v>2914</v>
      </c>
    </row>
    <row r="2383" spans="1:1">
      <c r="A2383" t="s">
        <v>2915</v>
      </c>
    </row>
    <row r="2384" spans="1:1">
      <c r="A2384" t="s">
        <v>2916</v>
      </c>
    </row>
    <row r="2385" spans="1:1">
      <c r="A2385" t="s">
        <v>2917</v>
      </c>
    </row>
    <row r="2386" spans="1:1">
      <c r="A2386" t="s">
        <v>2918</v>
      </c>
    </row>
    <row r="2387" spans="1:1">
      <c r="A2387" t="s">
        <v>2919</v>
      </c>
    </row>
    <row r="2388" spans="1:1">
      <c r="A2388" t="s">
        <v>2920</v>
      </c>
    </row>
    <row r="2389" spans="1:1">
      <c r="A2389" t="s">
        <v>2921</v>
      </c>
    </row>
    <row r="2390" spans="1:1">
      <c r="A2390" t="s">
        <v>2922</v>
      </c>
    </row>
    <row r="2391" spans="1:1">
      <c r="A2391" t="s">
        <v>2923</v>
      </c>
    </row>
    <row r="2392" spans="1:1">
      <c r="A2392" t="s">
        <v>2924</v>
      </c>
    </row>
    <row r="2393" spans="1:1">
      <c r="A2393" t="s">
        <v>2925</v>
      </c>
    </row>
    <row r="2394" spans="1:1">
      <c r="A2394" t="s">
        <v>2926</v>
      </c>
    </row>
    <row r="2395" spans="1:1">
      <c r="A2395" t="s">
        <v>2927</v>
      </c>
    </row>
    <row r="2396" spans="1:1">
      <c r="A2396" t="s">
        <v>2928</v>
      </c>
    </row>
    <row r="2397" spans="1:1">
      <c r="A2397" t="s">
        <v>2929</v>
      </c>
    </row>
    <row r="2398" spans="1:1">
      <c r="A2398" t="s">
        <v>2930</v>
      </c>
    </row>
    <row r="2399" spans="1:1">
      <c r="A2399" t="s">
        <v>2931</v>
      </c>
    </row>
    <row r="2400" spans="1:1">
      <c r="A2400" t="s">
        <v>2932</v>
      </c>
    </row>
    <row r="2401" spans="1:1">
      <c r="A2401" t="s">
        <v>2933</v>
      </c>
    </row>
    <row r="2402" spans="1:1">
      <c r="A2402" t="s">
        <v>2934</v>
      </c>
    </row>
    <row r="2403" spans="1:1">
      <c r="A2403" t="s">
        <v>2935</v>
      </c>
    </row>
    <row r="2404" spans="1:1">
      <c r="A2404" t="s">
        <v>2936</v>
      </c>
    </row>
    <row r="2405" spans="1:1">
      <c r="A2405" t="s">
        <v>2937</v>
      </c>
    </row>
    <row r="2406" spans="1:1">
      <c r="A2406" t="s">
        <v>2938</v>
      </c>
    </row>
    <row r="2407" spans="1:1">
      <c r="A2407" t="s">
        <v>2939</v>
      </c>
    </row>
    <row r="2408" spans="1:1">
      <c r="A2408" t="s">
        <v>2940</v>
      </c>
    </row>
    <row r="2409" spans="1:1">
      <c r="A2409" t="s">
        <v>2941</v>
      </c>
    </row>
    <row r="2410" spans="1:1">
      <c r="A2410" t="s">
        <v>2942</v>
      </c>
    </row>
    <row r="2411" spans="1:1">
      <c r="A2411" t="s">
        <v>2943</v>
      </c>
    </row>
    <row r="2412" spans="1:1">
      <c r="A2412" t="s">
        <v>2944</v>
      </c>
    </row>
    <row r="2413" spans="1:1">
      <c r="A2413" t="s">
        <v>2945</v>
      </c>
    </row>
    <row r="2414" spans="1:1">
      <c r="A2414" t="s">
        <v>2946</v>
      </c>
    </row>
    <row r="2415" spans="1:1">
      <c r="A2415" t="s">
        <v>2947</v>
      </c>
    </row>
    <row r="2416" spans="1:1">
      <c r="A2416" t="s">
        <v>2948</v>
      </c>
    </row>
    <row r="2417" spans="1:1">
      <c r="A2417" t="s">
        <v>2949</v>
      </c>
    </row>
    <row r="2418" spans="1:1">
      <c r="A2418" t="s">
        <v>2950</v>
      </c>
    </row>
    <row r="2419" spans="1:1">
      <c r="A2419" t="s">
        <v>2951</v>
      </c>
    </row>
    <row r="2420" spans="1:1">
      <c r="A2420" t="s">
        <v>2952</v>
      </c>
    </row>
    <row r="2421" spans="1:1">
      <c r="A2421" t="s">
        <v>2953</v>
      </c>
    </row>
    <row r="2422" spans="1:1">
      <c r="A2422" t="s">
        <v>2954</v>
      </c>
    </row>
    <row r="2423" spans="1:1">
      <c r="A2423" t="s">
        <v>2955</v>
      </c>
    </row>
    <row r="2424" spans="1:1">
      <c r="A2424" t="s">
        <v>2956</v>
      </c>
    </row>
    <row r="2425" spans="1:1">
      <c r="A2425" t="s">
        <v>2957</v>
      </c>
    </row>
    <row r="2426" spans="1:1">
      <c r="A2426" t="s">
        <v>2958</v>
      </c>
    </row>
    <row r="2427" spans="1:1">
      <c r="A2427" t="s">
        <v>2959</v>
      </c>
    </row>
    <row r="2428" spans="1:1">
      <c r="A2428" t="s">
        <v>2960</v>
      </c>
    </row>
    <row r="2429" spans="1:1">
      <c r="A2429" t="s">
        <v>2961</v>
      </c>
    </row>
    <row r="2430" spans="1:1">
      <c r="A2430" t="s">
        <v>2962</v>
      </c>
    </row>
    <row r="2431" spans="1:1">
      <c r="A2431" t="s">
        <v>2963</v>
      </c>
    </row>
    <row r="2432" spans="1:1">
      <c r="A2432" t="s">
        <v>2964</v>
      </c>
    </row>
    <row r="2433" spans="1:1">
      <c r="A2433" t="s">
        <v>2965</v>
      </c>
    </row>
    <row r="2434" spans="1:1">
      <c r="A2434" t="s">
        <v>2966</v>
      </c>
    </row>
    <row r="2435" spans="1:1">
      <c r="A2435" t="s">
        <v>2967</v>
      </c>
    </row>
    <row r="2436" spans="1:1">
      <c r="A2436" t="s">
        <v>2968</v>
      </c>
    </row>
    <row r="2437" spans="1:1">
      <c r="A2437" t="s">
        <v>2969</v>
      </c>
    </row>
    <row r="2438" spans="1:1">
      <c r="A2438" t="s">
        <v>2970</v>
      </c>
    </row>
    <row r="2439" spans="1:1">
      <c r="A2439" t="s">
        <v>2971</v>
      </c>
    </row>
    <row r="2440" spans="1:1">
      <c r="A2440" t="s">
        <v>2972</v>
      </c>
    </row>
    <row r="2441" spans="1:1">
      <c r="A2441" t="s">
        <v>2973</v>
      </c>
    </row>
    <row r="2442" spans="1:1">
      <c r="A2442" t="s">
        <v>2974</v>
      </c>
    </row>
    <row r="2443" spans="1:1">
      <c r="A2443" t="s">
        <v>2975</v>
      </c>
    </row>
    <row r="2444" spans="1:1">
      <c r="A2444" t="s">
        <v>2976</v>
      </c>
    </row>
    <row r="2445" spans="1:1">
      <c r="A2445" t="s">
        <v>2977</v>
      </c>
    </row>
    <row r="2446" spans="1:1">
      <c r="A2446" t="s">
        <v>2978</v>
      </c>
    </row>
    <row r="2447" spans="1:1">
      <c r="A2447" t="s">
        <v>2979</v>
      </c>
    </row>
    <row r="2448" spans="1:1">
      <c r="A2448" t="s">
        <v>2980</v>
      </c>
    </row>
    <row r="2449" spans="1:1">
      <c r="A2449" t="s">
        <v>2981</v>
      </c>
    </row>
    <row r="2450" spans="1:1">
      <c r="A2450" t="s">
        <v>2982</v>
      </c>
    </row>
    <row r="2451" spans="1:1">
      <c r="A2451" t="s">
        <v>2983</v>
      </c>
    </row>
    <row r="2452" spans="1:1">
      <c r="A2452" t="s">
        <v>2984</v>
      </c>
    </row>
    <row r="2453" spans="1:1">
      <c r="A2453" t="s">
        <v>2985</v>
      </c>
    </row>
    <row r="2454" spans="1:1">
      <c r="A2454" t="s">
        <v>2986</v>
      </c>
    </row>
    <row r="2455" spans="1:1">
      <c r="A2455" t="s">
        <v>2987</v>
      </c>
    </row>
    <row r="2456" spans="1:1">
      <c r="A2456" t="s">
        <v>2988</v>
      </c>
    </row>
    <row r="2457" spans="1:1">
      <c r="A2457" t="s">
        <v>2989</v>
      </c>
    </row>
    <row r="2458" spans="1:1">
      <c r="A2458" t="s">
        <v>2990</v>
      </c>
    </row>
    <row r="2459" spans="1:1">
      <c r="A2459" t="s">
        <v>2991</v>
      </c>
    </row>
    <row r="2460" spans="1:1">
      <c r="A2460" t="s">
        <v>2992</v>
      </c>
    </row>
    <row r="2461" spans="1:1">
      <c r="A2461" t="s">
        <v>2993</v>
      </c>
    </row>
    <row r="2462" spans="1:1">
      <c r="A2462" t="s">
        <v>2994</v>
      </c>
    </row>
    <row r="2463" spans="1:1">
      <c r="A2463" t="s">
        <v>2995</v>
      </c>
    </row>
    <row r="2464" spans="1:1">
      <c r="A2464" t="s">
        <v>2996</v>
      </c>
    </row>
    <row r="2465" spans="1:1">
      <c r="A2465" t="s">
        <v>2997</v>
      </c>
    </row>
    <row r="2466" spans="1:1">
      <c r="A2466" t="s">
        <v>2998</v>
      </c>
    </row>
    <row r="2467" spans="1:1">
      <c r="A2467" t="s">
        <v>2999</v>
      </c>
    </row>
    <row r="2468" spans="1:1">
      <c r="A2468" t="s">
        <v>3000</v>
      </c>
    </row>
    <row r="2469" spans="1:1">
      <c r="A2469" t="s">
        <v>3001</v>
      </c>
    </row>
    <row r="2470" spans="1:1">
      <c r="A2470" t="s">
        <v>3002</v>
      </c>
    </row>
    <row r="2471" spans="1:1">
      <c r="A2471" t="s">
        <v>3003</v>
      </c>
    </row>
    <row r="2472" spans="1:1">
      <c r="A2472" t="s">
        <v>3004</v>
      </c>
    </row>
    <row r="2473" spans="1:1">
      <c r="A2473" t="s">
        <v>3005</v>
      </c>
    </row>
    <row r="2474" spans="1:1">
      <c r="A2474" t="s">
        <v>3006</v>
      </c>
    </row>
    <row r="2475" spans="1:1">
      <c r="A2475" t="s">
        <v>3007</v>
      </c>
    </row>
    <row r="2476" spans="1:1">
      <c r="A2476" t="s">
        <v>3008</v>
      </c>
    </row>
    <row r="2477" spans="1:1">
      <c r="A2477" t="s">
        <v>3009</v>
      </c>
    </row>
    <row r="2478" spans="1:1">
      <c r="A2478" t="s">
        <v>3010</v>
      </c>
    </row>
    <row r="2479" spans="1:1">
      <c r="A2479" t="s">
        <v>3011</v>
      </c>
    </row>
    <row r="2480" spans="1:1">
      <c r="A2480" t="s">
        <v>3012</v>
      </c>
    </row>
    <row r="2481" spans="1:1">
      <c r="A2481" t="s">
        <v>3013</v>
      </c>
    </row>
    <row r="2482" spans="1:1">
      <c r="A2482" t="s">
        <v>3014</v>
      </c>
    </row>
    <row r="2483" spans="1:1">
      <c r="A2483" t="s">
        <v>3015</v>
      </c>
    </row>
    <row r="2484" spans="1:1">
      <c r="A2484" t="s">
        <v>3016</v>
      </c>
    </row>
    <row r="2485" spans="1:1">
      <c r="A2485" t="s">
        <v>3017</v>
      </c>
    </row>
    <row r="2486" spans="1:1">
      <c r="A2486" t="s">
        <v>3018</v>
      </c>
    </row>
    <row r="2487" spans="1:1">
      <c r="A2487" t="s">
        <v>3019</v>
      </c>
    </row>
    <row r="2488" spans="1:1">
      <c r="A2488" t="s">
        <v>3020</v>
      </c>
    </row>
    <row r="2489" spans="1:1">
      <c r="A2489" t="s">
        <v>3021</v>
      </c>
    </row>
    <row r="2490" spans="1:1">
      <c r="A2490" t="s">
        <v>3022</v>
      </c>
    </row>
    <row r="2491" spans="1:1">
      <c r="A2491" t="s">
        <v>3023</v>
      </c>
    </row>
    <row r="2492" spans="1:1">
      <c r="A2492" t="s">
        <v>3024</v>
      </c>
    </row>
    <row r="2493" spans="1:1">
      <c r="A2493" t="s">
        <v>3025</v>
      </c>
    </row>
    <row r="2494" spans="1:1">
      <c r="A2494" t="s">
        <v>3026</v>
      </c>
    </row>
    <row r="2495" spans="1:1">
      <c r="A2495" t="s">
        <v>3027</v>
      </c>
    </row>
    <row r="2496" spans="1:1">
      <c r="A2496" t="s">
        <v>3028</v>
      </c>
    </row>
    <row r="2497" spans="1:1">
      <c r="A2497" t="s">
        <v>3029</v>
      </c>
    </row>
    <row r="2498" spans="1:1">
      <c r="A2498" t="s">
        <v>3030</v>
      </c>
    </row>
    <row r="2499" spans="1:1">
      <c r="A2499" t="s">
        <v>3031</v>
      </c>
    </row>
    <row r="2500" spans="1:1">
      <c r="A2500" t="s">
        <v>3032</v>
      </c>
    </row>
    <row r="2501" spans="1:1">
      <c r="A2501" t="s">
        <v>3033</v>
      </c>
    </row>
    <row r="2502" spans="1:1">
      <c r="A2502" t="s">
        <v>3034</v>
      </c>
    </row>
    <row r="2503" spans="1:1">
      <c r="A2503" t="s">
        <v>3035</v>
      </c>
    </row>
    <row r="2504" spans="1:1">
      <c r="A2504" t="s">
        <v>3036</v>
      </c>
    </row>
    <row r="2505" spans="1:1">
      <c r="A2505" t="s">
        <v>3037</v>
      </c>
    </row>
    <row r="2506" spans="1:1">
      <c r="A2506" t="s">
        <v>3038</v>
      </c>
    </row>
    <row r="2507" spans="1:1">
      <c r="A2507" t="s">
        <v>3039</v>
      </c>
    </row>
    <row r="2508" spans="1:1">
      <c r="A2508" t="s">
        <v>3040</v>
      </c>
    </row>
    <row r="2509" spans="1:1">
      <c r="A2509" t="s">
        <v>3041</v>
      </c>
    </row>
    <row r="2510" spans="1:1">
      <c r="A2510" t="s">
        <v>3042</v>
      </c>
    </row>
    <row r="2511" spans="1:1">
      <c r="A2511" t="s">
        <v>3043</v>
      </c>
    </row>
    <row r="2512" spans="1:1">
      <c r="A2512" t="s">
        <v>3044</v>
      </c>
    </row>
    <row r="2513" spans="1:1">
      <c r="A2513" t="s">
        <v>3045</v>
      </c>
    </row>
    <row r="2514" spans="1:1">
      <c r="A2514" t="s">
        <v>3046</v>
      </c>
    </row>
    <row r="2515" spans="1:1">
      <c r="A2515" t="s">
        <v>3047</v>
      </c>
    </row>
    <row r="2516" spans="1:1">
      <c r="A2516" t="s">
        <v>3048</v>
      </c>
    </row>
    <row r="2517" spans="1:1">
      <c r="A2517" t="s">
        <v>3049</v>
      </c>
    </row>
    <row r="2518" spans="1:1">
      <c r="A2518" t="s">
        <v>3050</v>
      </c>
    </row>
    <row r="2519" spans="1:1">
      <c r="A2519" t="s">
        <v>3051</v>
      </c>
    </row>
    <row r="2520" spans="1:1">
      <c r="A2520" t="s">
        <v>3052</v>
      </c>
    </row>
    <row r="2521" spans="1:1">
      <c r="A2521" t="s">
        <v>3053</v>
      </c>
    </row>
    <row r="2522" spans="1:1">
      <c r="A2522" t="s">
        <v>3054</v>
      </c>
    </row>
    <row r="2523" spans="1:1">
      <c r="A2523" t="s">
        <v>3055</v>
      </c>
    </row>
    <row r="2524" spans="1:1">
      <c r="A2524" t="s">
        <v>3056</v>
      </c>
    </row>
    <row r="2525" spans="1:1">
      <c r="A2525" t="s">
        <v>3057</v>
      </c>
    </row>
    <row r="2526" spans="1:1">
      <c r="A2526" t="s">
        <v>3058</v>
      </c>
    </row>
    <row r="2527" spans="1:1">
      <c r="A2527" t="s">
        <v>3059</v>
      </c>
    </row>
    <row r="2528" spans="1:1">
      <c r="A2528" t="s">
        <v>3060</v>
      </c>
    </row>
    <row r="2529" spans="1:1">
      <c r="A2529" t="s">
        <v>3061</v>
      </c>
    </row>
    <row r="2530" spans="1:1">
      <c r="A2530" t="s">
        <v>3062</v>
      </c>
    </row>
    <row r="2531" spans="1:1">
      <c r="A2531" t="s">
        <v>3063</v>
      </c>
    </row>
    <row r="2532" spans="1:1">
      <c r="A2532" t="s">
        <v>3064</v>
      </c>
    </row>
    <row r="2533" spans="1:1">
      <c r="A2533" t="s">
        <v>3065</v>
      </c>
    </row>
    <row r="2534" spans="1:1">
      <c r="A2534" t="s">
        <v>3066</v>
      </c>
    </row>
    <row r="2535" spans="1:1">
      <c r="A2535" t="s">
        <v>3067</v>
      </c>
    </row>
    <row r="2536" spans="1:1">
      <c r="A2536" t="s">
        <v>3068</v>
      </c>
    </row>
    <row r="2537" spans="1:1">
      <c r="A2537" t="s">
        <v>3069</v>
      </c>
    </row>
    <row r="2538" spans="1:1">
      <c r="A2538" t="s">
        <v>3070</v>
      </c>
    </row>
    <row r="2539" spans="1:1">
      <c r="A2539" t="s">
        <v>3071</v>
      </c>
    </row>
    <row r="2540" spans="1:1">
      <c r="A2540" t="s">
        <v>3072</v>
      </c>
    </row>
    <row r="2541" spans="1:1">
      <c r="A2541" t="s">
        <v>3073</v>
      </c>
    </row>
    <row r="2542" spans="1:1">
      <c r="A2542" t="s">
        <v>3074</v>
      </c>
    </row>
    <row r="2543" spans="1:1">
      <c r="A2543" t="s">
        <v>3075</v>
      </c>
    </row>
    <row r="2544" spans="1:1">
      <c r="A2544" t="s">
        <v>3076</v>
      </c>
    </row>
    <row r="2545" spans="1:1">
      <c r="A2545" t="s">
        <v>3077</v>
      </c>
    </row>
    <row r="2546" spans="1:1">
      <c r="A2546" t="s">
        <v>3078</v>
      </c>
    </row>
    <row r="2547" spans="1:1">
      <c r="A2547" t="s">
        <v>3079</v>
      </c>
    </row>
    <row r="2548" spans="1:1">
      <c r="A2548" t="s">
        <v>3080</v>
      </c>
    </row>
    <row r="2549" spans="1:1">
      <c r="A2549" t="s">
        <v>3081</v>
      </c>
    </row>
    <row r="2550" spans="1:1">
      <c r="A2550" t="s">
        <v>3082</v>
      </c>
    </row>
    <row r="2551" spans="1:1">
      <c r="A2551" t="s">
        <v>3083</v>
      </c>
    </row>
    <row r="2552" spans="1:1">
      <c r="A2552" t="s">
        <v>3084</v>
      </c>
    </row>
    <row r="2553" spans="1:1">
      <c r="A2553" t="s">
        <v>3085</v>
      </c>
    </row>
    <row r="2554" spans="1:1">
      <c r="A2554" t="s">
        <v>3086</v>
      </c>
    </row>
    <row r="2555" spans="1:1">
      <c r="A2555" t="s">
        <v>3087</v>
      </c>
    </row>
    <row r="2556" spans="1:1">
      <c r="A2556" t="s">
        <v>3088</v>
      </c>
    </row>
    <row r="2557" spans="1:1">
      <c r="A2557" t="s">
        <v>3089</v>
      </c>
    </row>
    <row r="2558" spans="1:1">
      <c r="A2558" t="s">
        <v>3090</v>
      </c>
    </row>
    <row r="2559" spans="1:1">
      <c r="A2559" t="s">
        <v>3091</v>
      </c>
    </row>
    <row r="2560" spans="1:1">
      <c r="A2560" t="s">
        <v>3092</v>
      </c>
    </row>
    <row r="2561" spans="1:1">
      <c r="A2561" t="s">
        <v>3093</v>
      </c>
    </row>
    <row r="2562" spans="1:1">
      <c r="A2562" t="s">
        <v>3094</v>
      </c>
    </row>
    <row r="2563" spans="1:1">
      <c r="A2563" t="s">
        <v>3095</v>
      </c>
    </row>
    <row r="2564" spans="1:1">
      <c r="A2564" t="s">
        <v>3096</v>
      </c>
    </row>
    <row r="2565" spans="1:1">
      <c r="A2565" t="s">
        <v>3097</v>
      </c>
    </row>
    <row r="2566" spans="1:1">
      <c r="A2566" t="s">
        <v>3098</v>
      </c>
    </row>
    <row r="2567" spans="1:1">
      <c r="A2567" t="s">
        <v>3099</v>
      </c>
    </row>
    <row r="2568" spans="1:1">
      <c r="A2568" t="s">
        <v>3100</v>
      </c>
    </row>
    <row r="2569" spans="1:1">
      <c r="A2569" t="s">
        <v>3101</v>
      </c>
    </row>
    <row r="2570" spans="1:1">
      <c r="A2570" t="s">
        <v>3102</v>
      </c>
    </row>
    <row r="2571" spans="1:1">
      <c r="A2571" t="s">
        <v>3103</v>
      </c>
    </row>
    <row r="2572" spans="1:1">
      <c r="A2572" t="s">
        <v>3104</v>
      </c>
    </row>
    <row r="2573" spans="1:1">
      <c r="A2573" t="s">
        <v>3105</v>
      </c>
    </row>
    <row r="2574" spans="1:1">
      <c r="A2574" t="s">
        <v>3106</v>
      </c>
    </row>
    <row r="2575" spans="1:1">
      <c r="A2575" t="s">
        <v>3107</v>
      </c>
    </row>
    <row r="2576" spans="1:1">
      <c r="A2576" t="s">
        <v>3108</v>
      </c>
    </row>
    <row r="2577" spans="1:1">
      <c r="A2577" t="s">
        <v>3109</v>
      </c>
    </row>
    <row r="2578" spans="1:1">
      <c r="A2578" t="s">
        <v>3110</v>
      </c>
    </row>
    <row r="2579" spans="1:1">
      <c r="A2579" t="s">
        <v>3111</v>
      </c>
    </row>
    <row r="2580" spans="1:1">
      <c r="A2580" t="s">
        <v>3112</v>
      </c>
    </row>
    <row r="2581" spans="1:1">
      <c r="A2581" t="s">
        <v>3113</v>
      </c>
    </row>
    <row r="2582" spans="1:1">
      <c r="A2582" t="s">
        <v>3114</v>
      </c>
    </row>
    <row r="2583" spans="1:1">
      <c r="A2583" t="s">
        <v>3115</v>
      </c>
    </row>
    <row r="2584" spans="1:1">
      <c r="A2584" t="s">
        <v>3116</v>
      </c>
    </row>
    <row r="2585" spans="1:1">
      <c r="A2585" t="s">
        <v>3117</v>
      </c>
    </row>
    <row r="2586" spans="1:1">
      <c r="A2586" t="s">
        <v>3118</v>
      </c>
    </row>
    <row r="2587" spans="1:1">
      <c r="A2587" t="s">
        <v>3119</v>
      </c>
    </row>
    <row r="2588" spans="1:1">
      <c r="A2588" t="s">
        <v>3120</v>
      </c>
    </row>
    <row r="2589" spans="1:1">
      <c r="A2589" t="s">
        <v>3121</v>
      </c>
    </row>
    <row r="2590" spans="1:1">
      <c r="A2590" t="s">
        <v>3122</v>
      </c>
    </row>
    <row r="2591" spans="1:1">
      <c r="A2591" t="s">
        <v>3123</v>
      </c>
    </row>
    <row r="2592" spans="1:1">
      <c r="A2592" t="s">
        <v>3124</v>
      </c>
    </row>
    <row r="2593" spans="1:1">
      <c r="A2593" t="s">
        <v>3125</v>
      </c>
    </row>
    <row r="2594" spans="1:1">
      <c r="A2594" t="s">
        <v>3126</v>
      </c>
    </row>
    <row r="2595" spans="1:1">
      <c r="A2595" t="s">
        <v>3127</v>
      </c>
    </row>
    <row r="2596" spans="1:1">
      <c r="A2596" t="s">
        <v>3128</v>
      </c>
    </row>
    <row r="2597" spans="1:1">
      <c r="A2597" t="s">
        <v>3129</v>
      </c>
    </row>
    <row r="2598" spans="1:1">
      <c r="A2598" t="s">
        <v>3130</v>
      </c>
    </row>
    <row r="2599" spans="1:1">
      <c r="A2599" t="s">
        <v>3131</v>
      </c>
    </row>
    <row r="2600" spans="1:1">
      <c r="A2600" t="s">
        <v>3132</v>
      </c>
    </row>
    <row r="2601" spans="1:1">
      <c r="A2601" t="s">
        <v>3133</v>
      </c>
    </row>
    <row r="2602" spans="1:1">
      <c r="A2602" t="s">
        <v>3134</v>
      </c>
    </row>
    <row r="2603" spans="1:1">
      <c r="A2603" t="s">
        <v>3135</v>
      </c>
    </row>
    <row r="2604" spans="1:1">
      <c r="A2604" t="s">
        <v>3136</v>
      </c>
    </row>
    <row r="2605" spans="1:1">
      <c r="A2605" t="s">
        <v>3137</v>
      </c>
    </row>
    <row r="2606" spans="1:1">
      <c r="A2606" t="s">
        <v>3138</v>
      </c>
    </row>
    <row r="2607" spans="1:1">
      <c r="A2607" t="s">
        <v>3139</v>
      </c>
    </row>
    <row r="2608" spans="1:1">
      <c r="A2608" t="s">
        <v>3140</v>
      </c>
    </row>
    <row r="2609" spans="1:1">
      <c r="A2609" t="s">
        <v>3141</v>
      </c>
    </row>
    <row r="2610" spans="1:1">
      <c r="A2610" t="s">
        <v>3142</v>
      </c>
    </row>
    <row r="2611" spans="1:1">
      <c r="A2611" t="s">
        <v>3143</v>
      </c>
    </row>
    <row r="2612" spans="1:1">
      <c r="A2612" t="s">
        <v>3144</v>
      </c>
    </row>
    <row r="2613" spans="1:1">
      <c r="A2613" t="s">
        <v>3145</v>
      </c>
    </row>
    <row r="2614" spans="1:1">
      <c r="A2614" t="s">
        <v>3146</v>
      </c>
    </row>
    <row r="2615" spans="1:1">
      <c r="A2615" t="s">
        <v>3147</v>
      </c>
    </row>
    <row r="2616" spans="1:1">
      <c r="A2616" t="s">
        <v>3148</v>
      </c>
    </row>
    <row r="2617" spans="1:1">
      <c r="A2617" t="s">
        <v>3149</v>
      </c>
    </row>
    <row r="2618" spans="1:1">
      <c r="A2618" t="s">
        <v>3150</v>
      </c>
    </row>
    <row r="2619" spans="1:1">
      <c r="A2619" t="s">
        <v>3151</v>
      </c>
    </row>
    <row r="2620" spans="1:1">
      <c r="A2620" t="s">
        <v>3152</v>
      </c>
    </row>
    <row r="2621" spans="1:1">
      <c r="A2621" t="s">
        <v>3153</v>
      </c>
    </row>
    <row r="2622" spans="1:1">
      <c r="A2622" t="s">
        <v>3154</v>
      </c>
    </row>
    <row r="2623" spans="1:1">
      <c r="A2623" t="s">
        <v>3155</v>
      </c>
    </row>
    <row r="2624" spans="1:1">
      <c r="A2624" t="s">
        <v>3156</v>
      </c>
    </row>
    <row r="2625" spans="1:1">
      <c r="A2625" t="s">
        <v>3157</v>
      </c>
    </row>
    <row r="2626" spans="1:1">
      <c r="A2626" t="s">
        <v>3158</v>
      </c>
    </row>
    <row r="2627" spans="1:1">
      <c r="A2627" t="s">
        <v>3159</v>
      </c>
    </row>
    <row r="2628" spans="1:1">
      <c r="A2628" t="s">
        <v>3160</v>
      </c>
    </row>
    <row r="2629" spans="1:1">
      <c r="A2629" t="s">
        <v>3161</v>
      </c>
    </row>
    <row r="2630" spans="1:1">
      <c r="A2630" t="s">
        <v>3162</v>
      </c>
    </row>
    <row r="2631" spans="1:1">
      <c r="A2631" t="s">
        <v>3163</v>
      </c>
    </row>
    <row r="2632" spans="1:1">
      <c r="A2632" t="s">
        <v>3164</v>
      </c>
    </row>
    <row r="2633" spans="1:1">
      <c r="A2633" t="s">
        <v>3165</v>
      </c>
    </row>
    <row r="2634" spans="1:1">
      <c r="A2634" t="s">
        <v>3166</v>
      </c>
    </row>
    <row r="2635" spans="1:1">
      <c r="A2635" t="s">
        <v>3167</v>
      </c>
    </row>
    <row r="2636" spans="1:1">
      <c r="A2636" t="s">
        <v>3168</v>
      </c>
    </row>
    <row r="2637" spans="1:1">
      <c r="A2637" t="s">
        <v>3169</v>
      </c>
    </row>
    <row r="2638" spans="1:1">
      <c r="A2638" t="s">
        <v>3170</v>
      </c>
    </row>
    <row r="2639" spans="1:1">
      <c r="A2639" t="s">
        <v>3171</v>
      </c>
    </row>
    <row r="2640" spans="1:1">
      <c r="A2640" t="s">
        <v>3172</v>
      </c>
    </row>
    <row r="2641" spans="1:1">
      <c r="A2641" t="s">
        <v>3173</v>
      </c>
    </row>
    <row r="2642" spans="1:1">
      <c r="A2642" t="s">
        <v>3174</v>
      </c>
    </row>
    <row r="2643" spans="1:1">
      <c r="A2643" t="s">
        <v>3175</v>
      </c>
    </row>
    <row r="2644" spans="1:1">
      <c r="A2644" t="s">
        <v>3176</v>
      </c>
    </row>
    <row r="2645" spans="1:1">
      <c r="A2645" t="s">
        <v>3177</v>
      </c>
    </row>
    <row r="2646" spans="1:1">
      <c r="A2646" t="s">
        <v>3178</v>
      </c>
    </row>
    <row r="2647" spans="1:1">
      <c r="A2647" t="s">
        <v>3179</v>
      </c>
    </row>
    <row r="2648" spans="1:1">
      <c r="A2648" t="s">
        <v>3180</v>
      </c>
    </row>
    <row r="2649" spans="1:1">
      <c r="A2649" t="s">
        <v>3181</v>
      </c>
    </row>
    <row r="2650" spans="1:1">
      <c r="A2650" t="s">
        <v>3182</v>
      </c>
    </row>
    <row r="2651" spans="1:1">
      <c r="A2651" t="s">
        <v>3183</v>
      </c>
    </row>
    <row r="2652" spans="1:1">
      <c r="A2652" t="s">
        <v>3184</v>
      </c>
    </row>
    <row r="2653" spans="1:1">
      <c r="A2653" t="s">
        <v>3185</v>
      </c>
    </row>
    <row r="2654" spans="1:1">
      <c r="A2654" t="s">
        <v>3186</v>
      </c>
    </row>
    <row r="2655" spans="1:1">
      <c r="A2655" t="s">
        <v>3187</v>
      </c>
    </row>
    <row r="2656" spans="1:1">
      <c r="A2656" t="s">
        <v>3188</v>
      </c>
    </row>
    <row r="2657" spans="1:1">
      <c r="A2657" t="s">
        <v>3189</v>
      </c>
    </row>
    <row r="2658" spans="1:1">
      <c r="A2658" t="s">
        <v>3190</v>
      </c>
    </row>
    <row r="2659" spans="1:1">
      <c r="A2659" t="s">
        <v>3191</v>
      </c>
    </row>
    <row r="2660" spans="1:1">
      <c r="A2660" t="s">
        <v>3192</v>
      </c>
    </row>
    <row r="2661" spans="1:1">
      <c r="A2661" t="s">
        <v>3193</v>
      </c>
    </row>
    <row r="2662" spans="1:1">
      <c r="A2662" t="s">
        <v>3194</v>
      </c>
    </row>
    <row r="2663" spans="1:1">
      <c r="A2663" t="s">
        <v>3195</v>
      </c>
    </row>
    <row r="2664" spans="1:1">
      <c r="A2664" t="s">
        <v>3196</v>
      </c>
    </row>
    <row r="2665" spans="1:1">
      <c r="A2665" t="s">
        <v>3197</v>
      </c>
    </row>
    <row r="2666" spans="1:1">
      <c r="A2666" t="s">
        <v>3198</v>
      </c>
    </row>
    <row r="2667" spans="1:1">
      <c r="A2667" t="s">
        <v>3199</v>
      </c>
    </row>
    <row r="2668" spans="1:1">
      <c r="A2668" t="s">
        <v>3200</v>
      </c>
    </row>
    <row r="2669" spans="1:1">
      <c r="A2669" t="s">
        <v>3201</v>
      </c>
    </row>
    <row r="2670" spans="1:1">
      <c r="A2670" t="s">
        <v>3202</v>
      </c>
    </row>
    <row r="2671" spans="1:1">
      <c r="A2671" t="s">
        <v>3203</v>
      </c>
    </row>
    <row r="2672" spans="1:1">
      <c r="A2672" t="s">
        <v>3204</v>
      </c>
    </row>
    <row r="2673" spans="1:1">
      <c r="A2673" t="s">
        <v>3205</v>
      </c>
    </row>
    <row r="2674" spans="1:1">
      <c r="A2674" t="s">
        <v>3206</v>
      </c>
    </row>
    <row r="2675" spans="1:1">
      <c r="A2675" t="s">
        <v>3207</v>
      </c>
    </row>
    <row r="2676" spans="1:1">
      <c r="A2676" t="s">
        <v>3208</v>
      </c>
    </row>
    <row r="2677" spans="1:1">
      <c r="A2677" t="s">
        <v>3209</v>
      </c>
    </row>
    <row r="2678" spans="1:1">
      <c r="A2678" t="s">
        <v>3210</v>
      </c>
    </row>
    <row r="2679" spans="1:1">
      <c r="A2679" t="s">
        <v>3211</v>
      </c>
    </row>
    <row r="2680" spans="1:1">
      <c r="A2680" t="s">
        <v>3212</v>
      </c>
    </row>
    <row r="2681" spans="1:1">
      <c r="A2681" t="s">
        <v>3213</v>
      </c>
    </row>
    <row r="2682" spans="1:1">
      <c r="A2682" t="s">
        <v>3214</v>
      </c>
    </row>
    <row r="2683" spans="1:1">
      <c r="A2683" t="s">
        <v>3215</v>
      </c>
    </row>
    <row r="2684" spans="1:1">
      <c r="A2684" t="s">
        <v>3216</v>
      </c>
    </row>
    <row r="2685" spans="1:1">
      <c r="A2685" t="s">
        <v>3217</v>
      </c>
    </row>
    <row r="2686" spans="1:1">
      <c r="A2686" t="s">
        <v>3218</v>
      </c>
    </row>
    <row r="2687" spans="1:1">
      <c r="A2687" t="s">
        <v>3219</v>
      </c>
    </row>
    <row r="2688" spans="1:1">
      <c r="A2688" t="s">
        <v>3220</v>
      </c>
    </row>
    <row r="2689" spans="1:1">
      <c r="A2689" t="s">
        <v>3221</v>
      </c>
    </row>
    <row r="2690" spans="1:1">
      <c r="A2690" t="s">
        <v>3222</v>
      </c>
    </row>
    <row r="2691" spans="1:1">
      <c r="A2691" t="s">
        <v>3223</v>
      </c>
    </row>
    <row r="2692" spans="1:1">
      <c r="A2692" t="s">
        <v>3224</v>
      </c>
    </row>
    <row r="2693" spans="1:1">
      <c r="A2693" t="s">
        <v>3225</v>
      </c>
    </row>
    <row r="2694" spans="1:1">
      <c r="A2694" t="s">
        <v>3226</v>
      </c>
    </row>
    <row r="2695" spans="1:1">
      <c r="A2695" t="s">
        <v>3227</v>
      </c>
    </row>
    <row r="2696" spans="1:1">
      <c r="A2696" t="s">
        <v>3228</v>
      </c>
    </row>
    <row r="2697" spans="1:1">
      <c r="A2697" t="s">
        <v>3229</v>
      </c>
    </row>
    <row r="2698" spans="1:1">
      <c r="A2698" t="s">
        <v>3230</v>
      </c>
    </row>
    <row r="2699" spans="1:1">
      <c r="A2699" t="s">
        <v>3231</v>
      </c>
    </row>
    <row r="2700" spans="1:1">
      <c r="A2700" t="s">
        <v>3232</v>
      </c>
    </row>
    <row r="2701" spans="1:1">
      <c r="A2701" t="s">
        <v>3233</v>
      </c>
    </row>
    <row r="2702" spans="1:1">
      <c r="A2702" t="s">
        <v>3234</v>
      </c>
    </row>
    <row r="2703" spans="1:1">
      <c r="A2703" t="s">
        <v>3235</v>
      </c>
    </row>
    <row r="2704" spans="1:1">
      <c r="A2704" t="s">
        <v>3236</v>
      </c>
    </row>
    <row r="2705" spans="1:1">
      <c r="A2705" t="s">
        <v>3237</v>
      </c>
    </row>
    <row r="2706" spans="1:1">
      <c r="A2706" t="s">
        <v>3238</v>
      </c>
    </row>
    <row r="2707" spans="1:1">
      <c r="A2707" t="s">
        <v>3239</v>
      </c>
    </row>
    <row r="2708" spans="1:1">
      <c r="A2708" t="s">
        <v>3240</v>
      </c>
    </row>
    <row r="2709" spans="1:1">
      <c r="A2709" t="s">
        <v>3241</v>
      </c>
    </row>
    <row r="2710" spans="1:1">
      <c r="A2710" t="s">
        <v>3242</v>
      </c>
    </row>
    <row r="2711" spans="1:1">
      <c r="A2711" t="s">
        <v>3243</v>
      </c>
    </row>
    <row r="2712" spans="1:1">
      <c r="A2712" t="s">
        <v>3244</v>
      </c>
    </row>
    <row r="2713" spans="1:1">
      <c r="A2713" t="s">
        <v>3245</v>
      </c>
    </row>
    <row r="2714" spans="1:1">
      <c r="A2714" t="s">
        <v>3246</v>
      </c>
    </row>
    <row r="2715" spans="1:1">
      <c r="A2715" t="s">
        <v>3247</v>
      </c>
    </row>
    <row r="2716" spans="1:1">
      <c r="A2716" t="s">
        <v>3248</v>
      </c>
    </row>
    <row r="2717" spans="1:1">
      <c r="A2717" t="s">
        <v>3249</v>
      </c>
    </row>
    <row r="2718" spans="1:1">
      <c r="A2718" t="s">
        <v>3250</v>
      </c>
    </row>
    <row r="2719" spans="1:1">
      <c r="A2719" t="s">
        <v>3251</v>
      </c>
    </row>
    <row r="2720" spans="1:1">
      <c r="A2720" t="s">
        <v>3252</v>
      </c>
    </row>
    <row r="2721" spans="1:1">
      <c r="A2721" t="s">
        <v>3253</v>
      </c>
    </row>
    <row r="2722" spans="1:1">
      <c r="A2722" t="s">
        <v>3254</v>
      </c>
    </row>
    <row r="2723" spans="1:1">
      <c r="A2723" t="s">
        <v>3255</v>
      </c>
    </row>
    <row r="2724" spans="1:1">
      <c r="A2724" t="s">
        <v>3256</v>
      </c>
    </row>
    <row r="2725" spans="1:1">
      <c r="A2725" t="s">
        <v>3257</v>
      </c>
    </row>
    <row r="2726" spans="1:1">
      <c r="A2726" t="s">
        <v>3258</v>
      </c>
    </row>
    <row r="2727" spans="1:1">
      <c r="A2727" t="s">
        <v>3259</v>
      </c>
    </row>
    <row r="2728" spans="1:1">
      <c r="A2728" t="s">
        <v>3260</v>
      </c>
    </row>
    <row r="2729" spans="1:1">
      <c r="A2729" t="s">
        <v>3261</v>
      </c>
    </row>
    <row r="2730" spans="1:1">
      <c r="A2730" t="s">
        <v>3262</v>
      </c>
    </row>
    <row r="2731" spans="1:1">
      <c r="A2731" t="s">
        <v>3263</v>
      </c>
    </row>
    <row r="2732" spans="1:1">
      <c r="A2732" t="s">
        <v>3264</v>
      </c>
    </row>
    <row r="2733" spans="1:1">
      <c r="A2733" t="s">
        <v>3265</v>
      </c>
    </row>
    <row r="2734" spans="1:1">
      <c r="A2734" t="s">
        <v>3266</v>
      </c>
    </row>
    <row r="2735" spans="1:1">
      <c r="A2735" t="s">
        <v>3267</v>
      </c>
    </row>
    <row r="2736" spans="1:1">
      <c r="A2736" t="s">
        <v>3268</v>
      </c>
    </row>
    <row r="2737" spans="1:1">
      <c r="A2737" t="s">
        <v>3269</v>
      </c>
    </row>
    <row r="2738" spans="1:1">
      <c r="A2738" t="s">
        <v>3270</v>
      </c>
    </row>
    <row r="2739" spans="1:1">
      <c r="A2739" t="s">
        <v>3271</v>
      </c>
    </row>
    <row r="2740" spans="1:1">
      <c r="A2740" t="s">
        <v>3272</v>
      </c>
    </row>
    <row r="2741" spans="1:1">
      <c r="A2741" t="s">
        <v>3273</v>
      </c>
    </row>
    <row r="2742" spans="1:1">
      <c r="A2742" t="s">
        <v>3274</v>
      </c>
    </row>
    <row r="2743" spans="1:1">
      <c r="A2743" t="s">
        <v>3275</v>
      </c>
    </row>
    <row r="2744" spans="1:1">
      <c r="A2744" t="s">
        <v>3276</v>
      </c>
    </row>
    <row r="2745" spans="1:1">
      <c r="A2745" t="s">
        <v>3277</v>
      </c>
    </row>
    <row r="2746" spans="1:1">
      <c r="A2746" t="s">
        <v>3278</v>
      </c>
    </row>
    <row r="2747" spans="1:1">
      <c r="A2747" t="s">
        <v>3279</v>
      </c>
    </row>
    <row r="2748" spans="1:1">
      <c r="A2748" t="s">
        <v>3280</v>
      </c>
    </row>
    <row r="2749" spans="1:1">
      <c r="A2749" t="s">
        <v>3281</v>
      </c>
    </row>
    <row r="2750" spans="1:1">
      <c r="A2750" t="s">
        <v>3282</v>
      </c>
    </row>
    <row r="2751" spans="1:1">
      <c r="A2751" t="s">
        <v>3283</v>
      </c>
    </row>
    <row r="2752" spans="1:1">
      <c r="A2752" t="s">
        <v>3284</v>
      </c>
    </row>
    <row r="2753" spans="1:1">
      <c r="A2753" t="s">
        <v>3285</v>
      </c>
    </row>
    <row r="2754" spans="1:1">
      <c r="A2754" t="s">
        <v>3286</v>
      </c>
    </row>
    <row r="2755" spans="1:1">
      <c r="A2755" t="s">
        <v>3287</v>
      </c>
    </row>
    <row r="2756" spans="1:1">
      <c r="A2756" t="s">
        <v>3288</v>
      </c>
    </row>
    <row r="2757" spans="1:1">
      <c r="A2757" t="s">
        <v>3289</v>
      </c>
    </row>
    <row r="2758" spans="1:1">
      <c r="A2758" t="s">
        <v>3290</v>
      </c>
    </row>
    <row r="2759" spans="1:1">
      <c r="A2759" t="s">
        <v>3291</v>
      </c>
    </row>
    <row r="2760" spans="1:1">
      <c r="A2760" t="s">
        <v>3292</v>
      </c>
    </row>
    <row r="2761" spans="1:1">
      <c r="A2761" t="s">
        <v>3293</v>
      </c>
    </row>
    <row r="2762" spans="1:1">
      <c r="A2762" t="s">
        <v>3294</v>
      </c>
    </row>
    <row r="2763" spans="1:1">
      <c r="A2763" t="s">
        <v>3295</v>
      </c>
    </row>
    <row r="2764" spans="1:1">
      <c r="A2764" t="s">
        <v>3296</v>
      </c>
    </row>
    <row r="2765" spans="1:1">
      <c r="A2765" t="s">
        <v>3297</v>
      </c>
    </row>
    <row r="2766" spans="1:1">
      <c r="A2766" t="s">
        <v>3298</v>
      </c>
    </row>
    <row r="2767" spans="1:1">
      <c r="A2767" t="s">
        <v>3299</v>
      </c>
    </row>
    <row r="2768" spans="1:1">
      <c r="A2768" t="s">
        <v>3300</v>
      </c>
    </row>
    <row r="2769" spans="1:1">
      <c r="A2769" t="s">
        <v>3301</v>
      </c>
    </row>
    <row r="2770" spans="1:1">
      <c r="A2770" t="s">
        <v>3302</v>
      </c>
    </row>
    <row r="2771" spans="1:1">
      <c r="A2771" t="s">
        <v>3303</v>
      </c>
    </row>
    <row r="2772" spans="1:1">
      <c r="A2772" t="s">
        <v>3304</v>
      </c>
    </row>
    <row r="2773" spans="1:1">
      <c r="A2773" t="s">
        <v>3305</v>
      </c>
    </row>
    <row r="2774" spans="1:1">
      <c r="A2774" t="s">
        <v>3306</v>
      </c>
    </row>
    <row r="2775" spans="1:1">
      <c r="A2775" t="s">
        <v>3307</v>
      </c>
    </row>
    <row r="2776" spans="1:1">
      <c r="A2776" t="s">
        <v>3308</v>
      </c>
    </row>
    <row r="2777" spans="1:1">
      <c r="A2777" t="s">
        <v>3309</v>
      </c>
    </row>
    <row r="2778" spans="1:1">
      <c r="A2778" t="s">
        <v>3310</v>
      </c>
    </row>
    <row r="2779" spans="1:1">
      <c r="A2779" t="s">
        <v>3311</v>
      </c>
    </row>
    <row r="2780" spans="1:1">
      <c r="A2780" t="s">
        <v>3312</v>
      </c>
    </row>
    <row r="2781" spans="1:1">
      <c r="A2781" t="s">
        <v>3313</v>
      </c>
    </row>
    <row r="2782" spans="1:1">
      <c r="A2782" t="s">
        <v>3314</v>
      </c>
    </row>
    <row r="2783" spans="1:1">
      <c r="A2783" t="s">
        <v>3315</v>
      </c>
    </row>
    <row r="2784" spans="1:1">
      <c r="A2784" t="s">
        <v>3316</v>
      </c>
    </row>
    <row r="2785" spans="1:1">
      <c r="A2785" t="s">
        <v>3317</v>
      </c>
    </row>
    <row r="2786" spans="1:1">
      <c r="A2786" t="s">
        <v>3318</v>
      </c>
    </row>
    <row r="2787" spans="1:1">
      <c r="A2787" t="s">
        <v>3319</v>
      </c>
    </row>
    <row r="2788" spans="1:1">
      <c r="A2788" t="s">
        <v>3320</v>
      </c>
    </row>
    <row r="2789" spans="1:1">
      <c r="A2789" t="s">
        <v>3321</v>
      </c>
    </row>
    <row r="2790" spans="1:1">
      <c r="A2790" t="s">
        <v>3322</v>
      </c>
    </row>
    <row r="2791" spans="1:1">
      <c r="A2791" t="s">
        <v>3323</v>
      </c>
    </row>
    <row r="2792" spans="1:1">
      <c r="A2792" t="s">
        <v>3324</v>
      </c>
    </row>
    <row r="2793" spans="1:1">
      <c r="A2793" t="s">
        <v>3325</v>
      </c>
    </row>
    <row r="2794" spans="1:1">
      <c r="A2794" t="s">
        <v>3326</v>
      </c>
    </row>
    <row r="2795" spans="1:1">
      <c r="A2795" t="s">
        <v>3327</v>
      </c>
    </row>
    <row r="2796" spans="1:1">
      <c r="A2796" t="s">
        <v>3328</v>
      </c>
    </row>
    <row r="2797" spans="1:1">
      <c r="A2797" t="s">
        <v>3329</v>
      </c>
    </row>
    <row r="2798" spans="1:1">
      <c r="A2798" t="s">
        <v>3330</v>
      </c>
    </row>
    <row r="2799" spans="1:1">
      <c r="A2799" t="s">
        <v>3331</v>
      </c>
    </row>
    <row r="2800" spans="1:1">
      <c r="A2800" t="s">
        <v>3332</v>
      </c>
    </row>
    <row r="2801" spans="1:1">
      <c r="A2801" t="s">
        <v>3333</v>
      </c>
    </row>
    <row r="2802" spans="1:1">
      <c r="A2802" t="s">
        <v>3334</v>
      </c>
    </row>
    <row r="2803" spans="1:1">
      <c r="A2803" t="s">
        <v>3335</v>
      </c>
    </row>
    <row r="2804" spans="1:1">
      <c r="A2804" t="s">
        <v>3336</v>
      </c>
    </row>
    <row r="2805" spans="1:1">
      <c r="A2805" t="s">
        <v>3337</v>
      </c>
    </row>
    <row r="2806" spans="1:1">
      <c r="A2806" t="s">
        <v>3338</v>
      </c>
    </row>
    <row r="2807" spans="1:1">
      <c r="A2807" t="s">
        <v>3339</v>
      </c>
    </row>
    <row r="2808" spans="1:1">
      <c r="A2808" t="s">
        <v>3340</v>
      </c>
    </row>
    <row r="2809" spans="1:1">
      <c r="A2809" t="s">
        <v>3341</v>
      </c>
    </row>
    <row r="2810" spans="1:1">
      <c r="A2810" t="s">
        <v>3342</v>
      </c>
    </row>
    <row r="2811" spans="1:1">
      <c r="A2811" t="s">
        <v>3343</v>
      </c>
    </row>
    <row r="2812" spans="1:1">
      <c r="A2812" t="s">
        <v>3344</v>
      </c>
    </row>
    <row r="2813" spans="1:1">
      <c r="A2813" t="s">
        <v>3345</v>
      </c>
    </row>
    <row r="2814" spans="1:1">
      <c r="A2814" t="s">
        <v>3346</v>
      </c>
    </row>
    <row r="2815" spans="1:1">
      <c r="A2815" t="s">
        <v>3347</v>
      </c>
    </row>
    <row r="2816" spans="1:1">
      <c r="A2816" t="s">
        <v>3348</v>
      </c>
    </row>
    <row r="2817" spans="1:1">
      <c r="A2817" t="s">
        <v>3349</v>
      </c>
    </row>
    <row r="2818" spans="1:1">
      <c r="A2818" t="s">
        <v>3350</v>
      </c>
    </row>
    <row r="2819" spans="1:1">
      <c r="A2819" t="s">
        <v>3351</v>
      </c>
    </row>
    <row r="2820" spans="1:1">
      <c r="A2820" t="s">
        <v>3352</v>
      </c>
    </row>
    <row r="2821" spans="1:1">
      <c r="A2821" t="s">
        <v>3353</v>
      </c>
    </row>
    <row r="2822" spans="1:1">
      <c r="A2822" t="s">
        <v>3354</v>
      </c>
    </row>
    <row r="2823" spans="1:1">
      <c r="A2823" t="s">
        <v>3355</v>
      </c>
    </row>
    <row r="2824" spans="1:1">
      <c r="A2824" t="s">
        <v>3356</v>
      </c>
    </row>
    <row r="2825" spans="1:1">
      <c r="A2825" t="s">
        <v>3357</v>
      </c>
    </row>
    <row r="2826" spans="1:1">
      <c r="A2826" t="s">
        <v>3358</v>
      </c>
    </row>
    <row r="2827" spans="1:1">
      <c r="A2827" t="s">
        <v>3359</v>
      </c>
    </row>
    <row r="2828" spans="1:1">
      <c r="A2828" t="s">
        <v>3360</v>
      </c>
    </row>
    <row r="2829" spans="1:1">
      <c r="A2829" t="s">
        <v>3361</v>
      </c>
    </row>
    <row r="2830" spans="1:1">
      <c r="A2830" t="s">
        <v>3362</v>
      </c>
    </row>
    <row r="2831" spans="1:1">
      <c r="A2831" t="s">
        <v>3363</v>
      </c>
    </row>
    <row r="2832" spans="1:1">
      <c r="A2832" t="s">
        <v>3364</v>
      </c>
    </row>
    <row r="2833" spans="1:1">
      <c r="A2833" t="s">
        <v>3365</v>
      </c>
    </row>
    <row r="2834" spans="1:1">
      <c r="A2834" t="s">
        <v>3366</v>
      </c>
    </row>
    <row r="2835" spans="1:1">
      <c r="A2835" t="s">
        <v>3367</v>
      </c>
    </row>
    <row r="2836" spans="1:1">
      <c r="A2836" t="s">
        <v>3368</v>
      </c>
    </row>
    <row r="2837" spans="1:1">
      <c r="A2837" t="s">
        <v>3369</v>
      </c>
    </row>
    <row r="2838" spans="1:1">
      <c r="A2838" t="s">
        <v>3370</v>
      </c>
    </row>
    <row r="2839" spans="1:1">
      <c r="A2839" t="s">
        <v>3371</v>
      </c>
    </row>
    <row r="2840" spans="1:1">
      <c r="A2840" t="s">
        <v>3372</v>
      </c>
    </row>
    <row r="2841" spans="1:1">
      <c r="A2841" t="s">
        <v>3373</v>
      </c>
    </row>
    <row r="2842" spans="1:1">
      <c r="A2842" t="s">
        <v>3374</v>
      </c>
    </row>
    <row r="2843" spans="1:1">
      <c r="A2843" t="s">
        <v>3375</v>
      </c>
    </row>
    <row r="2844" spans="1:1">
      <c r="A2844" t="s">
        <v>3376</v>
      </c>
    </row>
    <row r="2845" spans="1:1">
      <c r="A2845" t="s">
        <v>3377</v>
      </c>
    </row>
    <row r="2846" spans="1:1">
      <c r="A2846" t="s">
        <v>3378</v>
      </c>
    </row>
    <row r="2847" spans="1:1">
      <c r="A2847" t="s">
        <v>3379</v>
      </c>
    </row>
    <row r="2848" spans="1:1">
      <c r="A2848" t="s">
        <v>3380</v>
      </c>
    </row>
    <row r="2849" spans="1:1">
      <c r="A2849" t="s">
        <v>3381</v>
      </c>
    </row>
    <row r="2850" spans="1:1">
      <c r="A2850" t="s">
        <v>3382</v>
      </c>
    </row>
    <row r="2851" spans="1:1">
      <c r="A2851" t="s">
        <v>3383</v>
      </c>
    </row>
    <row r="2852" spans="1:1">
      <c r="A2852" t="s">
        <v>3384</v>
      </c>
    </row>
    <row r="2853" spans="1:1">
      <c r="A2853" t="s">
        <v>3385</v>
      </c>
    </row>
    <row r="2854" spans="1:1">
      <c r="A2854" t="s">
        <v>3386</v>
      </c>
    </row>
    <row r="2855" spans="1:1">
      <c r="A2855" t="s">
        <v>3387</v>
      </c>
    </row>
    <row r="2856" spans="1:1">
      <c r="A2856" t="s">
        <v>3388</v>
      </c>
    </row>
    <row r="2857" spans="1:1">
      <c r="A2857" t="s">
        <v>3389</v>
      </c>
    </row>
    <row r="2858" spans="1:1">
      <c r="A2858" t="s">
        <v>3390</v>
      </c>
    </row>
    <row r="2859" spans="1:1">
      <c r="A2859" t="s">
        <v>3391</v>
      </c>
    </row>
    <row r="2860" spans="1:1">
      <c r="A2860" t="s">
        <v>3392</v>
      </c>
    </row>
    <row r="2861" spans="1:1">
      <c r="A2861" t="s">
        <v>3393</v>
      </c>
    </row>
    <row r="2862" spans="1:1">
      <c r="A2862" t="s">
        <v>3394</v>
      </c>
    </row>
    <row r="2863" spans="1:1">
      <c r="A2863" t="s">
        <v>3395</v>
      </c>
    </row>
    <row r="2864" spans="1:1">
      <c r="A2864" t="s">
        <v>3396</v>
      </c>
    </row>
    <row r="2865" spans="1:1">
      <c r="A2865" t="s">
        <v>3397</v>
      </c>
    </row>
    <row r="2866" spans="1:1">
      <c r="A2866" t="s">
        <v>3398</v>
      </c>
    </row>
    <row r="2867" spans="1:1">
      <c r="A2867" t="s">
        <v>3399</v>
      </c>
    </row>
    <row r="2868" spans="1:1">
      <c r="A2868" t="s">
        <v>3400</v>
      </c>
    </row>
    <row r="2869" spans="1:1">
      <c r="A2869" t="s">
        <v>3401</v>
      </c>
    </row>
    <row r="2870" spans="1:1">
      <c r="A2870" t="s">
        <v>3402</v>
      </c>
    </row>
    <row r="2871" spans="1:1">
      <c r="A2871" t="s">
        <v>3403</v>
      </c>
    </row>
    <row r="2872" spans="1:1">
      <c r="A2872" t="s">
        <v>3404</v>
      </c>
    </row>
    <row r="2873" spans="1:1">
      <c r="A2873" t="s">
        <v>3405</v>
      </c>
    </row>
    <row r="2874" spans="1:1">
      <c r="A2874" t="s">
        <v>3406</v>
      </c>
    </row>
    <row r="2875" spans="1:1">
      <c r="A2875" t="s">
        <v>3407</v>
      </c>
    </row>
    <row r="2876" spans="1:1">
      <c r="A2876" t="s">
        <v>3408</v>
      </c>
    </row>
    <row r="2877" spans="1:1">
      <c r="A2877" t="s">
        <v>3409</v>
      </c>
    </row>
    <row r="2878" spans="1:1">
      <c r="A2878" t="s">
        <v>3410</v>
      </c>
    </row>
    <row r="2879" spans="1:1">
      <c r="A2879" t="s">
        <v>3411</v>
      </c>
    </row>
    <row r="2880" spans="1:1">
      <c r="A2880" t="s">
        <v>3412</v>
      </c>
    </row>
    <row r="2881" spans="1:1">
      <c r="A2881" t="s">
        <v>3413</v>
      </c>
    </row>
    <row r="2882" spans="1:1">
      <c r="A2882" t="s">
        <v>3414</v>
      </c>
    </row>
    <row r="2883" spans="1:1">
      <c r="A2883" t="s">
        <v>3415</v>
      </c>
    </row>
    <row r="2884" spans="1:1">
      <c r="A2884" t="s">
        <v>3416</v>
      </c>
    </row>
    <row r="2885" spans="1:1">
      <c r="A2885" t="s">
        <v>3417</v>
      </c>
    </row>
    <row r="2886" spans="1:1">
      <c r="A2886" t="s">
        <v>3418</v>
      </c>
    </row>
    <row r="2887" spans="1:1">
      <c r="A2887" t="s">
        <v>3419</v>
      </c>
    </row>
    <row r="2888" spans="1:1">
      <c r="A2888" t="s">
        <v>3420</v>
      </c>
    </row>
    <row r="2889" spans="1:1">
      <c r="A2889" t="s">
        <v>3421</v>
      </c>
    </row>
    <row r="2890" spans="1:1">
      <c r="A2890" t="s">
        <v>3422</v>
      </c>
    </row>
    <row r="2891" spans="1:1">
      <c r="A2891" t="s">
        <v>3423</v>
      </c>
    </row>
    <row r="2892" spans="1:1">
      <c r="A2892" t="s">
        <v>3424</v>
      </c>
    </row>
    <row r="2893" spans="1:1">
      <c r="A2893" t="s">
        <v>3425</v>
      </c>
    </row>
    <row r="2894" spans="1:1">
      <c r="A2894" t="s">
        <v>3426</v>
      </c>
    </row>
    <row r="2895" spans="1:1">
      <c r="A2895" t="s">
        <v>3427</v>
      </c>
    </row>
    <row r="2896" spans="1:1">
      <c r="A2896" t="s">
        <v>3428</v>
      </c>
    </row>
    <row r="2897" spans="1:1">
      <c r="A2897" t="s">
        <v>3429</v>
      </c>
    </row>
    <row r="2898" spans="1:1">
      <c r="A2898" t="s">
        <v>3430</v>
      </c>
    </row>
    <row r="2899" spans="1:1">
      <c r="A2899" t="s">
        <v>3431</v>
      </c>
    </row>
    <row r="2900" spans="1:1">
      <c r="A2900" t="s">
        <v>3432</v>
      </c>
    </row>
    <row r="2901" spans="1:1">
      <c r="A2901" t="s">
        <v>3433</v>
      </c>
    </row>
    <row r="2902" spans="1:1">
      <c r="A2902" t="s">
        <v>3434</v>
      </c>
    </row>
    <row r="2903" spans="1:1">
      <c r="A2903" t="s">
        <v>3435</v>
      </c>
    </row>
    <row r="2904" spans="1:1">
      <c r="A2904" t="s">
        <v>3436</v>
      </c>
    </row>
    <row r="2905" spans="1:1">
      <c r="A2905" t="s">
        <v>3437</v>
      </c>
    </row>
    <row r="2906" spans="1:1">
      <c r="A2906" t="s">
        <v>3438</v>
      </c>
    </row>
    <row r="2907" spans="1:1">
      <c r="A2907" t="s">
        <v>3439</v>
      </c>
    </row>
    <row r="2908" spans="1:1">
      <c r="A2908" t="s">
        <v>3440</v>
      </c>
    </row>
    <row r="2909" spans="1:1">
      <c r="A2909" t="s">
        <v>3441</v>
      </c>
    </row>
    <row r="2910" spans="1:1">
      <c r="A2910" t="s">
        <v>3442</v>
      </c>
    </row>
    <row r="2911" spans="1:1">
      <c r="A2911" t="s">
        <v>3443</v>
      </c>
    </row>
    <row r="2912" spans="1:1">
      <c r="A2912" t="s">
        <v>3444</v>
      </c>
    </row>
    <row r="2913" spans="1:1">
      <c r="A2913" t="s">
        <v>3445</v>
      </c>
    </row>
    <row r="2914" spans="1:1">
      <c r="A2914" t="s">
        <v>3446</v>
      </c>
    </row>
    <row r="2915" spans="1:1">
      <c r="A2915" t="s">
        <v>3447</v>
      </c>
    </row>
    <row r="2916" spans="1:1">
      <c r="A2916" t="s">
        <v>3448</v>
      </c>
    </row>
    <row r="2917" spans="1:1">
      <c r="A2917" t="s">
        <v>3449</v>
      </c>
    </row>
    <row r="2918" spans="1:1">
      <c r="A2918" t="s">
        <v>3450</v>
      </c>
    </row>
    <row r="2919" spans="1:1">
      <c r="A2919" t="s">
        <v>3451</v>
      </c>
    </row>
    <row r="2920" spans="1:1">
      <c r="A2920" t="s">
        <v>3452</v>
      </c>
    </row>
    <row r="2921" spans="1:1">
      <c r="A2921" t="s">
        <v>3453</v>
      </c>
    </row>
    <row r="2922" spans="1:1">
      <c r="A2922" t="s">
        <v>3454</v>
      </c>
    </row>
    <row r="2923" spans="1:1">
      <c r="A2923" t="s">
        <v>3455</v>
      </c>
    </row>
    <row r="2924" spans="1:1">
      <c r="A2924" t="s">
        <v>3456</v>
      </c>
    </row>
    <row r="2925" spans="1:1">
      <c r="A2925" t="s">
        <v>3457</v>
      </c>
    </row>
    <row r="2926" spans="1:1">
      <c r="A2926" t="s">
        <v>3458</v>
      </c>
    </row>
    <row r="2927" spans="1:1">
      <c r="A2927" t="s">
        <v>3459</v>
      </c>
    </row>
    <row r="2928" spans="1:1">
      <c r="A2928" t="s">
        <v>3460</v>
      </c>
    </row>
    <row r="2929" spans="1:1">
      <c r="A2929" t="s">
        <v>3461</v>
      </c>
    </row>
    <row r="2930" spans="1:1">
      <c r="A2930" t="s">
        <v>3462</v>
      </c>
    </row>
    <row r="2931" spans="1:1">
      <c r="A2931" t="s">
        <v>3463</v>
      </c>
    </row>
    <row r="2932" spans="1:1">
      <c r="A2932" t="s">
        <v>3464</v>
      </c>
    </row>
    <row r="2933" spans="1:1">
      <c r="A2933" t="s">
        <v>3465</v>
      </c>
    </row>
    <row r="2934" spans="1:1">
      <c r="A2934" t="s">
        <v>3466</v>
      </c>
    </row>
    <row r="2935" spans="1:1">
      <c r="A2935" t="s">
        <v>3467</v>
      </c>
    </row>
    <row r="2936" spans="1:1">
      <c r="A2936" t="s">
        <v>3468</v>
      </c>
    </row>
    <row r="2937" spans="1:1">
      <c r="A2937" t="s">
        <v>3469</v>
      </c>
    </row>
    <row r="2938" spans="1:1">
      <c r="A2938" t="s">
        <v>3470</v>
      </c>
    </row>
    <row r="2939" spans="1:1">
      <c r="A2939" t="s">
        <v>3471</v>
      </c>
    </row>
    <row r="2940" spans="1:1">
      <c r="A2940" t="s">
        <v>3472</v>
      </c>
    </row>
    <row r="2941" spans="1:1">
      <c r="A2941" t="s">
        <v>3473</v>
      </c>
    </row>
    <row r="2942" spans="1:1">
      <c r="A2942" t="s">
        <v>3474</v>
      </c>
    </row>
    <row r="2943" spans="1:1">
      <c r="A2943" t="s">
        <v>3475</v>
      </c>
    </row>
    <row r="2944" spans="1:1">
      <c r="A2944" t="s">
        <v>3476</v>
      </c>
    </row>
    <row r="2945" spans="1:1">
      <c r="A2945" t="s">
        <v>3477</v>
      </c>
    </row>
    <row r="2946" spans="1:1">
      <c r="A2946" t="s">
        <v>3478</v>
      </c>
    </row>
    <row r="2947" spans="1:1">
      <c r="A2947" t="s">
        <v>3479</v>
      </c>
    </row>
    <row r="2948" spans="1:1">
      <c r="A2948" t="s">
        <v>3480</v>
      </c>
    </row>
    <row r="2949" spans="1:1">
      <c r="A2949" t="s">
        <v>3481</v>
      </c>
    </row>
    <row r="2950" spans="1:1">
      <c r="A2950" t="s">
        <v>3482</v>
      </c>
    </row>
    <row r="2951" spans="1:1">
      <c r="A2951" t="s">
        <v>3483</v>
      </c>
    </row>
    <row r="2952" spans="1:1">
      <c r="A2952" t="s">
        <v>3484</v>
      </c>
    </row>
    <row r="2953" spans="1:1">
      <c r="A2953" t="s">
        <v>3485</v>
      </c>
    </row>
    <row r="2954" spans="1:1">
      <c r="A2954" t="s">
        <v>3486</v>
      </c>
    </row>
    <row r="2955" spans="1:1">
      <c r="A2955" t="s">
        <v>3487</v>
      </c>
    </row>
    <row r="2956" spans="1:1">
      <c r="A2956" t="s">
        <v>3488</v>
      </c>
    </row>
    <row r="2957" spans="1:1">
      <c r="A2957" t="s">
        <v>3489</v>
      </c>
    </row>
    <row r="2958" spans="1:1">
      <c r="A2958" t="s">
        <v>3490</v>
      </c>
    </row>
    <row r="2959" spans="1:1">
      <c r="A2959" t="s">
        <v>3491</v>
      </c>
    </row>
    <row r="2960" spans="1:1">
      <c r="A2960" t="s">
        <v>3492</v>
      </c>
    </row>
    <row r="2961" spans="1:1">
      <c r="A2961" t="s">
        <v>3493</v>
      </c>
    </row>
    <row r="2962" spans="1:1">
      <c r="A2962" t="s">
        <v>3494</v>
      </c>
    </row>
    <row r="2963" spans="1:1">
      <c r="A2963" t="s">
        <v>3495</v>
      </c>
    </row>
    <row r="2964" spans="1:1">
      <c r="A2964" t="s">
        <v>3496</v>
      </c>
    </row>
    <row r="2965" spans="1:1">
      <c r="A2965" t="s">
        <v>3497</v>
      </c>
    </row>
    <row r="2966" spans="1:1">
      <c r="A2966" t="s">
        <v>3498</v>
      </c>
    </row>
    <row r="2967" spans="1:1">
      <c r="A2967" t="s">
        <v>3499</v>
      </c>
    </row>
    <row r="2968" spans="1:1">
      <c r="A2968" t="s">
        <v>3500</v>
      </c>
    </row>
    <row r="2969" spans="1:1">
      <c r="A2969" t="s">
        <v>3501</v>
      </c>
    </row>
    <row r="2970" spans="1:1">
      <c r="A2970" t="s">
        <v>3502</v>
      </c>
    </row>
    <row r="2971" spans="1:1">
      <c r="A2971" t="s">
        <v>3503</v>
      </c>
    </row>
    <row r="2972" spans="1:1">
      <c r="A2972" t="s">
        <v>3504</v>
      </c>
    </row>
    <row r="2973" spans="1:1">
      <c r="A2973" t="s">
        <v>3505</v>
      </c>
    </row>
    <row r="2974" spans="1:1">
      <c r="A2974" t="s">
        <v>3506</v>
      </c>
    </row>
    <row r="2975" spans="1:1">
      <c r="A2975" t="s">
        <v>3507</v>
      </c>
    </row>
    <row r="2976" spans="1:1">
      <c r="A2976" t="s">
        <v>3508</v>
      </c>
    </row>
    <row r="2977" spans="1:1">
      <c r="A2977" t="s">
        <v>3509</v>
      </c>
    </row>
    <row r="2978" spans="1:1">
      <c r="A2978" t="s">
        <v>3510</v>
      </c>
    </row>
    <row r="2979" spans="1:1">
      <c r="A2979" t="s">
        <v>3511</v>
      </c>
    </row>
    <row r="2980" spans="1:1">
      <c r="A2980" t="s">
        <v>3512</v>
      </c>
    </row>
    <row r="2981" spans="1:1">
      <c r="A2981" t="s">
        <v>3513</v>
      </c>
    </row>
    <row r="2982" spans="1:1">
      <c r="A2982" t="s">
        <v>3514</v>
      </c>
    </row>
    <row r="2983" spans="1:1">
      <c r="A2983" t="s">
        <v>3515</v>
      </c>
    </row>
    <row r="2984" spans="1:1">
      <c r="A2984" t="s">
        <v>3516</v>
      </c>
    </row>
    <row r="2985" spans="1:1">
      <c r="A2985" t="s">
        <v>3517</v>
      </c>
    </row>
    <row r="2986" spans="1:1">
      <c r="A2986" t="s">
        <v>3518</v>
      </c>
    </row>
    <row r="2987" spans="1:1">
      <c r="A2987" t="s">
        <v>3519</v>
      </c>
    </row>
    <row r="2988" spans="1:1">
      <c r="A2988" t="s">
        <v>3520</v>
      </c>
    </row>
    <row r="2989" spans="1:1">
      <c r="A2989" t="s">
        <v>3521</v>
      </c>
    </row>
    <row r="2990" spans="1:1">
      <c r="A2990" t="s">
        <v>3522</v>
      </c>
    </row>
    <row r="2991" spans="1:1">
      <c r="A2991" t="s">
        <v>3523</v>
      </c>
    </row>
    <row r="2992" spans="1:1">
      <c r="A2992" t="s">
        <v>3524</v>
      </c>
    </row>
    <row r="2993" spans="1:1">
      <c r="A2993" t="s">
        <v>3525</v>
      </c>
    </row>
    <row r="2994" spans="1:1">
      <c r="A2994" t="s">
        <v>3526</v>
      </c>
    </row>
    <row r="2995" spans="1:1">
      <c r="A2995" t="s">
        <v>3527</v>
      </c>
    </row>
    <row r="2996" spans="1:1">
      <c r="A2996" t="s">
        <v>3528</v>
      </c>
    </row>
    <row r="2997" spans="1:1">
      <c r="A2997" t="s">
        <v>3529</v>
      </c>
    </row>
    <row r="2998" spans="1:1">
      <c r="A2998" t="s">
        <v>3530</v>
      </c>
    </row>
    <row r="2999" spans="1:1">
      <c r="A2999" t="s">
        <v>3531</v>
      </c>
    </row>
    <row r="3000" spans="1:1">
      <c r="A3000" t="s">
        <v>3532</v>
      </c>
    </row>
    <row r="3001" spans="1:1">
      <c r="A3001" t="s">
        <v>3533</v>
      </c>
    </row>
    <row r="3002" spans="1:1">
      <c r="A3002" t="s">
        <v>3534</v>
      </c>
    </row>
    <row r="3003" spans="1:1">
      <c r="A3003" t="s">
        <v>3535</v>
      </c>
    </row>
    <row r="3004" spans="1:1">
      <c r="A3004" t="s">
        <v>3536</v>
      </c>
    </row>
    <row r="3005" spans="1:1">
      <c r="A3005" t="s">
        <v>3537</v>
      </c>
    </row>
    <row r="3006" spans="1:1">
      <c r="A3006" t="s">
        <v>3538</v>
      </c>
    </row>
    <row r="3007" spans="1:1">
      <c r="A3007" t="s">
        <v>3539</v>
      </c>
    </row>
    <row r="3008" spans="1:1">
      <c r="A3008" t="s">
        <v>3540</v>
      </c>
    </row>
    <row r="3009" spans="1:1">
      <c r="A3009" t="s">
        <v>3541</v>
      </c>
    </row>
    <row r="3010" spans="1:1">
      <c r="A3010" t="s">
        <v>3542</v>
      </c>
    </row>
    <row r="3011" spans="1:1">
      <c r="A3011" t="s">
        <v>3543</v>
      </c>
    </row>
    <row r="3012" spans="1:1">
      <c r="A3012" t="s">
        <v>3544</v>
      </c>
    </row>
    <row r="3013" spans="1:1">
      <c r="A3013" t="s">
        <v>3545</v>
      </c>
    </row>
    <row r="3014" spans="1:1">
      <c r="A3014" t="s">
        <v>3546</v>
      </c>
    </row>
    <row r="3015" spans="1:1">
      <c r="A3015" t="s">
        <v>3547</v>
      </c>
    </row>
    <row r="3016" spans="1:1">
      <c r="A3016" t="s">
        <v>3548</v>
      </c>
    </row>
    <row r="3017" spans="1:1">
      <c r="A3017" t="s">
        <v>3549</v>
      </c>
    </row>
    <row r="3018" spans="1:1">
      <c r="A3018" t="s">
        <v>3550</v>
      </c>
    </row>
    <row r="3019" spans="1:1">
      <c r="A3019" t="s">
        <v>3551</v>
      </c>
    </row>
    <row r="3020" spans="1:1">
      <c r="A3020" t="s">
        <v>3552</v>
      </c>
    </row>
    <row r="3021" spans="1:1">
      <c r="A3021" t="s">
        <v>3553</v>
      </c>
    </row>
    <row r="3022" spans="1:1">
      <c r="A3022" t="s">
        <v>3554</v>
      </c>
    </row>
    <row r="3023" spans="1:1">
      <c r="A3023" t="s">
        <v>3555</v>
      </c>
    </row>
    <row r="3024" spans="1:1">
      <c r="A3024" t="s">
        <v>3556</v>
      </c>
    </row>
    <row r="3025" spans="1:1">
      <c r="A3025" t="s">
        <v>3557</v>
      </c>
    </row>
    <row r="3026" spans="1:1">
      <c r="A3026" t="s">
        <v>3558</v>
      </c>
    </row>
    <row r="3027" spans="1:1">
      <c r="A3027" t="s">
        <v>3559</v>
      </c>
    </row>
    <row r="3028" spans="1:1">
      <c r="A3028" t="s">
        <v>3560</v>
      </c>
    </row>
    <row r="3029" spans="1:1">
      <c r="A3029" t="s">
        <v>3561</v>
      </c>
    </row>
    <row r="3030" spans="1:1">
      <c r="A3030" t="s">
        <v>3562</v>
      </c>
    </row>
    <row r="3031" spans="1:1">
      <c r="A3031" t="s">
        <v>3563</v>
      </c>
    </row>
    <row r="3032" spans="1:1">
      <c r="A3032" t="s">
        <v>3564</v>
      </c>
    </row>
    <row r="3033" spans="1:1">
      <c r="A3033" t="s">
        <v>3565</v>
      </c>
    </row>
    <row r="3034" spans="1:1">
      <c r="A3034" t="s">
        <v>3566</v>
      </c>
    </row>
    <row r="3035" spans="1:1">
      <c r="A3035" t="s">
        <v>3567</v>
      </c>
    </row>
    <row r="3036" spans="1:1">
      <c r="A3036" t="s">
        <v>3568</v>
      </c>
    </row>
    <row r="3037" spans="1:1">
      <c r="A3037" t="s">
        <v>3569</v>
      </c>
    </row>
    <row r="3038" spans="1:1">
      <c r="A3038" t="s">
        <v>3570</v>
      </c>
    </row>
    <row r="3039" spans="1:1">
      <c r="A3039" t="s">
        <v>3571</v>
      </c>
    </row>
    <row r="3040" spans="1:1">
      <c r="A3040" t="s">
        <v>3572</v>
      </c>
    </row>
    <row r="3041" spans="1:1">
      <c r="A3041" t="s">
        <v>3573</v>
      </c>
    </row>
    <row r="3042" spans="1:1">
      <c r="A3042" t="s">
        <v>3574</v>
      </c>
    </row>
    <row r="3043" spans="1:1">
      <c r="A3043" t="s">
        <v>3575</v>
      </c>
    </row>
    <row r="3044" spans="1:1">
      <c r="A3044" t="s">
        <v>3576</v>
      </c>
    </row>
    <row r="3045" spans="1:1">
      <c r="A3045" t="s">
        <v>3577</v>
      </c>
    </row>
    <row r="3046" spans="1:1">
      <c r="A3046" t="s">
        <v>3578</v>
      </c>
    </row>
    <row r="3047" spans="1:1">
      <c r="A3047" t="s">
        <v>3579</v>
      </c>
    </row>
    <row r="3048" spans="1:1">
      <c r="A3048" t="s">
        <v>3580</v>
      </c>
    </row>
    <row r="3049" spans="1:1">
      <c r="A3049" t="s">
        <v>3581</v>
      </c>
    </row>
    <row r="3050" spans="1:1">
      <c r="A3050" t="s">
        <v>3582</v>
      </c>
    </row>
    <row r="3051" spans="1:1">
      <c r="A3051" t="s">
        <v>3583</v>
      </c>
    </row>
    <row r="3052" spans="1:1">
      <c r="A3052" t="s">
        <v>3584</v>
      </c>
    </row>
    <row r="3053" spans="1:1">
      <c r="A3053" t="s">
        <v>3585</v>
      </c>
    </row>
    <row r="3054" spans="1:1">
      <c r="A3054" t="s">
        <v>3586</v>
      </c>
    </row>
    <row r="3055" spans="1:1">
      <c r="A3055" t="s">
        <v>3587</v>
      </c>
    </row>
    <row r="3056" spans="1:1">
      <c r="A3056" t="s">
        <v>3588</v>
      </c>
    </row>
    <row r="3057" spans="1:1">
      <c r="A3057" t="s">
        <v>3589</v>
      </c>
    </row>
    <row r="3058" spans="1:1">
      <c r="A3058" t="s">
        <v>3590</v>
      </c>
    </row>
    <row r="3059" spans="1:1">
      <c r="A3059" t="s">
        <v>3591</v>
      </c>
    </row>
    <row r="3060" spans="1:1">
      <c r="A3060" t="s">
        <v>3592</v>
      </c>
    </row>
    <row r="3061" spans="1:1">
      <c r="A3061" t="s">
        <v>3593</v>
      </c>
    </row>
    <row r="3062" spans="1:1">
      <c r="A3062" t="s">
        <v>3594</v>
      </c>
    </row>
    <row r="3063" spans="1:1">
      <c r="A3063" t="s">
        <v>3595</v>
      </c>
    </row>
    <row r="3064" spans="1:1">
      <c r="A3064" t="s">
        <v>3596</v>
      </c>
    </row>
    <row r="3065" spans="1:1">
      <c r="A3065" t="s">
        <v>3597</v>
      </c>
    </row>
    <row r="3066" spans="1:1">
      <c r="A3066" t="s">
        <v>3598</v>
      </c>
    </row>
    <row r="3067" spans="1:1">
      <c r="A3067" t="s">
        <v>3599</v>
      </c>
    </row>
    <row r="3068" spans="1:1">
      <c r="A3068" t="s">
        <v>3600</v>
      </c>
    </row>
    <row r="3069" spans="1:1">
      <c r="A3069" t="s">
        <v>3601</v>
      </c>
    </row>
    <row r="3070" spans="1:1">
      <c r="A3070" t="s">
        <v>3602</v>
      </c>
    </row>
    <row r="3071" spans="1:1">
      <c r="A3071" t="s">
        <v>3603</v>
      </c>
    </row>
    <row r="3072" spans="1:1">
      <c r="A3072" t="s">
        <v>3604</v>
      </c>
    </row>
    <row r="3073" spans="1:1">
      <c r="A3073" t="s">
        <v>3605</v>
      </c>
    </row>
    <row r="3074" spans="1:1">
      <c r="A3074" t="s">
        <v>3606</v>
      </c>
    </row>
    <row r="3075" spans="1:1">
      <c r="A3075" t="s">
        <v>3607</v>
      </c>
    </row>
    <row r="3076" spans="1:1">
      <c r="A3076" t="s">
        <v>3608</v>
      </c>
    </row>
    <row r="3077" spans="1:1">
      <c r="A3077" t="s">
        <v>3609</v>
      </c>
    </row>
    <row r="3078" spans="1:1">
      <c r="A3078" t="s">
        <v>3610</v>
      </c>
    </row>
    <row r="3079" spans="1:1">
      <c r="A3079" t="s">
        <v>3611</v>
      </c>
    </row>
    <row r="3080" spans="1:1">
      <c r="A3080" t="s">
        <v>3612</v>
      </c>
    </row>
    <row r="3081" spans="1:1">
      <c r="A3081" t="s">
        <v>3613</v>
      </c>
    </row>
    <row r="3082" spans="1:1">
      <c r="A3082" t="s">
        <v>3614</v>
      </c>
    </row>
    <row r="3083" spans="1:1">
      <c r="A3083" t="s">
        <v>3615</v>
      </c>
    </row>
    <row r="3084" spans="1:1">
      <c r="A3084" t="s">
        <v>3616</v>
      </c>
    </row>
    <row r="3085" spans="1:1">
      <c r="A3085" t="s">
        <v>3617</v>
      </c>
    </row>
    <row r="3086" spans="1:1">
      <c r="A3086" t="s">
        <v>3618</v>
      </c>
    </row>
    <row r="3087" spans="1:1">
      <c r="A3087" t="s">
        <v>3619</v>
      </c>
    </row>
    <row r="3088" spans="1:1">
      <c r="A3088" t="s">
        <v>3620</v>
      </c>
    </row>
    <row r="3089" spans="1:1">
      <c r="A3089" t="s">
        <v>3621</v>
      </c>
    </row>
    <row r="3090" spans="1:1">
      <c r="A3090" t="s">
        <v>3622</v>
      </c>
    </row>
    <row r="3091" spans="1:1">
      <c r="A3091" t="s">
        <v>3623</v>
      </c>
    </row>
    <row r="3092" spans="1:1">
      <c r="A3092" t="s">
        <v>3624</v>
      </c>
    </row>
    <row r="3093" spans="1:1">
      <c r="A3093" t="s">
        <v>3625</v>
      </c>
    </row>
    <row r="3094" spans="1:1">
      <c r="A3094" t="s">
        <v>3626</v>
      </c>
    </row>
    <row r="3095" spans="1:1">
      <c r="A3095" t="s">
        <v>3627</v>
      </c>
    </row>
    <row r="3096" spans="1:1">
      <c r="A3096" t="s">
        <v>3628</v>
      </c>
    </row>
    <row r="3097" spans="1:1">
      <c r="A3097" t="s">
        <v>3629</v>
      </c>
    </row>
    <row r="3098" spans="1:1">
      <c r="A3098" t="s">
        <v>3630</v>
      </c>
    </row>
    <row r="3099" spans="1:1">
      <c r="A3099" t="s">
        <v>3631</v>
      </c>
    </row>
    <row r="3100" spans="1:1">
      <c r="A3100" t="s">
        <v>3632</v>
      </c>
    </row>
    <row r="3101" spans="1:1">
      <c r="A3101" t="s">
        <v>3633</v>
      </c>
    </row>
    <row r="3102" spans="1:1">
      <c r="A3102" t="s">
        <v>3634</v>
      </c>
    </row>
    <row r="3103" spans="1:1">
      <c r="A3103" t="s">
        <v>3635</v>
      </c>
    </row>
    <row r="3104" spans="1:1">
      <c r="A3104" t="s">
        <v>3636</v>
      </c>
    </row>
    <row r="3105" spans="1:1">
      <c r="A3105" t="s">
        <v>3637</v>
      </c>
    </row>
    <row r="3106" spans="1:1">
      <c r="A3106" t="s">
        <v>3638</v>
      </c>
    </row>
    <row r="3107" spans="1:1">
      <c r="A3107" t="s">
        <v>3639</v>
      </c>
    </row>
    <row r="3108" spans="1:1">
      <c r="A3108" t="s">
        <v>3640</v>
      </c>
    </row>
    <row r="3109" spans="1:1">
      <c r="A3109" t="s">
        <v>3641</v>
      </c>
    </row>
    <row r="3110" spans="1:1">
      <c r="A3110" t="s">
        <v>3642</v>
      </c>
    </row>
    <row r="3111" spans="1:1">
      <c r="A3111" t="s">
        <v>3643</v>
      </c>
    </row>
    <row r="3112" spans="1:1">
      <c r="A3112" t="s">
        <v>3644</v>
      </c>
    </row>
    <row r="3113" spans="1:1">
      <c r="A3113" t="s">
        <v>3645</v>
      </c>
    </row>
    <row r="3114" spans="1:1">
      <c r="A3114" t="s">
        <v>3646</v>
      </c>
    </row>
    <row r="3115" spans="1:1">
      <c r="A3115" t="s">
        <v>3647</v>
      </c>
    </row>
    <row r="3116" spans="1:1">
      <c r="A3116" t="s">
        <v>3648</v>
      </c>
    </row>
    <row r="3117" spans="1:1">
      <c r="A3117" t="s">
        <v>3649</v>
      </c>
    </row>
    <row r="3118" spans="1:1">
      <c r="A3118" t="s">
        <v>3650</v>
      </c>
    </row>
    <row r="3119" spans="1:1">
      <c r="A3119" t="s">
        <v>3651</v>
      </c>
    </row>
    <row r="3120" spans="1:1">
      <c r="A3120" t="s">
        <v>3652</v>
      </c>
    </row>
    <row r="3121" spans="1:1">
      <c r="A3121" t="s">
        <v>3653</v>
      </c>
    </row>
    <row r="3122" spans="1:1">
      <c r="A3122" t="s">
        <v>3654</v>
      </c>
    </row>
    <row r="3123" spans="1:1">
      <c r="A3123" t="s">
        <v>3655</v>
      </c>
    </row>
    <row r="3124" spans="1:1">
      <c r="A3124" t="s">
        <v>3656</v>
      </c>
    </row>
    <row r="3125" spans="1:1">
      <c r="A3125" t="s">
        <v>3657</v>
      </c>
    </row>
    <row r="3126" spans="1:1">
      <c r="A3126" t="s">
        <v>3658</v>
      </c>
    </row>
    <row r="3127" spans="1:1">
      <c r="A3127" t="s">
        <v>3659</v>
      </c>
    </row>
    <row r="3128" spans="1:1">
      <c r="A3128" t="s">
        <v>3660</v>
      </c>
    </row>
    <row r="3129" spans="1:1">
      <c r="A3129" t="s">
        <v>3661</v>
      </c>
    </row>
    <row r="3130" spans="1:1">
      <c r="A3130" t="s">
        <v>3662</v>
      </c>
    </row>
    <row r="3131" spans="1:1">
      <c r="A3131" t="s">
        <v>3663</v>
      </c>
    </row>
    <row r="3132" spans="1:1">
      <c r="A3132" t="s">
        <v>3664</v>
      </c>
    </row>
    <row r="3133" spans="1:1">
      <c r="A3133" t="s">
        <v>3665</v>
      </c>
    </row>
    <row r="3134" spans="1:1">
      <c r="A3134" t="s">
        <v>3666</v>
      </c>
    </row>
    <row r="3135" spans="1:1">
      <c r="A3135" t="s">
        <v>3667</v>
      </c>
    </row>
    <row r="3136" spans="1:1">
      <c r="A3136" t="s">
        <v>3668</v>
      </c>
    </row>
    <row r="3137" spans="1:1">
      <c r="A3137" t="s">
        <v>3669</v>
      </c>
    </row>
    <row r="3138" spans="1:1">
      <c r="A3138" t="s">
        <v>3670</v>
      </c>
    </row>
    <row r="3139" spans="1:1">
      <c r="A3139" t="s">
        <v>3671</v>
      </c>
    </row>
    <row r="3140" spans="1:1">
      <c r="A3140" t="s">
        <v>3672</v>
      </c>
    </row>
    <row r="3141" spans="1:1">
      <c r="A3141" t="s">
        <v>3673</v>
      </c>
    </row>
    <row r="3142" spans="1:1">
      <c r="A3142" t="s">
        <v>3674</v>
      </c>
    </row>
    <row r="3143" spans="1:1">
      <c r="A3143" t="s">
        <v>3675</v>
      </c>
    </row>
    <row r="3144" spans="1:1">
      <c r="A3144" t="s">
        <v>3676</v>
      </c>
    </row>
    <row r="3145" spans="1:1">
      <c r="A3145" t="s">
        <v>3677</v>
      </c>
    </row>
    <row r="3146" spans="1:1">
      <c r="A3146" t="s">
        <v>3678</v>
      </c>
    </row>
    <row r="3147" spans="1:1">
      <c r="A3147" t="s">
        <v>3679</v>
      </c>
    </row>
    <row r="3148" spans="1:1">
      <c r="A3148" t="s">
        <v>3680</v>
      </c>
    </row>
    <row r="3149" spans="1:1">
      <c r="A3149" t="s">
        <v>3681</v>
      </c>
    </row>
    <row r="3150" spans="1:1">
      <c r="A3150" t="s">
        <v>3682</v>
      </c>
    </row>
    <row r="3151" spans="1:1">
      <c r="A3151" t="s">
        <v>3683</v>
      </c>
    </row>
    <row r="3152" spans="1:1">
      <c r="A3152" t="s">
        <v>3684</v>
      </c>
    </row>
    <row r="3153" spans="1:1">
      <c r="A3153" t="s">
        <v>3685</v>
      </c>
    </row>
    <row r="3154" spans="1:1">
      <c r="A3154" t="s">
        <v>3686</v>
      </c>
    </row>
    <row r="3155" spans="1:1">
      <c r="A3155" t="s">
        <v>3687</v>
      </c>
    </row>
    <row r="3156" spans="1:1">
      <c r="A3156" t="s">
        <v>3688</v>
      </c>
    </row>
    <row r="3157" spans="1:1">
      <c r="A3157" t="s">
        <v>3689</v>
      </c>
    </row>
    <row r="3158" spans="1:1">
      <c r="A3158" t="s">
        <v>3690</v>
      </c>
    </row>
    <row r="3159" spans="1:1">
      <c r="A3159" t="s">
        <v>3691</v>
      </c>
    </row>
    <row r="3160" spans="1:1">
      <c r="A3160" t="s">
        <v>3692</v>
      </c>
    </row>
    <row r="3161" spans="1:1">
      <c r="A3161" t="s">
        <v>3693</v>
      </c>
    </row>
    <row r="3162" spans="1:1">
      <c r="A3162" t="s">
        <v>3694</v>
      </c>
    </row>
    <row r="3163" spans="1:1">
      <c r="A3163" t="s">
        <v>3695</v>
      </c>
    </row>
    <row r="3164" spans="1:1">
      <c r="A3164" t="s">
        <v>3696</v>
      </c>
    </row>
    <row r="3165" spans="1:1">
      <c r="A3165" t="s">
        <v>3697</v>
      </c>
    </row>
    <row r="3166" spans="1:1">
      <c r="A3166" t="s">
        <v>3698</v>
      </c>
    </row>
    <row r="3167" spans="1:1">
      <c r="A3167" t="s">
        <v>3699</v>
      </c>
    </row>
    <row r="3168" spans="1:1">
      <c r="A3168" t="s">
        <v>3700</v>
      </c>
    </row>
    <row r="3169" spans="1:1">
      <c r="A3169" t="s">
        <v>3701</v>
      </c>
    </row>
    <row r="3170" spans="1:1">
      <c r="A3170" t="s">
        <v>3702</v>
      </c>
    </row>
    <row r="3171" spans="1:1">
      <c r="A3171" t="s">
        <v>3703</v>
      </c>
    </row>
    <row r="3172" spans="1:1">
      <c r="A3172" t="s">
        <v>3704</v>
      </c>
    </row>
    <row r="3173" spans="1:1">
      <c r="A3173" t="s">
        <v>3705</v>
      </c>
    </row>
    <row r="3174" spans="1:1">
      <c r="A3174" t="s">
        <v>3706</v>
      </c>
    </row>
    <row r="3175" spans="1:1">
      <c r="A3175" t="s">
        <v>3707</v>
      </c>
    </row>
    <row r="3176" spans="1:1">
      <c r="A3176" t="s">
        <v>3708</v>
      </c>
    </row>
    <row r="3177" spans="1:1">
      <c r="A3177" t="s">
        <v>3709</v>
      </c>
    </row>
    <row r="3178" spans="1:1">
      <c r="A3178" t="s">
        <v>3710</v>
      </c>
    </row>
    <row r="3179" spans="1:1">
      <c r="A3179" t="s">
        <v>3711</v>
      </c>
    </row>
    <row r="3180" spans="1:1">
      <c r="A3180" t="s">
        <v>3712</v>
      </c>
    </row>
    <row r="3181" spans="1:1">
      <c r="A3181" t="s">
        <v>3713</v>
      </c>
    </row>
    <row r="3182" spans="1:1">
      <c r="A3182" t="s">
        <v>3714</v>
      </c>
    </row>
    <row r="3183" spans="1:1">
      <c r="A3183" t="s">
        <v>3715</v>
      </c>
    </row>
    <row r="3184" spans="1:1">
      <c r="A3184" t="s">
        <v>3716</v>
      </c>
    </row>
    <row r="3185" spans="1:1">
      <c r="A3185" t="s">
        <v>3717</v>
      </c>
    </row>
    <row r="3186" spans="1:1">
      <c r="A3186" t="s">
        <v>3718</v>
      </c>
    </row>
    <row r="3187" spans="1:1">
      <c r="A3187" t="s">
        <v>3719</v>
      </c>
    </row>
    <row r="3188" spans="1:1">
      <c r="A3188" t="s">
        <v>3720</v>
      </c>
    </row>
    <row r="3189" spans="1:1">
      <c r="A3189" t="s">
        <v>3721</v>
      </c>
    </row>
    <row r="3190" spans="1:1">
      <c r="A3190" t="s">
        <v>3722</v>
      </c>
    </row>
    <row r="3191" spans="1:1">
      <c r="A3191" t="s">
        <v>3723</v>
      </c>
    </row>
    <row r="3192" spans="1:1">
      <c r="A3192" t="s">
        <v>3724</v>
      </c>
    </row>
    <row r="3193" spans="1:1">
      <c r="A3193" t="s">
        <v>3725</v>
      </c>
    </row>
    <row r="3194" spans="1:1">
      <c r="A3194" t="s">
        <v>3726</v>
      </c>
    </row>
    <row r="3195" spans="1:1">
      <c r="A3195" t="s">
        <v>3727</v>
      </c>
    </row>
    <row r="3196" spans="1:1">
      <c r="A3196" t="s">
        <v>3728</v>
      </c>
    </row>
    <row r="3197" spans="1:1">
      <c r="A3197" t="s">
        <v>3729</v>
      </c>
    </row>
    <row r="3198" spans="1:1">
      <c r="A3198" t="s">
        <v>3730</v>
      </c>
    </row>
    <row r="3199" spans="1:1">
      <c r="A3199" t="s">
        <v>3731</v>
      </c>
    </row>
    <row r="3200" spans="1:1">
      <c r="A3200" t="s">
        <v>3732</v>
      </c>
    </row>
    <row r="3201" spans="1:1">
      <c r="A3201" t="s">
        <v>3733</v>
      </c>
    </row>
    <row r="3202" spans="1:1">
      <c r="A3202" t="s">
        <v>3734</v>
      </c>
    </row>
    <row r="3203" spans="1:1">
      <c r="A3203" t="s">
        <v>3735</v>
      </c>
    </row>
    <row r="3204" spans="1:1">
      <c r="A3204" t="s">
        <v>3736</v>
      </c>
    </row>
    <row r="3205" spans="1:1">
      <c r="A3205" t="s">
        <v>3737</v>
      </c>
    </row>
    <row r="3206" spans="1:1">
      <c r="A3206" t="s">
        <v>3738</v>
      </c>
    </row>
    <row r="3207" spans="1:1">
      <c r="A3207" t="s">
        <v>3739</v>
      </c>
    </row>
    <row r="3208" spans="1:1">
      <c r="A3208" t="s">
        <v>3740</v>
      </c>
    </row>
    <row r="3209" spans="1:1">
      <c r="A3209" t="s">
        <v>3741</v>
      </c>
    </row>
    <row r="3210" spans="1:1">
      <c r="A3210" t="s">
        <v>3742</v>
      </c>
    </row>
    <row r="3211" spans="1:1">
      <c r="A3211" t="s">
        <v>3743</v>
      </c>
    </row>
    <row r="3212" spans="1:1">
      <c r="A3212" t="s">
        <v>3744</v>
      </c>
    </row>
    <row r="3213" spans="1:1">
      <c r="A3213" t="s">
        <v>3745</v>
      </c>
    </row>
    <row r="3214" spans="1:1">
      <c r="A3214" t="s">
        <v>3746</v>
      </c>
    </row>
    <row r="3215" spans="1:1">
      <c r="A3215" t="s">
        <v>3747</v>
      </c>
    </row>
    <row r="3216" spans="1:1">
      <c r="A3216" t="s">
        <v>3748</v>
      </c>
    </row>
    <row r="3217" spans="1:1">
      <c r="A3217" t="s">
        <v>3749</v>
      </c>
    </row>
    <row r="3218" spans="1:1">
      <c r="A3218" t="s">
        <v>3750</v>
      </c>
    </row>
    <row r="3219" spans="1:1">
      <c r="A3219" t="s">
        <v>3751</v>
      </c>
    </row>
    <row r="3220" spans="1:1">
      <c r="A3220" t="s">
        <v>3752</v>
      </c>
    </row>
    <row r="3221" spans="1:1">
      <c r="A3221" t="s">
        <v>3753</v>
      </c>
    </row>
    <row r="3222" spans="1:1">
      <c r="A3222" t="s">
        <v>3754</v>
      </c>
    </row>
    <row r="3223" spans="1:1">
      <c r="A3223" t="s">
        <v>3755</v>
      </c>
    </row>
    <row r="3224" spans="1:1">
      <c r="A3224" t="s">
        <v>3756</v>
      </c>
    </row>
    <row r="3225" spans="1:1">
      <c r="A3225" t="s">
        <v>3757</v>
      </c>
    </row>
    <row r="3226" spans="1:1">
      <c r="A3226" t="s">
        <v>3758</v>
      </c>
    </row>
    <row r="3227" spans="1:1">
      <c r="A3227" t="s">
        <v>3759</v>
      </c>
    </row>
    <row r="3228" spans="1:1">
      <c r="A3228" t="s">
        <v>3760</v>
      </c>
    </row>
    <row r="3229" spans="1:1">
      <c r="A3229" t="s">
        <v>3761</v>
      </c>
    </row>
    <row r="3230" spans="1:1">
      <c r="A3230" t="s">
        <v>3762</v>
      </c>
    </row>
    <row r="3231" spans="1:1">
      <c r="A3231" t="s">
        <v>3763</v>
      </c>
    </row>
    <row r="3232" spans="1:1">
      <c r="A3232" t="s">
        <v>3764</v>
      </c>
    </row>
    <row r="3233" spans="1:1">
      <c r="A3233" t="s">
        <v>3765</v>
      </c>
    </row>
    <row r="3234" spans="1:1">
      <c r="A3234" t="s">
        <v>3766</v>
      </c>
    </row>
    <row r="3235" spans="1:1">
      <c r="A3235" t="s">
        <v>3767</v>
      </c>
    </row>
    <row r="3236" spans="1:1">
      <c r="A3236" t="s">
        <v>3768</v>
      </c>
    </row>
    <row r="3237" spans="1:1">
      <c r="A3237" t="s">
        <v>3769</v>
      </c>
    </row>
    <row r="3238" spans="1:1">
      <c r="A3238" t="s">
        <v>3770</v>
      </c>
    </row>
    <row r="3239" spans="1:1">
      <c r="A3239" t="s">
        <v>3771</v>
      </c>
    </row>
    <row r="3240" spans="1:1">
      <c r="A3240" t="s">
        <v>3772</v>
      </c>
    </row>
    <row r="3241" spans="1:1">
      <c r="A3241" t="s">
        <v>3773</v>
      </c>
    </row>
    <row r="3242" spans="1:1">
      <c r="A3242" t="s">
        <v>3774</v>
      </c>
    </row>
    <row r="3243" spans="1:1">
      <c r="A3243" t="s">
        <v>3775</v>
      </c>
    </row>
    <row r="3244" spans="1:1">
      <c r="A3244" t="s">
        <v>3776</v>
      </c>
    </row>
    <row r="3245" spans="1:1">
      <c r="A3245" t="s">
        <v>3777</v>
      </c>
    </row>
    <row r="3246" spans="1:1">
      <c r="A3246" t="s">
        <v>3778</v>
      </c>
    </row>
    <row r="3247" spans="1:1">
      <c r="A3247" t="s">
        <v>3779</v>
      </c>
    </row>
    <row r="3248" spans="1:1">
      <c r="A3248" t="s">
        <v>3780</v>
      </c>
    </row>
    <row r="3249" spans="1:1">
      <c r="A3249" t="s">
        <v>3781</v>
      </c>
    </row>
    <row r="3250" spans="1:1">
      <c r="A3250" t="s">
        <v>3782</v>
      </c>
    </row>
    <row r="3251" spans="1:1">
      <c r="A3251" t="s">
        <v>3783</v>
      </c>
    </row>
    <row r="3252" spans="1:1">
      <c r="A3252" t="s">
        <v>3784</v>
      </c>
    </row>
    <row r="3253" spans="1:1">
      <c r="A3253" t="s">
        <v>3785</v>
      </c>
    </row>
    <row r="3254" spans="1:1">
      <c r="A3254" t="s">
        <v>3786</v>
      </c>
    </row>
    <row r="3255" spans="1:1">
      <c r="A3255" t="s">
        <v>3787</v>
      </c>
    </row>
    <row r="3256" spans="1:1">
      <c r="A3256" t="s">
        <v>3788</v>
      </c>
    </row>
    <row r="3257" spans="1:1">
      <c r="A3257" t="s">
        <v>3789</v>
      </c>
    </row>
    <row r="3258" spans="1:1">
      <c r="A3258" t="s">
        <v>3790</v>
      </c>
    </row>
    <row r="3259" spans="1:1">
      <c r="A3259" t="s">
        <v>3791</v>
      </c>
    </row>
    <row r="3260" spans="1:1">
      <c r="A3260" t="s">
        <v>3792</v>
      </c>
    </row>
    <row r="3261" spans="1:1">
      <c r="A3261" t="s">
        <v>3793</v>
      </c>
    </row>
    <row r="3262" spans="1:1">
      <c r="A3262" t="s">
        <v>3794</v>
      </c>
    </row>
    <row r="3263" spans="1:1">
      <c r="A3263" t="s">
        <v>3795</v>
      </c>
    </row>
    <row r="3264" spans="1:1">
      <c r="A3264" t="s">
        <v>3796</v>
      </c>
    </row>
    <row r="3265" spans="1:1">
      <c r="A3265" t="s">
        <v>3797</v>
      </c>
    </row>
    <row r="3266" spans="1:1">
      <c r="A3266" t="s">
        <v>3798</v>
      </c>
    </row>
    <row r="3267" spans="1:1">
      <c r="A3267" t="s">
        <v>3799</v>
      </c>
    </row>
    <row r="3268" spans="1:1">
      <c r="A3268" t="s">
        <v>3800</v>
      </c>
    </row>
    <row r="3269" spans="1:1">
      <c r="A3269" t="s">
        <v>3801</v>
      </c>
    </row>
    <row r="3270" spans="1:1">
      <c r="A3270" t="s">
        <v>3802</v>
      </c>
    </row>
    <row r="3271" spans="1:1">
      <c r="A3271" t="s">
        <v>3803</v>
      </c>
    </row>
    <row r="3272" spans="1:1">
      <c r="A3272" t="s">
        <v>3804</v>
      </c>
    </row>
    <row r="3273" spans="1:1">
      <c r="A3273" t="s">
        <v>3805</v>
      </c>
    </row>
    <row r="3274" spans="1:1">
      <c r="A3274" t="s">
        <v>3806</v>
      </c>
    </row>
    <row r="3275" spans="1:1">
      <c r="A3275" t="s">
        <v>3807</v>
      </c>
    </row>
    <row r="3276" spans="1:1">
      <c r="A3276" t="s">
        <v>3808</v>
      </c>
    </row>
    <row r="3277" spans="1:1">
      <c r="A3277" t="s">
        <v>3809</v>
      </c>
    </row>
    <row r="3278" spans="1:1">
      <c r="A3278" t="s">
        <v>3810</v>
      </c>
    </row>
    <row r="3279" spans="1:1">
      <c r="A3279" t="s">
        <v>3811</v>
      </c>
    </row>
    <row r="3280" spans="1:1">
      <c r="A3280" t="s">
        <v>3812</v>
      </c>
    </row>
    <row r="3281" spans="1:1">
      <c r="A3281" t="s">
        <v>3813</v>
      </c>
    </row>
    <row r="3282" spans="1:1">
      <c r="A3282" t="s">
        <v>3814</v>
      </c>
    </row>
    <row r="3283" spans="1:1">
      <c r="A3283" t="s">
        <v>3815</v>
      </c>
    </row>
    <row r="3284" spans="1:1">
      <c r="A3284" t="s">
        <v>3816</v>
      </c>
    </row>
    <row r="3285" spans="1:1">
      <c r="A3285" t="s">
        <v>3817</v>
      </c>
    </row>
    <row r="3286" spans="1:1">
      <c r="A3286" t="s">
        <v>3818</v>
      </c>
    </row>
    <row r="3287" spans="1:1">
      <c r="A3287" t="s">
        <v>3819</v>
      </c>
    </row>
    <row r="3288" spans="1:1">
      <c r="A3288" t="s">
        <v>3820</v>
      </c>
    </row>
    <row r="3289" spans="1:1">
      <c r="A3289" t="s">
        <v>3821</v>
      </c>
    </row>
    <row r="3290" spans="1:1">
      <c r="A3290" t="s">
        <v>3822</v>
      </c>
    </row>
    <row r="3291" spans="1:1">
      <c r="A3291" t="s">
        <v>3823</v>
      </c>
    </row>
    <row r="3292" spans="1:1">
      <c r="A3292" t="s">
        <v>3824</v>
      </c>
    </row>
    <row r="3293" spans="1:1">
      <c r="A3293" t="s">
        <v>3825</v>
      </c>
    </row>
    <row r="3294" spans="1:1">
      <c r="A3294" t="s">
        <v>3826</v>
      </c>
    </row>
    <row r="3295" spans="1:1">
      <c r="A3295" t="s">
        <v>3827</v>
      </c>
    </row>
    <row r="3296" spans="1:1">
      <c r="A3296" t="s">
        <v>3828</v>
      </c>
    </row>
    <row r="3297" spans="1:1">
      <c r="A3297" t="s">
        <v>3829</v>
      </c>
    </row>
    <row r="3298" spans="1:1">
      <c r="A3298" t="s">
        <v>3830</v>
      </c>
    </row>
    <row r="3299" spans="1:1">
      <c r="A3299" t="s">
        <v>3831</v>
      </c>
    </row>
    <row r="3300" spans="1:1">
      <c r="A3300" t="s">
        <v>3832</v>
      </c>
    </row>
    <row r="3301" spans="1:1">
      <c r="A3301" t="s">
        <v>3833</v>
      </c>
    </row>
    <row r="3302" spans="1:1">
      <c r="A3302" t="s">
        <v>3834</v>
      </c>
    </row>
    <row r="3303" spans="1:1">
      <c r="A3303" t="s">
        <v>3835</v>
      </c>
    </row>
    <row r="3304" spans="1:1">
      <c r="A3304" t="s">
        <v>3836</v>
      </c>
    </row>
    <row r="3305" spans="1:1">
      <c r="A3305" t="s">
        <v>3837</v>
      </c>
    </row>
    <row r="3306" spans="1:1">
      <c r="A3306" t="s">
        <v>3838</v>
      </c>
    </row>
    <row r="3307" spans="1:1">
      <c r="A3307" t="s">
        <v>3839</v>
      </c>
    </row>
    <row r="3308" spans="1:1">
      <c r="A3308" t="s">
        <v>3840</v>
      </c>
    </row>
    <row r="3309" spans="1:1">
      <c r="A3309" t="s">
        <v>3841</v>
      </c>
    </row>
    <row r="3310" spans="1:1">
      <c r="A3310" t="s">
        <v>3842</v>
      </c>
    </row>
    <row r="3311" spans="1:1">
      <c r="A3311" t="s">
        <v>3843</v>
      </c>
    </row>
    <row r="3312" spans="1:1">
      <c r="A3312" t="s">
        <v>3844</v>
      </c>
    </row>
    <row r="3313" spans="1:1">
      <c r="A3313" t="s">
        <v>3845</v>
      </c>
    </row>
    <row r="3314" spans="1:1">
      <c r="A3314" t="s">
        <v>3846</v>
      </c>
    </row>
    <row r="3315" spans="1:1">
      <c r="A3315" t="s">
        <v>3847</v>
      </c>
    </row>
    <row r="3316" spans="1:1">
      <c r="A3316" t="s">
        <v>3848</v>
      </c>
    </row>
    <row r="3317" spans="1:1">
      <c r="A3317" t="s">
        <v>3849</v>
      </c>
    </row>
    <row r="3318" spans="1:1">
      <c r="A3318" t="s">
        <v>3850</v>
      </c>
    </row>
    <row r="3319" spans="1:1">
      <c r="A3319" t="s">
        <v>3851</v>
      </c>
    </row>
    <row r="3320" spans="1:1">
      <c r="A3320" t="s">
        <v>3852</v>
      </c>
    </row>
    <row r="3321" spans="1:1">
      <c r="A3321" t="s">
        <v>3853</v>
      </c>
    </row>
    <row r="3322" spans="1:1">
      <c r="A3322" t="s">
        <v>3854</v>
      </c>
    </row>
    <row r="3323" spans="1:1">
      <c r="A3323" t="s">
        <v>3855</v>
      </c>
    </row>
    <row r="3324" spans="1:1">
      <c r="A3324" t="s">
        <v>3856</v>
      </c>
    </row>
    <row r="3325" spans="1:1">
      <c r="A3325" t="s">
        <v>3857</v>
      </c>
    </row>
    <row r="3326" spans="1:1">
      <c r="A3326" t="s">
        <v>3858</v>
      </c>
    </row>
    <row r="3327" spans="1:1">
      <c r="A3327" t="s">
        <v>3859</v>
      </c>
    </row>
    <row r="3328" spans="1:1">
      <c r="A3328" t="s">
        <v>3860</v>
      </c>
    </row>
    <row r="3329" spans="1:1">
      <c r="A3329" t="s">
        <v>3861</v>
      </c>
    </row>
    <row r="3330" spans="1:1">
      <c r="A3330" t="s">
        <v>3862</v>
      </c>
    </row>
    <row r="3331" spans="1:1">
      <c r="A3331" t="s">
        <v>3863</v>
      </c>
    </row>
    <row r="3332" spans="1:1">
      <c r="A3332" t="s">
        <v>3864</v>
      </c>
    </row>
    <row r="3333" spans="1:1">
      <c r="A3333" t="s">
        <v>3865</v>
      </c>
    </row>
    <row r="3334" spans="1:1">
      <c r="A3334" t="s">
        <v>3866</v>
      </c>
    </row>
    <row r="3335" spans="1:1">
      <c r="A3335" t="s">
        <v>3867</v>
      </c>
    </row>
    <row r="3336" spans="1:1">
      <c r="A3336" t="s">
        <v>3868</v>
      </c>
    </row>
    <row r="3337" spans="1:1">
      <c r="A3337" t="s">
        <v>3869</v>
      </c>
    </row>
    <row r="3338" spans="1:1">
      <c r="A3338" t="s">
        <v>3870</v>
      </c>
    </row>
    <row r="3339" spans="1:1">
      <c r="A3339" t="s">
        <v>3871</v>
      </c>
    </row>
    <row r="3340" spans="1:1">
      <c r="A3340" t="s">
        <v>3872</v>
      </c>
    </row>
    <row r="3341" spans="1:1">
      <c r="A3341" t="s">
        <v>3873</v>
      </c>
    </row>
    <row r="3342" spans="1:1">
      <c r="A3342" t="s">
        <v>3874</v>
      </c>
    </row>
    <row r="3343" spans="1:1">
      <c r="A3343" t="s">
        <v>3875</v>
      </c>
    </row>
    <row r="3344" spans="1:1">
      <c r="A3344" t="s">
        <v>3876</v>
      </c>
    </row>
    <row r="3345" spans="1:1">
      <c r="A3345" t="s">
        <v>3877</v>
      </c>
    </row>
    <row r="3346" spans="1:1">
      <c r="A3346" t="s">
        <v>3878</v>
      </c>
    </row>
    <row r="3347" spans="1:1">
      <c r="A3347" t="s">
        <v>3879</v>
      </c>
    </row>
    <row r="3348" spans="1:1">
      <c r="A3348" t="s">
        <v>3880</v>
      </c>
    </row>
    <row r="3349" spans="1:1">
      <c r="A3349" t="s">
        <v>3881</v>
      </c>
    </row>
    <row r="3350" spans="1:1">
      <c r="A3350" t="s">
        <v>3882</v>
      </c>
    </row>
    <row r="3351" spans="1:1">
      <c r="A3351" t="s">
        <v>3883</v>
      </c>
    </row>
    <row r="3352" spans="1:1">
      <c r="A3352" t="s">
        <v>3884</v>
      </c>
    </row>
    <row r="3353" spans="1:1">
      <c r="A3353" t="s">
        <v>3885</v>
      </c>
    </row>
    <row r="3354" spans="1:1">
      <c r="A3354" t="s">
        <v>3886</v>
      </c>
    </row>
    <row r="3355" spans="1:1">
      <c r="A3355" t="s">
        <v>3887</v>
      </c>
    </row>
    <row r="3356" spans="1:1">
      <c r="A3356" t="s">
        <v>3888</v>
      </c>
    </row>
    <row r="3357" spans="1:1">
      <c r="A3357" t="s">
        <v>3889</v>
      </c>
    </row>
    <row r="3358" spans="1:1">
      <c r="A3358" t="s">
        <v>3890</v>
      </c>
    </row>
    <row r="3359" spans="1:1">
      <c r="A3359" t="s">
        <v>3891</v>
      </c>
    </row>
    <row r="3360" spans="1:1">
      <c r="A3360" t="s">
        <v>3892</v>
      </c>
    </row>
    <row r="3361" spans="1:1">
      <c r="A3361" t="s">
        <v>3893</v>
      </c>
    </row>
    <row r="3362" spans="1:1">
      <c r="A3362" t="s">
        <v>3894</v>
      </c>
    </row>
    <row r="3363" spans="1:1">
      <c r="A3363" t="s">
        <v>3895</v>
      </c>
    </row>
    <row r="3364" spans="1:1">
      <c r="A3364" t="s">
        <v>3896</v>
      </c>
    </row>
    <row r="3365" spans="1:1">
      <c r="A3365" t="s">
        <v>3897</v>
      </c>
    </row>
    <row r="3366" spans="1:1">
      <c r="A3366" t="s">
        <v>3898</v>
      </c>
    </row>
    <row r="3367" spans="1:1">
      <c r="A3367" t="s">
        <v>3899</v>
      </c>
    </row>
    <row r="3368" spans="1:1">
      <c r="A3368" t="s">
        <v>3900</v>
      </c>
    </row>
    <row r="3369" spans="1:1">
      <c r="A3369" t="s">
        <v>3901</v>
      </c>
    </row>
    <row r="3370" spans="1:1">
      <c r="A3370" t="s">
        <v>3902</v>
      </c>
    </row>
    <row r="3371" spans="1:1">
      <c r="A3371" t="s">
        <v>3903</v>
      </c>
    </row>
    <row r="3372" spans="1:1">
      <c r="A3372" t="s">
        <v>3904</v>
      </c>
    </row>
    <row r="3373" spans="1:1">
      <c r="A3373" t="s">
        <v>3905</v>
      </c>
    </row>
    <row r="3374" spans="1:1">
      <c r="A3374" t="s">
        <v>3906</v>
      </c>
    </row>
    <row r="3375" spans="1:1">
      <c r="A3375" t="s">
        <v>3907</v>
      </c>
    </row>
    <row r="3376" spans="1:1">
      <c r="A3376" t="s">
        <v>3908</v>
      </c>
    </row>
    <row r="3377" spans="1:1">
      <c r="A3377" t="s">
        <v>3909</v>
      </c>
    </row>
    <row r="3378" spans="1:1">
      <c r="A3378" t="s">
        <v>3910</v>
      </c>
    </row>
    <row r="3379" spans="1:1">
      <c r="A3379" t="s">
        <v>3911</v>
      </c>
    </row>
    <row r="3380" spans="1:1">
      <c r="A3380" t="s">
        <v>3912</v>
      </c>
    </row>
    <row r="3381" spans="1:1">
      <c r="A3381" t="s">
        <v>3913</v>
      </c>
    </row>
    <row r="3382" spans="1:1">
      <c r="A3382" t="s">
        <v>3914</v>
      </c>
    </row>
    <row r="3383" spans="1:1">
      <c r="A3383" t="s">
        <v>3915</v>
      </c>
    </row>
    <row r="3384" spans="1:1">
      <c r="A3384" t="s">
        <v>3916</v>
      </c>
    </row>
    <row r="3385" spans="1:1">
      <c r="A3385" t="s">
        <v>3917</v>
      </c>
    </row>
    <row r="3386" spans="1:1">
      <c r="A3386" t="s">
        <v>3918</v>
      </c>
    </row>
    <row r="3387" spans="1:1">
      <c r="A3387" t="s">
        <v>3919</v>
      </c>
    </row>
    <row r="3388" spans="1:1">
      <c r="A3388" t="s">
        <v>3920</v>
      </c>
    </row>
    <row r="3389" spans="1:1">
      <c r="A3389" t="s">
        <v>3921</v>
      </c>
    </row>
    <row r="3390" spans="1:1">
      <c r="A3390" t="s">
        <v>3922</v>
      </c>
    </row>
    <row r="3391" spans="1:1">
      <c r="A3391" t="s">
        <v>3923</v>
      </c>
    </row>
    <row r="3392" spans="1:1">
      <c r="A3392" t="s">
        <v>3924</v>
      </c>
    </row>
    <row r="3393" spans="1:1">
      <c r="A3393" t="s">
        <v>3925</v>
      </c>
    </row>
    <row r="3394" spans="1:1">
      <c r="A3394" t="s">
        <v>3926</v>
      </c>
    </row>
    <row r="3395" spans="1:1">
      <c r="A3395" t="s">
        <v>3927</v>
      </c>
    </row>
    <row r="3396" spans="1:1">
      <c r="A3396" t="s">
        <v>3928</v>
      </c>
    </row>
    <row r="3397" spans="1:1">
      <c r="A3397" t="s">
        <v>3929</v>
      </c>
    </row>
    <row r="3398" spans="1:1">
      <c r="A3398" t="s">
        <v>3930</v>
      </c>
    </row>
    <row r="3399" spans="1:1">
      <c r="A3399" t="s">
        <v>3931</v>
      </c>
    </row>
    <row r="3400" spans="1:1">
      <c r="A3400" t="s">
        <v>3932</v>
      </c>
    </row>
    <row r="3401" spans="1:1">
      <c r="A3401" t="s">
        <v>3933</v>
      </c>
    </row>
    <row r="3402" spans="1:1">
      <c r="A3402" t="s">
        <v>3934</v>
      </c>
    </row>
    <row r="3403" spans="1:1">
      <c r="A3403" t="s">
        <v>3935</v>
      </c>
    </row>
    <row r="3404" spans="1:1">
      <c r="A3404" t="s">
        <v>3936</v>
      </c>
    </row>
    <row r="3405" spans="1:1">
      <c r="A3405" t="s">
        <v>3937</v>
      </c>
    </row>
    <row r="3406" spans="1:1">
      <c r="A3406" t="s">
        <v>3938</v>
      </c>
    </row>
    <row r="3407" spans="1:1">
      <c r="A3407" t="s">
        <v>3939</v>
      </c>
    </row>
    <row r="3408" spans="1:1">
      <c r="A3408" t="s">
        <v>3940</v>
      </c>
    </row>
    <row r="3409" spans="1:1">
      <c r="A3409" t="s">
        <v>3941</v>
      </c>
    </row>
    <row r="3410" spans="1:1">
      <c r="A3410" t="s">
        <v>3942</v>
      </c>
    </row>
    <row r="3411" spans="1:1">
      <c r="A3411" t="s">
        <v>3943</v>
      </c>
    </row>
    <row r="3412" spans="1:1">
      <c r="A3412" t="s">
        <v>3944</v>
      </c>
    </row>
    <row r="3413" spans="1:1">
      <c r="A3413" t="s">
        <v>3945</v>
      </c>
    </row>
    <row r="3414" spans="1:1">
      <c r="A3414" t="s">
        <v>3946</v>
      </c>
    </row>
    <row r="3415" spans="1:1">
      <c r="A3415" t="s">
        <v>3947</v>
      </c>
    </row>
    <row r="3416" spans="1:1">
      <c r="A3416" t="s">
        <v>3948</v>
      </c>
    </row>
    <row r="3417" spans="1:1">
      <c r="A3417" t="s">
        <v>3949</v>
      </c>
    </row>
    <row r="3418" spans="1:1">
      <c r="A3418" t="s">
        <v>3950</v>
      </c>
    </row>
    <row r="3419" spans="1:1">
      <c r="A3419" t="s">
        <v>3951</v>
      </c>
    </row>
    <row r="3420" spans="1:1">
      <c r="A3420" t="s">
        <v>3952</v>
      </c>
    </row>
    <row r="3421" spans="1:1">
      <c r="A3421" t="s">
        <v>3953</v>
      </c>
    </row>
    <row r="3422" spans="1:1">
      <c r="A3422" t="s">
        <v>3954</v>
      </c>
    </row>
    <row r="3423" spans="1:1">
      <c r="A3423" t="s">
        <v>3955</v>
      </c>
    </row>
    <row r="3424" spans="1:1">
      <c r="A3424" t="s">
        <v>3956</v>
      </c>
    </row>
    <row r="3425" spans="1:1">
      <c r="A3425" t="s">
        <v>3957</v>
      </c>
    </row>
    <row r="3426" spans="1:1">
      <c r="A3426" t="s">
        <v>3958</v>
      </c>
    </row>
    <row r="3427" spans="1:1">
      <c r="A3427" t="s">
        <v>3959</v>
      </c>
    </row>
    <row r="3428" spans="1:1">
      <c r="A3428" t="s">
        <v>3960</v>
      </c>
    </row>
    <row r="3429" spans="1:1">
      <c r="A3429" t="s">
        <v>3961</v>
      </c>
    </row>
    <row r="3430" spans="1:1">
      <c r="A3430" t="s">
        <v>3962</v>
      </c>
    </row>
    <row r="3431" spans="1:1">
      <c r="A3431" t="s">
        <v>3963</v>
      </c>
    </row>
    <row r="3432" spans="1:1">
      <c r="A3432" t="s">
        <v>3964</v>
      </c>
    </row>
    <row r="3433" spans="1:1">
      <c r="A3433" t="s">
        <v>3965</v>
      </c>
    </row>
    <row r="3434" spans="1:1">
      <c r="A3434" t="s">
        <v>3966</v>
      </c>
    </row>
    <row r="3435" spans="1:1">
      <c r="A3435" t="s">
        <v>3967</v>
      </c>
    </row>
    <row r="3436" spans="1:1">
      <c r="A3436" t="s">
        <v>3968</v>
      </c>
    </row>
    <row r="3437" spans="1:1">
      <c r="A3437" t="s">
        <v>3969</v>
      </c>
    </row>
    <row r="3438" spans="1:1">
      <c r="A3438" t="s">
        <v>3970</v>
      </c>
    </row>
    <row r="3439" spans="1:1">
      <c r="A3439" t="s">
        <v>3971</v>
      </c>
    </row>
    <row r="3440" spans="1:1">
      <c r="A3440" t="s">
        <v>3972</v>
      </c>
    </row>
    <row r="3441" spans="1:1">
      <c r="A3441" t="s">
        <v>3973</v>
      </c>
    </row>
    <row r="3442" spans="1:1">
      <c r="A3442" t="s">
        <v>3974</v>
      </c>
    </row>
    <row r="3443" spans="1:1">
      <c r="A3443" t="s">
        <v>3975</v>
      </c>
    </row>
    <row r="3444" spans="1:1">
      <c r="A3444" t="s">
        <v>3976</v>
      </c>
    </row>
    <row r="3445" spans="1:1">
      <c r="A3445" t="s">
        <v>3977</v>
      </c>
    </row>
    <row r="3446" spans="1:1">
      <c r="A3446" t="s">
        <v>3978</v>
      </c>
    </row>
    <row r="3447" spans="1:1">
      <c r="A3447" t="s">
        <v>3979</v>
      </c>
    </row>
    <row r="3448" spans="1:1">
      <c r="A3448" t="s">
        <v>3980</v>
      </c>
    </row>
    <row r="3449" spans="1:1">
      <c r="A3449" t="s">
        <v>3981</v>
      </c>
    </row>
    <row r="3450" spans="1:1">
      <c r="A3450" t="s">
        <v>3982</v>
      </c>
    </row>
    <row r="3451" spans="1:1">
      <c r="A3451" t="s">
        <v>3983</v>
      </c>
    </row>
    <row r="3452" spans="1:1">
      <c r="A3452" t="s">
        <v>3984</v>
      </c>
    </row>
    <row r="3453" spans="1:1">
      <c r="A3453" t="s">
        <v>3985</v>
      </c>
    </row>
    <row r="3454" spans="1:1">
      <c r="A3454" t="s">
        <v>3986</v>
      </c>
    </row>
    <row r="3455" spans="1:1">
      <c r="A3455" t="s">
        <v>3987</v>
      </c>
    </row>
    <row r="3456" spans="1:1">
      <c r="A3456" t="s">
        <v>3988</v>
      </c>
    </row>
    <row r="3457" spans="1:1">
      <c r="A3457" t="s">
        <v>3989</v>
      </c>
    </row>
    <row r="3458" spans="1:1">
      <c r="A3458" t="s">
        <v>3990</v>
      </c>
    </row>
    <row r="3459" spans="1:1">
      <c r="A3459" t="s">
        <v>3991</v>
      </c>
    </row>
    <row r="3460" spans="1:1">
      <c r="A3460" t="s">
        <v>3992</v>
      </c>
    </row>
    <row r="3461" spans="1:1">
      <c r="A3461" t="s">
        <v>3993</v>
      </c>
    </row>
    <row r="3462" spans="1:1">
      <c r="A3462" t="s">
        <v>3994</v>
      </c>
    </row>
    <row r="3463" spans="1:1">
      <c r="A3463" t="s">
        <v>3995</v>
      </c>
    </row>
    <row r="3464" spans="1:1">
      <c r="A3464" t="s">
        <v>3996</v>
      </c>
    </row>
    <row r="3465" spans="1:1">
      <c r="A3465" t="s">
        <v>3997</v>
      </c>
    </row>
    <row r="3466" spans="1:1">
      <c r="A3466" t="s">
        <v>3998</v>
      </c>
    </row>
    <row r="3467" spans="1:1">
      <c r="A3467" t="s">
        <v>3999</v>
      </c>
    </row>
    <row r="3468" spans="1:1">
      <c r="A3468" t="s">
        <v>4000</v>
      </c>
    </row>
    <row r="3469" spans="1:1">
      <c r="A3469" t="s">
        <v>4001</v>
      </c>
    </row>
    <row r="3470" spans="1:1">
      <c r="A3470" t="s">
        <v>4002</v>
      </c>
    </row>
    <row r="3471" spans="1:1">
      <c r="A3471" t="s">
        <v>4003</v>
      </c>
    </row>
    <row r="3472" spans="1:1">
      <c r="A3472" t="s">
        <v>4004</v>
      </c>
    </row>
    <row r="3473" spans="1:1">
      <c r="A3473" t="s">
        <v>4005</v>
      </c>
    </row>
    <row r="3474" spans="1:1">
      <c r="A3474" t="s">
        <v>4006</v>
      </c>
    </row>
    <row r="3475" spans="1:1">
      <c r="A3475" t="s">
        <v>4007</v>
      </c>
    </row>
    <row r="3476" spans="1:1">
      <c r="A3476" t="s">
        <v>4008</v>
      </c>
    </row>
    <row r="3477" spans="1:1">
      <c r="A3477" t="s">
        <v>4009</v>
      </c>
    </row>
    <row r="3478" spans="1:1">
      <c r="A3478" t="s">
        <v>4010</v>
      </c>
    </row>
    <row r="3479" spans="1:1">
      <c r="A3479" t="s">
        <v>4011</v>
      </c>
    </row>
    <row r="3480" spans="1:1">
      <c r="A3480" t="s">
        <v>4012</v>
      </c>
    </row>
    <row r="3481" spans="1:1">
      <c r="A3481" t="s">
        <v>4013</v>
      </c>
    </row>
    <row r="3482" spans="1:1">
      <c r="A3482" t="s">
        <v>4014</v>
      </c>
    </row>
    <row r="3483" spans="1:1">
      <c r="A3483" t="s">
        <v>4015</v>
      </c>
    </row>
    <row r="3484" spans="1:1">
      <c r="A3484" t="s">
        <v>4016</v>
      </c>
    </row>
    <row r="3485" spans="1:1">
      <c r="A3485" t="s">
        <v>4017</v>
      </c>
    </row>
    <row r="3486" spans="1:1">
      <c r="A3486" t="s">
        <v>4018</v>
      </c>
    </row>
    <row r="3487" spans="1:1">
      <c r="A3487" t="s">
        <v>4019</v>
      </c>
    </row>
    <row r="3488" spans="1:1">
      <c r="A3488" t="s">
        <v>4020</v>
      </c>
    </row>
    <row r="3489" spans="1:1">
      <c r="A3489" t="s">
        <v>4021</v>
      </c>
    </row>
    <row r="3490" spans="1:1">
      <c r="A3490" t="s">
        <v>4022</v>
      </c>
    </row>
    <row r="3491" spans="1:1">
      <c r="A3491" t="s">
        <v>4023</v>
      </c>
    </row>
    <row r="3492" spans="1:1">
      <c r="A3492" t="s">
        <v>4024</v>
      </c>
    </row>
    <row r="3493" spans="1:1">
      <c r="A3493" t="s">
        <v>4025</v>
      </c>
    </row>
    <row r="3494" spans="1:1">
      <c r="A3494" t="s">
        <v>4026</v>
      </c>
    </row>
    <row r="3495" spans="1:1">
      <c r="A3495" t="s">
        <v>4027</v>
      </c>
    </row>
    <row r="3496" spans="1:1">
      <c r="A3496" t="s">
        <v>4028</v>
      </c>
    </row>
    <row r="3497" spans="1:1">
      <c r="A3497" t="s">
        <v>4029</v>
      </c>
    </row>
    <row r="3498" spans="1:1">
      <c r="A3498" t="s">
        <v>4030</v>
      </c>
    </row>
    <row r="3499" spans="1:1">
      <c r="A3499" t="s">
        <v>4031</v>
      </c>
    </row>
    <row r="3500" spans="1:1">
      <c r="A3500" t="s">
        <v>4032</v>
      </c>
    </row>
    <row r="3501" spans="1:1">
      <c r="A3501" t="s">
        <v>4033</v>
      </c>
    </row>
    <row r="3502" spans="1:1">
      <c r="A3502" t="s">
        <v>4034</v>
      </c>
    </row>
    <row r="3503" spans="1:1">
      <c r="A3503" t="s">
        <v>4035</v>
      </c>
    </row>
    <row r="3504" spans="1:1">
      <c r="A3504" t="s">
        <v>4036</v>
      </c>
    </row>
    <row r="3505" spans="1:1">
      <c r="A3505" t="s">
        <v>4037</v>
      </c>
    </row>
    <row r="3506" spans="1:1">
      <c r="A3506" t="s">
        <v>4038</v>
      </c>
    </row>
    <row r="3507" spans="1:1">
      <c r="A3507" t="s">
        <v>4039</v>
      </c>
    </row>
    <row r="3508" spans="1:1">
      <c r="A3508" t="s">
        <v>4040</v>
      </c>
    </row>
    <row r="3509" spans="1:1">
      <c r="A3509" t="s">
        <v>4041</v>
      </c>
    </row>
    <row r="3510" spans="1:1">
      <c r="A3510" t="s">
        <v>4042</v>
      </c>
    </row>
    <row r="3511" spans="1:1">
      <c r="A3511" t="s">
        <v>4043</v>
      </c>
    </row>
    <row r="3512" spans="1:1">
      <c r="A3512" t="s">
        <v>4044</v>
      </c>
    </row>
    <row r="3513" spans="1:1">
      <c r="A3513" t="s">
        <v>4045</v>
      </c>
    </row>
    <row r="3514" spans="1:1">
      <c r="A3514" t="s">
        <v>4046</v>
      </c>
    </row>
    <row r="3515" spans="1:1">
      <c r="A3515" t="s">
        <v>4047</v>
      </c>
    </row>
    <row r="3516" spans="1:1">
      <c r="A3516" t="s">
        <v>4048</v>
      </c>
    </row>
    <row r="3517" spans="1:1">
      <c r="A3517" t="s">
        <v>4049</v>
      </c>
    </row>
    <row r="3518" spans="1:1">
      <c r="A3518" t="s">
        <v>4050</v>
      </c>
    </row>
    <row r="3519" spans="1:1">
      <c r="A3519" t="s">
        <v>4051</v>
      </c>
    </row>
    <row r="3520" spans="1:1">
      <c r="A3520" t="s">
        <v>4052</v>
      </c>
    </row>
    <row r="3521" spans="1:1">
      <c r="A3521" t="s">
        <v>4053</v>
      </c>
    </row>
    <row r="3522" spans="1:1">
      <c r="A3522" t="s">
        <v>4054</v>
      </c>
    </row>
    <row r="3523" spans="1:1">
      <c r="A3523" t="s">
        <v>4055</v>
      </c>
    </row>
    <row r="3524" spans="1:1">
      <c r="A3524" t="s">
        <v>4056</v>
      </c>
    </row>
    <row r="3525" spans="1:1">
      <c r="A3525" t="s">
        <v>4057</v>
      </c>
    </row>
    <row r="3526" spans="1:1">
      <c r="A3526" t="s">
        <v>4058</v>
      </c>
    </row>
    <row r="3527" spans="1:1">
      <c r="A3527" t="s">
        <v>4059</v>
      </c>
    </row>
    <row r="3528" spans="1:1">
      <c r="A3528" t="s">
        <v>4060</v>
      </c>
    </row>
    <row r="3529" spans="1:1">
      <c r="A3529" t="s">
        <v>4061</v>
      </c>
    </row>
    <row r="3530" spans="1:1">
      <c r="A3530" t="s">
        <v>4062</v>
      </c>
    </row>
    <row r="3531" spans="1:1">
      <c r="A3531" t="s">
        <v>4063</v>
      </c>
    </row>
    <row r="3532" spans="1:1">
      <c r="A3532" t="s">
        <v>4064</v>
      </c>
    </row>
    <row r="3533" spans="1:1">
      <c r="A3533" t="s">
        <v>4065</v>
      </c>
    </row>
    <row r="3534" spans="1:1">
      <c r="A3534" t="s">
        <v>4066</v>
      </c>
    </row>
    <row r="3535" spans="1:1">
      <c r="A3535" t="s">
        <v>4067</v>
      </c>
    </row>
    <row r="3536" spans="1:1">
      <c r="A3536" t="s">
        <v>4068</v>
      </c>
    </row>
    <row r="3537" spans="1:1">
      <c r="A3537" t="s">
        <v>4069</v>
      </c>
    </row>
    <row r="3538" spans="1:1">
      <c r="A3538" t="s">
        <v>4070</v>
      </c>
    </row>
    <row r="3539" spans="1:1">
      <c r="A3539" t="s">
        <v>4071</v>
      </c>
    </row>
    <row r="3540" spans="1:1">
      <c r="A3540" t="s">
        <v>4072</v>
      </c>
    </row>
    <row r="3541" spans="1:1">
      <c r="A3541" t="s">
        <v>4073</v>
      </c>
    </row>
    <row r="3542" spans="1:1">
      <c r="A3542" t="s">
        <v>4074</v>
      </c>
    </row>
    <row r="3543" spans="1:1">
      <c r="A3543" t="s">
        <v>4075</v>
      </c>
    </row>
    <row r="3544" spans="1:1">
      <c r="A3544" t="s">
        <v>4076</v>
      </c>
    </row>
    <row r="3545" spans="1:1">
      <c r="A3545" t="s">
        <v>4077</v>
      </c>
    </row>
    <row r="3546" spans="1:1">
      <c r="A3546" t="s">
        <v>4078</v>
      </c>
    </row>
    <row r="3547" spans="1:1">
      <c r="A3547" t="s">
        <v>4079</v>
      </c>
    </row>
    <row r="3548" spans="1:1">
      <c r="A3548" t="s">
        <v>4080</v>
      </c>
    </row>
    <row r="3549" spans="1:1">
      <c r="A3549" t="s">
        <v>4081</v>
      </c>
    </row>
    <row r="3550" spans="1:1">
      <c r="A3550" t="s">
        <v>4082</v>
      </c>
    </row>
    <row r="3551" spans="1:1">
      <c r="A3551" t="s">
        <v>4083</v>
      </c>
    </row>
    <row r="3552" spans="1:1">
      <c r="A3552" t="s">
        <v>4084</v>
      </c>
    </row>
    <row r="3553" spans="1:1">
      <c r="A3553" t="s">
        <v>4085</v>
      </c>
    </row>
    <row r="3554" spans="1:1">
      <c r="A3554" t="s">
        <v>4086</v>
      </c>
    </row>
    <row r="3555" spans="1:1">
      <c r="A3555" t="s">
        <v>4087</v>
      </c>
    </row>
    <row r="3556" spans="1:1">
      <c r="A3556" t="s">
        <v>4088</v>
      </c>
    </row>
    <row r="3557" spans="1:1">
      <c r="A3557" t="s">
        <v>4089</v>
      </c>
    </row>
    <row r="3558" spans="1:1">
      <c r="A3558" t="s">
        <v>4090</v>
      </c>
    </row>
    <row r="3559" spans="1:1">
      <c r="A3559" t="s">
        <v>4091</v>
      </c>
    </row>
    <row r="3560" spans="1:1">
      <c r="A3560" t="s">
        <v>4092</v>
      </c>
    </row>
    <row r="3561" spans="1:1">
      <c r="A3561" t="s">
        <v>4093</v>
      </c>
    </row>
    <row r="3562" spans="1:1">
      <c r="A3562" t="s">
        <v>4094</v>
      </c>
    </row>
    <row r="3563" spans="1:1">
      <c r="A3563" t="s">
        <v>4095</v>
      </c>
    </row>
    <row r="3564" spans="1:1">
      <c r="A3564" t="s">
        <v>4096</v>
      </c>
    </row>
    <row r="3565" spans="1:1">
      <c r="A3565" t="s">
        <v>4097</v>
      </c>
    </row>
    <row r="3566" spans="1:1">
      <c r="A3566" t="s">
        <v>4098</v>
      </c>
    </row>
    <row r="3567" spans="1:1">
      <c r="A3567" t="s">
        <v>4099</v>
      </c>
    </row>
    <row r="3568" spans="1:1">
      <c r="A3568" t="s">
        <v>4100</v>
      </c>
    </row>
    <row r="3569" spans="1:1">
      <c r="A3569" t="s">
        <v>4101</v>
      </c>
    </row>
    <row r="3570" spans="1:1">
      <c r="A3570" t="s">
        <v>4102</v>
      </c>
    </row>
    <row r="3571" spans="1:1">
      <c r="A3571" t="s">
        <v>4103</v>
      </c>
    </row>
    <row r="3572" spans="1:1">
      <c r="A3572" t="s">
        <v>4104</v>
      </c>
    </row>
    <row r="3573" spans="1:1">
      <c r="A3573" t="s">
        <v>4105</v>
      </c>
    </row>
    <row r="3574" spans="1:1">
      <c r="A3574" t="s">
        <v>4106</v>
      </c>
    </row>
    <row r="3575" spans="1:1">
      <c r="A3575" t="s">
        <v>4107</v>
      </c>
    </row>
    <row r="3576" spans="1:1">
      <c r="A3576" t="s">
        <v>4108</v>
      </c>
    </row>
    <row r="3577" spans="1:1">
      <c r="A3577" t="s">
        <v>4109</v>
      </c>
    </row>
    <row r="3578" spans="1:1">
      <c r="A3578" t="s">
        <v>4110</v>
      </c>
    </row>
    <row r="3579" spans="1:1">
      <c r="A3579" t="s">
        <v>4111</v>
      </c>
    </row>
    <row r="3580" spans="1:1">
      <c r="A3580" t="s">
        <v>4112</v>
      </c>
    </row>
    <row r="3581" spans="1:1">
      <c r="A3581" t="s">
        <v>4113</v>
      </c>
    </row>
    <row r="3582" spans="1:1">
      <c r="A3582" t="s">
        <v>4114</v>
      </c>
    </row>
    <row r="3583" spans="1:1">
      <c r="A3583" t="s">
        <v>4115</v>
      </c>
    </row>
    <row r="3584" spans="1:1">
      <c r="A3584" t="s">
        <v>4116</v>
      </c>
    </row>
    <row r="3585" spans="1:1">
      <c r="A3585" t="s">
        <v>4117</v>
      </c>
    </row>
    <row r="3586" spans="1:1">
      <c r="A3586" t="s">
        <v>4118</v>
      </c>
    </row>
    <row r="3587" spans="1:1">
      <c r="A3587" t="s">
        <v>4119</v>
      </c>
    </row>
    <row r="3588" spans="1:1">
      <c r="A3588" t="s">
        <v>4120</v>
      </c>
    </row>
    <row r="3589" spans="1:1">
      <c r="A3589" t="s">
        <v>4121</v>
      </c>
    </row>
    <row r="3590" spans="1:1">
      <c r="A3590" t="s">
        <v>4122</v>
      </c>
    </row>
    <row r="3591" spans="1:1">
      <c r="A3591" t="s">
        <v>4123</v>
      </c>
    </row>
    <row r="3592" spans="1:1">
      <c r="A3592" t="s">
        <v>4124</v>
      </c>
    </row>
    <row r="3593" spans="1:1">
      <c r="A3593" t="s">
        <v>4125</v>
      </c>
    </row>
    <row r="3594" spans="1:1">
      <c r="A3594" t="s">
        <v>4126</v>
      </c>
    </row>
    <row r="3595" spans="1:1">
      <c r="A3595" t="s">
        <v>4127</v>
      </c>
    </row>
    <row r="3596" spans="1:1">
      <c r="A3596" t="s">
        <v>4128</v>
      </c>
    </row>
    <row r="3597" spans="1:1">
      <c r="A3597" t="s">
        <v>4129</v>
      </c>
    </row>
    <row r="3598" spans="1:1">
      <c r="A3598" t="s">
        <v>4130</v>
      </c>
    </row>
    <row r="3599" spans="1:1">
      <c r="A3599" t="s">
        <v>4131</v>
      </c>
    </row>
    <row r="3600" spans="1:1">
      <c r="A3600" t="s">
        <v>4132</v>
      </c>
    </row>
    <row r="3601" spans="1:1">
      <c r="A3601" t="s">
        <v>4133</v>
      </c>
    </row>
    <row r="3602" spans="1:1">
      <c r="A3602" t="s">
        <v>4134</v>
      </c>
    </row>
    <row r="3603" spans="1:1">
      <c r="A3603" t="s">
        <v>4135</v>
      </c>
    </row>
    <row r="3604" spans="1:1">
      <c r="A3604" t="s">
        <v>4136</v>
      </c>
    </row>
    <row r="3605" spans="1:1">
      <c r="A3605" t="s">
        <v>4137</v>
      </c>
    </row>
    <row r="3606" spans="1:1">
      <c r="A3606" t="s">
        <v>4138</v>
      </c>
    </row>
    <row r="3607" spans="1:1">
      <c r="A3607" t="s">
        <v>4139</v>
      </c>
    </row>
    <row r="3608" spans="1:1">
      <c r="A3608" t="s">
        <v>4140</v>
      </c>
    </row>
    <row r="3609" spans="1:1">
      <c r="A3609" t="s">
        <v>4141</v>
      </c>
    </row>
    <row r="3610" spans="1:1">
      <c r="A3610" t="s">
        <v>4142</v>
      </c>
    </row>
    <row r="3611" spans="1:1">
      <c r="A3611" t="s">
        <v>4143</v>
      </c>
    </row>
    <row r="3612" spans="1:1">
      <c r="A3612" t="s">
        <v>4144</v>
      </c>
    </row>
    <row r="3613" spans="1:1">
      <c r="A3613" t="s">
        <v>4145</v>
      </c>
    </row>
    <row r="3614" spans="1:1">
      <c r="A3614" t="s">
        <v>4146</v>
      </c>
    </row>
    <row r="3615" spans="1:1">
      <c r="A3615" t="s">
        <v>4147</v>
      </c>
    </row>
    <row r="3616" spans="1:1">
      <c r="A3616" t="s">
        <v>4148</v>
      </c>
    </row>
    <row r="3617" spans="1:1">
      <c r="A3617" t="s">
        <v>4149</v>
      </c>
    </row>
    <row r="3618" spans="1:1">
      <c r="A3618" t="s">
        <v>4150</v>
      </c>
    </row>
    <row r="3619" spans="1:1">
      <c r="A3619" t="s">
        <v>4151</v>
      </c>
    </row>
    <row r="3620" spans="1:1">
      <c r="A3620" t="s">
        <v>4152</v>
      </c>
    </row>
    <row r="3621" spans="1:1">
      <c r="A3621" t="s">
        <v>4153</v>
      </c>
    </row>
    <row r="3622" spans="1:1">
      <c r="A3622" t="s">
        <v>4154</v>
      </c>
    </row>
    <row r="3623" spans="1:1">
      <c r="A3623" t="s">
        <v>4155</v>
      </c>
    </row>
    <row r="3624" spans="1:1">
      <c r="A3624" t="s">
        <v>4156</v>
      </c>
    </row>
    <row r="3625" spans="1:1">
      <c r="A3625" t="s">
        <v>4157</v>
      </c>
    </row>
    <row r="3626" spans="1:1">
      <c r="A3626" t="s">
        <v>4158</v>
      </c>
    </row>
    <row r="3627" spans="1:1">
      <c r="A3627" t="s">
        <v>4159</v>
      </c>
    </row>
    <row r="3628" spans="1:1">
      <c r="A3628" t="s">
        <v>4160</v>
      </c>
    </row>
    <row r="3629" spans="1:1">
      <c r="A3629" t="s">
        <v>4161</v>
      </c>
    </row>
    <row r="3630" spans="1:1">
      <c r="A3630" t="s">
        <v>4162</v>
      </c>
    </row>
    <row r="3631" spans="1:1">
      <c r="A3631" t="s">
        <v>4163</v>
      </c>
    </row>
    <row r="3632" spans="1:1">
      <c r="A3632" t="s">
        <v>4164</v>
      </c>
    </row>
    <row r="3633" spans="1:1">
      <c r="A3633" t="s">
        <v>4165</v>
      </c>
    </row>
    <row r="3634" spans="1:1">
      <c r="A3634" t="s">
        <v>4166</v>
      </c>
    </row>
    <row r="3635" spans="1:1">
      <c r="A3635" t="s">
        <v>4167</v>
      </c>
    </row>
    <row r="3636" spans="1:1">
      <c r="A3636" t="s">
        <v>4168</v>
      </c>
    </row>
    <row r="3637" spans="1:1">
      <c r="A3637" t="s">
        <v>4169</v>
      </c>
    </row>
    <row r="3638" spans="1:1">
      <c r="A3638" t="s">
        <v>4170</v>
      </c>
    </row>
    <row r="3639" spans="1:1">
      <c r="A3639" t="s">
        <v>4171</v>
      </c>
    </row>
    <row r="3640" spans="1:1">
      <c r="A3640" t="s">
        <v>4172</v>
      </c>
    </row>
    <row r="3641" spans="1:1">
      <c r="A3641" t="s">
        <v>4173</v>
      </c>
    </row>
    <row r="3642" spans="1:1">
      <c r="A3642" t="s">
        <v>4174</v>
      </c>
    </row>
    <row r="3643" spans="1:1">
      <c r="A3643" t="s">
        <v>4175</v>
      </c>
    </row>
    <row r="3644" spans="1:1">
      <c r="A3644" t="s">
        <v>4176</v>
      </c>
    </row>
    <row r="3645" spans="1:1">
      <c r="A3645" t="s">
        <v>4177</v>
      </c>
    </row>
    <row r="3646" spans="1:1">
      <c r="A3646" t="s">
        <v>4178</v>
      </c>
    </row>
    <row r="3647" spans="1:1">
      <c r="A3647" t="s">
        <v>4179</v>
      </c>
    </row>
    <row r="3648" spans="1:1">
      <c r="A3648" t="s">
        <v>4180</v>
      </c>
    </row>
    <row r="3649" spans="1:1">
      <c r="A3649" t="s">
        <v>4181</v>
      </c>
    </row>
    <row r="3650" spans="1:1">
      <c r="A3650" t="s">
        <v>4182</v>
      </c>
    </row>
    <row r="3651" spans="1:1">
      <c r="A3651" t="s">
        <v>4183</v>
      </c>
    </row>
    <row r="3652" spans="1:1">
      <c r="A3652" t="s">
        <v>4184</v>
      </c>
    </row>
    <row r="3653" spans="1:1">
      <c r="A3653" t="s">
        <v>4185</v>
      </c>
    </row>
    <row r="3654" spans="1:1">
      <c r="A3654" t="s">
        <v>4186</v>
      </c>
    </row>
    <row r="3655" spans="1:1">
      <c r="A3655" t="s">
        <v>4187</v>
      </c>
    </row>
    <row r="3656" spans="1:1">
      <c r="A3656" t="s">
        <v>4188</v>
      </c>
    </row>
    <row r="3657" spans="1:1">
      <c r="A3657" t="s">
        <v>4189</v>
      </c>
    </row>
    <row r="3658" spans="1:1">
      <c r="A3658" t="s">
        <v>4190</v>
      </c>
    </row>
    <row r="3659" spans="1:1">
      <c r="A3659" t="s">
        <v>4191</v>
      </c>
    </row>
    <row r="3660" spans="1:1">
      <c r="A3660" t="s">
        <v>4192</v>
      </c>
    </row>
    <row r="3661" spans="1:1">
      <c r="A3661" t="s">
        <v>4193</v>
      </c>
    </row>
    <row r="3662" spans="1:1">
      <c r="A3662" t="s">
        <v>4194</v>
      </c>
    </row>
    <row r="3663" spans="1:1">
      <c r="A3663" t="s">
        <v>4195</v>
      </c>
    </row>
    <row r="3664" spans="1:1">
      <c r="A3664" t="s">
        <v>4196</v>
      </c>
    </row>
    <row r="3665" spans="1:1">
      <c r="A3665" t="s">
        <v>4197</v>
      </c>
    </row>
    <row r="3666" spans="1:1">
      <c r="A3666" t="s">
        <v>4198</v>
      </c>
    </row>
    <row r="3667" spans="1:1">
      <c r="A3667" t="s">
        <v>4199</v>
      </c>
    </row>
    <row r="3668" spans="1:1">
      <c r="A3668" t="s">
        <v>4200</v>
      </c>
    </row>
    <row r="3669" spans="1:1">
      <c r="A3669" t="s">
        <v>4201</v>
      </c>
    </row>
    <row r="3670" spans="1:1">
      <c r="A3670" t="s">
        <v>4202</v>
      </c>
    </row>
    <row r="3671" spans="1:1">
      <c r="A3671" t="s">
        <v>4203</v>
      </c>
    </row>
    <row r="3672" spans="1:1">
      <c r="A3672" t="s">
        <v>4204</v>
      </c>
    </row>
    <row r="3673" spans="1:1">
      <c r="A3673" t="s">
        <v>4205</v>
      </c>
    </row>
    <row r="3674" spans="1:1">
      <c r="A3674" t="s">
        <v>4206</v>
      </c>
    </row>
    <row r="3675" spans="1:1">
      <c r="A3675" t="s">
        <v>4207</v>
      </c>
    </row>
    <row r="3676" spans="1:1">
      <c r="A3676" t="s">
        <v>4208</v>
      </c>
    </row>
    <row r="3677" spans="1:1">
      <c r="A3677" t="s">
        <v>4209</v>
      </c>
    </row>
    <row r="3678" spans="1:1">
      <c r="A3678" t="s">
        <v>4210</v>
      </c>
    </row>
    <row r="3679" spans="1:1">
      <c r="A3679" t="s">
        <v>4211</v>
      </c>
    </row>
    <row r="3680" spans="1:1">
      <c r="A3680" t="s">
        <v>4212</v>
      </c>
    </row>
    <row r="3681" spans="1:1">
      <c r="A3681" t="s">
        <v>4213</v>
      </c>
    </row>
    <row r="3682" spans="1:1">
      <c r="A3682" t="s">
        <v>4214</v>
      </c>
    </row>
    <row r="3683" spans="1:1">
      <c r="A3683" t="s">
        <v>4215</v>
      </c>
    </row>
    <row r="3684" spans="1:1">
      <c r="A3684" t="s">
        <v>4216</v>
      </c>
    </row>
    <row r="3685" spans="1:1">
      <c r="A3685" t="s">
        <v>4217</v>
      </c>
    </row>
    <row r="3686" spans="1:1">
      <c r="A3686" t="s">
        <v>4218</v>
      </c>
    </row>
    <row r="3687" spans="1:1">
      <c r="A3687" t="s">
        <v>4219</v>
      </c>
    </row>
    <row r="3688" spans="1:1">
      <c r="A3688" t="s">
        <v>4220</v>
      </c>
    </row>
    <row r="3689" spans="1:1">
      <c r="A3689" t="s">
        <v>4221</v>
      </c>
    </row>
    <row r="3690" spans="1:1">
      <c r="A3690" t="s">
        <v>4222</v>
      </c>
    </row>
    <row r="3691" spans="1:1">
      <c r="A3691" t="s">
        <v>4223</v>
      </c>
    </row>
    <row r="3692" spans="1:1">
      <c r="A3692" t="s">
        <v>4224</v>
      </c>
    </row>
    <row r="3693" spans="1:1">
      <c r="A3693" t="s">
        <v>4225</v>
      </c>
    </row>
    <row r="3694" spans="1:1">
      <c r="A3694" t="s">
        <v>4226</v>
      </c>
    </row>
    <row r="3695" spans="1:1">
      <c r="A3695" t="s">
        <v>4227</v>
      </c>
    </row>
    <row r="3696" spans="1:1">
      <c r="A3696" t="s">
        <v>4228</v>
      </c>
    </row>
    <row r="3697" spans="1:1">
      <c r="A3697" t="s">
        <v>4229</v>
      </c>
    </row>
    <row r="3698" spans="1:1">
      <c r="A3698" t="s">
        <v>4230</v>
      </c>
    </row>
    <row r="3699" spans="1:1">
      <c r="A3699" t="s">
        <v>4231</v>
      </c>
    </row>
    <row r="3700" spans="1:1">
      <c r="A3700" t="s">
        <v>4232</v>
      </c>
    </row>
    <row r="3701" spans="1:1">
      <c r="A3701" t="s">
        <v>4233</v>
      </c>
    </row>
    <row r="3702" spans="1:1">
      <c r="A3702" t="s">
        <v>4234</v>
      </c>
    </row>
    <row r="3703" spans="1:1">
      <c r="A3703" t="s">
        <v>4235</v>
      </c>
    </row>
    <row r="3704" spans="1:1">
      <c r="A3704" t="s">
        <v>4236</v>
      </c>
    </row>
    <row r="3705" spans="1:1">
      <c r="A3705" t="s">
        <v>4237</v>
      </c>
    </row>
    <row r="3706" spans="1:1">
      <c r="A3706" t="s">
        <v>4238</v>
      </c>
    </row>
    <row r="3707" spans="1:1">
      <c r="A3707" t="s">
        <v>4239</v>
      </c>
    </row>
    <row r="3708" spans="1:1">
      <c r="A3708" t="s">
        <v>4240</v>
      </c>
    </row>
    <row r="3709" spans="1:1">
      <c r="A3709" t="s">
        <v>4241</v>
      </c>
    </row>
    <row r="3710" spans="1:1">
      <c r="A3710" t="s">
        <v>4242</v>
      </c>
    </row>
    <row r="3711" spans="1:1">
      <c r="A3711" t="s">
        <v>4243</v>
      </c>
    </row>
    <row r="3712" spans="1:1">
      <c r="A3712" t="s">
        <v>4244</v>
      </c>
    </row>
    <row r="3713" spans="1:1">
      <c r="A3713" t="s">
        <v>4245</v>
      </c>
    </row>
    <row r="3714" spans="1:1">
      <c r="A3714" t="s">
        <v>4246</v>
      </c>
    </row>
    <row r="3715" spans="1:1">
      <c r="A3715" t="s">
        <v>4247</v>
      </c>
    </row>
    <row r="3716" spans="1:1">
      <c r="A3716" t="s">
        <v>4248</v>
      </c>
    </row>
    <row r="3717" spans="1:1">
      <c r="A3717" t="s">
        <v>4249</v>
      </c>
    </row>
    <row r="3718" spans="1:1">
      <c r="A3718" t="s">
        <v>4250</v>
      </c>
    </row>
    <row r="3719" spans="1:1">
      <c r="A3719" t="s">
        <v>4251</v>
      </c>
    </row>
    <row r="3720" spans="1:1">
      <c r="A3720" t="s">
        <v>4252</v>
      </c>
    </row>
    <row r="3721" spans="1:1">
      <c r="A3721" t="s">
        <v>4253</v>
      </c>
    </row>
    <row r="3722" spans="1:1">
      <c r="A3722" t="s">
        <v>4254</v>
      </c>
    </row>
    <row r="3723" spans="1:1">
      <c r="A3723" t="s">
        <v>4255</v>
      </c>
    </row>
    <row r="3724" spans="1:1">
      <c r="A3724" t="s">
        <v>4256</v>
      </c>
    </row>
    <row r="3725" spans="1:1">
      <c r="A3725" t="s">
        <v>4257</v>
      </c>
    </row>
    <row r="3726" spans="1:1">
      <c r="A3726" t="s">
        <v>4258</v>
      </c>
    </row>
    <row r="3727" spans="1:1">
      <c r="A3727" t="s">
        <v>4259</v>
      </c>
    </row>
    <row r="3728" spans="1:1">
      <c r="A3728" t="s">
        <v>4260</v>
      </c>
    </row>
    <row r="3729" spans="1:1">
      <c r="A3729" t="s">
        <v>4261</v>
      </c>
    </row>
    <row r="3730" spans="1:1">
      <c r="A3730" t="s">
        <v>4262</v>
      </c>
    </row>
    <row r="3731" spans="1:1">
      <c r="A3731" t="s">
        <v>4263</v>
      </c>
    </row>
    <row r="3732" spans="1:1">
      <c r="A3732" t="s">
        <v>4264</v>
      </c>
    </row>
    <row r="3733" spans="1:1">
      <c r="A3733" t="s">
        <v>4265</v>
      </c>
    </row>
    <row r="3734" spans="1:1">
      <c r="A3734" t="s">
        <v>4266</v>
      </c>
    </row>
    <row r="3735" spans="1:1">
      <c r="A3735" t="s">
        <v>4267</v>
      </c>
    </row>
    <row r="3736" spans="1:1">
      <c r="A3736" t="s">
        <v>4268</v>
      </c>
    </row>
    <row r="3737" spans="1:1">
      <c r="A3737" t="s">
        <v>4269</v>
      </c>
    </row>
    <row r="3738" spans="1:1">
      <c r="A3738" t="s">
        <v>4270</v>
      </c>
    </row>
    <row r="3739" spans="1:1">
      <c r="A3739" t="s">
        <v>4271</v>
      </c>
    </row>
    <row r="3740" spans="1:1">
      <c r="A3740" t="s">
        <v>4272</v>
      </c>
    </row>
    <row r="3741" spans="1:1">
      <c r="A3741" t="s">
        <v>4273</v>
      </c>
    </row>
    <row r="3742" spans="1:1">
      <c r="A3742" t="s">
        <v>4274</v>
      </c>
    </row>
    <row r="3743" spans="1:1">
      <c r="A3743" t="s">
        <v>4275</v>
      </c>
    </row>
    <row r="3744" spans="1:1">
      <c r="A3744" t="s">
        <v>4276</v>
      </c>
    </row>
    <row r="3745" spans="1:1">
      <c r="A3745" t="s">
        <v>4277</v>
      </c>
    </row>
    <row r="3746" spans="1:1">
      <c r="A3746" t="s">
        <v>4278</v>
      </c>
    </row>
    <row r="3747" spans="1:1">
      <c r="A3747" t="s">
        <v>4279</v>
      </c>
    </row>
    <row r="3748" spans="1:1">
      <c r="A3748" t="s">
        <v>4280</v>
      </c>
    </row>
    <row r="3749" spans="1:1">
      <c r="A3749" t="s">
        <v>4281</v>
      </c>
    </row>
    <row r="3750" spans="1:1">
      <c r="A3750" t="s">
        <v>4282</v>
      </c>
    </row>
    <row r="3751" spans="1:1">
      <c r="A3751" t="s">
        <v>4283</v>
      </c>
    </row>
    <row r="3752" spans="1:1">
      <c r="A3752" t="s">
        <v>4284</v>
      </c>
    </row>
    <row r="3753" spans="1:1">
      <c r="A3753" t="s">
        <v>4285</v>
      </c>
    </row>
    <row r="3754" spans="1:1">
      <c r="A3754" t="s">
        <v>4286</v>
      </c>
    </row>
    <row r="3755" spans="1:1">
      <c r="A3755" t="s">
        <v>4287</v>
      </c>
    </row>
    <row r="3756" spans="1:1">
      <c r="A3756" t="s">
        <v>4288</v>
      </c>
    </row>
    <row r="3757" spans="1:1">
      <c r="A3757" t="s">
        <v>4289</v>
      </c>
    </row>
    <row r="3758" spans="1:1">
      <c r="A3758" t="s">
        <v>4290</v>
      </c>
    </row>
    <row r="3759" spans="1:1">
      <c r="A3759" t="s">
        <v>4291</v>
      </c>
    </row>
    <row r="3760" spans="1:1">
      <c r="A3760" t="s">
        <v>4292</v>
      </c>
    </row>
    <row r="3761" spans="1:1">
      <c r="A3761" t="s">
        <v>4293</v>
      </c>
    </row>
    <row r="3762" spans="1:1">
      <c r="A3762" t="s">
        <v>4294</v>
      </c>
    </row>
    <row r="3763" spans="1:1">
      <c r="A3763" t="s">
        <v>4295</v>
      </c>
    </row>
    <row r="3764" spans="1:1">
      <c r="A3764" t="s">
        <v>4296</v>
      </c>
    </row>
    <row r="3765" spans="1:1">
      <c r="A3765" t="s">
        <v>4297</v>
      </c>
    </row>
    <row r="3766" spans="1:1">
      <c r="A3766" t="s">
        <v>4298</v>
      </c>
    </row>
    <row r="3767" spans="1:1">
      <c r="A3767" t="s">
        <v>4299</v>
      </c>
    </row>
    <row r="3768" spans="1:1">
      <c r="A3768" t="s">
        <v>4300</v>
      </c>
    </row>
    <row r="3769" spans="1:1">
      <c r="A3769" t="s">
        <v>4301</v>
      </c>
    </row>
    <row r="3770" spans="1:1">
      <c r="A3770" t="s">
        <v>4302</v>
      </c>
    </row>
    <row r="3771" spans="1:1">
      <c r="A3771" t="s">
        <v>4303</v>
      </c>
    </row>
    <row r="3772" spans="1:1">
      <c r="A3772" t="s">
        <v>4304</v>
      </c>
    </row>
    <row r="3773" spans="1:1">
      <c r="A3773" t="s">
        <v>4305</v>
      </c>
    </row>
    <row r="3774" spans="1:1">
      <c r="A3774" t="s">
        <v>4306</v>
      </c>
    </row>
    <row r="3775" spans="1:1">
      <c r="A3775" t="s">
        <v>4307</v>
      </c>
    </row>
    <row r="3776" spans="1:1">
      <c r="A3776" t="s">
        <v>4308</v>
      </c>
    </row>
    <row r="3777" spans="1:1">
      <c r="A3777" t="s">
        <v>4309</v>
      </c>
    </row>
    <row r="3778" spans="1:1">
      <c r="A3778" t="s">
        <v>4310</v>
      </c>
    </row>
    <row r="3779" spans="1:1">
      <c r="A3779" t="s">
        <v>4311</v>
      </c>
    </row>
    <row r="3780" spans="1:1">
      <c r="A3780" t="s">
        <v>4312</v>
      </c>
    </row>
    <row r="3781" spans="1:1">
      <c r="A3781" t="s">
        <v>4313</v>
      </c>
    </row>
    <row r="3782" spans="1:1">
      <c r="A3782" t="s">
        <v>4314</v>
      </c>
    </row>
    <row r="3783" spans="1:1">
      <c r="A3783" t="s">
        <v>4315</v>
      </c>
    </row>
    <row r="3784" spans="1:1">
      <c r="A3784" t="s">
        <v>4316</v>
      </c>
    </row>
    <row r="3785" spans="1:1">
      <c r="A3785" t="s">
        <v>4317</v>
      </c>
    </row>
    <row r="3786" spans="1:1">
      <c r="A3786" t="s">
        <v>4318</v>
      </c>
    </row>
    <row r="3787" spans="1:1">
      <c r="A3787" t="s">
        <v>4319</v>
      </c>
    </row>
    <row r="3788" spans="1:1">
      <c r="A3788" t="s">
        <v>4320</v>
      </c>
    </row>
    <row r="3789" spans="1:1">
      <c r="A3789" t="s">
        <v>4321</v>
      </c>
    </row>
    <row r="3790" spans="1:1">
      <c r="A3790" t="s">
        <v>4322</v>
      </c>
    </row>
    <row r="3791" spans="1:1">
      <c r="A3791" t="s">
        <v>4323</v>
      </c>
    </row>
    <row r="3792" spans="1:1">
      <c r="A3792" t="s">
        <v>4324</v>
      </c>
    </row>
    <row r="3793" spans="1:1">
      <c r="A3793" t="s">
        <v>4325</v>
      </c>
    </row>
    <row r="3794" spans="1:1">
      <c r="A3794" t="s">
        <v>4326</v>
      </c>
    </row>
    <row r="3795" spans="1:1">
      <c r="A3795" t="s">
        <v>4327</v>
      </c>
    </row>
    <row r="3796" spans="1:1">
      <c r="A3796" t="s">
        <v>4328</v>
      </c>
    </row>
    <row r="3797" spans="1:1">
      <c r="A3797" t="s">
        <v>4329</v>
      </c>
    </row>
    <row r="3798" spans="1:1">
      <c r="A3798" t="s">
        <v>4330</v>
      </c>
    </row>
    <row r="3799" spans="1:1">
      <c r="A3799" t="s">
        <v>4331</v>
      </c>
    </row>
    <row r="3800" spans="1:1">
      <c r="A3800" t="s">
        <v>4332</v>
      </c>
    </row>
    <row r="3801" spans="1:1">
      <c r="A3801" t="s">
        <v>4333</v>
      </c>
    </row>
    <row r="3802" spans="1:1">
      <c r="A3802" t="s">
        <v>4334</v>
      </c>
    </row>
    <row r="3803" spans="1:1">
      <c r="A3803" t="s">
        <v>4335</v>
      </c>
    </row>
    <row r="3804" spans="1:1">
      <c r="A3804" t="s">
        <v>4336</v>
      </c>
    </row>
    <row r="3805" spans="1:1">
      <c r="A3805" t="s">
        <v>4337</v>
      </c>
    </row>
    <row r="3806" spans="1:1">
      <c r="A3806" t="s">
        <v>4338</v>
      </c>
    </row>
    <row r="3807" spans="1:1">
      <c r="A3807" t="s">
        <v>4339</v>
      </c>
    </row>
    <row r="3808" spans="1:1">
      <c r="A3808" t="s">
        <v>4340</v>
      </c>
    </row>
    <row r="3809" spans="1:1">
      <c r="A3809" t="s">
        <v>4341</v>
      </c>
    </row>
    <row r="3810" spans="1:1">
      <c r="A3810" t="s">
        <v>4342</v>
      </c>
    </row>
    <row r="3811" spans="1:1">
      <c r="A3811" t="s">
        <v>4343</v>
      </c>
    </row>
    <row r="3812" spans="1:1">
      <c r="A3812" t="s">
        <v>4344</v>
      </c>
    </row>
    <row r="3813" spans="1:1">
      <c r="A3813" t="s">
        <v>4345</v>
      </c>
    </row>
    <row r="3814" spans="1:1">
      <c r="A3814" t="s">
        <v>4346</v>
      </c>
    </row>
    <row r="3815" spans="1:1">
      <c r="A3815" t="s">
        <v>4347</v>
      </c>
    </row>
    <row r="3816" spans="1:1">
      <c r="A3816" t="s">
        <v>4348</v>
      </c>
    </row>
    <row r="3817" spans="1:1">
      <c r="A3817" t="s">
        <v>4349</v>
      </c>
    </row>
    <row r="3818" spans="1:1">
      <c r="A3818" t="s">
        <v>4350</v>
      </c>
    </row>
    <row r="3819" spans="1:1">
      <c r="A3819" t="s">
        <v>4351</v>
      </c>
    </row>
    <row r="3820" spans="1:1">
      <c r="A3820" t="s">
        <v>4352</v>
      </c>
    </row>
    <row r="3821" spans="1:1">
      <c r="A3821" t="s">
        <v>4353</v>
      </c>
    </row>
    <row r="3822" spans="1:1">
      <c r="A3822" t="s">
        <v>4354</v>
      </c>
    </row>
    <row r="3823" spans="1:1">
      <c r="A3823" t="s">
        <v>4355</v>
      </c>
    </row>
    <row r="3824" spans="1:1">
      <c r="A3824" t="s">
        <v>4356</v>
      </c>
    </row>
    <row r="3825" spans="1:1">
      <c r="A3825" t="s">
        <v>4357</v>
      </c>
    </row>
    <row r="3826" spans="1:1">
      <c r="A3826" t="s">
        <v>4358</v>
      </c>
    </row>
    <row r="3827" spans="1:1">
      <c r="A3827" t="s">
        <v>4359</v>
      </c>
    </row>
    <row r="3828" spans="1:1">
      <c r="A3828" t="s">
        <v>4360</v>
      </c>
    </row>
    <row r="3829" spans="1:1">
      <c r="A3829" t="s">
        <v>4361</v>
      </c>
    </row>
    <row r="3830" spans="1:1">
      <c r="A3830" t="s">
        <v>4362</v>
      </c>
    </row>
    <row r="3831" spans="1:1">
      <c r="A3831" t="s">
        <v>4363</v>
      </c>
    </row>
    <row r="3832" spans="1:1">
      <c r="A3832" t="s">
        <v>4364</v>
      </c>
    </row>
    <row r="3833" spans="1:1">
      <c r="A3833" t="s">
        <v>4365</v>
      </c>
    </row>
    <row r="3834" spans="1:1">
      <c r="A3834" t="s">
        <v>4366</v>
      </c>
    </row>
    <row r="3835" spans="1:1">
      <c r="A3835" t="s">
        <v>4367</v>
      </c>
    </row>
    <row r="3836" spans="1:1">
      <c r="A3836" t="s">
        <v>4368</v>
      </c>
    </row>
    <row r="3837" spans="1:1">
      <c r="A3837" t="s">
        <v>4369</v>
      </c>
    </row>
    <row r="3838" spans="1:1">
      <c r="A3838" t="s">
        <v>4370</v>
      </c>
    </row>
    <row r="3839" spans="1:1">
      <c r="A3839" t="s">
        <v>4371</v>
      </c>
    </row>
    <row r="3840" spans="1:1">
      <c r="A3840" t="s">
        <v>4372</v>
      </c>
    </row>
    <row r="3841" spans="1:1">
      <c r="A3841" t="s">
        <v>4373</v>
      </c>
    </row>
    <row r="3842" spans="1:1">
      <c r="A3842" t="s">
        <v>4374</v>
      </c>
    </row>
    <row r="3843" spans="1:1">
      <c r="A3843" t="s">
        <v>4375</v>
      </c>
    </row>
    <row r="3844" spans="1:1">
      <c r="A3844" t="s">
        <v>4376</v>
      </c>
    </row>
    <row r="3845" spans="1:1">
      <c r="A3845" t="s">
        <v>4377</v>
      </c>
    </row>
    <row r="3846" spans="1:1">
      <c r="A3846" t="s">
        <v>4378</v>
      </c>
    </row>
    <row r="3847" spans="1:1">
      <c r="A3847" t="s">
        <v>4379</v>
      </c>
    </row>
    <row r="3848" spans="1:1">
      <c r="A3848" t="s">
        <v>4380</v>
      </c>
    </row>
    <row r="3849" spans="1:1">
      <c r="A3849" t="s">
        <v>4381</v>
      </c>
    </row>
    <row r="3850" spans="1:1">
      <c r="A3850" t="s">
        <v>4382</v>
      </c>
    </row>
    <row r="3851" spans="1:1">
      <c r="A3851" t="s">
        <v>4383</v>
      </c>
    </row>
    <row r="3852" spans="1:1">
      <c r="A3852" t="s">
        <v>4384</v>
      </c>
    </row>
    <row r="3853" spans="1:1">
      <c r="A3853" t="s">
        <v>4385</v>
      </c>
    </row>
    <row r="3854" spans="1:1">
      <c r="A3854" t="s">
        <v>4386</v>
      </c>
    </row>
    <row r="3855" spans="1:1">
      <c r="A3855" t="s">
        <v>4387</v>
      </c>
    </row>
    <row r="3856" spans="1:1">
      <c r="A3856" t="s">
        <v>4388</v>
      </c>
    </row>
    <row r="3857" spans="1:1">
      <c r="A3857" t="s">
        <v>4389</v>
      </c>
    </row>
    <row r="3858" spans="1:1">
      <c r="A3858" t="s">
        <v>4390</v>
      </c>
    </row>
    <row r="3859" spans="1:1">
      <c r="A3859" t="s">
        <v>4391</v>
      </c>
    </row>
    <row r="3860" spans="1:1">
      <c r="A3860" t="s">
        <v>4392</v>
      </c>
    </row>
    <row r="3861" spans="1:1">
      <c r="A3861" t="s">
        <v>4393</v>
      </c>
    </row>
    <row r="3862" spans="1:1">
      <c r="A3862" t="s">
        <v>4394</v>
      </c>
    </row>
    <row r="3863" spans="1:1">
      <c r="A3863" t="s">
        <v>4395</v>
      </c>
    </row>
    <row r="3864" spans="1:1">
      <c r="A3864" t="s">
        <v>4396</v>
      </c>
    </row>
    <row r="3865" spans="1:1">
      <c r="A3865" t="s">
        <v>4397</v>
      </c>
    </row>
    <row r="3866" spans="1:1">
      <c r="A3866" t="s">
        <v>4398</v>
      </c>
    </row>
    <row r="3867" spans="1:1">
      <c r="A3867" t="s">
        <v>4399</v>
      </c>
    </row>
    <row r="3868" spans="1:1">
      <c r="A3868" t="s">
        <v>4400</v>
      </c>
    </row>
    <row r="3869" spans="1:1">
      <c r="A3869" t="s">
        <v>4401</v>
      </c>
    </row>
    <row r="3870" spans="1:1">
      <c r="A3870" t="s">
        <v>4402</v>
      </c>
    </row>
    <row r="3871" spans="1:1">
      <c r="A3871" t="s">
        <v>4403</v>
      </c>
    </row>
    <row r="3872" spans="1:1">
      <c r="A3872" t="s">
        <v>4404</v>
      </c>
    </row>
    <row r="3873" spans="1:1">
      <c r="A3873" t="s">
        <v>4405</v>
      </c>
    </row>
    <row r="3874" spans="1:1">
      <c r="A3874" t="s">
        <v>4406</v>
      </c>
    </row>
    <row r="3875" spans="1:1">
      <c r="A3875" t="s">
        <v>4407</v>
      </c>
    </row>
    <row r="3876" spans="1:1">
      <c r="A3876" t="s">
        <v>4408</v>
      </c>
    </row>
    <row r="3877" spans="1:1">
      <c r="A3877" t="s">
        <v>4409</v>
      </c>
    </row>
    <row r="3878" spans="1:1">
      <c r="A3878" t="s">
        <v>4410</v>
      </c>
    </row>
    <row r="3879" spans="1:1">
      <c r="A3879" t="s">
        <v>4411</v>
      </c>
    </row>
    <row r="3880" spans="1:1">
      <c r="A3880" t="s">
        <v>4412</v>
      </c>
    </row>
    <row r="3881" spans="1:1">
      <c r="A3881" t="s">
        <v>4413</v>
      </c>
    </row>
    <row r="3882" spans="1:1">
      <c r="A3882" t="s">
        <v>4414</v>
      </c>
    </row>
    <row r="3883" spans="1:1">
      <c r="A3883" t="s">
        <v>4415</v>
      </c>
    </row>
    <row r="3884" spans="1:1">
      <c r="A3884" t="s">
        <v>4416</v>
      </c>
    </row>
    <row r="3885" spans="1:1">
      <c r="A3885" t="s">
        <v>4417</v>
      </c>
    </row>
    <row r="3886" spans="1:1">
      <c r="A3886" t="s">
        <v>4418</v>
      </c>
    </row>
    <row r="3887" spans="1:1">
      <c r="A3887" t="s">
        <v>4419</v>
      </c>
    </row>
    <row r="3888" spans="1:1">
      <c r="A3888" t="s">
        <v>4420</v>
      </c>
    </row>
    <row r="3889" spans="1:1">
      <c r="A3889" t="s">
        <v>4421</v>
      </c>
    </row>
    <row r="3890" spans="1:1">
      <c r="A3890" t="s">
        <v>4422</v>
      </c>
    </row>
    <row r="3891" spans="1:1">
      <c r="A3891" t="s">
        <v>4423</v>
      </c>
    </row>
    <row r="3892" spans="1:1">
      <c r="A3892" t="s">
        <v>4424</v>
      </c>
    </row>
    <row r="3893" spans="1:1">
      <c r="A3893" t="s">
        <v>4425</v>
      </c>
    </row>
    <row r="3894" spans="1:1">
      <c r="A3894" t="s">
        <v>4426</v>
      </c>
    </row>
    <row r="3895" spans="1:1">
      <c r="A3895" t="s">
        <v>4427</v>
      </c>
    </row>
    <row r="3896" spans="1:1">
      <c r="A3896" t="s">
        <v>4428</v>
      </c>
    </row>
    <row r="3897" spans="1:1">
      <c r="A3897" t="s">
        <v>4429</v>
      </c>
    </row>
    <row r="3898" spans="1:1">
      <c r="A3898" t="s">
        <v>4430</v>
      </c>
    </row>
    <row r="3899" spans="1:1">
      <c r="A3899" t="s">
        <v>4431</v>
      </c>
    </row>
    <row r="3900" spans="1:1">
      <c r="A3900" t="s">
        <v>4432</v>
      </c>
    </row>
    <row r="3901" spans="1:1">
      <c r="A3901" t="s">
        <v>4433</v>
      </c>
    </row>
    <row r="3902" spans="1:1">
      <c r="A3902" t="s">
        <v>4434</v>
      </c>
    </row>
    <row r="3903" spans="1:1">
      <c r="A3903" t="s">
        <v>4435</v>
      </c>
    </row>
    <row r="3904" spans="1:1">
      <c r="A3904" t="s">
        <v>4436</v>
      </c>
    </row>
    <row r="3905" spans="1:1">
      <c r="A3905" t="s">
        <v>4437</v>
      </c>
    </row>
    <row r="3906" spans="1:1">
      <c r="A3906" t="s">
        <v>4438</v>
      </c>
    </row>
    <row r="3907" spans="1:1">
      <c r="A3907" t="s">
        <v>4439</v>
      </c>
    </row>
    <row r="3908" spans="1:1">
      <c r="A3908" t="s">
        <v>4440</v>
      </c>
    </row>
    <row r="3909" spans="1:1">
      <c r="A3909" t="s">
        <v>4441</v>
      </c>
    </row>
    <row r="3910" spans="1:1">
      <c r="A3910" t="s">
        <v>4442</v>
      </c>
    </row>
    <row r="3911" spans="1:1">
      <c r="A3911" t="s">
        <v>4443</v>
      </c>
    </row>
    <row r="3912" spans="1:1">
      <c r="A3912" t="s">
        <v>4444</v>
      </c>
    </row>
    <row r="3913" spans="1:1">
      <c r="A3913" t="s">
        <v>4445</v>
      </c>
    </row>
    <row r="3914" spans="1:1">
      <c r="A3914" t="s">
        <v>4446</v>
      </c>
    </row>
    <row r="3915" spans="1:1">
      <c r="A3915" t="s">
        <v>4447</v>
      </c>
    </row>
    <row r="3916" spans="1:1">
      <c r="A3916" t="s">
        <v>4448</v>
      </c>
    </row>
    <row r="3917" spans="1:1">
      <c r="A3917" t="s">
        <v>4449</v>
      </c>
    </row>
    <row r="3918" spans="1:1">
      <c r="A3918" t="s">
        <v>4450</v>
      </c>
    </row>
    <row r="3919" spans="1:1">
      <c r="A3919" t="s">
        <v>4451</v>
      </c>
    </row>
    <row r="3920" spans="1:1">
      <c r="A3920" t="s">
        <v>4452</v>
      </c>
    </row>
    <row r="3921" spans="1:1">
      <c r="A3921" t="s">
        <v>4453</v>
      </c>
    </row>
    <row r="3922" spans="1:1">
      <c r="A3922" t="s">
        <v>4454</v>
      </c>
    </row>
    <row r="3923" spans="1:1">
      <c r="A3923" t="s">
        <v>4455</v>
      </c>
    </row>
    <row r="3924" spans="1:1">
      <c r="A3924" t="s">
        <v>4456</v>
      </c>
    </row>
    <row r="3925" spans="1:1">
      <c r="A3925" t="s">
        <v>4457</v>
      </c>
    </row>
    <row r="3926" spans="1:1">
      <c r="A3926" t="s">
        <v>4458</v>
      </c>
    </row>
    <row r="3927" spans="1:1">
      <c r="A3927" t="s">
        <v>4459</v>
      </c>
    </row>
    <row r="3928" spans="1:1">
      <c r="A3928" t="s">
        <v>4460</v>
      </c>
    </row>
    <row r="3929" spans="1:1">
      <c r="A3929" t="s">
        <v>4461</v>
      </c>
    </row>
    <row r="3930" spans="1:1">
      <c r="A3930" t="s">
        <v>4462</v>
      </c>
    </row>
    <row r="3931" spans="1:1">
      <c r="A3931" t="s">
        <v>4463</v>
      </c>
    </row>
    <row r="3932" spans="1:1">
      <c r="A3932" t="s">
        <v>4464</v>
      </c>
    </row>
    <row r="3933" spans="1:1">
      <c r="A3933" t="s">
        <v>4465</v>
      </c>
    </row>
    <row r="3934" spans="1:1">
      <c r="A3934" t="s">
        <v>4466</v>
      </c>
    </row>
    <row r="3935" spans="1:1">
      <c r="A3935" t="s">
        <v>4467</v>
      </c>
    </row>
    <row r="3936" spans="1:1">
      <c r="A3936" t="s">
        <v>4468</v>
      </c>
    </row>
    <row r="3937" spans="1:1">
      <c r="A3937" t="s">
        <v>4469</v>
      </c>
    </row>
    <row r="3938" spans="1:1">
      <c r="A3938" t="s">
        <v>4470</v>
      </c>
    </row>
    <row r="3939" spans="1:1">
      <c r="A3939" t="s">
        <v>4471</v>
      </c>
    </row>
    <row r="3940" spans="1:1">
      <c r="A3940" t="s">
        <v>4472</v>
      </c>
    </row>
    <row r="3941" spans="1:1">
      <c r="A3941" t="s">
        <v>4473</v>
      </c>
    </row>
    <row r="3942" spans="1:1">
      <c r="A3942" t="s">
        <v>4474</v>
      </c>
    </row>
    <row r="3943" spans="1:1">
      <c r="A3943" t="s">
        <v>4475</v>
      </c>
    </row>
    <row r="3944" spans="1:1">
      <c r="A3944" t="s">
        <v>4476</v>
      </c>
    </row>
    <row r="3945" spans="1:1">
      <c r="A3945" t="s">
        <v>4477</v>
      </c>
    </row>
    <row r="3946" spans="1:1">
      <c r="A3946" t="s">
        <v>4478</v>
      </c>
    </row>
    <row r="3947" spans="1:1">
      <c r="A3947" t="s">
        <v>4479</v>
      </c>
    </row>
    <row r="3948" spans="1:1">
      <c r="A3948" t="s">
        <v>4480</v>
      </c>
    </row>
    <row r="3949" spans="1:1">
      <c r="A3949" t="s">
        <v>4481</v>
      </c>
    </row>
    <row r="3950" spans="1:1">
      <c r="A3950" t="s">
        <v>4482</v>
      </c>
    </row>
    <row r="3951" spans="1:1">
      <c r="A3951" t="s">
        <v>4483</v>
      </c>
    </row>
    <row r="3952" spans="1:1">
      <c r="A3952" t="s">
        <v>4484</v>
      </c>
    </row>
    <row r="3953" spans="1:1">
      <c r="A3953" t="s">
        <v>4485</v>
      </c>
    </row>
    <row r="3954" spans="1:1">
      <c r="A3954" t="s">
        <v>4486</v>
      </c>
    </row>
    <row r="3955" spans="1:1">
      <c r="A3955" t="s">
        <v>4487</v>
      </c>
    </row>
    <row r="3956" spans="1:1">
      <c r="A3956" t="s">
        <v>4488</v>
      </c>
    </row>
    <row r="3957" spans="1:1">
      <c r="A3957" t="s">
        <v>4489</v>
      </c>
    </row>
    <row r="3958" spans="1:1">
      <c r="A3958" t="s">
        <v>4490</v>
      </c>
    </row>
    <row r="3959" spans="1:1">
      <c r="A3959" t="s">
        <v>4491</v>
      </c>
    </row>
    <row r="3960" spans="1:1">
      <c r="A3960" t="s">
        <v>4492</v>
      </c>
    </row>
    <row r="3961" spans="1:1">
      <c r="A3961" t="s">
        <v>4493</v>
      </c>
    </row>
    <row r="3962" spans="1:1">
      <c r="A3962" t="s">
        <v>4494</v>
      </c>
    </row>
    <row r="3963" spans="1:1">
      <c r="A3963" t="s">
        <v>4495</v>
      </c>
    </row>
    <row r="3964" spans="1:1">
      <c r="A3964" t="s">
        <v>4496</v>
      </c>
    </row>
    <row r="3965" spans="1:1">
      <c r="A3965" t="s">
        <v>4497</v>
      </c>
    </row>
    <row r="3966" spans="1:1">
      <c r="A3966" t="s">
        <v>4498</v>
      </c>
    </row>
    <row r="3967" spans="1:1">
      <c r="A3967" t="s">
        <v>4499</v>
      </c>
    </row>
    <row r="3968" spans="1:1">
      <c r="A3968" t="s">
        <v>4500</v>
      </c>
    </row>
    <row r="3969" spans="1:1">
      <c r="A3969" t="s">
        <v>4501</v>
      </c>
    </row>
    <row r="3970" spans="1:1">
      <c r="A3970" t="s">
        <v>4502</v>
      </c>
    </row>
    <row r="3971" spans="1:1">
      <c r="A3971" t="s">
        <v>4503</v>
      </c>
    </row>
    <row r="3972" spans="1:1">
      <c r="A3972" t="s">
        <v>4504</v>
      </c>
    </row>
    <row r="3973" spans="1:1">
      <c r="A3973" t="s">
        <v>4505</v>
      </c>
    </row>
    <row r="3974" spans="1:1">
      <c r="A3974" t="s">
        <v>4506</v>
      </c>
    </row>
    <row r="3975" spans="1:1">
      <c r="A3975" t="s">
        <v>4507</v>
      </c>
    </row>
    <row r="3976" spans="1:1">
      <c r="A3976" t="s">
        <v>4508</v>
      </c>
    </row>
    <row r="3977" spans="1:1">
      <c r="A3977" t="s">
        <v>4509</v>
      </c>
    </row>
    <row r="3978" spans="1:1">
      <c r="A3978" t="s">
        <v>4510</v>
      </c>
    </row>
    <row r="3979" spans="1:1">
      <c r="A3979" t="s">
        <v>4511</v>
      </c>
    </row>
    <row r="3980" spans="1:1">
      <c r="A3980" t="s">
        <v>4512</v>
      </c>
    </row>
    <row r="3981" spans="1:1">
      <c r="A3981" t="s">
        <v>4513</v>
      </c>
    </row>
    <row r="3982" spans="1:1">
      <c r="A3982" t="s">
        <v>4514</v>
      </c>
    </row>
    <row r="3983" spans="1:1">
      <c r="A3983" t="s">
        <v>4515</v>
      </c>
    </row>
    <row r="3984" spans="1:1">
      <c r="A3984" t="s">
        <v>4516</v>
      </c>
    </row>
    <row r="3985" spans="1:1">
      <c r="A3985" t="s">
        <v>4517</v>
      </c>
    </row>
    <row r="3986" spans="1:1">
      <c r="A3986" t="s">
        <v>4518</v>
      </c>
    </row>
    <row r="3987" spans="1:1">
      <c r="A3987" t="s">
        <v>4519</v>
      </c>
    </row>
    <row r="3988" spans="1:1">
      <c r="A3988" t="s">
        <v>4520</v>
      </c>
    </row>
    <row r="3989" spans="1:1">
      <c r="A3989" t="s">
        <v>4521</v>
      </c>
    </row>
    <row r="3990" spans="1:1">
      <c r="A3990" t="s">
        <v>4522</v>
      </c>
    </row>
    <row r="3991" spans="1:1">
      <c r="A3991" t="s">
        <v>4523</v>
      </c>
    </row>
    <row r="3992" spans="1:1">
      <c r="A3992" t="s">
        <v>4524</v>
      </c>
    </row>
    <row r="3993" spans="1:1">
      <c r="A3993" t="s">
        <v>4525</v>
      </c>
    </row>
    <row r="3994" spans="1:1">
      <c r="A3994" t="s">
        <v>4526</v>
      </c>
    </row>
    <row r="3995" spans="1:1">
      <c r="A3995" t="s">
        <v>4527</v>
      </c>
    </row>
    <row r="3996" spans="1:1">
      <c r="A3996" t="s">
        <v>4528</v>
      </c>
    </row>
    <row r="3997" spans="1:1">
      <c r="A3997" t="s">
        <v>4529</v>
      </c>
    </row>
    <row r="3998" spans="1:1">
      <c r="A3998" t="s">
        <v>4530</v>
      </c>
    </row>
    <row r="3999" spans="1:1">
      <c r="A3999" t="s">
        <v>4531</v>
      </c>
    </row>
    <row r="4000" spans="1:1">
      <c r="A4000" t="s">
        <v>4532</v>
      </c>
    </row>
    <row r="4001" spans="1:1">
      <c r="A4001" t="s">
        <v>4533</v>
      </c>
    </row>
    <row r="4002" spans="1:1">
      <c r="A4002" t="s">
        <v>4534</v>
      </c>
    </row>
    <row r="4003" spans="1:1">
      <c r="A4003" t="s">
        <v>4535</v>
      </c>
    </row>
    <row r="4004" spans="1:1">
      <c r="A4004" t="s">
        <v>4536</v>
      </c>
    </row>
    <row r="4005" spans="1:1">
      <c r="A4005" t="s">
        <v>4537</v>
      </c>
    </row>
    <row r="4006" spans="1:1">
      <c r="A4006" t="s">
        <v>4538</v>
      </c>
    </row>
    <row r="4007" spans="1:1">
      <c r="A4007" t="s">
        <v>4539</v>
      </c>
    </row>
    <row r="4008" spans="1:1">
      <c r="A4008" t="s">
        <v>4540</v>
      </c>
    </row>
    <row r="4009" spans="1:1">
      <c r="A4009" t="s">
        <v>4541</v>
      </c>
    </row>
    <row r="4010" spans="1:1">
      <c r="A4010" t="s">
        <v>4542</v>
      </c>
    </row>
    <row r="4011" spans="1:1">
      <c r="A4011" t="s">
        <v>4543</v>
      </c>
    </row>
    <row r="4012" spans="1:1">
      <c r="A4012" t="s">
        <v>4544</v>
      </c>
    </row>
    <row r="4013" spans="1:1">
      <c r="A4013" t="s">
        <v>4545</v>
      </c>
    </row>
    <row r="4014" spans="1:1">
      <c r="A4014" t="s">
        <v>4546</v>
      </c>
    </row>
    <row r="4015" spans="1:1">
      <c r="A4015" t="s">
        <v>4547</v>
      </c>
    </row>
    <row r="4016" spans="1:1">
      <c r="A4016" t="s">
        <v>4548</v>
      </c>
    </row>
    <row r="4017" spans="1:1">
      <c r="A4017" t="s">
        <v>4549</v>
      </c>
    </row>
    <row r="4018" spans="1:1">
      <c r="A4018" t="s">
        <v>4550</v>
      </c>
    </row>
    <row r="4019" spans="1:1">
      <c r="A4019" t="s">
        <v>4551</v>
      </c>
    </row>
    <row r="4020" spans="1:1">
      <c r="A4020" t="s">
        <v>4552</v>
      </c>
    </row>
    <row r="4021" spans="1:1">
      <c r="A4021" t="s">
        <v>4553</v>
      </c>
    </row>
    <row r="4022" spans="1:1">
      <c r="A4022" t="s">
        <v>4554</v>
      </c>
    </row>
    <row r="4023" spans="1:1">
      <c r="A4023" t="s">
        <v>4555</v>
      </c>
    </row>
    <row r="4024" spans="1:1">
      <c r="A4024" t="s">
        <v>4556</v>
      </c>
    </row>
    <row r="4025" spans="1:1">
      <c r="A4025" t="s">
        <v>4557</v>
      </c>
    </row>
    <row r="4026" spans="1:1">
      <c r="A4026" t="s">
        <v>4558</v>
      </c>
    </row>
    <row r="4027" spans="1:1">
      <c r="A4027" t="s">
        <v>4559</v>
      </c>
    </row>
    <row r="4028" spans="1:1">
      <c r="A4028" t="s">
        <v>4560</v>
      </c>
    </row>
    <row r="4029" spans="1:1">
      <c r="A4029" t="s">
        <v>4561</v>
      </c>
    </row>
    <row r="4030" spans="1:1">
      <c r="A4030" t="s">
        <v>4562</v>
      </c>
    </row>
    <row r="4031" spans="1:1">
      <c r="A4031" t="s">
        <v>4563</v>
      </c>
    </row>
    <row r="4032" spans="1:1">
      <c r="A4032" t="s">
        <v>4564</v>
      </c>
    </row>
    <row r="4033" spans="1:1">
      <c r="A4033" t="s">
        <v>4565</v>
      </c>
    </row>
    <row r="4034" spans="1:1">
      <c r="A4034" t="s">
        <v>4566</v>
      </c>
    </row>
    <row r="4035" spans="1:1">
      <c r="A4035" t="s">
        <v>4567</v>
      </c>
    </row>
    <row r="4036" spans="1:1">
      <c r="A4036" t="s">
        <v>4568</v>
      </c>
    </row>
    <row r="4037" spans="1:1">
      <c r="A4037" t="s">
        <v>4569</v>
      </c>
    </row>
    <row r="4038" spans="1:1">
      <c r="A4038" t="s">
        <v>4570</v>
      </c>
    </row>
    <row r="4039" spans="1:1">
      <c r="A4039" t="s">
        <v>4571</v>
      </c>
    </row>
    <row r="4040" spans="1:1">
      <c r="A4040" t="s">
        <v>4572</v>
      </c>
    </row>
    <row r="4041" spans="1:1">
      <c r="A4041" t="s">
        <v>4573</v>
      </c>
    </row>
    <row r="4042" spans="1:1">
      <c r="A4042" t="s">
        <v>4574</v>
      </c>
    </row>
    <row r="4043" spans="1:1">
      <c r="A4043" t="s">
        <v>4575</v>
      </c>
    </row>
    <row r="4044" spans="1:1">
      <c r="A4044" t="s">
        <v>4576</v>
      </c>
    </row>
    <row r="4045" spans="1:1">
      <c r="A4045" t="s">
        <v>4577</v>
      </c>
    </row>
    <row r="4046" spans="1:1">
      <c r="A4046" t="s">
        <v>4578</v>
      </c>
    </row>
    <row r="4047" spans="1:1">
      <c r="A4047" t="s">
        <v>4579</v>
      </c>
    </row>
    <row r="4048" spans="1:1">
      <c r="A4048" t="s">
        <v>4580</v>
      </c>
    </row>
    <row r="4049" spans="1:1">
      <c r="A4049" t="s">
        <v>4581</v>
      </c>
    </row>
    <row r="4050" spans="1:1">
      <c r="A4050" t="s">
        <v>4582</v>
      </c>
    </row>
    <row r="4051" spans="1:1">
      <c r="A4051" t="s">
        <v>4583</v>
      </c>
    </row>
    <row r="4052" spans="1:1">
      <c r="A4052" t="s">
        <v>4584</v>
      </c>
    </row>
    <row r="4053" spans="1:1">
      <c r="A4053" t="s">
        <v>4585</v>
      </c>
    </row>
    <row r="4054" spans="1:1">
      <c r="A4054" t="s">
        <v>4586</v>
      </c>
    </row>
    <row r="4055" spans="1:1">
      <c r="A4055" t="s">
        <v>4587</v>
      </c>
    </row>
    <row r="4056" spans="1:1">
      <c r="A4056" t="s">
        <v>4588</v>
      </c>
    </row>
    <row r="4057" spans="1:1">
      <c r="A4057" t="s">
        <v>4589</v>
      </c>
    </row>
    <row r="4058" spans="1:1">
      <c r="A4058" t="s">
        <v>4590</v>
      </c>
    </row>
    <row r="4059" spans="1:1">
      <c r="A4059" t="s">
        <v>4591</v>
      </c>
    </row>
    <row r="4060" spans="1:1">
      <c r="A4060" t="s">
        <v>4592</v>
      </c>
    </row>
    <row r="4061" spans="1:1">
      <c r="A4061" t="s">
        <v>4593</v>
      </c>
    </row>
    <row r="4062" spans="1:1">
      <c r="A4062" t="s">
        <v>4594</v>
      </c>
    </row>
    <row r="4063" spans="1:1">
      <c r="A4063" t="s">
        <v>4595</v>
      </c>
    </row>
    <row r="4064" spans="1:1">
      <c r="A4064" t="s">
        <v>4596</v>
      </c>
    </row>
    <row r="4065" spans="1:1">
      <c r="A4065" t="s">
        <v>4597</v>
      </c>
    </row>
    <row r="4066" spans="1:1">
      <c r="A4066" t="s">
        <v>4598</v>
      </c>
    </row>
    <row r="4067" spans="1:1">
      <c r="A4067" t="s">
        <v>4599</v>
      </c>
    </row>
    <row r="4068" spans="1:1">
      <c r="A4068" t="s">
        <v>4600</v>
      </c>
    </row>
    <row r="4069" spans="1:1">
      <c r="A4069" t="s">
        <v>4601</v>
      </c>
    </row>
    <row r="4070" spans="1:1">
      <c r="A4070" t="s">
        <v>4602</v>
      </c>
    </row>
    <row r="4071" spans="1:1">
      <c r="A4071" t="s">
        <v>4603</v>
      </c>
    </row>
    <row r="4072" spans="1:1">
      <c r="A4072" t="s">
        <v>4604</v>
      </c>
    </row>
    <row r="4073" spans="1:1">
      <c r="A4073" t="s">
        <v>4605</v>
      </c>
    </row>
    <row r="4074" spans="1:1">
      <c r="A4074" t="s">
        <v>4606</v>
      </c>
    </row>
    <row r="4075" spans="1:1">
      <c r="A4075" t="s">
        <v>4607</v>
      </c>
    </row>
    <row r="4076" spans="1:1">
      <c r="A4076" t="s">
        <v>4608</v>
      </c>
    </row>
    <row r="4077" spans="1:1">
      <c r="A4077" t="s">
        <v>4609</v>
      </c>
    </row>
    <row r="4078" spans="1:1">
      <c r="A4078" t="s">
        <v>4610</v>
      </c>
    </row>
    <row r="4079" spans="1:1">
      <c r="A4079" t="s">
        <v>4611</v>
      </c>
    </row>
    <row r="4080" spans="1:1">
      <c r="A4080" t="s">
        <v>4612</v>
      </c>
    </row>
    <row r="4081" spans="1:1">
      <c r="A4081" t="s">
        <v>4613</v>
      </c>
    </row>
    <row r="4082" spans="1:1">
      <c r="A4082" t="s">
        <v>4614</v>
      </c>
    </row>
    <row r="4083" spans="1:1">
      <c r="A4083" t="s">
        <v>4615</v>
      </c>
    </row>
    <row r="4084" spans="1:1">
      <c r="A4084" t="s">
        <v>4616</v>
      </c>
    </row>
    <row r="4085" spans="1:1">
      <c r="A4085" t="s">
        <v>4617</v>
      </c>
    </row>
    <row r="4086" spans="1:1">
      <c r="A4086" t="s">
        <v>4618</v>
      </c>
    </row>
    <row r="4087" spans="1:1">
      <c r="A4087" t="s">
        <v>4619</v>
      </c>
    </row>
    <row r="4088" spans="1:1">
      <c r="A4088" t="s">
        <v>4620</v>
      </c>
    </row>
    <row r="4089" spans="1:1">
      <c r="A4089" t="s">
        <v>4621</v>
      </c>
    </row>
    <row r="4090" spans="1:1">
      <c r="A4090" t="s">
        <v>4622</v>
      </c>
    </row>
    <row r="4091" spans="1:1">
      <c r="A4091" t="s">
        <v>4623</v>
      </c>
    </row>
    <row r="4092" spans="1:1">
      <c r="A4092" t="s">
        <v>4624</v>
      </c>
    </row>
    <row r="4093" spans="1:1">
      <c r="A4093" t="s">
        <v>4625</v>
      </c>
    </row>
    <row r="4094" spans="1:1">
      <c r="A4094" t="s">
        <v>4626</v>
      </c>
    </row>
    <row r="4095" spans="1:1">
      <c r="A4095" t="s">
        <v>4627</v>
      </c>
    </row>
    <row r="4096" spans="1:1">
      <c r="A4096" t="s">
        <v>4628</v>
      </c>
    </row>
    <row r="4097" spans="1:1">
      <c r="A4097" t="s">
        <v>4629</v>
      </c>
    </row>
    <row r="4098" spans="1:1">
      <c r="A4098" t="s">
        <v>4630</v>
      </c>
    </row>
    <row r="4099" spans="1:1">
      <c r="A4099" t="s">
        <v>4631</v>
      </c>
    </row>
    <row r="4100" spans="1:1">
      <c r="A4100" t="s">
        <v>4632</v>
      </c>
    </row>
    <row r="4101" spans="1:1">
      <c r="A4101" t="s">
        <v>4633</v>
      </c>
    </row>
    <row r="4102" spans="1:1">
      <c r="A4102" t="s">
        <v>4634</v>
      </c>
    </row>
    <row r="4103" spans="1:1">
      <c r="A4103" t="s">
        <v>4635</v>
      </c>
    </row>
    <row r="4104" spans="1:1">
      <c r="A4104" t="s">
        <v>4636</v>
      </c>
    </row>
    <row r="4105" spans="1:1">
      <c r="A4105" t="s">
        <v>4637</v>
      </c>
    </row>
    <row r="4106" spans="1:1">
      <c r="A4106" t="s">
        <v>4638</v>
      </c>
    </row>
    <row r="4107" spans="1:1">
      <c r="A4107" t="s">
        <v>4639</v>
      </c>
    </row>
    <row r="4108" spans="1:1">
      <c r="A4108" t="s">
        <v>4640</v>
      </c>
    </row>
    <row r="4109" spans="1:1">
      <c r="A4109" t="s">
        <v>4641</v>
      </c>
    </row>
    <row r="4110" spans="1:1">
      <c r="A4110" t="s">
        <v>4642</v>
      </c>
    </row>
    <row r="4111" spans="1:1">
      <c r="A4111" t="s">
        <v>4643</v>
      </c>
    </row>
    <row r="4112" spans="1:1">
      <c r="A4112" t="s">
        <v>4644</v>
      </c>
    </row>
    <row r="4113" spans="1:1">
      <c r="A4113" t="s">
        <v>4645</v>
      </c>
    </row>
    <row r="4114" spans="1:1">
      <c r="A4114" t="s">
        <v>4646</v>
      </c>
    </row>
    <row r="4115" spans="1:1">
      <c r="A4115" t="s">
        <v>4647</v>
      </c>
    </row>
    <row r="4116" spans="1:1">
      <c r="A4116" t="s">
        <v>4648</v>
      </c>
    </row>
    <row r="4117" spans="1:1">
      <c r="A4117" t="s">
        <v>4649</v>
      </c>
    </row>
    <row r="4118" spans="1:1">
      <c r="A4118" t="s">
        <v>4650</v>
      </c>
    </row>
    <row r="4119" spans="1:1">
      <c r="A4119" t="s">
        <v>4651</v>
      </c>
    </row>
    <row r="4120" spans="1:1">
      <c r="A4120" t="s">
        <v>4652</v>
      </c>
    </row>
    <row r="4121" spans="1:1">
      <c r="A4121" t="s">
        <v>4653</v>
      </c>
    </row>
    <row r="4122" spans="1:1">
      <c r="A4122" t="s">
        <v>4654</v>
      </c>
    </row>
    <row r="4123" spans="1:1">
      <c r="A4123" t="s">
        <v>4655</v>
      </c>
    </row>
    <row r="4124" spans="1:1">
      <c r="A4124" t="s">
        <v>4656</v>
      </c>
    </row>
    <row r="4125" spans="1:1">
      <c r="A4125" t="s">
        <v>4657</v>
      </c>
    </row>
    <row r="4126" spans="1:1">
      <c r="A4126" t="s">
        <v>4658</v>
      </c>
    </row>
    <row r="4127" spans="1:1">
      <c r="A4127" t="s">
        <v>4659</v>
      </c>
    </row>
    <row r="4128" spans="1:1">
      <c r="A4128" t="s">
        <v>4660</v>
      </c>
    </row>
    <row r="4129" spans="1:1">
      <c r="A4129" t="s">
        <v>4661</v>
      </c>
    </row>
    <row r="4130" spans="1:1">
      <c r="A4130" t="s">
        <v>4662</v>
      </c>
    </row>
    <row r="4131" spans="1:1">
      <c r="A4131" t="s">
        <v>4663</v>
      </c>
    </row>
    <row r="4132" spans="1:1">
      <c r="A4132" t="s">
        <v>4664</v>
      </c>
    </row>
    <row r="4133" spans="1:1">
      <c r="A4133" t="s">
        <v>4665</v>
      </c>
    </row>
    <row r="4134" spans="1:1">
      <c r="A4134" t="s">
        <v>4666</v>
      </c>
    </row>
    <row r="4135" spans="1:1">
      <c r="A4135" t="s">
        <v>4667</v>
      </c>
    </row>
    <row r="4136" spans="1:1">
      <c r="A4136" t="s">
        <v>4668</v>
      </c>
    </row>
    <row r="4137" spans="1:1">
      <c r="A4137" t="s">
        <v>4669</v>
      </c>
    </row>
    <row r="4138" spans="1:1">
      <c r="A4138" t="s">
        <v>4670</v>
      </c>
    </row>
    <row r="4139" spans="1:1">
      <c r="A4139" t="s">
        <v>4671</v>
      </c>
    </row>
    <row r="4140" spans="1:1">
      <c r="A4140" t="s">
        <v>4672</v>
      </c>
    </row>
    <row r="4141" spans="1:1">
      <c r="A4141" t="s">
        <v>4673</v>
      </c>
    </row>
    <row r="4142" spans="1:1">
      <c r="A4142" t="s">
        <v>4674</v>
      </c>
    </row>
    <row r="4143" spans="1:1">
      <c r="A4143" t="s">
        <v>4675</v>
      </c>
    </row>
    <row r="4144" spans="1:1">
      <c r="A4144" t="s">
        <v>4676</v>
      </c>
    </row>
    <row r="4145" spans="1:1">
      <c r="A4145" t="s">
        <v>4677</v>
      </c>
    </row>
    <row r="4146" spans="1:1">
      <c r="A4146" t="s">
        <v>4678</v>
      </c>
    </row>
    <row r="4147" spans="1:1">
      <c r="A4147" t="s">
        <v>4679</v>
      </c>
    </row>
    <row r="4148" spans="1:1">
      <c r="A4148" t="s">
        <v>4680</v>
      </c>
    </row>
    <row r="4149" spans="1:1">
      <c r="A4149" t="s">
        <v>4681</v>
      </c>
    </row>
    <row r="4150" spans="1:1">
      <c r="A4150" t="s">
        <v>4682</v>
      </c>
    </row>
    <row r="4151" spans="1:1">
      <c r="A4151" t="s">
        <v>4683</v>
      </c>
    </row>
    <row r="4152" spans="1:1">
      <c r="A4152" t="s">
        <v>4684</v>
      </c>
    </row>
    <row r="4153" spans="1:1">
      <c r="A4153" t="s">
        <v>4685</v>
      </c>
    </row>
    <row r="4154" spans="1:1">
      <c r="A4154" t="s">
        <v>4686</v>
      </c>
    </row>
    <row r="4155" spans="1:1">
      <c r="A4155" t="s">
        <v>4687</v>
      </c>
    </row>
    <row r="4156" spans="1:1">
      <c r="A4156" t="s">
        <v>4688</v>
      </c>
    </row>
    <row r="4157" spans="1:1">
      <c r="A4157" t="s">
        <v>4689</v>
      </c>
    </row>
    <row r="4158" spans="1:1">
      <c r="A4158" t="s">
        <v>4690</v>
      </c>
    </row>
    <row r="4159" spans="1:1">
      <c r="A4159" t="s">
        <v>4691</v>
      </c>
    </row>
    <row r="4160" spans="1:1">
      <c r="A4160" t="s">
        <v>4692</v>
      </c>
    </row>
    <row r="4161" spans="1:1">
      <c r="A4161" t="s">
        <v>4693</v>
      </c>
    </row>
    <row r="4162" spans="1:1">
      <c r="A4162" t="s">
        <v>4694</v>
      </c>
    </row>
    <row r="4163" spans="1:1">
      <c r="A4163" t="s">
        <v>4695</v>
      </c>
    </row>
    <row r="4164" spans="1:1">
      <c r="A4164" t="s">
        <v>4696</v>
      </c>
    </row>
    <row r="4165" spans="1:1">
      <c r="A4165" t="s">
        <v>4697</v>
      </c>
    </row>
    <row r="4166" spans="1:1">
      <c r="A4166" t="s">
        <v>4698</v>
      </c>
    </row>
    <row r="4167" spans="1:1">
      <c r="A4167" t="s">
        <v>4699</v>
      </c>
    </row>
    <row r="4168" spans="1:1">
      <c r="A4168" t="s">
        <v>4700</v>
      </c>
    </row>
    <row r="4169" spans="1:1">
      <c r="A4169" t="s">
        <v>4701</v>
      </c>
    </row>
    <row r="4170" spans="1:1">
      <c r="A4170" t="s">
        <v>4702</v>
      </c>
    </row>
    <row r="4171" spans="1:1">
      <c r="A4171" t="s">
        <v>4703</v>
      </c>
    </row>
    <row r="4172" spans="1:1">
      <c r="A4172" t="s">
        <v>4704</v>
      </c>
    </row>
    <row r="4173" spans="1:1">
      <c r="A4173" t="s">
        <v>4705</v>
      </c>
    </row>
    <row r="4174" spans="1:1">
      <c r="A4174" t="s">
        <v>4706</v>
      </c>
    </row>
    <row r="4175" spans="1:1">
      <c r="A4175" t="s">
        <v>4707</v>
      </c>
    </row>
    <row r="4176" spans="1:1">
      <c r="A4176" t="s">
        <v>4708</v>
      </c>
    </row>
    <row r="4177" spans="1:1">
      <c r="A4177" t="s">
        <v>4709</v>
      </c>
    </row>
    <row r="4178" spans="1:1">
      <c r="A4178" t="s">
        <v>4710</v>
      </c>
    </row>
    <row r="4179" spans="1:1">
      <c r="A4179" t="s">
        <v>4711</v>
      </c>
    </row>
    <row r="4180" spans="1:1">
      <c r="A4180" t="s">
        <v>4712</v>
      </c>
    </row>
    <row r="4181" spans="1:1">
      <c r="A4181" t="s">
        <v>4713</v>
      </c>
    </row>
    <row r="4182" spans="1:1">
      <c r="A4182" t="s">
        <v>4714</v>
      </c>
    </row>
    <row r="4183" spans="1:1">
      <c r="A4183" t="s">
        <v>4715</v>
      </c>
    </row>
    <row r="4184" spans="1:1">
      <c r="A4184" t="s">
        <v>4716</v>
      </c>
    </row>
    <row r="4185" spans="1:1">
      <c r="A4185" t="s">
        <v>4717</v>
      </c>
    </row>
    <row r="4186" spans="1:1">
      <c r="A4186" t="s">
        <v>4718</v>
      </c>
    </row>
    <row r="4187" spans="1:1">
      <c r="A4187" t="s">
        <v>4719</v>
      </c>
    </row>
    <row r="4188" spans="1:1">
      <c r="A4188" t="s">
        <v>4720</v>
      </c>
    </row>
    <row r="4189" spans="1:1">
      <c r="A4189" t="s">
        <v>4721</v>
      </c>
    </row>
    <row r="4190" spans="1:1">
      <c r="A4190" t="s">
        <v>4722</v>
      </c>
    </row>
    <row r="4191" spans="1:1">
      <c r="A4191" t="s">
        <v>4723</v>
      </c>
    </row>
    <row r="4192" spans="1:1">
      <c r="A4192" t="s">
        <v>4724</v>
      </c>
    </row>
    <row r="4193" spans="1:1">
      <c r="A4193" t="s">
        <v>4725</v>
      </c>
    </row>
    <row r="4194" spans="1:1">
      <c r="A4194" t="s">
        <v>4726</v>
      </c>
    </row>
    <row r="4195" spans="1:1">
      <c r="A4195" t="s">
        <v>4727</v>
      </c>
    </row>
    <row r="4196" spans="1:1">
      <c r="A4196" t="s">
        <v>4728</v>
      </c>
    </row>
    <row r="4197" spans="1:1">
      <c r="A4197" t="s">
        <v>4729</v>
      </c>
    </row>
    <row r="4198" spans="1:1">
      <c r="A4198" t="s">
        <v>4730</v>
      </c>
    </row>
    <row r="4199" spans="1:1">
      <c r="A4199" t="s">
        <v>4731</v>
      </c>
    </row>
    <row r="4200" spans="1:1">
      <c r="A4200" t="s">
        <v>4732</v>
      </c>
    </row>
    <row r="4201" spans="1:1">
      <c r="A4201" t="s">
        <v>4733</v>
      </c>
    </row>
    <row r="4202" spans="1:1">
      <c r="A4202" t="s">
        <v>4734</v>
      </c>
    </row>
    <row r="4203" spans="1:1">
      <c r="A4203" t="s">
        <v>4735</v>
      </c>
    </row>
    <row r="4204" spans="1:1">
      <c r="A4204" t="s">
        <v>4736</v>
      </c>
    </row>
    <row r="4205" spans="1:1">
      <c r="A4205" t="s">
        <v>4737</v>
      </c>
    </row>
    <row r="4206" spans="1:1">
      <c r="A4206" t="s">
        <v>4738</v>
      </c>
    </row>
    <row r="4207" spans="1:1">
      <c r="A4207" t="s">
        <v>4739</v>
      </c>
    </row>
    <row r="4208" spans="1:1">
      <c r="A4208" t="s">
        <v>4740</v>
      </c>
    </row>
    <row r="4209" spans="1:1">
      <c r="A4209" t="s">
        <v>4741</v>
      </c>
    </row>
    <row r="4210" spans="1:1">
      <c r="A4210" t="s">
        <v>4742</v>
      </c>
    </row>
    <row r="4211" spans="1:1">
      <c r="A4211" t="s">
        <v>4743</v>
      </c>
    </row>
    <row r="4212" spans="1:1">
      <c r="A4212" t="s">
        <v>4744</v>
      </c>
    </row>
    <row r="4213" spans="1:1">
      <c r="A4213" t="s">
        <v>4745</v>
      </c>
    </row>
    <row r="4214" spans="1:1">
      <c r="A4214" t="s">
        <v>4746</v>
      </c>
    </row>
    <row r="4215" spans="1:1">
      <c r="A4215" t="s">
        <v>4747</v>
      </c>
    </row>
    <row r="4216" spans="1:1">
      <c r="A4216" t="s">
        <v>4748</v>
      </c>
    </row>
    <row r="4217" spans="1:1">
      <c r="A4217" t="s">
        <v>4749</v>
      </c>
    </row>
    <row r="4218" spans="1:1">
      <c r="A4218" t="s">
        <v>4750</v>
      </c>
    </row>
    <row r="4219" spans="1:1">
      <c r="A4219" t="s">
        <v>4751</v>
      </c>
    </row>
    <row r="4220" spans="1:1">
      <c r="A4220" t="s">
        <v>4752</v>
      </c>
    </row>
    <row r="4221" spans="1:1">
      <c r="A4221" t="s">
        <v>4753</v>
      </c>
    </row>
    <row r="4222" spans="1:1">
      <c r="A4222" t="s">
        <v>4754</v>
      </c>
    </row>
    <row r="4223" spans="1:1">
      <c r="A4223" t="s">
        <v>4755</v>
      </c>
    </row>
    <row r="4224" spans="1:1">
      <c r="A4224" t="s">
        <v>4756</v>
      </c>
    </row>
    <row r="4225" spans="1:1">
      <c r="A4225" t="s">
        <v>4757</v>
      </c>
    </row>
    <row r="4226" spans="1:1">
      <c r="A4226" t="s">
        <v>4758</v>
      </c>
    </row>
    <row r="4227" spans="1:1">
      <c r="A4227" t="s">
        <v>4759</v>
      </c>
    </row>
    <row r="4228" spans="1:1">
      <c r="A4228" t="s">
        <v>4760</v>
      </c>
    </row>
    <row r="4229" spans="1:1">
      <c r="A4229" t="s">
        <v>4761</v>
      </c>
    </row>
    <row r="4230" spans="1:1">
      <c r="A4230" t="s">
        <v>4762</v>
      </c>
    </row>
    <row r="4231" spans="1:1">
      <c r="A4231" t="s">
        <v>4763</v>
      </c>
    </row>
    <row r="4232" spans="1:1">
      <c r="A4232" t="s">
        <v>4764</v>
      </c>
    </row>
    <row r="4233" spans="1:1">
      <c r="A4233" t="s">
        <v>4765</v>
      </c>
    </row>
    <row r="4234" spans="1:1">
      <c r="A4234" t="s">
        <v>4766</v>
      </c>
    </row>
    <row r="4235" spans="1:1">
      <c r="A4235" t="s">
        <v>4767</v>
      </c>
    </row>
    <row r="4236" spans="1:1">
      <c r="A4236" t="s">
        <v>4768</v>
      </c>
    </row>
    <row r="4237" spans="1:1">
      <c r="A4237" t="s">
        <v>4769</v>
      </c>
    </row>
    <row r="4238" spans="1:1">
      <c r="A4238" t="s">
        <v>4770</v>
      </c>
    </row>
    <row r="4239" spans="1:1">
      <c r="A4239" t="s">
        <v>4771</v>
      </c>
    </row>
    <row r="4240" spans="1:1">
      <c r="A4240" t="s">
        <v>4772</v>
      </c>
    </row>
    <row r="4241" spans="1:1">
      <c r="A4241" t="s">
        <v>4773</v>
      </c>
    </row>
    <row r="4242" spans="1:1">
      <c r="A4242" t="s">
        <v>4774</v>
      </c>
    </row>
    <row r="4243" spans="1:1">
      <c r="A4243" t="s">
        <v>4775</v>
      </c>
    </row>
    <row r="4244" spans="1:1">
      <c r="A4244" t="s">
        <v>4776</v>
      </c>
    </row>
    <row r="4245" spans="1:1">
      <c r="A4245" t="s">
        <v>4777</v>
      </c>
    </row>
    <row r="4246" spans="1:1">
      <c r="A4246" t="s">
        <v>4778</v>
      </c>
    </row>
    <row r="4247" spans="1:1">
      <c r="A4247" t="s">
        <v>4779</v>
      </c>
    </row>
    <row r="4248" spans="1:1">
      <c r="A4248" t="s">
        <v>4780</v>
      </c>
    </row>
    <row r="4249" spans="1:1">
      <c r="A4249" t="s">
        <v>4781</v>
      </c>
    </row>
    <row r="4250" spans="1:1">
      <c r="A4250" t="s">
        <v>4782</v>
      </c>
    </row>
    <row r="4251" spans="1:1">
      <c r="A4251" t="s">
        <v>4783</v>
      </c>
    </row>
    <row r="4252" spans="1:1">
      <c r="A4252" t="s">
        <v>4784</v>
      </c>
    </row>
    <row r="4253" spans="1:1">
      <c r="A4253" t="s">
        <v>4785</v>
      </c>
    </row>
    <row r="4254" spans="1:1">
      <c r="A4254" t="s">
        <v>4786</v>
      </c>
    </row>
    <row r="4255" spans="1:1">
      <c r="A4255" t="s">
        <v>4787</v>
      </c>
    </row>
    <row r="4256" spans="1:1">
      <c r="A4256" t="s">
        <v>4788</v>
      </c>
    </row>
    <row r="4257" spans="1:1">
      <c r="A4257" t="s">
        <v>4789</v>
      </c>
    </row>
    <row r="4258" spans="1:1">
      <c r="A4258" t="s">
        <v>4790</v>
      </c>
    </row>
    <row r="4259" spans="1:1">
      <c r="A4259" t="s">
        <v>4791</v>
      </c>
    </row>
    <row r="4260" spans="1:1">
      <c r="A4260" t="s">
        <v>4792</v>
      </c>
    </row>
    <row r="4261" spans="1:1">
      <c r="A4261" t="s">
        <v>4793</v>
      </c>
    </row>
    <row r="4262" spans="1:1">
      <c r="A4262" t="s">
        <v>4794</v>
      </c>
    </row>
    <row r="4263" spans="1:1">
      <c r="A4263" t="s">
        <v>4795</v>
      </c>
    </row>
    <row r="4264" spans="1:1">
      <c r="A4264" t="s">
        <v>4796</v>
      </c>
    </row>
    <row r="4265" spans="1:1">
      <c r="A4265" t="s">
        <v>4797</v>
      </c>
    </row>
    <row r="4266" spans="1:1">
      <c r="A4266" t="s">
        <v>4798</v>
      </c>
    </row>
    <row r="4267" spans="1:1">
      <c r="A4267" t="s">
        <v>4799</v>
      </c>
    </row>
    <row r="4268" spans="1:1">
      <c r="A4268" t="s">
        <v>4800</v>
      </c>
    </row>
    <row r="4269" spans="1:1">
      <c r="A4269" t="s">
        <v>4801</v>
      </c>
    </row>
    <row r="4270" spans="1:1">
      <c r="A4270" t="s">
        <v>4802</v>
      </c>
    </row>
    <row r="4271" spans="1:1">
      <c r="A4271" t="s">
        <v>4803</v>
      </c>
    </row>
    <row r="4272" spans="1:1">
      <c r="A4272" t="s">
        <v>4804</v>
      </c>
    </row>
    <row r="4273" spans="1:1">
      <c r="A4273" t="s">
        <v>4805</v>
      </c>
    </row>
    <row r="4274" spans="1:1">
      <c r="A4274" t="s">
        <v>4806</v>
      </c>
    </row>
    <row r="4275" spans="1:1">
      <c r="A4275" t="s">
        <v>4807</v>
      </c>
    </row>
    <row r="4276" spans="1:1">
      <c r="A4276" t="s">
        <v>4808</v>
      </c>
    </row>
    <row r="4277" spans="1:1">
      <c r="A4277" t="s">
        <v>4809</v>
      </c>
    </row>
    <row r="4278" spans="1:1">
      <c r="A4278" t="s">
        <v>4810</v>
      </c>
    </row>
    <row r="4279" spans="1:1">
      <c r="A4279" t="s">
        <v>4811</v>
      </c>
    </row>
    <row r="4280" spans="1:1">
      <c r="A4280" t="s">
        <v>4812</v>
      </c>
    </row>
    <row r="4281" spans="1:1">
      <c r="A4281" t="s">
        <v>4813</v>
      </c>
    </row>
    <row r="4282" spans="1:1">
      <c r="A4282" t="s">
        <v>4814</v>
      </c>
    </row>
    <row r="4283" spans="1:1">
      <c r="A4283" t="s">
        <v>4815</v>
      </c>
    </row>
    <row r="4284" spans="1:1">
      <c r="A4284" t="s">
        <v>4816</v>
      </c>
    </row>
    <row r="4285" spans="1:1">
      <c r="A4285" t="s">
        <v>4817</v>
      </c>
    </row>
    <row r="4286" spans="1:1">
      <c r="A4286" t="s">
        <v>4818</v>
      </c>
    </row>
    <row r="4287" spans="1:1">
      <c r="A4287" t="s">
        <v>4819</v>
      </c>
    </row>
    <row r="4288" spans="1:1">
      <c r="A4288" t="s">
        <v>4820</v>
      </c>
    </row>
    <row r="4289" spans="1:1">
      <c r="A4289" t="s">
        <v>4821</v>
      </c>
    </row>
    <row r="4290" spans="1:1">
      <c r="A4290" t="s">
        <v>4822</v>
      </c>
    </row>
    <row r="4291" spans="1:1">
      <c r="A4291" t="s">
        <v>4823</v>
      </c>
    </row>
    <row r="4292" spans="1:1">
      <c r="A4292" t="s">
        <v>4824</v>
      </c>
    </row>
    <row r="4293" spans="1:1">
      <c r="A4293" t="s">
        <v>4825</v>
      </c>
    </row>
    <row r="4294" spans="1:1">
      <c r="A4294" t="s">
        <v>4826</v>
      </c>
    </row>
    <row r="4295" spans="1:1">
      <c r="A4295" t="s">
        <v>4827</v>
      </c>
    </row>
    <row r="4296" spans="1:1">
      <c r="A4296" t="s">
        <v>4828</v>
      </c>
    </row>
    <row r="4297" spans="1:1">
      <c r="A4297" t="s">
        <v>4829</v>
      </c>
    </row>
    <row r="4298" spans="1:1">
      <c r="A4298" t="s">
        <v>4830</v>
      </c>
    </row>
    <row r="4299" spans="1:1">
      <c r="A4299" t="s">
        <v>4831</v>
      </c>
    </row>
    <row r="4300" spans="1:1">
      <c r="A4300" t="s">
        <v>4832</v>
      </c>
    </row>
    <row r="4301" spans="1:1">
      <c r="A4301" t="s">
        <v>4833</v>
      </c>
    </row>
    <row r="4302" spans="1:1">
      <c r="A4302" t="s">
        <v>4834</v>
      </c>
    </row>
    <row r="4303" spans="1:1">
      <c r="A4303" t="s">
        <v>4835</v>
      </c>
    </row>
    <row r="4304" spans="1:1">
      <c r="A4304" t="s">
        <v>4836</v>
      </c>
    </row>
    <row r="4305" spans="1:1">
      <c r="A4305" t="s">
        <v>4837</v>
      </c>
    </row>
    <row r="4306" spans="1:1">
      <c r="A4306" t="s">
        <v>4838</v>
      </c>
    </row>
    <row r="4307" spans="1:1">
      <c r="A4307" t="s">
        <v>4839</v>
      </c>
    </row>
    <row r="4308" spans="1:1">
      <c r="A4308" t="s">
        <v>4840</v>
      </c>
    </row>
    <row r="4309" spans="1:1">
      <c r="A4309" t="s">
        <v>4841</v>
      </c>
    </row>
    <row r="4310" spans="1:1">
      <c r="A4310" t="s">
        <v>4842</v>
      </c>
    </row>
    <row r="4311" spans="1:1">
      <c r="A4311" t="s">
        <v>4843</v>
      </c>
    </row>
    <row r="4312" spans="1:1">
      <c r="A4312" t="s">
        <v>4844</v>
      </c>
    </row>
    <row r="4313" spans="1:1">
      <c r="A4313" t="s">
        <v>4845</v>
      </c>
    </row>
    <row r="4314" spans="1:1">
      <c r="A4314" t="s">
        <v>4846</v>
      </c>
    </row>
    <row r="4315" spans="1:1">
      <c r="A4315" t="s">
        <v>4847</v>
      </c>
    </row>
    <row r="4316" spans="1:1">
      <c r="A4316" t="s">
        <v>4848</v>
      </c>
    </row>
    <row r="4317" spans="1:1">
      <c r="A4317" t="s">
        <v>4849</v>
      </c>
    </row>
    <row r="4318" spans="1:1">
      <c r="A4318" t="s">
        <v>4850</v>
      </c>
    </row>
    <row r="4319" spans="1:1">
      <c r="A4319" t="s">
        <v>4851</v>
      </c>
    </row>
    <row r="4320" spans="1:1">
      <c r="A4320" t="s">
        <v>4852</v>
      </c>
    </row>
    <row r="4321" spans="1:1">
      <c r="A4321" t="s">
        <v>4853</v>
      </c>
    </row>
    <row r="4322" spans="1:1">
      <c r="A4322" t="s">
        <v>4854</v>
      </c>
    </row>
    <row r="4323" spans="1:1">
      <c r="A4323" t="s">
        <v>4855</v>
      </c>
    </row>
    <row r="4324" spans="1:1">
      <c r="A4324" t="s">
        <v>4856</v>
      </c>
    </row>
    <row r="4325" spans="1:1">
      <c r="A4325" t="s">
        <v>4857</v>
      </c>
    </row>
    <row r="4326" spans="1:1">
      <c r="A4326" t="s">
        <v>4858</v>
      </c>
    </row>
    <row r="4327" spans="1:1">
      <c r="A4327" t="s">
        <v>4859</v>
      </c>
    </row>
    <row r="4328" spans="1:1">
      <c r="A4328" t="s">
        <v>4860</v>
      </c>
    </row>
    <row r="4329" spans="1:1">
      <c r="A4329" t="s">
        <v>4861</v>
      </c>
    </row>
    <row r="4330" spans="1:1">
      <c r="A4330" t="s">
        <v>4862</v>
      </c>
    </row>
    <row r="4331" spans="1:1">
      <c r="A4331" t="s">
        <v>4863</v>
      </c>
    </row>
    <row r="4332" spans="1:1">
      <c r="A4332" t="s">
        <v>4864</v>
      </c>
    </row>
    <row r="4333" spans="1:1">
      <c r="A4333" t="s">
        <v>4865</v>
      </c>
    </row>
    <row r="4334" spans="1:1">
      <c r="A4334" t="s">
        <v>4866</v>
      </c>
    </row>
    <row r="4335" spans="1:1">
      <c r="A4335" t="s">
        <v>4867</v>
      </c>
    </row>
    <row r="4336" spans="1:1">
      <c r="A4336" t="s">
        <v>4868</v>
      </c>
    </row>
    <row r="4337" spans="1:1">
      <c r="A4337" t="s">
        <v>4869</v>
      </c>
    </row>
    <row r="4338" spans="1:1">
      <c r="A4338" t="s">
        <v>4870</v>
      </c>
    </row>
    <row r="4339" spans="1:1">
      <c r="A4339" t="s">
        <v>4871</v>
      </c>
    </row>
    <row r="4340" spans="1:1">
      <c r="A4340" t="s">
        <v>4872</v>
      </c>
    </row>
    <row r="4341" spans="1:1">
      <c r="A4341" t="s">
        <v>4873</v>
      </c>
    </row>
    <row r="4342" spans="1:1">
      <c r="A4342" t="s">
        <v>4874</v>
      </c>
    </row>
    <row r="4343" spans="1:1">
      <c r="A4343" t="s">
        <v>4875</v>
      </c>
    </row>
    <row r="4344" spans="1:1">
      <c r="A4344" t="s">
        <v>4876</v>
      </c>
    </row>
    <row r="4345" spans="1:1">
      <c r="A4345" t="s">
        <v>4877</v>
      </c>
    </row>
    <row r="4346" spans="1:1">
      <c r="A4346" t="s">
        <v>4878</v>
      </c>
    </row>
    <row r="4347" spans="1:1">
      <c r="A4347" t="s">
        <v>4879</v>
      </c>
    </row>
    <row r="4348" spans="1:1">
      <c r="A4348" t="s">
        <v>4880</v>
      </c>
    </row>
    <row r="4349" spans="1:1">
      <c r="A4349" t="s">
        <v>4881</v>
      </c>
    </row>
    <row r="4350" spans="1:1">
      <c r="A4350" t="s">
        <v>4882</v>
      </c>
    </row>
    <row r="4351" spans="1:1">
      <c r="A4351" t="s">
        <v>4883</v>
      </c>
    </row>
    <row r="4352" spans="1:1">
      <c r="A4352" t="s">
        <v>4884</v>
      </c>
    </row>
    <row r="4353" spans="1:1">
      <c r="A4353" t="s">
        <v>4885</v>
      </c>
    </row>
    <row r="4354" spans="1:1">
      <c r="A4354" t="s">
        <v>4886</v>
      </c>
    </row>
    <row r="4355" spans="1:1">
      <c r="A4355" t="s">
        <v>4887</v>
      </c>
    </row>
    <row r="4356" spans="1:1">
      <c r="A4356" t="s">
        <v>4888</v>
      </c>
    </row>
    <row r="4357" spans="1:1">
      <c r="A4357" t="s">
        <v>4889</v>
      </c>
    </row>
    <row r="4358" spans="1:1">
      <c r="A4358" t="s">
        <v>4890</v>
      </c>
    </row>
    <row r="4359" spans="1:1">
      <c r="A4359" t="s">
        <v>4891</v>
      </c>
    </row>
    <row r="4360" spans="1:1">
      <c r="A4360" t="s">
        <v>4892</v>
      </c>
    </row>
    <row r="4361" spans="1:1">
      <c r="A4361" t="s">
        <v>4893</v>
      </c>
    </row>
    <row r="4362" spans="1:1">
      <c r="A4362" t="s">
        <v>4894</v>
      </c>
    </row>
    <row r="4363" spans="1:1">
      <c r="A4363" t="s">
        <v>4895</v>
      </c>
    </row>
    <row r="4364" spans="1:1">
      <c r="A4364" t="s">
        <v>4896</v>
      </c>
    </row>
    <row r="4365" spans="1:1">
      <c r="A4365" t="s">
        <v>4897</v>
      </c>
    </row>
    <row r="4366" spans="1:1">
      <c r="A4366" t="s">
        <v>4898</v>
      </c>
    </row>
    <row r="4367" spans="1:1">
      <c r="A4367" t="s">
        <v>4899</v>
      </c>
    </row>
    <row r="4368" spans="1:1">
      <c r="A4368" t="s">
        <v>4900</v>
      </c>
    </row>
    <row r="4369" spans="1:1">
      <c r="A4369" t="s">
        <v>4901</v>
      </c>
    </row>
    <row r="4370" spans="1:1">
      <c r="A4370" t="s">
        <v>4902</v>
      </c>
    </row>
    <row r="4371" spans="1:1">
      <c r="A4371" t="s">
        <v>4903</v>
      </c>
    </row>
    <row r="4372" spans="1:1">
      <c r="A4372" t="s">
        <v>4904</v>
      </c>
    </row>
    <row r="4373" spans="1:1">
      <c r="A4373" t="s">
        <v>4905</v>
      </c>
    </row>
    <row r="4374" spans="1:1">
      <c r="A4374" t="s">
        <v>4906</v>
      </c>
    </row>
    <row r="4375" spans="1:1">
      <c r="A4375" t="s">
        <v>4907</v>
      </c>
    </row>
    <row r="4376" spans="1:1">
      <c r="A4376" t="s">
        <v>4908</v>
      </c>
    </row>
    <row r="4377" spans="1:1">
      <c r="A4377" t="s">
        <v>4909</v>
      </c>
    </row>
    <row r="4378" spans="1:1">
      <c r="A4378" t="s">
        <v>4910</v>
      </c>
    </row>
    <row r="4379" spans="1:1">
      <c r="A4379" t="s">
        <v>4911</v>
      </c>
    </row>
    <row r="4380" spans="1:1">
      <c r="A4380" t="s">
        <v>4912</v>
      </c>
    </row>
    <row r="4381" spans="1:1">
      <c r="A4381" t="s">
        <v>4913</v>
      </c>
    </row>
    <row r="4382" spans="1:1">
      <c r="A4382" t="s">
        <v>4914</v>
      </c>
    </row>
    <row r="4383" spans="1:1">
      <c r="A4383" t="s">
        <v>4915</v>
      </c>
    </row>
    <row r="4384" spans="1:1">
      <c r="A4384" t="s">
        <v>4916</v>
      </c>
    </row>
    <row r="4385" spans="1:1">
      <c r="A4385" t="s">
        <v>4917</v>
      </c>
    </row>
    <row r="4386" spans="1:1">
      <c r="A4386" t="s">
        <v>4918</v>
      </c>
    </row>
    <row r="4387" spans="1:1">
      <c r="A4387" t="s">
        <v>4919</v>
      </c>
    </row>
    <row r="4388" spans="1:1">
      <c r="A4388" t="s">
        <v>4920</v>
      </c>
    </row>
    <row r="4389" spans="1:1">
      <c r="A4389" t="s">
        <v>4921</v>
      </c>
    </row>
    <row r="4390" spans="1:1">
      <c r="A4390" t="s">
        <v>4922</v>
      </c>
    </row>
    <row r="4391" spans="1:1">
      <c r="A4391" t="s">
        <v>4923</v>
      </c>
    </row>
    <row r="4392" spans="1:1">
      <c r="A4392" t="s">
        <v>4924</v>
      </c>
    </row>
    <row r="4393" spans="1:1">
      <c r="A4393" t="s">
        <v>4925</v>
      </c>
    </row>
    <row r="4394" spans="1:1">
      <c r="A4394" t="s">
        <v>4926</v>
      </c>
    </row>
    <row r="4395" spans="1:1">
      <c r="A4395" t="s">
        <v>4927</v>
      </c>
    </row>
    <row r="4396" spans="1:1">
      <c r="A4396" t="s">
        <v>4928</v>
      </c>
    </row>
    <row r="4397" spans="1:1">
      <c r="A4397" t="s">
        <v>4929</v>
      </c>
    </row>
    <row r="4398" spans="1:1">
      <c r="A4398" t="s">
        <v>4930</v>
      </c>
    </row>
    <row r="4399" spans="1:1">
      <c r="A4399" t="s">
        <v>4931</v>
      </c>
    </row>
    <row r="4400" spans="1:1">
      <c r="A4400" t="s">
        <v>4932</v>
      </c>
    </row>
    <row r="4401" spans="1:1">
      <c r="A4401" t="s">
        <v>4933</v>
      </c>
    </row>
    <row r="4402" spans="1:1">
      <c r="A4402" t="s">
        <v>4934</v>
      </c>
    </row>
    <row r="4403" spans="1:1">
      <c r="A4403" t="s">
        <v>4935</v>
      </c>
    </row>
    <row r="4404" spans="1:1">
      <c r="A4404" t="s">
        <v>4936</v>
      </c>
    </row>
    <row r="4405" spans="1:1">
      <c r="A4405" t="s">
        <v>4937</v>
      </c>
    </row>
    <row r="4406" spans="1:1">
      <c r="A4406" t="s">
        <v>4938</v>
      </c>
    </row>
    <row r="4407" spans="1:1">
      <c r="A4407" t="s">
        <v>4939</v>
      </c>
    </row>
    <row r="4408" spans="1:1">
      <c r="A4408" t="s">
        <v>4940</v>
      </c>
    </row>
    <row r="4409" spans="1:1">
      <c r="A4409" t="s">
        <v>4941</v>
      </c>
    </row>
    <row r="4410" spans="1:1">
      <c r="A4410" t="s">
        <v>4942</v>
      </c>
    </row>
    <row r="4411" spans="1:1">
      <c r="A4411" t="s">
        <v>4943</v>
      </c>
    </row>
    <row r="4412" spans="1:1">
      <c r="A4412" t="s">
        <v>4944</v>
      </c>
    </row>
    <row r="4413" spans="1:1">
      <c r="A4413" t="s">
        <v>4945</v>
      </c>
    </row>
    <row r="4414" spans="1:1">
      <c r="A4414" t="s">
        <v>4946</v>
      </c>
    </row>
    <row r="4415" spans="1:1">
      <c r="A4415" t="s">
        <v>4947</v>
      </c>
    </row>
    <row r="4416" spans="1:1">
      <c r="A4416" t="s">
        <v>4948</v>
      </c>
    </row>
    <row r="4417" spans="1:1">
      <c r="A4417" t="s">
        <v>4949</v>
      </c>
    </row>
    <row r="4418" spans="1:1">
      <c r="A4418" t="s">
        <v>4950</v>
      </c>
    </row>
    <row r="4419" spans="1:1">
      <c r="A4419" t="s">
        <v>4951</v>
      </c>
    </row>
    <row r="4420" spans="1:1">
      <c r="A4420" t="s">
        <v>4952</v>
      </c>
    </row>
    <row r="4421" spans="1:1">
      <c r="A4421" t="s">
        <v>4953</v>
      </c>
    </row>
    <row r="4422" spans="1:1">
      <c r="A4422" t="s">
        <v>4954</v>
      </c>
    </row>
    <row r="4423" spans="1:1">
      <c r="A4423" t="s">
        <v>4955</v>
      </c>
    </row>
    <row r="4424" spans="1:1">
      <c r="A4424" t="s">
        <v>4956</v>
      </c>
    </row>
    <row r="4425" spans="1:1">
      <c r="A4425" t="s">
        <v>4957</v>
      </c>
    </row>
    <row r="4426" spans="1:1">
      <c r="A4426" t="s">
        <v>4958</v>
      </c>
    </row>
    <row r="4427" spans="1:1">
      <c r="A4427" t="s">
        <v>4959</v>
      </c>
    </row>
    <row r="4428" spans="1:1">
      <c r="A4428" t="s">
        <v>4960</v>
      </c>
    </row>
    <row r="4429" spans="1:1">
      <c r="A4429" t="s">
        <v>4961</v>
      </c>
    </row>
    <row r="4430" spans="1:1">
      <c r="A4430" t="s">
        <v>4962</v>
      </c>
    </row>
    <row r="4431" spans="1:1">
      <c r="A4431" t="s">
        <v>4963</v>
      </c>
    </row>
    <row r="4432" spans="1:1">
      <c r="A4432" t="s">
        <v>4964</v>
      </c>
    </row>
    <row r="4433" spans="1:1">
      <c r="A4433" t="s">
        <v>4965</v>
      </c>
    </row>
    <row r="4434" spans="1:1">
      <c r="A4434" t="s">
        <v>4966</v>
      </c>
    </row>
    <row r="4435" spans="1:1">
      <c r="A4435" t="s">
        <v>4967</v>
      </c>
    </row>
    <row r="4436" spans="1:1">
      <c r="A4436" t="s">
        <v>4968</v>
      </c>
    </row>
    <row r="4437" spans="1:1">
      <c r="A4437" t="s">
        <v>4969</v>
      </c>
    </row>
    <row r="4438" spans="1:1">
      <c r="A4438" t="s">
        <v>4970</v>
      </c>
    </row>
    <row r="4439" spans="1:1">
      <c r="A4439" t="s">
        <v>4971</v>
      </c>
    </row>
    <row r="4440" spans="1:1">
      <c r="A4440" t="s">
        <v>4972</v>
      </c>
    </row>
    <row r="4441" spans="1:1">
      <c r="A4441" t="s">
        <v>4973</v>
      </c>
    </row>
    <row r="4442" spans="1:1">
      <c r="A4442" t="s">
        <v>4974</v>
      </c>
    </row>
    <row r="4443" spans="1:1">
      <c r="A4443" t="s">
        <v>4975</v>
      </c>
    </row>
    <row r="4444" spans="1:1">
      <c r="A4444" t="s">
        <v>4976</v>
      </c>
    </row>
    <row r="4445" spans="1:1">
      <c r="A4445" t="s">
        <v>4977</v>
      </c>
    </row>
    <row r="4446" spans="1:1">
      <c r="A4446" t="s">
        <v>4978</v>
      </c>
    </row>
    <row r="4447" spans="1:1">
      <c r="A4447" t="s">
        <v>4979</v>
      </c>
    </row>
    <row r="4448" spans="1:1">
      <c r="A4448" t="s">
        <v>4980</v>
      </c>
    </row>
    <row r="4449" spans="1:1">
      <c r="A4449" t="s">
        <v>4981</v>
      </c>
    </row>
    <row r="4450" spans="1:1">
      <c r="A4450" t="s">
        <v>4982</v>
      </c>
    </row>
    <row r="4451" spans="1:1">
      <c r="A4451" t="s">
        <v>4983</v>
      </c>
    </row>
    <row r="4452" spans="1:1">
      <c r="A4452" t="s">
        <v>4984</v>
      </c>
    </row>
    <row r="4453" spans="1:1">
      <c r="A4453" t="s">
        <v>4985</v>
      </c>
    </row>
    <row r="4454" spans="1:1">
      <c r="A4454" t="s">
        <v>4986</v>
      </c>
    </row>
    <row r="4455" spans="1:1">
      <c r="A4455" t="s">
        <v>4987</v>
      </c>
    </row>
    <row r="4456" spans="1:1">
      <c r="A4456" t="s">
        <v>4988</v>
      </c>
    </row>
    <row r="4457" spans="1:1">
      <c r="A4457" t="s">
        <v>4989</v>
      </c>
    </row>
    <row r="4458" spans="1:1">
      <c r="A4458" t="s">
        <v>4990</v>
      </c>
    </row>
    <row r="4459" spans="1:1">
      <c r="A4459" t="s">
        <v>4991</v>
      </c>
    </row>
    <row r="4460" spans="1:1">
      <c r="A4460" t="s">
        <v>4992</v>
      </c>
    </row>
    <row r="4461" spans="1:1">
      <c r="A4461" t="s">
        <v>4993</v>
      </c>
    </row>
    <row r="4462" spans="1:1">
      <c r="A4462" t="s">
        <v>4994</v>
      </c>
    </row>
    <row r="4463" spans="1:1">
      <c r="A4463" t="s">
        <v>4995</v>
      </c>
    </row>
    <row r="4464" spans="1:1">
      <c r="A4464" t="s">
        <v>4996</v>
      </c>
    </row>
    <row r="4465" spans="1:1">
      <c r="A4465" t="s">
        <v>4997</v>
      </c>
    </row>
    <row r="4466" spans="1:1">
      <c r="A4466" t="s">
        <v>4998</v>
      </c>
    </row>
    <row r="4467" spans="1:1">
      <c r="A4467" t="s">
        <v>4999</v>
      </c>
    </row>
    <row r="4468" spans="1:1">
      <c r="A4468" t="s">
        <v>5000</v>
      </c>
    </row>
    <row r="4469" spans="1:1">
      <c r="A4469" t="s">
        <v>5001</v>
      </c>
    </row>
    <row r="4470" spans="1:1">
      <c r="A4470" t="s">
        <v>5002</v>
      </c>
    </row>
    <row r="4471" spans="1:1">
      <c r="A4471" t="s">
        <v>5003</v>
      </c>
    </row>
    <row r="4472" spans="1:1">
      <c r="A4472" t="s">
        <v>5004</v>
      </c>
    </row>
    <row r="4473" spans="1:1">
      <c r="A4473" t="s">
        <v>5005</v>
      </c>
    </row>
    <row r="4474" spans="1:1">
      <c r="A4474" t="s">
        <v>5006</v>
      </c>
    </row>
    <row r="4475" spans="1:1">
      <c r="A4475" t="s">
        <v>5007</v>
      </c>
    </row>
    <row r="4476" spans="1:1">
      <c r="A4476" t="s">
        <v>5008</v>
      </c>
    </row>
    <row r="4477" spans="1:1">
      <c r="A4477" t="s">
        <v>5009</v>
      </c>
    </row>
    <row r="4478" spans="1:1">
      <c r="A4478" t="s">
        <v>5010</v>
      </c>
    </row>
    <row r="4479" spans="1:1">
      <c r="A4479" t="s">
        <v>5011</v>
      </c>
    </row>
    <row r="4480" spans="1:1">
      <c r="A4480" t="s">
        <v>5012</v>
      </c>
    </row>
    <row r="4481" spans="1:1">
      <c r="A4481" t="s">
        <v>5013</v>
      </c>
    </row>
    <row r="4482" spans="1:1">
      <c r="A4482" t="s">
        <v>5014</v>
      </c>
    </row>
    <row r="4483" spans="1:1">
      <c r="A4483" t="s">
        <v>5015</v>
      </c>
    </row>
    <row r="4484" spans="1:1">
      <c r="A4484" t="s">
        <v>5016</v>
      </c>
    </row>
    <row r="4485" spans="1:1">
      <c r="A4485" t="s">
        <v>5017</v>
      </c>
    </row>
    <row r="4486" spans="1:1">
      <c r="A4486" t="s">
        <v>5018</v>
      </c>
    </row>
    <row r="4487" spans="1:1">
      <c r="A4487" t="s">
        <v>5019</v>
      </c>
    </row>
    <row r="4488" spans="1:1">
      <c r="A4488" t="s">
        <v>5020</v>
      </c>
    </row>
    <row r="4489" spans="1:1">
      <c r="A4489" t="s">
        <v>5021</v>
      </c>
    </row>
    <row r="4490" spans="1:1">
      <c r="A4490" t="s">
        <v>5022</v>
      </c>
    </row>
    <row r="4491" spans="1:1">
      <c r="A4491" t="s">
        <v>5023</v>
      </c>
    </row>
    <row r="4492" spans="1:1">
      <c r="A4492" t="s">
        <v>5024</v>
      </c>
    </row>
    <row r="4493" spans="1:1">
      <c r="A4493" t="s">
        <v>5025</v>
      </c>
    </row>
    <row r="4494" spans="1:1">
      <c r="A4494" t="s">
        <v>5026</v>
      </c>
    </row>
    <row r="4495" spans="1:1">
      <c r="A4495" t="s">
        <v>5027</v>
      </c>
    </row>
    <row r="4496" spans="1:1">
      <c r="A4496" t="s">
        <v>5028</v>
      </c>
    </row>
    <row r="4497" spans="1:1">
      <c r="A4497" t="s">
        <v>5029</v>
      </c>
    </row>
    <row r="4498" spans="1:1">
      <c r="A4498" t="s">
        <v>5030</v>
      </c>
    </row>
    <row r="4499" spans="1:1">
      <c r="A4499" t="s">
        <v>5031</v>
      </c>
    </row>
    <row r="4500" spans="1:1">
      <c r="A4500" t="s">
        <v>5032</v>
      </c>
    </row>
    <row r="4501" spans="1:1">
      <c r="A4501" t="s">
        <v>5033</v>
      </c>
    </row>
    <row r="4502" spans="1:1">
      <c r="A4502" t="s">
        <v>5034</v>
      </c>
    </row>
    <row r="4503" spans="1:1">
      <c r="A4503" t="s">
        <v>5035</v>
      </c>
    </row>
    <row r="4504" spans="1:1">
      <c r="A4504" t="s">
        <v>5036</v>
      </c>
    </row>
    <row r="4505" spans="1:1">
      <c r="A4505" t="s">
        <v>5037</v>
      </c>
    </row>
    <row r="4506" spans="1:1">
      <c r="A4506" t="s">
        <v>5038</v>
      </c>
    </row>
    <row r="4507" spans="1:1">
      <c r="A4507" t="s">
        <v>5039</v>
      </c>
    </row>
    <row r="4508" spans="1:1">
      <c r="A4508" t="s">
        <v>5040</v>
      </c>
    </row>
    <row r="4509" spans="1:1">
      <c r="A4509" t="s">
        <v>5041</v>
      </c>
    </row>
    <row r="4510" spans="1:1">
      <c r="A4510" t="s">
        <v>5042</v>
      </c>
    </row>
    <row r="4511" spans="1:1">
      <c r="A4511" t="s">
        <v>5043</v>
      </c>
    </row>
    <row r="4512" spans="1:1">
      <c r="A4512" t="s">
        <v>5044</v>
      </c>
    </row>
    <row r="4513" spans="1:1">
      <c r="A4513" t="s">
        <v>5045</v>
      </c>
    </row>
    <row r="4514" spans="1:1">
      <c r="A4514" t="s">
        <v>5046</v>
      </c>
    </row>
    <row r="4515" spans="1:1">
      <c r="A4515" t="s">
        <v>5047</v>
      </c>
    </row>
    <row r="4516" spans="1:1">
      <c r="A4516" t="s">
        <v>5048</v>
      </c>
    </row>
    <row r="4517" spans="1:1">
      <c r="A4517" t="s">
        <v>5049</v>
      </c>
    </row>
    <row r="4518" spans="1:1">
      <c r="A4518" t="s">
        <v>5050</v>
      </c>
    </row>
    <row r="4519" spans="1:1">
      <c r="A4519" t="s">
        <v>5051</v>
      </c>
    </row>
    <row r="4520" spans="1:1">
      <c r="A4520" t="s">
        <v>5052</v>
      </c>
    </row>
    <row r="4521" spans="1:1">
      <c r="A4521" t="s">
        <v>5053</v>
      </c>
    </row>
    <row r="4522" spans="1:1">
      <c r="A4522" t="s">
        <v>5054</v>
      </c>
    </row>
    <row r="4523" spans="1:1">
      <c r="A4523" t="s">
        <v>5055</v>
      </c>
    </row>
    <row r="4524" spans="1:1">
      <c r="A4524" t="s">
        <v>5056</v>
      </c>
    </row>
    <row r="4525" spans="1:1">
      <c r="A4525" t="s">
        <v>5057</v>
      </c>
    </row>
    <row r="4526" spans="1:1">
      <c r="A4526" t="s">
        <v>5058</v>
      </c>
    </row>
    <row r="4527" spans="1:1">
      <c r="A4527" t="s">
        <v>5059</v>
      </c>
    </row>
    <row r="4528" spans="1:1">
      <c r="A4528" t="s">
        <v>5060</v>
      </c>
    </row>
    <row r="4529" spans="1:1">
      <c r="A4529" t="s">
        <v>5061</v>
      </c>
    </row>
    <row r="4530" spans="1:1">
      <c r="A4530" t="s">
        <v>5062</v>
      </c>
    </row>
    <row r="4531" spans="1:1">
      <c r="A4531" t="s">
        <v>5063</v>
      </c>
    </row>
    <row r="4532" spans="1:1">
      <c r="A4532" t="s">
        <v>5064</v>
      </c>
    </row>
    <row r="4533" spans="1:1">
      <c r="A4533" t="s">
        <v>5065</v>
      </c>
    </row>
    <row r="4534" spans="1:1">
      <c r="A4534" t="s">
        <v>5066</v>
      </c>
    </row>
    <row r="4535" spans="1:1">
      <c r="A4535" t="s">
        <v>5067</v>
      </c>
    </row>
    <row r="4536" spans="1:1">
      <c r="A4536" t="s">
        <v>5068</v>
      </c>
    </row>
    <row r="4537" spans="1:1">
      <c r="A4537" t="s">
        <v>5069</v>
      </c>
    </row>
    <row r="4538" spans="1:1">
      <c r="A4538" t="s">
        <v>5070</v>
      </c>
    </row>
    <row r="4539" spans="1:1">
      <c r="A4539" t="s">
        <v>5071</v>
      </c>
    </row>
    <row r="4540" spans="1:1">
      <c r="A4540" t="s">
        <v>5072</v>
      </c>
    </row>
    <row r="4541" spans="1:1">
      <c r="A4541" t="s">
        <v>5073</v>
      </c>
    </row>
    <row r="4542" spans="1:1">
      <c r="A4542" t="s">
        <v>5074</v>
      </c>
    </row>
    <row r="4543" spans="1:1">
      <c r="A4543" t="s">
        <v>5075</v>
      </c>
    </row>
    <row r="4544" spans="1:1">
      <c r="A4544" t="s">
        <v>5076</v>
      </c>
    </row>
    <row r="4545" spans="1:1">
      <c r="A4545" t="s">
        <v>5077</v>
      </c>
    </row>
    <row r="4546" spans="1:1">
      <c r="A4546" t="s">
        <v>5078</v>
      </c>
    </row>
    <row r="4547" spans="1:1">
      <c r="A4547" t="s">
        <v>5079</v>
      </c>
    </row>
    <row r="4548" spans="1:1">
      <c r="A4548" t="s">
        <v>5080</v>
      </c>
    </row>
    <row r="4549" spans="1:1">
      <c r="A4549" t="s">
        <v>5081</v>
      </c>
    </row>
    <row r="4550" spans="1:1">
      <c r="A4550" t="s">
        <v>5082</v>
      </c>
    </row>
    <row r="4551" spans="1:1">
      <c r="A4551" t="s">
        <v>5083</v>
      </c>
    </row>
    <row r="4552" spans="1:1">
      <c r="A4552" t="s">
        <v>5084</v>
      </c>
    </row>
    <row r="4553" spans="1:1">
      <c r="A4553" t="s">
        <v>5085</v>
      </c>
    </row>
    <row r="4554" spans="1:1">
      <c r="A4554" t="s">
        <v>5086</v>
      </c>
    </row>
    <row r="4555" spans="1:1">
      <c r="A4555" t="s">
        <v>5087</v>
      </c>
    </row>
    <row r="4556" spans="1:1">
      <c r="A4556" t="s">
        <v>5088</v>
      </c>
    </row>
    <row r="4557" spans="1:1">
      <c r="A4557" t="s">
        <v>5089</v>
      </c>
    </row>
    <row r="4558" spans="1:1">
      <c r="A4558" t="s">
        <v>5090</v>
      </c>
    </row>
    <row r="4559" spans="1:1">
      <c r="A4559" t="s">
        <v>5091</v>
      </c>
    </row>
    <row r="4560" spans="1:1">
      <c r="A4560" t="s">
        <v>5092</v>
      </c>
    </row>
    <row r="4561" spans="1:1">
      <c r="A4561" t="s">
        <v>5093</v>
      </c>
    </row>
    <row r="4562" spans="1:1">
      <c r="A4562" t="s">
        <v>5094</v>
      </c>
    </row>
    <row r="4563" spans="1:1">
      <c r="A4563" t="s">
        <v>5095</v>
      </c>
    </row>
    <row r="4564" spans="1:1">
      <c r="A4564" t="s">
        <v>5096</v>
      </c>
    </row>
    <row r="4565" spans="1:1">
      <c r="A4565" t="s">
        <v>5097</v>
      </c>
    </row>
    <row r="4566" spans="1:1">
      <c r="A4566" t="s">
        <v>5098</v>
      </c>
    </row>
    <row r="4567" spans="1:1">
      <c r="A4567" t="s">
        <v>5099</v>
      </c>
    </row>
    <row r="4568" spans="1:1">
      <c r="A4568" t="s">
        <v>5100</v>
      </c>
    </row>
    <row r="4569" spans="1:1">
      <c r="A4569" t="s">
        <v>5101</v>
      </c>
    </row>
    <row r="4570" spans="1:1">
      <c r="A4570" t="s">
        <v>5102</v>
      </c>
    </row>
    <row r="4571" spans="1:1">
      <c r="A4571" t="s">
        <v>5103</v>
      </c>
    </row>
    <row r="4572" spans="1:1">
      <c r="A4572" t="s">
        <v>5104</v>
      </c>
    </row>
    <row r="4573" spans="1:1">
      <c r="A4573" t="s">
        <v>5105</v>
      </c>
    </row>
    <row r="4574" spans="1:1">
      <c r="A4574" t="s">
        <v>5106</v>
      </c>
    </row>
    <row r="4575" spans="1:1">
      <c r="A4575" t="s">
        <v>5107</v>
      </c>
    </row>
    <row r="4576" spans="1:1">
      <c r="A4576" t="s">
        <v>5108</v>
      </c>
    </row>
    <row r="4577" spans="1:1">
      <c r="A4577" t="s">
        <v>5109</v>
      </c>
    </row>
    <row r="4578" spans="1:1">
      <c r="A4578" t="s">
        <v>5110</v>
      </c>
    </row>
    <row r="4579" spans="1:1">
      <c r="A4579" t="s">
        <v>5111</v>
      </c>
    </row>
    <row r="4580" spans="1:1">
      <c r="A4580" t="s">
        <v>5112</v>
      </c>
    </row>
    <row r="4581" spans="1:1">
      <c r="A4581" t="s">
        <v>5113</v>
      </c>
    </row>
    <row r="4582" spans="1:1">
      <c r="A4582" t="s">
        <v>5114</v>
      </c>
    </row>
    <row r="4583" spans="1:1">
      <c r="A4583" t="s">
        <v>5115</v>
      </c>
    </row>
    <row r="4584" spans="1:1">
      <c r="A4584" t="s">
        <v>5116</v>
      </c>
    </row>
    <row r="4585" spans="1:1">
      <c r="A4585" t="s">
        <v>5117</v>
      </c>
    </row>
    <row r="4586" spans="1:1">
      <c r="A4586" t="s">
        <v>5118</v>
      </c>
    </row>
    <row r="4587" spans="1:1">
      <c r="A4587" t="s">
        <v>5119</v>
      </c>
    </row>
    <row r="4588" spans="1:1">
      <c r="A4588" t="s">
        <v>5120</v>
      </c>
    </row>
    <row r="4589" spans="1:1">
      <c r="A4589" t="s">
        <v>5121</v>
      </c>
    </row>
    <row r="4590" spans="1:1">
      <c r="A4590" t="s">
        <v>5122</v>
      </c>
    </row>
    <row r="4591" spans="1:1">
      <c r="A4591" t="s">
        <v>5123</v>
      </c>
    </row>
    <row r="4592" spans="1:1">
      <c r="A4592" t="s">
        <v>5124</v>
      </c>
    </row>
    <row r="4593" spans="1:1">
      <c r="A4593" t="s">
        <v>5125</v>
      </c>
    </row>
    <row r="4594" spans="1:1">
      <c r="A4594" t="s">
        <v>5126</v>
      </c>
    </row>
    <row r="4595" spans="1:1">
      <c r="A4595" t="s">
        <v>5127</v>
      </c>
    </row>
    <row r="4596" spans="1:1">
      <c r="A4596" t="s">
        <v>5128</v>
      </c>
    </row>
    <row r="4597" spans="1:1">
      <c r="A4597" t="s">
        <v>5129</v>
      </c>
    </row>
    <row r="4598" spans="1:1">
      <c r="A4598" t="s">
        <v>5130</v>
      </c>
    </row>
    <row r="4599" spans="1:1">
      <c r="A4599" t="s">
        <v>5131</v>
      </c>
    </row>
    <row r="4600" spans="1:1">
      <c r="A4600" t="s">
        <v>5132</v>
      </c>
    </row>
    <row r="4601" spans="1:1">
      <c r="A4601" t="s">
        <v>5133</v>
      </c>
    </row>
    <row r="4602" spans="1:1">
      <c r="A4602" t="s">
        <v>5134</v>
      </c>
    </row>
    <row r="4603" spans="1:1">
      <c r="A4603" t="s">
        <v>5135</v>
      </c>
    </row>
    <row r="4604" spans="1:1">
      <c r="A4604" t="s">
        <v>5136</v>
      </c>
    </row>
    <row r="4605" spans="1:1">
      <c r="A4605" t="s">
        <v>5137</v>
      </c>
    </row>
    <row r="4606" spans="1:1">
      <c r="A4606" t="s">
        <v>5138</v>
      </c>
    </row>
    <row r="4607" spans="1:1">
      <c r="A4607" t="s">
        <v>5139</v>
      </c>
    </row>
    <row r="4608" spans="1:1">
      <c r="A4608" t="s">
        <v>5140</v>
      </c>
    </row>
    <row r="4609" spans="1:1">
      <c r="A4609" t="s">
        <v>5141</v>
      </c>
    </row>
    <row r="4610" spans="1:1">
      <c r="A4610" t="s">
        <v>5142</v>
      </c>
    </row>
    <row r="4611" spans="1:1">
      <c r="A4611" t="s">
        <v>5143</v>
      </c>
    </row>
    <row r="4612" spans="1:1">
      <c r="A4612" t="s">
        <v>5144</v>
      </c>
    </row>
    <row r="4613" spans="1:1">
      <c r="A4613" t="s">
        <v>5145</v>
      </c>
    </row>
    <row r="4614" spans="1:1">
      <c r="A4614" t="s">
        <v>5146</v>
      </c>
    </row>
    <row r="4615" spans="1:1">
      <c r="A4615" t="s">
        <v>5147</v>
      </c>
    </row>
    <row r="4616" spans="1:1">
      <c r="A4616" t="s">
        <v>5148</v>
      </c>
    </row>
    <row r="4617" spans="1:1">
      <c r="A4617" t="s">
        <v>5149</v>
      </c>
    </row>
    <row r="4618" spans="1:1">
      <c r="A4618" t="s">
        <v>5150</v>
      </c>
    </row>
    <row r="4619" spans="1:1">
      <c r="A4619" t="s">
        <v>5151</v>
      </c>
    </row>
    <row r="4620" spans="1:1">
      <c r="A4620" t="s">
        <v>5152</v>
      </c>
    </row>
    <row r="4621" spans="1:1">
      <c r="A4621" t="s">
        <v>5153</v>
      </c>
    </row>
    <row r="4622" spans="1:1">
      <c r="A4622" t="s">
        <v>5154</v>
      </c>
    </row>
    <row r="4623" spans="1:1">
      <c r="A4623" t="s">
        <v>5155</v>
      </c>
    </row>
    <row r="4624" spans="1:1">
      <c r="A4624" t="s">
        <v>5156</v>
      </c>
    </row>
    <row r="4625" spans="1:1">
      <c r="A4625" t="s">
        <v>5157</v>
      </c>
    </row>
    <row r="4626" spans="1:1">
      <c r="A4626" t="s">
        <v>5158</v>
      </c>
    </row>
    <row r="4627" spans="1:1">
      <c r="A4627" t="s">
        <v>5159</v>
      </c>
    </row>
    <row r="4628" spans="1:1">
      <c r="A4628" t="s">
        <v>5160</v>
      </c>
    </row>
    <row r="4629" spans="1:1">
      <c r="A4629" t="s">
        <v>5161</v>
      </c>
    </row>
    <row r="4630" spans="1:1">
      <c r="A4630" t="s">
        <v>5162</v>
      </c>
    </row>
    <row r="4631" spans="1:1">
      <c r="A4631" t="s">
        <v>5163</v>
      </c>
    </row>
    <row r="4632" spans="1:1">
      <c r="A4632" t="s">
        <v>5164</v>
      </c>
    </row>
    <row r="4633" spans="1:1">
      <c r="A4633" t="s">
        <v>5165</v>
      </c>
    </row>
    <row r="4634" spans="1:1">
      <c r="A4634" t="s">
        <v>5166</v>
      </c>
    </row>
    <row r="4635" spans="1:1">
      <c r="A4635" t="s">
        <v>5167</v>
      </c>
    </row>
    <row r="4636" spans="1:1">
      <c r="A4636" t="s">
        <v>5168</v>
      </c>
    </row>
    <row r="4637" spans="1:1">
      <c r="A4637" t="s">
        <v>5169</v>
      </c>
    </row>
    <row r="4638" spans="1:1">
      <c r="A4638" t="s">
        <v>5170</v>
      </c>
    </row>
    <row r="4639" spans="1:1">
      <c r="A4639" t="s">
        <v>5171</v>
      </c>
    </row>
    <row r="4640" spans="1:1">
      <c r="A4640" t="s">
        <v>5172</v>
      </c>
    </row>
    <row r="4641" spans="1:1">
      <c r="A4641" t="s">
        <v>5173</v>
      </c>
    </row>
    <row r="4642" spans="1:1">
      <c r="A4642" t="s">
        <v>5174</v>
      </c>
    </row>
    <row r="4643" spans="1:1">
      <c r="A4643" t="s">
        <v>5175</v>
      </c>
    </row>
    <row r="4644" spans="1:1">
      <c r="A4644" t="s">
        <v>5176</v>
      </c>
    </row>
    <row r="4645" spans="1:1">
      <c r="A4645" t="s">
        <v>5177</v>
      </c>
    </row>
    <row r="4646" spans="1:1">
      <c r="A4646" t="s">
        <v>5178</v>
      </c>
    </row>
    <row r="4647" spans="1:1">
      <c r="A4647" t="s">
        <v>5179</v>
      </c>
    </row>
    <row r="4648" spans="1:1">
      <c r="A4648" t="s">
        <v>5180</v>
      </c>
    </row>
    <row r="4649" spans="1:1">
      <c r="A4649" t="s">
        <v>5181</v>
      </c>
    </row>
    <row r="4650" spans="1:1">
      <c r="A4650" t="s">
        <v>5182</v>
      </c>
    </row>
    <row r="4651" spans="1:1">
      <c r="A4651" t="s">
        <v>5183</v>
      </c>
    </row>
    <row r="4652" spans="1:1">
      <c r="A4652" t="s">
        <v>5184</v>
      </c>
    </row>
    <row r="4653" spans="1:1">
      <c r="A4653" t="s">
        <v>5185</v>
      </c>
    </row>
    <row r="4654" spans="1:1">
      <c r="A4654" t="s">
        <v>5186</v>
      </c>
    </row>
    <row r="4655" spans="1:1">
      <c r="A4655" t="s">
        <v>5187</v>
      </c>
    </row>
    <row r="4656" spans="1:1">
      <c r="A4656" t="s">
        <v>5188</v>
      </c>
    </row>
    <row r="4657" spans="1:1">
      <c r="A4657" t="s">
        <v>5189</v>
      </c>
    </row>
    <row r="4658" spans="1:1">
      <c r="A4658" t="s">
        <v>5190</v>
      </c>
    </row>
    <row r="4659" spans="1:1">
      <c r="A4659" t="s">
        <v>5191</v>
      </c>
    </row>
    <row r="4660" spans="1:1">
      <c r="A4660" t="s">
        <v>5192</v>
      </c>
    </row>
    <row r="4661" spans="1:1">
      <c r="A4661" t="s">
        <v>5193</v>
      </c>
    </row>
    <row r="4662" spans="1:1">
      <c r="A4662" t="s">
        <v>5194</v>
      </c>
    </row>
    <row r="4663" spans="1:1">
      <c r="A4663" t="s">
        <v>5195</v>
      </c>
    </row>
    <row r="4664" spans="1:1">
      <c r="A4664" t="s">
        <v>5196</v>
      </c>
    </row>
    <row r="4665" spans="1:1">
      <c r="A4665" t="s">
        <v>5197</v>
      </c>
    </row>
    <row r="4666" spans="1:1">
      <c r="A4666" t="s">
        <v>5198</v>
      </c>
    </row>
    <row r="4667" spans="1:1">
      <c r="A4667" t="s">
        <v>5199</v>
      </c>
    </row>
    <row r="4668" spans="1:1">
      <c r="A4668" t="s">
        <v>5200</v>
      </c>
    </row>
    <row r="4669" spans="1:1">
      <c r="A4669" t="s">
        <v>5201</v>
      </c>
    </row>
    <row r="4670" spans="1:1">
      <c r="A4670" t="s">
        <v>5202</v>
      </c>
    </row>
    <row r="4671" spans="1:1">
      <c r="A4671" t="s">
        <v>5203</v>
      </c>
    </row>
    <row r="4672" spans="1:1">
      <c r="A4672" t="s">
        <v>5204</v>
      </c>
    </row>
    <row r="4673" spans="1:1">
      <c r="A4673" t="s">
        <v>5205</v>
      </c>
    </row>
    <row r="4674" spans="1:1">
      <c r="A4674" t="s">
        <v>5206</v>
      </c>
    </row>
    <row r="4675" spans="1:1">
      <c r="A4675" t="s">
        <v>5207</v>
      </c>
    </row>
    <row r="4676" spans="1:1">
      <c r="A4676" t="s">
        <v>5208</v>
      </c>
    </row>
    <row r="4677" spans="1:1">
      <c r="A4677" t="s">
        <v>5209</v>
      </c>
    </row>
    <row r="4678" spans="1:1">
      <c r="A4678" t="s">
        <v>5210</v>
      </c>
    </row>
    <row r="4679" spans="1:1">
      <c r="A4679" t="s">
        <v>5211</v>
      </c>
    </row>
    <row r="4680" spans="1:1">
      <c r="A4680" t="s">
        <v>5212</v>
      </c>
    </row>
    <row r="4681" spans="1:1">
      <c r="A4681" t="s">
        <v>5213</v>
      </c>
    </row>
    <row r="4682" spans="1:1">
      <c r="A4682" t="s">
        <v>5214</v>
      </c>
    </row>
    <row r="4683" spans="1:1">
      <c r="A4683" t="s">
        <v>5215</v>
      </c>
    </row>
    <row r="4684" spans="1:1">
      <c r="A4684" t="s">
        <v>5216</v>
      </c>
    </row>
    <row r="4685" spans="1:1">
      <c r="A4685" t="s">
        <v>5217</v>
      </c>
    </row>
    <row r="4686" spans="1:1">
      <c r="A4686" t="s">
        <v>5218</v>
      </c>
    </row>
    <row r="4687" spans="1:1">
      <c r="A4687" t="s">
        <v>5219</v>
      </c>
    </row>
    <row r="4688" spans="1:1">
      <c r="A4688" t="s">
        <v>5220</v>
      </c>
    </row>
    <row r="4689" spans="1:1">
      <c r="A4689" t="s">
        <v>5221</v>
      </c>
    </row>
    <row r="4690" spans="1:1">
      <c r="A4690" t="s">
        <v>5222</v>
      </c>
    </row>
    <row r="4691" spans="1:1">
      <c r="A4691" t="s">
        <v>5223</v>
      </c>
    </row>
    <row r="4692" spans="1:1">
      <c r="A4692" t="s">
        <v>5224</v>
      </c>
    </row>
    <row r="4693" spans="1:1">
      <c r="A4693" t="s">
        <v>5225</v>
      </c>
    </row>
    <row r="4694" spans="1:1">
      <c r="A4694" t="s">
        <v>5226</v>
      </c>
    </row>
    <row r="4695" spans="1:1">
      <c r="A4695" t="s">
        <v>5227</v>
      </c>
    </row>
    <row r="4696" spans="1:1">
      <c r="A4696" t="s">
        <v>5228</v>
      </c>
    </row>
    <row r="4697" spans="1:1">
      <c r="A4697" t="s">
        <v>5229</v>
      </c>
    </row>
    <row r="4698" spans="1:1">
      <c r="A4698" t="s">
        <v>5230</v>
      </c>
    </row>
    <row r="4699" spans="1:1">
      <c r="A4699" t="s">
        <v>5231</v>
      </c>
    </row>
    <row r="4700" spans="1:1">
      <c r="A4700" t="s">
        <v>5232</v>
      </c>
    </row>
    <row r="4701" spans="1:1">
      <c r="A4701" t="s">
        <v>5233</v>
      </c>
    </row>
    <row r="4702" spans="1:1">
      <c r="A4702" t="s">
        <v>5234</v>
      </c>
    </row>
    <row r="4703" spans="1:1">
      <c r="A4703" t="s">
        <v>5235</v>
      </c>
    </row>
    <row r="4704" spans="1:1">
      <c r="A4704" t="s">
        <v>5236</v>
      </c>
    </row>
    <row r="4705" spans="1:1">
      <c r="A4705" t="s">
        <v>5237</v>
      </c>
    </row>
    <row r="4706" spans="1:1">
      <c r="A4706" t="s">
        <v>5238</v>
      </c>
    </row>
    <row r="4707" spans="1:1">
      <c r="A4707" t="s">
        <v>5239</v>
      </c>
    </row>
    <row r="4708" spans="1:1">
      <c r="A4708" t="s">
        <v>5240</v>
      </c>
    </row>
    <row r="4709" spans="1:1">
      <c r="A4709" t="s">
        <v>5241</v>
      </c>
    </row>
    <row r="4710" spans="1:1">
      <c r="A4710" t="s">
        <v>5242</v>
      </c>
    </row>
    <row r="4711" spans="1:1">
      <c r="A4711" t="s">
        <v>5243</v>
      </c>
    </row>
    <row r="4712" spans="1:1">
      <c r="A4712" t="s">
        <v>5244</v>
      </c>
    </row>
    <row r="4713" spans="1:1">
      <c r="A4713" t="s">
        <v>5245</v>
      </c>
    </row>
    <row r="4714" spans="1:1">
      <c r="A4714" t="s">
        <v>5246</v>
      </c>
    </row>
    <row r="4715" spans="1:1">
      <c r="A4715" t="s">
        <v>5247</v>
      </c>
    </row>
    <row r="4716" spans="1:1">
      <c r="A4716" t="s">
        <v>5248</v>
      </c>
    </row>
    <row r="4717" spans="1:1">
      <c r="A4717" t="s">
        <v>5249</v>
      </c>
    </row>
    <row r="4718" spans="1:1">
      <c r="A4718" t="s">
        <v>5250</v>
      </c>
    </row>
    <row r="4719" spans="1:1">
      <c r="A4719" t="s">
        <v>5251</v>
      </c>
    </row>
    <row r="4720" spans="1:1">
      <c r="A4720" t="s">
        <v>5252</v>
      </c>
    </row>
    <row r="4721" spans="1:1">
      <c r="A4721" t="s">
        <v>5253</v>
      </c>
    </row>
    <row r="4722" spans="1:1">
      <c r="A4722" t="s">
        <v>5254</v>
      </c>
    </row>
    <row r="4723" spans="1:1">
      <c r="A4723" t="s">
        <v>5255</v>
      </c>
    </row>
    <row r="4724" spans="1:1">
      <c r="A4724" t="s">
        <v>5256</v>
      </c>
    </row>
    <row r="4725" spans="1:1">
      <c r="A4725" t="s">
        <v>5257</v>
      </c>
    </row>
    <row r="4726" spans="1:1">
      <c r="A4726" t="s">
        <v>5258</v>
      </c>
    </row>
    <row r="4727" spans="1:1">
      <c r="A4727" t="s">
        <v>5259</v>
      </c>
    </row>
    <row r="4728" spans="1:1">
      <c r="A4728" t="s">
        <v>5260</v>
      </c>
    </row>
    <row r="4729" spans="1:1">
      <c r="A4729" t="s">
        <v>5261</v>
      </c>
    </row>
    <row r="4730" spans="1:1">
      <c r="A4730" t="s">
        <v>5262</v>
      </c>
    </row>
    <row r="4731" spans="1:1">
      <c r="A4731" t="s">
        <v>5263</v>
      </c>
    </row>
    <row r="4732" spans="1:1">
      <c r="A4732" t="s">
        <v>5264</v>
      </c>
    </row>
    <row r="4733" spans="1:1">
      <c r="A4733" t="s">
        <v>5265</v>
      </c>
    </row>
    <row r="4734" spans="1:1">
      <c r="A4734" t="s">
        <v>5266</v>
      </c>
    </row>
    <row r="4735" spans="1:1">
      <c r="A4735" t="s">
        <v>5267</v>
      </c>
    </row>
    <row r="4736" spans="1:1">
      <c r="A4736" t="s">
        <v>5268</v>
      </c>
    </row>
    <row r="4737" spans="1:1">
      <c r="A4737" t="s">
        <v>5269</v>
      </c>
    </row>
    <row r="4738" spans="1:1">
      <c r="A4738" t="s">
        <v>5270</v>
      </c>
    </row>
    <row r="4739" spans="1:1">
      <c r="A4739" t="s">
        <v>5271</v>
      </c>
    </row>
    <row r="4740" spans="1:1">
      <c r="A4740" t="s">
        <v>5272</v>
      </c>
    </row>
    <row r="4741" spans="1:1">
      <c r="A4741" t="s">
        <v>5273</v>
      </c>
    </row>
    <row r="4742" spans="1:1">
      <c r="A4742" t="s">
        <v>5274</v>
      </c>
    </row>
    <row r="4743" spans="1:1">
      <c r="A4743" t="s">
        <v>5275</v>
      </c>
    </row>
    <row r="4744" spans="1:1">
      <c r="A4744" t="s">
        <v>5276</v>
      </c>
    </row>
    <row r="4745" spans="1:1">
      <c r="A4745" t="s">
        <v>5277</v>
      </c>
    </row>
    <row r="4746" spans="1:1">
      <c r="A4746" t="s">
        <v>5278</v>
      </c>
    </row>
    <row r="4747" spans="1:1">
      <c r="A4747" t="s">
        <v>5279</v>
      </c>
    </row>
    <row r="4748" spans="1:1">
      <c r="A4748" t="s">
        <v>5280</v>
      </c>
    </row>
    <row r="4749" spans="1:1">
      <c r="A4749" t="s">
        <v>5281</v>
      </c>
    </row>
    <row r="4750" spans="1:1">
      <c r="A4750" t="s">
        <v>5282</v>
      </c>
    </row>
    <row r="4751" spans="1:1">
      <c r="A4751" t="s">
        <v>5283</v>
      </c>
    </row>
    <row r="4752" spans="1:1">
      <c r="A4752" t="s">
        <v>5284</v>
      </c>
    </row>
    <row r="4753" spans="1:1">
      <c r="A4753" t="s">
        <v>5285</v>
      </c>
    </row>
    <row r="4754" spans="1:1">
      <c r="A4754" t="s">
        <v>5286</v>
      </c>
    </row>
    <row r="4755" spans="1:1">
      <c r="A4755" t="s">
        <v>5287</v>
      </c>
    </row>
    <row r="4756" spans="1:1">
      <c r="A4756" t="s">
        <v>5288</v>
      </c>
    </row>
    <row r="4757" spans="1:1">
      <c r="A4757" t="s">
        <v>5289</v>
      </c>
    </row>
    <row r="4758" spans="1:1">
      <c r="A4758" t="s">
        <v>5290</v>
      </c>
    </row>
    <row r="4759" spans="1:1">
      <c r="A4759" t="s">
        <v>5291</v>
      </c>
    </row>
    <row r="4760" spans="1:1">
      <c r="A4760" t="s">
        <v>5292</v>
      </c>
    </row>
    <row r="4761" spans="1:1">
      <c r="A4761" t="s">
        <v>5293</v>
      </c>
    </row>
    <row r="4762" spans="1:1">
      <c r="A4762" t="s">
        <v>5294</v>
      </c>
    </row>
    <row r="4763" spans="1:1">
      <c r="A4763" t="s">
        <v>5295</v>
      </c>
    </row>
    <row r="4764" spans="1:1">
      <c r="A4764" t="s">
        <v>5296</v>
      </c>
    </row>
    <row r="4765" spans="1:1">
      <c r="A4765" t="s">
        <v>5297</v>
      </c>
    </row>
    <row r="4766" spans="1:1">
      <c r="A4766" t="s">
        <v>5298</v>
      </c>
    </row>
    <row r="4767" spans="1:1">
      <c r="A4767" t="s">
        <v>5299</v>
      </c>
    </row>
    <row r="4768" spans="1:1">
      <c r="A4768" t="s">
        <v>5300</v>
      </c>
    </row>
    <row r="4769" spans="1:1">
      <c r="A4769" t="s">
        <v>5301</v>
      </c>
    </row>
    <row r="4770" spans="1:1">
      <c r="A4770" t="s">
        <v>5302</v>
      </c>
    </row>
    <row r="4771" spans="1:1">
      <c r="A4771" t="s">
        <v>5303</v>
      </c>
    </row>
    <row r="4772" spans="1:1">
      <c r="A4772" t="s">
        <v>5304</v>
      </c>
    </row>
    <row r="4773" spans="1:1">
      <c r="A4773" t="s">
        <v>5305</v>
      </c>
    </row>
    <row r="4774" spans="1:1">
      <c r="A4774" t="s">
        <v>5306</v>
      </c>
    </row>
    <row r="4775" spans="1:1">
      <c r="A4775" t="s">
        <v>5307</v>
      </c>
    </row>
    <row r="4776" spans="1:1">
      <c r="A4776" t="s">
        <v>5308</v>
      </c>
    </row>
    <row r="4777" spans="1:1">
      <c r="A4777" t="s">
        <v>5309</v>
      </c>
    </row>
    <row r="4778" spans="1:1">
      <c r="A4778" t="s">
        <v>5310</v>
      </c>
    </row>
    <row r="4779" spans="1:1">
      <c r="A4779" t="s">
        <v>5311</v>
      </c>
    </row>
    <row r="4780" spans="1:1">
      <c r="A4780" t="s">
        <v>5312</v>
      </c>
    </row>
    <row r="4781" spans="1:1">
      <c r="A4781" t="s">
        <v>5313</v>
      </c>
    </row>
    <row r="4782" spans="1:1">
      <c r="A4782" t="s">
        <v>5314</v>
      </c>
    </row>
    <row r="4783" spans="1:1">
      <c r="A4783" t="s">
        <v>5315</v>
      </c>
    </row>
    <row r="4784" spans="1:1">
      <c r="A4784" t="s">
        <v>5316</v>
      </c>
    </row>
    <row r="4785" spans="1:1">
      <c r="A4785" t="s">
        <v>5317</v>
      </c>
    </row>
    <row r="4786" spans="1:1">
      <c r="A4786" t="s">
        <v>5318</v>
      </c>
    </row>
    <row r="4787" spans="1:1">
      <c r="A4787" t="s">
        <v>5319</v>
      </c>
    </row>
    <row r="4788" spans="1:1">
      <c r="A4788" t="s">
        <v>5320</v>
      </c>
    </row>
    <row r="4789" spans="1:1">
      <c r="A4789" t="s">
        <v>5321</v>
      </c>
    </row>
    <row r="4790" spans="1:1">
      <c r="A4790" t="s">
        <v>5322</v>
      </c>
    </row>
    <row r="4791" spans="1:1">
      <c r="A4791" t="s">
        <v>5323</v>
      </c>
    </row>
    <row r="4792" spans="1:1">
      <c r="A4792" t="s">
        <v>5324</v>
      </c>
    </row>
    <row r="4793" spans="1:1">
      <c r="A4793" t="s">
        <v>5325</v>
      </c>
    </row>
    <row r="4794" spans="1:1">
      <c r="A4794" t="s">
        <v>5326</v>
      </c>
    </row>
    <row r="4795" spans="1:1">
      <c r="A4795" t="s">
        <v>5327</v>
      </c>
    </row>
    <row r="4796" spans="1:1">
      <c r="A4796" t="s">
        <v>5328</v>
      </c>
    </row>
    <row r="4797" spans="1:1">
      <c r="A4797" t="s">
        <v>5329</v>
      </c>
    </row>
    <row r="4798" spans="1:1">
      <c r="A4798" t="s">
        <v>5330</v>
      </c>
    </row>
    <row r="4799" spans="1:1">
      <c r="A4799" t="s">
        <v>5331</v>
      </c>
    </row>
    <row r="4800" spans="1:1">
      <c r="A4800" t="s">
        <v>5332</v>
      </c>
    </row>
    <row r="4801" spans="1:1">
      <c r="A4801" t="s">
        <v>5333</v>
      </c>
    </row>
    <row r="4802" spans="1:1">
      <c r="A4802" t="s">
        <v>5334</v>
      </c>
    </row>
    <row r="4803" spans="1:1">
      <c r="A4803" t="s">
        <v>5335</v>
      </c>
    </row>
    <row r="4804" spans="1:1">
      <c r="A4804" t="s">
        <v>5336</v>
      </c>
    </row>
    <row r="4805" spans="1:1">
      <c r="A4805" t="s">
        <v>5337</v>
      </c>
    </row>
    <row r="4806" spans="1:1">
      <c r="A4806" t="s">
        <v>5338</v>
      </c>
    </row>
    <row r="4807" spans="1:1">
      <c r="A4807" t="s">
        <v>5339</v>
      </c>
    </row>
    <row r="4808" spans="1:1">
      <c r="A4808" t="s">
        <v>5340</v>
      </c>
    </row>
    <row r="4809" spans="1:1">
      <c r="A4809" t="s">
        <v>5341</v>
      </c>
    </row>
    <row r="4810" spans="1:1">
      <c r="A4810" t="s">
        <v>5342</v>
      </c>
    </row>
    <row r="4811" spans="1:1">
      <c r="A4811" t="s">
        <v>5343</v>
      </c>
    </row>
    <row r="4812" spans="1:1">
      <c r="A4812" t="s">
        <v>5344</v>
      </c>
    </row>
    <row r="4813" spans="1:1">
      <c r="A4813" t="s">
        <v>5345</v>
      </c>
    </row>
    <row r="4814" spans="1:1">
      <c r="A4814" t="s">
        <v>5346</v>
      </c>
    </row>
    <row r="4815" spans="1:1">
      <c r="A4815" t="s">
        <v>5347</v>
      </c>
    </row>
    <row r="4816" spans="1:1">
      <c r="A4816" t="s">
        <v>5348</v>
      </c>
    </row>
    <row r="4817" spans="1:1">
      <c r="A4817" t="s">
        <v>5349</v>
      </c>
    </row>
    <row r="4818" spans="1:1">
      <c r="A4818" t="s">
        <v>5350</v>
      </c>
    </row>
    <row r="4819" spans="1:1">
      <c r="A4819" t="s">
        <v>5351</v>
      </c>
    </row>
    <row r="4820" spans="1:1">
      <c r="A4820" t="s">
        <v>5352</v>
      </c>
    </row>
    <row r="4821" spans="1:1">
      <c r="A4821" t="s">
        <v>5353</v>
      </c>
    </row>
    <row r="4822" spans="1:1">
      <c r="A4822" t="s">
        <v>5354</v>
      </c>
    </row>
    <row r="4823" spans="1:1">
      <c r="A4823" t="s">
        <v>5355</v>
      </c>
    </row>
    <row r="4824" spans="1:1">
      <c r="A4824" t="s">
        <v>5356</v>
      </c>
    </row>
    <row r="4825" spans="1:1">
      <c r="A4825" t="s">
        <v>5357</v>
      </c>
    </row>
    <row r="4826" spans="1:1">
      <c r="A4826" t="s">
        <v>5358</v>
      </c>
    </row>
    <row r="4827" spans="1:1">
      <c r="A4827" t="s">
        <v>5359</v>
      </c>
    </row>
    <row r="4828" spans="1:1">
      <c r="A4828" t="s">
        <v>5360</v>
      </c>
    </row>
    <row r="4829" spans="1:1">
      <c r="A4829" t="s">
        <v>5361</v>
      </c>
    </row>
    <row r="4830" spans="1:1">
      <c r="A4830" t="s">
        <v>5362</v>
      </c>
    </row>
    <row r="4831" spans="1:1">
      <c r="A4831" t="s">
        <v>5363</v>
      </c>
    </row>
    <row r="4832" spans="1:1">
      <c r="A4832" t="s">
        <v>5364</v>
      </c>
    </row>
    <row r="4833" spans="1:1">
      <c r="A4833" t="s">
        <v>5365</v>
      </c>
    </row>
    <row r="4834" spans="1:1">
      <c r="A4834" t="s">
        <v>5366</v>
      </c>
    </row>
    <row r="4835" spans="1:1">
      <c r="A4835" t="s">
        <v>5367</v>
      </c>
    </row>
    <row r="4836" spans="1:1">
      <c r="A4836" t="s">
        <v>5368</v>
      </c>
    </row>
    <row r="4837" spans="1:1">
      <c r="A4837" t="s">
        <v>5369</v>
      </c>
    </row>
    <row r="4838" spans="1:1">
      <c r="A4838" t="s">
        <v>5370</v>
      </c>
    </row>
    <row r="4839" spans="1:1">
      <c r="A4839" t="s">
        <v>5371</v>
      </c>
    </row>
    <row r="4840" spans="1:1">
      <c r="A4840" t="s">
        <v>5372</v>
      </c>
    </row>
    <row r="4841" spans="1:1">
      <c r="A4841" t="s">
        <v>5373</v>
      </c>
    </row>
    <row r="4842" spans="1:1">
      <c r="A4842" t="s">
        <v>5374</v>
      </c>
    </row>
    <row r="4843" spans="1:1">
      <c r="A4843" t="s">
        <v>5375</v>
      </c>
    </row>
    <row r="4844" spans="1:1">
      <c r="A4844" t="s">
        <v>5376</v>
      </c>
    </row>
    <row r="4845" spans="1:1">
      <c r="A4845" t="s">
        <v>5377</v>
      </c>
    </row>
    <row r="4846" spans="1:1">
      <c r="A4846" t="s">
        <v>5378</v>
      </c>
    </row>
    <row r="4847" spans="1:1">
      <c r="A4847" t="s">
        <v>5379</v>
      </c>
    </row>
    <row r="4848" spans="1:1">
      <c r="A4848" t="s">
        <v>5380</v>
      </c>
    </row>
    <row r="4849" spans="1:1">
      <c r="A4849" t="s">
        <v>5381</v>
      </c>
    </row>
    <row r="4850" spans="1:1">
      <c r="A4850" t="s">
        <v>5382</v>
      </c>
    </row>
    <row r="4851" spans="1:1">
      <c r="A4851" t="s">
        <v>5383</v>
      </c>
    </row>
    <row r="4852" spans="1:1">
      <c r="A4852" t="s">
        <v>5384</v>
      </c>
    </row>
    <row r="4853" spans="1:1">
      <c r="A4853" t="s">
        <v>5385</v>
      </c>
    </row>
    <row r="4854" spans="1:1">
      <c r="A4854" t="s">
        <v>5386</v>
      </c>
    </row>
    <row r="4855" spans="1:1">
      <c r="A4855" t="s">
        <v>5387</v>
      </c>
    </row>
    <row r="4856" spans="1:1">
      <c r="A4856" t="s">
        <v>5388</v>
      </c>
    </row>
    <row r="4857" spans="1:1">
      <c r="A4857" t="s">
        <v>5389</v>
      </c>
    </row>
    <row r="4858" spans="1:1">
      <c r="A4858" t="s">
        <v>5390</v>
      </c>
    </row>
    <row r="4859" spans="1:1">
      <c r="A4859" t="s">
        <v>5391</v>
      </c>
    </row>
    <row r="4860" spans="1:1">
      <c r="A4860" t="s">
        <v>5392</v>
      </c>
    </row>
    <row r="4861" spans="1:1">
      <c r="A4861" t="s">
        <v>5393</v>
      </c>
    </row>
    <row r="4862" spans="1:1">
      <c r="A4862" t="s">
        <v>5394</v>
      </c>
    </row>
    <row r="4863" spans="1:1">
      <c r="A4863" t="s">
        <v>5395</v>
      </c>
    </row>
    <row r="4864" spans="1:1">
      <c r="A4864" t="s">
        <v>5396</v>
      </c>
    </row>
    <row r="4865" spans="1:1">
      <c r="A4865" t="s">
        <v>5397</v>
      </c>
    </row>
    <row r="4866" spans="1:1">
      <c r="A4866" t="s">
        <v>5398</v>
      </c>
    </row>
    <row r="4867" spans="1:1">
      <c r="A4867" t="s">
        <v>5399</v>
      </c>
    </row>
    <row r="4868" spans="1:1">
      <c r="A4868" t="s">
        <v>5400</v>
      </c>
    </row>
    <row r="4869" spans="1:1">
      <c r="A4869" t="s">
        <v>5401</v>
      </c>
    </row>
    <row r="4870" spans="1:1">
      <c r="A4870" t="s">
        <v>5402</v>
      </c>
    </row>
    <row r="4871" spans="1:1">
      <c r="A4871" t="s">
        <v>5403</v>
      </c>
    </row>
    <row r="4872" spans="1:1">
      <c r="A4872" t="s">
        <v>5404</v>
      </c>
    </row>
    <row r="4873" spans="1:1">
      <c r="A4873" t="s">
        <v>5405</v>
      </c>
    </row>
    <row r="4874" spans="1:1">
      <c r="A4874" t="s">
        <v>5406</v>
      </c>
    </row>
    <row r="4875" spans="1:1">
      <c r="A4875" t="s">
        <v>5407</v>
      </c>
    </row>
    <row r="4876" spans="1:1">
      <c r="A4876" t="s">
        <v>5408</v>
      </c>
    </row>
    <row r="4877" spans="1:1">
      <c r="A4877" t="s">
        <v>5409</v>
      </c>
    </row>
    <row r="4878" spans="1:1">
      <c r="A4878" t="s">
        <v>5410</v>
      </c>
    </row>
    <row r="4879" spans="1:1">
      <c r="A4879" t="s">
        <v>5411</v>
      </c>
    </row>
    <row r="4880" spans="1:1">
      <c r="A4880" t="s">
        <v>5412</v>
      </c>
    </row>
    <row r="4881" spans="1:1">
      <c r="A4881" t="s">
        <v>5413</v>
      </c>
    </row>
    <row r="4882" spans="1:1">
      <c r="A4882" t="s">
        <v>5414</v>
      </c>
    </row>
    <row r="4883" spans="1:1">
      <c r="A4883" t="s">
        <v>5415</v>
      </c>
    </row>
    <row r="4884" spans="1:1">
      <c r="A4884" t="s">
        <v>5416</v>
      </c>
    </row>
    <row r="4885" spans="1:1">
      <c r="A4885" t="s">
        <v>5417</v>
      </c>
    </row>
    <row r="4886" spans="1:1">
      <c r="A4886" t="s">
        <v>5418</v>
      </c>
    </row>
    <row r="4887" spans="1:1">
      <c r="A4887" t="s">
        <v>5419</v>
      </c>
    </row>
    <row r="4888" spans="1:1">
      <c r="A4888" t="s">
        <v>5420</v>
      </c>
    </row>
    <row r="4889" spans="1:1">
      <c r="A4889" t="s">
        <v>5421</v>
      </c>
    </row>
    <row r="4890" spans="1:1">
      <c r="A4890" t="s">
        <v>5422</v>
      </c>
    </row>
    <row r="4891" spans="1:1">
      <c r="A4891" t="s">
        <v>5423</v>
      </c>
    </row>
    <row r="4892" spans="1:1">
      <c r="A4892" t="s">
        <v>5424</v>
      </c>
    </row>
    <row r="4893" spans="1:1">
      <c r="A4893" t="s">
        <v>5425</v>
      </c>
    </row>
    <row r="4894" spans="1:1">
      <c r="A4894" t="s">
        <v>5426</v>
      </c>
    </row>
    <row r="4895" spans="1:1">
      <c r="A4895" t="s">
        <v>5427</v>
      </c>
    </row>
    <row r="4896" spans="1:1">
      <c r="A4896" t="s">
        <v>5428</v>
      </c>
    </row>
    <row r="4897" spans="1:1">
      <c r="A4897" t="s">
        <v>5429</v>
      </c>
    </row>
    <row r="4898" spans="1:1">
      <c r="A4898" t="s">
        <v>5430</v>
      </c>
    </row>
    <row r="4899" spans="1:1">
      <c r="A4899" t="s">
        <v>5431</v>
      </c>
    </row>
    <row r="4900" spans="1:1">
      <c r="A4900" t="s">
        <v>5432</v>
      </c>
    </row>
    <row r="4901" spans="1:1">
      <c r="A4901" t="s">
        <v>5433</v>
      </c>
    </row>
    <row r="4902" spans="1:1">
      <c r="A4902" t="s">
        <v>5434</v>
      </c>
    </row>
    <row r="4903" spans="1:1">
      <c r="A4903" t="s">
        <v>5435</v>
      </c>
    </row>
    <row r="4904" spans="1:1">
      <c r="A4904" t="s">
        <v>5436</v>
      </c>
    </row>
    <row r="4905" spans="1:1">
      <c r="A4905" t="s">
        <v>5437</v>
      </c>
    </row>
    <row r="4906" spans="1:1">
      <c r="A4906" t="s">
        <v>5438</v>
      </c>
    </row>
    <row r="4907" spans="1:1">
      <c r="A4907" t="s">
        <v>5439</v>
      </c>
    </row>
    <row r="4908" spans="1:1">
      <c r="A4908" t="s">
        <v>5440</v>
      </c>
    </row>
    <row r="4909" spans="1:1">
      <c r="A4909" t="s">
        <v>5441</v>
      </c>
    </row>
    <row r="4910" spans="1:1">
      <c r="A4910" t="s">
        <v>5442</v>
      </c>
    </row>
    <row r="4911" spans="1:1">
      <c r="A4911" t="s">
        <v>5443</v>
      </c>
    </row>
    <row r="4912" spans="1:1">
      <c r="A4912" t="s">
        <v>5444</v>
      </c>
    </row>
    <row r="4913" spans="1:1">
      <c r="A4913" t="s">
        <v>5445</v>
      </c>
    </row>
    <row r="4914" spans="1:1">
      <c r="A4914" t="s">
        <v>5446</v>
      </c>
    </row>
    <row r="4915" spans="1:1">
      <c r="A4915" t="s">
        <v>5447</v>
      </c>
    </row>
    <row r="4916" spans="1:1">
      <c r="A4916" t="s">
        <v>5448</v>
      </c>
    </row>
    <row r="4917" spans="1:1">
      <c r="A4917" t="s">
        <v>5449</v>
      </c>
    </row>
    <row r="4918" spans="1:1">
      <c r="A4918" t="s">
        <v>5450</v>
      </c>
    </row>
    <row r="4919" spans="1:1">
      <c r="A4919" t="s">
        <v>5451</v>
      </c>
    </row>
    <row r="4920" spans="1:1">
      <c r="A4920" t="s">
        <v>5452</v>
      </c>
    </row>
    <row r="4921" spans="1:1">
      <c r="A4921" t="s">
        <v>5453</v>
      </c>
    </row>
    <row r="4922" spans="1:1">
      <c r="A4922" t="s">
        <v>5454</v>
      </c>
    </row>
    <row r="4923" spans="1:1">
      <c r="A4923" t="s">
        <v>5455</v>
      </c>
    </row>
    <row r="4924" spans="1:1">
      <c r="A4924" t="s">
        <v>5456</v>
      </c>
    </row>
    <row r="4925" spans="1:1">
      <c r="A4925" t="s">
        <v>5457</v>
      </c>
    </row>
    <row r="4926" spans="1:1">
      <c r="A4926" t="s">
        <v>5458</v>
      </c>
    </row>
    <row r="4927" spans="1:1">
      <c r="A4927" t="s">
        <v>5459</v>
      </c>
    </row>
    <row r="4928" spans="1:1">
      <c r="A4928" t="s">
        <v>5460</v>
      </c>
    </row>
    <row r="4929" spans="1:1">
      <c r="A4929" t="s">
        <v>5461</v>
      </c>
    </row>
    <row r="4930" spans="1:1">
      <c r="A4930" t="s">
        <v>5462</v>
      </c>
    </row>
    <row r="4931" spans="1:1">
      <c r="A4931" t="s">
        <v>5463</v>
      </c>
    </row>
    <row r="4932" spans="1:1">
      <c r="A4932" t="s">
        <v>5464</v>
      </c>
    </row>
    <row r="4933" spans="1:1">
      <c r="A4933" t="s">
        <v>5465</v>
      </c>
    </row>
    <row r="4934" spans="1:1">
      <c r="A4934" t="s">
        <v>5466</v>
      </c>
    </row>
    <row r="4935" spans="1:1">
      <c r="A4935" t="s">
        <v>5467</v>
      </c>
    </row>
    <row r="4936" spans="1:1">
      <c r="A4936" t="s">
        <v>5468</v>
      </c>
    </row>
    <row r="4937" spans="1:1">
      <c r="A4937" t="s">
        <v>5469</v>
      </c>
    </row>
    <row r="4938" spans="1:1">
      <c r="A4938" t="s">
        <v>5470</v>
      </c>
    </row>
    <row r="4939" spans="1:1">
      <c r="A4939" t="s">
        <v>5471</v>
      </c>
    </row>
    <row r="4940" spans="1:1">
      <c r="A4940" t="s">
        <v>5472</v>
      </c>
    </row>
    <row r="4941" spans="1:1">
      <c r="A4941" t="s">
        <v>5473</v>
      </c>
    </row>
    <row r="4942" spans="1:1">
      <c r="A4942" t="s">
        <v>5474</v>
      </c>
    </row>
    <row r="4943" spans="1:1">
      <c r="A4943" t="s">
        <v>5475</v>
      </c>
    </row>
    <row r="4944" spans="1:1">
      <c r="A4944" t="s">
        <v>5476</v>
      </c>
    </row>
    <row r="4945" spans="1:1">
      <c r="A4945" t="s">
        <v>5477</v>
      </c>
    </row>
    <row r="4946" spans="1:1">
      <c r="A4946" t="s">
        <v>5478</v>
      </c>
    </row>
    <row r="4947" spans="1:1">
      <c r="A4947" t="s">
        <v>5479</v>
      </c>
    </row>
    <row r="4948" spans="1:1">
      <c r="A4948" t="s">
        <v>5480</v>
      </c>
    </row>
    <row r="4949" spans="1:1">
      <c r="A4949" t="s">
        <v>5481</v>
      </c>
    </row>
    <row r="4950" spans="1:1">
      <c r="A4950" t="s">
        <v>5482</v>
      </c>
    </row>
    <row r="4951" spans="1:1">
      <c r="A4951" t="s">
        <v>5483</v>
      </c>
    </row>
    <row r="4952" spans="1:1">
      <c r="A4952" t="s">
        <v>5484</v>
      </c>
    </row>
    <row r="4953" spans="1:1">
      <c r="A4953" t="s">
        <v>5485</v>
      </c>
    </row>
    <row r="4954" spans="1:1">
      <c r="A4954" t="s">
        <v>5486</v>
      </c>
    </row>
    <row r="4955" spans="1:1">
      <c r="A4955" t="s">
        <v>5487</v>
      </c>
    </row>
    <row r="4956" spans="1:1">
      <c r="A4956" t="s">
        <v>5488</v>
      </c>
    </row>
    <row r="4957" spans="1:1">
      <c r="A4957" t="s">
        <v>5489</v>
      </c>
    </row>
    <row r="4958" spans="1:1">
      <c r="A4958" t="s">
        <v>5490</v>
      </c>
    </row>
    <row r="4959" spans="1:1">
      <c r="A4959" t="s">
        <v>5491</v>
      </c>
    </row>
    <row r="4960" spans="1:1">
      <c r="A4960" t="s">
        <v>5492</v>
      </c>
    </row>
    <row r="4961" spans="1:1">
      <c r="A4961" t="s">
        <v>5493</v>
      </c>
    </row>
    <row r="4962" spans="1:1">
      <c r="A4962" t="s">
        <v>5494</v>
      </c>
    </row>
    <row r="4963" spans="1:1">
      <c r="A4963" t="s">
        <v>5495</v>
      </c>
    </row>
    <row r="4964" spans="1:1">
      <c r="A4964" t="s">
        <v>5496</v>
      </c>
    </row>
    <row r="4965" spans="1:1">
      <c r="A4965" t="s">
        <v>5497</v>
      </c>
    </row>
    <row r="4966" spans="1:1">
      <c r="A4966" t="s">
        <v>5498</v>
      </c>
    </row>
    <row r="4967" spans="1:1">
      <c r="A4967" t="s">
        <v>5499</v>
      </c>
    </row>
    <row r="4968" spans="1:1">
      <c r="A4968" t="s">
        <v>5500</v>
      </c>
    </row>
    <row r="4969" spans="1:1">
      <c r="A4969" t="s">
        <v>5501</v>
      </c>
    </row>
    <row r="4970" spans="1:1">
      <c r="A4970" t="s">
        <v>5502</v>
      </c>
    </row>
    <row r="4971" spans="1:1">
      <c r="A4971" t="s">
        <v>5503</v>
      </c>
    </row>
    <row r="4972" spans="1:1">
      <c r="A4972" t="s">
        <v>5504</v>
      </c>
    </row>
    <row r="4973" spans="1:1">
      <c r="A4973" t="s">
        <v>5505</v>
      </c>
    </row>
    <row r="4974" spans="1:1">
      <c r="A4974" t="s">
        <v>5506</v>
      </c>
    </row>
    <row r="4975" spans="1:1">
      <c r="A4975" t="s">
        <v>5507</v>
      </c>
    </row>
    <row r="4976" spans="1:1">
      <c r="A4976" t="s">
        <v>5508</v>
      </c>
    </row>
    <row r="4977" spans="1:1">
      <c r="A4977" t="s">
        <v>5509</v>
      </c>
    </row>
    <row r="4978" spans="1:1">
      <c r="A4978" t="s">
        <v>5510</v>
      </c>
    </row>
    <row r="4979" spans="1:1">
      <c r="A4979" t="s">
        <v>5511</v>
      </c>
    </row>
    <row r="4980" spans="1:1">
      <c r="A4980" t="s">
        <v>5512</v>
      </c>
    </row>
    <row r="4981" spans="1:1">
      <c r="A4981" t="s">
        <v>5513</v>
      </c>
    </row>
    <row r="4982" spans="1:1">
      <c r="A4982" t="s">
        <v>5514</v>
      </c>
    </row>
    <row r="4983" spans="1:1">
      <c r="A4983" t="s">
        <v>5515</v>
      </c>
    </row>
    <row r="4984" spans="1:1">
      <c r="A4984" t="s">
        <v>5516</v>
      </c>
    </row>
    <row r="4985" spans="1:1">
      <c r="A4985" t="s">
        <v>5517</v>
      </c>
    </row>
    <row r="4986" spans="1:1">
      <c r="A4986" t="s">
        <v>5518</v>
      </c>
    </row>
    <row r="4987" spans="1:1">
      <c r="A4987" t="s">
        <v>5519</v>
      </c>
    </row>
    <row r="4988" spans="1:1">
      <c r="A4988" t="s">
        <v>5520</v>
      </c>
    </row>
    <row r="4989" spans="1:1">
      <c r="A4989" t="s">
        <v>5521</v>
      </c>
    </row>
    <row r="4990" spans="1:1">
      <c r="A4990" t="s">
        <v>5522</v>
      </c>
    </row>
    <row r="4991" spans="1:1">
      <c r="A4991" t="s">
        <v>5523</v>
      </c>
    </row>
    <row r="4992" spans="1:1">
      <c r="A4992" t="s">
        <v>5524</v>
      </c>
    </row>
    <row r="4993" spans="1:1">
      <c r="A4993" t="s">
        <v>5525</v>
      </c>
    </row>
    <row r="4994" spans="1:1">
      <c r="A4994" t="s">
        <v>5526</v>
      </c>
    </row>
    <row r="4995" spans="1:1">
      <c r="A4995" t="s">
        <v>5527</v>
      </c>
    </row>
    <row r="4996" spans="1:1">
      <c r="A4996" t="s">
        <v>5528</v>
      </c>
    </row>
    <row r="4997" spans="1:1">
      <c r="A4997" t="s">
        <v>5529</v>
      </c>
    </row>
    <row r="4998" spans="1:1">
      <c r="A4998" t="s">
        <v>5530</v>
      </c>
    </row>
    <row r="4999" spans="1:1">
      <c r="A4999" t="s">
        <v>5531</v>
      </c>
    </row>
    <row r="5000" spans="1:1">
      <c r="A5000" t="s">
        <v>5532</v>
      </c>
    </row>
    <row r="5001" spans="1:1">
      <c r="A5001" t="s">
        <v>5533</v>
      </c>
    </row>
    <row r="5002" spans="1:1">
      <c r="A5002" t="s">
        <v>5534</v>
      </c>
    </row>
    <row r="5003" spans="1:1">
      <c r="A5003" t="s">
        <v>5535</v>
      </c>
    </row>
    <row r="5004" spans="1:1">
      <c r="A5004" t="s">
        <v>5536</v>
      </c>
    </row>
    <row r="5005" spans="1:1">
      <c r="A5005" t="s">
        <v>5537</v>
      </c>
    </row>
    <row r="5006" spans="1:1">
      <c r="A5006" t="s">
        <v>5538</v>
      </c>
    </row>
    <row r="5007" spans="1:1">
      <c r="A5007" t="s">
        <v>5539</v>
      </c>
    </row>
    <row r="5008" spans="1:1">
      <c r="A5008" t="s">
        <v>5540</v>
      </c>
    </row>
    <row r="5009" spans="1:1">
      <c r="A5009" t="s">
        <v>5541</v>
      </c>
    </row>
    <row r="5010" spans="1:1">
      <c r="A5010" t="s">
        <v>5542</v>
      </c>
    </row>
    <row r="5011" spans="1:1">
      <c r="A5011" t="s">
        <v>5543</v>
      </c>
    </row>
    <row r="5012" spans="1:1">
      <c r="A5012" t="s">
        <v>5544</v>
      </c>
    </row>
    <row r="5013" spans="1:1">
      <c r="A5013" t="s">
        <v>5545</v>
      </c>
    </row>
    <row r="5014" spans="1:1">
      <c r="A5014" t="s">
        <v>5546</v>
      </c>
    </row>
    <row r="5015" spans="1:1">
      <c r="A5015" t="s">
        <v>5547</v>
      </c>
    </row>
    <row r="5016" spans="1:1">
      <c r="A5016" t="s">
        <v>5548</v>
      </c>
    </row>
    <row r="5017" spans="1:1">
      <c r="A5017" t="s">
        <v>5549</v>
      </c>
    </row>
    <row r="5018" spans="1:1">
      <c r="A5018" t="s">
        <v>5550</v>
      </c>
    </row>
    <row r="5019" spans="1:1">
      <c r="A5019" t="s">
        <v>5551</v>
      </c>
    </row>
    <row r="5020" spans="1:1">
      <c r="A5020" t="s">
        <v>5552</v>
      </c>
    </row>
    <row r="5021" spans="1:1">
      <c r="A5021" t="s">
        <v>5553</v>
      </c>
    </row>
    <row r="5022" spans="1:1">
      <c r="A5022" t="s">
        <v>5554</v>
      </c>
    </row>
    <row r="5023" spans="1:1">
      <c r="A5023" t="s">
        <v>5555</v>
      </c>
    </row>
    <row r="5024" spans="1:1">
      <c r="A5024" t="s">
        <v>5556</v>
      </c>
    </row>
    <row r="5025" spans="1:1">
      <c r="A5025" t="s">
        <v>5557</v>
      </c>
    </row>
    <row r="5026" spans="1:1">
      <c r="A5026" t="s">
        <v>5558</v>
      </c>
    </row>
    <row r="5027" spans="1:1">
      <c r="A5027" t="s">
        <v>5559</v>
      </c>
    </row>
    <row r="5028" spans="1:1">
      <c r="A5028" t="s">
        <v>5560</v>
      </c>
    </row>
    <row r="5029" spans="1:1">
      <c r="A5029" t="s">
        <v>5561</v>
      </c>
    </row>
    <row r="5030" spans="1:1">
      <c r="A5030" t="s">
        <v>5562</v>
      </c>
    </row>
    <row r="5031" spans="1:1">
      <c r="A5031" t="s">
        <v>5563</v>
      </c>
    </row>
    <row r="5032" spans="1:1">
      <c r="A5032" t="s">
        <v>5564</v>
      </c>
    </row>
    <row r="5033" spans="1:1">
      <c r="A5033" t="s">
        <v>5565</v>
      </c>
    </row>
    <row r="5034" spans="1:1">
      <c r="A5034" t="s">
        <v>5566</v>
      </c>
    </row>
    <row r="5035" spans="1:1">
      <c r="A5035" t="s">
        <v>5567</v>
      </c>
    </row>
    <row r="5036" spans="1:1">
      <c r="A5036" t="s">
        <v>5568</v>
      </c>
    </row>
    <row r="5037" spans="1:1">
      <c r="A5037" t="s">
        <v>5569</v>
      </c>
    </row>
    <row r="5038" spans="1:1">
      <c r="A5038" t="s">
        <v>5570</v>
      </c>
    </row>
    <row r="5039" spans="1:1">
      <c r="A5039" t="s">
        <v>5571</v>
      </c>
    </row>
    <row r="5040" spans="1:1">
      <c r="A5040" t="s">
        <v>5572</v>
      </c>
    </row>
    <row r="5041" spans="1:1">
      <c r="A5041" t="s">
        <v>5573</v>
      </c>
    </row>
    <row r="5042" spans="1:1">
      <c r="A5042" t="s">
        <v>5574</v>
      </c>
    </row>
    <row r="5043" spans="1:1">
      <c r="A5043" t="s">
        <v>5575</v>
      </c>
    </row>
    <row r="5044" spans="1:1">
      <c r="A5044" t="s">
        <v>5576</v>
      </c>
    </row>
    <row r="5045" spans="1:1">
      <c r="A5045" t="s">
        <v>5577</v>
      </c>
    </row>
    <row r="5046" spans="1:1">
      <c r="A5046" t="s">
        <v>5578</v>
      </c>
    </row>
    <row r="5047" spans="1:1">
      <c r="A5047" t="s">
        <v>5579</v>
      </c>
    </row>
    <row r="5048" spans="1:1">
      <c r="A5048" t="s">
        <v>5580</v>
      </c>
    </row>
    <row r="5049" spans="1:1">
      <c r="A5049" t="s">
        <v>5581</v>
      </c>
    </row>
    <row r="5050" spans="1:1">
      <c r="A5050" t="s">
        <v>5582</v>
      </c>
    </row>
    <row r="5051" spans="1:1">
      <c r="A5051" t="s">
        <v>5583</v>
      </c>
    </row>
    <row r="5052" spans="1:1">
      <c r="A5052" t="s">
        <v>5584</v>
      </c>
    </row>
    <row r="5053" spans="1:1">
      <c r="A5053" t="s">
        <v>5585</v>
      </c>
    </row>
    <row r="5054" spans="1:1">
      <c r="A5054" t="s">
        <v>5586</v>
      </c>
    </row>
    <row r="5055" spans="1:1">
      <c r="A5055" t="s">
        <v>5587</v>
      </c>
    </row>
    <row r="5056" spans="1:1">
      <c r="A5056" t="s">
        <v>5588</v>
      </c>
    </row>
    <row r="5057" spans="1:1">
      <c r="A5057" t="s">
        <v>5589</v>
      </c>
    </row>
    <row r="5058" spans="1:1">
      <c r="A5058" t="s">
        <v>5590</v>
      </c>
    </row>
    <row r="5059" spans="1:1">
      <c r="A5059" t="s">
        <v>5591</v>
      </c>
    </row>
    <row r="5060" spans="1:1">
      <c r="A5060" t="s">
        <v>5592</v>
      </c>
    </row>
    <row r="5061" spans="1:1">
      <c r="A5061" t="s">
        <v>5593</v>
      </c>
    </row>
    <row r="5062" spans="1:1">
      <c r="A5062" t="s">
        <v>5594</v>
      </c>
    </row>
    <row r="5063" spans="1:1">
      <c r="A5063" t="s">
        <v>5595</v>
      </c>
    </row>
    <row r="5064" spans="1:1">
      <c r="A5064" t="s">
        <v>5596</v>
      </c>
    </row>
    <row r="5065" spans="1:1">
      <c r="A5065" t="s">
        <v>5597</v>
      </c>
    </row>
    <row r="5066" spans="1:1">
      <c r="A5066" t="s">
        <v>5598</v>
      </c>
    </row>
    <row r="5067" spans="1:1">
      <c r="A5067" t="s">
        <v>5599</v>
      </c>
    </row>
    <row r="5068" spans="1:1">
      <c r="A5068" t="s">
        <v>5600</v>
      </c>
    </row>
    <row r="5069" spans="1:1">
      <c r="A5069" t="s">
        <v>5601</v>
      </c>
    </row>
    <row r="5070" spans="1:1">
      <c r="A5070" t="s">
        <v>5602</v>
      </c>
    </row>
    <row r="5071" spans="1:1">
      <c r="A5071" t="s">
        <v>5603</v>
      </c>
    </row>
    <row r="5072" spans="1:1">
      <c r="A5072" t="s">
        <v>5604</v>
      </c>
    </row>
    <row r="5073" spans="1:1">
      <c r="A5073" t="s">
        <v>5605</v>
      </c>
    </row>
    <row r="5074" spans="1:1">
      <c r="A5074" t="s">
        <v>5606</v>
      </c>
    </row>
    <row r="5075" spans="1:1">
      <c r="A5075" t="s">
        <v>5607</v>
      </c>
    </row>
    <row r="5076" spans="1:1">
      <c r="A5076" t="s">
        <v>5608</v>
      </c>
    </row>
    <row r="5077" spans="1:1">
      <c r="A5077" t="s">
        <v>5609</v>
      </c>
    </row>
    <row r="5078" spans="1:1">
      <c r="A5078" t="s">
        <v>5610</v>
      </c>
    </row>
    <row r="5079" spans="1:1">
      <c r="A5079" t="s">
        <v>5611</v>
      </c>
    </row>
    <row r="5080" spans="1:1">
      <c r="A5080" t="s">
        <v>5612</v>
      </c>
    </row>
    <row r="5081" spans="1:1">
      <c r="A5081" t="s">
        <v>5613</v>
      </c>
    </row>
    <row r="5082" spans="1:1">
      <c r="A5082" t="s">
        <v>5614</v>
      </c>
    </row>
    <row r="5083" spans="1:1">
      <c r="A5083" t="s">
        <v>5615</v>
      </c>
    </row>
    <row r="5084" spans="1:1">
      <c r="A5084" t="s">
        <v>5616</v>
      </c>
    </row>
    <row r="5085" spans="1:1">
      <c r="A5085" t="s">
        <v>5617</v>
      </c>
    </row>
    <row r="5086" spans="1:1">
      <c r="A5086" t="s">
        <v>5618</v>
      </c>
    </row>
    <row r="5087" spans="1:1">
      <c r="A5087" t="s">
        <v>5619</v>
      </c>
    </row>
    <row r="5088" spans="1:1">
      <c r="A5088" t="s">
        <v>5620</v>
      </c>
    </row>
    <row r="5089" spans="1:1">
      <c r="A5089" t="s">
        <v>5621</v>
      </c>
    </row>
    <row r="5090" spans="1:1">
      <c r="A5090" t="s">
        <v>5622</v>
      </c>
    </row>
    <row r="5091" spans="1:1">
      <c r="A5091" t="s">
        <v>5623</v>
      </c>
    </row>
    <row r="5092" spans="1:1">
      <c r="A5092" t="s">
        <v>5624</v>
      </c>
    </row>
    <row r="5093" spans="1:1">
      <c r="A5093" t="s">
        <v>5625</v>
      </c>
    </row>
    <row r="5094" spans="1:1">
      <c r="A5094" t="s">
        <v>5626</v>
      </c>
    </row>
    <row r="5095" spans="1:1">
      <c r="A5095" t="s">
        <v>5627</v>
      </c>
    </row>
    <row r="5096" spans="1:1">
      <c r="A5096" t="s">
        <v>5628</v>
      </c>
    </row>
    <row r="5097" spans="1:1">
      <c r="A5097" t="s">
        <v>5629</v>
      </c>
    </row>
    <row r="5098" spans="1:1">
      <c r="A5098" t="s">
        <v>5630</v>
      </c>
    </row>
    <row r="5099" spans="1:1">
      <c r="A5099" t="s">
        <v>5631</v>
      </c>
    </row>
    <row r="5100" spans="1:1">
      <c r="A5100" t="s">
        <v>5632</v>
      </c>
    </row>
    <row r="5101" spans="1:1">
      <c r="A5101" t="s">
        <v>5633</v>
      </c>
    </row>
    <row r="5102" spans="1:1">
      <c r="A5102" t="s">
        <v>5634</v>
      </c>
    </row>
    <row r="5103" spans="1:1">
      <c r="A5103" t="s">
        <v>5635</v>
      </c>
    </row>
    <row r="5104" spans="1:1">
      <c r="A5104" t="s">
        <v>5636</v>
      </c>
    </row>
    <row r="5105" spans="1:1">
      <c r="A5105" t="s">
        <v>5637</v>
      </c>
    </row>
    <row r="5106" spans="1:1">
      <c r="A5106" t="s">
        <v>5638</v>
      </c>
    </row>
    <row r="5107" spans="1:1">
      <c r="A5107" t="s">
        <v>5639</v>
      </c>
    </row>
    <row r="5108" spans="1:1">
      <c r="A5108" t="s">
        <v>5640</v>
      </c>
    </row>
    <row r="5109" spans="1:1">
      <c r="A5109" t="s">
        <v>5641</v>
      </c>
    </row>
    <row r="5110" spans="1:1">
      <c r="A5110" t="s">
        <v>5642</v>
      </c>
    </row>
    <row r="5111" spans="1:1">
      <c r="A5111" t="s">
        <v>5643</v>
      </c>
    </row>
    <row r="5112" spans="1:1">
      <c r="A5112" t="s">
        <v>5644</v>
      </c>
    </row>
    <row r="5113" spans="1:1">
      <c r="A5113" t="s">
        <v>5645</v>
      </c>
    </row>
    <row r="5114" spans="1:1">
      <c r="A5114" t="s">
        <v>5646</v>
      </c>
    </row>
    <row r="5115" spans="1:1">
      <c r="A5115" t="s">
        <v>5647</v>
      </c>
    </row>
    <row r="5116" spans="1:1">
      <c r="A5116" t="s">
        <v>5648</v>
      </c>
    </row>
    <row r="5117" spans="1:1">
      <c r="A5117" t="s">
        <v>5649</v>
      </c>
    </row>
    <row r="5118" spans="1:1">
      <c r="A5118" t="s">
        <v>5650</v>
      </c>
    </row>
    <row r="5119" spans="1:1">
      <c r="A5119" t="s">
        <v>5651</v>
      </c>
    </row>
    <row r="5120" spans="1:1">
      <c r="A5120" t="s">
        <v>5652</v>
      </c>
    </row>
    <row r="5121" spans="1:1">
      <c r="A5121" t="s">
        <v>5653</v>
      </c>
    </row>
    <row r="5122" spans="1:1">
      <c r="A5122" t="s">
        <v>5654</v>
      </c>
    </row>
    <row r="5123" spans="1:1">
      <c r="A5123" t="s">
        <v>5655</v>
      </c>
    </row>
    <row r="5124" spans="1:1">
      <c r="A5124" t="s">
        <v>5656</v>
      </c>
    </row>
    <row r="5125" spans="1:1">
      <c r="A5125" t="s">
        <v>5657</v>
      </c>
    </row>
    <row r="5126" spans="1:1">
      <c r="A5126" t="s">
        <v>5658</v>
      </c>
    </row>
    <row r="5127" spans="1:1">
      <c r="A5127" t="s">
        <v>5659</v>
      </c>
    </row>
    <row r="5128" spans="1:1">
      <c r="A5128" t="s">
        <v>5660</v>
      </c>
    </row>
    <row r="5129" spans="1:1">
      <c r="A5129" t="s">
        <v>5661</v>
      </c>
    </row>
    <row r="5130" spans="1:1">
      <c r="A5130" t="s">
        <v>5662</v>
      </c>
    </row>
    <row r="5131" spans="1:1">
      <c r="A5131" t="s">
        <v>5663</v>
      </c>
    </row>
    <row r="5132" spans="1:1">
      <c r="A5132" t="s">
        <v>5664</v>
      </c>
    </row>
    <row r="5133" spans="1:1">
      <c r="A5133" t="s">
        <v>5665</v>
      </c>
    </row>
    <row r="5134" spans="1:1">
      <c r="A5134" t="s">
        <v>5666</v>
      </c>
    </row>
    <row r="5135" spans="1:1">
      <c r="A5135" t="s">
        <v>5667</v>
      </c>
    </row>
    <row r="5136" spans="1:1">
      <c r="A5136" t="s">
        <v>5668</v>
      </c>
    </row>
    <row r="5137" spans="1:1">
      <c r="A5137" t="s">
        <v>5669</v>
      </c>
    </row>
    <row r="5138" spans="1:1">
      <c r="A5138" t="s">
        <v>5670</v>
      </c>
    </row>
    <row r="5139" spans="1:1">
      <c r="A5139" t="s">
        <v>5671</v>
      </c>
    </row>
    <row r="5140" spans="1:1">
      <c r="A5140" t="s">
        <v>5672</v>
      </c>
    </row>
    <row r="5141" spans="1:1">
      <c r="A5141" t="s">
        <v>5673</v>
      </c>
    </row>
    <row r="5142" spans="1:1">
      <c r="A5142" t="s">
        <v>5674</v>
      </c>
    </row>
    <row r="5143" spans="1:1">
      <c r="A5143" t="s">
        <v>5675</v>
      </c>
    </row>
    <row r="5144" spans="1:1">
      <c r="A5144" t="s">
        <v>5676</v>
      </c>
    </row>
    <row r="5145" spans="1:1">
      <c r="A5145" t="s">
        <v>5677</v>
      </c>
    </row>
    <row r="5146" spans="1:1">
      <c r="A5146" t="s">
        <v>5678</v>
      </c>
    </row>
    <row r="5147" spans="1:1">
      <c r="A5147" t="s">
        <v>5679</v>
      </c>
    </row>
    <row r="5148" spans="1:1">
      <c r="A5148" t="s">
        <v>5680</v>
      </c>
    </row>
    <row r="5149" spans="1:1">
      <c r="A5149" t="s">
        <v>5681</v>
      </c>
    </row>
    <row r="5150" spans="1:1">
      <c r="A5150" t="s">
        <v>5682</v>
      </c>
    </row>
    <row r="5151" spans="1:1">
      <c r="A5151" t="s">
        <v>5683</v>
      </c>
    </row>
    <row r="5152" spans="1:1">
      <c r="A5152" t="s">
        <v>5684</v>
      </c>
    </row>
    <row r="5153" spans="1:1">
      <c r="A5153" t="s">
        <v>5685</v>
      </c>
    </row>
    <row r="5154" spans="1:1">
      <c r="A5154" t="s">
        <v>5686</v>
      </c>
    </row>
    <row r="5155" spans="1:1">
      <c r="A5155" t="s">
        <v>5687</v>
      </c>
    </row>
    <row r="5156" spans="1:1">
      <c r="A5156" t="s">
        <v>5688</v>
      </c>
    </row>
    <row r="5157" spans="1:1">
      <c r="A5157" t="s">
        <v>5689</v>
      </c>
    </row>
    <row r="5158" spans="1:1">
      <c r="A5158" t="s">
        <v>5690</v>
      </c>
    </row>
    <row r="5159" spans="1:1">
      <c r="A5159" t="s">
        <v>5691</v>
      </c>
    </row>
    <row r="5160" spans="1:1">
      <c r="A5160" t="s">
        <v>5692</v>
      </c>
    </row>
    <row r="5161" spans="1:1">
      <c r="A5161" t="s">
        <v>5693</v>
      </c>
    </row>
    <row r="5162" spans="1:1">
      <c r="A5162" t="s">
        <v>5694</v>
      </c>
    </row>
    <row r="5163" spans="1:1">
      <c r="A5163" t="s">
        <v>5695</v>
      </c>
    </row>
    <row r="5164" spans="1:1">
      <c r="A5164" t="s">
        <v>5696</v>
      </c>
    </row>
    <row r="5165" spans="1:1">
      <c r="A5165" t="s">
        <v>5697</v>
      </c>
    </row>
    <row r="5166" spans="1:1">
      <c r="A5166" t="s">
        <v>5698</v>
      </c>
    </row>
    <row r="5167" spans="1:1">
      <c r="A5167" t="s">
        <v>5699</v>
      </c>
    </row>
    <row r="5168" spans="1:1">
      <c r="A5168" t="s">
        <v>5700</v>
      </c>
    </row>
    <row r="5169" spans="1:1">
      <c r="A5169" t="s">
        <v>5701</v>
      </c>
    </row>
    <row r="5170" spans="1:1">
      <c r="A5170" t="s">
        <v>5702</v>
      </c>
    </row>
    <row r="5171" spans="1:1">
      <c r="A5171" t="s">
        <v>5703</v>
      </c>
    </row>
    <row r="5172" spans="1:1">
      <c r="A5172" t="s">
        <v>5704</v>
      </c>
    </row>
    <row r="5173" spans="1:1">
      <c r="A5173" t="s">
        <v>5705</v>
      </c>
    </row>
    <row r="5174" spans="1:1">
      <c r="A5174" t="s">
        <v>5706</v>
      </c>
    </row>
    <row r="5175" spans="1:1">
      <c r="A5175" t="s">
        <v>5707</v>
      </c>
    </row>
    <row r="5176" spans="1:1">
      <c r="A5176" t="s">
        <v>5708</v>
      </c>
    </row>
    <row r="5177" spans="1:1">
      <c r="A5177" t="s">
        <v>5709</v>
      </c>
    </row>
    <row r="5178" spans="1:1">
      <c r="A5178" t="s">
        <v>5710</v>
      </c>
    </row>
    <row r="5179" spans="1:1">
      <c r="A5179" t="s">
        <v>5711</v>
      </c>
    </row>
    <row r="5180" spans="1:1">
      <c r="A5180" t="s">
        <v>5712</v>
      </c>
    </row>
    <row r="5181" spans="1:1">
      <c r="A5181" t="s">
        <v>5713</v>
      </c>
    </row>
    <row r="5182" spans="1:1">
      <c r="A5182" t="s">
        <v>5714</v>
      </c>
    </row>
    <row r="5183" spans="1:1">
      <c r="A5183" t="s">
        <v>5715</v>
      </c>
    </row>
    <row r="5184" spans="1:1">
      <c r="A5184" t="s">
        <v>5716</v>
      </c>
    </row>
    <row r="5185" spans="1:1">
      <c r="A5185" t="s">
        <v>5717</v>
      </c>
    </row>
    <row r="5186" spans="1:1">
      <c r="A5186" t="s">
        <v>5718</v>
      </c>
    </row>
    <row r="5187" spans="1:1">
      <c r="A5187" t="s">
        <v>5719</v>
      </c>
    </row>
    <row r="5188" spans="1:1">
      <c r="A5188" t="s">
        <v>5720</v>
      </c>
    </row>
    <row r="5189" spans="1:1">
      <c r="A5189" t="s">
        <v>5721</v>
      </c>
    </row>
    <row r="5190" spans="1:1">
      <c r="A5190" t="s">
        <v>5722</v>
      </c>
    </row>
    <row r="5191" spans="1:1">
      <c r="A5191" t="s">
        <v>5723</v>
      </c>
    </row>
    <row r="5192" spans="1:1">
      <c r="A5192" t="s">
        <v>5724</v>
      </c>
    </row>
    <row r="5193" spans="1:1">
      <c r="A5193" t="s">
        <v>5725</v>
      </c>
    </row>
    <row r="5194" spans="1:1">
      <c r="A5194" t="s">
        <v>5726</v>
      </c>
    </row>
    <row r="5195" spans="1:1">
      <c r="A5195" t="s">
        <v>5727</v>
      </c>
    </row>
    <row r="5196" spans="1:1">
      <c r="A5196" t="s">
        <v>5728</v>
      </c>
    </row>
    <row r="5197" spans="1:1">
      <c r="A5197" t="s">
        <v>5729</v>
      </c>
    </row>
    <row r="5198" spans="1:1">
      <c r="A5198" t="s">
        <v>5730</v>
      </c>
    </row>
    <row r="5199" spans="1:1">
      <c r="A5199" t="s">
        <v>5731</v>
      </c>
    </row>
    <row r="5200" spans="1:1">
      <c r="A5200" t="s">
        <v>5732</v>
      </c>
    </row>
    <row r="5201" spans="1:1">
      <c r="A5201" t="s">
        <v>5733</v>
      </c>
    </row>
    <row r="5202" spans="1:1">
      <c r="A5202" t="s">
        <v>5734</v>
      </c>
    </row>
    <row r="5203" spans="1:1">
      <c r="A5203" t="s">
        <v>5735</v>
      </c>
    </row>
    <row r="5204" spans="1:1">
      <c r="A5204" t="s">
        <v>5736</v>
      </c>
    </row>
    <row r="5205" spans="1:1">
      <c r="A5205" t="s">
        <v>5737</v>
      </c>
    </row>
    <row r="5206" spans="1:1">
      <c r="A5206" t="s">
        <v>5738</v>
      </c>
    </row>
    <row r="5207" spans="1:1">
      <c r="A5207" t="s">
        <v>5739</v>
      </c>
    </row>
    <row r="5208" spans="1:1">
      <c r="A5208" t="s">
        <v>5740</v>
      </c>
    </row>
    <row r="5209" spans="1:1">
      <c r="A5209" t="s">
        <v>5741</v>
      </c>
    </row>
    <row r="5210" spans="1:1">
      <c r="A5210" t="s">
        <v>5742</v>
      </c>
    </row>
    <row r="5211" spans="1:1">
      <c r="A5211" t="s">
        <v>5743</v>
      </c>
    </row>
    <row r="5212" spans="1:1">
      <c r="A5212" t="s">
        <v>5744</v>
      </c>
    </row>
    <row r="5213" spans="1:1">
      <c r="A5213" t="s">
        <v>5745</v>
      </c>
    </row>
    <row r="5214" spans="1:1">
      <c r="A5214" t="s">
        <v>5746</v>
      </c>
    </row>
    <row r="5215" spans="1:1">
      <c r="A5215" t="s">
        <v>5747</v>
      </c>
    </row>
    <row r="5216" spans="1:1">
      <c r="A5216" t="s">
        <v>5748</v>
      </c>
    </row>
    <row r="5217" spans="1:1">
      <c r="A5217" t="s">
        <v>5749</v>
      </c>
    </row>
    <row r="5218" spans="1:1">
      <c r="A5218" t="s">
        <v>5750</v>
      </c>
    </row>
    <row r="5219" spans="1:1">
      <c r="A5219" t="s">
        <v>5751</v>
      </c>
    </row>
    <row r="5220" spans="1:1">
      <c r="A5220" t="s">
        <v>5752</v>
      </c>
    </row>
    <row r="5221" spans="1:1">
      <c r="A5221" t="s">
        <v>5753</v>
      </c>
    </row>
    <row r="5222" spans="1:1">
      <c r="A5222" t="s">
        <v>5754</v>
      </c>
    </row>
    <row r="5223" spans="1:1">
      <c r="A5223" t="s">
        <v>5755</v>
      </c>
    </row>
    <row r="5224" spans="1:1">
      <c r="A5224" t="s">
        <v>5756</v>
      </c>
    </row>
    <row r="5225" spans="1:1">
      <c r="A5225" t="s">
        <v>5757</v>
      </c>
    </row>
    <row r="5226" spans="1:1">
      <c r="A5226" t="s">
        <v>5758</v>
      </c>
    </row>
    <row r="5227" spans="1:1">
      <c r="A5227" t="s">
        <v>5759</v>
      </c>
    </row>
    <row r="5228" spans="1:1">
      <c r="A5228" t="s">
        <v>5760</v>
      </c>
    </row>
    <row r="5229" spans="1:1">
      <c r="A5229" t="s">
        <v>5761</v>
      </c>
    </row>
    <row r="5230" spans="1:1">
      <c r="A5230" t="s">
        <v>5762</v>
      </c>
    </row>
    <row r="5231" spans="1:1">
      <c r="A5231" t="s">
        <v>5763</v>
      </c>
    </row>
    <row r="5232" spans="1:1">
      <c r="A5232" t="s">
        <v>5764</v>
      </c>
    </row>
    <row r="5233" spans="1:1">
      <c r="A5233" t="s">
        <v>5765</v>
      </c>
    </row>
    <row r="5234" spans="1:1">
      <c r="A5234" t="s">
        <v>5766</v>
      </c>
    </row>
    <row r="5235" spans="1:1">
      <c r="A5235" t="s">
        <v>5767</v>
      </c>
    </row>
    <row r="5236" spans="1:1">
      <c r="A5236" t="s">
        <v>5768</v>
      </c>
    </row>
    <row r="5237" spans="1:1">
      <c r="A5237" t="s">
        <v>5769</v>
      </c>
    </row>
    <row r="5238" spans="1:1">
      <c r="A5238" t="s">
        <v>5770</v>
      </c>
    </row>
    <row r="5239" spans="1:1">
      <c r="A5239" t="s">
        <v>5771</v>
      </c>
    </row>
    <row r="5240" spans="1:1">
      <c r="A5240" t="s">
        <v>5772</v>
      </c>
    </row>
    <row r="5241" spans="1:1">
      <c r="A5241" t="s">
        <v>5773</v>
      </c>
    </row>
    <row r="5242" spans="1:1">
      <c r="A5242" t="s">
        <v>5774</v>
      </c>
    </row>
    <row r="5243" spans="1:1">
      <c r="A5243" t="s">
        <v>5775</v>
      </c>
    </row>
    <row r="5244" spans="1:1">
      <c r="A5244" t="s">
        <v>5776</v>
      </c>
    </row>
    <row r="5245" spans="1:1">
      <c r="A5245" t="s">
        <v>5777</v>
      </c>
    </row>
    <row r="5246" spans="1:1">
      <c r="A5246" t="s">
        <v>5778</v>
      </c>
    </row>
    <row r="5247" spans="1:1">
      <c r="A5247" t="s">
        <v>5779</v>
      </c>
    </row>
    <row r="5248" spans="1:1">
      <c r="A5248" t="s">
        <v>5780</v>
      </c>
    </row>
    <row r="5249" spans="1:1">
      <c r="A5249" t="s">
        <v>5781</v>
      </c>
    </row>
    <row r="5250" spans="1:1">
      <c r="A5250" t="s">
        <v>5782</v>
      </c>
    </row>
    <row r="5251" spans="1:1">
      <c r="A5251" t="s">
        <v>5783</v>
      </c>
    </row>
    <row r="5252" spans="1:1">
      <c r="A5252" t="s">
        <v>5784</v>
      </c>
    </row>
    <row r="5253" spans="1:1">
      <c r="A5253" t="s">
        <v>5785</v>
      </c>
    </row>
    <row r="5254" spans="1:1">
      <c r="A5254" t="s">
        <v>5786</v>
      </c>
    </row>
    <row r="5255" spans="1:1">
      <c r="A5255" t="s">
        <v>5787</v>
      </c>
    </row>
    <row r="5256" spans="1:1">
      <c r="A5256" t="s">
        <v>5788</v>
      </c>
    </row>
    <row r="5257" spans="1:1">
      <c r="A5257" t="s">
        <v>5789</v>
      </c>
    </row>
    <row r="5258" spans="1:1">
      <c r="A5258" t="s">
        <v>5790</v>
      </c>
    </row>
    <row r="5259" spans="1:1">
      <c r="A5259" t="s">
        <v>5791</v>
      </c>
    </row>
    <row r="5260" spans="1:1">
      <c r="A5260" t="s">
        <v>5792</v>
      </c>
    </row>
    <row r="5261" spans="1:1">
      <c r="A5261" t="s">
        <v>5793</v>
      </c>
    </row>
    <row r="5262" spans="1:1">
      <c r="A5262" t="s">
        <v>5794</v>
      </c>
    </row>
    <row r="5263" spans="1:1">
      <c r="A5263" t="s">
        <v>5795</v>
      </c>
    </row>
    <row r="5264" spans="1:1">
      <c r="A5264" t="s">
        <v>5796</v>
      </c>
    </row>
    <row r="5265" spans="1:1">
      <c r="A5265" t="s">
        <v>5797</v>
      </c>
    </row>
    <row r="5266" spans="1:1">
      <c r="A5266" t="s">
        <v>5798</v>
      </c>
    </row>
    <row r="5267" spans="1:1">
      <c r="A5267" t="s">
        <v>5799</v>
      </c>
    </row>
    <row r="5268" spans="1:1">
      <c r="A5268" t="s">
        <v>5800</v>
      </c>
    </row>
    <row r="5269" spans="1:1">
      <c r="A5269" t="s">
        <v>5801</v>
      </c>
    </row>
    <row r="5270" spans="1:1">
      <c r="A5270" t="s">
        <v>5802</v>
      </c>
    </row>
    <row r="5271" spans="1:1">
      <c r="A5271" t="s">
        <v>5803</v>
      </c>
    </row>
    <row r="5272" spans="1:1">
      <c r="A5272" t="s">
        <v>5804</v>
      </c>
    </row>
    <row r="5273" spans="1:1">
      <c r="A5273" t="s">
        <v>5805</v>
      </c>
    </row>
    <row r="5274" spans="1:1">
      <c r="A5274" t="s">
        <v>5806</v>
      </c>
    </row>
    <row r="5275" spans="1:1">
      <c r="A5275" t="s">
        <v>5807</v>
      </c>
    </row>
    <row r="5276" spans="1:1">
      <c r="A5276" t="s">
        <v>5808</v>
      </c>
    </row>
    <row r="5277" spans="1:1">
      <c r="A5277" t="s">
        <v>5809</v>
      </c>
    </row>
    <row r="5278" spans="1:1">
      <c r="A5278" t="s">
        <v>5810</v>
      </c>
    </row>
    <row r="5279" spans="1:1">
      <c r="A5279" t="s">
        <v>5811</v>
      </c>
    </row>
    <row r="5280" spans="1:1">
      <c r="A5280" t="s">
        <v>5812</v>
      </c>
    </row>
    <row r="5281" spans="1:1">
      <c r="A5281" t="s">
        <v>5813</v>
      </c>
    </row>
    <row r="5282" spans="1:1">
      <c r="A5282" t="s">
        <v>5814</v>
      </c>
    </row>
    <row r="5283" spans="1:1">
      <c r="A5283" t="s">
        <v>5815</v>
      </c>
    </row>
    <row r="5284" spans="1:1">
      <c r="A5284" t="s">
        <v>5816</v>
      </c>
    </row>
    <row r="5285" spans="1:1">
      <c r="A5285" t="s">
        <v>5817</v>
      </c>
    </row>
    <row r="5286" spans="1:1">
      <c r="A5286" t="s">
        <v>5818</v>
      </c>
    </row>
    <row r="5287" spans="1:1">
      <c r="A5287" t="s">
        <v>5819</v>
      </c>
    </row>
    <row r="5288" spans="1:1">
      <c r="A5288" t="s">
        <v>5820</v>
      </c>
    </row>
    <row r="5289" spans="1:1">
      <c r="A5289" t="s">
        <v>5821</v>
      </c>
    </row>
    <row r="5290" spans="1:1">
      <c r="A5290" t="s">
        <v>5822</v>
      </c>
    </row>
    <row r="5291" spans="1:1">
      <c r="A5291" t="s">
        <v>5823</v>
      </c>
    </row>
    <row r="5292" spans="1:1">
      <c r="A5292" t="s">
        <v>5824</v>
      </c>
    </row>
    <row r="5293" spans="1:1">
      <c r="A5293" t="s">
        <v>5825</v>
      </c>
    </row>
    <row r="5294" spans="1:1">
      <c r="A5294" t="s">
        <v>5826</v>
      </c>
    </row>
    <row r="5295" spans="1:1">
      <c r="A5295" t="s">
        <v>5827</v>
      </c>
    </row>
    <row r="5296" spans="1:1">
      <c r="A5296" t="s">
        <v>5828</v>
      </c>
    </row>
    <row r="5297" spans="1:1">
      <c r="A5297" t="s">
        <v>5829</v>
      </c>
    </row>
    <row r="5298" spans="1:1">
      <c r="A5298" t="s">
        <v>5830</v>
      </c>
    </row>
    <row r="5299" spans="1:1">
      <c r="A5299" t="s">
        <v>5831</v>
      </c>
    </row>
    <row r="5300" spans="1:1">
      <c r="A5300" t="s">
        <v>5832</v>
      </c>
    </row>
    <row r="5301" spans="1:1">
      <c r="A5301" t="s">
        <v>5833</v>
      </c>
    </row>
    <row r="5302" spans="1:1">
      <c r="A5302" t="s">
        <v>5834</v>
      </c>
    </row>
    <row r="5303" spans="1:1">
      <c r="A5303" t="s">
        <v>5835</v>
      </c>
    </row>
    <row r="5304" spans="1:1">
      <c r="A5304" t="s">
        <v>5836</v>
      </c>
    </row>
    <row r="5305" spans="1:1">
      <c r="A5305" t="s">
        <v>5837</v>
      </c>
    </row>
    <row r="5306" spans="1:1">
      <c r="A5306" t="s">
        <v>5838</v>
      </c>
    </row>
    <row r="5307" spans="1:1">
      <c r="A5307" t="s">
        <v>5839</v>
      </c>
    </row>
    <row r="5308" spans="1:1">
      <c r="A5308" t="s">
        <v>5840</v>
      </c>
    </row>
    <row r="5309" spans="1:1">
      <c r="A5309" t="s">
        <v>5841</v>
      </c>
    </row>
    <row r="5310" spans="1:1">
      <c r="A5310" t="s">
        <v>5842</v>
      </c>
    </row>
    <row r="5311" spans="1:1">
      <c r="A5311" t="s">
        <v>5843</v>
      </c>
    </row>
    <row r="5312" spans="1:1">
      <c r="A5312" t="s">
        <v>5844</v>
      </c>
    </row>
    <row r="5313" spans="1:1">
      <c r="A5313" t="s">
        <v>5845</v>
      </c>
    </row>
    <row r="5314" spans="1:1">
      <c r="A5314" t="s">
        <v>5846</v>
      </c>
    </row>
    <row r="5315" spans="1:1">
      <c r="A5315" t="s">
        <v>5847</v>
      </c>
    </row>
    <row r="5316" spans="1:1">
      <c r="A5316" t="s">
        <v>5848</v>
      </c>
    </row>
    <row r="5317" spans="1:1">
      <c r="A5317" t="s">
        <v>5849</v>
      </c>
    </row>
    <row r="5318" spans="1:1">
      <c r="A5318" t="s">
        <v>5850</v>
      </c>
    </row>
    <row r="5319" spans="1:1">
      <c r="A5319" t="s">
        <v>5851</v>
      </c>
    </row>
    <row r="5320" spans="1:1">
      <c r="A5320" t="s">
        <v>5852</v>
      </c>
    </row>
    <row r="5321" spans="1:1">
      <c r="A5321" t="s">
        <v>5853</v>
      </c>
    </row>
    <row r="5322" spans="1:1">
      <c r="A5322" t="s">
        <v>5854</v>
      </c>
    </row>
    <row r="5323" spans="1:1">
      <c r="A5323" t="s">
        <v>5855</v>
      </c>
    </row>
    <row r="5324" spans="1:1">
      <c r="A5324" t="s">
        <v>5856</v>
      </c>
    </row>
    <row r="5325" spans="1:1">
      <c r="A5325" t="s">
        <v>5857</v>
      </c>
    </row>
    <row r="5326" spans="1:1">
      <c r="A5326" t="s">
        <v>5858</v>
      </c>
    </row>
    <row r="5327" spans="1:1">
      <c r="A5327" t="s">
        <v>5859</v>
      </c>
    </row>
    <row r="5328" spans="1:1">
      <c r="A5328" t="s">
        <v>5860</v>
      </c>
    </row>
    <row r="5329" spans="1:1">
      <c r="A5329" t="s">
        <v>5861</v>
      </c>
    </row>
    <row r="5330" spans="1:1">
      <c r="A5330" t="s">
        <v>5862</v>
      </c>
    </row>
    <row r="5331" spans="1:1">
      <c r="A5331" t="s">
        <v>5863</v>
      </c>
    </row>
    <row r="5332" spans="1:1">
      <c r="A5332" t="s">
        <v>5864</v>
      </c>
    </row>
    <row r="5333" spans="1:1">
      <c r="A5333" t="s">
        <v>5865</v>
      </c>
    </row>
    <row r="5334" spans="1:1">
      <c r="A5334" t="s">
        <v>5866</v>
      </c>
    </row>
    <row r="5335" spans="1:1">
      <c r="A5335" t="s">
        <v>5867</v>
      </c>
    </row>
    <row r="5336" spans="1:1">
      <c r="A5336" t="s">
        <v>5868</v>
      </c>
    </row>
    <row r="5337" spans="1:1">
      <c r="A5337" t="s">
        <v>5869</v>
      </c>
    </row>
    <row r="5338" spans="1:1">
      <c r="A5338" t="s">
        <v>5870</v>
      </c>
    </row>
    <row r="5339" spans="1:1">
      <c r="A5339" t="s">
        <v>5871</v>
      </c>
    </row>
    <row r="5340" spans="1:1">
      <c r="A5340" t="s">
        <v>5872</v>
      </c>
    </row>
    <row r="5341" spans="1:1">
      <c r="A5341" t="s">
        <v>5873</v>
      </c>
    </row>
    <row r="5342" spans="1:1">
      <c r="A5342" t="s">
        <v>5874</v>
      </c>
    </row>
    <row r="5343" spans="1:1">
      <c r="A5343" t="s">
        <v>5875</v>
      </c>
    </row>
    <row r="5344" spans="1:1">
      <c r="A5344" t="s">
        <v>5876</v>
      </c>
    </row>
    <row r="5345" spans="1:1">
      <c r="A5345" t="s">
        <v>5877</v>
      </c>
    </row>
    <row r="5346" spans="1:1">
      <c r="A5346" t="s">
        <v>5878</v>
      </c>
    </row>
    <row r="5347" spans="1:1">
      <c r="A5347" t="s">
        <v>5879</v>
      </c>
    </row>
    <row r="5348" spans="1:1">
      <c r="A5348" t="s">
        <v>5880</v>
      </c>
    </row>
    <row r="5349" spans="1:1">
      <c r="A5349" t="s">
        <v>5881</v>
      </c>
    </row>
    <row r="5350" spans="1:1">
      <c r="A5350" t="s">
        <v>5882</v>
      </c>
    </row>
    <row r="5351" spans="1:1">
      <c r="A5351" t="s">
        <v>5883</v>
      </c>
    </row>
    <row r="5352" spans="1:1">
      <c r="A5352" t="s">
        <v>5884</v>
      </c>
    </row>
    <row r="5353" spans="1:1">
      <c r="A5353" t="s">
        <v>5885</v>
      </c>
    </row>
    <row r="5354" spans="1:1">
      <c r="A5354" t="s">
        <v>5886</v>
      </c>
    </row>
    <row r="5355" spans="1:1">
      <c r="A5355" t="s">
        <v>5887</v>
      </c>
    </row>
    <row r="5356" spans="1:1">
      <c r="A5356" t="s">
        <v>5888</v>
      </c>
    </row>
    <row r="5357" spans="1:1">
      <c r="A5357" t="s">
        <v>5889</v>
      </c>
    </row>
    <row r="5358" spans="1:1">
      <c r="A5358" t="s">
        <v>5890</v>
      </c>
    </row>
    <row r="5359" spans="1:1">
      <c r="A5359" t="s">
        <v>5891</v>
      </c>
    </row>
    <row r="5360" spans="1:1">
      <c r="A5360" t="s">
        <v>5892</v>
      </c>
    </row>
    <row r="5361" spans="1:1">
      <c r="A5361" t="s">
        <v>5893</v>
      </c>
    </row>
    <row r="5362" spans="1:1">
      <c r="A5362" t="s">
        <v>5894</v>
      </c>
    </row>
    <row r="5363" spans="1:1">
      <c r="A5363" t="s">
        <v>5895</v>
      </c>
    </row>
    <row r="5364" spans="1:1">
      <c r="A5364" t="s">
        <v>5896</v>
      </c>
    </row>
    <row r="5365" spans="1:1">
      <c r="A5365" t="s">
        <v>5897</v>
      </c>
    </row>
    <row r="5366" spans="1:1">
      <c r="A5366" t="s">
        <v>5898</v>
      </c>
    </row>
    <row r="5367" spans="1:1">
      <c r="A5367" t="s">
        <v>5899</v>
      </c>
    </row>
    <row r="5368" spans="1:1">
      <c r="A5368" t="s">
        <v>5900</v>
      </c>
    </row>
    <row r="5369" spans="1:1">
      <c r="A5369" t="s">
        <v>5901</v>
      </c>
    </row>
    <row r="5370" spans="1:1">
      <c r="A5370" t="s">
        <v>5902</v>
      </c>
    </row>
    <row r="5371" spans="1:1">
      <c r="A5371" t="s">
        <v>5903</v>
      </c>
    </row>
    <row r="5372" spans="1:1">
      <c r="A5372" t="s">
        <v>5904</v>
      </c>
    </row>
    <row r="5373" spans="1:1">
      <c r="A5373" t="s">
        <v>5905</v>
      </c>
    </row>
    <row r="5374" spans="1:1">
      <c r="A5374" t="s">
        <v>5906</v>
      </c>
    </row>
    <row r="5375" spans="1:1">
      <c r="A5375" t="s">
        <v>5907</v>
      </c>
    </row>
    <row r="5376" spans="1:1">
      <c r="A5376" t="s">
        <v>5908</v>
      </c>
    </row>
    <row r="5377" spans="1:1">
      <c r="A5377" t="s">
        <v>5909</v>
      </c>
    </row>
    <row r="5378" spans="1:1">
      <c r="A5378" t="s">
        <v>5910</v>
      </c>
    </row>
    <row r="5379" spans="1:1">
      <c r="A5379" t="s">
        <v>5911</v>
      </c>
    </row>
    <row r="5380" spans="1:1">
      <c r="A5380" t="s">
        <v>5912</v>
      </c>
    </row>
    <row r="5381" spans="1:1">
      <c r="A5381" t="s">
        <v>5913</v>
      </c>
    </row>
    <row r="5382" spans="1:1">
      <c r="A5382" t="s">
        <v>5914</v>
      </c>
    </row>
    <row r="5383" spans="1:1">
      <c r="A5383" t="s">
        <v>5915</v>
      </c>
    </row>
    <row r="5384" spans="1:1">
      <c r="A5384" t="s">
        <v>5916</v>
      </c>
    </row>
    <row r="5385" spans="1:1">
      <c r="A5385" t="s">
        <v>5917</v>
      </c>
    </row>
    <row r="5386" spans="1:1">
      <c r="A5386" t="s">
        <v>5918</v>
      </c>
    </row>
    <row r="5387" spans="1:1">
      <c r="A5387" t="s">
        <v>5919</v>
      </c>
    </row>
    <row r="5388" spans="1:1">
      <c r="A5388" t="s">
        <v>5920</v>
      </c>
    </row>
    <row r="5389" spans="1:1">
      <c r="A5389" t="s">
        <v>5921</v>
      </c>
    </row>
    <row r="5390" spans="1:1">
      <c r="A5390" t="s">
        <v>5922</v>
      </c>
    </row>
    <row r="5391" spans="1:1">
      <c r="A5391" t="s">
        <v>5923</v>
      </c>
    </row>
    <row r="5392" spans="1:1">
      <c r="A5392" t="s">
        <v>5924</v>
      </c>
    </row>
    <row r="5393" spans="1:1">
      <c r="A5393" t="s">
        <v>5925</v>
      </c>
    </row>
    <row r="5394" spans="1:1">
      <c r="A5394" t="s">
        <v>5926</v>
      </c>
    </row>
    <row r="5395" spans="1:1">
      <c r="A5395" t="s">
        <v>5927</v>
      </c>
    </row>
    <row r="5396" spans="1:1">
      <c r="A5396" t="s">
        <v>5928</v>
      </c>
    </row>
    <row r="5397" spans="1:1">
      <c r="A5397" t="s">
        <v>5929</v>
      </c>
    </row>
    <row r="5398" spans="1:1">
      <c r="A5398" t="s">
        <v>5930</v>
      </c>
    </row>
    <row r="5399" spans="1:1">
      <c r="A5399" t="s">
        <v>5931</v>
      </c>
    </row>
    <row r="5400" spans="1:1">
      <c r="A5400" t="s">
        <v>5932</v>
      </c>
    </row>
    <row r="5401" spans="1:1">
      <c r="A5401" t="s">
        <v>5933</v>
      </c>
    </row>
    <row r="5402" spans="1:1">
      <c r="A5402" t="s">
        <v>5934</v>
      </c>
    </row>
    <row r="5403" spans="1:1">
      <c r="A5403" t="s">
        <v>5935</v>
      </c>
    </row>
    <row r="5404" spans="1:1">
      <c r="A5404" t="s">
        <v>5936</v>
      </c>
    </row>
    <row r="5405" spans="1:1">
      <c r="A5405" t="s">
        <v>5937</v>
      </c>
    </row>
    <row r="5406" spans="1:1">
      <c r="A5406" t="s">
        <v>5938</v>
      </c>
    </row>
    <row r="5407" spans="1:1">
      <c r="A5407" t="s">
        <v>5939</v>
      </c>
    </row>
    <row r="5408" spans="1:1">
      <c r="A5408" t="s">
        <v>5940</v>
      </c>
    </row>
    <row r="5409" spans="1:1">
      <c r="A5409" t="s">
        <v>5941</v>
      </c>
    </row>
    <row r="5410" spans="1:1">
      <c r="A5410" t="s">
        <v>5942</v>
      </c>
    </row>
    <row r="5411" spans="1:1">
      <c r="A5411" t="s">
        <v>5943</v>
      </c>
    </row>
    <row r="5412" spans="1:1">
      <c r="A5412" t="s">
        <v>5944</v>
      </c>
    </row>
    <row r="5413" spans="1:1">
      <c r="A5413" t="s">
        <v>5945</v>
      </c>
    </row>
    <row r="5414" spans="1:1">
      <c r="A5414" t="s">
        <v>5946</v>
      </c>
    </row>
    <row r="5415" spans="1:1">
      <c r="A5415" t="s">
        <v>5947</v>
      </c>
    </row>
    <row r="5416" spans="1:1">
      <c r="A5416" t="s">
        <v>5948</v>
      </c>
    </row>
    <row r="5417" spans="1:1">
      <c r="A5417" t="s">
        <v>5949</v>
      </c>
    </row>
    <row r="5418" spans="1:1">
      <c r="A5418" t="s">
        <v>5950</v>
      </c>
    </row>
    <row r="5419" spans="1:1">
      <c r="A5419" t="s">
        <v>5951</v>
      </c>
    </row>
    <row r="5420" spans="1:1">
      <c r="A5420" t="s">
        <v>5952</v>
      </c>
    </row>
    <row r="5421" spans="1:1">
      <c r="A5421" t="s">
        <v>5953</v>
      </c>
    </row>
    <row r="5422" spans="1:1">
      <c r="A5422" t="s">
        <v>5954</v>
      </c>
    </row>
    <row r="5423" spans="1:1">
      <c r="A5423" t="s">
        <v>5955</v>
      </c>
    </row>
    <row r="5424" spans="1:1">
      <c r="A5424" t="s">
        <v>5956</v>
      </c>
    </row>
    <row r="5425" spans="1:1">
      <c r="A5425" t="s">
        <v>5957</v>
      </c>
    </row>
    <row r="5426" spans="1:1">
      <c r="A5426" t="s">
        <v>5958</v>
      </c>
    </row>
    <row r="5427" spans="1:1">
      <c r="A5427" t="s">
        <v>5959</v>
      </c>
    </row>
    <row r="5428" spans="1:1">
      <c r="A5428" t="s">
        <v>5960</v>
      </c>
    </row>
    <row r="5429" spans="1:1">
      <c r="A5429" t="s">
        <v>5961</v>
      </c>
    </row>
    <row r="5430" spans="1:1">
      <c r="A5430" t="s">
        <v>5962</v>
      </c>
    </row>
    <row r="5431" spans="1:1">
      <c r="A5431" t="s">
        <v>5963</v>
      </c>
    </row>
    <row r="5432" spans="1:1">
      <c r="A5432" t="s">
        <v>5964</v>
      </c>
    </row>
    <row r="5433" spans="1:1">
      <c r="A5433" t="s">
        <v>5965</v>
      </c>
    </row>
    <row r="5434" spans="1:1">
      <c r="A5434" t="s">
        <v>5966</v>
      </c>
    </row>
    <row r="5435" spans="1:1">
      <c r="A5435" t="s">
        <v>5967</v>
      </c>
    </row>
    <row r="5436" spans="1:1">
      <c r="A5436" t="s">
        <v>5968</v>
      </c>
    </row>
    <row r="5437" spans="1:1">
      <c r="A5437" t="s">
        <v>5969</v>
      </c>
    </row>
    <row r="5438" spans="1:1">
      <c r="A5438" t="s">
        <v>5970</v>
      </c>
    </row>
    <row r="5439" spans="1:1">
      <c r="A5439" t="s">
        <v>5971</v>
      </c>
    </row>
    <row r="5440" spans="1:1">
      <c r="A5440" t="s">
        <v>5972</v>
      </c>
    </row>
    <row r="5441" spans="1:1">
      <c r="A5441" t="s">
        <v>5973</v>
      </c>
    </row>
    <row r="5442" spans="1:1">
      <c r="A5442" t="s">
        <v>5974</v>
      </c>
    </row>
    <row r="5443" spans="1:1">
      <c r="A5443" t="s">
        <v>5975</v>
      </c>
    </row>
    <row r="5444" spans="1:1">
      <c r="A5444" t="s">
        <v>5976</v>
      </c>
    </row>
    <row r="5445" spans="1:1">
      <c r="A5445" t="s">
        <v>5977</v>
      </c>
    </row>
    <row r="5446" spans="1:1">
      <c r="A5446" t="s">
        <v>5978</v>
      </c>
    </row>
    <row r="5447" spans="1:1">
      <c r="A5447" t="s">
        <v>5979</v>
      </c>
    </row>
    <row r="5448" spans="1:1">
      <c r="A5448" t="s">
        <v>5980</v>
      </c>
    </row>
    <row r="5449" spans="1:1">
      <c r="A5449" t="s">
        <v>5981</v>
      </c>
    </row>
    <row r="5450" spans="1:1">
      <c r="A5450" t="s">
        <v>5982</v>
      </c>
    </row>
    <row r="5451" spans="1:1">
      <c r="A5451" t="s">
        <v>5983</v>
      </c>
    </row>
    <row r="5452" spans="1:1">
      <c r="A5452" t="s">
        <v>5984</v>
      </c>
    </row>
    <row r="5453" spans="1:1">
      <c r="A5453" t="s">
        <v>5985</v>
      </c>
    </row>
    <row r="5454" spans="1:1">
      <c r="A5454" t="s">
        <v>5986</v>
      </c>
    </row>
    <row r="5455" spans="1:1">
      <c r="A5455" t="s">
        <v>5987</v>
      </c>
    </row>
    <row r="5456" spans="1:1">
      <c r="A5456" t="s">
        <v>5988</v>
      </c>
    </row>
    <row r="5457" spans="1:1">
      <c r="A5457" t="s">
        <v>5989</v>
      </c>
    </row>
    <row r="5458" spans="1:1">
      <c r="A5458" t="s">
        <v>5990</v>
      </c>
    </row>
    <row r="5459" spans="1:1">
      <c r="A5459" t="s">
        <v>5991</v>
      </c>
    </row>
    <row r="5460" spans="1:1">
      <c r="A5460" t="s">
        <v>5992</v>
      </c>
    </row>
    <row r="5461" spans="1:1">
      <c r="A5461" t="s">
        <v>5993</v>
      </c>
    </row>
    <row r="5462" spans="1:1">
      <c r="A5462" t="s">
        <v>5994</v>
      </c>
    </row>
    <row r="5463" spans="1:1">
      <c r="A5463" t="s">
        <v>5995</v>
      </c>
    </row>
    <row r="5464" spans="1:1">
      <c r="A5464" t="s">
        <v>5996</v>
      </c>
    </row>
    <row r="5465" spans="1:1">
      <c r="A5465" t="s">
        <v>5997</v>
      </c>
    </row>
    <row r="5466" spans="1:1">
      <c r="A5466" t="s">
        <v>5998</v>
      </c>
    </row>
    <row r="5467" spans="1:1">
      <c r="A5467" t="s">
        <v>5999</v>
      </c>
    </row>
    <row r="5468" spans="1:1">
      <c r="A5468" t="s">
        <v>6000</v>
      </c>
    </row>
    <row r="5469" spans="1:1">
      <c r="A5469" t="s">
        <v>6001</v>
      </c>
    </row>
    <row r="5470" spans="1:1">
      <c r="A5470" t="s">
        <v>6002</v>
      </c>
    </row>
    <row r="5471" spans="1:1">
      <c r="A5471" t="s">
        <v>6003</v>
      </c>
    </row>
    <row r="5472" spans="1:1">
      <c r="A5472" t="s">
        <v>6004</v>
      </c>
    </row>
    <row r="5473" spans="1:1">
      <c r="A5473" t="s">
        <v>6005</v>
      </c>
    </row>
    <row r="5474" spans="1:1">
      <c r="A5474" t="s">
        <v>6006</v>
      </c>
    </row>
    <row r="5475" spans="1:1">
      <c r="A5475" t="s">
        <v>6007</v>
      </c>
    </row>
    <row r="5476" spans="1:1">
      <c r="A5476" t="s">
        <v>6008</v>
      </c>
    </row>
    <row r="5477" spans="1:1">
      <c r="A5477" t="s">
        <v>6009</v>
      </c>
    </row>
    <row r="5478" spans="1:1">
      <c r="A5478" t="s">
        <v>6010</v>
      </c>
    </row>
    <row r="5479" spans="1:1">
      <c r="A5479" t="s">
        <v>6011</v>
      </c>
    </row>
    <row r="5480" spans="1:1">
      <c r="A5480" t="s">
        <v>6012</v>
      </c>
    </row>
    <row r="5481" spans="1:1">
      <c r="A5481" t="s">
        <v>6013</v>
      </c>
    </row>
    <row r="5482" spans="1:1">
      <c r="A5482" t="s">
        <v>6014</v>
      </c>
    </row>
    <row r="5483" spans="1:1">
      <c r="A5483" t="s">
        <v>6015</v>
      </c>
    </row>
    <row r="5484" spans="1:1">
      <c r="A5484" t="s">
        <v>6016</v>
      </c>
    </row>
    <row r="5485" spans="1:1">
      <c r="A5485" t="s">
        <v>6017</v>
      </c>
    </row>
    <row r="5486" spans="1:1">
      <c r="A5486" t="s">
        <v>6018</v>
      </c>
    </row>
    <row r="5487" spans="1:1">
      <c r="A5487" t="s">
        <v>6019</v>
      </c>
    </row>
    <row r="5488" spans="1:1">
      <c r="A5488" t="s">
        <v>6020</v>
      </c>
    </row>
    <row r="5489" spans="1:1">
      <c r="A5489" t="s">
        <v>6021</v>
      </c>
    </row>
    <row r="5490" spans="1:1">
      <c r="A5490" t="s">
        <v>6022</v>
      </c>
    </row>
    <row r="5491" spans="1:1">
      <c r="A5491" t="s">
        <v>6023</v>
      </c>
    </row>
    <row r="5492" spans="1:1">
      <c r="A5492" t="s">
        <v>6024</v>
      </c>
    </row>
    <row r="5493" spans="1:1">
      <c r="A5493" t="s">
        <v>6025</v>
      </c>
    </row>
    <row r="5494" spans="1:1">
      <c r="A5494" t="s">
        <v>6026</v>
      </c>
    </row>
    <row r="5495" spans="1:1">
      <c r="A5495" t="s">
        <v>6027</v>
      </c>
    </row>
    <row r="5496" spans="1:1">
      <c r="A5496" t="s">
        <v>6028</v>
      </c>
    </row>
    <row r="5497" spans="1:1">
      <c r="A5497" t="s">
        <v>6029</v>
      </c>
    </row>
    <row r="5498" spans="1:1">
      <c r="A5498" t="s">
        <v>6030</v>
      </c>
    </row>
    <row r="5499" spans="1:1">
      <c r="A5499" t="s">
        <v>6031</v>
      </c>
    </row>
    <row r="5500" spans="1:1">
      <c r="A5500" t="s">
        <v>6032</v>
      </c>
    </row>
    <row r="5501" spans="1:1">
      <c r="A5501" t="s">
        <v>6033</v>
      </c>
    </row>
    <row r="5502" spans="1:1">
      <c r="A5502" t="s">
        <v>6034</v>
      </c>
    </row>
    <row r="5503" spans="1:1">
      <c r="A5503" t="s">
        <v>6035</v>
      </c>
    </row>
    <row r="5504" spans="1:1">
      <c r="A5504" t="s">
        <v>6036</v>
      </c>
    </row>
    <row r="5505" spans="1:1">
      <c r="A5505" t="s">
        <v>6037</v>
      </c>
    </row>
    <row r="5506" spans="1:1">
      <c r="A5506" t="s">
        <v>6038</v>
      </c>
    </row>
    <row r="5507" spans="1:1">
      <c r="A5507" t="s">
        <v>6039</v>
      </c>
    </row>
    <row r="5508" spans="1:1">
      <c r="A5508" t="s">
        <v>6040</v>
      </c>
    </row>
    <row r="5509" spans="1:1">
      <c r="A5509" t="s">
        <v>6041</v>
      </c>
    </row>
    <row r="5510" spans="1:1">
      <c r="A5510" t="s">
        <v>6042</v>
      </c>
    </row>
    <row r="5511" spans="1:1">
      <c r="A5511" t="s">
        <v>6043</v>
      </c>
    </row>
    <row r="5512" spans="1:1">
      <c r="A5512" t="s">
        <v>6044</v>
      </c>
    </row>
    <row r="5513" spans="1:1">
      <c r="A5513" t="s">
        <v>6045</v>
      </c>
    </row>
    <row r="5514" spans="1:1">
      <c r="A5514" t="s">
        <v>6046</v>
      </c>
    </row>
    <row r="5515" spans="1:1">
      <c r="A5515" t="s">
        <v>6047</v>
      </c>
    </row>
    <row r="5516" spans="1:1">
      <c r="A5516" t="s">
        <v>6048</v>
      </c>
    </row>
    <row r="5517" spans="1:1">
      <c r="A5517" t="s">
        <v>6049</v>
      </c>
    </row>
    <row r="5518" spans="1:1">
      <c r="A5518" t="s">
        <v>6050</v>
      </c>
    </row>
    <row r="5519" spans="1:1">
      <c r="A5519" t="s">
        <v>6051</v>
      </c>
    </row>
    <row r="5520" spans="1:1">
      <c r="A5520" t="s">
        <v>6052</v>
      </c>
    </row>
    <row r="5521" spans="1:1">
      <c r="A5521" t="s">
        <v>6053</v>
      </c>
    </row>
    <row r="5522" spans="1:1">
      <c r="A5522" t="s">
        <v>6054</v>
      </c>
    </row>
    <row r="5523" spans="1:1">
      <c r="A5523" t="s">
        <v>6055</v>
      </c>
    </row>
    <row r="5524" spans="1:1">
      <c r="A5524" t="s">
        <v>6056</v>
      </c>
    </row>
    <row r="5525" spans="1:1">
      <c r="A5525" t="s">
        <v>6057</v>
      </c>
    </row>
    <row r="5526" spans="1:1">
      <c r="A5526" t="s">
        <v>6058</v>
      </c>
    </row>
    <row r="5527" spans="1:1">
      <c r="A5527" t="s">
        <v>6059</v>
      </c>
    </row>
    <row r="5528" spans="1:1">
      <c r="A5528" t="s">
        <v>6060</v>
      </c>
    </row>
    <row r="5529" spans="1:1">
      <c r="A5529" t="s">
        <v>6061</v>
      </c>
    </row>
    <row r="5530" spans="1:1">
      <c r="A5530" t="s">
        <v>6062</v>
      </c>
    </row>
    <row r="5531" spans="1:1">
      <c r="A5531" t="s">
        <v>6063</v>
      </c>
    </row>
    <row r="5532" spans="1:1">
      <c r="A5532" t="s">
        <v>6064</v>
      </c>
    </row>
    <row r="5533" spans="1:1">
      <c r="A5533" t="s">
        <v>6065</v>
      </c>
    </row>
    <row r="5534" spans="1:1">
      <c r="A5534" t="s">
        <v>6066</v>
      </c>
    </row>
    <row r="5535" spans="1:1">
      <c r="A5535" t="s">
        <v>6067</v>
      </c>
    </row>
    <row r="5536" spans="1:1">
      <c r="A5536" t="s">
        <v>6068</v>
      </c>
    </row>
    <row r="5537" spans="1:1">
      <c r="A5537" t="s">
        <v>6069</v>
      </c>
    </row>
    <row r="5538" spans="1:1">
      <c r="A5538" t="s">
        <v>6070</v>
      </c>
    </row>
    <row r="5539" spans="1:1">
      <c r="A5539" t="s">
        <v>6071</v>
      </c>
    </row>
    <row r="5540" spans="1:1">
      <c r="A5540" t="s">
        <v>6072</v>
      </c>
    </row>
    <row r="5541" spans="1:1">
      <c r="A5541" t="s">
        <v>6073</v>
      </c>
    </row>
    <row r="5542" spans="1:1">
      <c r="A5542" t="s">
        <v>6074</v>
      </c>
    </row>
    <row r="5543" spans="1:1">
      <c r="A5543" t="s">
        <v>6075</v>
      </c>
    </row>
    <row r="5544" spans="1:1">
      <c r="A5544" t="s">
        <v>6076</v>
      </c>
    </row>
    <row r="5545" spans="1:1">
      <c r="A5545" t="s">
        <v>6077</v>
      </c>
    </row>
    <row r="5546" spans="1:1">
      <c r="A5546" t="s">
        <v>6078</v>
      </c>
    </row>
    <row r="5547" spans="1:1">
      <c r="A5547" t="s">
        <v>6079</v>
      </c>
    </row>
    <row r="5548" spans="1:1">
      <c r="A5548" t="s">
        <v>6080</v>
      </c>
    </row>
    <row r="5549" spans="1:1">
      <c r="A5549" t="s">
        <v>6081</v>
      </c>
    </row>
    <row r="5550" spans="1:1">
      <c r="A5550" t="s">
        <v>6082</v>
      </c>
    </row>
    <row r="5551" spans="1:1">
      <c r="A5551" t="s">
        <v>6083</v>
      </c>
    </row>
    <row r="5552" spans="1:1">
      <c r="A5552" t="s">
        <v>6084</v>
      </c>
    </row>
    <row r="5553" spans="1:1">
      <c r="A5553" t="s">
        <v>6085</v>
      </c>
    </row>
    <row r="5554" spans="1:1">
      <c r="A5554" t="s">
        <v>6086</v>
      </c>
    </row>
    <row r="5555" spans="1:1">
      <c r="A5555" t="s">
        <v>6087</v>
      </c>
    </row>
    <row r="5556" spans="1:1">
      <c r="A5556" t="s">
        <v>6088</v>
      </c>
    </row>
    <row r="5557" spans="1:1">
      <c r="A5557" t="s">
        <v>6089</v>
      </c>
    </row>
    <row r="5558" spans="1:1">
      <c r="A5558" t="s">
        <v>6090</v>
      </c>
    </row>
    <row r="5559" spans="1:1">
      <c r="A5559" t="s">
        <v>6091</v>
      </c>
    </row>
    <row r="5560" spans="1:1">
      <c r="A5560" t="s">
        <v>6092</v>
      </c>
    </row>
    <row r="5561" spans="1:1">
      <c r="A5561" t="s">
        <v>6093</v>
      </c>
    </row>
    <row r="5562" spans="1:1">
      <c r="A5562" t="s">
        <v>6094</v>
      </c>
    </row>
    <row r="5563" spans="1:1">
      <c r="A5563" t="s">
        <v>6095</v>
      </c>
    </row>
    <row r="5564" spans="1:1">
      <c r="A5564" t="s">
        <v>6096</v>
      </c>
    </row>
    <row r="5565" spans="1:1">
      <c r="A5565" t="s">
        <v>6097</v>
      </c>
    </row>
    <row r="5566" spans="1:1">
      <c r="A5566" t="s">
        <v>6098</v>
      </c>
    </row>
    <row r="5567" spans="1:1">
      <c r="A5567" t="s">
        <v>6099</v>
      </c>
    </row>
    <row r="5568" spans="1:1">
      <c r="A5568" t="s">
        <v>6100</v>
      </c>
    </row>
    <row r="5569" spans="1:1">
      <c r="A5569" t="s">
        <v>6101</v>
      </c>
    </row>
    <row r="5570" spans="1:1">
      <c r="A5570" t="s">
        <v>6102</v>
      </c>
    </row>
    <row r="5571" spans="1:1">
      <c r="A5571" t="s">
        <v>6103</v>
      </c>
    </row>
    <row r="5572" spans="1:1">
      <c r="A5572" t="s">
        <v>6104</v>
      </c>
    </row>
    <row r="5573" spans="1:1">
      <c r="A5573" t="s">
        <v>6105</v>
      </c>
    </row>
    <row r="5574" spans="1:1">
      <c r="A5574" t="s">
        <v>6106</v>
      </c>
    </row>
    <row r="5575" spans="1:1">
      <c r="A5575" t="s">
        <v>6107</v>
      </c>
    </row>
    <row r="5576" spans="1:1">
      <c r="A5576" t="s">
        <v>6108</v>
      </c>
    </row>
    <row r="5577" spans="1:1">
      <c r="A5577" t="s">
        <v>6109</v>
      </c>
    </row>
    <row r="5578" spans="1:1">
      <c r="A5578" t="s">
        <v>6110</v>
      </c>
    </row>
    <row r="5579" spans="1:1">
      <c r="A5579" t="s">
        <v>6111</v>
      </c>
    </row>
    <row r="5580" spans="1:1">
      <c r="A5580" t="s">
        <v>6112</v>
      </c>
    </row>
    <row r="5581" spans="1:1">
      <c r="A5581" t="s">
        <v>6113</v>
      </c>
    </row>
    <row r="5582" spans="1:1">
      <c r="A5582" t="s">
        <v>6114</v>
      </c>
    </row>
    <row r="5583" spans="1:1">
      <c r="A5583" t="s">
        <v>6115</v>
      </c>
    </row>
    <row r="5584" spans="1:1">
      <c r="A5584" t="s">
        <v>6116</v>
      </c>
    </row>
    <row r="5585" spans="1:1">
      <c r="A5585" t="s">
        <v>6117</v>
      </c>
    </row>
    <row r="5586" spans="1:1">
      <c r="A5586" t="s">
        <v>6118</v>
      </c>
    </row>
    <row r="5587" spans="1:1">
      <c r="A5587" t="s">
        <v>6119</v>
      </c>
    </row>
    <row r="5588" spans="1:1">
      <c r="A5588" t="s">
        <v>6120</v>
      </c>
    </row>
    <row r="5589" spans="1:1">
      <c r="A5589" t="s">
        <v>6121</v>
      </c>
    </row>
    <row r="5590" spans="1:1">
      <c r="A5590" t="s">
        <v>6122</v>
      </c>
    </row>
    <row r="5591" spans="1:1">
      <c r="A5591" t="s">
        <v>6123</v>
      </c>
    </row>
    <row r="5592" spans="1:1">
      <c r="A5592" t="s">
        <v>6124</v>
      </c>
    </row>
    <row r="5593" spans="1:1">
      <c r="A5593" t="s">
        <v>6125</v>
      </c>
    </row>
    <row r="5594" spans="1:1">
      <c r="A5594" t="s">
        <v>6126</v>
      </c>
    </row>
    <row r="5595" spans="1:1">
      <c r="A5595" t="s">
        <v>6127</v>
      </c>
    </row>
    <row r="5596" spans="1:1">
      <c r="A5596" t="s">
        <v>6128</v>
      </c>
    </row>
    <row r="5597" spans="1:1">
      <c r="A5597" t="s">
        <v>6129</v>
      </c>
    </row>
    <row r="5598" spans="1:1">
      <c r="A5598" t="s">
        <v>6130</v>
      </c>
    </row>
    <row r="5599" spans="1:1">
      <c r="A5599" t="s">
        <v>6131</v>
      </c>
    </row>
    <row r="5600" spans="1:1">
      <c r="A5600" t="s">
        <v>6132</v>
      </c>
    </row>
    <row r="5601" spans="1:1">
      <c r="A5601" t="s">
        <v>6133</v>
      </c>
    </row>
    <row r="5602" spans="1:1">
      <c r="A5602" t="s">
        <v>6134</v>
      </c>
    </row>
    <row r="5603" spans="1:1">
      <c r="A5603" t="s">
        <v>6135</v>
      </c>
    </row>
    <row r="5604" spans="1:1">
      <c r="A5604" t="s">
        <v>6136</v>
      </c>
    </row>
    <row r="5605" spans="1:1">
      <c r="A5605" t="s">
        <v>6137</v>
      </c>
    </row>
    <row r="5606" spans="1:1">
      <c r="A5606" t="s">
        <v>6138</v>
      </c>
    </row>
    <row r="5607" spans="1:1">
      <c r="A5607" t="s">
        <v>6139</v>
      </c>
    </row>
    <row r="5608" spans="1:1">
      <c r="A5608" t="s">
        <v>6140</v>
      </c>
    </row>
    <row r="5609" spans="1:1">
      <c r="A5609" t="s">
        <v>6141</v>
      </c>
    </row>
    <row r="5610" spans="1:1">
      <c r="A5610" t="s">
        <v>6142</v>
      </c>
    </row>
    <row r="5611" spans="1:1">
      <c r="A5611" t="s">
        <v>6143</v>
      </c>
    </row>
    <row r="5612" spans="1:1">
      <c r="A5612" t="s">
        <v>6144</v>
      </c>
    </row>
    <row r="5613" spans="1:1">
      <c r="A5613" t="s">
        <v>6145</v>
      </c>
    </row>
    <row r="5614" spans="1:1">
      <c r="A5614" t="s">
        <v>6146</v>
      </c>
    </row>
    <row r="5615" spans="1:1">
      <c r="A5615" t="s">
        <v>6147</v>
      </c>
    </row>
    <row r="5616" spans="1:1">
      <c r="A5616" t="s">
        <v>6148</v>
      </c>
    </row>
    <row r="5617" spans="1:1">
      <c r="A5617" t="s">
        <v>6149</v>
      </c>
    </row>
    <row r="5618" spans="1:1">
      <c r="A5618" t="s">
        <v>6150</v>
      </c>
    </row>
    <row r="5619" spans="1:1">
      <c r="A5619" t="s">
        <v>6151</v>
      </c>
    </row>
    <row r="5620" spans="1:1">
      <c r="A5620" t="s">
        <v>6152</v>
      </c>
    </row>
    <row r="5621" spans="1:1">
      <c r="A5621" t="s">
        <v>6153</v>
      </c>
    </row>
    <row r="5622" spans="1:1">
      <c r="A5622" t="s">
        <v>6154</v>
      </c>
    </row>
    <row r="5623" spans="1:1">
      <c r="A5623" t="s">
        <v>6155</v>
      </c>
    </row>
    <row r="5624" spans="1:1">
      <c r="A5624" t="s">
        <v>6156</v>
      </c>
    </row>
    <row r="5625" spans="1:1">
      <c r="A5625" t="s">
        <v>6157</v>
      </c>
    </row>
    <row r="5626" spans="1:1">
      <c r="A5626" t="s">
        <v>6158</v>
      </c>
    </row>
    <row r="5627" spans="1:1">
      <c r="A5627" t="s">
        <v>6159</v>
      </c>
    </row>
    <row r="5628" spans="1:1">
      <c r="A5628" t="s">
        <v>6160</v>
      </c>
    </row>
    <row r="5629" spans="1:1">
      <c r="A5629" t="s">
        <v>6161</v>
      </c>
    </row>
    <row r="5630" spans="1:1">
      <c r="A5630" t="s">
        <v>6162</v>
      </c>
    </row>
    <row r="5631" spans="1:1">
      <c r="A5631" t="s">
        <v>6163</v>
      </c>
    </row>
    <row r="5632" spans="1:1">
      <c r="A5632" t="s">
        <v>6164</v>
      </c>
    </row>
    <row r="5633" spans="1:1">
      <c r="A5633" t="s">
        <v>6165</v>
      </c>
    </row>
    <row r="5634" spans="1:1">
      <c r="A5634" t="s">
        <v>6166</v>
      </c>
    </row>
    <row r="5635" spans="1:1">
      <c r="A5635" t="s">
        <v>6167</v>
      </c>
    </row>
    <row r="5636" spans="1:1">
      <c r="A5636" t="s">
        <v>6168</v>
      </c>
    </row>
    <row r="5637" spans="1:1">
      <c r="A5637" t="s">
        <v>6169</v>
      </c>
    </row>
    <row r="5638" spans="1:1">
      <c r="A5638" t="s">
        <v>6170</v>
      </c>
    </row>
    <row r="5639" spans="1:1">
      <c r="A5639" t="s">
        <v>6171</v>
      </c>
    </row>
    <row r="5640" spans="1:1">
      <c r="A5640" t="s">
        <v>6172</v>
      </c>
    </row>
    <row r="5641" spans="1:1">
      <c r="A5641" t="s">
        <v>6173</v>
      </c>
    </row>
    <row r="5642" spans="1:1">
      <c r="A5642" t="s">
        <v>6174</v>
      </c>
    </row>
    <row r="5643" spans="1:1">
      <c r="A5643" t="s">
        <v>6175</v>
      </c>
    </row>
    <row r="5644" spans="1:1">
      <c r="A5644" t="s">
        <v>6176</v>
      </c>
    </row>
    <row r="5645" spans="1:1">
      <c r="A5645" t="s">
        <v>6177</v>
      </c>
    </row>
    <row r="5646" spans="1:1">
      <c r="A5646" t="s">
        <v>6178</v>
      </c>
    </row>
    <row r="5647" spans="1:1">
      <c r="A5647" t="s">
        <v>6179</v>
      </c>
    </row>
    <row r="5648" spans="1:1">
      <c r="A5648" t="s">
        <v>6180</v>
      </c>
    </row>
    <row r="5649" spans="1:1">
      <c r="A5649" t="s">
        <v>6181</v>
      </c>
    </row>
    <row r="5650" spans="1:1">
      <c r="A5650" t="s">
        <v>6182</v>
      </c>
    </row>
    <row r="5651" spans="1:1">
      <c r="A5651" t="s">
        <v>6183</v>
      </c>
    </row>
    <row r="5652" spans="1:1">
      <c r="A5652" t="s">
        <v>6184</v>
      </c>
    </row>
    <row r="5653" spans="1:1">
      <c r="A5653" t="s">
        <v>6185</v>
      </c>
    </row>
    <row r="5654" spans="1:1">
      <c r="A5654" t="s">
        <v>6186</v>
      </c>
    </row>
    <row r="5655" spans="1:1">
      <c r="A5655" t="s">
        <v>6187</v>
      </c>
    </row>
    <row r="5656" spans="1:1">
      <c r="A5656" t="s">
        <v>6188</v>
      </c>
    </row>
    <row r="5657" spans="1:1">
      <c r="A5657" t="s">
        <v>6189</v>
      </c>
    </row>
    <row r="5658" spans="1:1">
      <c r="A5658" t="s">
        <v>6190</v>
      </c>
    </row>
    <row r="5659" spans="1:1">
      <c r="A5659" t="s">
        <v>6191</v>
      </c>
    </row>
    <row r="5660" spans="1:1">
      <c r="A5660" t="s">
        <v>6192</v>
      </c>
    </row>
    <row r="5661" spans="1:1">
      <c r="A5661" t="s">
        <v>6193</v>
      </c>
    </row>
    <row r="5662" spans="1:1">
      <c r="A5662" t="s">
        <v>6194</v>
      </c>
    </row>
    <row r="5663" spans="1:1">
      <c r="A5663" t="s">
        <v>6195</v>
      </c>
    </row>
    <row r="5664" spans="1:1">
      <c r="A5664" t="s">
        <v>6196</v>
      </c>
    </row>
    <row r="5665" spans="1:1">
      <c r="A5665" t="s">
        <v>6197</v>
      </c>
    </row>
    <row r="5666" spans="1:1">
      <c r="A5666" t="s">
        <v>6198</v>
      </c>
    </row>
    <row r="5667" spans="1:1">
      <c r="A5667" t="s">
        <v>6199</v>
      </c>
    </row>
    <row r="5668" spans="1:1">
      <c r="A5668" t="s">
        <v>6200</v>
      </c>
    </row>
    <row r="5669" spans="1:1">
      <c r="A5669" t="s">
        <v>6201</v>
      </c>
    </row>
    <row r="5670" spans="1:1">
      <c r="A5670" t="s">
        <v>6202</v>
      </c>
    </row>
    <row r="5671" spans="1:1">
      <c r="A5671" t="s">
        <v>6203</v>
      </c>
    </row>
    <row r="5672" spans="1:1">
      <c r="A5672" t="s">
        <v>6204</v>
      </c>
    </row>
    <row r="5673" spans="1:1">
      <c r="A5673" t="s">
        <v>6205</v>
      </c>
    </row>
    <row r="5674" spans="1:1">
      <c r="A5674" t="s">
        <v>6206</v>
      </c>
    </row>
    <row r="5675" spans="1:1">
      <c r="A5675" t="s">
        <v>6207</v>
      </c>
    </row>
    <row r="5676" spans="1:1">
      <c r="A5676" t="s">
        <v>6208</v>
      </c>
    </row>
    <row r="5677" spans="1:1">
      <c r="A5677" t="s">
        <v>6209</v>
      </c>
    </row>
    <row r="5678" spans="1:1">
      <c r="A5678" t="s">
        <v>6210</v>
      </c>
    </row>
    <row r="5679" spans="1:1">
      <c r="A5679" t="s">
        <v>6211</v>
      </c>
    </row>
    <row r="5680" spans="1:1">
      <c r="A5680" t="s">
        <v>6212</v>
      </c>
    </row>
    <row r="5681" spans="1:1">
      <c r="A5681" t="s">
        <v>6213</v>
      </c>
    </row>
    <row r="5682" spans="1:1">
      <c r="A5682" t="s">
        <v>6214</v>
      </c>
    </row>
    <row r="5683" spans="1:1">
      <c r="A5683" t="s">
        <v>6215</v>
      </c>
    </row>
    <row r="5684" spans="1:1">
      <c r="A5684" t="s">
        <v>6216</v>
      </c>
    </row>
    <row r="5685" spans="1:1">
      <c r="A5685" t="s">
        <v>6217</v>
      </c>
    </row>
    <row r="5686" spans="1:1">
      <c r="A5686" t="s">
        <v>6218</v>
      </c>
    </row>
    <row r="5687" spans="1:1">
      <c r="A5687" t="s">
        <v>6219</v>
      </c>
    </row>
    <row r="5688" spans="1:1">
      <c r="A5688" t="s">
        <v>6220</v>
      </c>
    </row>
    <row r="5689" spans="1:1">
      <c r="A5689" t="s">
        <v>6221</v>
      </c>
    </row>
    <row r="5690" spans="1:1">
      <c r="A5690" t="s">
        <v>6222</v>
      </c>
    </row>
    <row r="5691" spans="1:1">
      <c r="A5691" t="s">
        <v>6223</v>
      </c>
    </row>
    <row r="5692" spans="1:1">
      <c r="A5692" t="s">
        <v>6224</v>
      </c>
    </row>
    <row r="5693" spans="1:1">
      <c r="A5693" t="s">
        <v>6225</v>
      </c>
    </row>
    <row r="5694" spans="1:1">
      <c r="A5694" t="s">
        <v>6226</v>
      </c>
    </row>
    <row r="5695" spans="1:1">
      <c r="A5695" t="s">
        <v>6227</v>
      </c>
    </row>
    <row r="5696" spans="1:1">
      <c r="A5696" t="s">
        <v>6228</v>
      </c>
    </row>
    <row r="5697" spans="1:1">
      <c r="A5697" t="s">
        <v>6229</v>
      </c>
    </row>
    <row r="5698" spans="1:1">
      <c r="A5698" t="s">
        <v>6230</v>
      </c>
    </row>
    <row r="5699" spans="1:1">
      <c r="A5699" t="s">
        <v>6231</v>
      </c>
    </row>
    <row r="5700" spans="1:1">
      <c r="A5700" t="s">
        <v>6232</v>
      </c>
    </row>
    <row r="5701" spans="1:1">
      <c r="A5701" t="s">
        <v>6233</v>
      </c>
    </row>
    <row r="5702" spans="1:1">
      <c r="A5702" t="s">
        <v>6234</v>
      </c>
    </row>
    <row r="5703" spans="1:1">
      <c r="A5703" t="s">
        <v>6235</v>
      </c>
    </row>
    <row r="5704" spans="1:1">
      <c r="A5704" t="s">
        <v>6236</v>
      </c>
    </row>
    <row r="5705" spans="1:1">
      <c r="A5705" t="s">
        <v>6237</v>
      </c>
    </row>
    <row r="5706" spans="1:1">
      <c r="A5706" t="s">
        <v>6238</v>
      </c>
    </row>
    <row r="5707" spans="1:1">
      <c r="A5707" t="s">
        <v>6239</v>
      </c>
    </row>
    <row r="5708" spans="1:1">
      <c r="A5708" t="s">
        <v>6240</v>
      </c>
    </row>
    <row r="5709" spans="1:1">
      <c r="A5709" t="s">
        <v>6241</v>
      </c>
    </row>
    <row r="5710" spans="1:1">
      <c r="A5710" t="s">
        <v>6242</v>
      </c>
    </row>
    <row r="5711" spans="1:1">
      <c r="A5711" t="s">
        <v>6243</v>
      </c>
    </row>
    <row r="5712" spans="1:1">
      <c r="A5712" t="s">
        <v>6244</v>
      </c>
    </row>
    <row r="5713" spans="1:1">
      <c r="A5713" t="s">
        <v>6245</v>
      </c>
    </row>
    <row r="5714" spans="1:1">
      <c r="A5714" t="s">
        <v>6246</v>
      </c>
    </row>
    <row r="5715" spans="1:1">
      <c r="A5715" t="s">
        <v>6247</v>
      </c>
    </row>
    <row r="5716" spans="1:1">
      <c r="A5716" t="s">
        <v>6248</v>
      </c>
    </row>
    <row r="5717" spans="1:1">
      <c r="A5717" t="s">
        <v>6249</v>
      </c>
    </row>
    <row r="5718" spans="1:1">
      <c r="A5718" t="s">
        <v>6250</v>
      </c>
    </row>
    <row r="5719" spans="1:1">
      <c r="A5719" t="s">
        <v>6251</v>
      </c>
    </row>
    <row r="5720" spans="1:1">
      <c r="A5720" t="s">
        <v>6252</v>
      </c>
    </row>
    <row r="5721" spans="1:1">
      <c r="A5721" t="s">
        <v>6253</v>
      </c>
    </row>
    <row r="5722" spans="1:1">
      <c r="A5722" t="s">
        <v>6254</v>
      </c>
    </row>
    <row r="5723" spans="1:1">
      <c r="A5723" t="s">
        <v>6255</v>
      </c>
    </row>
    <row r="5724" spans="1:1">
      <c r="A5724" t="s">
        <v>6256</v>
      </c>
    </row>
    <row r="5725" spans="1:1">
      <c r="A5725" t="s">
        <v>6257</v>
      </c>
    </row>
    <row r="5726" spans="1:1">
      <c r="A5726" t="s">
        <v>6258</v>
      </c>
    </row>
    <row r="5727" spans="1:1">
      <c r="A5727" t="s">
        <v>6259</v>
      </c>
    </row>
    <row r="5728" spans="1:1">
      <c r="A5728" t="s">
        <v>6260</v>
      </c>
    </row>
    <row r="5729" spans="1:1">
      <c r="A5729" t="s">
        <v>6261</v>
      </c>
    </row>
    <row r="5730" spans="1:1">
      <c r="A5730" t="s">
        <v>6262</v>
      </c>
    </row>
    <row r="5731" spans="1:1">
      <c r="A5731" t="s">
        <v>6263</v>
      </c>
    </row>
    <row r="5732" spans="1:1">
      <c r="A5732" t="s">
        <v>6264</v>
      </c>
    </row>
    <row r="5733" spans="1:1">
      <c r="A5733" t="s">
        <v>6265</v>
      </c>
    </row>
    <row r="5734" spans="1:1">
      <c r="A5734" t="s">
        <v>6266</v>
      </c>
    </row>
    <row r="5735" spans="1:1">
      <c r="A5735" t="s">
        <v>6267</v>
      </c>
    </row>
    <row r="5736" spans="1:1">
      <c r="A5736" t="s">
        <v>6268</v>
      </c>
    </row>
    <row r="5737" spans="1:1">
      <c r="A5737" t="s">
        <v>6269</v>
      </c>
    </row>
    <row r="5738" spans="1:1">
      <c r="A5738" t="s">
        <v>6270</v>
      </c>
    </row>
    <row r="5739" spans="1:1">
      <c r="A5739" t="s">
        <v>6271</v>
      </c>
    </row>
    <row r="5740" spans="1:1">
      <c r="A5740" t="s">
        <v>6272</v>
      </c>
    </row>
    <row r="5741" spans="1:1">
      <c r="A5741" t="s">
        <v>6273</v>
      </c>
    </row>
    <row r="5742" spans="1:1">
      <c r="A5742" t="s">
        <v>6274</v>
      </c>
    </row>
    <row r="5743" spans="1:1">
      <c r="A5743" t="s">
        <v>6275</v>
      </c>
    </row>
    <row r="5744" spans="1:1">
      <c r="A5744" t="s">
        <v>6276</v>
      </c>
    </row>
    <row r="5745" spans="1:1">
      <c r="A5745" t="s">
        <v>6277</v>
      </c>
    </row>
    <row r="5746" spans="1:1">
      <c r="A5746" t="s">
        <v>6278</v>
      </c>
    </row>
    <row r="5747" spans="1:1">
      <c r="A5747" t="s">
        <v>6279</v>
      </c>
    </row>
    <row r="5748" spans="1:1">
      <c r="A5748" t="s">
        <v>6280</v>
      </c>
    </row>
    <row r="5749" spans="1:1">
      <c r="A5749" t="s">
        <v>6281</v>
      </c>
    </row>
    <row r="5750" spans="1:1">
      <c r="A5750" t="s">
        <v>6282</v>
      </c>
    </row>
    <row r="5751" spans="1:1">
      <c r="A5751" t="s">
        <v>6283</v>
      </c>
    </row>
    <row r="5752" spans="1:1">
      <c r="A5752" t="s">
        <v>6284</v>
      </c>
    </row>
    <row r="5753" spans="1:1">
      <c r="A5753" t="s">
        <v>6285</v>
      </c>
    </row>
    <row r="5754" spans="1:1">
      <c r="A5754" t="s">
        <v>6286</v>
      </c>
    </row>
    <row r="5755" spans="1:1">
      <c r="A5755" t="s">
        <v>6287</v>
      </c>
    </row>
    <row r="5756" spans="1:1">
      <c r="A5756" t="s">
        <v>6288</v>
      </c>
    </row>
    <row r="5757" spans="1:1">
      <c r="A5757" t="s">
        <v>6289</v>
      </c>
    </row>
    <row r="5758" spans="1:1">
      <c r="A5758" t="s">
        <v>6290</v>
      </c>
    </row>
    <row r="5759" spans="1:1">
      <c r="A5759" t="s">
        <v>6291</v>
      </c>
    </row>
    <row r="5760" spans="1:1">
      <c r="A5760" t="s">
        <v>6292</v>
      </c>
    </row>
    <row r="5761" spans="1:1">
      <c r="A5761" t="s">
        <v>6293</v>
      </c>
    </row>
    <row r="5762" spans="1:1">
      <c r="A5762" t="s">
        <v>6294</v>
      </c>
    </row>
    <row r="5763" spans="1:1">
      <c r="A5763" t="s">
        <v>6295</v>
      </c>
    </row>
    <row r="5764" spans="1:1">
      <c r="A5764" t="s">
        <v>6296</v>
      </c>
    </row>
    <row r="5765" spans="1:1">
      <c r="A5765" t="s">
        <v>6297</v>
      </c>
    </row>
    <row r="5766" spans="1:1">
      <c r="A5766" t="s">
        <v>6298</v>
      </c>
    </row>
    <row r="5767" spans="1:1">
      <c r="A5767" t="s">
        <v>6299</v>
      </c>
    </row>
    <row r="5768" spans="1:1">
      <c r="A5768" t="s">
        <v>6300</v>
      </c>
    </row>
    <row r="5769" spans="1:1">
      <c r="A5769" t="s">
        <v>6301</v>
      </c>
    </row>
    <row r="5770" spans="1:1">
      <c r="A5770" t="s">
        <v>6302</v>
      </c>
    </row>
    <row r="5771" spans="1:1">
      <c r="A5771" t="s">
        <v>6303</v>
      </c>
    </row>
    <row r="5772" spans="1:1">
      <c r="A5772" t="s">
        <v>6304</v>
      </c>
    </row>
    <row r="5773" spans="1:1">
      <c r="A5773" t="s">
        <v>6305</v>
      </c>
    </row>
    <row r="5774" spans="1:1">
      <c r="A5774" t="s">
        <v>6306</v>
      </c>
    </row>
    <row r="5775" spans="1:1">
      <c r="A5775" t="s">
        <v>6307</v>
      </c>
    </row>
    <row r="5776" spans="1:1">
      <c r="A5776" t="s">
        <v>6308</v>
      </c>
    </row>
    <row r="5777" spans="1:1">
      <c r="A5777" t="s">
        <v>6309</v>
      </c>
    </row>
    <row r="5778" spans="1:1">
      <c r="A5778" t="s">
        <v>6310</v>
      </c>
    </row>
    <row r="5779" spans="1:1">
      <c r="A5779" t="s">
        <v>6311</v>
      </c>
    </row>
    <row r="5780" spans="1:1">
      <c r="A5780" t="s">
        <v>6312</v>
      </c>
    </row>
    <row r="5781" spans="1:1">
      <c r="A5781" t="s">
        <v>6313</v>
      </c>
    </row>
    <row r="5782" spans="1:1">
      <c r="A5782" t="s">
        <v>6314</v>
      </c>
    </row>
    <row r="5783" spans="1:1">
      <c r="A5783" t="s">
        <v>6315</v>
      </c>
    </row>
    <row r="5784" spans="1:1">
      <c r="A5784" t="s">
        <v>6316</v>
      </c>
    </row>
    <row r="5785" spans="1:1">
      <c r="A5785" t="s">
        <v>6317</v>
      </c>
    </row>
    <row r="5786" spans="1:1">
      <c r="A5786" t="s">
        <v>6318</v>
      </c>
    </row>
    <row r="5787" spans="1:1">
      <c r="A5787" t="s">
        <v>6319</v>
      </c>
    </row>
    <row r="5788" spans="1:1">
      <c r="A5788" t="s">
        <v>6320</v>
      </c>
    </row>
    <row r="5789" spans="1:1">
      <c r="A5789" t="s">
        <v>6321</v>
      </c>
    </row>
    <row r="5790" spans="1:1">
      <c r="A5790" t="s">
        <v>6322</v>
      </c>
    </row>
    <row r="5791" spans="1:1">
      <c r="A5791" t="s">
        <v>6323</v>
      </c>
    </row>
    <row r="5792" spans="1:1">
      <c r="A5792" t="s">
        <v>6324</v>
      </c>
    </row>
    <row r="5793" spans="1:1">
      <c r="A5793" t="s">
        <v>6325</v>
      </c>
    </row>
    <row r="5794" spans="1:1">
      <c r="A5794" t="s">
        <v>6326</v>
      </c>
    </row>
    <row r="5795" spans="1:1">
      <c r="A5795" t="s">
        <v>6327</v>
      </c>
    </row>
    <row r="5796" spans="1:1">
      <c r="A5796" t="s">
        <v>6328</v>
      </c>
    </row>
    <row r="5797" spans="1:1">
      <c r="A5797" t="s">
        <v>6329</v>
      </c>
    </row>
    <row r="5798" spans="1:1">
      <c r="A5798" t="s">
        <v>6330</v>
      </c>
    </row>
    <row r="5799" spans="1:1">
      <c r="A5799" t="s">
        <v>6331</v>
      </c>
    </row>
    <row r="5800" spans="1:1">
      <c r="A5800" t="s">
        <v>6332</v>
      </c>
    </row>
    <row r="5801" spans="1:1">
      <c r="A5801" t="s">
        <v>6333</v>
      </c>
    </row>
    <row r="5802" spans="1:1">
      <c r="A5802" t="s">
        <v>6334</v>
      </c>
    </row>
    <row r="5803" spans="1:1">
      <c r="A5803" t="s">
        <v>6335</v>
      </c>
    </row>
    <row r="5804" spans="1:1">
      <c r="A5804" t="s">
        <v>6336</v>
      </c>
    </row>
    <row r="5805" spans="1:1">
      <c r="A5805" t="s">
        <v>6337</v>
      </c>
    </row>
    <row r="5806" spans="1:1">
      <c r="A5806" t="s">
        <v>6338</v>
      </c>
    </row>
    <row r="5807" spans="1:1">
      <c r="A5807" t="s">
        <v>6339</v>
      </c>
    </row>
    <row r="5808" spans="1:1">
      <c r="A5808" t="s">
        <v>6340</v>
      </c>
    </row>
    <row r="5809" spans="1:1">
      <c r="A5809" t="s">
        <v>6341</v>
      </c>
    </row>
    <row r="5810" spans="1:1">
      <c r="A5810" t="s">
        <v>6342</v>
      </c>
    </row>
    <row r="5811" spans="1:1">
      <c r="A5811" t="s">
        <v>6343</v>
      </c>
    </row>
    <row r="5812" spans="1:1">
      <c r="A5812" t="s">
        <v>6344</v>
      </c>
    </row>
    <row r="5813" spans="1:1">
      <c r="A5813" t="s">
        <v>6345</v>
      </c>
    </row>
    <row r="5814" spans="1:1">
      <c r="A5814" t="s">
        <v>6346</v>
      </c>
    </row>
    <row r="5815" spans="1:1">
      <c r="A5815" t="s">
        <v>6347</v>
      </c>
    </row>
    <row r="5816" spans="1:1">
      <c r="A5816" t="s">
        <v>6348</v>
      </c>
    </row>
    <row r="5817" spans="1:1">
      <c r="A5817" t="s">
        <v>6349</v>
      </c>
    </row>
    <row r="5818" spans="1:1">
      <c r="A5818" t="s">
        <v>6350</v>
      </c>
    </row>
    <row r="5819" spans="1:1">
      <c r="A5819" t="s">
        <v>6351</v>
      </c>
    </row>
    <row r="5820" spans="1:1">
      <c r="A5820" t="s">
        <v>6352</v>
      </c>
    </row>
    <row r="5821" spans="1:1">
      <c r="A5821" t="s">
        <v>6353</v>
      </c>
    </row>
    <row r="5822" spans="1:1">
      <c r="A5822" t="s">
        <v>6354</v>
      </c>
    </row>
    <row r="5823" spans="1:1">
      <c r="A5823" t="s">
        <v>6355</v>
      </c>
    </row>
    <row r="5824" spans="1:1">
      <c r="A5824" t="s">
        <v>6356</v>
      </c>
    </row>
    <row r="5825" spans="1:1">
      <c r="A5825" t="s">
        <v>6357</v>
      </c>
    </row>
    <row r="5826" spans="1:1">
      <c r="A5826" t="s">
        <v>6358</v>
      </c>
    </row>
    <row r="5827" spans="1:1">
      <c r="A5827" t="s">
        <v>6359</v>
      </c>
    </row>
    <row r="5828" spans="1:1">
      <c r="A5828" t="s">
        <v>6360</v>
      </c>
    </row>
    <row r="5829" spans="1:1">
      <c r="A5829" t="s">
        <v>6361</v>
      </c>
    </row>
    <row r="5830" spans="1:1">
      <c r="A5830" t="s">
        <v>6362</v>
      </c>
    </row>
    <row r="5831" spans="1:1">
      <c r="A5831" t="s">
        <v>6363</v>
      </c>
    </row>
    <row r="5832" spans="1:1">
      <c r="A5832" t="s">
        <v>6364</v>
      </c>
    </row>
    <row r="5833" spans="1:1">
      <c r="A5833" t="s">
        <v>6365</v>
      </c>
    </row>
    <row r="5834" spans="1:1">
      <c r="A5834" t="s">
        <v>6366</v>
      </c>
    </row>
    <row r="5835" spans="1:1">
      <c r="A5835" t="s">
        <v>6367</v>
      </c>
    </row>
    <row r="5836" spans="1:1">
      <c r="A5836" t="s">
        <v>6368</v>
      </c>
    </row>
    <row r="5837" spans="1:1">
      <c r="A5837" t="s">
        <v>6369</v>
      </c>
    </row>
    <row r="5838" spans="1:1">
      <c r="A5838" t="s">
        <v>6370</v>
      </c>
    </row>
    <row r="5839" spans="1:1">
      <c r="A5839" t="s">
        <v>6371</v>
      </c>
    </row>
    <row r="5840" spans="1:1">
      <c r="A5840" t="s">
        <v>6372</v>
      </c>
    </row>
    <row r="5841" spans="1:1">
      <c r="A5841" t="s">
        <v>6373</v>
      </c>
    </row>
    <row r="5842" spans="1:1">
      <c r="A5842" t="s">
        <v>6374</v>
      </c>
    </row>
    <row r="5843" spans="1:1">
      <c r="A5843" t="s">
        <v>6375</v>
      </c>
    </row>
    <row r="5844" spans="1:1">
      <c r="A5844" t="s">
        <v>6376</v>
      </c>
    </row>
    <row r="5845" spans="1:1">
      <c r="A5845" t="s">
        <v>6377</v>
      </c>
    </row>
    <row r="5846" spans="1:1">
      <c r="A5846" t="s">
        <v>6378</v>
      </c>
    </row>
    <row r="5847" spans="1:1">
      <c r="A5847" t="s">
        <v>6379</v>
      </c>
    </row>
    <row r="5848" spans="1:1">
      <c r="A5848" t="s">
        <v>6380</v>
      </c>
    </row>
    <row r="5849" spans="1:1">
      <c r="A5849" t="s">
        <v>6381</v>
      </c>
    </row>
    <row r="5850" spans="1:1">
      <c r="A5850" t="s">
        <v>6382</v>
      </c>
    </row>
    <row r="5851" spans="1:1">
      <c r="A5851" t="s">
        <v>6383</v>
      </c>
    </row>
    <row r="5852" spans="1:1">
      <c r="A5852" t="s">
        <v>6384</v>
      </c>
    </row>
    <row r="5853" spans="1:1">
      <c r="A5853" t="s">
        <v>6385</v>
      </c>
    </row>
    <row r="5854" spans="1:1">
      <c r="A5854" t="s">
        <v>6386</v>
      </c>
    </row>
    <row r="5855" spans="1:1">
      <c r="A5855" t="s">
        <v>6387</v>
      </c>
    </row>
    <row r="5856" spans="1:1">
      <c r="A5856" t="s">
        <v>6388</v>
      </c>
    </row>
    <row r="5857" spans="1:1">
      <c r="A5857" t="s">
        <v>6389</v>
      </c>
    </row>
    <row r="5858" spans="1:1">
      <c r="A5858" t="s">
        <v>6390</v>
      </c>
    </row>
    <row r="5859" spans="1:1">
      <c r="A5859" t="s">
        <v>6391</v>
      </c>
    </row>
    <row r="5860" spans="1:1">
      <c r="A5860" t="s">
        <v>6392</v>
      </c>
    </row>
    <row r="5861" spans="1:1">
      <c r="A5861" t="s">
        <v>6393</v>
      </c>
    </row>
    <row r="5862" spans="1:1">
      <c r="A5862" t="s">
        <v>6394</v>
      </c>
    </row>
    <row r="5863" spans="1:1">
      <c r="A5863" t="s">
        <v>6395</v>
      </c>
    </row>
    <row r="5864" spans="1:1">
      <c r="A5864" t="s">
        <v>6396</v>
      </c>
    </row>
    <row r="5865" spans="1:1">
      <c r="A5865" t="s">
        <v>6397</v>
      </c>
    </row>
    <row r="5866" spans="1:1">
      <c r="A5866" t="s">
        <v>6398</v>
      </c>
    </row>
    <row r="5867" spans="1:1">
      <c r="A5867" t="s">
        <v>6399</v>
      </c>
    </row>
    <row r="5868" spans="1:1">
      <c r="A5868" t="s">
        <v>6400</v>
      </c>
    </row>
    <row r="5869" spans="1:1">
      <c r="A5869" t="s">
        <v>6401</v>
      </c>
    </row>
    <row r="5870" spans="1:1">
      <c r="A5870" t="s">
        <v>6402</v>
      </c>
    </row>
    <row r="5871" spans="1:1">
      <c r="A5871" t="s">
        <v>6403</v>
      </c>
    </row>
    <row r="5872" spans="1:1">
      <c r="A5872" t="s">
        <v>6404</v>
      </c>
    </row>
    <row r="5873" spans="1:1">
      <c r="A5873" t="s">
        <v>6405</v>
      </c>
    </row>
    <row r="5874" spans="1:1">
      <c r="A5874" t="s">
        <v>6406</v>
      </c>
    </row>
    <row r="5875" spans="1:1">
      <c r="A5875" t="s">
        <v>6407</v>
      </c>
    </row>
    <row r="5876" spans="1:1">
      <c r="A5876" t="s">
        <v>6408</v>
      </c>
    </row>
    <row r="5877" spans="1:1">
      <c r="A5877" t="s">
        <v>6409</v>
      </c>
    </row>
    <row r="5878" spans="1:1">
      <c r="A5878" t="s">
        <v>6410</v>
      </c>
    </row>
    <row r="5879" spans="1:1">
      <c r="A5879" t="s">
        <v>6411</v>
      </c>
    </row>
    <row r="5880" spans="1:1">
      <c r="A5880" t="s">
        <v>6412</v>
      </c>
    </row>
    <row r="5881" spans="1:1">
      <c r="A5881" t="s">
        <v>6413</v>
      </c>
    </row>
    <row r="5882" spans="1:1">
      <c r="A5882" t="s">
        <v>6414</v>
      </c>
    </row>
    <row r="5883" spans="1:1">
      <c r="A5883" t="s">
        <v>6415</v>
      </c>
    </row>
    <row r="5884" spans="1:1">
      <c r="A5884" t="s">
        <v>6416</v>
      </c>
    </row>
    <row r="5885" spans="1:1">
      <c r="A5885" t="s">
        <v>6417</v>
      </c>
    </row>
    <row r="5886" spans="1:1">
      <c r="A5886" t="s">
        <v>6418</v>
      </c>
    </row>
    <row r="5887" spans="1:1">
      <c r="A5887" t="s">
        <v>6419</v>
      </c>
    </row>
    <row r="5888" spans="1:1">
      <c r="A5888" t="s">
        <v>6420</v>
      </c>
    </row>
    <row r="5889" spans="1:1">
      <c r="A5889" t="s">
        <v>6421</v>
      </c>
    </row>
    <row r="5890" spans="1:1">
      <c r="A5890" t="s">
        <v>6422</v>
      </c>
    </row>
    <row r="5891" spans="1:1">
      <c r="A5891" t="s">
        <v>6423</v>
      </c>
    </row>
    <row r="5892" spans="1:1">
      <c r="A5892" t="s">
        <v>6424</v>
      </c>
    </row>
    <row r="5893" spans="1:1">
      <c r="A5893" t="s">
        <v>6425</v>
      </c>
    </row>
    <row r="5894" spans="1:1">
      <c r="A5894" t="s">
        <v>6426</v>
      </c>
    </row>
    <row r="5895" spans="1:1">
      <c r="A5895" t="s">
        <v>6427</v>
      </c>
    </row>
    <row r="5896" spans="1:1">
      <c r="A5896" t="s">
        <v>6428</v>
      </c>
    </row>
    <row r="5897" spans="1:1">
      <c r="A5897" t="s">
        <v>6429</v>
      </c>
    </row>
    <row r="5898" spans="1:1">
      <c r="A5898" t="s">
        <v>6430</v>
      </c>
    </row>
    <row r="5899" spans="1:1">
      <c r="A5899" t="s">
        <v>6431</v>
      </c>
    </row>
    <row r="5900" spans="1:1">
      <c r="A5900" t="s">
        <v>6432</v>
      </c>
    </row>
    <row r="5901" spans="1:1">
      <c r="A5901" t="s">
        <v>6433</v>
      </c>
    </row>
    <row r="5902" spans="1:1">
      <c r="A5902" t="s">
        <v>6434</v>
      </c>
    </row>
    <row r="5903" spans="1:1">
      <c r="A5903" t="s">
        <v>6435</v>
      </c>
    </row>
    <row r="5904" spans="1:1">
      <c r="A5904" t="s">
        <v>6436</v>
      </c>
    </row>
    <row r="5905" spans="1:1">
      <c r="A5905" t="s">
        <v>6437</v>
      </c>
    </row>
    <row r="5906" spans="1:1">
      <c r="A5906" t="s">
        <v>6438</v>
      </c>
    </row>
    <row r="5907" spans="1:1">
      <c r="A5907" t="s">
        <v>6439</v>
      </c>
    </row>
    <row r="5908" spans="1:1">
      <c r="A5908" t="s">
        <v>6440</v>
      </c>
    </row>
    <row r="5909" spans="1:1">
      <c r="A5909" t="s">
        <v>6441</v>
      </c>
    </row>
    <row r="5910" spans="1:1">
      <c r="A5910" t="s">
        <v>6442</v>
      </c>
    </row>
    <row r="5911" spans="1:1">
      <c r="A5911" t="s">
        <v>6443</v>
      </c>
    </row>
    <row r="5912" spans="1:1">
      <c r="A5912" t="s">
        <v>6444</v>
      </c>
    </row>
    <row r="5913" spans="1:1">
      <c r="A5913" t="s">
        <v>6445</v>
      </c>
    </row>
    <row r="5914" spans="1:1">
      <c r="A5914" t="s">
        <v>6446</v>
      </c>
    </row>
    <row r="5915" spans="1:1">
      <c r="A5915" t="s">
        <v>6447</v>
      </c>
    </row>
    <row r="5916" spans="1:1">
      <c r="A5916" t="s">
        <v>6448</v>
      </c>
    </row>
    <row r="5917" spans="1:1">
      <c r="A5917" t="s">
        <v>6449</v>
      </c>
    </row>
    <row r="5918" spans="1:1">
      <c r="A5918" t="s">
        <v>6450</v>
      </c>
    </row>
    <row r="5919" spans="1:1">
      <c r="A5919" t="s">
        <v>6451</v>
      </c>
    </row>
    <row r="5920" spans="1:1">
      <c r="A5920" t="s">
        <v>6452</v>
      </c>
    </row>
    <row r="5921" spans="1:1">
      <c r="A5921" t="s">
        <v>6453</v>
      </c>
    </row>
    <row r="5922" spans="1:1">
      <c r="A5922" t="s">
        <v>6454</v>
      </c>
    </row>
    <row r="5923" spans="1:1">
      <c r="A5923" t="s">
        <v>6455</v>
      </c>
    </row>
    <row r="5924" spans="1:1">
      <c r="A5924" t="s">
        <v>6456</v>
      </c>
    </row>
    <row r="5925" spans="1:1">
      <c r="A5925" t="s">
        <v>6457</v>
      </c>
    </row>
    <row r="5926" spans="1:1">
      <c r="A5926" t="s">
        <v>6458</v>
      </c>
    </row>
    <row r="5927" spans="1:1">
      <c r="A5927" t="s">
        <v>6459</v>
      </c>
    </row>
    <row r="5928" spans="1:1">
      <c r="A5928" t="s">
        <v>6460</v>
      </c>
    </row>
    <row r="5929" spans="1:1">
      <c r="A5929" t="s">
        <v>6461</v>
      </c>
    </row>
    <row r="5930" spans="1:1">
      <c r="A5930" t="s">
        <v>6462</v>
      </c>
    </row>
    <row r="5931" spans="1:1">
      <c r="A5931" t="s">
        <v>6463</v>
      </c>
    </row>
    <row r="5932" spans="1:1">
      <c r="A5932" t="s">
        <v>6464</v>
      </c>
    </row>
    <row r="5933" spans="1:1">
      <c r="A5933" t="s">
        <v>6465</v>
      </c>
    </row>
    <row r="5934" spans="1:1">
      <c r="A5934" t="s">
        <v>6466</v>
      </c>
    </row>
    <row r="5935" spans="1:1">
      <c r="A5935" t="s">
        <v>6467</v>
      </c>
    </row>
    <row r="5936" spans="1:1">
      <c r="A5936" t="s">
        <v>6468</v>
      </c>
    </row>
    <row r="5937" spans="1:1">
      <c r="A5937" t="s">
        <v>6469</v>
      </c>
    </row>
    <row r="5938" spans="1:1">
      <c r="A5938" t="s">
        <v>6470</v>
      </c>
    </row>
    <row r="5939" spans="1:1">
      <c r="A5939" t="s">
        <v>6471</v>
      </c>
    </row>
    <row r="5940" spans="1:1">
      <c r="A5940" t="s">
        <v>6472</v>
      </c>
    </row>
    <row r="5941" spans="1:1">
      <c r="A5941" t="s">
        <v>6473</v>
      </c>
    </row>
    <row r="5942" spans="1:1">
      <c r="A5942" t="s">
        <v>6474</v>
      </c>
    </row>
    <row r="5943" spans="1:1">
      <c r="A5943" t="s">
        <v>6475</v>
      </c>
    </row>
    <row r="5944" spans="1:1">
      <c r="A5944" t="s">
        <v>6476</v>
      </c>
    </row>
    <row r="5945" spans="1:1">
      <c r="A5945" t="s">
        <v>6477</v>
      </c>
    </row>
    <row r="5946" spans="1:1">
      <c r="A5946" t="s">
        <v>6478</v>
      </c>
    </row>
    <row r="5947" spans="1:1">
      <c r="A5947" t="s">
        <v>6479</v>
      </c>
    </row>
    <row r="5948" spans="1:1">
      <c r="A5948" t="s">
        <v>6480</v>
      </c>
    </row>
    <row r="5949" spans="1:1">
      <c r="A5949" t="s">
        <v>6481</v>
      </c>
    </row>
    <row r="5950" spans="1:1">
      <c r="A5950" t="s">
        <v>6482</v>
      </c>
    </row>
    <row r="5951" spans="1:1">
      <c r="A5951" t="s">
        <v>6483</v>
      </c>
    </row>
    <row r="5952" spans="1:1">
      <c r="A5952" t="s">
        <v>6484</v>
      </c>
    </row>
    <row r="5953" spans="1:1">
      <c r="A5953" t="s">
        <v>6485</v>
      </c>
    </row>
    <row r="5954" spans="1:1">
      <c r="A5954" t="s">
        <v>6486</v>
      </c>
    </row>
    <row r="5955" spans="1:1">
      <c r="A5955" t="s">
        <v>6487</v>
      </c>
    </row>
    <row r="5956" spans="1:1">
      <c r="A5956" t="s">
        <v>6488</v>
      </c>
    </row>
    <row r="5957" spans="1:1">
      <c r="A5957" t="s">
        <v>6489</v>
      </c>
    </row>
    <row r="5958" spans="1:1">
      <c r="A5958" t="s">
        <v>6490</v>
      </c>
    </row>
    <row r="5959" spans="1:1">
      <c r="A5959" t="s">
        <v>6491</v>
      </c>
    </row>
    <row r="5960" spans="1:1">
      <c r="A5960" t="s">
        <v>6492</v>
      </c>
    </row>
    <row r="5961" spans="1:1">
      <c r="A5961" t="s">
        <v>6493</v>
      </c>
    </row>
    <row r="5962" spans="1:1">
      <c r="A5962" t="s">
        <v>6494</v>
      </c>
    </row>
    <row r="5963" spans="1:1">
      <c r="A5963" t="s">
        <v>6495</v>
      </c>
    </row>
    <row r="5964" spans="1:1">
      <c r="A5964" t="s">
        <v>6496</v>
      </c>
    </row>
    <row r="5965" spans="1:1">
      <c r="A5965" t="s">
        <v>6497</v>
      </c>
    </row>
    <row r="5966" spans="1:1">
      <c r="A5966" t="s">
        <v>6498</v>
      </c>
    </row>
    <row r="5967" spans="1:1">
      <c r="A5967" t="s">
        <v>6499</v>
      </c>
    </row>
    <row r="5968" spans="1:1">
      <c r="A5968" t="s">
        <v>6500</v>
      </c>
    </row>
    <row r="5969" spans="1:1">
      <c r="A5969" t="s">
        <v>6501</v>
      </c>
    </row>
    <row r="5970" spans="1:1">
      <c r="A5970" t="s">
        <v>6502</v>
      </c>
    </row>
    <row r="5971" spans="1:1">
      <c r="A5971" t="s">
        <v>6503</v>
      </c>
    </row>
    <row r="5972" spans="1:1">
      <c r="A5972" t="s">
        <v>6504</v>
      </c>
    </row>
    <row r="5973" spans="1:1">
      <c r="A5973" t="s">
        <v>6505</v>
      </c>
    </row>
    <row r="5974" spans="1:1">
      <c r="A5974" t="s">
        <v>6506</v>
      </c>
    </row>
    <row r="5975" spans="1:1">
      <c r="A5975" t="s">
        <v>6507</v>
      </c>
    </row>
    <row r="5976" spans="1:1">
      <c r="A5976" t="s">
        <v>6508</v>
      </c>
    </row>
    <row r="5977" spans="1:1">
      <c r="A5977" t="s">
        <v>6509</v>
      </c>
    </row>
    <row r="5978" spans="1:1">
      <c r="A5978" t="s">
        <v>6510</v>
      </c>
    </row>
    <row r="5979" spans="1:1">
      <c r="A5979" t="s">
        <v>6511</v>
      </c>
    </row>
    <row r="5980" spans="1:1">
      <c r="A5980" t="s">
        <v>6512</v>
      </c>
    </row>
    <row r="5981" spans="1:1">
      <c r="A5981" t="s">
        <v>6513</v>
      </c>
    </row>
    <row r="5982" spans="1:1">
      <c r="A5982" t="s">
        <v>6514</v>
      </c>
    </row>
    <row r="5983" spans="1:1">
      <c r="A5983" t="s">
        <v>6515</v>
      </c>
    </row>
    <row r="5984" spans="1:1">
      <c r="A5984" t="s">
        <v>6516</v>
      </c>
    </row>
    <row r="5985" spans="1:1">
      <c r="A5985" t="s">
        <v>6517</v>
      </c>
    </row>
    <row r="5986" spans="1:1">
      <c r="A5986" t="s">
        <v>6518</v>
      </c>
    </row>
    <row r="5987" spans="1:1">
      <c r="A5987" t="s">
        <v>6519</v>
      </c>
    </row>
    <row r="5988" spans="1:1">
      <c r="A5988" t="s">
        <v>6520</v>
      </c>
    </row>
    <row r="5989" spans="1:1">
      <c r="A5989" t="s">
        <v>6521</v>
      </c>
    </row>
    <row r="5990" spans="1:1">
      <c r="A5990" t="s">
        <v>6522</v>
      </c>
    </row>
    <row r="5991" spans="1:1">
      <c r="A5991" t="s">
        <v>6523</v>
      </c>
    </row>
    <row r="5992" spans="1:1">
      <c r="A5992" t="s">
        <v>6524</v>
      </c>
    </row>
    <row r="5993" spans="1:1">
      <c r="A5993" t="s">
        <v>6525</v>
      </c>
    </row>
    <row r="5994" spans="1:1">
      <c r="A5994" t="s">
        <v>6526</v>
      </c>
    </row>
    <row r="5995" spans="1:1">
      <c r="A5995" t="s">
        <v>6527</v>
      </c>
    </row>
    <row r="5996" spans="1:1">
      <c r="A5996" t="s">
        <v>6528</v>
      </c>
    </row>
    <row r="5997" spans="1:1">
      <c r="A5997" t="s">
        <v>6529</v>
      </c>
    </row>
    <row r="5998" spans="1:1">
      <c r="A5998" t="s">
        <v>6530</v>
      </c>
    </row>
    <row r="5999" spans="1:1">
      <c r="A5999" t="s">
        <v>6531</v>
      </c>
    </row>
    <row r="6000" spans="1:1">
      <c r="A6000" t="s">
        <v>6532</v>
      </c>
    </row>
    <row r="6001" spans="1:1">
      <c r="A6001" t="s">
        <v>6533</v>
      </c>
    </row>
    <row r="6002" spans="1:1">
      <c r="A6002" t="s">
        <v>6534</v>
      </c>
    </row>
    <row r="6003" spans="1:1">
      <c r="A6003" t="s">
        <v>6535</v>
      </c>
    </row>
    <row r="6004" spans="1:1">
      <c r="A6004" t="s">
        <v>6536</v>
      </c>
    </row>
    <row r="6005" spans="1:1">
      <c r="A6005" t="s">
        <v>6537</v>
      </c>
    </row>
    <row r="6006" spans="1:1">
      <c r="A6006" t="s">
        <v>6538</v>
      </c>
    </row>
    <row r="6007" spans="1:1">
      <c r="A6007" t="s">
        <v>6539</v>
      </c>
    </row>
    <row r="6008" spans="1:1">
      <c r="A6008" t="s">
        <v>6540</v>
      </c>
    </row>
    <row r="6009" spans="1:1">
      <c r="A6009" t="s">
        <v>6541</v>
      </c>
    </row>
    <row r="6010" spans="1:1">
      <c r="A6010" t="s">
        <v>6542</v>
      </c>
    </row>
    <row r="6011" spans="1:1">
      <c r="A6011" t="s">
        <v>6543</v>
      </c>
    </row>
    <row r="6012" spans="1:1">
      <c r="A6012" t="s">
        <v>6544</v>
      </c>
    </row>
    <row r="6013" spans="1:1">
      <c r="A6013" t="s">
        <v>6545</v>
      </c>
    </row>
    <row r="6014" spans="1:1">
      <c r="A6014" t="s">
        <v>6546</v>
      </c>
    </row>
    <row r="6015" spans="1:1">
      <c r="A6015" t="s">
        <v>6547</v>
      </c>
    </row>
    <row r="6016" spans="1:1">
      <c r="A6016" t="s">
        <v>6548</v>
      </c>
    </row>
    <row r="6017" spans="1:1">
      <c r="A6017" t="s">
        <v>6549</v>
      </c>
    </row>
    <row r="6018" spans="1:1">
      <c r="A6018" t="s">
        <v>6550</v>
      </c>
    </row>
    <row r="6019" spans="1:1">
      <c r="A6019" t="s">
        <v>6551</v>
      </c>
    </row>
    <row r="6020" spans="1:1">
      <c r="A6020" t="s">
        <v>6552</v>
      </c>
    </row>
    <row r="6021" spans="1:1">
      <c r="A6021" t="s">
        <v>6553</v>
      </c>
    </row>
    <row r="6022" spans="1:1">
      <c r="A6022" t="s">
        <v>6554</v>
      </c>
    </row>
    <row r="6023" spans="1:1">
      <c r="A6023" t="s">
        <v>6555</v>
      </c>
    </row>
    <row r="6024" spans="1:1">
      <c r="A6024" t="s">
        <v>6556</v>
      </c>
    </row>
    <row r="6025" spans="1:1">
      <c r="A6025" t="s">
        <v>6557</v>
      </c>
    </row>
    <row r="6026" spans="1:1">
      <c r="A6026" t="s">
        <v>6558</v>
      </c>
    </row>
    <row r="6027" spans="1:1">
      <c r="A6027" t="s">
        <v>6559</v>
      </c>
    </row>
    <row r="6028" spans="1:1">
      <c r="A6028" t="s">
        <v>6560</v>
      </c>
    </row>
    <row r="6029" spans="1:1">
      <c r="A6029" t="s">
        <v>6561</v>
      </c>
    </row>
    <row r="6030" spans="1:1">
      <c r="A6030" t="s">
        <v>6562</v>
      </c>
    </row>
    <row r="6031" spans="1:1">
      <c r="A6031" t="s">
        <v>6563</v>
      </c>
    </row>
    <row r="6032" spans="1:1">
      <c r="A6032" t="s">
        <v>6564</v>
      </c>
    </row>
    <row r="6033" spans="1:1">
      <c r="A6033" t="s">
        <v>6565</v>
      </c>
    </row>
    <row r="6034" spans="1:1">
      <c r="A6034" t="s">
        <v>6566</v>
      </c>
    </row>
    <row r="6035" spans="1:1">
      <c r="A6035" t="s">
        <v>6567</v>
      </c>
    </row>
    <row r="6036" spans="1:1">
      <c r="A6036" t="s">
        <v>6568</v>
      </c>
    </row>
    <row r="6037" spans="1:1">
      <c r="A6037" t="s">
        <v>6569</v>
      </c>
    </row>
    <row r="6038" spans="1:1">
      <c r="A6038" t="s">
        <v>6570</v>
      </c>
    </row>
    <row r="6039" spans="1:1">
      <c r="A6039" t="s">
        <v>6571</v>
      </c>
    </row>
    <row r="6040" spans="1:1">
      <c r="A6040" t="s">
        <v>6572</v>
      </c>
    </row>
    <row r="6041" spans="1:1">
      <c r="A6041" t="s">
        <v>6573</v>
      </c>
    </row>
    <row r="6042" spans="1:1">
      <c r="A6042" t="s">
        <v>6574</v>
      </c>
    </row>
    <row r="6043" spans="1:1">
      <c r="A6043" t="s">
        <v>6575</v>
      </c>
    </row>
    <row r="6044" spans="1:1">
      <c r="A6044" t="s">
        <v>6576</v>
      </c>
    </row>
    <row r="6045" spans="1:1">
      <c r="A6045" t="s">
        <v>6577</v>
      </c>
    </row>
    <row r="6046" spans="1:1">
      <c r="A6046" t="s">
        <v>6578</v>
      </c>
    </row>
    <row r="6047" spans="1:1">
      <c r="A6047" t="s">
        <v>6579</v>
      </c>
    </row>
    <row r="6048" spans="1:1">
      <c r="A6048" t="s">
        <v>6580</v>
      </c>
    </row>
    <row r="6049" spans="1:1">
      <c r="A6049" t="s">
        <v>6581</v>
      </c>
    </row>
    <row r="6050" spans="1:1">
      <c r="A6050" t="s">
        <v>6582</v>
      </c>
    </row>
    <row r="6051" spans="1:1">
      <c r="A6051" t="s">
        <v>6583</v>
      </c>
    </row>
    <row r="6052" spans="1:1">
      <c r="A6052" t="s">
        <v>6584</v>
      </c>
    </row>
    <row r="6053" spans="1:1">
      <c r="A6053" t="s">
        <v>6585</v>
      </c>
    </row>
    <row r="6054" spans="1:1">
      <c r="A6054" t="s">
        <v>6586</v>
      </c>
    </row>
    <row r="6055" spans="1:1">
      <c r="A6055" t="s">
        <v>6587</v>
      </c>
    </row>
    <row r="6056" spans="1:1">
      <c r="A6056" t="s">
        <v>6588</v>
      </c>
    </row>
    <row r="6057" spans="1:1">
      <c r="A6057" t="s">
        <v>6589</v>
      </c>
    </row>
    <row r="6058" spans="1:1">
      <c r="A6058" t="s">
        <v>6590</v>
      </c>
    </row>
    <row r="6059" spans="1:1">
      <c r="A6059" t="s">
        <v>6591</v>
      </c>
    </row>
    <row r="6060" spans="1:1">
      <c r="A6060" t="s">
        <v>6592</v>
      </c>
    </row>
    <row r="6061" spans="1:1">
      <c r="A6061" t="s">
        <v>6593</v>
      </c>
    </row>
    <row r="6062" spans="1:1">
      <c r="A6062" t="s">
        <v>6594</v>
      </c>
    </row>
    <row r="6063" spans="1:1">
      <c r="A6063" t="s">
        <v>6595</v>
      </c>
    </row>
    <row r="6064" spans="1:1">
      <c r="A6064" t="s">
        <v>6596</v>
      </c>
    </row>
    <row r="6065" spans="1:1">
      <c r="A6065" t="s">
        <v>6597</v>
      </c>
    </row>
    <row r="6066" spans="1:1">
      <c r="A6066" t="s">
        <v>6598</v>
      </c>
    </row>
    <row r="6067" spans="1:1">
      <c r="A6067" t="s">
        <v>6599</v>
      </c>
    </row>
    <row r="6068" spans="1:1">
      <c r="A6068" t="s">
        <v>6600</v>
      </c>
    </row>
    <row r="6069" spans="1:1">
      <c r="A6069" t="s">
        <v>6601</v>
      </c>
    </row>
    <row r="6070" spans="1:1">
      <c r="A6070" t="s">
        <v>6602</v>
      </c>
    </row>
    <row r="6071" spans="1:1">
      <c r="A6071" t="s">
        <v>6603</v>
      </c>
    </row>
    <row r="6072" spans="1:1">
      <c r="A6072" t="s">
        <v>6604</v>
      </c>
    </row>
    <row r="6073" spans="1:1">
      <c r="A6073" t="s">
        <v>6605</v>
      </c>
    </row>
    <row r="6074" spans="1:1">
      <c r="A6074" t="s">
        <v>6606</v>
      </c>
    </row>
    <row r="6075" spans="1:1">
      <c r="A6075" t="s">
        <v>6607</v>
      </c>
    </row>
    <row r="6076" spans="1:1">
      <c r="A6076" t="s">
        <v>6608</v>
      </c>
    </row>
    <row r="6077" spans="1:1">
      <c r="A6077" t="s">
        <v>6609</v>
      </c>
    </row>
    <row r="6078" spans="1:1">
      <c r="A6078" t="s">
        <v>6610</v>
      </c>
    </row>
    <row r="6079" spans="1:1">
      <c r="A6079" t="s">
        <v>6611</v>
      </c>
    </row>
    <row r="6080" spans="1:1">
      <c r="A6080" t="s">
        <v>6612</v>
      </c>
    </row>
    <row r="6081" spans="1:1">
      <c r="A6081" t="s">
        <v>6613</v>
      </c>
    </row>
    <row r="6082" spans="1:1">
      <c r="A6082" t="s">
        <v>6614</v>
      </c>
    </row>
    <row r="6083" spans="1:1">
      <c r="A6083" t="s">
        <v>6615</v>
      </c>
    </row>
    <row r="6084" spans="1:1">
      <c r="A6084" t="s">
        <v>6616</v>
      </c>
    </row>
    <row r="6085" spans="1:1">
      <c r="A6085" t="s">
        <v>6617</v>
      </c>
    </row>
    <row r="6086" spans="1:1">
      <c r="A6086" t="s">
        <v>6618</v>
      </c>
    </row>
    <row r="6087" spans="1:1">
      <c r="A6087" t="s">
        <v>6619</v>
      </c>
    </row>
    <row r="6088" spans="1:1">
      <c r="A6088" t="s">
        <v>6620</v>
      </c>
    </row>
    <row r="6089" spans="1:1">
      <c r="A6089" t="s">
        <v>6621</v>
      </c>
    </row>
    <row r="6090" spans="1:1">
      <c r="A6090" t="s">
        <v>6622</v>
      </c>
    </row>
    <row r="6091" spans="1:1">
      <c r="A6091" t="s">
        <v>6623</v>
      </c>
    </row>
    <row r="6092" spans="1:1">
      <c r="A6092" t="s">
        <v>6624</v>
      </c>
    </row>
    <row r="6093" spans="1:1">
      <c r="A6093" t="s">
        <v>6625</v>
      </c>
    </row>
    <row r="6094" spans="1:1">
      <c r="A6094" t="s">
        <v>6626</v>
      </c>
    </row>
    <row r="6095" spans="1:1">
      <c r="A6095" t="s">
        <v>6627</v>
      </c>
    </row>
    <row r="6096" spans="1:1">
      <c r="A6096" t="s">
        <v>6628</v>
      </c>
    </row>
    <row r="6097" spans="1:1">
      <c r="A6097" t="s">
        <v>6629</v>
      </c>
    </row>
    <row r="6098" spans="1:1">
      <c r="A6098" t="s">
        <v>6630</v>
      </c>
    </row>
    <row r="6099" spans="1:1">
      <c r="A6099" t="s">
        <v>6631</v>
      </c>
    </row>
    <row r="6100" spans="1:1">
      <c r="A6100" t="s">
        <v>6632</v>
      </c>
    </row>
    <row r="6101" spans="1:1">
      <c r="A6101" t="s">
        <v>6633</v>
      </c>
    </row>
    <row r="6102" spans="1:1">
      <c r="A6102" t="s">
        <v>6634</v>
      </c>
    </row>
    <row r="6103" spans="1:1">
      <c r="A6103" t="s">
        <v>6635</v>
      </c>
    </row>
    <row r="6104" spans="1:1">
      <c r="A6104" t="s">
        <v>6636</v>
      </c>
    </row>
    <row r="6105" spans="1:1">
      <c r="A6105" t="s">
        <v>6637</v>
      </c>
    </row>
    <row r="6106" spans="1:1">
      <c r="A6106" t="s">
        <v>6638</v>
      </c>
    </row>
    <row r="6107" spans="1:1">
      <c r="A6107" t="s">
        <v>6639</v>
      </c>
    </row>
    <row r="6108" spans="1:1">
      <c r="A6108" t="s">
        <v>6640</v>
      </c>
    </row>
    <row r="6109" spans="1:1">
      <c r="A6109" t="s">
        <v>6641</v>
      </c>
    </row>
    <row r="6110" spans="1:1">
      <c r="A6110" t="s">
        <v>6642</v>
      </c>
    </row>
    <row r="6111" spans="1:1">
      <c r="A6111" t="s">
        <v>6643</v>
      </c>
    </row>
    <row r="6112" spans="1:1">
      <c r="A6112" t="s">
        <v>6644</v>
      </c>
    </row>
    <row r="6113" spans="1:1">
      <c r="A6113" t="s">
        <v>6645</v>
      </c>
    </row>
    <row r="6114" spans="1:1">
      <c r="A6114" t="s">
        <v>6646</v>
      </c>
    </row>
    <row r="6115" spans="1:1">
      <c r="A6115" t="s">
        <v>6647</v>
      </c>
    </row>
    <row r="6116" spans="1:1">
      <c r="A6116" t="s">
        <v>6648</v>
      </c>
    </row>
    <row r="6117" spans="1:1">
      <c r="A6117" t="s">
        <v>6649</v>
      </c>
    </row>
    <row r="6118" spans="1:1">
      <c r="A6118" t="s">
        <v>6650</v>
      </c>
    </row>
    <row r="6119" spans="1:1">
      <c r="A6119" t="s">
        <v>6651</v>
      </c>
    </row>
    <row r="6120" spans="1:1">
      <c r="A6120" t="s">
        <v>6652</v>
      </c>
    </row>
    <row r="6121" spans="1:1">
      <c r="A6121" t="s">
        <v>6653</v>
      </c>
    </row>
    <row r="6122" spans="1:1">
      <c r="A6122" t="s">
        <v>6654</v>
      </c>
    </row>
    <row r="6123" spans="1:1">
      <c r="A6123" t="s">
        <v>6655</v>
      </c>
    </row>
    <row r="6124" spans="1:1">
      <c r="A6124" t="s">
        <v>6656</v>
      </c>
    </row>
    <row r="6125" spans="1:1">
      <c r="A6125" t="s">
        <v>6657</v>
      </c>
    </row>
    <row r="6126" spans="1:1">
      <c r="A6126" t="s">
        <v>6658</v>
      </c>
    </row>
    <row r="6127" spans="1:1">
      <c r="A6127" t="s">
        <v>6659</v>
      </c>
    </row>
    <row r="6128" spans="1:1">
      <c r="A6128" t="s">
        <v>6660</v>
      </c>
    </row>
    <row r="6129" spans="1:1">
      <c r="A6129" t="s">
        <v>6661</v>
      </c>
    </row>
    <row r="6130" spans="1:1">
      <c r="A6130" t="s">
        <v>6662</v>
      </c>
    </row>
    <row r="6131" spans="1:1">
      <c r="A6131" t="s">
        <v>6663</v>
      </c>
    </row>
    <row r="6132" spans="1:1">
      <c r="A6132" t="s">
        <v>6664</v>
      </c>
    </row>
    <row r="6133" spans="1:1">
      <c r="A6133" t="s">
        <v>6665</v>
      </c>
    </row>
    <row r="6134" spans="1:1">
      <c r="A6134" t="s">
        <v>6666</v>
      </c>
    </row>
    <row r="6135" spans="1:1">
      <c r="A6135" t="s">
        <v>6667</v>
      </c>
    </row>
    <row r="6136" spans="1:1">
      <c r="A6136" t="s">
        <v>6668</v>
      </c>
    </row>
    <row r="6137" spans="1:1">
      <c r="A6137" t="s">
        <v>6669</v>
      </c>
    </row>
    <row r="6138" spans="1:1">
      <c r="A6138" t="s">
        <v>6670</v>
      </c>
    </row>
    <row r="6139" spans="1:1">
      <c r="A6139" t="s">
        <v>6671</v>
      </c>
    </row>
    <row r="6140" spans="1:1">
      <c r="A6140" t="s">
        <v>6672</v>
      </c>
    </row>
    <row r="6141" spans="1:1">
      <c r="A6141" t="s">
        <v>6673</v>
      </c>
    </row>
    <row r="6142" spans="1:1">
      <c r="A6142" t="s">
        <v>6674</v>
      </c>
    </row>
    <row r="6143" spans="1:1">
      <c r="A6143" t="s">
        <v>6675</v>
      </c>
    </row>
    <row r="6144" spans="1:1">
      <c r="A6144" t="s">
        <v>6676</v>
      </c>
    </row>
    <row r="6145" spans="1:1">
      <c r="A6145" t="s">
        <v>6677</v>
      </c>
    </row>
    <row r="6146" spans="1:1">
      <c r="A6146" t="s">
        <v>6678</v>
      </c>
    </row>
    <row r="6147" spans="1:1">
      <c r="A6147" t="s">
        <v>6679</v>
      </c>
    </row>
    <row r="6148" spans="1:1">
      <c r="A6148" t="s">
        <v>6680</v>
      </c>
    </row>
    <row r="6149" spans="1:1">
      <c r="A6149" t="s">
        <v>6681</v>
      </c>
    </row>
    <row r="6150" spans="1:1">
      <c r="A6150" t="s">
        <v>6682</v>
      </c>
    </row>
    <row r="6151" spans="1:1">
      <c r="A6151" t="s">
        <v>6683</v>
      </c>
    </row>
    <row r="6152" spans="1:1">
      <c r="A6152" t="s">
        <v>6684</v>
      </c>
    </row>
    <row r="6153" spans="1:1">
      <c r="A6153" t="s">
        <v>6685</v>
      </c>
    </row>
    <row r="6154" spans="1:1">
      <c r="A6154" t="s">
        <v>6686</v>
      </c>
    </row>
    <row r="6155" spans="1:1">
      <c r="A6155" t="s">
        <v>6687</v>
      </c>
    </row>
    <row r="6156" spans="1:1">
      <c r="A6156" t="s">
        <v>6688</v>
      </c>
    </row>
    <row r="6157" spans="1:1">
      <c r="A6157" t="s">
        <v>6689</v>
      </c>
    </row>
    <row r="6158" spans="1:1">
      <c r="A6158" t="s">
        <v>6690</v>
      </c>
    </row>
    <row r="6159" spans="1:1">
      <c r="A6159" t="s">
        <v>6691</v>
      </c>
    </row>
    <row r="6160" spans="1:1">
      <c r="A6160" t="s">
        <v>6692</v>
      </c>
    </row>
    <row r="6161" spans="1:1">
      <c r="A6161" t="s">
        <v>6693</v>
      </c>
    </row>
    <row r="6162" spans="1:1">
      <c r="A6162" t="s">
        <v>6694</v>
      </c>
    </row>
    <row r="6163" spans="1:1">
      <c r="A6163" t="s">
        <v>6695</v>
      </c>
    </row>
    <row r="6164" spans="1:1">
      <c r="A6164" t="s">
        <v>6696</v>
      </c>
    </row>
    <row r="6165" spans="1:1">
      <c r="A6165" t="s">
        <v>6697</v>
      </c>
    </row>
    <row r="6166" spans="1:1">
      <c r="A6166" t="s">
        <v>6698</v>
      </c>
    </row>
    <row r="6167" spans="1:1">
      <c r="A6167" t="s">
        <v>6699</v>
      </c>
    </row>
    <row r="6168" spans="1:1">
      <c r="A6168" t="s">
        <v>6700</v>
      </c>
    </row>
    <row r="6169" spans="1:1">
      <c r="A6169" t="s">
        <v>6701</v>
      </c>
    </row>
    <row r="6170" spans="1:1">
      <c r="A6170" t="s">
        <v>6702</v>
      </c>
    </row>
    <row r="6171" spans="1:1">
      <c r="A6171" t="s">
        <v>6703</v>
      </c>
    </row>
    <row r="6172" spans="1:1">
      <c r="A6172" t="s">
        <v>6704</v>
      </c>
    </row>
    <row r="6173" spans="1:1">
      <c r="A6173" t="s">
        <v>6705</v>
      </c>
    </row>
    <row r="6174" spans="1:1">
      <c r="A6174" t="s">
        <v>6706</v>
      </c>
    </row>
    <row r="6175" spans="1:1">
      <c r="A6175" t="s">
        <v>6707</v>
      </c>
    </row>
    <row r="6176" spans="1:1">
      <c r="A6176" t="s">
        <v>6708</v>
      </c>
    </row>
    <row r="6177" spans="1:1">
      <c r="A6177" t="s">
        <v>6709</v>
      </c>
    </row>
    <row r="6178" spans="1:1">
      <c r="A6178" t="s">
        <v>6710</v>
      </c>
    </row>
    <row r="6179" spans="1:1">
      <c r="A6179" t="s">
        <v>6711</v>
      </c>
    </row>
    <row r="6180" spans="1:1">
      <c r="A6180" t="s">
        <v>6712</v>
      </c>
    </row>
    <row r="6181" spans="1:1">
      <c r="A6181" t="s">
        <v>6713</v>
      </c>
    </row>
    <row r="6182" spans="1:1">
      <c r="A6182" t="s">
        <v>6714</v>
      </c>
    </row>
    <row r="6183" spans="1:1">
      <c r="A6183" t="s">
        <v>6715</v>
      </c>
    </row>
    <row r="6184" spans="1:1">
      <c r="A6184" t="s">
        <v>6716</v>
      </c>
    </row>
    <row r="6185" spans="1:1">
      <c r="A6185" t="s">
        <v>6717</v>
      </c>
    </row>
    <row r="6186" spans="1:1">
      <c r="A6186" t="s">
        <v>6718</v>
      </c>
    </row>
    <row r="6187" spans="1:1">
      <c r="A6187" t="s">
        <v>6719</v>
      </c>
    </row>
    <row r="6188" spans="1:1">
      <c r="A6188" t="s">
        <v>6720</v>
      </c>
    </row>
    <row r="6189" spans="1:1">
      <c r="A6189" t="s">
        <v>6721</v>
      </c>
    </row>
    <row r="6190" spans="1:1">
      <c r="A6190" t="s">
        <v>6722</v>
      </c>
    </row>
    <row r="6191" spans="1:1">
      <c r="A6191" t="s">
        <v>6723</v>
      </c>
    </row>
    <row r="6192" spans="1:1">
      <c r="A6192" t="s">
        <v>6724</v>
      </c>
    </row>
    <row r="6193" spans="1:1">
      <c r="A6193" t="s">
        <v>6725</v>
      </c>
    </row>
    <row r="6194" spans="1:1">
      <c r="A6194" t="s">
        <v>6726</v>
      </c>
    </row>
    <row r="6195" spans="1:1">
      <c r="A6195" t="s">
        <v>6727</v>
      </c>
    </row>
    <row r="6196" spans="1:1">
      <c r="A6196" t="s">
        <v>6728</v>
      </c>
    </row>
    <row r="6197" spans="1:1">
      <c r="A6197" t="s">
        <v>6729</v>
      </c>
    </row>
    <row r="6198" spans="1:1">
      <c r="A6198" t="s">
        <v>6730</v>
      </c>
    </row>
    <row r="6199" spans="1:1">
      <c r="A6199" t="s">
        <v>6731</v>
      </c>
    </row>
    <row r="6200" spans="1:1">
      <c r="A6200" t="s">
        <v>6732</v>
      </c>
    </row>
    <row r="6201" spans="1:1">
      <c r="A6201" t="s">
        <v>6733</v>
      </c>
    </row>
    <row r="6202" spans="1:1">
      <c r="A6202" t="s">
        <v>6734</v>
      </c>
    </row>
    <row r="6203" spans="1:1">
      <c r="A6203" t="s">
        <v>6735</v>
      </c>
    </row>
    <row r="6204" spans="1:1">
      <c r="A6204" t="s">
        <v>6736</v>
      </c>
    </row>
    <row r="6205" spans="1:1">
      <c r="A6205" t="s">
        <v>6737</v>
      </c>
    </row>
    <row r="6206" spans="1:1">
      <c r="A6206" t="s">
        <v>6738</v>
      </c>
    </row>
    <row r="6207" spans="1:1">
      <c r="A6207" t="s">
        <v>6739</v>
      </c>
    </row>
    <row r="6208" spans="1:1">
      <c r="A6208" t="s">
        <v>6740</v>
      </c>
    </row>
    <row r="6209" spans="1:1">
      <c r="A6209" t="s">
        <v>6741</v>
      </c>
    </row>
    <row r="6210" spans="1:1">
      <c r="A6210" t="s">
        <v>6742</v>
      </c>
    </row>
    <row r="6211" spans="1:1">
      <c r="A6211" t="s">
        <v>6743</v>
      </c>
    </row>
    <row r="6212" spans="1:1">
      <c r="A6212" t="s">
        <v>6744</v>
      </c>
    </row>
    <row r="6213" spans="1:1">
      <c r="A6213" t="s">
        <v>6745</v>
      </c>
    </row>
    <row r="6214" spans="1:1">
      <c r="A6214" t="s">
        <v>6746</v>
      </c>
    </row>
    <row r="6215" spans="1:1">
      <c r="A6215" t="s">
        <v>6747</v>
      </c>
    </row>
    <row r="6216" spans="1:1">
      <c r="A6216" t="s">
        <v>6748</v>
      </c>
    </row>
    <row r="6217" spans="1:1">
      <c r="A6217" t="s">
        <v>6749</v>
      </c>
    </row>
    <row r="6218" spans="1:1">
      <c r="A6218" t="s">
        <v>6750</v>
      </c>
    </row>
    <row r="6219" spans="1:1">
      <c r="A6219" t="s">
        <v>6751</v>
      </c>
    </row>
    <row r="6220" spans="1:1">
      <c r="A6220" t="s">
        <v>6752</v>
      </c>
    </row>
    <row r="6221" spans="1:1">
      <c r="A6221" t="s">
        <v>6753</v>
      </c>
    </row>
    <row r="6222" spans="1:1">
      <c r="A6222" t="s">
        <v>6754</v>
      </c>
    </row>
    <row r="6223" spans="1:1">
      <c r="A6223" t="s">
        <v>6755</v>
      </c>
    </row>
    <row r="6224" spans="1:1">
      <c r="A6224" t="s">
        <v>6756</v>
      </c>
    </row>
    <row r="6225" spans="1:1">
      <c r="A6225" t="s">
        <v>6757</v>
      </c>
    </row>
    <row r="6226" spans="1:1">
      <c r="A6226" t="s">
        <v>6758</v>
      </c>
    </row>
    <row r="6227" spans="1:1">
      <c r="A6227" t="s">
        <v>6759</v>
      </c>
    </row>
    <row r="6228" spans="1:1">
      <c r="A6228" t="s">
        <v>6760</v>
      </c>
    </row>
    <row r="6229" spans="1:1">
      <c r="A6229" t="s">
        <v>6761</v>
      </c>
    </row>
    <row r="6230" spans="1:1">
      <c r="A6230" t="s">
        <v>6762</v>
      </c>
    </row>
    <row r="6231" spans="1:1">
      <c r="A6231" t="s">
        <v>6763</v>
      </c>
    </row>
    <row r="6232" spans="1:1">
      <c r="A6232" t="s">
        <v>6764</v>
      </c>
    </row>
    <row r="6233" spans="1:1">
      <c r="A6233" t="s">
        <v>6765</v>
      </c>
    </row>
    <row r="6234" spans="1:1">
      <c r="A6234" t="s">
        <v>6766</v>
      </c>
    </row>
    <row r="6235" spans="1:1">
      <c r="A6235" t="s">
        <v>6767</v>
      </c>
    </row>
    <row r="6236" spans="1:1">
      <c r="A6236" t="s">
        <v>6768</v>
      </c>
    </row>
    <row r="6237" spans="1:1">
      <c r="A6237" t="s">
        <v>6769</v>
      </c>
    </row>
    <row r="6238" spans="1:1">
      <c r="A6238" t="s">
        <v>6770</v>
      </c>
    </row>
    <row r="6239" spans="1:1">
      <c r="A6239" t="s">
        <v>6771</v>
      </c>
    </row>
    <row r="6240" spans="1:1">
      <c r="A6240" t="s">
        <v>6772</v>
      </c>
    </row>
    <row r="6241" spans="1:1">
      <c r="A6241" t="s">
        <v>6773</v>
      </c>
    </row>
    <row r="6242" spans="1:1">
      <c r="A6242" t="s">
        <v>6774</v>
      </c>
    </row>
    <row r="6243" spans="1:1">
      <c r="A6243" t="s">
        <v>6775</v>
      </c>
    </row>
    <row r="6244" spans="1:1">
      <c r="A6244" t="s">
        <v>6776</v>
      </c>
    </row>
    <row r="6245" spans="1:1">
      <c r="A6245" t="s">
        <v>6777</v>
      </c>
    </row>
    <row r="6246" spans="1:1">
      <c r="A6246" t="s">
        <v>6778</v>
      </c>
    </row>
    <row r="6247" spans="1:1">
      <c r="A6247" t="s">
        <v>6779</v>
      </c>
    </row>
    <row r="6248" spans="1:1">
      <c r="A6248" t="s">
        <v>6780</v>
      </c>
    </row>
    <row r="6249" spans="1:1">
      <c r="A6249" t="s">
        <v>6781</v>
      </c>
    </row>
    <row r="6250" spans="1:1">
      <c r="A6250" t="s">
        <v>6782</v>
      </c>
    </row>
    <row r="6251" spans="1:1">
      <c r="A6251" t="s">
        <v>6783</v>
      </c>
    </row>
    <row r="6252" spans="1:1">
      <c r="A6252" t="s">
        <v>6784</v>
      </c>
    </row>
    <row r="6253" spans="1:1">
      <c r="A6253" t="s">
        <v>6785</v>
      </c>
    </row>
    <row r="6254" spans="1:1">
      <c r="A6254" t="s">
        <v>6786</v>
      </c>
    </row>
    <row r="6255" spans="1:1">
      <c r="A6255" t="s">
        <v>6787</v>
      </c>
    </row>
    <row r="6256" spans="1:1">
      <c r="A6256" t="s">
        <v>6788</v>
      </c>
    </row>
    <row r="6257" spans="1:1">
      <c r="A6257" t="s">
        <v>6789</v>
      </c>
    </row>
    <row r="6258" spans="1:1">
      <c r="A6258" t="s">
        <v>6790</v>
      </c>
    </row>
    <row r="6259" spans="1:1">
      <c r="A6259" t="s">
        <v>6791</v>
      </c>
    </row>
    <row r="6260" spans="1:1">
      <c r="A6260" t="s">
        <v>6792</v>
      </c>
    </row>
    <row r="6261" spans="1:1">
      <c r="A6261" t="s">
        <v>6793</v>
      </c>
    </row>
    <row r="6262" spans="1:1">
      <c r="A6262" t="s">
        <v>6794</v>
      </c>
    </row>
    <row r="6263" spans="1:1">
      <c r="A6263" t="s">
        <v>6795</v>
      </c>
    </row>
    <row r="6264" spans="1:1">
      <c r="A6264" t="s">
        <v>6796</v>
      </c>
    </row>
    <row r="6265" spans="1:1">
      <c r="A6265" t="s">
        <v>6797</v>
      </c>
    </row>
    <row r="6266" spans="1:1">
      <c r="A6266" t="s">
        <v>6798</v>
      </c>
    </row>
    <row r="6267" spans="1:1">
      <c r="A6267" t="s">
        <v>6799</v>
      </c>
    </row>
    <row r="6268" spans="1:1">
      <c r="A6268" t="s">
        <v>6800</v>
      </c>
    </row>
    <row r="6269" spans="1:1">
      <c r="A6269" t="s">
        <v>6801</v>
      </c>
    </row>
    <row r="6270" spans="1:1">
      <c r="A6270" t="s">
        <v>6802</v>
      </c>
    </row>
    <row r="6271" spans="1:1">
      <c r="A6271" t="s">
        <v>6803</v>
      </c>
    </row>
    <row r="6272" spans="1:1">
      <c r="A6272" t="s">
        <v>6804</v>
      </c>
    </row>
    <row r="6273" spans="1:1">
      <c r="A6273" t="s">
        <v>6805</v>
      </c>
    </row>
    <row r="6274" spans="1:1">
      <c r="A6274" t="s">
        <v>6806</v>
      </c>
    </row>
    <row r="6275" spans="1:1">
      <c r="A6275" t="s">
        <v>6807</v>
      </c>
    </row>
    <row r="6276" spans="1:1">
      <c r="A6276" t="s">
        <v>6808</v>
      </c>
    </row>
    <row r="6277" spans="1:1">
      <c r="A6277" t="s">
        <v>6809</v>
      </c>
    </row>
    <row r="6278" spans="1:1">
      <c r="A6278" t="s">
        <v>6810</v>
      </c>
    </row>
    <row r="6279" spans="1:1">
      <c r="A6279" t="s">
        <v>6811</v>
      </c>
    </row>
    <row r="6280" spans="1:1">
      <c r="A6280" t="s">
        <v>6812</v>
      </c>
    </row>
    <row r="6281" spans="1:1">
      <c r="A6281" t="s">
        <v>6813</v>
      </c>
    </row>
    <row r="6282" spans="1:1">
      <c r="A6282" t="s">
        <v>6814</v>
      </c>
    </row>
    <row r="6283" spans="1:1">
      <c r="A6283" t="s">
        <v>6815</v>
      </c>
    </row>
    <row r="6284" spans="1:1">
      <c r="A6284" t="s">
        <v>6816</v>
      </c>
    </row>
    <row r="6285" spans="1:1">
      <c r="A6285" t="s">
        <v>6817</v>
      </c>
    </row>
    <row r="6286" spans="1:1">
      <c r="A6286" t="s">
        <v>6818</v>
      </c>
    </row>
    <row r="6287" spans="1:1">
      <c r="A6287" t="s">
        <v>6819</v>
      </c>
    </row>
    <row r="6288" spans="1:1">
      <c r="A6288" t="s">
        <v>6820</v>
      </c>
    </row>
    <row r="6289" spans="1:1">
      <c r="A6289" t="s">
        <v>6821</v>
      </c>
    </row>
    <row r="6290" spans="1:1">
      <c r="A6290" t="s">
        <v>6822</v>
      </c>
    </row>
    <row r="6291" spans="1:1">
      <c r="A6291" t="s">
        <v>6823</v>
      </c>
    </row>
    <row r="6292" spans="1:1">
      <c r="A6292" t="s">
        <v>6824</v>
      </c>
    </row>
    <row r="6293" spans="1:1">
      <c r="A6293" t="s">
        <v>6825</v>
      </c>
    </row>
    <row r="6294" spans="1:1">
      <c r="A6294" t="s">
        <v>6826</v>
      </c>
    </row>
    <row r="6295" spans="1:1">
      <c r="A6295" t="s">
        <v>6827</v>
      </c>
    </row>
    <row r="6296" spans="1:1">
      <c r="A6296" t="s">
        <v>6828</v>
      </c>
    </row>
    <row r="6297" spans="1:1">
      <c r="A6297" t="s">
        <v>6829</v>
      </c>
    </row>
    <row r="6298" spans="1:1">
      <c r="A6298" t="s">
        <v>6830</v>
      </c>
    </row>
    <row r="6299" spans="1:1">
      <c r="A6299" t="s">
        <v>6831</v>
      </c>
    </row>
    <row r="6300" spans="1:1">
      <c r="A6300" t="s">
        <v>6832</v>
      </c>
    </row>
    <row r="6301" spans="1:1">
      <c r="A6301" t="s">
        <v>6833</v>
      </c>
    </row>
    <row r="6302" spans="1:1">
      <c r="A6302" t="s">
        <v>6834</v>
      </c>
    </row>
    <row r="6303" spans="1:1">
      <c r="A6303" t="s">
        <v>6835</v>
      </c>
    </row>
    <row r="6304" spans="1:1">
      <c r="A6304" t="s">
        <v>6836</v>
      </c>
    </row>
    <row r="6305" spans="1:1">
      <c r="A6305" t="s">
        <v>6837</v>
      </c>
    </row>
    <row r="6306" spans="1:1">
      <c r="A6306" t="s">
        <v>6838</v>
      </c>
    </row>
    <row r="6307" spans="1:1">
      <c r="A6307" t="s">
        <v>6839</v>
      </c>
    </row>
    <row r="6308" spans="1:1">
      <c r="A6308" t="s">
        <v>6840</v>
      </c>
    </row>
    <row r="6309" spans="1:1">
      <c r="A6309" t="s">
        <v>6841</v>
      </c>
    </row>
    <row r="6310" spans="1:1">
      <c r="A6310" t="s">
        <v>6842</v>
      </c>
    </row>
    <row r="6311" spans="1:1">
      <c r="A6311" t="s">
        <v>6843</v>
      </c>
    </row>
    <row r="6312" spans="1:1">
      <c r="A6312" t="s">
        <v>6844</v>
      </c>
    </row>
    <row r="6313" spans="1:1">
      <c r="A6313" t="s">
        <v>6845</v>
      </c>
    </row>
    <row r="6314" spans="1:1">
      <c r="A6314" t="s">
        <v>6846</v>
      </c>
    </row>
    <row r="6315" spans="1:1">
      <c r="A6315" t="s">
        <v>6847</v>
      </c>
    </row>
    <row r="6316" spans="1:1">
      <c r="A6316" t="s">
        <v>6848</v>
      </c>
    </row>
    <row r="6317" spans="1:1">
      <c r="A6317" t="s">
        <v>6849</v>
      </c>
    </row>
    <row r="6318" spans="1:1">
      <c r="A6318" t="s">
        <v>6850</v>
      </c>
    </row>
    <row r="6319" spans="1:1">
      <c r="A6319" t="s">
        <v>6851</v>
      </c>
    </row>
    <row r="6320" spans="1:1">
      <c r="A6320" t="s">
        <v>6852</v>
      </c>
    </row>
    <row r="6321" spans="1:1">
      <c r="A6321" t="s">
        <v>6853</v>
      </c>
    </row>
    <row r="6322" spans="1:1">
      <c r="A6322" t="s">
        <v>6854</v>
      </c>
    </row>
    <row r="6323" spans="1:1">
      <c r="A6323" t="s">
        <v>6855</v>
      </c>
    </row>
    <row r="6324" spans="1:1">
      <c r="A6324" t="s">
        <v>6856</v>
      </c>
    </row>
    <row r="6325" spans="1:1">
      <c r="A6325" t="s">
        <v>6857</v>
      </c>
    </row>
    <row r="6326" spans="1:1">
      <c r="A6326" t="s">
        <v>6858</v>
      </c>
    </row>
    <row r="6327" spans="1:1">
      <c r="A6327" t="s">
        <v>6859</v>
      </c>
    </row>
    <row r="6328" spans="1:1">
      <c r="A6328" t="s">
        <v>6860</v>
      </c>
    </row>
    <row r="6329" spans="1:1">
      <c r="A6329" t="s">
        <v>6861</v>
      </c>
    </row>
    <row r="6330" spans="1:1">
      <c r="A6330" t="s">
        <v>6862</v>
      </c>
    </row>
    <row r="6331" spans="1:1">
      <c r="A6331" t="s">
        <v>6863</v>
      </c>
    </row>
    <row r="6332" spans="1:1">
      <c r="A6332" t="s">
        <v>6864</v>
      </c>
    </row>
    <row r="6333" spans="1:1">
      <c r="A6333" t="s">
        <v>6865</v>
      </c>
    </row>
    <row r="6334" spans="1:1">
      <c r="A6334" t="s">
        <v>6866</v>
      </c>
    </row>
    <row r="6335" spans="1:1">
      <c r="A6335" t="s">
        <v>6867</v>
      </c>
    </row>
    <row r="6336" spans="1:1">
      <c r="A6336" t="s">
        <v>6868</v>
      </c>
    </row>
    <row r="6337" spans="1:1">
      <c r="A6337" t="s">
        <v>6869</v>
      </c>
    </row>
    <row r="6338" spans="1:1">
      <c r="A6338" t="s">
        <v>6870</v>
      </c>
    </row>
    <row r="6339" spans="1:1">
      <c r="A6339" t="s">
        <v>6871</v>
      </c>
    </row>
    <row r="6340" spans="1:1">
      <c r="A6340" t="s">
        <v>6872</v>
      </c>
    </row>
    <row r="6341" spans="1:1">
      <c r="A6341" t="s">
        <v>6873</v>
      </c>
    </row>
    <row r="6342" spans="1:1">
      <c r="A6342" t="s">
        <v>6874</v>
      </c>
    </row>
    <row r="6343" spans="1:1">
      <c r="A6343" t="s">
        <v>6875</v>
      </c>
    </row>
    <row r="6344" spans="1:1">
      <c r="A6344" t="s">
        <v>6876</v>
      </c>
    </row>
    <row r="6345" spans="1:1">
      <c r="A6345" t="s">
        <v>6877</v>
      </c>
    </row>
    <row r="6346" spans="1:1">
      <c r="A6346" t="s">
        <v>6878</v>
      </c>
    </row>
    <row r="6347" spans="1:1">
      <c r="A6347" t="s">
        <v>6879</v>
      </c>
    </row>
    <row r="6348" spans="1:1">
      <c r="A6348" t="s">
        <v>6880</v>
      </c>
    </row>
    <row r="6349" spans="1:1">
      <c r="A6349" t="s">
        <v>6881</v>
      </c>
    </row>
    <row r="6350" spans="1:1">
      <c r="A6350" t="s">
        <v>6882</v>
      </c>
    </row>
    <row r="6351" spans="1:1">
      <c r="A6351" t="s">
        <v>6883</v>
      </c>
    </row>
    <row r="6352" spans="1:1">
      <c r="A6352" t="s">
        <v>6884</v>
      </c>
    </row>
    <row r="6353" spans="1:1">
      <c r="A6353" t="s">
        <v>6885</v>
      </c>
    </row>
    <row r="6354" spans="1:1">
      <c r="A6354" t="s">
        <v>6886</v>
      </c>
    </row>
    <row r="6355" spans="1:1">
      <c r="A6355" t="s">
        <v>6887</v>
      </c>
    </row>
    <row r="6356" spans="1:1">
      <c r="A6356" t="s">
        <v>6888</v>
      </c>
    </row>
    <row r="6357" spans="1:1">
      <c r="A6357" t="s">
        <v>6889</v>
      </c>
    </row>
    <row r="6358" spans="1:1">
      <c r="A6358" t="s">
        <v>6890</v>
      </c>
    </row>
    <row r="6359" spans="1:1">
      <c r="A6359" t="s">
        <v>6891</v>
      </c>
    </row>
    <row r="6360" spans="1:1">
      <c r="A6360" t="s">
        <v>6892</v>
      </c>
    </row>
    <row r="6361" spans="1:1">
      <c r="A6361" t="s">
        <v>6893</v>
      </c>
    </row>
    <row r="6362" spans="1:1">
      <c r="A6362" t="s">
        <v>6894</v>
      </c>
    </row>
    <row r="6363" spans="1:1">
      <c r="A6363" t="s">
        <v>6895</v>
      </c>
    </row>
    <row r="6364" spans="1:1">
      <c r="A6364" t="s">
        <v>6896</v>
      </c>
    </row>
    <row r="6365" spans="1:1">
      <c r="A6365" t="s">
        <v>6897</v>
      </c>
    </row>
    <row r="6366" spans="1:1">
      <c r="A6366" t="s">
        <v>6898</v>
      </c>
    </row>
    <row r="6367" spans="1:1">
      <c r="A6367" t="s">
        <v>6899</v>
      </c>
    </row>
    <row r="6368" spans="1:1">
      <c r="A6368" t="s">
        <v>6900</v>
      </c>
    </row>
    <row r="6369" spans="1:1">
      <c r="A6369" t="s">
        <v>6901</v>
      </c>
    </row>
    <row r="6370" spans="1:1">
      <c r="A6370" t="s">
        <v>6902</v>
      </c>
    </row>
    <row r="6371" spans="1:1">
      <c r="A6371" t="s">
        <v>6903</v>
      </c>
    </row>
    <row r="6372" spans="1:1">
      <c r="A6372" t="s">
        <v>6904</v>
      </c>
    </row>
    <row r="6373" spans="1:1">
      <c r="A6373" t="s">
        <v>6905</v>
      </c>
    </row>
    <row r="6374" spans="1:1">
      <c r="A6374" t="s">
        <v>6906</v>
      </c>
    </row>
    <row r="6375" spans="1:1">
      <c r="A6375" t="s">
        <v>6907</v>
      </c>
    </row>
    <row r="6376" spans="1:1">
      <c r="A6376" t="s">
        <v>6908</v>
      </c>
    </row>
    <row r="6377" spans="1:1">
      <c r="A6377" t="s">
        <v>6909</v>
      </c>
    </row>
    <row r="6378" spans="1:1">
      <c r="A6378" t="s">
        <v>6910</v>
      </c>
    </row>
    <row r="6379" spans="1:1">
      <c r="A6379" t="s">
        <v>6911</v>
      </c>
    </row>
    <row r="6380" spans="1:1">
      <c r="A6380" t="s">
        <v>6912</v>
      </c>
    </row>
    <row r="6381" spans="1:1">
      <c r="A6381" t="s">
        <v>6913</v>
      </c>
    </row>
    <row r="6382" spans="1:1">
      <c r="A6382" t="s">
        <v>6914</v>
      </c>
    </row>
    <row r="6383" spans="1:1">
      <c r="A6383" t="s">
        <v>6915</v>
      </c>
    </row>
    <row r="6384" spans="1:1">
      <c r="A6384" t="s">
        <v>6916</v>
      </c>
    </row>
    <row r="6385" spans="1:1">
      <c r="A6385" t="s">
        <v>6917</v>
      </c>
    </row>
    <row r="6386" spans="1:1">
      <c r="A6386" t="s">
        <v>6918</v>
      </c>
    </row>
    <row r="6387" spans="1:1">
      <c r="A6387" t="s">
        <v>6919</v>
      </c>
    </row>
    <row r="6388" spans="1:1">
      <c r="A6388" t="s">
        <v>6920</v>
      </c>
    </row>
    <row r="6389" spans="1:1">
      <c r="A6389" t="s">
        <v>6921</v>
      </c>
    </row>
    <row r="6390" spans="1:1">
      <c r="A6390" t="s">
        <v>6922</v>
      </c>
    </row>
    <row r="6391" spans="1:1">
      <c r="A6391" t="s">
        <v>6923</v>
      </c>
    </row>
    <row r="6392" spans="1:1">
      <c r="A6392" t="s">
        <v>6924</v>
      </c>
    </row>
    <row r="6393" spans="1:1">
      <c r="A6393" t="s">
        <v>6925</v>
      </c>
    </row>
    <row r="6394" spans="1:1">
      <c r="A6394" t="s">
        <v>6926</v>
      </c>
    </row>
    <row r="6395" spans="1:1">
      <c r="A6395" t="s">
        <v>6927</v>
      </c>
    </row>
    <row r="6396" spans="1:1">
      <c r="A6396" t="s">
        <v>6928</v>
      </c>
    </row>
    <row r="6397" spans="1:1">
      <c r="A6397" t="s">
        <v>6929</v>
      </c>
    </row>
    <row r="6398" spans="1:1">
      <c r="A6398" t="s">
        <v>6930</v>
      </c>
    </row>
    <row r="6399" spans="1:1">
      <c r="A6399" t="s">
        <v>6931</v>
      </c>
    </row>
    <row r="6400" spans="1:1">
      <c r="A6400" t="s">
        <v>6932</v>
      </c>
    </row>
    <row r="6401" spans="1:1">
      <c r="A6401" t="s">
        <v>6933</v>
      </c>
    </row>
    <row r="6402" spans="1:1">
      <c r="A6402" t="s">
        <v>6934</v>
      </c>
    </row>
    <row r="6403" spans="1:1">
      <c r="A6403" t="s">
        <v>6935</v>
      </c>
    </row>
    <row r="6404" spans="1:1">
      <c r="A6404" t="s">
        <v>6936</v>
      </c>
    </row>
    <row r="6405" spans="1:1">
      <c r="A6405" t="s">
        <v>6937</v>
      </c>
    </row>
    <row r="6406" spans="1:1">
      <c r="A6406" t="s">
        <v>6938</v>
      </c>
    </row>
    <row r="6407" spans="1:1">
      <c r="A6407" t="s">
        <v>6939</v>
      </c>
    </row>
    <row r="6408" spans="1:1">
      <c r="A6408" t="s">
        <v>6940</v>
      </c>
    </row>
    <row r="6409" spans="1:1">
      <c r="A6409" t="s">
        <v>6941</v>
      </c>
    </row>
    <row r="6410" spans="1:1">
      <c r="A6410" t="s">
        <v>6942</v>
      </c>
    </row>
    <row r="6411" spans="1:1">
      <c r="A6411" t="s">
        <v>6943</v>
      </c>
    </row>
    <row r="6412" spans="1:1">
      <c r="A6412" t="s">
        <v>6944</v>
      </c>
    </row>
    <row r="6413" spans="1:1">
      <c r="A6413" t="s">
        <v>6945</v>
      </c>
    </row>
    <row r="6414" spans="1:1">
      <c r="A6414" t="s">
        <v>6946</v>
      </c>
    </row>
    <row r="6415" spans="1:1">
      <c r="A6415" t="s">
        <v>6947</v>
      </c>
    </row>
    <row r="6416" spans="1:1">
      <c r="A6416" t="s">
        <v>6948</v>
      </c>
    </row>
    <row r="6417" spans="1:1">
      <c r="A6417" t="s">
        <v>6949</v>
      </c>
    </row>
    <row r="6418" spans="1:1">
      <c r="A6418" t="s">
        <v>6950</v>
      </c>
    </row>
    <row r="6419" spans="1:1">
      <c r="A6419" t="s">
        <v>6951</v>
      </c>
    </row>
    <row r="6420" spans="1:1">
      <c r="A6420" t="s">
        <v>6952</v>
      </c>
    </row>
    <row r="6421" spans="1:1">
      <c r="A6421" t="s">
        <v>6953</v>
      </c>
    </row>
    <row r="6422" spans="1:1">
      <c r="A6422" t="s">
        <v>6954</v>
      </c>
    </row>
    <row r="6423" spans="1:1">
      <c r="A6423" t="s">
        <v>6955</v>
      </c>
    </row>
    <row r="6424" spans="1:1">
      <c r="A6424" t="s">
        <v>6956</v>
      </c>
    </row>
    <row r="6425" spans="1:1">
      <c r="A6425" t="s">
        <v>6957</v>
      </c>
    </row>
    <row r="6426" spans="1:1">
      <c r="A6426" t="s">
        <v>6958</v>
      </c>
    </row>
    <row r="6427" spans="1:1">
      <c r="A6427" t="s">
        <v>6959</v>
      </c>
    </row>
    <row r="6428" spans="1:1">
      <c r="A6428" t="s">
        <v>6960</v>
      </c>
    </row>
    <row r="6429" spans="1:1">
      <c r="A6429" t="s">
        <v>6961</v>
      </c>
    </row>
    <row r="6430" spans="1:1">
      <c r="A6430" t="s">
        <v>6962</v>
      </c>
    </row>
    <row r="6431" spans="1:1">
      <c r="A6431" t="s">
        <v>6963</v>
      </c>
    </row>
    <row r="6432" spans="1:1">
      <c r="A6432" t="s">
        <v>6964</v>
      </c>
    </row>
    <row r="6433" spans="1:1">
      <c r="A6433" t="s">
        <v>6965</v>
      </c>
    </row>
    <row r="6434" spans="1:1">
      <c r="A6434" t="s">
        <v>6966</v>
      </c>
    </row>
    <row r="6435" spans="1:1">
      <c r="A6435" t="s">
        <v>6967</v>
      </c>
    </row>
    <row r="6436" spans="1:1">
      <c r="A6436" t="s">
        <v>6968</v>
      </c>
    </row>
    <row r="6437" spans="1:1">
      <c r="A6437" t="s">
        <v>6969</v>
      </c>
    </row>
    <row r="6438" spans="1:1">
      <c r="A6438" t="s">
        <v>6970</v>
      </c>
    </row>
    <row r="6439" spans="1:1">
      <c r="A6439" t="s">
        <v>6971</v>
      </c>
    </row>
    <row r="6440" spans="1:1">
      <c r="A6440" t="s">
        <v>6972</v>
      </c>
    </row>
    <row r="6441" spans="1:1">
      <c r="A6441" t="s">
        <v>6973</v>
      </c>
    </row>
    <row r="6442" spans="1:1">
      <c r="A6442" t="s">
        <v>6974</v>
      </c>
    </row>
    <row r="6443" spans="1:1">
      <c r="A6443" t="s">
        <v>6975</v>
      </c>
    </row>
    <row r="6444" spans="1:1">
      <c r="A6444" t="s">
        <v>6976</v>
      </c>
    </row>
    <row r="6445" spans="1:1">
      <c r="A6445" t="s">
        <v>6977</v>
      </c>
    </row>
    <row r="6446" spans="1:1">
      <c r="A6446" t="s">
        <v>6978</v>
      </c>
    </row>
    <row r="6447" spans="1:1">
      <c r="A6447" t="s">
        <v>6979</v>
      </c>
    </row>
    <row r="6448" spans="1:1">
      <c r="A6448" t="s">
        <v>6980</v>
      </c>
    </row>
    <row r="6449" spans="1:1">
      <c r="A6449" t="s">
        <v>6981</v>
      </c>
    </row>
    <row r="6450" spans="1:1">
      <c r="A6450" t="s">
        <v>6982</v>
      </c>
    </row>
    <row r="6451" spans="1:1">
      <c r="A6451" t="s">
        <v>6983</v>
      </c>
    </row>
    <row r="6452" spans="1:1">
      <c r="A6452" t="s">
        <v>6984</v>
      </c>
    </row>
    <row r="6453" spans="1:1">
      <c r="A6453" t="s">
        <v>6985</v>
      </c>
    </row>
    <row r="6454" spans="1:1">
      <c r="A6454" t="s">
        <v>6986</v>
      </c>
    </row>
    <row r="6455" spans="1:1">
      <c r="A6455" t="s">
        <v>6987</v>
      </c>
    </row>
    <row r="6456" spans="1:1">
      <c r="A6456" t="s">
        <v>6988</v>
      </c>
    </row>
    <row r="6457" spans="1:1">
      <c r="A6457" t="s">
        <v>6989</v>
      </c>
    </row>
    <row r="6458" spans="1:1">
      <c r="A6458" t="s">
        <v>6990</v>
      </c>
    </row>
    <row r="6459" spans="1:1">
      <c r="A6459" t="s">
        <v>6991</v>
      </c>
    </row>
    <row r="6460" spans="1:1">
      <c r="A6460" t="s">
        <v>6992</v>
      </c>
    </row>
    <row r="6461" spans="1:1">
      <c r="A6461" t="s">
        <v>6993</v>
      </c>
    </row>
    <row r="6462" spans="1:1">
      <c r="A6462" t="s">
        <v>6994</v>
      </c>
    </row>
    <row r="6463" spans="1:1">
      <c r="A6463" t="s">
        <v>6995</v>
      </c>
    </row>
    <row r="6464" spans="1:1">
      <c r="A6464" t="s">
        <v>6996</v>
      </c>
    </row>
    <row r="6465" spans="1:1">
      <c r="A6465" t="s">
        <v>6997</v>
      </c>
    </row>
    <row r="6466" spans="1:1">
      <c r="A6466" t="s">
        <v>6998</v>
      </c>
    </row>
    <row r="6467" spans="1:1">
      <c r="A6467" t="s">
        <v>6999</v>
      </c>
    </row>
    <row r="6468" spans="1:1">
      <c r="A6468" t="s">
        <v>7000</v>
      </c>
    </row>
    <row r="6469" spans="1:1">
      <c r="A6469" t="s">
        <v>7001</v>
      </c>
    </row>
    <row r="6470" spans="1:1">
      <c r="A6470" t="s">
        <v>7002</v>
      </c>
    </row>
    <row r="6471" spans="1:1">
      <c r="A6471" t="s">
        <v>7003</v>
      </c>
    </row>
    <row r="6472" spans="1:1">
      <c r="A6472" t="s">
        <v>7004</v>
      </c>
    </row>
    <row r="6473" spans="1:1">
      <c r="A6473" t="s">
        <v>7005</v>
      </c>
    </row>
    <row r="6474" spans="1:1">
      <c r="A6474" t="s">
        <v>7006</v>
      </c>
    </row>
    <row r="6475" spans="1:1">
      <c r="A6475" t="s">
        <v>7007</v>
      </c>
    </row>
    <row r="6476" spans="1:1">
      <c r="A6476" t="s">
        <v>7008</v>
      </c>
    </row>
    <row r="6477" spans="1:1">
      <c r="A6477" t="s">
        <v>7009</v>
      </c>
    </row>
    <row r="6478" spans="1:1">
      <c r="A6478" t="s">
        <v>7010</v>
      </c>
    </row>
    <row r="6479" spans="1:1">
      <c r="A6479" t="s">
        <v>7011</v>
      </c>
    </row>
    <row r="6480" spans="1:1">
      <c r="A6480" t="s">
        <v>7012</v>
      </c>
    </row>
    <row r="6481" spans="1:1">
      <c r="A6481" t="s">
        <v>7013</v>
      </c>
    </row>
    <row r="6482" spans="1:1">
      <c r="A6482" t="s">
        <v>7014</v>
      </c>
    </row>
    <row r="6483" spans="1:1">
      <c r="A6483" t="s">
        <v>7015</v>
      </c>
    </row>
    <row r="6484" spans="1:1">
      <c r="A6484" t="s">
        <v>7016</v>
      </c>
    </row>
    <row r="6485" spans="1:1">
      <c r="A6485" t="s">
        <v>7017</v>
      </c>
    </row>
    <row r="6486" spans="1:1">
      <c r="A6486" t="s">
        <v>7018</v>
      </c>
    </row>
    <row r="6487" spans="1:1">
      <c r="A6487" t="s">
        <v>7019</v>
      </c>
    </row>
    <row r="6488" spans="1:1">
      <c r="A6488" t="s">
        <v>7020</v>
      </c>
    </row>
    <row r="6489" spans="1:1">
      <c r="A6489" t="s">
        <v>7021</v>
      </c>
    </row>
    <row r="6490" spans="1:1">
      <c r="A6490" t="s">
        <v>7022</v>
      </c>
    </row>
    <row r="6491" spans="1:1">
      <c r="A6491" t="s">
        <v>7023</v>
      </c>
    </row>
    <row r="6492" spans="1:1">
      <c r="A6492" t="s">
        <v>7024</v>
      </c>
    </row>
    <row r="6493" spans="1:1">
      <c r="A6493" t="s">
        <v>7025</v>
      </c>
    </row>
    <row r="6494" spans="1:1">
      <c r="A6494" t="s">
        <v>7026</v>
      </c>
    </row>
    <row r="6495" spans="1:1">
      <c r="A6495" t="s">
        <v>7027</v>
      </c>
    </row>
    <row r="6496" spans="1:1">
      <c r="A6496" t="s">
        <v>7028</v>
      </c>
    </row>
    <row r="6497" spans="1:1">
      <c r="A6497" t="s">
        <v>7029</v>
      </c>
    </row>
    <row r="6498" spans="1:1">
      <c r="A6498" t="s">
        <v>7030</v>
      </c>
    </row>
    <row r="6499" spans="1:1">
      <c r="A6499" t="s">
        <v>7031</v>
      </c>
    </row>
    <row r="6500" spans="1:1">
      <c r="A6500" t="s">
        <v>7032</v>
      </c>
    </row>
    <row r="6501" spans="1:1">
      <c r="A6501" t="s">
        <v>7033</v>
      </c>
    </row>
    <row r="6502" spans="1:1">
      <c r="A6502" t="s">
        <v>7034</v>
      </c>
    </row>
    <row r="6503" spans="1:1">
      <c r="A6503" t="s">
        <v>7035</v>
      </c>
    </row>
    <row r="6504" spans="1:1">
      <c r="A6504" t="s">
        <v>7036</v>
      </c>
    </row>
    <row r="6505" spans="1:1">
      <c r="A6505" t="s">
        <v>7037</v>
      </c>
    </row>
    <row r="6506" spans="1:1">
      <c r="A6506" t="s">
        <v>7038</v>
      </c>
    </row>
    <row r="6507" spans="1:1">
      <c r="A6507" t="s">
        <v>7039</v>
      </c>
    </row>
    <row r="6508" spans="1:1">
      <c r="A6508" t="s">
        <v>7040</v>
      </c>
    </row>
    <row r="6509" spans="1:1">
      <c r="A6509" t="s">
        <v>7041</v>
      </c>
    </row>
    <row r="6510" spans="1:1">
      <c r="A6510" t="s">
        <v>7042</v>
      </c>
    </row>
    <row r="6511" spans="1:1">
      <c r="A6511" t="s">
        <v>7043</v>
      </c>
    </row>
    <row r="6512" spans="1:1">
      <c r="A6512" t="s">
        <v>7044</v>
      </c>
    </row>
    <row r="6513" spans="1:1">
      <c r="A6513" t="s">
        <v>7045</v>
      </c>
    </row>
    <row r="6514" spans="1:1">
      <c r="A6514" t="s">
        <v>7046</v>
      </c>
    </row>
    <row r="6515" spans="1:1">
      <c r="A6515" t="s">
        <v>7047</v>
      </c>
    </row>
    <row r="6516" spans="1:1">
      <c r="A6516" t="s">
        <v>7048</v>
      </c>
    </row>
    <row r="6517" spans="1:1">
      <c r="A6517" t="s">
        <v>7049</v>
      </c>
    </row>
    <row r="6518" spans="1:1">
      <c r="A6518" t="s">
        <v>7050</v>
      </c>
    </row>
    <row r="6519" spans="1:1">
      <c r="A6519" t="s">
        <v>7051</v>
      </c>
    </row>
    <row r="6520" spans="1:1">
      <c r="A6520" t="s">
        <v>7052</v>
      </c>
    </row>
    <row r="6521" spans="1:1">
      <c r="A6521" t="s">
        <v>7053</v>
      </c>
    </row>
    <row r="6522" spans="1:1">
      <c r="A6522" t="s">
        <v>7054</v>
      </c>
    </row>
    <row r="6523" spans="1:1">
      <c r="A6523" t="s">
        <v>7055</v>
      </c>
    </row>
    <row r="6524" spans="1:1">
      <c r="A6524" t="s">
        <v>7056</v>
      </c>
    </row>
    <row r="6525" spans="1:1">
      <c r="A6525" t="s">
        <v>7057</v>
      </c>
    </row>
    <row r="6526" spans="1:1">
      <c r="A6526" t="s">
        <v>7058</v>
      </c>
    </row>
    <row r="6527" spans="1:1">
      <c r="A6527" t="s">
        <v>7059</v>
      </c>
    </row>
    <row r="6528" spans="1:1">
      <c r="A6528" t="s">
        <v>7060</v>
      </c>
    </row>
    <row r="6529" spans="1:1">
      <c r="A6529" t="s">
        <v>7061</v>
      </c>
    </row>
    <row r="6530" spans="1:1">
      <c r="A6530" t="s">
        <v>7062</v>
      </c>
    </row>
    <row r="6531" spans="1:1">
      <c r="A6531" t="s">
        <v>7063</v>
      </c>
    </row>
    <row r="6532" spans="1:1">
      <c r="A6532" t="s">
        <v>7064</v>
      </c>
    </row>
    <row r="6533" spans="1:1">
      <c r="A6533" t="s">
        <v>7065</v>
      </c>
    </row>
    <row r="6534" spans="1:1">
      <c r="A6534" t="s">
        <v>7066</v>
      </c>
    </row>
    <row r="6535" spans="1:1">
      <c r="A6535" t="s">
        <v>7067</v>
      </c>
    </row>
    <row r="6536" spans="1:1">
      <c r="A6536" t="s">
        <v>7068</v>
      </c>
    </row>
    <row r="6537" spans="1:1">
      <c r="A6537" t="s">
        <v>7069</v>
      </c>
    </row>
    <row r="6538" spans="1:1">
      <c r="A6538" t="s">
        <v>7070</v>
      </c>
    </row>
    <row r="6539" spans="1:1">
      <c r="A6539" t="s">
        <v>7071</v>
      </c>
    </row>
    <row r="6540" spans="1:1">
      <c r="A6540" t="s">
        <v>7072</v>
      </c>
    </row>
    <row r="6541" spans="1:1">
      <c r="A6541" t="s">
        <v>7073</v>
      </c>
    </row>
    <row r="6542" spans="1:1">
      <c r="A6542" t="s">
        <v>7074</v>
      </c>
    </row>
    <row r="6543" spans="1:1">
      <c r="A6543" t="s">
        <v>7075</v>
      </c>
    </row>
    <row r="6544" spans="1:1">
      <c r="A6544" t="s">
        <v>7076</v>
      </c>
    </row>
    <row r="6545" spans="1:1">
      <c r="A6545" t="s">
        <v>7077</v>
      </c>
    </row>
    <row r="6546" spans="1:1">
      <c r="A6546" t="s">
        <v>7078</v>
      </c>
    </row>
    <row r="6547" spans="1:1">
      <c r="A6547" t="s">
        <v>7079</v>
      </c>
    </row>
    <row r="6548" spans="1:1">
      <c r="A6548" t="s">
        <v>7080</v>
      </c>
    </row>
    <row r="6549" spans="1:1">
      <c r="A6549" t="s">
        <v>7081</v>
      </c>
    </row>
    <row r="6550" spans="1:1">
      <c r="A6550" t="s">
        <v>7082</v>
      </c>
    </row>
    <row r="6551" spans="1:1">
      <c r="A6551" t="s">
        <v>7083</v>
      </c>
    </row>
    <row r="6552" spans="1:1">
      <c r="A6552" t="s">
        <v>7084</v>
      </c>
    </row>
    <row r="6553" spans="1:1">
      <c r="A6553" t="s">
        <v>7085</v>
      </c>
    </row>
    <row r="6554" spans="1:1">
      <c r="A6554" t="s">
        <v>7086</v>
      </c>
    </row>
    <row r="6555" spans="1:1">
      <c r="A6555" t="s">
        <v>7087</v>
      </c>
    </row>
    <row r="6556" spans="1:1">
      <c r="A6556" t="s">
        <v>7088</v>
      </c>
    </row>
    <row r="6557" spans="1:1">
      <c r="A6557" t="s">
        <v>7089</v>
      </c>
    </row>
    <row r="6558" spans="1:1">
      <c r="A6558" t="s">
        <v>7090</v>
      </c>
    </row>
    <row r="6559" spans="1:1">
      <c r="A6559" t="s">
        <v>7091</v>
      </c>
    </row>
    <row r="6560" spans="1:1">
      <c r="A6560" t="s">
        <v>7092</v>
      </c>
    </row>
    <row r="6561" spans="1:1">
      <c r="A6561" t="s">
        <v>7093</v>
      </c>
    </row>
    <row r="6562" spans="1:1">
      <c r="A6562" t="s">
        <v>7094</v>
      </c>
    </row>
    <row r="6563" spans="1:1">
      <c r="A6563" t="s">
        <v>7095</v>
      </c>
    </row>
    <row r="6564" spans="1:1">
      <c r="A6564" t="s">
        <v>7096</v>
      </c>
    </row>
    <row r="6565" spans="1:1">
      <c r="A6565" t="s">
        <v>7097</v>
      </c>
    </row>
    <row r="6566" spans="1:1">
      <c r="A6566" t="s">
        <v>7098</v>
      </c>
    </row>
    <row r="6567" spans="1:1">
      <c r="A6567" t="s">
        <v>7099</v>
      </c>
    </row>
    <row r="6568" spans="1:1">
      <c r="A6568" t="s">
        <v>7100</v>
      </c>
    </row>
    <row r="6569" spans="1:1">
      <c r="A6569" t="s">
        <v>7101</v>
      </c>
    </row>
    <row r="6570" spans="1:1">
      <c r="A6570" t="s">
        <v>7102</v>
      </c>
    </row>
    <row r="6571" spans="1:1">
      <c r="A6571" t="s">
        <v>7103</v>
      </c>
    </row>
    <row r="6572" spans="1:1">
      <c r="A6572" t="s">
        <v>7104</v>
      </c>
    </row>
    <row r="6573" spans="1:1">
      <c r="A6573" t="s">
        <v>7105</v>
      </c>
    </row>
    <row r="6574" spans="1:1">
      <c r="A6574" t="s">
        <v>7106</v>
      </c>
    </row>
    <row r="6575" spans="1:1">
      <c r="A6575" t="s">
        <v>7107</v>
      </c>
    </row>
    <row r="6576" spans="1:1">
      <c r="A6576" t="s">
        <v>7108</v>
      </c>
    </row>
    <row r="6577" spans="1:1">
      <c r="A6577" t="s">
        <v>7109</v>
      </c>
    </row>
    <row r="6578" spans="1:1">
      <c r="A6578" t="s">
        <v>7110</v>
      </c>
    </row>
    <row r="6579" spans="1:1">
      <c r="A6579" t="s">
        <v>7111</v>
      </c>
    </row>
    <row r="6580" spans="1:1">
      <c r="A6580" t="s">
        <v>7112</v>
      </c>
    </row>
    <row r="6581" spans="1:1">
      <c r="A6581" t="s">
        <v>7113</v>
      </c>
    </row>
    <row r="6582" spans="1:1">
      <c r="A6582" t="s">
        <v>7114</v>
      </c>
    </row>
    <row r="6583" spans="1:1">
      <c r="A6583" t="s">
        <v>7115</v>
      </c>
    </row>
    <row r="6584" spans="1:1">
      <c r="A6584" t="s">
        <v>7116</v>
      </c>
    </row>
    <row r="6585" spans="1:1">
      <c r="A6585" t="s">
        <v>7117</v>
      </c>
    </row>
    <row r="6586" spans="1:1">
      <c r="A6586" t="s">
        <v>7118</v>
      </c>
    </row>
    <row r="6587" spans="1:1">
      <c r="A6587" t="s">
        <v>7119</v>
      </c>
    </row>
    <row r="6588" spans="1:1">
      <c r="A6588" t="s">
        <v>7120</v>
      </c>
    </row>
    <row r="6589" spans="1:1">
      <c r="A6589" t="s">
        <v>7121</v>
      </c>
    </row>
    <row r="6590" spans="1:1">
      <c r="A6590" t="s">
        <v>7122</v>
      </c>
    </row>
    <row r="6591" spans="1:1">
      <c r="A6591" t="s">
        <v>7123</v>
      </c>
    </row>
    <row r="6592" spans="1:1">
      <c r="A6592" t="s">
        <v>7124</v>
      </c>
    </row>
    <row r="6593" spans="1:1">
      <c r="A6593" t="s">
        <v>7125</v>
      </c>
    </row>
    <row r="6594" spans="1:1">
      <c r="A6594" t="s">
        <v>7126</v>
      </c>
    </row>
    <row r="6595" spans="1:1">
      <c r="A6595" t="s">
        <v>7127</v>
      </c>
    </row>
    <row r="6596" spans="1:1">
      <c r="A6596" t="s">
        <v>7128</v>
      </c>
    </row>
    <row r="6597" spans="1:1">
      <c r="A6597" t="s">
        <v>7129</v>
      </c>
    </row>
    <row r="6598" spans="1:1">
      <c r="A6598" t="s">
        <v>7130</v>
      </c>
    </row>
    <row r="6599" spans="1:1">
      <c r="A6599" t="s">
        <v>7131</v>
      </c>
    </row>
    <row r="6600" spans="1:1">
      <c r="A6600" t="s">
        <v>7132</v>
      </c>
    </row>
    <row r="6601" spans="1:1">
      <c r="A6601" t="s">
        <v>7133</v>
      </c>
    </row>
    <row r="6602" spans="1:1">
      <c r="A6602" t="s">
        <v>7134</v>
      </c>
    </row>
    <row r="6603" spans="1:1">
      <c r="A6603" t="s">
        <v>7135</v>
      </c>
    </row>
    <row r="6604" spans="1:1">
      <c r="A6604" t="s">
        <v>7136</v>
      </c>
    </row>
    <row r="6605" spans="1:1">
      <c r="A6605" t="s">
        <v>7137</v>
      </c>
    </row>
    <row r="6606" spans="1:1">
      <c r="A6606" t="s">
        <v>7138</v>
      </c>
    </row>
    <row r="6607" spans="1:1">
      <c r="A6607" t="s">
        <v>7139</v>
      </c>
    </row>
    <row r="6608" spans="1:1">
      <c r="A6608" t="s">
        <v>7140</v>
      </c>
    </row>
    <row r="6609" spans="1:1">
      <c r="A6609" t="s">
        <v>7141</v>
      </c>
    </row>
    <row r="6610" spans="1:1">
      <c r="A6610" t="s">
        <v>7142</v>
      </c>
    </row>
    <row r="6611" spans="1:1">
      <c r="A6611" t="s">
        <v>7143</v>
      </c>
    </row>
    <row r="6612" spans="1:1">
      <c r="A6612" t="s">
        <v>7144</v>
      </c>
    </row>
    <row r="6613" spans="1:1">
      <c r="A6613" t="s">
        <v>7145</v>
      </c>
    </row>
    <row r="6614" spans="1:1">
      <c r="A6614" t="s">
        <v>7146</v>
      </c>
    </row>
    <row r="6615" spans="1:1">
      <c r="A6615" t="s">
        <v>7147</v>
      </c>
    </row>
    <row r="6616" spans="1:1">
      <c r="A6616" t="s">
        <v>7148</v>
      </c>
    </row>
    <row r="6617" spans="1:1">
      <c r="A6617" t="s">
        <v>7149</v>
      </c>
    </row>
    <row r="6618" spans="1:1">
      <c r="A6618" t="s">
        <v>7150</v>
      </c>
    </row>
    <row r="6619" spans="1:1">
      <c r="A6619" t="s">
        <v>7151</v>
      </c>
    </row>
    <row r="6620" spans="1:1">
      <c r="A6620" t="s">
        <v>7152</v>
      </c>
    </row>
    <row r="6621" spans="1:1">
      <c r="A6621" t="s">
        <v>7153</v>
      </c>
    </row>
    <row r="6622" spans="1:1">
      <c r="A6622" t="s">
        <v>7154</v>
      </c>
    </row>
    <row r="6623" spans="1:1">
      <c r="A6623" t="s">
        <v>7155</v>
      </c>
    </row>
    <row r="6624" spans="1:1">
      <c r="A6624" t="s">
        <v>7156</v>
      </c>
    </row>
    <row r="6625" spans="1:1">
      <c r="A6625" t="s">
        <v>7157</v>
      </c>
    </row>
    <row r="6626" spans="1:1">
      <c r="A6626" t="s">
        <v>7158</v>
      </c>
    </row>
    <row r="6627" spans="1:1">
      <c r="A6627" t="s">
        <v>7159</v>
      </c>
    </row>
    <row r="6628" spans="1:1">
      <c r="A6628" t="s">
        <v>7160</v>
      </c>
    </row>
    <row r="6629" spans="1:1">
      <c r="A6629" t="s">
        <v>7161</v>
      </c>
    </row>
    <row r="6630" spans="1:1">
      <c r="A6630" t="s">
        <v>7162</v>
      </c>
    </row>
    <row r="6631" spans="1:1">
      <c r="A6631" t="s">
        <v>7163</v>
      </c>
    </row>
    <row r="6632" spans="1:1">
      <c r="A6632" t="s">
        <v>7164</v>
      </c>
    </row>
    <row r="6633" spans="1:1">
      <c r="A6633" t="s">
        <v>7165</v>
      </c>
    </row>
    <row r="6634" spans="1:1">
      <c r="A6634" t="s">
        <v>7166</v>
      </c>
    </row>
    <row r="6635" spans="1:1">
      <c r="A6635" t="s">
        <v>7167</v>
      </c>
    </row>
    <row r="6636" spans="1:1">
      <c r="A6636" t="s">
        <v>7168</v>
      </c>
    </row>
    <row r="6637" spans="1:1">
      <c r="A6637" t="s">
        <v>7169</v>
      </c>
    </row>
    <row r="6638" spans="1:1">
      <c r="A6638" t="s">
        <v>7170</v>
      </c>
    </row>
    <row r="6639" spans="1:1">
      <c r="A6639" t="s">
        <v>7171</v>
      </c>
    </row>
    <row r="6640" spans="1:1">
      <c r="A6640" t="s">
        <v>7172</v>
      </c>
    </row>
    <row r="6641" spans="1:1">
      <c r="A6641" t="s">
        <v>7173</v>
      </c>
    </row>
    <row r="6642" spans="1:1">
      <c r="A6642" t="s">
        <v>7174</v>
      </c>
    </row>
    <row r="6643" spans="1:1">
      <c r="A6643" t="s">
        <v>7175</v>
      </c>
    </row>
    <row r="6644" spans="1:1">
      <c r="A6644" t="s">
        <v>7176</v>
      </c>
    </row>
    <row r="6645" spans="1:1">
      <c r="A6645" t="s">
        <v>7177</v>
      </c>
    </row>
    <row r="6646" spans="1:1">
      <c r="A6646" t="s">
        <v>7178</v>
      </c>
    </row>
    <row r="6647" spans="1:1">
      <c r="A6647" t="s">
        <v>7179</v>
      </c>
    </row>
    <row r="6648" spans="1:1">
      <c r="A6648" t="s">
        <v>7180</v>
      </c>
    </row>
    <row r="6649" spans="1:1">
      <c r="A6649" t="s">
        <v>7181</v>
      </c>
    </row>
    <row r="6650" spans="1:1">
      <c r="A6650" t="s">
        <v>7182</v>
      </c>
    </row>
    <row r="6651" spans="1:1">
      <c r="A6651" t="s">
        <v>7183</v>
      </c>
    </row>
    <row r="6652" spans="1:1">
      <c r="A6652" t="s">
        <v>7184</v>
      </c>
    </row>
    <row r="6653" spans="1:1">
      <c r="A6653" t="s">
        <v>7185</v>
      </c>
    </row>
    <row r="6654" spans="1:1">
      <c r="A6654" t="s">
        <v>7186</v>
      </c>
    </row>
    <row r="6655" spans="1:1">
      <c r="A6655" t="s">
        <v>7187</v>
      </c>
    </row>
    <row r="6656" spans="1:1">
      <c r="A6656" t="s">
        <v>7188</v>
      </c>
    </row>
    <row r="6657" spans="1:1">
      <c r="A6657" t="s">
        <v>7189</v>
      </c>
    </row>
    <row r="6658" spans="1:1">
      <c r="A6658" t="s">
        <v>7190</v>
      </c>
    </row>
    <row r="6659" spans="1:1">
      <c r="A6659" t="s">
        <v>7191</v>
      </c>
    </row>
    <row r="6660" spans="1:1">
      <c r="A6660" t="s">
        <v>7192</v>
      </c>
    </row>
    <row r="6661" spans="1:1">
      <c r="A6661" t="s">
        <v>7193</v>
      </c>
    </row>
    <row r="6662" spans="1:1">
      <c r="A6662" t="s">
        <v>7194</v>
      </c>
    </row>
    <row r="6663" spans="1:1">
      <c r="A6663" t="s">
        <v>7195</v>
      </c>
    </row>
    <row r="6664" spans="1:1">
      <c r="A6664" t="s">
        <v>7196</v>
      </c>
    </row>
    <row r="6665" spans="1:1">
      <c r="A6665" t="s">
        <v>7197</v>
      </c>
    </row>
    <row r="6666" spans="1:1">
      <c r="A6666" t="s">
        <v>7198</v>
      </c>
    </row>
    <row r="6667" spans="1:1">
      <c r="A6667" t="s">
        <v>7199</v>
      </c>
    </row>
    <row r="6668" spans="1:1">
      <c r="A6668" t="s">
        <v>7200</v>
      </c>
    </row>
    <row r="6669" spans="1:1">
      <c r="A6669" t="s">
        <v>7201</v>
      </c>
    </row>
    <row r="6670" spans="1:1">
      <c r="A6670" t="s">
        <v>7202</v>
      </c>
    </row>
    <row r="6671" spans="1:1">
      <c r="A6671" t="s">
        <v>7203</v>
      </c>
    </row>
    <row r="6672" spans="1:1">
      <c r="A6672" t="s">
        <v>7204</v>
      </c>
    </row>
    <row r="6673" spans="1:1">
      <c r="A6673" t="s">
        <v>7205</v>
      </c>
    </row>
    <row r="6674" spans="1:1">
      <c r="A6674" t="s">
        <v>7206</v>
      </c>
    </row>
    <row r="6675" spans="1:1">
      <c r="A6675" t="s">
        <v>7207</v>
      </c>
    </row>
    <row r="6676" spans="1:1">
      <c r="A6676" t="s">
        <v>7208</v>
      </c>
    </row>
    <row r="6677" spans="1:1">
      <c r="A6677" t="s">
        <v>7209</v>
      </c>
    </row>
    <row r="6678" spans="1:1">
      <c r="A6678" t="s">
        <v>7210</v>
      </c>
    </row>
    <row r="6679" spans="1:1">
      <c r="A6679" t="s">
        <v>7211</v>
      </c>
    </row>
    <row r="6680" spans="1:1">
      <c r="A6680" t="s">
        <v>7212</v>
      </c>
    </row>
    <row r="6681" spans="1:1">
      <c r="A6681" t="s">
        <v>7213</v>
      </c>
    </row>
    <row r="6682" spans="1:1">
      <c r="A6682" t="s">
        <v>7214</v>
      </c>
    </row>
    <row r="6683" spans="1:1">
      <c r="A6683" t="s">
        <v>7215</v>
      </c>
    </row>
    <row r="6684" spans="1:1">
      <c r="A6684" t="s">
        <v>7216</v>
      </c>
    </row>
    <row r="6685" spans="1:1">
      <c r="A6685" t="s">
        <v>7217</v>
      </c>
    </row>
    <row r="6686" spans="1:1">
      <c r="A6686" t="s">
        <v>7218</v>
      </c>
    </row>
    <row r="6687" spans="1:1">
      <c r="A6687" t="s">
        <v>7219</v>
      </c>
    </row>
    <row r="6688" spans="1:1">
      <c r="A6688" t="s">
        <v>7220</v>
      </c>
    </row>
    <row r="6689" spans="1:1">
      <c r="A6689" t="s">
        <v>7221</v>
      </c>
    </row>
    <row r="6690" spans="1:1">
      <c r="A6690" t="s">
        <v>7222</v>
      </c>
    </row>
    <row r="6691" spans="1:1">
      <c r="A6691" t="s">
        <v>7223</v>
      </c>
    </row>
    <row r="6692" spans="1:1">
      <c r="A6692" t="s">
        <v>7224</v>
      </c>
    </row>
    <row r="6693" spans="1:1">
      <c r="A6693" t="s">
        <v>7225</v>
      </c>
    </row>
    <row r="6694" spans="1:1">
      <c r="A6694" t="s">
        <v>7226</v>
      </c>
    </row>
    <row r="6695" spans="1:1">
      <c r="A6695" t="s">
        <v>7227</v>
      </c>
    </row>
    <row r="6696" spans="1:1">
      <c r="A6696" t="s">
        <v>7228</v>
      </c>
    </row>
    <row r="6697" spans="1:1">
      <c r="A6697" t="s">
        <v>7229</v>
      </c>
    </row>
    <row r="6698" spans="1:1">
      <c r="A6698" t="s">
        <v>7230</v>
      </c>
    </row>
    <row r="6699" spans="1:1">
      <c r="A6699" t="s">
        <v>7231</v>
      </c>
    </row>
    <row r="6700" spans="1:1">
      <c r="A6700" t="s">
        <v>7232</v>
      </c>
    </row>
    <row r="6701" spans="1:1">
      <c r="A6701" t="s">
        <v>7233</v>
      </c>
    </row>
    <row r="6702" spans="1:1">
      <c r="A6702" t="s">
        <v>7234</v>
      </c>
    </row>
    <row r="6703" spans="1:1">
      <c r="A6703" t="s">
        <v>7235</v>
      </c>
    </row>
    <row r="6704" spans="1:1">
      <c r="A6704" t="s">
        <v>7236</v>
      </c>
    </row>
    <row r="6705" spans="1:1">
      <c r="A6705" t="s">
        <v>7237</v>
      </c>
    </row>
    <row r="6706" spans="1:1">
      <c r="A6706" t="s">
        <v>7238</v>
      </c>
    </row>
    <row r="6707" spans="1:1">
      <c r="A6707" t="s">
        <v>7239</v>
      </c>
    </row>
    <row r="6708" spans="1:1">
      <c r="A6708" t="s">
        <v>7240</v>
      </c>
    </row>
    <row r="6709" spans="1:1">
      <c r="A6709" t="s">
        <v>7241</v>
      </c>
    </row>
    <row r="6710" spans="1:1">
      <c r="A6710" t="s">
        <v>7242</v>
      </c>
    </row>
    <row r="6711" spans="1:1">
      <c r="A6711" t="s">
        <v>7243</v>
      </c>
    </row>
    <row r="6712" spans="1:1">
      <c r="A6712" t="s">
        <v>7244</v>
      </c>
    </row>
    <row r="6713" spans="1:1">
      <c r="A6713" t="s">
        <v>7245</v>
      </c>
    </row>
    <row r="6714" spans="1:1">
      <c r="A6714" t="s">
        <v>7246</v>
      </c>
    </row>
    <row r="6715" spans="1:1">
      <c r="A6715" t="s">
        <v>7247</v>
      </c>
    </row>
    <row r="6716" spans="1:1">
      <c r="A6716" t="s">
        <v>7248</v>
      </c>
    </row>
    <row r="6717" spans="1:1">
      <c r="A6717" t="s">
        <v>7249</v>
      </c>
    </row>
    <row r="6718" spans="1:1">
      <c r="A6718" t="s">
        <v>7250</v>
      </c>
    </row>
    <row r="6719" spans="1:1">
      <c r="A6719" t="s">
        <v>7251</v>
      </c>
    </row>
    <row r="6720" spans="1:1">
      <c r="A6720" t="s">
        <v>7252</v>
      </c>
    </row>
    <row r="6721" spans="1:1">
      <c r="A6721" t="s">
        <v>7253</v>
      </c>
    </row>
    <row r="6722" spans="1:1">
      <c r="A6722" t="s">
        <v>7254</v>
      </c>
    </row>
    <row r="6723" spans="1:1">
      <c r="A6723" t="s">
        <v>7255</v>
      </c>
    </row>
    <row r="6724" spans="1:1">
      <c r="A6724" t="s">
        <v>7256</v>
      </c>
    </row>
    <row r="6725" spans="1:1">
      <c r="A6725" t="s">
        <v>7257</v>
      </c>
    </row>
    <row r="6726" spans="1:1">
      <c r="A6726" t="s">
        <v>7258</v>
      </c>
    </row>
    <row r="6727" spans="1:1">
      <c r="A6727" t="s">
        <v>7259</v>
      </c>
    </row>
    <row r="6728" spans="1:1">
      <c r="A6728" t="s">
        <v>7260</v>
      </c>
    </row>
    <row r="6729" spans="1:1">
      <c r="A6729" t="s">
        <v>7261</v>
      </c>
    </row>
    <row r="6730" spans="1:1">
      <c r="A6730" t="s">
        <v>7262</v>
      </c>
    </row>
    <row r="6731" spans="1:1">
      <c r="A6731" t="s">
        <v>7263</v>
      </c>
    </row>
    <row r="6732" spans="1:1">
      <c r="A6732" t="s">
        <v>7264</v>
      </c>
    </row>
    <row r="6733" spans="1:1">
      <c r="A6733" t="s">
        <v>7265</v>
      </c>
    </row>
    <row r="6734" spans="1:1">
      <c r="A6734" t="s">
        <v>7266</v>
      </c>
    </row>
    <row r="6735" spans="1:1">
      <c r="A6735" t="s">
        <v>7267</v>
      </c>
    </row>
    <row r="6736" spans="1:1">
      <c r="A6736" t="s">
        <v>7268</v>
      </c>
    </row>
    <row r="6737" spans="1:1">
      <c r="A6737" t="s">
        <v>7269</v>
      </c>
    </row>
    <row r="6738" spans="1:1">
      <c r="A6738" t="s">
        <v>7270</v>
      </c>
    </row>
    <row r="6739" spans="1:1">
      <c r="A6739" t="s">
        <v>7271</v>
      </c>
    </row>
    <row r="6740" spans="1:1">
      <c r="A6740" t="s">
        <v>7272</v>
      </c>
    </row>
    <row r="6741" spans="1:1">
      <c r="A6741" t="s">
        <v>7273</v>
      </c>
    </row>
    <row r="6742" spans="1:1">
      <c r="A6742" t="s">
        <v>7274</v>
      </c>
    </row>
    <row r="6743" spans="1:1">
      <c r="A6743" t="s">
        <v>7275</v>
      </c>
    </row>
    <row r="6744" spans="1:1">
      <c r="A6744" t="s">
        <v>7276</v>
      </c>
    </row>
    <row r="6745" spans="1:1">
      <c r="A6745" t="s">
        <v>7277</v>
      </c>
    </row>
    <row r="6746" spans="1:1">
      <c r="A6746" t="s">
        <v>7278</v>
      </c>
    </row>
    <row r="6747" spans="1:1">
      <c r="A6747" t="s">
        <v>7279</v>
      </c>
    </row>
    <row r="6748" spans="1:1">
      <c r="A6748" t="s">
        <v>7280</v>
      </c>
    </row>
    <row r="6749" spans="1:1">
      <c r="A6749" t="s">
        <v>7281</v>
      </c>
    </row>
    <row r="6750" spans="1:1">
      <c r="A6750" t="s">
        <v>7282</v>
      </c>
    </row>
    <row r="6751" spans="1:1">
      <c r="A6751" t="s">
        <v>7283</v>
      </c>
    </row>
    <row r="6752" spans="1:1">
      <c r="A6752" t="s">
        <v>7284</v>
      </c>
    </row>
    <row r="6753" spans="1:1">
      <c r="A6753" t="s">
        <v>7285</v>
      </c>
    </row>
    <row r="6754" spans="1:1">
      <c r="A6754" t="s">
        <v>7286</v>
      </c>
    </row>
    <row r="6755" spans="1:1">
      <c r="A6755" t="s">
        <v>7287</v>
      </c>
    </row>
    <row r="6756" spans="1:1">
      <c r="A6756" t="s">
        <v>7288</v>
      </c>
    </row>
    <row r="6757" spans="1:1">
      <c r="A6757" t="s">
        <v>7289</v>
      </c>
    </row>
    <row r="6758" spans="1:1">
      <c r="A6758" t="s">
        <v>7290</v>
      </c>
    </row>
    <row r="6759" spans="1:1">
      <c r="A6759" t="s">
        <v>7291</v>
      </c>
    </row>
    <row r="6760" spans="1:1">
      <c r="A6760" t="s">
        <v>7292</v>
      </c>
    </row>
    <row r="6761" spans="1:1">
      <c r="A6761" t="s">
        <v>7293</v>
      </c>
    </row>
    <row r="6762" spans="1:1">
      <c r="A6762" t="s">
        <v>7294</v>
      </c>
    </row>
    <row r="6763" spans="1:1">
      <c r="A6763" t="s">
        <v>7295</v>
      </c>
    </row>
    <row r="6764" spans="1:1">
      <c r="A6764" t="s">
        <v>7296</v>
      </c>
    </row>
    <row r="6765" spans="1:1">
      <c r="A6765" t="s">
        <v>7297</v>
      </c>
    </row>
    <row r="6766" spans="1:1">
      <c r="A6766" t="s">
        <v>7298</v>
      </c>
    </row>
    <row r="6767" spans="1:1">
      <c r="A6767" t="s">
        <v>7299</v>
      </c>
    </row>
    <row r="6768" spans="1:1">
      <c r="A6768" t="s">
        <v>7300</v>
      </c>
    </row>
    <row r="6769" spans="1:1">
      <c r="A6769" t="s">
        <v>7301</v>
      </c>
    </row>
    <row r="6770" spans="1:1">
      <c r="A6770" t="s">
        <v>7302</v>
      </c>
    </row>
    <row r="6771" spans="1:1">
      <c r="A6771" t="s">
        <v>7303</v>
      </c>
    </row>
    <row r="6772" spans="1:1">
      <c r="A6772" t="s">
        <v>7304</v>
      </c>
    </row>
    <row r="6773" spans="1:1">
      <c r="A6773" t="s">
        <v>7305</v>
      </c>
    </row>
    <row r="6774" spans="1:1">
      <c r="A6774" t="s">
        <v>7306</v>
      </c>
    </row>
    <row r="6775" spans="1:1">
      <c r="A6775" t="s">
        <v>7307</v>
      </c>
    </row>
    <row r="6776" spans="1:1">
      <c r="A6776" t="s">
        <v>7308</v>
      </c>
    </row>
    <row r="6777" spans="1:1">
      <c r="A6777" t="s">
        <v>7309</v>
      </c>
    </row>
    <row r="6778" spans="1:1">
      <c r="A6778" t="s">
        <v>7310</v>
      </c>
    </row>
    <row r="6779" spans="1:1">
      <c r="A6779" t="s">
        <v>7311</v>
      </c>
    </row>
    <row r="6780" spans="1:1">
      <c r="A6780" t="s">
        <v>7312</v>
      </c>
    </row>
    <row r="6781" spans="1:1">
      <c r="A6781" t="s">
        <v>7313</v>
      </c>
    </row>
    <row r="6782" spans="1:1">
      <c r="A6782" t="s">
        <v>7314</v>
      </c>
    </row>
    <row r="6783" spans="1:1">
      <c r="A6783" t="s">
        <v>7315</v>
      </c>
    </row>
    <row r="6784" spans="1:1">
      <c r="A6784" t="s">
        <v>7316</v>
      </c>
    </row>
    <row r="6785" spans="1:1">
      <c r="A6785" t="s">
        <v>7317</v>
      </c>
    </row>
    <row r="6786" spans="1:1">
      <c r="A6786" t="s">
        <v>7318</v>
      </c>
    </row>
    <row r="6787" spans="1:1">
      <c r="A6787" t="s">
        <v>7319</v>
      </c>
    </row>
    <row r="6788" spans="1:1">
      <c r="A6788" t="s">
        <v>7320</v>
      </c>
    </row>
    <row r="6789" spans="1:1">
      <c r="A6789" t="s">
        <v>7321</v>
      </c>
    </row>
    <row r="6790" spans="1:1">
      <c r="A6790" t="s">
        <v>7322</v>
      </c>
    </row>
    <row r="6791" spans="1:1">
      <c r="A6791" t="s">
        <v>7323</v>
      </c>
    </row>
    <row r="6792" spans="1:1">
      <c r="A6792" t="s">
        <v>7324</v>
      </c>
    </row>
    <row r="6793" spans="1:1">
      <c r="A6793" t="s">
        <v>7325</v>
      </c>
    </row>
    <row r="6794" spans="1:1">
      <c r="A6794" t="s">
        <v>7326</v>
      </c>
    </row>
    <row r="6795" spans="1:1">
      <c r="A6795" t="s">
        <v>7327</v>
      </c>
    </row>
    <row r="6796" spans="1:1">
      <c r="A6796" t="s">
        <v>7328</v>
      </c>
    </row>
    <row r="6797" spans="1:1">
      <c r="A6797" t="s">
        <v>7329</v>
      </c>
    </row>
    <row r="6798" spans="1:1">
      <c r="A6798" t="s">
        <v>7330</v>
      </c>
    </row>
    <row r="6799" spans="1:1">
      <c r="A6799" t="s">
        <v>7331</v>
      </c>
    </row>
    <row r="6800" spans="1:1">
      <c r="A6800" t="s">
        <v>7332</v>
      </c>
    </row>
    <row r="6801" spans="1:1">
      <c r="A6801" t="s">
        <v>7333</v>
      </c>
    </row>
    <row r="6802" spans="1:1">
      <c r="A6802" t="s">
        <v>7334</v>
      </c>
    </row>
    <row r="6803" spans="1:1">
      <c r="A6803" t="s">
        <v>7335</v>
      </c>
    </row>
    <row r="6804" spans="1:1">
      <c r="A6804" t="s">
        <v>7336</v>
      </c>
    </row>
    <row r="6805" spans="1:1">
      <c r="A6805" t="s">
        <v>7337</v>
      </c>
    </row>
    <row r="6806" spans="1:1">
      <c r="A6806" t="s">
        <v>7338</v>
      </c>
    </row>
    <row r="6807" spans="1:1">
      <c r="A6807" t="s">
        <v>7339</v>
      </c>
    </row>
    <row r="6808" spans="1:1">
      <c r="A6808" t="s">
        <v>7340</v>
      </c>
    </row>
    <row r="6809" spans="1:1">
      <c r="A6809" t="s">
        <v>7341</v>
      </c>
    </row>
    <row r="6810" spans="1:1">
      <c r="A6810" t="s">
        <v>7342</v>
      </c>
    </row>
    <row r="6811" spans="1:1">
      <c r="A6811" t="s">
        <v>7343</v>
      </c>
    </row>
    <row r="6812" spans="1:1">
      <c r="A6812" t="s">
        <v>7344</v>
      </c>
    </row>
    <row r="6813" spans="1:1">
      <c r="A6813" t="s">
        <v>7345</v>
      </c>
    </row>
    <row r="6814" spans="1:1">
      <c r="A6814" t="s">
        <v>7346</v>
      </c>
    </row>
    <row r="6815" spans="1:1">
      <c r="A6815" t="s">
        <v>7347</v>
      </c>
    </row>
    <row r="6816" spans="1:1">
      <c r="A6816" t="s">
        <v>7348</v>
      </c>
    </row>
    <row r="6817" spans="1:1">
      <c r="A6817" t="s">
        <v>7349</v>
      </c>
    </row>
    <row r="6818" spans="1:1">
      <c r="A6818" t="s">
        <v>7350</v>
      </c>
    </row>
    <row r="6819" spans="1:1">
      <c r="A6819" t="s">
        <v>7351</v>
      </c>
    </row>
    <row r="6820" spans="1:1">
      <c r="A6820" t="s">
        <v>7352</v>
      </c>
    </row>
    <row r="6821" spans="1:1">
      <c r="A6821" t="s">
        <v>7353</v>
      </c>
    </row>
    <row r="6822" spans="1:1">
      <c r="A6822" t="s">
        <v>7354</v>
      </c>
    </row>
    <row r="6823" spans="1:1">
      <c r="A6823" t="s">
        <v>7355</v>
      </c>
    </row>
    <row r="6824" spans="1:1">
      <c r="A6824" t="s">
        <v>7356</v>
      </c>
    </row>
    <row r="6825" spans="1:1">
      <c r="A6825" t="s">
        <v>7357</v>
      </c>
    </row>
    <row r="6826" spans="1:1">
      <c r="A6826" t="s">
        <v>7358</v>
      </c>
    </row>
    <row r="6827" spans="1:1">
      <c r="A6827" t="s">
        <v>7359</v>
      </c>
    </row>
    <row r="6828" spans="1:1">
      <c r="A6828" t="s">
        <v>7360</v>
      </c>
    </row>
    <row r="6829" spans="1:1">
      <c r="A6829" t="s">
        <v>7361</v>
      </c>
    </row>
    <row r="6830" spans="1:1">
      <c r="A6830" t="s">
        <v>7362</v>
      </c>
    </row>
    <row r="6831" spans="1:1">
      <c r="A6831" t="s">
        <v>7363</v>
      </c>
    </row>
    <row r="6832" spans="1:1">
      <c r="A6832" t="s">
        <v>7364</v>
      </c>
    </row>
    <row r="6833" spans="1:1">
      <c r="A6833" t="s">
        <v>7365</v>
      </c>
    </row>
    <row r="6834" spans="1:1">
      <c r="A6834" t="s">
        <v>7366</v>
      </c>
    </row>
    <row r="6835" spans="1:1">
      <c r="A6835" t="s">
        <v>7367</v>
      </c>
    </row>
    <row r="6836" spans="1:1">
      <c r="A6836" t="s">
        <v>7368</v>
      </c>
    </row>
    <row r="6837" spans="1:1">
      <c r="A6837" t="s">
        <v>7369</v>
      </c>
    </row>
    <row r="6838" spans="1:1">
      <c r="A6838" t="s">
        <v>7370</v>
      </c>
    </row>
    <row r="6839" spans="1:1">
      <c r="A6839" t="s">
        <v>7371</v>
      </c>
    </row>
    <row r="6840" spans="1:1">
      <c r="A6840" t="s">
        <v>7372</v>
      </c>
    </row>
    <row r="6841" spans="1:1">
      <c r="A6841" t="s">
        <v>7373</v>
      </c>
    </row>
    <row r="6842" spans="1:1">
      <c r="A6842" t="s">
        <v>7374</v>
      </c>
    </row>
    <row r="6843" spans="1:1">
      <c r="A6843" t="s">
        <v>7375</v>
      </c>
    </row>
    <row r="6844" spans="1:1">
      <c r="A6844" t="s">
        <v>7376</v>
      </c>
    </row>
    <row r="6845" spans="1:1">
      <c r="A6845" t="s">
        <v>7377</v>
      </c>
    </row>
    <row r="6846" spans="1:1">
      <c r="A6846" t="s">
        <v>7378</v>
      </c>
    </row>
    <row r="6847" spans="1:1">
      <c r="A6847" t="s">
        <v>7379</v>
      </c>
    </row>
    <row r="6848" spans="1:1">
      <c r="A6848" t="s">
        <v>7380</v>
      </c>
    </row>
    <row r="6849" spans="1:1">
      <c r="A6849" t="s">
        <v>7381</v>
      </c>
    </row>
    <row r="6850" spans="1:1">
      <c r="A6850" t="s">
        <v>7382</v>
      </c>
    </row>
    <row r="6851" spans="1:1">
      <c r="A6851" t="s">
        <v>7383</v>
      </c>
    </row>
    <row r="6852" spans="1:1">
      <c r="A6852" t="s">
        <v>7384</v>
      </c>
    </row>
    <row r="6853" spans="1:1">
      <c r="A6853" t="s">
        <v>7385</v>
      </c>
    </row>
    <row r="6854" spans="1:1">
      <c r="A6854" t="s">
        <v>7386</v>
      </c>
    </row>
    <row r="6855" spans="1:1">
      <c r="A6855" t="s">
        <v>7387</v>
      </c>
    </row>
    <row r="6856" spans="1:1">
      <c r="A6856" t="s">
        <v>7388</v>
      </c>
    </row>
    <row r="6857" spans="1:1">
      <c r="A6857" t="s">
        <v>7389</v>
      </c>
    </row>
    <row r="6858" spans="1:1">
      <c r="A6858" t="s">
        <v>7390</v>
      </c>
    </row>
    <row r="6859" spans="1:1">
      <c r="A6859" t="s">
        <v>7391</v>
      </c>
    </row>
    <row r="6860" spans="1:1">
      <c r="A6860" t="s">
        <v>7392</v>
      </c>
    </row>
    <row r="6861" spans="1:1">
      <c r="A6861" t="s">
        <v>7393</v>
      </c>
    </row>
    <row r="6862" spans="1:1">
      <c r="A6862" t="s">
        <v>7394</v>
      </c>
    </row>
    <row r="6863" spans="1:1">
      <c r="A6863" t="s">
        <v>7395</v>
      </c>
    </row>
    <row r="6864" spans="1:1">
      <c r="A6864" t="s">
        <v>7396</v>
      </c>
    </row>
    <row r="6865" spans="1:1">
      <c r="A6865" t="s">
        <v>7397</v>
      </c>
    </row>
    <row r="6866" spans="1:1">
      <c r="A6866" t="s">
        <v>7398</v>
      </c>
    </row>
    <row r="6867" spans="1:1">
      <c r="A6867" t="s">
        <v>7399</v>
      </c>
    </row>
    <row r="6868" spans="1:1">
      <c r="A6868" t="s">
        <v>7400</v>
      </c>
    </row>
    <row r="6869" spans="1:1">
      <c r="A6869" t="s">
        <v>7401</v>
      </c>
    </row>
    <row r="6870" spans="1:1">
      <c r="A6870" t="s">
        <v>7402</v>
      </c>
    </row>
    <row r="6871" spans="1:1">
      <c r="A6871" t="s">
        <v>7403</v>
      </c>
    </row>
    <row r="6872" spans="1:1">
      <c r="A6872" t="s">
        <v>7404</v>
      </c>
    </row>
    <row r="6873" spans="1:1">
      <c r="A6873" t="s">
        <v>7405</v>
      </c>
    </row>
    <row r="6874" spans="1:1">
      <c r="A6874" t="s">
        <v>7406</v>
      </c>
    </row>
    <row r="6875" spans="1:1">
      <c r="A6875" t="s">
        <v>7407</v>
      </c>
    </row>
    <row r="6876" spans="1:1">
      <c r="A6876" t="s">
        <v>7408</v>
      </c>
    </row>
    <row r="6877" spans="1:1">
      <c r="A6877" t="s">
        <v>7409</v>
      </c>
    </row>
    <row r="6878" spans="1:1">
      <c r="A6878" t="s">
        <v>7410</v>
      </c>
    </row>
    <row r="6879" spans="1:1">
      <c r="A6879" t="s">
        <v>7411</v>
      </c>
    </row>
    <row r="6880" spans="1:1">
      <c r="A6880" t="s">
        <v>7412</v>
      </c>
    </row>
    <row r="6881" spans="1:1">
      <c r="A6881" t="s">
        <v>7413</v>
      </c>
    </row>
    <row r="6882" spans="1:1">
      <c r="A6882" t="s">
        <v>7414</v>
      </c>
    </row>
    <row r="6883" spans="1:1">
      <c r="A6883" t="s">
        <v>7415</v>
      </c>
    </row>
    <row r="6884" spans="1:1">
      <c r="A6884" t="s">
        <v>7416</v>
      </c>
    </row>
    <row r="6885" spans="1:1">
      <c r="A6885" t="s">
        <v>7417</v>
      </c>
    </row>
    <row r="6886" spans="1:1">
      <c r="A6886" t="s">
        <v>7418</v>
      </c>
    </row>
    <row r="6887" spans="1:1">
      <c r="A6887" t="s">
        <v>7419</v>
      </c>
    </row>
    <row r="6888" spans="1:1">
      <c r="A6888" t="s">
        <v>7420</v>
      </c>
    </row>
    <row r="6889" spans="1:1">
      <c r="A6889" t="s">
        <v>7421</v>
      </c>
    </row>
    <row r="6890" spans="1:1">
      <c r="A6890" t="s">
        <v>7422</v>
      </c>
    </row>
    <row r="6891" spans="1:1">
      <c r="A6891" t="s">
        <v>7423</v>
      </c>
    </row>
    <row r="6892" spans="1:1">
      <c r="A6892" t="s">
        <v>7424</v>
      </c>
    </row>
    <row r="6893" spans="1:1">
      <c r="A6893" t="s">
        <v>7425</v>
      </c>
    </row>
    <row r="6894" spans="1:1">
      <c r="A6894" t="s">
        <v>7426</v>
      </c>
    </row>
    <row r="6895" spans="1:1">
      <c r="A6895" t="s">
        <v>7427</v>
      </c>
    </row>
    <row r="6896" spans="1:1">
      <c r="A6896" t="s">
        <v>7428</v>
      </c>
    </row>
    <row r="6897" spans="1:1">
      <c r="A6897" t="s">
        <v>7429</v>
      </c>
    </row>
    <row r="6898" spans="1:1">
      <c r="A6898" t="s">
        <v>7430</v>
      </c>
    </row>
    <row r="6899" spans="1:1">
      <c r="A6899" t="s">
        <v>7431</v>
      </c>
    </row>
    <row r="6900" spans="1:1">
      <c r="A6900" t="s">
        <v>7432</v>
      </c>
    </row>
    <row r="6901" spans="1:1">
      <c r="A6901" t="s">
        <v>7433</v>
      </c>
    </row>
    <row r="6902" spans="1:1">
      <c r="A6902" t="s">
        <v>7434</v>
      </c>
    </row>
    <row r="6903" spans="1:1">
      <c r="A6903" t="s">
        <v>7435</v>
      </c>
    </row>
    <row r="6904" spans="1:1">
      <c r="A6904" t="s">
        <v>7436</v>
      </c>
    </row>
    <row r="6905" spans="1:1">
      <c r="A6905" t="s">
        <v>7437</v>
      </c>
    </row>
    <row r="6906" spans="1:1">
      <c r="A6906" t="s">
        <v>7438</v>
      </c>
    </row>
    <row r="6907" spans="1:1">
      <c r="A6907" t="s">
        <v>7439</v>
      </c>
    </row>
    <row r="6908" spans="1:1">
      <c r="A6908" t="s">
        <v>7440</v>
      </c>
    </row>
    <row r="6909" spans="1:1">
      <c r="A6909" t="s">
        <v>7441</v>
      </c>
    </row>
    <row r="6910" spans="1:1">
      <c r="A6910" t="s">
        <v>7442</v>
      </c>
    </row>
    <row r="6911" spans="1:1">
      <c r="A6911" t="s">
        <v>7443</v>
      </c>
    </row>
    <row r="6912" spans="1:1">
      <c r="A6912" t="s">
        <v>7444</v>
      </c>
    </row>
    <row r="6913" spans="1:1">
      <c r="A6913" t="s">
        <v>7445</v>
      </c>
    </row>
    <row r="6914" spans="1:1">
      <c r="A6914" t="s">
        <v>7446</v>
      </c>
    </row>
    <row r="6915" spans="1:1">
      <c r="A6915" t="s">
        <v>7447</v>
      </c>
    </row>
    <row r="6916" spans="1:1">
      <c r="A6916" t="s">
        <v>7448</v>
      </c>
    </row>
    <row r="6917" spans="1:1">
      <c r="A6917" t="s">
        <v>7449</v>
      </c>
    </row>
    <row r="6918" spans="1:1">
      <c r="A6918" t="s">
        <v>7450</v>
      </c>
    </row>
    <row r="6919" spans="1:1">
      <c r="A6919" t="s">
        <v>7451</v>
      </c>
    </row>
    <row r="6920" spans="1:1">
      <c r="A6920" t="s">
        <v>7452</v>
      </c>
    </row>
    <row r="6921" spans="1:1">
      <c r="A6921" t="s">
        <v>7453</v>
      </c>
    </row>
    <row r="6922" spans="1:1">
      <c r="A6922" t="s">
        <v>7454</v>
      </c>
    </row>
    <row r="6923" spans="1:1">
      <c r="A6923" t="s">
        <v>7455</v>
      </c>
    </row>
    <row r="6924" spans="1:1">
      <c r="A6924" t="s">
        <v>7456</v>
      </c>
    </row>
    <row r="6925" spans="1:1">
      <c r="A6925" t="s">
        <v>7457</v>
      </c>
    </row>
    <row r="6926" spans="1:1">
      <c r="A6926" t="s">
        <v>7458</v>
      </c>
    </row>
    <row r="6927" spans="1:1">
      <c r="A6927" t="s">
        <v>7459</v>
      </c>
    </row>
    <row r="6928" spans="1:1">
      <c r="A6928" t="s">
        <v>7460</v>
      </c>
    </row>
    <row r="6929" spans="1:1">
      <c r="A6929" t="s">
        <v>7461</v>
      </c>
    </row>
    <row r="6930" spans="1:1">
      <c r="A6930" t="s">
        <v>7462</v>
      </c>
    </row>
    <row r="6931" spans="1:1">
      <c r="A6931" t="s">
        <v>7463</v>
      </c>
    </row>
    <row r="6932" spans="1:1">
      <c r="A6932" t="s">
        <v>7464</v>
      </c>
    </row>
    <row r="6933" spans="1:1">
      <c r="A6933" t="s">
        <v>7465</v>
      </c>
    </row>
    <row r="6934" spans="1:1">
      <c r="A6934" t="s">
        <v>7466</v>
      </c>
    </row>
    <row r="6935" spans="1:1">
      <c r="A6935" t="s">
        <v>7467</v>
      </c>
    </row>
    <row r="6936" spans="1:1">
      <c r="A6936" t="s">
        <v>7468</v>
      </c>
    </row>
    <row r="6937" spans="1:1">
      <c r="A6937" t="s">
        <v>7469</v>
      </c>
    </row>
    <row r="6938" spans="1:1">
      <c r="A6938" t="s">
        <v>7470</v>
      </c>
    </row>
    <row r="6939" spans="1:1">
      <c r="A6939" t="s">
        <v>7471</v>
      </c>
    </row>
    <row r="6940" spans="1:1">
      <c r="A6940" t="s">
        <v>7472</v>
      </c>
    </row>
    <row r="6941" spans="1:1">
      <c r="A6941" t="s">
        <v>7473</v>
      </c>
    </row>
    <row r="6942" spans="1:1">
      <c r="A6942" t="s">
        <v>7474</v>
      </c>
    </row>
    <row r="6943" spans="1:1">
      <c r="A6943" t="s">
        <v>7475</v>
      </c>
    </row>
    <row r="6944" spans="1:1">
      <c r="A6944" t="s">
        <v>7476</v>
      </c>
    </row>
    <row r="6945" spans="1:1">
      <c r="A6945" t="s">
        <v>7477</v>
      </c>
    </row>
    <row r="6946" spans="1:1">
      <c r="A6946" t="s">
        <v>7478</v>
      </c>
    </row>
    <row r="6947" spans="1:1">
      <c r="A6947" t="s">
        <v>7479</v>
      </c>
    </row>
    <row r="6948" spans="1:1">
      <c r="A6948" t="s">
        <v>7480</v>
      </c>
    </row>
    <row r="6949" spans="1:1">
      <c r="A6949" t="s">
        <v>7481</v>
      </c>
    </row>
    <row r="6950" spans="1:1">
      <c r="A6950" t="s">
        <v>7482</v>
      </c>
    </row>
    <row r="6951" spans="1:1">
      <c r="A6951" t="s">
        <v>7483</v>
      </c>
    </row>
    <row r="6952" spans="1:1">
      <c r="A6952" t="s">
        <v>7484</v>
      </c>
    </row>
    <row r="6953" spans="1:1">
      <c r="A6953" t="s">
        <v>7485</v>
      </c>
    </row>
    <row r="6954" spans="1:1">
      <c r="A6954" t="s">
        <v>7486</v>
      </c>
    </row>
    <row r="6955" spans="1:1">
      <c r="A6955" t="s">
        <v>7487</v>
      </c>
    </row>
    <row r="6956" spans="1:1">
      <c r="A6956" t="s">
        <v>7488</v>
      </c>
    </row>
    <row r="6957" spans="1:1">
      <c r="A6957" t="s">
        <v>7489</v>
      </c>
    </row>
    <row r="6958" spans="1:1">
      <c r="A6958" t="s">
        <v>7490</v>
      </c>
    </row>
    <row r="6959" spans="1:1">
      <c r="A6959" t="s">
        <v>7491</v>
      </c>
    </row>
    <row r="6960" spans="1:1">
      <c r="A6960" t="s">
        <v>7492</v>
      </c>
    </row>
    <row r="6961" spans="1:1">
      <c r="A6961" t="s">
        <v>7493</v>
      </c>
    </row>
    <row r="6962" spans="1:1">
      <c r="A6962" t="s">
        <v>7494</v>
      </c>
    </row>
    <row r="6963" spans="1:1">
      <c r="A6963" t="s">
        <v>7495</v>
      </c>
    </row>
    <row r="6964" spans="1:1">
      <c r="A6964" t="s">
        <v>7496</v>
      </c>
    </row>
    <row r="6965" spans="1:1">
      <c r="A6965" t="s">
        <v>7497</v>
      </c>
    </row>
    <row r="6966" spans="1:1">
      <c r="A6966" t="s">
        <v>7498</v>
      </c>
    </row>
    <row r="6967" spans="1:1">
      <c r="A6967" t="s">
        <v>7499</v>
      </c>
    </row>
    <row r="6968" spans="1:1">
      <c r="A6968" t="s">
        <v>7500</v>
      </c>
    </row>
    <row r="6969" spans="1:1">
      <c r="A6969" t="s">
        <v>7501</v>
      </c>
    </row>
    <row r="6970" spans="1:1">
      <c r="A6970" t="s">
        <v>7502</v>
      </c>
    </row>
    <row r="6971" spans="1:1">
      <c r="A6971" t="s">
        <v>7503</v>
      </c>
    </row>
    <row r="6972" spans="1:1">
      <c r="A6972" t="s">
        <v>7504</v>
      </c>
    </row>
    <row r="6973" spans="1:1">
      <c r="A6973" t="s">
        <v>7505</v>
      </c>
    </row>
    <row r="6974" spans="1:1">
      <c r="A6974" t="s">
        <v>7506</v>
      </c>
    </row>
    <row r="6975" spans="1:1">
      <c r="A6975" t="s">
        <v>7507</v>
      </c>
    </row>
    <row r="6976" spans="1:1">
      <c r="A6976" t="s">
        <v>7508</v>
      </c>
    </row>
    <row r="6977" spans="1:1">
      <c r="A6977" t="s">
        <v>7509</v>
      </c>
    </row>
    <row r="6978" spans="1:1">
      <c r="A6978" t="s">
        <v>7510</v>
      </c>
    </row>
    <row r="6979" spans="1:1">
      <c r="A6979" t="s">
        <v>7511</v>
      </c>
    </row>
    <row r="6980" spans="1:1">
      <c r="A6980" t="s">
        <v>7512</v>
      </c>
    </row>
    <row r="6981" spans="1:1">
      <c r="A6981" t="s">
        <v>7513</v>
      </c>
    </row>
    <row r="6982" spans="1:1">
      <c r="A6982" t="s">
        <v>7514</v>
      </c>
    </row>
    <row r="6983" spans="1:1">
      <c r="A6983" t="s">
        <v>7515</v>
      </c>
    </row>
    <row r="6984" spans="1:1">
      <c r="A6984" t="s">
        <v>7516</v>
      </c>
    </row>
    <row r="6985" spans="1:1">
      <c r="A6985" t="s">
        <v>7517</v>
      </c>
    </row>
    <row r="6986" spans="1:1">
      <c r="A6986" t="s">
        <v>7518</v>
      </c>
    </row>
    <row r="6987" spans="1:1">
      <c r="A6987" t="s">
        <v>7519</v>
      </c>
    </row>
    <row r="6988" spans="1:1">
      <c r="A6988" t="s">
        <v>7520</v>
      </c>
    </row>
    <row r="6989" spans="1:1">
      <c r="A6989" t="s">
        <v>7521</v>
      </c>
    </row>
    <row r="6990" spans="1:1">
      <c r="A6990" t="s">
        <v>7522</v>
      </c>
    </row>
    <row r="6991" spans="1:1">
      <c r="A6991" t="s">
        <v>7523</v>
      </c>
    </row>
    <row r="6992" spans="1:1">
      <c r="A6992" t="s">
        <v>7524</v>
      </c>
    </row>
    <row r="6993" spans="1:1">
      <c r="A6993" t="s">
        <v>7525</v>
      </c>
    </row>
    <row r="6994" spans="1:1">
      <c r="A6994" t="s">
        <v>7526</v>
      </c>
    </row>
    <row r="6995" spans="1:1">
      <c r="A6995" t="s">
        <v>7527</v>
      </c>
    </row>
    <row r="6996" spans="1:1">
      <c r="A6996" t="s">
        <v>7528</v>
      </c>
    </row>
    <row r="6997" spans="1:1">
      <c r="A6997" t="s">
        <v>7529</v>
      </c>
    </row>
    <row r="6998" spans="1:1">
      <c r="A6998" t="s">
        <v>7530</v>
      </c>
    </row>
    <row r="6999" spans="1:1">
      <c r="A6999" t="s">
        <v>7531</v>
      </c>
    </row>
    <row r="7000" spans="1:1">
      <c r="A7000" t="s">
        <v>7532</v>
      </c>
    </row>
    <row r="7001" spans="1:1">
      <c r="A7001" t="s">
        <v>7533</v>
      </c>
    </row>
    <row r="7002" spans="1:1">
      <c r="A7002" t="s">
        <v>7534</v>
      </c>
    </row>
    <row r="7003" spans="1:1">
      <c r="A7003" t="s">
        <v>7535</v>
      </c>
    </row>
    <row r="7004" spans="1:1">
      <c r="A7004" t="s">
        <v>7536</v>
      </c>
    </row>
    <row r="7005" spans="1:1">
      <c r="A7005" t="s">
        <v>7537</v>
      </c>
    </row>
    <row r="7006" spans="1:1">
      <c r="A7006" t="s">
        <v>7538</v>
      </c>
    </row>
    <row r="7007" spans="1:1">
      <c r="A7007" t="s">
        <v>7539</v>
      </c>
    </row>
    <row r="7008" spans="1:1">
      <c r="A7008" t="s">
        <v>7540</v>
      </c>
    </row>
    <row r="7009" spans="1:1">
      <c r="A7009" t="s">
        <v>7541</v>
      </c>
    </row>
    <row r="7010" spans="1:1">
      <c r="A7010" t="s">
        <v>7542</v>
      </c>
    </row>
    <row r="7011" spans="1:1">
      <c r="A7011" t="s">
        <v>7543</v>
      </c>
    </row>
    <row r="7012" spans="1:1">
      <c r="A7012" t="s">
        <v>7544</v>
      </c>
    </row>
    <row r="7013" spans="1:1">
      <c r="A7013" t="s">
        <v>7545</v>
      </c>
    </row>
    <row r="7014" spans="1:1">
      <c r="A7014" t="s">
        <v>7546</v>
      </c>
    </row>
    <row r="7015" spans="1:1">
      <c r="A7015" t="s">
        <v>7547</v>
      </c>
    </row>
    <row r="7016" spans="1:1">
      <c r="A7016" t="s">
        <v>7548</v>
      </c>
    </row>
    <row r="7017" spans="1:1">
      <c r="A7017" t="s">
        <v>7549</v>
      </c>
    </row>
    <row r="7018" spans="1:1">
      <c r="A7018" t="s">
        <v>7550</v>
      </c>
    </row>
    <row r="7019" spans="1:1">
      <c r="A7019" t="s">
        <v>7551</v>
      </c>
    </row>
    <row r="7020" spans="1:1">
      <c r="A7020" t="s">
        <v>7552</v>
      </c>
    </row>
    <row r="7021" spans="1:1">
      <c r="A7021" t="s">
        <v>7553</v>
      </c>
    </row>
    <row r="7022" spans="1:1">
      <c r="A7022" t="s">
        <v>7554</v>
      </c>
    </row>
    <row r="7023" spans="1:1">
      <c r="A7023" t="s">
        <v>7555</v>
      </c>
    </row>
    <row r="7024" spans="1:1">
      <c r="A7024" t="s">
        <v>7556</v>
      </c>
    </row>
    <row r="7025" spans="1:1">
      <c r="A7025" t="s">
        <v>7557</v>
      </c>
    </row>
    <row r="7026" spans="1:1">
      <c r="A7026" t="s">
        <v>7558</v>
      </c>
    </row>
    <row r="7027" spans="1:1">
      <c r="A7027" t="s">
        <v>7559</v>
      </c>
    </row>
    <row r="7028" spans="1:1">
      <c r="A7028" t="s">
        <v>7560</v>
      </c>
    </row>
    <row r="7029" spans="1:1">
      <c r="A7029" t="s">
        <v>7561</v>
      </c>
    </row>
    <row r="7030" spans="1:1">
      <c r="A7030" t="s">
        <v>7562</v>
      </c>
    </row>
    <row r="7031" spans="1:1">
      <c r="A7031" t="s">
        <v>7563</v>
      </c>
    </row>
    <row r="7032" spans="1:1">
      <c r="A7032" t="s">
        <v>7564</v>
      </c>
    </row>
    <row r="7033" spans="1:1">
      <c r="A7033" t="s">
        <v>7565</v>
      </c>
    </row>
    <row r="7034" spans="1:1">
      <c r="A7034" t="s">
        <v>7566</v>
      </c>
    </row>
    <row r="7035" spans="1:1">
      <c r="A7035" t="s">
        <v>7567</v>
      </c>
    </row>
    <row r="7036" spans="1:1">
      <c r="A7036" t="s">
        <v>7568</v>
      </c>
    </row>
    <row r="7037" spans="1:1">
      <c r="A7037" t="s">
        <v>7569</v>
      </c>
    </row>
    <row r="7038" spans="1:1">
      <c r="A7038" t="s">
        <v>7570</v>
      </c>
    </row>
    <row r="7039" spans="1:1">
      <c r="A7039" t="s">
        <v>7571</v>
      </c>
    </row>
    <row r="7040" spans="1:1">
      <c r="A7040" t="s">
        <v>7572</v>
      </c>
    </row>
    <row r="7041" spans="1:1">
      <c r="A7041" t="s">
        <v>7573</v>
      </c>
    </row>
    <row r="7042" spans="1:1">
      <c r="A7042" t="s">
        <v>7574</v>
      </c>
    </row>
    <row r="7043" spans="1:1">
      <c r="A7043" t="s">
        <v>7575</v>
      </c>
    </row>
    <row r="7044" spans="1:1">
      <c r="A7044" t="s">
        <v>7576</v>
      </c>
    </row>
    <row r="7045" spans="1:1">
      <c r="A7045" t="s">
        <v>7577</v>
      </c>
    </row>
    <row r="7046" spans="1:1">
      <c r="A7046" t="s">
        <v>7578</v>
      </c>
    </row>
    <row r="7047" spans="1:1">
      <c r="A7047" t="s">
        <v>7579</v>
      </c>
    </row>
    <row r="7048" spans="1:1">
      <c r="A7048" t="s">
        <v>7580</v>
      </c>
    </row>
    <row r="7049" spans="1:1">
      <c r="A7049" t="s">
        <v>7581</v>
      </c>
    </row>
    <row r="7050" spans="1:1">
      <c r="A7050" t="s">
        <v>7582</v>
      </c>
    </row>
    <row r="7051" spans="1:1">
      <c r="A7051" t="s">
        <v>7583</v>
      </c>
    </row>
    <row r="7052" spans="1:1">
      <c r="A7052" t="s">
        <v>7584</v>
      </c>
    </row>
    <row r="7053" spans="1:1">
      <c r="A7053" t="s">
        <v>7585</v>
      </c>
    </row>
    <row r="7054" spans="1:1">
      <c r="A7054" t="s">
        <v>7586</v>
      </c>
    </row>
    <row r="7055" spans="1:1">
      <c r="A7055" t="s">
        <v>7587</v>
      </c>
    </row>
    <row r="7056" spans="1:1">
      <c r="A7056" t="s">
        <v>7588</v>
      </c>
    </row>
    <row r="7057" spans="1:1">
      <c r="A7057" t="s">
        <v>7589</v>
      </c>
    </row>
    <row r="7058" spans="1:1">
      <c r="A7058" t="s">
        <v>7590</v>
      </c>
    </row>
    <row r="7059" spans="1:1">
      <c r="A7059" t="s">
        <v>7591</v>
      </c>
    </row>
    <row r="7060" spans="1:1">
      <c r="A7060" t="s">
        <v>7592</v>
      </c>
    </row>
    <row r="7061" spans="1:1">
      <c r="A7061" t="s">
        <v>7593</v>
      </c>
    </row>
    <row r="7062" spans="1:1">
      <c r="A7062" t="s">
        <v>7594</v>
      </c>
    </row>
    <row r="7063" spans="1:1">
      <c r="A7063" t="s">
        <v>7595</v>
      </c>
    </row>
    <row r="7064" spans="1:1">
      <c r="A7064" t="s">
        <v>7596</v>
      </c>
    </row>
    <row r="7065" spans="1:1">
      <c r="A7065" t="s">
        <v>7597</v>
      </c>
    </row>
    <row r="7066" spans="1:1">
      <c r="A7066" t="s">
        <v>7598</v>
      </c>
    </row>
    <row r="7067" spans="1:1">
      <c r="A7067" t="s">
        <v>7599</v>
      </c>
    </row>
    <row r="7068" spans="1:1">
      <c r="A7068" t="s">
        <v>7600</v>
      </c>
    </row>
    <row r="7069" spans="1:1">
      <c r="A7069" t="s">
        <v>7601</v>
      </c>
    </row>
    <row r="7070" spans="1:1">
      <c r="A7070" t="s">
        <v>7602</v>
      </c>
    </row>
    <row r="7071" spans="1:1">
      <c r="A7071" t="s">
        <v>7603</v>
      </c>
    </row>
    <row r="7072" spans="1:1">
      <c r="A7072" t="s">
        <v>7604</v>
      </c>
    </row>
    <row r="7073" spans="1:1">
      <c r="A7073" t="s">
        <v>7605</v>
      </c>
    </row>
    <row r="7074" spans="1:1">
      <c r="A7074" t="s">
        <v>7606</v>
      </c>
    </row>
    <row r="7075" spans="1:1">
      <c r="A7075" t="s">
        <v>7607</v>
      </c>
    </row>
    <row r="7076" spans="1:1">
      <c r="A7076" t="s">
        <v>7608</v>
      </c>
    </row>
    <row r="7077" spans="1:1">
      <c r="A7077" t="s">
        <v>7609</v>
      </c>
    </row>
    <row r="7078" spans="1:1">
      <c r="A7078" t="s">
        <v>7610</v>
      </c>
    </row>
    <row r="7079" spans="1:1">
      <c r="A7079" t="s">
        <v>7611</v>
      </c>
    </row>
    <row r="7080" spans="1:1">
      <c r="A7080" t="s">
        <v>7612</v>
      </c>
    </row>
    <row r="7081" spans="1:1">
      <c r="A7081" t="s">
        <v>7613</v>
      </c>
    </row>
    <row r="7082" spans="1:1">
      <c r="A7082" t="s">
        <v>7614</v>
      </c>
    </row>
    <row r="7083" spans="1:1">
      <c r="A7083" t="s">
        <v>7615</v>
      </c>
    </row>
    <row r="7084" spans="1:1">
      <c r="A7084" t="s">
        <v>7616</v>
      </c>
    </row>
    <row r="7085" spans="1:1">
      <c r="A7085" t="s">
        <v>7617</v>
      </c>
    </row>
    <row r="7086" spans="1:1">
      <c r="A7086" t="s">
        <v>7618</v>
      </c>
    </row>
    <row r="7087" spans="1:1">
      <c r="A7087" t="s">
        <v>7619</v>
      </c>
    </row>
    <row r="7088" spans="1:1">
      <c r="A7088" t="s">
        <v>7620</v>
      </c>
    </row>
    <row r="7089" spans="1:1">
      <c r="A7089" t="s">
        <v>7621</v>
      </c>
    </row>
    <row r="7090" spans="1:1">
      <c r="A7090" t="s">
        <v>7622</v>
      </c>
    </row>
    <row r="7091" spans="1:1">
      <c r="A7091" t="s">
        <v>7623</v>
      </c>
    </row>
    <row r="7092" spans="1:1">
      <c r="A7092" t="s">
        <v>7624</v>
      </c>
    </row>
    <row r="7093" spans="1:1">
      <c r="A7093" t="s">
        <v>7625</v>
      </c>
    </row>
    <row r="7094" spans="1:1">
      <c r="A7094" t="s">
        <v>7626</v>
      </c>
    </row>
    <row r="7095" spans="1:1">
      <c r="A7095" t="s">
        <v>7627</v>
      </c>
    </row>
    <row r="7096" spans="1:1">
      <c r="A7096" t="s">
        <v>7628</v>
      </c>
    </row>
    <row r="7097" spans="1:1">
      <c r="A7097" t="s">
        <v>7629</v>
      </c>
    </row>
    <row r="7098" spans="1:1">
      <c r="A7098" t="s">
        <v>7630</v>
      </c>
    </row>
    <row r="7099" spans="1:1">
      <c r="A7099" t="s">
        <v>7631</v>
      </c>
    </row>
    <row r="7100" spans="1:1">
      <c r="A7100" t="s">
        <v>7632</v>
      </c>
    </row>
    <row r="7101" spans="1:1">
      <c r="A7101" t="s">
        <v>7633</v>
      </c>
    </row>
    <row r="7102" spans="1:1">
      <c r="A7102" t="s">
        <v>7634</v>
      </c>
    </row>
    <row r="7103" spans="1:1">
      <c r="A7103" t="s">
        <v>7635</v>
      </c>
    </row>
    <row r="7104" spans="1:1">
      <c r="A7104" t="s">
        <v>7636</v>
      </c>
    </row>
    <row r="7105" spans="1:1">
      <c r="A7105" t="s">
        <v>7637</v>
      </c>
    </row>
    <row r="7106" spans="1:1">
      <c r="A7106" t="s">
        <v>7638</v>
      </c>
    </row>
    <row r="7107" spans="1:1">
      <c r="A7107" t="s">
        <v>7639</v>
      </c>
    </row>
    <row r="7108" spans="1:1">
      <c r="A7108" t="s">
        <v>7640</v>
      </c>
    </row>
    <row r="7109" spans="1:1">
      <c r="A7109" t="s">
        <v>7641</v>
      </c>
    </row>
    <row r="7110" spans="1:1">
      <c r="A7110" t="s">
        <v>7642</v>
      </c>
    </row>
    <row r="7111" spans="1:1">
      <c r="A7111" t="s">
        <v>7643</v>
      </c>
    </row>
    <row r="7112" spans="1:1">
      <c r="A7112" t="s">
        <v>7644</v>
      </c>
    </row>
    <row r="7113" spans="1:1">
      <c r="A7113" t="s">
        <v>7645</v>
      </c>
    </row>
    <row r="7114" spans="1:1">
      <c r="A7114" t="s">
        <v>7646</v>
      </c>
    </row>
    <row r="7115" spans="1:1">
      <c r="A7115" t="s">
        <v>7647</v>
      </c>
    </row>
    <row r="7116" spans="1:1">
      <c r="A7116" t="s">
        <v>7648</v>
      </c>
    </row>
    <row r="7117" spans="1:1">
      <c r="A7117" t="s">
        <v>7649</v>
      </c>
    </row>
    <row r="7118" spans="1:1">
      <c r="A7118" t="s">
        <v>7650</v>
      </c>
    </row>
    <row r="7119" spans="1:1">
      <c r="A7119" t="s">
        <v>7651</v>
      </c>
    </row>
    <row r="7120" spans="1:1">
      <c r="A7120" t="s">
        <v>7652</v>
      </c>
    </row>
    <row r="7121" spans="1:1">
      <c r="A7121" t="s">
        <v>7653</v>
      </c>
    </row>
    <row r="7122" spans="1:1">
      <c r="A7122" t="s">
        <v>7654</v>
      </c>
    </row>
    <row r="7123" spans="1:1">
      <c r="A7123" t="s">
        <v>7655</v>
      </c>
    </row>
    <row r="7124" spans="1:1">
      <c r="A7124" t="s">
        <v>7656</v>
      </c>
    </row>
    <row r="7125" spans="1:1">
      <c r="A7125" t="s">
        <v>7657</v>
      </c>
    </row>
    <row r="7126" spans="1:1">
      <c r="A7126" t="s">
        <v>7658</v>
      </c>
    </row>
    <row r="7127" spans="1:1">
      <c r="A7127" t="s">
        <v>7659</v>
      </c>
    </row>
    <row r="7128" spans="1:1">
      <c r="A7128" t="s">
        <v>7660</v>
      </c>
    </row>
    <row r="7129" spans="1:1">
      <c r="A7129" t="s">
        <v>7661</v>
      </c>
    </row>
    <row r="7130" spans="1:1">
      <c r="A7130" t="s">
        <v>7662</v>
      </c>
    </row>
    <row r="7131" spans="1:1">
      <c r="A7131" t="s">
        <v>7663</v>
      </c>
    </row>
    <row r="7132" spans="1:1">
      <c r="A7132" t="s">
        <v>7664</v>
      </c>
    </row>
    <row r="7133" spans="1:1">
      <c r="A7133" t="s">
        <v>7665</v>
      </c>
    </row>
    <row r="7134" spans="1:1">
      <c r="A7134" t="s">
        <v>7666</v>
      </c>
    </row>
    <row r="7135" spans="1:1">
      <c r="A7135" t="s">
        <v>7667</v>
      </c>
    </row>
    <row r="7136" spans="1:1">
      <c r="A7136" t="s">
        <v>7668</v>
      </c>
    </row>
    <row r="7137" spans="1:1">
      <c r="A7137" t="s">
        <v>7669</v>
      </c>
    </row>
    <row r="7138" spans="1:1">
      <c r="A7138" t="s">
        <v>7670</v>
      </c>
    </row>
    <row r="7139" spans="1:1">
      <c r="A7139" t="s">
        <v>7671</v>
      </c>
    </row>
    <row r="7140" spans="1:1">
      <c r="A7140" t="s">
        <v>7672</v>
      </c>
    </row>
    <row r="7141" spans="1:1">
      <c r="A7141" t="s">
        <v>7673</v>
      </c>
    </row>
    <row r="7142" spans="1:1">
      <c r="A7142" t="s">
        <v>7674</v>
      </c>
    </row>
    <row r="7143" spans="1:1">
      <c r="A7143" t="s">
        <v>7675</v>
      </c>
    </row>
    <row r="7144" spans="1:1">
      <c r="A7144" t="s">
        <v>7676</v>
      </c>
    </row>
    <row r="7145" spans="1:1">
      <c r="A7145" t="s">
        <v>7677</v>
      </c>
    </row>
    <row r="7146" spans="1:1">
      <c r="A7146" t="s">
        <v>7678</v>
      </c>
    </row>
    <row r="7147" spans="1:1">
      <c r="A7147" t="s">
        <v>7679</v>
      </c>
    </row>
    <row r="7148" spans="1:1">
      <c r="A7148" t="s">
        <v>7680</v>
      </c>
    </row>
    <row r="7149" spans="1:1">
      <c r="A7149" t="s">
        <v>7681</v>
      </c>
    </row>
    <row r="7150" spans="1:1">
      <c r="A7150" t="s">
        <v>7682</v>
      </c>
    </row>
    <row r="7151" spans="1:1">
      <c r="A7151" t="s">
        <v>7683</v>
      </c>
    </row>
    <row r="7152" spans="1:1">
      <c r="A7152" t="s">
        <v>7684</v>
      </c>
    </row>
    <row r="7153" spans="1:1">
      <c r="A7153" t="s">
        <v>7685</v>
      </c>
    </row>
    <row r="7154" spans="1:1">
      <c r="A7154" t="s">
        <v>7686</v>
      </c>
    </row>
    <row r="7155" spans="1:1">
      <c r="A7155" t="s">
        <v>7687</v>
      </c>
    </row>
    <row r="7156" spans="1:1">
      <c r="A7156" t="s">
        <v>7688</v>
      </c>
    </row>
    <row r="7157" spans="1:1">
      <c r="A7157" t="s">
        <v>7689</v>
      </c>
    </row>
    <row r="7158" spans="1:1">
      <c r="A7158" t="s">
        <v>7690</v>
      </c>
    </row>
    <row r="7159" spans="1:1">
      <c r="A7159" t="s">
        <v>7691</v>
      </c>
    </row>
    <row r="7160" spans="1:1">
      <c r="A7160" t="s">
        <v>7692</v>
      </c>
    </row>
    <row r="7161" spans="1:1">
      <c r="A7161" t="s">
        <v>7693</v>
      </c>
    </row>
    <row r="7162" spans="1:1">
      <c r="A7162" t="s">
        <v>7694</v>
      </c>
    </row>
    <row r="7163" spans="1:1">
      <c r="A7163" t="s">
        <v>7695</v>
      </c>
    </row>
    <row r="7164" spans="1:1">
      <c r="A7164" t="s">
        <v>7696</v>
      </c>
    </row>
    <row r="7165" spans="1:1">
      <c r="A7165" t="s">
        <v>7697</v>
      </c>
    </row>
    <row r="7166" spans="1:1">
      <c r="A7166" t="s">
        <v>7698</v>
      </c>
    </row>
    <row r="7167" spans="1:1">
      <c r="A7167" t="s">
        <v>7699</v>
      </c>
    </row>
    <row r="7168" spans="1:1">
      <c r="A7168" t="s">
        <v>7700</v>
      </c>
    </row>
    <row r="7169" spans="1:1">
      <c r="A7169" t="s">
        <v>7701</v>
      </c>
    </row>
    <row r="7170" spans="1:1">
      <c r="A7170" t="s">
        <v>7702</v>
      </c>
    </row>
    <row r="7171" spans="1:1">
      <c r="A7171" t="s">
        <v>7703</v>
      </c>
    </row>
    <row r="7172" spans="1:1">
      <c r="A7172" t="s">
        <v>7704</v>
      </c>
    </row>
    <row r="7173" spans="1:1">
      <c r="A7173" t="s">
        <v>7705</v>
      </c>
    </row>
    <row r="7174" spans="1:1">
      <c r="A7174" t="s">
        <v>7706</v>
      </c>
    </row>
    <row r="7175" spans="1:1">
      <c r="A7175" t="s">
        <v>7707</v>
      </c>
    </row>
    <row r="7176" spans="1:1">
      <c r="A7176" t="s">
        <v>7708</v>
      </c>
    </row>
    <row r="7177" spans="1:1">
      <c r="A7177" t="s">
        <v>7709</v>
      </c>
    </row>
    <row r="7178" spans="1:1">
      <c r="A7178" t="s">
        <v>7710</v>
      </c>
    </row>
    <row r="7179" spans="1:1">
      <c r="A7179" t="s">
        <v>7711</v>
      </c>
    </row>
    <row r="7180" spans="1:1">
      <c r="A7180" t="s">
        <v>7712</v>
      </c>
    </row>
    <row r="7181" spans="1:1">
      <c r="A7181" t="s">
        <v>7713</v>
      </c>
    </row>
    <row r="7182" spans="1:1">
      <c r="A7182" t="s">
        <v>7714</v>
      </c>
    </row>
    <row r="7183" spans="1:1">
      <c r="A7183" t="s">
        <v>7715</v>
      </c>
    </row>
    <row r="7184" spans="1:1">
      <c r="A7184" t="s">
        <v>7716</v>
      </c>
    </row>
    <row r="7185" spans="1:1">
      <c r="A7185" t="s">
        <v>7717</v>
      </c>
    </row>
    <row r="7186" spans="1:1">
      <c r="A7186" t="s">
        <v>7718</v>
      </c>
    </row>
    <row r="7187" spans="1:1">
      <c r="A7187" t="s">
        <v>7719</v>
      </c>
    </row>
    <row r="7188" spans="1:1">
      <c r="A7188" t="s">
        <v>7720</v>
      </c>
    </row>
    <row r="7189" spans="1:1">
      <c r="A7189" t="s">
        <v>7721</v>
      </c>
    </row>
    <row r="7190" spans="1:1">
      <c r="A7190" t="s">
        <v>7722</v>
      </c>
    </row>
    <row r="7191" spans="1:1">
      <c r="A7191" t="s">
        <v>7723</v>
      </c>
    </row>
    <row r="7192" spans="1:1">
      <c r="A7192" t="s">
        <v>7724</v>
      </c>
    </row>
    <row r="7193" spans="1:1">
      <c r="A7193" t="s">
        <v>7725</v>
      </c>
    </row>
    <row r="7194" spans="1:1">
      <c r="A7194" t="s">
        <v>7726</v>
      </c>
    </row>
    <row r="7195" spans="1:1">
      <c r="A7195" t="s">
        <v>7727</v>
      </c>
    </row>
    <row r="7196" spans="1:1">
      <c r="A7196" t="s">
        <v>7728</v>
      </c>
    </row>
    <row r="7197" spans="1:1">
      <c r="A7197" t="s">
        <v>7729</v>
      </c>
    </row>
    <row r="7198" spans="1:1">
      <c r="A7198" t="s">
        <v>7730</v>
      </c>
    </row>
    <row r="7199" spans="1:1">
      <c r="A7199" t="s">
        <v>7731</v>
      </c>
    </row>
    <row r="7200" spans="1:1">
      <c r="A7200" t="s">
        <v>7732</v>
      </c>
    </row>
    <row r="7201" spans="1:1">
      <c r="A7201" t="s">
        <v>7733</v>
      </c>
    </row>
    <row r="7202" spans="1:1">
      <c r="A7202" t="s">
        <v>7734</v>
      </c>
    </row>
    <row r="7203" spans="1:1">
      <c r="A7203" t="s">
        <v>7735</v>
      </c>
    </row>
    <row r="7204" spans="1:1">
      <c r="A7204" t="s">
        <v>7736</v>
      </c>
    </row>
    <row r="7205" spans="1:1">
      <c r="A7205" t="s">
        <v>7737</v>
      </c>
    </row>
    <row r="7206" spans="1:1">
      <c r="A7206" t="s">
        <v>7738</v>
      </c>
    </row>
    <row r="7207" spans="1:1">
      <c r="A7207" t="s">
        <v>7739</v>
      </c>
    </row>
    <row r="7208" spans="1:1">
      <c r="A7208" t="s">
        <v>7740</v>
      </c>
    </row>
    <row r="7209" spans="1:1">
      <c r="A7209" t="s">
        <v>7741</v>
      </c>
    </row>
    <row r="7210" spans="1:1">
      <c r="A7210" t="s">
        <v>7742</v>
      </c>
    </row>
    <row r="7211" spans="1:1">
      <c r="A7211" t="s">
        <v>7743</v>
      </c>
    </row>
    <row r="7212" spans="1:1">
      <c r="A7212" t="s">
        <v>7744</v>
      </c>
    </row>
    <row r="7213" spans="1:1">
      <c r="A7213" t="s">
        <v>7745</v>
      </c>
    </row>
    <row r="7214" spans="1:1">
      <c r="A7214" t="s">
        <v>7746</v>
      </c>
    </row>
    <row r="7215" spans="1:1">
      <c r="A7215" t="s">
        <v>7747</v>
      </c>
    </row>
    <row r="7216" spans="1:1">
      <c r="A7216" t="s">
        <v>7748</v>
      </c>
    </row>
    <row r="7217" spans="1:1">
      <c r="A7217" t="s">
        <v>7749</v>
      </c>
    </row>
    <row r="7218" spans="1:1">
      <c r="A7218" t="s">
        <v>7750</v>
      </c>
    </row>
    <row r="7219" spans="1:1">
      <c r="A7219" t="s">
        <v>7751</v>
      </c>
    </row>
    <row r="7220" spans="1:1">
      <c r="A7220" t="s">
        <v>7752</v>
      </c>
    </row>
    <row r="7221" spans="1:1">
      <c r="A7221" t="s">
        <v>7753</v>
      </c>
    </row>
    <row r="7222" spans="1:1">
      <c r="A7222" t="s">
        <v>7754</v>
      </c>
    </row>
    <row r="7223" spans="1:1">
      <c r="A7223" t="s">
        <v>7755</v>
      </c>
    </row>
    <row r="7224" spans="1:1">
      <c r="A7224" t="s">
        <v>7756</v>
      </c>
    </row>
    <row r="7225" spans="1:1">
      <c r="A7225" t="s">
        <v>7757</v>
      </c>
    </row>
    <row r="7226" spans="1:1">
      <c r="A7226" t="s">
        <v>7758</v>
      </c>
    </row>
    <row r="7227" spans="1:1">
      <c r="A7227" t="s">
        <v>7759</v>
      </c>
    </row>
    <row r="7228" spans="1:1">
      <c r="A7228" t="s">
        <v>7760</v>
      </c>
    </row>
    <row r="7229" spans="1:1">
      <c r="A7229" t="s">
        <v>7761</v>
      </c>
    </row>
    <row r="7230" spans="1:1">
      <c r="A7230" t="s">
        <v>7762</v>
      </c>
    </row>
    <row r="7231" spans="1:1">
      <c r="A7231" t="s">
        <v>7763</v>
      </c>
    </row>
    <row r="7232" spans="1:1">
      <c r="A7232" t="s">
        <v>7764</v>
      </c>
    </row>
    <row r="7233" spans="1:1">
      <c r="A7233" t="s">
        <v>7765</v>
      </c>
    </row>
    <row r="7234" spans="1:1">
      <c r="A7234" t="s">
        <v>7766</v>
      </c>
    </row>
    <row r="7235" spans="1:1">
      <c r="A7235" t="s">
        <v>7767</v>
      </c>
    </row>
    <row r="7236" spans="1:1">
      <c r="A7236" t="s">
        <v>7768</v>
      </c>
    </row>
    <row r="7237" spans="1:1">
      <c r="A7237" t="s">
        <v>7769</v>
      </c>
    </row>
    <row r="7238" spans="1:1">
      <c r="A7238" t="s">
        <v>7770</v>
      </c>
    </row>
    <row r="7239" spans="1:1">
      <c r="A7239" t="s">
        <v>7771</v>
      </c>
    </row>
    <row r="7240" spans="1:1">
      <c r="A7240" t="s">
        <v>7772</v>
      </c>
    </row>
    <row r="7241" spans="1:1">
      <c r="A7241" t="s">
        <v>7773</v>
      </c>
    </row>
    <row r="7242" spans="1:1">
      <c r="A7242" t="s">
        <v>7774</v>
      </c>
    </row>
    <row r="7243" spans="1:1">
      <c r="A7243" t="s">
        <v>7775</v>
      </c>
    </row>
    <row r="7244" spans="1:1">
      <c r="A7244" t="s">
        <v>7776</v>
      </c>
    </row>
    <row r="7245" spans="1:1">
      <c r="A7245" t="s">
        <v>7777</v>
      </c>
    </row>
    <row r="7246" spans="1:1">
      <c r="A7246" t="s">
        <v>7778</v>
      </c>
    </row>
    <row r="7247" spans="1:1">
      <c r="A7247" t="s">
        <v>7779</v>
      </c>
    </row>
    <row r="7248" spans="1:1">
      <c r="A7248" t="s">
        <v>7780</v>
      </c>
    </row>
    <row r="7249" spans="1:1">
      <c r="A7249" t="s">
        <v>7781</v>
      </c>
    </row>
    <row r="7250" spans="1:1">
      <c r="A7250" t="s">
        <v>7782</v>
      </c>
    </row>
    <row r="7251" spans="1:1">
      <c r="A7251" t="s">
        <v>7783</v>
      </c>
    </row>
    <row r="7252" spans="1:1">
      <c r="A7252" t="s">
        <v>7784</v>
      </c>
    </row>
    <row r="7253" spans="1:1">
      <c r="A7253" t="s">
        <v>7785</v>
      </c>
    </row>
    <row r="7254" spans="1:1">
      <c r="A7254" t="s">
        <v>7786</v>
      </c>
    </row>
    <row r="7255" spans="1:1">
      <c r="A7255" t="s">
        <v>7787</v>
      </c>
    </row>
    <row r="7256" spans="1:1">
      <c r="A7256" t="s">
        <v>7788</v>
      </c>
    </row>
    <row r="7257" spans="1:1">
      <c r="A7257" t="s">
        <v>7789</v>
      </c>
    </row>
    <row r="7258" spans="1:1">
      <c r="A7258" t="s">
        <v>7790</v>
      </c>
    </row>
    <row r="7259" spans="1:1">
      <c r="A7259" t="s">
        <v>7791</v>
      </c>
    </row>
    <row r="7260" spans="1:1">
      <c r="A7260" t="s">
        <v>7792</v>
      </c>
    </row>
    <row r="7261" spans="1:1">
      <c r="A7261" t="s">
        <v>7793</v>
      </c>
    </row>
    <row r="7262" spans="1:1">
      <c r="A7262" t="s">
        <v>7794</v>
      </c>
    </row>
    <row r="7263" spans="1:1">
      <c r="A7263" t="s">
        <v>7795</v>
      </c>
    </row>
    <row r="7264" spans="1:1">
      <c r="A7264" t="s">
        <v>7796</v>
      </c>
    </row>
    <row r="7265" spans="1:1">
      <c r="A7265" t="s">
        <v>7797</v>
      </c>
    </row>
    <row r="7266" spans="1:1">
      <c r="A7266" t="s">
        <v>7798</v>
      </c>
    </row>
    <row r="7267" spans="1:1">
      <c r="A7267" t="s">
        <v>7799</v>
      </c>
    </row>
    <row r="7268" spans="1:1">
      <c r="A7268" t="s">
        <v>7800</v>
      </c>
    </row>
    <row r="7269" spans="1:1">
      <c r="A7269" t="s">
        <v>7801</v>
      </c>
    </row>
    <row r="7270" spans="1:1">
      <c r="A7270" t="s">
        <v>7802</v>
      </c>
    </row>
    <row r="7271" spans="1:1">
      <c r="A7271" t="s">
        <v>7803</v>
      </c>
    </row>
    <row r="7272" spans="1:1">
      <c r="A7272" t="s">
        <v>7804</v>
      </c>
    </row>
    <row r="7273" spans="1:1">
      <c r="A7273" t="s">
        <v>7805</v>
      </c>
    </row>
    <row r="7274" spans="1:1">
      <c r="A7274" t="s">
        <v>7806</v>
      </c>
    </row>
    <row r="7275" spans="1:1">
      <c r="A7275" t="s">
        <v>7807</v>
      </c>
    </row>
    <row r="7276" spans="1:1">
      <c r="A7276" t="s">
        <v>7808</v>
      </c>
    </row>
    <row r="7277" spans="1:1">
      <c r="A7277" t="s">
        <v>7809</v>
      </c>
    </row>
    <row r="7278" spans="1:1">
      <c r="A7278" t="s">
        <v>7810</v>
      </c>
    </row>
    <row r="7279" spans="1:1">
      <c r="A7279" t="s">
        <v>7811</v>
      </c>
    </row>
    <row r="7280" spans="1:1">
      <c r="A7280" t="s">
        <v>7812</v>
      </c>
    </row>
    <row r="7281" spans="1:1">
      <c r="A7281" t="s">
        <v>7813</v>
      </c>
    </row>
    <row r="7282" spans="1:1">
      <c r="A7282" t="s">
        <v>7814</v>
      </c>
    </row>
    <row r="7283" spans="1:1">
      <c r="A7283" t="s">
        <v>7815</v>
      </c>
    </row>
    <row r="7284" spans="1:1">
      <c r="A7284" t="s">
        <v>7816</v>
      </c>
    </row>
    <row r="7285" spans="1:1">
      <c r="A7285" t="s">
        <v>7817</v>
      </c>
    </row>
    <row r="7286" spans="1:1">
      <c r="A7286" t="s">
        <v>7818</v>
      </c>
    </row>
    <row r="7287" spans="1:1">
      <c r="A7287" t="s">
        <v>7819</v>
      </c>
    </row>
    <row r="7288" spans="1:1">
      <c r="A7288" t="s">
        <v>7820</v>
      </c>
    </row>
    <row r="7289" spans="1:1">
      <c r="A7289" t="s">
        <v>7821</v>
      </c>
    </row>
    <row r="7290" spans="1:1">
      <c r="A7290" t="s">
        <v>7822</v>
      </c>
    </row>
    <row r="7291" spans="1:1">
      <c r="A7291" t="s">
        <v>7823</v>
      </c>
    </row>
    <row r="7292" spans="1:1">
      <c r="A7292" t="s">
        <v>7824</v>
      </c>
    </row>
    <row r="7293" spans="1:1">
      <c r="A7293" t="s">
        <v>7825</v>
      </c>
    </row>
    <row r="7294" spans="1:1">
      <c r="A7294" t="s">
        <v>7826</v>
      </c>
    </row>
    <row r="7295" spans="1:1">
      <c r="A7295" t="s">
        <v>7827</v>
      </c>
    </row>
    <row r="7296" spans="1:1">
      <c r="A7296" t="s">
        <v>7828</v>
      </c>
    </row>
    <row r="7297" spans="1:1">
      <c r="A7297" t="s">
        <v>7829</v>
      </c>
    </row>
    <row r="7298" spans="1:1">
      <c r="A7298" t="s">
        <v>7830</v>
      </c>
    </row>
    <row r="7299" spans="1:1">
      <c r="A7299" t="s">
        <v>7831</v>
      </c>
    </row>
    <row r="7300" spans="1:1">
      <c r="A7300" t="s">
        <v>7832</v>
      </c>
    </row>
    <row r="7301" spans="1:1">
      <c r="A7301" t="s">
        <v>7833</v>
      </c>
    </row>
    <row r="7302" spans="1:1">
      <c r="A7302" t="s">
        <v>7834</v>
      </c>
    </row>
    <row r="7303" spans="1:1">
      <c r="A7303" t="s">
        <v>7835</v>
      </c>
    </row>
    <row r="7304" spans="1:1">
      <c r="A7304" t="s">
        <v>7836</v>
      </c>
    </row>
    <row r="7305" spans="1:1">
      <c r="A7305" t="s">
        <v>7837</v>
      </c>
    </row>
    <row r="7306" spans="1:1">
      <c r="A7306" t="s">
        <v>7838</v>
      </c>
    </row>
    <row r="7307" spans="1:1">
      <c r="A7307" t="s">
        <v>7839</v>
      </c>
    </row>
    <row r="7308" spans="1:1">
      <c r="A7308" t="s">
        <v>7840</v>
      </c>
    </row>
    <row r="7309" spans="1:1">
      <c r="A7309" t="s">
        <v>7841</v>
      </c>
    </row>
    <row r="7310" spans="1:1">
      <c r="A7310" t="s">
        <v>7842</v>
      </c>
    </row>
    <row r="7311" spans="1:1">
      <c r="A7311" t="s">
        <v>7843</v>
      </c>
    </row>
    <row r="7312" spans="1:1">
      <c r="A7312" t="s">
        <v>7844</v>
      </c>
    </row>
    <row r="7313" spans="1:1">
      <c r="A7313" t="s">
        <v>7845</v>
      </c>
    </row>
    <row r="7314" spans="1:1">
      <c r="A7314" t="s">
        <v>7846</v>
      </c>
    </row>
    <row r="7315" spans="1:1">
      <c r="A7315" t="s">
        <v>7847</v>
      </c>
    </row>
    <row r="7316" spans="1:1">
      <c r="A7316" t="s">
        <v>7848</v>
      </c>
    </row>
    <row r="7317" spans="1:1">
      <c r="A7317" t="s">
        <v>7849</v>
      </c>
    </row>
    <row r="7318" spans="1:1">
      <c r="A7318" t="s">
        <v>7850</v>
      </c>
    </row>
    <row r="7319" spans="1:1">
      <c r="A7319" t="s">
        <v>7851</v>
      </c>
    </row>
    <row r="7320" spans="1:1">
      <c r="A7320" t="s">
        <v>7852</v>
      </c>
    </row>
    <row r="7321" spans="1:1">
      <c r="A7321" t="s">
        <v>7853</v>
      </c>
    </row>
    <row r="7322" spans="1:1">
      <c r="A7322" t="s">
        <v>7854</v>
      </c>
    </row>
    <row r="7323" spans="1:1">
      <c r="A7323" t="s">
        <v>7855</v>
      </c>
    </row>
    <row r="7324" spans="1:1">
      <c r="A7324" t="s">
        <v>7856</v>
      </c>
    </row>
    <row r="7325" spans="1:1">
      <c r="A7325" t="s">
        <v>7857</v>
      </c>
    </row>
    <row r="7326" spans="1:1">
      <c r="A7326" t="s">
        <v>7858</v>
      </c>
    </row>
    <row r="7327" spans="1:1">
      <c r="A7327" t="s">
        <v>7859</v>
      </c>
    </row>
    <row r="7328" spans="1:1">
      <c r="A7328" t="s">
        <v>7860</v>
      </c>
    </row>
    <row r="7329" spans="1:1">
      <c r="A7329" t="s">
        <v>7861</v>
      </c>
    </row>
    <row r="7330" spans="1:1">
      <c r="A7330" t="s">
        <v>7862</v>
      </c>
    </row>
    <row r="7331" spans="1:1">
      <c r="A7331" t="s">
        <v>7863</v>
      </c>
    </row>
    <row r="7332" spans="1:1">
      <c r="A7332" t="s">
        <v>7864</v>
      </c>
    </row>
    <row r="7333" spans="1:1">
      <c r="A7333" t="s">
        <v>7865</v>
      </c>
    </row>
    <row r="7334" spans="1:1">
      <c r="A7334" t="s">
        <v>7866</v>
      </c>
    </row>
    <row r="7335" spans="1:1">
      <c r="A7335" t="s">
        <v>7867</v>
      </c>
    </row>
    <row r="7336" spans="1:1">
      <c r="A7336" t="s">
        <v>7868</v>
      </c>
    </row>
    <row r="7337" spans="1:1">
      <c r="A7337" t="s">
        <v>7869</v>
      </c>
    </row>
    <row r="7338" spans="1:1">
      <c r="A7338" t="s">
        <v>7870</v>
      </c>
    </row>
    <row r="7339" spans="1:1">
      <c r="A7339" t="s">
        <v>7871</v>
      </c>
    </row>
    <row r="7340" spans="1:1">
      <c r="A7340" t="s">
        <v>7872</v>
      </c>
    </row>
    <row r="7341" spans="1:1">
      <c r="A7341" t="s">
        <v>7873</v>
      </c>
    </row>
    <row r="7342" spans="1:1">
      <c r="A7342" t="s">
        <v>7874</v>
      </c>
    </row>
    <row r="7343" spans="1:1">
      <c r="A7343" t="s">
        <v>7875</v>
      </c>
    </row>
    <row r="7344" spans="1:1">
      <c r="A7344" t="s">
        <v>7876</v>
      </c>
    </row>
    <row r="7345" spans="1:1">
      <c r="A7345" t="s">
        <v>7877</v>
      </c>
    </row>
    <row r="7346" spans="1:1">
      <c r="A7346" t="s">
        <v>7878</v>
      </c>
    </row>
    <row r="7347" spans="1:1">
      <c r="A7347" t="s">
        <v>7879</v>
      </c>
    </row>
    <row r="7348" spans="1:1">
      <c r="A7348" t="s">
        <v>7880</v>
      </c>
    </row>
    <row r="7349" spans="1:1">
      <c r="A7349" t="s">
        <v>7881</v>
      </c>
    </row>
    <row r="7350" spans="1:1">
      <c r="A7350" t="s">
        <v>7882</v>
      </c>
    </row>
    <row r="7351" spans="1:1">
      <c r="A7351" t="s">
        <v>7883</v>
      </c>
    </row>
    <row r="7352" spans="1:1">
      <c r="A7352" t="s">
        <v>7884</v>
      </c>
    </row>
    <row r="7353" spans="1:1">
      <c r="A7353" t="s">
        <v>7885</v>
      </c>
    </row>
    <row r="7354" spans="1:1">
      <c r="A7354" t="s">
        <v>7886</v>
      </c>
    </row>
    <row r="7355" spans="1:1">
      <c r="A7355" t="s">
        <v>7887</v>
      </c>
    </row>
    <row r="7356" spans="1:1">
      <c r="A7356" t="s">
        <v>7888</v>
      </c>
    </row>
    <row r="7357" spans="1:1">
      <c r="A7357" t="s">
        <v>7889</v>
      </c>
    </row>
    <row r="7358" spans="1:1">
      <c r="A7358" t="s">
        <v>7890</v>
      </c>
    </row>
    <row r="7359" spans="1:1">
      <c r="A7359" t="s">
        <v>7891</v>
      </c>
    </row>
    <row r="7360" spans="1:1">
      <c r="A7360" t="s">
        <v>7892</v>
      </c>
    </row>
    <row r="7361" spans="1:1">
      <c r="A7361" t="s">
        <v>7893</v>
      </c>
    </row>
    <row r="7362" spans="1:1">
      <c r="A7362" t="s">
        <v>7894</v>
      </c>
    </row>
    <row r="7363" spans="1:1">
      <c r="A7363" t="s">
        <v>7895</v>
      </c>
    </row>
    <row r="7364" spans="1:1">
      <c r="A7364" t="s">
        <v>7896</v>
      </c>
    </row>
    <row r="7365" spans="1:1">
      <c r="A7365" t="s">
        <v>7897</v>
      </c>
    </row>
    <row r="7366" spans="1:1">
      <c r="A7366" t="s">
        <v>7898</v>
      </c>
    </row>
    <row r="7367" spans="1:1">
      <c r="A7367" t="s">
        <v>7899</v>
      </c>
    </row>
    <row r="7368" spans="1:1">
      <c r="A7368" t="s">
        <v>7900</v>
      </c>
    </row>
    <row r="7369" spans="1:1">
      <c r="A7369" t="s">
        <v>7901</v>
      </c>
    </row>
    <row r="7370" spans="1:1">
      <c r="A7370" t="s">
        <v>7902</v>
      </c>
    </row>
    <row r="7371" spans="1:1">
      <c r="A7371" t="s">
        <v>7903</v>
      </c>
    </row>
    <row r="7372" spans="1:1">
      <c r="A7372" t="s">
        <v>7904</v>
      </c>
    </row>
    <row r="7373" spans="1:1">
      <c r="A7373" t="s">
        <v>7905</v>
      </c>
    </row>
    <row r="7374" spans="1:1">
      <c r="A7374" t="s">
        <v>7906</v>
      </c>
    </row>
    <row r="7375" spans="1:1">
      <c r="A7375" t="s">
        <v>7907</v>
      </c>
    </row>
    <row r="7376" spans="1:1">
      <c r="A7376" t="s">
        <v>7908</v>
      </c>
    </row>
    <row r="7377" spans="1:1">
      <c r="A7377" t="s">
        <v>7909</v>
      </c>
    </row>
    <row r="7378" spans="1:1">
      <c r="A7378" t="s">
        <v>7910</v>
      </c>
    </row>
    <row r="7379" spans="1:1">
      <c r="A7379" t="s">
        <v>7911</v>
      </c>
    </row>
    <row r="7380" spans="1:1">
      <c r="A7380" t="s">
        <v>7912</v>
      </c>
    </row>
    <row r="7381" spans="1:1">
      <c r="A7381" t="s">
        <v>7913</v>
      </c>
    </row>
    <row r="7382" spans="1:1">
      <c r="A7382" t="s">
        <v>7914</v>
      </c>
    </row>
    <row r="7383" spans="1:1">
      <c r="A7383" t="s">
        <v>7915</v>
      </c>
    </row>
    <row r="7384" spans="1:1">
      <c r="A7384" t="s">
        <v>7916</v>
      </c>
    </row>
    <row r="7385" spans="1:1">
      <c r="A7385" t="s">
        <v>7917</v>
      </c>
    </row>
    <row r="7386" spans="1:1">
      <c r="A7386" t="s">
        <v>7918</v>
      </c>
    </row>
    <row r="7387" spans="1:1">
      <c r="A7387" t="s">
        <v>7919</v>
      </c>
    </row>
    <row r="7388" spans="1:1">
      <c r="A7388" t="s">
        <v>7920</v>
      </c>
    </row>
    <row r="7389" spans="1:1">
      <c r="A7389" t="s">
        <v>7921</v>
      </c>
    </row>
    <row r="7390" spans="1:1">
      <c r="A7390" t="s">
        <v>7922</v>
      </c>
    </row>
    <row r="7391" spans="1:1">
      <c r="A7391" t="s">
        <v>7923</v>
      </c>
    </row>
    <row r="7392" spans="1:1">
      <c r="A7392" t="s">
        <v>7924</v>
      </c>
    </row>
    <row r="7393" spans="1:1">
      <c r="A7393" t="s">
        <v>7925</v>
      </c>
    </row>
    <row r="7394" spans="1:1">
      <c r="A7394" t="s">
        <v>7926</v>
      </c>
    </row>
    <row r="7395" spans="1:1">
      <c r="A7395" t="s">
        <v>7927</v>
      </c>
    </row>
    <row r="7396" spans="1:1">
      <c r="A7396" t="s">
        <v>7928</v>
      </c>
    </row>
    <row r="7397" spans="1:1">
      <c r="A7397" t="s">
        <v>7929</v>
      </c>
    </row>
    <row r="7398" spans="1:1">
      <c r="A7398" t="s">
        <v>7930</v>
      </c>
    </row>
    <row r="7399" spans="1:1">
      <c r="A7399" t="s">
        <v>7931</v>
      </c>
    </row>
    <row r="7400" spans="1:1">
      <c r="A7400" t="s">
        <v>7932</v>
      </c>
    </row>
    <row r="7401" spans="1:1">
      <c r="A7401" t="s">
        <v>7933</v>
      </c>
    </row>
    <row r="7402" spans="1:1">
      <c r="A7402" t="s">
        <v>7934</v>
      </c>
    </row>
    <row r="7403" spans="1:1">
      <c r="A7403" t="s">
        <v>7935</v>
      </c>
    </row>
    <row r="7404" spans="1:1">
      <c r="A7404" t="s">
        <v>7936</v>
      </c>
    </row>
    <row r="7405" spans="1:1">
      <c r="A7405" t="s">
        <v>7937</v>
      </c>
    </row>
    <row r="7406" spans="1:1">
      <c r="A7406" t="s">
        <v>7938</v>
      </c>
    </row>
    <row r="7407" spans="1:1">
      <c r="A7407" t="s">
        <v>7939</v>
      </c>
    </row>
    <row r="7408" spans="1:1">
      <c r="A7408" t="s">
        <v>7940</v>
      </c>
    </row>
    <row r="7409" spans="1:1">
      <c r="A7409" t="s">
        <v>7941</v>
      </c>
    </row>
    <row r="7410" spans="1:1">
      <c r="A7410" t="s">
        <v>7942</v>
      </c>
    </row>
    <row r="7411" spans="1:1">
      <c r="A7411" t="s">
        <v>7943</v>
      </c>
    </row>
    <row r="7412" spans="1:1">
      <c r="A7412" t="s">
        <v>7944</v>
      </c>
    </row>
    <row r="7413" spans="1:1">
      <c r="A7413" t="s">
        <v>7945</v>
      </c>
    </row>
    <row r="7414" spans="1:1">
      <c r="A7414" t="s">
        <v>7946</v>
      </c>
    </row>
    <row r="7415" spans="1:1">
      <c r="A7415" t="s">
        <v>7947</v>
      </c>
    </row>
    <row r="7416" spans="1:1">
      <c r="A7416" t="s">
        <v>7948</v>
      </c>
    </row>
    <row r="7417" spans="1:1">
      <c r="A7417" t="s">
        <v>7949</v>
      </c>
    </row>
    <row r="7418" spans="1:1">
      <c r="A7418" t="s">
        <v>7950</v>
      </c>
    </row>
    <row r="7419" spans="1:1">
      <c r="A7419" t="s">
        <v>7951</v>
      </c>
    </row>
    <row r="7420" spans="1:1">
      <c r="A7420" t="s">
        <v>7952</v>
      </c>
    </row>
    <row r="7421" spans="1:1">
      <c r="A7421" t="s">
        <v>7953</v>
      </c>
    </row>
    <row r="7422" spans="1:1">
      <c r="A7422" t="s">
        <v>7954</v>
      </c>
    </row>
    <row r="7423" spans="1:1">
      <c r="A7423" t="s">
        <v>7955</v>
      </c>
    </row>
    <row r="7424" spans="1:1">
      <c r="A7424" t="s">
        <v>7956</v>
      </c>
    </row>
    <row r="7425" spans="1:1">
      <c r="A7425" t="s">
        <v>7957</v>
      </c>
    </row>
    <row r="7426" spans="1:1">
      <c r="A7426" t="s">
        <v>7958</v>
      </c>
    </row>
    <row r="7427" spans="1:1">
      <c r="A7427" t="s">
        <v>7959</v>
      </c>
    </row>
    <row r="7428" spans="1:1">
      <c r="A7428" t="s">
        <v>7960</v>
      </c>
    </row>
    <row r="7429" spans="1:1">
      <c r="A7429" t="s">
        <v>7961</v>
      </c>
    </row>
    <row r="7430" spans="1:1">
      <c r="A7430" t="s">
        <v>7962</v>
      </c>
    </row>
    <row r="7431" spans="1:1">
      <c r="A7431" t="s">
        <v>7963</v>
      </c>
    </row>
    <row r="7432" spans="1:1">
      <c r="A7432" t="s">
        <v>7964</v>
      </c>
    </row>
    <row r="7433" spans="1:1">
      <c r="A7433" t="s">
        <v>7965</v>
      </c>
    </row>
    <row r="7434" spans="1:1">
      <c r="A7434" t="s">
        <v>7966</v>
      </c>
    </row>
    <row r="7435" spans="1:1">
      <c r="A7435" t="s">
        <v>7967</v>
      </c>
    </row>
    <row r="7436" spans="1:1">
      <c r="A7436" t="s">
        <v>7968</v>
      </c>
    </row>
    <row r="7437" spans="1:1">
      <c r="A7437" t="s">
        <v>7969</v>
      </c>
    </row>
    <row r="7438" spans="1:1">
      <c r="A7438" t="s">
        <v>7970</v>
      </c>
    </row>
    <row r="7439" spans="1:1">
      <c r="A7439" t="s">
        <v>7971</v>
      </c>
    </row>
    <row r="7440" spans="1:1">
      <c r="A7440" t="s">
        <v>7972</v>
      </c>
    </row>
    <row r="7441" spans="1:1">
      <c r="A7441" t="s">
        <v>7973</v>
      </c>
    </row>
    <row r="7442" spans="1:1">
      <c r="A7442" t="s">
        <v>7974</v>
      </c>
    </row>
    <row r="7443" spans="1:1">
      <c r="A7443" t="s">
        <v>7975</v>
      </c>
    </row>
    <row r="7444" spans="1:1">
      <c r="A7444" t="s">
        <v>7976</v>
      </c>
    </row>
    <row r="7445" spans="1:1">
      <c r="A7445" t="s">
        <v>7977</v>
      </c>
    </row>
    <row r="7446" spans="1:1">
      <c r="A7446" t="s">
        <v>7978</v>
      </c>
    </row>
    <row r="7447" spans="1:1">
      <c r="A7447" t="s">
        <v>7979</v>
      </c>
    </row>
    <row r="7448" spans="1:1">
      <c r="A7448" t="s">
        <v>7980</v>
      </c>
    </row>
    <row r="7449" spans="1:1">
      <c r="A7449" t="s">
        <v>7981</v>
      </c>
    </row>
    <row r="7450" spans="1:1">
      <c r="A7450" t="s">
        <v>7982</v>
      </c>
    </row>
    <row r="7451" spans="1:1">
      <c r="A7451" t="s">
        <v>7983</v>
      </c>
    </row>
    <row r="7452" spans="1:1">
      <c r="A7452" t="s">
        <v>7984</v>
      </c>
    </row>
    <row r="7453" spans="1:1">
      <c r="A7453" t="s">
        <v>7985</v>
      </c>
    </row>
    <row r="7454" spans="1:1">
      <c r="A7454" t="s">
        <v>7986</v>
      </c>
    </row>
    <row r="7455" spans="1:1">
      <c r="A7455" t="s">
        <v>7987</v>
      </c>
    </row>
    <row r="7456" spans="1:1">
      <c r="A7456" t="s">
        <v>7988</v>
      </c>
    </row>
    <row r="7457" spans="1:1">
      <c r="A7457" t="s">
        <v>7989</v>
      </c>
    </row>
    <row r="7458" spans="1:1">
      <c r="A7458" t="s">
        <v>7990</v>
      </c>
    </row>
    <row r="7459" spans="1:1">
      <c r="A7459" t="s">
        <v>7991</v>
      </c>
    </row>
    <row r="7460" spans="1:1">
      <c r="A7460" t="s">
        <v>7992</v>
      </c>
    </row>
    <row r="7461" spans="1:1">
      <c r="A7461" t="s">
        <v>7993</v>
      </c>
    </row>
    <row r="7462" spans="1:1">
      <c r="A7462" t="s">
        <v>7994</v>
      </c>
    </row>
    <row r="7463" spans="1:1">
      <c r="A7463" t="s">
        <v>7995</v>
      </c>
    </row>
    <row r="7464" spans="1:1">
      <c r="A7464" t="s">
        <v>7996</v>
      </c>
    </row>
    <row r="7465" spans="1:1">
      <c r="A7465" t="s">
        <v>7997</v>
      </c>
    </row>
    <row r="7466" spans="1:1">
      <c r="A7466" t="s">
        <v>7998</v>
      </c>
    </row>
    <row r="7467" spans="1:1">
      <c r="A7467" t="s">
        <v>7999</v>
      </c>
    </row>
    <row r="7468" spans="1:1">
      <c r="A7468" t="s">
        <v>8000</v>
      </c>
    </row>
    <row r="7469" spans="1:1">
      <c r="A7469" t="s">
        <v>8001</v>
      </c>
    </row>
    <row r="7470" spans="1:1">
      <c r="A7470" t="s">
        <v>8002</v>
      </c>
    </row>
    <row r="7471" spans="1:1">
      <c r="A7471" t="s">
        <v>8003</v>
      </c>
    </row>
    <row r="7472" spans="1:1">
      <c r="A7472" t="s">
        <v>8004</v>
      </c>
    </row>
    <row r="7473" spans="1:1">
      <c r="A7473" t="s">
        <v>8005</v>
      </c>
    </row>
    <row r="7474" spans="1:1">
      <c r="A7474" t="s">
        <v>8006</v>
      </c>
    </row>
    <row r="7475" spans="1:1">
      <c r="A7475" t="s">
        <v>8007</v>
      </c>
    </row>
    <row r="7476" spans="1:1">
      <c r="A7476" t="s">
        <v>8008</v>
      </c>
    </row>
    <row r="7477" spans="1:1">
      <c r="A7477" t="s">
        <v>8009</v>
      </c>
    </row>
    <row r="7478" spans="1:1">
      <c r="A7478" t="s">
        <v>8010</v>
      </c>
    </row>
    <row r="7479" spans="1:1">
      <c r="A7479" t="s">
        <v>8011</v>
      </c>
    </row>
    <row r="7480" spans="1:1">
      <c r="A7480" t="s">
        <v>8012</v>
      </c>
    </row>
    <row r="7481" spans="1:1">
      <c r="A7481" t="s">
        <v>8013</v>
      </c>
    </row>
    <row r="7482" spans="1:1">
      <c r="A7482" t="s">
        <v>8014</v>
      </c>
    </row>
    <row r="7483" spans="1:1">
      <c r="A7483" t="s">
        <v>8015</v>
      </c>
    </row>
    <row r="7484" spans="1:1">
      <c r="A7484" t="s">
        <v>8016</v>
      </c>
    </row>
    <row r="7485" spans="1:1">
      <c r="A7485" t="s">
        <v>8017</v>
      </c>
    </row>
    <row r="7486" spans="1:1">
      <c r="A7486" t="s">
        <v>8018</v>
      </c>
    </row>
    <row r="7487" spans="1:1">
      <c r="A7487" t="s">
        <v>8019</v>
      </c>
    </row>
    <row r="7488" spans="1:1">
      <c r="A7488" t="s">
        <v>8020</v>
      </c>
    </row>
    <row r="7489" spans="1:1">
      <c r="A7489" t="s">
        <v>8021</v>
      </c>
    </row>
    <row r="7490" spans="1:1">
      <c r="A7490" t="s">
        <v>8022</v>
      </c>
    </row>
    <row r="7491" spans="1:1">
      <c r="A7491" t="s">
        <v>8023</v>
      </c>
    </row>
    <row r="7492" spans="1:1">
      <c r="A7492" t="s">
        <v>8024</v>
      </c>
    </row>
    <row r="7493" spans="1:1">
      <c r="A7493" t="s">
        <v>8025</v>
      </c>
    </row>
    <row r="7494" spans="1:1">
      <c r="A7494" t="s">
        <v>8026</v>
      </c>
    </row>
    <row r="7495" spans="1:1">
      <c r="A7495" t="s">
        <v>8027</v>
      </c>
    </row>
    <row r="7496" spans="1:1">
      <c r="A7496" t="s">
        <v>8028</v>
      </c>
    </row>
    <row r="7497" spans="1:1">
      <c r="A7497" t="s">
        <v>8029</v>
      </c>
    </row>
    <row r="7498" spans="1:1">
      <c r="A7498" t="s">
        <v>8030</v>
      </c>
    </row>
    <row r="7499" spans="1:1">
      <c r="A7499" t="s">
        <v>8031</v>
      </c>
    </row>
    <row r="7500" spans="1:1">
      <c r="A7500" t="s">
        <v>8032</v>
      </c>
    </row>
    <row r="7501" spans="1:1">
      <c r="A7501" t="s">
        <v>8033</v>
      </c>
    </row>
    <row r="7502" spans="1:1">
      <c r="A7502" t="s">
        <v>8034</v>
      </c>
    </row>
    <row r="7503" spans="1:1">
      <c r="A7503" t="s">
        <v>8035</v>
      </c>
    </row>
    <row r="7504" spans="1:1">
      <c r="A7504" t="s">
        <v>8036</v>
      </c>
    </row>
    <row r="7505" spans="1:1">
      <c r="A7505" t="s">
        <v>8037</v>
      </c>
    </row>
    <row r="7506" spans="1:1">
      <c r="A7506" t="s">
        <v>8038</v>
      </c>
    </row>
    <row r="7507" spans="1:1">
      <c r="A7507" t="s">
        <v>8039</v>
      </c>
    </row>
    <row r="7508" spans="1:1">
      <c r="A7508" t="s">
        <v>8040</v>
      </c>
    </row>
    <row r="7509" spans="1:1">
      <c r="A7509" t="s">
        <v>8041</v>
      </c>
    </row>
    <row r="7510" spans="1:1">
      <c r="A7510" t="s">
        <v>8042</v>
      </c>
    </row>
    <row r="7511" spans="1:1">
      <c r="A7511" t="s">
        <v>8043</v>
      </c>
    </row>
    <row r="7512" spans="1:1">
      <c r="A7512" t="s">
        <v>8044</v>
      </c>
    </row>
    <row r="7513" spans="1:1">
      <c r="A7513" t="s">
        <v>8045</v>
      </c>
    </row>
    <row r="7514" spans="1:1">
      <c r="A7514" t="s">
        <v>8046</v>
      </c>
    </row>
    <row r="7515" spans="1:1">
      <c r="A7515" t="s">
        <v>8047</v>
      </c>
    </row>
    <row r="7516" spans="1:1">
      <c r="A7516" t="s">
        <v>8048</v>
      </c>
    </row>
    <row r="7517" spans="1:1">
      <c r="A7517" t="s">
        <v>8049</v>
      </c>
    </row>
    <row r="7518" spans="1:1">
      <c r="A7518" t="s">
        <v>8050</v>
      </c>
    </row>
    <row r="7519" spans="1:1">
      <c r="A7519" t="s">
        <v>8051</v>
      </c>
    </row>
    <row r="7520" spans="1:1">
      <c r="A7520" t="s">
        <v>8052</v>
      </c>
    </row>
    <row r="7521" spans="1:1">
      <c r="A7521" t="s">
        <v>8053</v>
      </c>
    </row>
    <row r="7522" spans="1:1">
      <c r="A7522" t="s">
        <v>8054</v>
      </c>
    </row>
    <row r="7523" spans="1:1">
      <c r="A7523" t="s">
        <v>8055</v>
      </c>
    </row>
    <row r="7524" spans="1:1">
      <c r="A7524" t="s">
        <v>8056</v>
      </c>
    </row>
    <row r="7525" spans="1:1">
      <c r="A7525" t="s">
        <v>8057</v>
      </c>
    </row>
    <row r="7526" spans="1:1">
      <c r="A7526" t="s">
        <v>8058</v>
      </c>
    </row>
    <row r="7527" spans="1:1">
      <c r="A7527" t="s">
        <v>8059</v>
      </c>
    </row>
    <row r="7528" spans="1:1">
      <c r="A7528" t="s">
        <v>8060</v>
      </c>
    </row>
    <row r="7529" spans="1:1">
      <c r="A7529" t="s">
        <v>8061</v>
      </c>
    </row>
    <row r="7530" spans="1:1">
      <c r="A7530" t="s">
        <v>8062</v>
      </c>
    </row>
    <row r="7531" spans="1:1">
      <c r="A7531" t="s">
        <v>8063</v>
      </c>
    </row>
    <row r="7532" spans="1:1">
      <c r="A7532" t="s">
        <v>8064</v>
      </c>
    </row>
    <row r="7533" spans="1:1">
      <c r="A7533" t="s">
        <v>8065</v>
      </c>
    </row>
    <row r="7534" spans="1:1">
      <c r="A7534" t="s">
        <v>8066</v>
      </c>
    </row>
    <row r="7535" spans="1:1">
      <c r="A7535" t="s">
        <v>8067</v>
      </c>
    </row>
    <row r="7536" spans="1:1">
      <c r="A7536" t="s">
        <v>8068</v>
      </c>
    </row>
    <row r="7537" spans="1:1">
      <c r="A7537" t="s">
        <v>8069</v>
      </c>
    </row>
    <row r="7538" spans="1:1">
      <c r="A7538" t="s">
        <v>8070</v>
      </c>
    </row>
    <row r="7539" spans="1:1">
      <c r="A7539" t="s">
        <v>8071</v>
      </c>
    </row>
    <row r="7540" spans="1:1">
      <c r="A7540" t="s">
        <v>8072</v>
      </c>
    </row>
    <row r="7541" spans="1:1">
      <c r="A7541" t="s">
        <v>8073</v>
      </c>
    </row>
    <row r="7542" spans="1:1">
      <c r="A7542" t="s">
        <v>8074</v>
      </c>
    </row>
    <row r="7543" spans="1:1">
      <c r="A7543" t="s">
        <v>8075</v>
      </c>
    </row>
    <row r="7544" spans="1:1">
      <c r="A7544" t="s">
        <v>8076</v>
      </c>
    </row>
    <row r="7545" spans="1:1">
      <c r="A7545" t="s">
        <v>8077</v>
      </c>
    </row>
    <row r="7546" spans="1:1">
      <c r="A7546" t="s">
        <v>8078</v>
      </c>
    </row>
    <row r="7547" spans="1:1">
      <c r="A7547" t="s">
        <v>8079</v>
      </c>
    </row>
    <row r="7548" spans="1:1">
      <c r="A7548" t="s">
        <v>8080</v>
      </c>
    </row>
    <row r="7549" spans="1:1">
      <c r="A7549" t="s">
        <v>8081</v>
      </c>
    </row>
    <row r="7550" spans="1:1">
      <c r="A7550" t="s">
        <v>8082</v>
      </c>
    </row>
    <row r="7551" spans="1:1">
      <c r="A7551" t="s">
        <v>8083</v>
      </c>
    </row>
    <row r="7552" spans="1:1">
      <c r="A7552" t="s">
        <v>8084</v>
      </c>
    </row>
    <row r="7553" spans="1:1">
      <c r="A7553" t="s">
        <v>8085</v>
      </c>
    </row>
    <row r="7554" spans="1:1">
      <c r="A7554" t="s">
        <v>8086</v>
      </c>
    </row>
    <row r="7555" spans="1:1">
      <c r="A7555" t="s">
        <v>8087</v>
      </c>
    </row>
    <row r="7556" spans="1:1">
      <c r="A7556" t="s">
        <v>8088</v>
      </c>
    </row>
    <row r="7557" spans="1:1">
      <c r="A7557" t="s">
        <v>8089</v>
      </c>
    </row>
    <row r="7558" spans="1:1">
      <c r="A7558" t="s">
        <v>8090</v>
      </c>
    </row>
    <row r="7559" spans="1:1">
      <c r="A7559" t="s">
        <v>8091</v>
      </c>
    </row>
    <row r="7560" spans="1:1">
      <c r="A7560" t="s">
        <v>8092</v>
      </c>
    </row>
    <row r="7561" spans="1:1">
      <c r="A7561" t="s">
        <v>8093</v>
      </c>
    </row>
    <row r="7562" spans="1:1">
      <c r="A7562" t="s">
        <v>8094</v>
      </c>
    </row>
    <row r="7563" spans="1:1">
      <c r="A7563" t="s">
        <v>8095</v>
      </c>
    </row>
    <row r="7564" spans="1:1">
      <c r="A7564" t="s">
        <v>8096</v>
      </c>
    </row>
    <row r="7565" spans="1:1">
      <c r="A7565" t="s">
        <v>8097</v>
      </c>
    </row>
    <row r="7566" spans="1:1">
      <c r="A7566" t="s">
        <v>8098</v>
      </c>
    </row>
    <row r="7567" spans="1:1">
      <c r="A7567" t="s">
        <v>8099</v>
      </c>
    </row>
    <row r="7568" spans="1:1">
      <c r="A7568" t="s">
        <v>8100</v>
      </c>
    </row>
    <row r="7569" spans="1:1">
      <c r="A7569" t="s">
        <v>8101</v>
      </c>
    </row>
    <row r="7570" spans="1:1">
      <c r="A7570" t="s">
        <v>8102</v>
      </c>
    </row>
    <row r="7571" spans="1:1">
      <c r="A7571" t="s">
        <v>8103</v>
      </c>
    </row>
    <row r="7572" spans="1:1">
      <c r="A7572" t="s">
        <v>8104</v>
      </c>
    </row>
    <row r="7573" spans="1:1">
      <c r="A7573" t="s">
        <v>8105</v>
      </c>
    </row>
    <row r="7574" spans="1:1">
      <c r="A7574" t="s">
        <v>8106</v>
      </c>
    </row>
    <row r="7575" spans="1:1">
      <c r="A7575" t="s">
        <v>8107</v>
      </c>
    </row>
    <row r="7576" spans="1:1">
      <c r="A7576" t="s">
        <v>8108</v>
      </c>
    </row>
    <row r="7577" spans="1:1">
      <c r="A7577" t="s">
        <v>8109</v>
      </c>
    </row>
    <row r="7578" spans="1:1">
      <c r="A7578" t="s">
        <v>8110</v>
      </c>
    </row>
    <row r="7579" spans="1:1">
      <c r="A7579" t="s">
        <v>8111</v>
      </c>
    </row>
    <row r="7580" spans="1:1">
      <c r="A7580" t="s">
        <v>8112</v>
      </c>
    </row>
    <row r="7581" spans="1:1">
      <c r="A7581" t="s">
        <v>8113</v>
      </c>
    </row>
    <row r="7582" spans="1:1">
      <c r="A7582" t="s">
        <v>8114</v>
      </c>
    </row>
    <row r="7583" spans="1:1">
      <c r="A7583" t="s">
        <v>8115</v>
      </c>
    </row>
    <row r="7584" spans="1:1">
      <c r="A7584" t="s">
        <v>8116</v>
      </c>
    </row>
    <row r="7585" spans="1:1">
      <c r="A7585" t="s">
        <v>8117</v>
      </c>
    </row>
    <row r="7586" spans="1:1">
      <c r="A7586" t="s">
        <v>8118</v>
      </c>
    </row>
    <row r="7587" spans="1:1">
      <c r="A7587" t="s">
        <v>8119</v>
      </c>
    </row>
    <row r="7588" spans="1:1">
      <c r="A7588" t="s">
        <v>8120</v>
      </c>
    </row>
    <row r="7589" spans="1:1">
      <c r="A7589" t="s">
        <v>8121</v>
      </c>
    </row>
    <row r="7590" spans="1:1">
      <c r="A7590" t="s">
        <v>8122</v>
      </c>
    </row>
    <row r="7591" spans="1:1">
      <c r="A7591" t="s">
        <v>8123</v>
      </c>
    </row>
    <row r="7592" spans="1:1">
      <c r="A7592" t="s">
        <v>8124</v>
      </c>
    </row>
    <row r="7593" spans="1:1">
      <c r="A7593" t="s">
        <v>8125</v>
      </c>
    </row>
    <row r="7594" spans="1:1">
      <c r="A7594" t="s">
        <v>8126</v>
      </c>
    </row>
    <row r="7595" spans="1:1">
      <c r="A7595" t="s">
        <v>8127</v>
      </c>
    </row>
    <row r="7596" spans="1:1">
      <c r="A7596" t="s">
        <v>8128</v>
      </c>
    </row>
    <row r="7597" spans="1:1">
      <c r="A7597" t="s">
        <v>8129</v>
      </c>
    </row>
    <row r="7598" spans="1:1">
      <c r="A7598" t="s">
        <v>8130</v>
      </c>
    </row>
    <row r="7599" spans="1:1">
      <c r="A7599" t="s">
        <v>8131</v>
      </c>
    </row>
    <row r="7600" spans="1:1">
      <c r="A7600" t="s">
        <v>8132</v>
      </c>
    </row>
    <row r="7601" spans="1:1">
      <c r="A7601" t="s">
        <v>8133</v>
      </c>
    </row>
    <row r="7602" spans="1:1">
      <c r="A7602" t="s">
        <v>8134</v>
      </c>
    </row>
    <row r="7603" spans="1:1">
      <c r="A7603" t="s">
        <v>8135</v>
      </c>
    </row>
    <row r="7604" spans="1:1">
      <c r="A7604" t="s">
        <v>8136</v>
      </c>
    </row>
    <row r="7605" spans="1:1">
      <c r="A7605" t="s">
        <v>8137</v>
      </c>
    </row>
    <row r="7606" spans="1:1">
      <c r="A7606" t="s">
        <v>8138</v>
      </c>
    </row>
    <row r="7607" spans="1:1">
      <c r="A7607" t="s">
        <v>8139</v>
      </c>
    </row>
    <row r="7608" spans="1:1">
      <c r="A7608" t="s">
        <v>8140</v>
      </c>
    </row>
    <row r="7609" spans="1:1">
      <c r="A7609" t="s">
        <v>8141</v>
      </c>
    </row>
    <row r="7610" spans="1:1">
      <c r="A7610" t="s">
        <v>8142</v>
      </c>
    </row>
    <row r="7611" spans="1:1">
      <c r="A7611" t="s">
        <v>8143</v>
      </c>
    </row>
    <row r="7612" spans="1:1">
      <c r="A7612" t="s">
        <v>8144</v>
      </c>
    </row>
    <row r="7613" spans="1:1">
      <c r="A7613" t="s">
        <v>8145</v>
      </c>
    </row>
    <row r="7614" spans="1:1">
      <c r="A7614" t="s">
        <v>8146</v>
      </c>
    </row>
    <row r="7615" spans="1:1">
      <c r="A7615" t="s">
        <v>8147</v>
      </c>
    </row>
    <row r="7616" spans="1:1">
      <c r="A7616" t="s">
        <v>8148</v>
      </c>
    </row>
    <row r="7617" spans="1:1">
      <c r="A7617" t="s">
        <v>8149</v>
      </c>
    </row>
    <row r="7618" spans="1:1">
      <c r="A7618" t="s">
        <v>8150</v>
      </c>
    </row>
    <row r="7619" spans="1:1">
      <c r="A7619" t="s">
        <v>8151</v>
      </c>
    </row>
    <row r="7620" spans="1:1">
      <c r="A7620" t="s">
        <v>8152</v>
      </c>
    </row>
    <row r="7621" spans="1:1">
      <c r="A7621" t="s">
        <v>8153</v>
      </c>
    </row>
    <row r="7622" spans="1:1">
      <c r="A7622" t="s">
        <v>8154</v>
      </c>
    </row>
    <row r="7623" spans="1:1">
      <c r="A7623" t="s">
        <v>8155</v>
      </c>
    </row>
    <row r="7624" spans="1:1">
      <c r="A7624" t="s">
        <v>8156</v>
      </c>
    </row>
    <row r="7625" spans="1:1">
      <c r="A7625" t="s">
        <v>8157</v>
      </c>
    </row>
    <row r="7626" spans="1:1">
      <c r="A7626" t="s">
        <v>8158</v>
      </c>
    </row>
    <row r="7627" spans="1:1">
      <c r="A7627" t="s">
        <v>8159</v>
      </c>
    </row>
    <row r="7628" spans="1:1">
      <c r="A7628" t="s">
        <v>8160</v>
      </c>
    </row>
    <row r="7629" spans="1:1">
      <c r="A7629" t="s">
        <v>8161</v>
      </c>
    </row>
    <row r="7630" spans="1:1">
      <c r="A7630" t="s">
        <v>8162</v>
      </c>
    </row>
    <row r="7631" spans="1:1">
      <c r="A7631" t="s">
        <v>8163</v>
      </c>
    </row>
    <row r="7632" spans="1:1">
      <c r="A7632" t="s">
        <v>8164</v>
      </c>
    </row>
    <row r="7633" spans="1:1">
      <c r="A7633" t="s">
        <v>8165</v>
      </c>
    </row>
    <row r="7634" spans="1:1">
      <c r="A7634" t="s">
        <v>8166</v>
      </c>
    </row>
    <row r="7635" spans="1:1">
      <c r="A7635" t="s">
        <v>8167</v>
      </c>
    </row>
    <row r="7636" spans="1:1">
      <c r="A7636" t="s">
        <v>8168</v>
      </c>
    </row>
    <row r="7637" spans="1:1">
      <c r="A7637" t="s">
        <v>8169</v>
      </c>
    </row>
    <row r="7638" spans="1:1">
      <c r="A7638" t="s">
        <v>8170</v>
      </c>
    </row>
    <row r="7639" spans="1:1">
      <c r="A7639" t="s">
        <v>8171</v>
      </c>
    </row>
    <row r="7640" spans="1:1">
      <c r="A7640" t="s">
        <v>8172</v>
      </c>
    </row>
    <row r="7641" spans="1:1">
      <c r="A7641" t="s">
        <v>8173</v>
      </c>
    </row>
    <row r="7642" spans="1:1">
      <c r="A7642" t="s">
        <v>8174</v>
      </c>
    </row>
    <row r="7643" spans="1:1">
      <c r="A7643" t="s">
        <v>8175</v>
      </c>
    </row>
    <row r="7644" spans="1:1">
      <c r="A7644" t="s">
        <v>8176</v>
      </c>
    </row>
    <row r="7645" spans="1:1">
      <c r="A7645" t="s">
        <v>8177</v>
      </c>
    </row>
    <row r="7646" spans="1:1">
      <c r="A7646" t="s">
        <v>8178</v>
      </c>
    </row>
    <row r="7647" spans="1:1">
      <c r="A7647" t="s">
        <v>8179</v>
      </c>
    </row>
    <row r="7648" spans="1:1">
      <c r="A7648" t="s">
        <v>8180</v>
      </c>
    </row>
    <row r="7649" spans="1:1">
      <c r="A7649" t="s">
        <v>8181</v>
      </c>
    </row>
    <row r="7650" spans="1:1">
      <c r="A7650" t="s">
        <v>8182</v>
      </c>
    </row>
    <row r="7651" spans="1:1">
      <c r="A7651" t="s">
        <v>8183</v>
      </c>
    </row>
    <row r="7652" spans="1:1">
      <c r="A7652" t="s">
        <v>8184</v>
      </c>
    </row>
    <row r="7653" spans="1:1">
      <c r="A7653" t="s">
        <v>8185</v>
      </c>
    </row>
    <row r="7654" spans="1:1">
      <c r="A7654" t="s">
        <v>8186</v>
      </c>
    </row>
    <row r="7655" spans="1:1">
      <c r="A7655" t="s">
        <v>8187</v>
      </c>
    </row>
    <row r="7656" spans="1:1">
      <c r="A7656" t="s">
        <v>8188</v>
      </c>
    </row>
    <row r="7657" spans="1:1">
      <c r="A7657" t="s">
        <v>8189</v>
      </c>
    </row>
    <row r="7658" spans="1:1">
      <c r="A7658" t="s">
        <v>8190</v>
      </c>
    </row>
    <row r="7659" spans="1:1">
      <c r="A7659" t="s">
        <v>8191</v>
      </c>
    </row>
    <row r="7660" spans="1:1">
      <c r="A7660" t="s">
        <v>8192</v>
      </c>
    </row>
    <row r="7661" spans="1:1">
      <c r="A7661" t="s">
        <v>8193</v>
      </c>
    </row>
    <row r="7662" spans="1:1">
      <c r="A7662" t="s">
        <v>8194</v>
      </c>
    </row>
    <row r="7663" spans="1:1">
      <c r="A7663" t="s">
        <v>8195</v>
      </c>
    </row>
    <row r="7664" spans="1:1">
      <c r="A7664" t="s">
        <v>8196</v>
      </c>
    </row>
    <row r="7665" spans="1:1">
      <c r="A7665" t="s">
        <v>8197</v>
      </c>
    </row>
    <row r="7666" spans="1:1">
      <c r="A7666" t="s">
        <v>8198</v>
      </c>
    </row>
    <row r="7667" spans="1:1">
      <c r="A7667" t="s">
        <v>8199</v>
      </c>
    </row>
    <row r="7668" spans="1:1">
      <c r="A7668" t="s">
        <v>8200</v>
      </c>
    </row>
    <row r="7669" spans="1:1">
      <c r="A7669" t="s">
        <v>8201</v>
      </c>
    </row>
    <row r="7670" spans="1:1">
      <c r="A7670" t="s">
        <v>8202</v>
      </c>
    </row>
    <row r="7671" spans="1:1">
      <c r="A7671" t="s">
        <v>8203</v>
      </c>
    </row>
    <row r="7672" spans="1:1">
      <c r="A7672" t="s">
        <v>8204</v>
      </c>
    </row>
    <row r="7673" spans="1:1">
      <c r="A7673" t="s">
        <v>8205</v>
      </c>
    </row>
    <row r="7674" spans="1:1">
      <c r="A7674" t="s">
        <v>8206</v>
      </c>
    </row>
    <row r="7675" spans="1:1">
      <c r="A7675" t="s">
        <v>8207</v>
      </c>
    </row>
    <row r="7676" spans="1:1">
      <c r="A7676" t="s">
        <v>8208</v>
      </c>
    </row>
    <row r="7677" spans="1:1">
      <c r="A7677" t="s">
        <v>8209</v>
      </c>
    </row>
    <row r="7678" spans="1:1">
      <c r="A7678" t="s">
        <v>8210</v>
      </c>
    </row>
    <row r="7679" spans="1:1">
      <c r="A7679" t="s">
        <v>8211</v>
      </c>
    </row>
    <row r="7680" spans="1:1">
      <c r="A7680" t="s">
        <v>8212</v>
      </c>
    </row>
    <row r="7681" spans="1:1">
      <c r="A7681" t="s">
        <v>8213</v>
      </c>
    </row>
    <row r="7682" spans="1:1">
      <c r="A7682" t="s">
        <v>8214</v>
      </c>
    </row>
    <row r="7683" spans="1:1">
      <c r="A7683" t="s">
        <v>8215</v>
      </c>
    </row>
    <row r="7684" spans="1:1">
      <c r="A7684" t="s">
        <v>8216</v>
      </c>
    </row>
    <row r="7685" spans="1:1">
      <c r="A7685" t="s">
        <v>8217</v>
      </c>
    </row>
    <row r="7686" spans="1:1">
      <c r="A7686" t="s">
        <v>8218</v>
      </c>
    </row>
    <row r="7687" spans="1:1">
      <c r="A7687" t="s">
        <v>8219</v>
      </c>
    </row>
    <row r="7688" spans="1:1">
      <c r="A7688" t="s">
        <v>8220</v>
      </c>
    </row>
    <row r="7689" spans="1:1">
      <c r="A7689" t="s">
        <v>8221</v>
      </c>
    </row>
    <row r="7690" spans="1:1">
      <c r="A7690" t="s">
        <v>8222</v>
      </c>
    </row>
    <row r="7691" spans="1:1">
      <c r="A7691" t="s">
        <v>8223</v>
      </c>
    </row>
    <row r="7692" spans="1:1">
      <c r="A7692" t="s">
        <v>8224</v>
      </c>
    </row>
    <row r="7693" spans="1:1">
      <c r="A7693" t="s">
        <v>8225</v>
      </c>
    </row>
    <row r="7694" spans="1:1">
      <c r="A7694" t="s">
        <v>8226</v>
      </c>
    </row>
    <row r="7695" spans="1:1">
      <c r="A7695" t="s">
        <v>8227</v>
      </c>
    </row>
    <row r="7696" spans="1:1">
      <c r="A7696" t="s">
        <v>8228</v>
      </c>
    </row>
    <row r="7697" spans="1:1">
      <c r="A7697" t="s">
        <v>8229</v>
      </c>
    </row>
    <row r="7698" spans="1:1">
      <c r="A7698" t="s">
        <v>8230</v>
      </c>
    </row>
    <row r="7699" spans="1:1">
      <c r="A7699" t="s">
        <v>8231</v>
      </c>
    </row>
    <row r="7700" spans="1:1">
      <c r="A7700" t="s">
        <v>8232</v>
      </c>
    </row>
    <row r="7701" spans="1:1">
      <c r="A7701" t="s">
        <v>8233</v>
      </c>
    </row>
    <row r="7702" spans="1:1">
      <c r="A7702" t="s">
        <v>8234</v>
      </c>
    </row>
    <row r="7703" spans="1:1">
      <c r="A7703" t="s">
        <v>8235</v>
      </c>
    </row>
    <row r="7704" spans="1:1">
      <c r="A7704" t="s">
        <v>8236</v>
      </c>
    </row>
    <row r="7705" spans="1:1">
      <c r="A7705" t="s">
        <v>8237</v>
      </c>
    </row>
    <row r="7706" spans="1:1">
      <c r="A7706" t="s">
        <v>8238</v>
      </c>
    </row>
    <row r="7707" spans="1:1">
      <c r="A7707" t="s">
        <v>8239</v>
      </c>
    </row>
    <row r="7708" spans="1:1">
      <c r="A7708" t="s">
        <v>8240</v>
      </c>
    </row>
    <row r="7709" spans="1:1">
      <c r="A7709" t="s">
        <v>8241</v>
      </c>
    </row>
    <row r="7710" spans="1:1">
      <c r="A7710" t="s">
        <v>8242</v>
      </c>
    </row>
    <row r="7711" spans="1:1">
      <c r="A7711" t="s">
        <v>8243</v>
      </c>
    </row>
    <row r="7712" spans="1:1">
      <c r="A7712" t="s">
        <v>8244</v>
      </c>
    </row>
    <row r="7713" spans="1:1">
      <c r="A7713" t="s">
        <v>8245</v>
      </c>
    </row>
    <row r="7714" spans="1:1">
      <c r="A7714" t="s">
        <v>8246</v>
      </c>
    </row>
    <row r="7715" spans="1:1">
      <c r="A7715" t="s">
        <v>8247</v>
      </c>
    </row>
    <row r="7716" spans="1:1">
      <c r="A7716" t="s">
        <v>8248</v>
      </c>
    </row>
    <row r="7717" spans="1:1">
      <c r="A7717" t="s">
        <v>8249</v>
      </c>
    </row>
    <row r="7718" spans="1:1">
      <c r="A7718" t="s">
        <v>8250</v>
      </c>
    </row>
    <row r="7719" spans="1:1">
      <c r="A7719" t="s">
        <v>8251</v>
      </c>
    </row>
    <row r="7720" spans="1:1">
      <c r="A7720" t="s">
        <v>8252</v>
      </c>
    </row>
    <row r="7721" spans="1:1">
      <c r="A7721" t="s">
        <v>8253</v>
      </c>
    </row>
    <row r="7722" spans="1:1">
      <c r="A7722" t="s">
        <v>8254</v>
      </c>
    </row>
    <row r="7723" spans="1:1">
      <c r="A7723" t="s">
        <v>8255</v>
      </c>
    </row>
    <row r="7724" spans="1:1">
      <c r="A7724" t="s">
        <v>8256</v>
      </c>
    </row>
    <row r="7725" spans="1:1">
      <c r="A7725" t="s">
        <v>8257</v>
      </c>
    </row>
    <row r="7726" spans="1:1">
      <c r="A7726" t="s">
        <v>8258</v>
      </c>
    </row>
    <row r="7727" spans="1:1">
      <c r="A7727" t="s">
        <v>8259</v>
      </c>
    </row>
    <row r="7728" spans="1:1">
      <c r="A7728" t="s">
        <v>8260</v>
      </c>
    </row>
    <row r="7729" spans="1:1">
      <c r="A7729" t="s">
        <v>8261</v>
      </c>
    </row>
    <row r="7730" spans="1:1">
      <c r="A7730" t="s">
        <v>8262</v>
      </c>
    </row>
    <row r="7731" spans="1:1">
      <c r="A7731" t="s">
        <v>8263</v>
      </c>
    </row>
    <row r="7732" spans="1:1">
      <c r="A7732" t="s">
        <v>8264</v>
      </c>
    </row>
    <row r="7733" spans="1:1">
      <c r="A7733" t="s">
        <v>8265</v>
      </c>
    </row>
    <row r="7734" spans="1:1">
      <c r="A7734" t="s">
        <v>8266</v>
      </c>
    </row>
    <row r="7735" spans="1:1">
      <c r="A7735" t="s">
        <v>8267</v>
      </c>
    </row>
    <row r="7736" spans="1:1">
      <c r="A7736" t="s">
        <v>8268</v>
      </c>
    </row>
    <row r="7737" spans="1:1">
      <c r="A7737" t="s">
        <v>8269</v>
      </c>
    </row>
    <row r="7738" spans="1:1">
      <c r="A7738" t="s">
        <v>8270</v>
      </c>
    </row>
    <row r="7739" spans="1:1">
      <c r="A7739" t="s">
        <v>8271</v>
      </c>
    </row>
    <row r="7740" spans="1:1">
      <c r="A7740" t="s">
        <v>8272</v>
      </c>
    </row>
    <row r="7741" spans="1:1">
      <c r="A7741" t="s">
        <v>8273</v>
      </c>
    </row>
    <row r="7742" spans="1:1">
      <c r="A7742" t="s">
        <v>8274</v>
      </c>
    </row>
    <row r="7743" spans="1:1">
      <c r="A7743" t="s">
        <v>8275</v>
      </c>
    </row>
    <row r="7744" spans="1:1">
      <c r="A7744" t="s">
        <v>8276</v>
      </c>
    </row>
    <row r="7745" spans="1:1">
      <c r="A7745" t="s">
        <v>8277</v>
      </c>
    </row>
    <row r="7746" spans="1:1">
      <c r="A7746" t="s">
        <v>8278</v>
      </c>
    </row>
    <row r="7747" spans="1:1">
      <c r="A7747" t="s">
        <v>8279</v>
      </c>
    </row>
    <row r="7748" spans="1:1">
      <c r="A7748" t="s">
        <v>8280</v>
      </c>
    </row>
    <row r="7749" spans="1:1">
      <c r="A7749" t="s">
        <v>8281</v>
      </c>
    </row>
    <row r="7750" spans="1:1">
      <c r="A7750" t="s">
        <v>8282</v>
      </c>
    </row>
    <row r="7751" spans="1:1">
      <c r="A7751" t="s">
        <v>8283</v>
      </c>
    </row>
    <row r="7752" spans="1:1">
      <c r="A7752" t="s">
        <v>8284</v>
      </c>
    </row>
    <row r="7753" spans="1:1">
      <c r="A7753" t="s">
        <v>8285</v>
      </c>
    </row>
    <row r="7754" spans="1:1">
      <c r="A7754" t="s">
        <v>8286</v>
      </c>
    </row>
    <row r="7755" spans="1:1">
      <c r="A7755" t="s">
        <v>8287</v>
      </c>
    </row>
    <row r="7756" spans="1:1">
      <c r="A7756" t="s">
        <v>8288</v>
      </c>
    </row>
    <row r="7757" spans="1:1">
      <c r="A7757" t="s">
        <v>8289</v>
      </c>
    </row>
    <row r="7758" spans="1:1">
      <c r="A7758" t="s">
        <v>8290</v>
      </c>
    </row>
    <row r="7759" spans="1:1">
      <c r="A7759" t="s">
        <v>8291</v>
      </c>
    </row>
    <row r="7760" spans="1:1">
      <c r="A7760" t="s">
        <v>8292</v>
      </c>
    </row>
    <row r="7761" spans="1:1">
      <c r="A7761" t="s">
        <v>8293</v>
      </c>
    </row>
    <row r="7762" spans="1:1">
      <c r="A7762" t="s">
        <v>8294</v>
      </c>
    </row>
    <row r="7763" spans="1:1">
      <c r="A7763" t="s">
        <v>8295</v>
      </c>
    </row>
    <row r="7764" spans="1:1">
      <c r="A7764" t="s">
        <v>8296</v>
      </c>
    </row>
    <row r="7765" spans="1:1">
      <c r="A7765" t="s">
        <v>8297</v>
      </c>
    </row>
    <row r="7766" spans="1:1">
      <c r="A7766" t="s">
        <v>8298</v>
      </c>
    </row>
    <row r="7767" spans="1:1">
      <c r="A7767" t="s">
        <v>8299</v>
      </c>
    </row>
    <row r="7768" spans="1:1">
      <c r="A7768" t="s">
        <v>8300</v>
      </c>
    </row>
    <row r="7769" spans="1:1">
      <c r="A7769" t="s">
        <v>8301</v>
      </c>
    </row>
    <row r="7770" spans="1:1">
      <c r="A7770" t="s">
        <v>8302</v>
      </c>
    </row>
    <row r="7771" spans="1:1">
      <c r="A7771" t="s">
        <v>8303</v>
      </c>
    </row>
    <row r="7772" spans="1:1">
      <c r="A7772" t="s">
        <v>8304</v>
      </c>
    </row>
    <row r="7773" spans="1:1">
      <c r="A7773" t="s">
        <v>8305</v>
      </c>
    </row>
    <row r="7774" spans="1:1">
      <c r="A7774" t="s">
        <v>8306</v>
      </c>
    </row>
    <row r="7775" spans="1:1">
      <c r="A7775" t="s">
        <v>8307</v>
      </c>
    </row>
    <row r="7776" spans="1:1">
      <c r="A7776" t="s">
        <v>8308</v>
      </c>
    </row>
    <row r="7777" spans="1:1">
      <c r="A7777" t="s">
        <v>8309</v>
      </c>
    </row>
    <row r="7778" spans="1:1">
      <c r="A7778" t="s">
        <v>8310</v>
      </c>
    </row>
    <row r="7779" spans="1:1">
      <c r="A7779" t="s">
        <v>8311</v>
      </c>
    </row>
    <row r="7780" spans="1:1">
      <c r="A7780" t="s">
        <v>8312</v>
      </c>
    </row>
    <row r="7781" spans="1:1">
      <c r="A7781" t="s">
        <v>8313</v>
      </c>
    </row>
    <row r="7782" spans="1:1">
      <c r="A7782" t="s">
        <v>8314</v>
      </c>
    </row>
    <row r="7783" spans="1:1">
      <c r="A7783" t="s">
        <v>8315</v>
      </c>
    </row>
    <row r="7784" spans="1:1">
      <c r="A7784" t="s">
        <v>8316</v>
      </c>
    </row>
    <row r="7785" spans="1:1">
      <c r="A7785" t="s">
        <v>8317</v>
      </c>
    </row>
    <row r="7786" spans="1:1">
      <c r="A7786" t="s">
        <v>8318</v>
      </c>
    </row>
    <row r="7787" spans="1:1">
      <c r="A7787" t="s">
        <v>8319</v>
      </c>
    </row>
    <row r="7788" spans="1:1">
      <c r="A7788" t="s">
        <v>8320</v>
      </c>
    </row>
    <row r="7789" spans="1:1">
      <c r="A7789" t="s">
        <v>8321</v>
      </c>
    </row>
    <row r="7790" spans="1:1">
      <c r="A7790" t="s">
        <v>8322</v>
      </c>
    </row>
    <row r="7791" spans="1:1">
      <c r="A7791" t="s">
        <v>8323</v>
      </c>
    </row>
    <row r="7792" spans="1:1">
      <c r="A7792" t="s">
        <v>8324</v>
      </c>
    </row>
    <row r="7793" spans="1:1">
      <c r="A7793" t="s">
        <v>8325</v>
      </c>
    </row>
    <row r="7794" spans="1:1">
      <c r="A7794" t="s">
        <v>8326</v>
      </c>
    </row>
    <row r="7795" spans="1:1">
      <c r="A7795" t="s">
        <v>8327</v>
      </c>
    </row>
    <row r="7796" spans="1:1">
      <c r="A7796" t="s">
        <v>8328</v>
      </c>
    </row>
    <row r="7797" spans="1:1">
      <c r="A7797" t="s">
        <v>8329</v>
      </c>
    </row>
    <row r="7798" spans="1:1">
      <c r="A7798" t="s">
        <v>8330</v>
      </c>
    </row>
    <row r="7799" spans="1:1">
      <c r="A7799" t="s">
        <v>8331</v>
      </c>
    </row>
    <row r="7800" spans="1:1">
      <c r="A7800" t="s">
        <v>8332</v>
      </c>
    </row>
    <row r="7801" spans="1:1">
      <c r="A7801" t="s">
        <v>8333</v>
      </c>
    </row>
    <row r="7802" spans="1:1">
      <c r="A7802" t="s">
        <v>8334</v>
      </c>
    </row>
    <row r="7803" spans="1:1">
      <c r="A7803" t="s">
        <v>8335</v>
      </c>
    </row>
    <row r="7804" spans="1:1">
      <c r="A7804" t="s">
        <v>8336</v>
      </c>
    </row>
    <row r="7805" spans="1:1">
      <c r="A7805" t="s">
        <v>8337</v>
      </c>
    </row>
    <row r="7806" spans="1:1">
      <c r="A7806" t="s">
        <v>8338</v>
      </c>
    </row>
    <row r="7807" spans="1:1">
      <c r="A7807" t="s">
        <v>8339</v>
      </c>
    </row>
    <row r="7808" spans="1:1">
      <c r="A7808" t="s">
        <v>8340</v>
      </c>
    </row>
    <row r="7809" spans="1:1">
      <c r="A7809" t="s">
        <v>8341</v>
      </c>
    </row>
    <row r="7810" spans="1:1">
      <c r="A7810" t="s">
        <v>8342</v>
      </c>
    </row>
    <row r="7811" spans="1:1">
      <c r="A7811" t="s">
        <v>8343</v>
      </c>
    </row>
    <row r="7812" spans="1:1">
      <c r="A7812" t="s">
        <v>8344</v>
      </c>
    </row>
    <row r="7813" spans="1:1">
      <c r="A7813" t="s">
        <v>8345</v>
      </c>
    </row>
    <row r="7814" spans="1:1">
      <c r="A7814" t="s">
        <v>8346</v>
      </c>
    </row>
    <row r="7815" spans="1:1">
      <c r="A7815" t="s">
        <v>8347</v>
      </c>
    </row>
    <row r="7816" spans="1:1">
      <c r="A7816" t="s">
        <v>8348</v>
      </c>
    </row>
    <row r="7817" spans="1:1">
      <c r="A7817" t="s">
        <v>8349</v>
      </c>
    </row>
    <row r="7818" spans="1:1">
      <c r="A7818" t="s">
        <v>8350</v>
      </c>
    </row>
    <row r="7819" spans="1:1">
      <c r="A7819" t="s">
        <v>8351</v>
      </c>
    </row>
    <row r="7820" spans="1:1">
      <c r="A7820" t="s">
        <v>8352</v>
      </c>
    </row>
    <row r="7821" spans="1:1">
      <c r="A7821" t="s">
        <v>8353</v>
      </c>
    </row>
    <row r="7822" spans="1:1">
      <c r="A7822" t="s">
        <v>8354</v>
      </c>
    </row>
    <row r="7823" spans="1:1">
      <c r="A7823" t="s">
        <v>8355</v>
      </c>
    </row>
    <row r="7824" spans="1:1">
      <c r="A7824" t="s">
        <v>8356</v>
      </c>
    </row>
    <row r="7825" spans="1:1">
      <c r="A7825" t="s">
        <v>8357</v>
      </c>
    </row>
    <row r="7826" spans="1:1">
      <c r="A7826" t="s">
        <v>8358</v>
      </c>
    </row>
    <row r="7827" spans="1:1">
      <c r="A7827" t="s">
        <v>8359</v>
      </c>
    </row>
    <row r="7828" spans="1:1">
      <c r="A7828" t="s">
        <v>8360</v>
      </c>
    </row>
    <row r="7829" spans="1:1">
      <c r="A7829" t="s">
        <v>8361</v>
      </c>
    </row>
    <row r="7830" spans="1:1">
      <c r="A7830" t="s">
        <v>8362</v>
      </c>
    </row>
    <row r="7831" spans="1:1">
      <c r="A7831" t="s">
        <v>8363</v>
      </c>
    </row>
    <row r="7832" spans="1:1">
      <c r="A7832" t="s">
        <v>8364</v>
      </c>
    </row>
    <row r="7833" spans="1:1">
      <c r="A7833" t="s">
        <v>8365</v>
      </c>
    </row>
    <row r="7834" spans="1:1">
      <c r="A7834" t="s">
        <v>8366</v>
      </c>
    </row>
    <row r="7835" spans="1:1">
      <c r="A7835" t="s">
        <v>8367</v>
      </c>
    </row>
    <row r="7836" spans="1:1">
      <c r="A7836" t="s">
        <v>8368</v>
      </c>
    </row>
    <row r="7837" spans="1:1">
      <c r="A7837" t="s">
        <v>8369</v>
      </c>
    </row>
    <row r="7838" spans="1:1">
      <c r="A7838" t="s">
        <v>8370</v>
      </c>
    </row>
    <row r="7839" spans="1:1">
      <c r="A7839" t="s">
        <v>8371</v>
      </c>
    </row>
    <row r="7840" spans="1:1">
      <c r="A7840" t="s">
        <v>8372</v>
      </c>
    </row>
    <row r="7841" spans="1:1">
      <c r="A7841" t="s">
        <v>8373</v>
      </c>
    </row>
    <row r="7842" spans="1:1">
      <c r="A7842" t="s">
        <v>8374</v>
      </c>
    </row>
    <row r="7843" spans="1:1">
      <c r="A7843" t="s">
        <v>8375</v>
      </c>
    </row>
    <row r="7844" spans="1:1">
      <c r="A7844" t="s">
        <v>8376</v>
      </c>
    </row>
    <row r="7845" spans="1:1">
      <c r="A7845" t="s">
        <v>8377</v>
      </c>
    </row>
    <row r="7846" spans="1:1">
      <c r="A7846" t="s">
        <v>8378</v>
      </c>
    </row>
    <row r="7847" spans="1:1">
      <c r="A7847" t="s">
        <v>8379</v>
      </c>
    </row>
    <row r="7848" spans="1:1">
      <c r="A7848" t="s">
        <v>8380</v>
      </c>
    </row>
    <row r="7849" spans="1:1">
      <c r="A7849" t="s">
        <v>8381</v>
      </c>
    </row>
    <row r="7850" spans="1:1">
      <c r="A7850" t="s">
        <v>8382</v>
      </c>
    </row>
    <row r="7851" spans="1:1">
      <c r="A7851" t="s">
        <v>8383</v>
      </c>
    </row>
    <row r="7852" spans="1:1">
      <c r="A7852" t="s">
        <v>8384</v>
      </c>
    </row>
    <row r="7853" spans="1:1">
      <c r="A7853" t="s">
        <v>8385</v>
      </c>
    </row>
    <row r="7854" spans="1:1">
      <c r="A7854" t="s">
        <v>8386</v>
      </c>
    </row>
    <row r="7855" spans="1:1">
      <c r="A7855" t="s">
        <v>8387</v>
      </c>
    </row>
    <row r="7856" spans="1:1">
      <c r="A7856" t="s">
        <v>8388</v>
      </c>
    </row>
    <row r="7857" spans="1:1">
      <c r="A7857" t="s">
        <v>8389</v>
      </c>
    </row>
    <row r="7858" spans="1:1">
      <c r="A7858" t="s">
        <v>8390</v>
      </c>
    </row>
    <row r="7859" spans="1:1">
      <c r="A7859" t="s">
        <v>8391</v>
      </c>
    </row>
    <row r="7860" spans="1:1">
      <c r="A7860" t="s">
        <v>8392</v>
      </c>
    </row>
    <row r="7861" spans="1:1">
      <c r="A7861" t="s">
        <v>8393</v>
      </c>
    </row>
    <row r="7862" spans="1:1">
      <c r="A7862" t="s">
        <v>8394</v>
      </c>
    </row>
    <row r="7863" spans="1:1">
      <c r="A7863" t="s">
        <v>8395</v>
      </c>
    </row>
    <row r="7864" spans="1:1">
      <c r="A7864" t="s">
        <v>8396</v>
      </c>
    </row>
    <row r="7865" spans="1:1">
      <c r="A7865" t="s">
        <v>8397</v>
      </c>
    </row>
    <row r="7866" spans="1:1">
      <c r="A7866" t="s">
        <v>8398</v>
      </c>
    </row>
    <row r="7867" spans="1:1">
      <c r="A7867" t="s">
        <v>8399</v>
      </c>
    </row>
    <row r="7868" spans="1:1">
      <c r="A7868" t="s">
        <v>8400</v>
      </c>
    </row>
    <row r="7869" spans="1:1">
      <c r="A7869" t="s">
        <v>8401</v>
      </c>
    </row>
    <row r="7870" spans="1:1">
      <c r="A7870" t="s">
        <v>8402</v>
      </c>
    </row>
    <row r="7871" spans="1:1">
      <c r="A7871" t="s">
        <v>8403</v>
      </c>
    </row>
    <row r="7872" spans="1:1">
      <c r="A7872" t="s">
        <v>8404</v>
      </c>
    </row>
    <row r="7873" spans="1:1">
      <c r="A7873" t="s">
        <v>8405</v>
      </c>
    </row>
    <row r="7874" spans="1:1">
      <c r="A7874" t="s">
        <v>8406</v>
      </c>
    </row>
    <row r="7875" spans="1:1">
      <c r="A7875" t="s">
        <v>8407</v>
      </c>
    </row>
    <row r="7876" spans="1:1">
      <c r="A7876" t="s">
        <v>8408</v>
      </c>
    </row>
    <row r="7877" spans="1:1">
      <c r="A7877" t="s">
        <v>8409</v>
      </c>
    </row>
    <row r="7878" spans="1:1">
      <c r="A7878" t="s">
        <v>8410</v>
      </c>
    </row>
    <row r="7879" spans="1:1">
      <c r="A7879" t="s">
        <v>8411</v>
      </c>
    </row>
    <row r="7880" spans="1:1">
      <c r="A7880" t="s">
        <v>8412</v>
      </c>
    </row>
    <row r="7881" spans="1:1">
      <c r="A7881" t="s">
        <v>8413</v>
      </c>
    </row>
    <row r="7882" spans="1:1">
      <c r="A7882" t="s">
        <v>8414</v>
      </c>
    </row>
    <row r="7883" spans="1:1">
      <c r="A7883" t="s">
        <v>8415</v>
      </c>
    </row>
    <row r="7884" spans="1:1">
      <c r="A7884" t="s">
        <v>8416</v>
      </c>
    </row>
    <row r="7885" spans="1:1">
      <c r="A7885" t="s">
        <v>8417</v>
      </c>
    </row>
    <row r="7886" spans="1:1">
      <c r="A7886" t="s">
        <v>8418</v>
      </c>
    </row>
    <row r="7887" spans="1:1">
      <c r="A7887" t="s">
        <v>8419</v>
      </c>
    </row>
    <row r="7888" spans="1:1">
      <c r="A7888" t="s">
        <v>8420</v>
      </c>
    </row>
    <row r="7889" spans="1:1">
      <c r="A7889" t="s">
        <v>8421</v>
      </c>
    </row>
    <row r="7890" spans="1:1">
      <c r="A7890" t="s">
        <v>8422</v>
      </c>
    </row>
    <row r="7891" spans="1:1">
      <c r="A7891" t="s">
        <v>8423</v>
      </c>
    </row>
    <row r="7892" spans="1:1">
      <c r="A7892" t="s">
        <v>8424</v>
      </c>
    </row>
    <row r="7893" spans="1:1">
      <c r="A7893" t="s">
        <v>8425</v>
      </c>
    </row>
    <row r="7894" spans="1:1">
      <c r="A7894" t="s">
        <v>8426</v>
      </c>
    </row>
    <row r="7895" spans="1:1">
      <c r="A7895" t="s">
        <v>8427</v>
      </c>
    </row>
    <row r="7896" spans="1:1">
      <c r="A7896" t="s">
        <v>8428</v>
      </c>
    </row>
    <row r="7897" spans="1:1">
      <c r="A7897" t="s">
        <v>8429</v>
      </c>
    </row>
    <row r="7898" spans="1:1">
      <c r="A7898" t="s">
        <v>8430</v>
      </c>
    </row>
    <row r="7899" spans="1:1">
      <c r="A7899" t="s">
        <v>8431</v>
      </c>
    </row>
    <row r="7900" spans="1:1">
      <c r="A7900" t="s">
        <v>8432</v>
      </c>
    </row>
    <row r="7901" spans="1:1">
      <c r="A7901" t="s">
        <v>8433</v>
      </c>
    </row>
    <row r="7902" spans="1:1">
      <c r="A7902" t="s">
        <v>8434</v>
      </c>
    </row>
    <row r="7903" spans="1:1">
      <c r="A7903" t="s">
        <v>8435</v>
      </c>
    </row>
    <row r="7904" spans="1:1">
      <c r="A7904" t="s">
        <v>8436</v>
      </c>
    </row>
    <row r="7905" spans="1:1">
      <c r="A7905" t="s">
        <v>8437</v>
      </c>
    </row>
    <row r="7906" spans="1:1">
      <c r="A7906" t="s">
        <v>8438</v>
      </c>
    </row>
    <row r="7907" spans="1:1">
      <c r="A7907" t="s">
        <v>8439</v>
      </c>
    </row>
    <row r="7908" spans="1:1">
      <c r="A7908" t="s">
        <v>8440</v>
      </c>
    </row>
    <row r="7909" spans="1:1">
      <c r="A7909" t="s">
        <v>8441</v>
      </c>
    </row>
    <row r="7910" spans="1:1">
      <c r="A7910" t="s">
        <v>8442</v>
      </c>
    </row>
    <row r="7911" spans="1:1">
      <c r="A7911" t="s">
        <v>8443</v>
      </c>
    </row>
    <row r="7912" spans="1:1">
      <c r="A7912" t="s">
        <v>8444</v>
      </c>
    </row>
    <row r="7913" spans="1:1">
      <c r="A7913" t="s">
        <v>8445</v>
      </c>
    </row>
    <row r="7914" spans="1:1">
      <c r="A7914" t="s">
        <v>8446</v>
      </c>
    </row>
    <row r="7915" spans="1:1">
      <c r="A7915" t="s">
        <v>8447</v>
      </c>
    </row>
    <row r="7916" spans="1:1">
      <c r="A7916" t="s">
        <v>8448</v>
      </c>
    </row>
    <row r="7917" spans="1:1">
      <c r="A7917" t="s">
        <v>8449</v>
      </c>
    </row>
    <row r="7918" spans="1:1">
      <c r="A7918" t="s">
        <v>8450</v>
      </c>
    </row>
    <row r="7919" spans="1:1">
      <c r="A7919" t="s">
        <v>8451</v>
      </c>
    </row>
    <row r="7920" spans="1:1">
      <c r="A7920" t="s">
        <v>8452</v>
      </c>
    </row>
    <row r="7921" spans="1:1">
      <c r="A7921" t="s">
        <v>8453</v>
      </c>
    </row>
    <row r="7922" spans="1:1">
      <c r="A7922" t="s">
        <v>8454</v>
      </c>
    </row>
    <row r="7923" spans="1:1">
      <c r="A7923" t="s">
        <v>8455</v>
      </c>
    </row>
    <row r="7924" spans="1:1">
      <c r="A7924" t="s">
        <v>8456</v>
      </c>
    </row>
    <row r="7925" spans="1:1">
      <c r="A7925" t="s">
        <v>8457</v>
      </c>
    </row>
    <row r="7926" spans="1:1">
      <c r="A7926" t="s">
        <v>8458</v>
      </c>
    </row>
    <row r="7927" spans="1:1">
      <c r="A7927" t="s">
        <v>8459</v>
      </c>
    </row>
    <row r="7928" spans="1:1">
      <c r="A7928" t="s">
        <v>8460</v>
      </c>
    </row>
    <row r="7929" spans="1:1">
      <c r="A7929" t="s">
        <v>8461</v>
      </c>
    </row>
    <row r="7930" spans="1:1">
      <c r="A7930" t="s">
        <v>8462</v>
      </c>
    </row>
    <row r="7931" spans="1:1">
      <c r="A7931" t="s">
        <v>8463</v>
      </c>
    </row>
    <row r="7932" spans="1:1">
      <c r="A7932" t="s">
        <v>8464</v>
      </c>
    </row>
    <row r="7933" spans="1:1">
      <c r="A7933" t="s">
        <v>8465</v>
      </c>
    </row>
    <row r="7934" spans="1:1">
      <c r="A7934" t="s">
        <v>8466</v>
      </c>
    </row>
    <row r="7935" spans="1:1">
      <c r="A7935" t="s">
        <v>8467</v>
      </c>
    </row>
    <row r="7936" spans="1:1">
      <c r="A7936" t="s">
        <v>8468</v>
      </c>
    </row>
    <row r="7937" spans="1:1">
      <c r="A7937" t="s">
        <v>8469</v>
      </c>
    </row>
    <row r="7938" spans="1:1">
      <c r="A7938" t="s">
        <v>8470</v>
      </c>
    </row>
    <row r="7939" spans="1:1">
      <c r="A7939" t="s">
        <v>8471</v>
      </c>
    </row>
    <row r="7940" spans="1:1">
      <c r="A7940" t="s">
        <v>8472</v>
      </c>
    </row>
    <row r="7941" spans="1:1">
      <c r="A7941" t="s">
        <v>8473</v>
      </c>
    </row>
    <row r="7942" spans="1:1">
      <c r="A7942" t="s">
        <v>8474</v>
      </c>
    </row>
    <row r="7943" spans="1:1">
      <c r="A7943" t="s">
        <v>8475</v>
      </c>
    </row>
    <row r="7944" spans="1:1">
      <c r="A7944" t="s">
        <v>8476</v>
      </c>
    </row>
    <row r="7945" spans="1:1">
      <c r="A7945" t="s">
        <v>8477</v>
      </c>
    </row>
    <row r="7946" spans="1:1">
      <c r="A7946" t="s">
        <v>8478</v>
      </c>
    </row>
    <row r="7947" spans="1:1">
      <c r="A7947" t="s">
        <v>8479</v>
      </c>
    </row>
    <row r="7948" spans="1:1">
      <c r="A7948" t="s">
        <v>8480</v>
      </c>
    </row>
    <row r="7949" spans="1:1">
      <c r="A7949" t="s">
        <v>8481</v>
      </c>
    </row>
    <row r="7950" spans="1:1">
      <c r="A7950" t="s">
        <v>8482</v>
      </c>
    </row>
    <row r="7951" spans="1:1">
      <c r="A7951" t="s">
        <v>8483</v>
      </c>
    </row>
    <row r="7952" spans="1:1">
      <c r="A7952" t="s">
        <v>8484</v>
      </c>
    </row>
    <row r="7953" spans="1:1">
      <c r="A7953" t="s">
        <v>8485</v>
      </c>
    </row>
    <row r="7954" spans="1:1">
      <c r="A7954" t="s">
        <v>8486</v>
      </c>
    </row>
    <row r="7955" spans="1:1">
      <c r="A7955" t="s">
        <v>8487</v>
      </c>
    </row>
    <row r="7956" spans="1:1">
      <c r="A7956" t="s">
        <v>8488</v>
      </c>
    </row>
    <row r="7957" spans="1:1">
      <c r="A7957" t="s">
        <v>8489</v>
      </c>
    </row>
    <row r="7958" spans="1:1">
      <c r="A7958" t="s">
        <v>8490</v>
      </c>
    </row>
    <row r="7959" spans="1:1">
      <c r="A7959" t="s">
        <v>8491</v>
      </c>
    </row>
    <row r="7960" spans="1:1">
      <c r="A7960" t="s">
        <v>8492</v>
      </c>
    </row>
    <row r="7961" spans="1:1">
      <c r="A7961" t="s">
        <v>8493</v>
      </c>
    </row>
    <row r="7962" spans="1:1">
      <c r="A7962" t="s">
        <v>8494</v>
      </c>
    </row>
    <row r="7963" spans="1:1">
      <c r="A7963" t="s">
        <v>8495</v>
      </c>
    </row>
    <row r="7964" spans="1:1">
      <c r="A7964" t="s">
        <v>8496</v>
      </c>
    </row>
    <row r="7965" spans="1:1">
      <c r="A7965" t="s">
        <v>8497</v>
      </c>
    </row>
    <row r="7966" spans="1:1">
      <c r="A7966" t="s">
        <v>8498</v>
      </c>
    </row>
    <row r="7967" spans="1:1">
      <c r="A7967" t="s">
        <v>8499</v>
      </c>
    </row>
    <row r="7968" spans="1:1">
      <c r="A7968" t="s">
        <v>8500</v>
      </c>
    </row>
    <row r="7969" spans="1:1">
      <c r="A7969" t="s">
        <v>8501</v>
      </c>
    </row>
    <row r="7970" spans="1:1">
      <c r="A7970" t="s">
        <v>8502</v>
      </c>
    </row>
    <row r="7971" spans="1:1">
      <c r="A7971" t="s">
        <v>8503</v>
      </c>
    </row>
    <row r="7972" spans="1:1">
      <c r="A7972" t="s">
        <v>8504</v>
      </c>
    </row>
    <row r="7973" spans="1:1">
      <c r="A7973" t="s">
        <v>8505</v>
      </c>
    </row>
    <row r="7974" spans="1:1">
      <c r="A7974" t="s">
        <v>8506</v>
      </c>
    </row>
    <row r="7975" spans="1:1">
      <c r="A7975" t="s">
        <v>8507</v>
      </c>
    </row>
    <row r="7976" spans="1:1">
      <c r="A7976" t="s">
        <v>8508</v>
      </c>
    </row>
    <row r="7977" spans="1:1">
      <c r="A7977" t="s">
        <v>8509</v>
      </c>
    </row>
    <row r="7978" spans="1:1">
      <c r="A7978" t="s">
        <v>8510</v>
      </c>
    </row>
    <row r="7979" spans="1:1">
      <c r="A7979" t="s">
        <v>8511</v>
      </c>
    </row>
    <row r="7980" spans="1:1">
      <c r="A7980" t="s">
        <v>8512</v>
      </c>
    </row>
    <row r="7981" spans="1:1">
      <c r="A7981" t="s">
        <v>8513</v>
      </c>
    </row>
    <row r="7982" spans="1:1">
      <c r="A7982" t="s">
        <v>8514</v>
      </c>
    </row>
    <row r="7983" spans="1:1">
      <c r="A7983" t="s">
        <v>8515</v>
      </c>
    </row>
    <row r="7984" spans="1:1">
      <c r="A7984" t="s">
        <v>8516</v>
      </c>
    </row>
    <row r="7985" spans="1:1">
      <c r="A7985" t="s">
        <v>8517</v>
      </c>
    </row>
    <row r="7986" spans="1:1">
      <c r="A7986" t="s">
        <v>8518</v>
      </c>
    </row>
    <row r="7987" spans="1:1">
      <c r="A7987" t="s">
        <v>8519</v>
      </c>
    </row>
    <row r="7988" spans="1:1">
      <c r="A7988" t="s">
        <v>8520</v>
      </c>
    </row>
    <row r="7989" spans="1:1">
      <c r="A7989" t="s">
        <v>8521</v>
      </c>
    </row>
    <row r="7990" spans="1:1">
      <c r="A7990" t="s">
        <v>8522</v>
      </c>
    </row>
    <row r="7991" spans="1:1">
      <c r="A7991" t="s">
        <v>8523</v>
      </c>
    </row>
    <row r="7992" spans="1:1">
      <c r="A7992" t="s">
        <v>8524</v>
      </c>
    </row>
    <row r="7993" spans="1:1">
      <c r="A7993" t="s">
        <v>8525</v>
      </c>
    </row>
    <row r="7994" spans="1:1">
      <c r="A7994" t="s">
        <v>8526</v>
      </c>
    </row>
    <row r="7995" spans="1:1">
      <c r="A7995" t="s">
        <v>8527</v>
      </c>
    </row>
    <row r="7996" spans="1:1">
      <c r="A7996" t="s">
        <v>8528</v>
      </c>
    </row>
    <row r="7997" spans="1:1">
      <c r="A7997" t="s">
        <v>8529</v>
      </c>
    </row>
    <row r="7998" spans="1:1">
      <c r="A7998" t="s">
        <v>8530</v>
      </c>
    </row>
    <row r="7999" spans="1:1">
      <c r="A7999" t="s">
        <v>8531</v>
      </c>
    </row>
    <row r="8000" spans="1:1">
      <c r="A8000" t="s">
        <v>8532</v>
      </c>
    </row>
    <row r="8001" spans="1:1">
      <c r="A8001" t="s">
        <v>8533</v>
      </c>
    </row>
    <row r="8002" spans="1:1">
      <c r="A8002" t="s">
        <v>8534</v>
      </c>
    </row>
    <row r="8003" spans="1:1">
      <c r="A8003" t="s">
        <v>8535</v>
      </c>
    </row>
    <row r="8004" spans="1:1">
      <c r="A8004" t="s">
        <v>8536</v>
      </c>
    </row>
    <row r="8005" spans="1:1">
      <c r="A8005" t="s">
        <v>8537</v>
      </c>
    </row>
    <row r="8006" spans="1:1">
      <c r="A8006" t="s">
        <v>8538</v>
      </c>
    </row>
    <row r="8007" spans="1:1">
      <c r="A8007" t="s">
        <v>8539</v>
      </c>
    </row>
    <row r="8008" spans="1:1">
      <c r="A8008" t="s">
        <v>8540</v>
      </c>
    </row>
    <row r="8009" spans="1:1">
      <c r="A8009" t="s">
        <v>8541</v>
      </c>
    </row>
    <row r="8010" spans="1:1">
      <c r="A8010" t="s">
        <v>8542</v>
      </c>
    </row>
    <row r="8011" spans="1:1">
      <c r="A8011" t="s">
        <v>8543</v>
      </c>
    </row>
    <row r="8012" spans="1:1">
      <c r="A8012" t="s">
        <v>8544</v>
      </c>
    </row>
    <row r="8013" spans="1:1">
      <c r="A8013" t="s">
        <v>8545</v>
      </c>
    </row>
    <row r="8014" spans="1:1">
      <c r="A8014" t="s">
        <v>8546</v>
      </c>
    </row>
    <row r="8015" spans="1:1">
      <c r="A8015" t="s">
        <v>8547</v>
      </c>
    </row>
    <row r="8016" spans="1:1">
      <c r="A8016" t="s">
        <v>8548</v>
      </c>
    </row>
    <row r="8017" spans="1:1">
      <c r="A8017" t="s">
        <v>8549</v>
      </c>
    </row>
    <row r="8018" spans="1:1">
      <c r="A8018" t="s">
        <v>8550</v>
      </c>
    </row>
    <row r="8019" spans="1:1">
      <c r="A8019" t="s">
        <v>8551</v>
      </c>
    </row>
    <row r="8020" spans="1:1">
      <c r="A8020" t="s">
        <v>8552</v>
      </c>
    </row>
    <row r="8021" spans="1:1">
      <c r="A8021" t="s">
        <v>8553</v>
      </c>
    </row>
    <row r="8022" spans="1:1">
      <c r="A8022" t="s">
        <v>8554</v>
      </c>
    </row>
    <row r="8023" spans="1:1">
      <c r="A8023" t="s">
        <v>8555</v>
      </c>
    </row>
    <row r="8024" spans="1:1">
      <c r="A8024" t="s">
        <v>8556</v>
      </c>
    </row>
    <row r="8025" spans="1:1">
      <c r="A8025" t="s">
        <v>8557</v>
      </c>
    </row>
    <row r="8026" spans="1:1">
      <c r="A8026" t="s">
        <v>8558</v>
      </c>
    </row>
    <row r="8027" spans="1:1">
      <c r="A8027" t="s">
        <v>8559</v>
      </c>
    </row>
    <row r="8028" spans="1:1">
      <c r="A8028" t="s">
        <v>8560</v>
      </c>
    </row>
    <row r="8029" spans="1:1">
      <c r="A8029" t="s">
        <v>8561</v>
      </c>
    </row>
    <row r="8030" spans="1:1">
      <c r="A8030" t="s">
        <v>8562</v>
      </c>
    </row>
    <row r="8031" spans="1:1">
      <c r="A8031" t="s">
        <v>8563</v>
      </c>
    </row>
    <row r="8032" spans="1:1">
      <c r="A8032" t="s">
        <v>8564</v>
      </c>
    </row>
    <row r="8033" spans="1:1">
      <c r="A8033" t="s">
        <v>8565</v>
      </c>
    </row>
    <row r="8034" spans="1:1">
      <c r="A8034" t="s">
        <v>8566</v>
      </c>
    </row>
    <row r="8035" spans="1:1">
      <c r="A8035" t="s">
        <v>8567</v>
      </c>
    </row>
    <row r="8036" spans="1:1">
      <c r="A8036" t="s">
        <v>8568</v>
      </c>
    </row>
    <row r="8037" spans="1:1">
      <c r="A8037" t="s">
        <v>8569</v>
      </c>
    </row>
    <row r="8038" spans="1:1">
      <c r="A8038" t="s">
        <v>8570</v>
      </c>
    </row>
    <row r="8039" spans="1:1">
      <c r="A8039" t="s">
        <v>8571</v>
      </c>
    </row>
    <row r="8040" spans="1:1">
      <c r="A8040" t="s">
        <v>8572</v>
      </c>
    </row>
    <row r="8041" spans="1:1">
      <c r="A8041" t="s">
        <v>8573</v>
      </c>
    </row>
    <row r="8042" spans="1:1">
      <c r="A8042" t="s">
        <v>8574</v>
      </c>
    </row>
    <row r="8043" spans="1:1">
      <c r="A8043" t="s">
        <v>8575</v>
      </c>
    </row>
    <row r="8044" spans="1:1">
      <c r="A8044" t="s">
        <v>8576</v>
      </c>
    </row>
    <row r="8045" spans="1:1">
      <c r="A8045" t="s">
        <v>8577</v>
      </c>
    </row>
    <row r="8046" spans="1:1">
      <c r="A8046" t="s">
        <v>8578</v>
      </c>
    </row>
    <row r="8047" spans="1:1">
      <c r="A8047" t="s">
        <v>8579</v>
      </c>
    </row>
    <row r="8048" spans="1:1">
      <c r="A8048" t="s">
        <v>8580</v>
      </c>
    </row>
    <row r="8049" spans="1:1">
      <c r="A8049" t="s">
        <v>8581</v>
      </c>
    </row>
    <row r="8050" spans="1:1">
      <c r="A8050" t="s">
        <v>8582</v>
      </c>
    </row>
    <row r="8051" spans="1:1">
      <c r="A8051" t="s">
        <v>8583</v>
      </c>
    </row>
    <row r="8052" spans="1:1">
      <c r="A8052" t="s">
        <v>8584</v>
      </c>
    </row>
    <row r="8053" spans="1:1">
      <c r="A8053" t="s">
        <v>8585</v>
      </c>
    </row>
    <row r="8054" spans="1:1">
      <c r="A8054" t="s">
        <v>8586</v>
      </c>
    </row>
    <row r="8055" spans="1:1">
      <c r="A8055" t="s">
        <v>8587</v>
      </c>
    </row>
    <row r="8056" spans="1:1">
      <c r="A8056" t="s">
        <v>8588</v>
      </c>
    </row>
    <row r="8057" spans="1:1">
      <c r="A8057" t="s">
        <v>8589</v>
      </c>
    </row>
    <row r="8058" spans="1:1">
      <c r="A8058" t="s">
        <v>8590</v>
      </c>
    </row>
    <row r="8059" spans="1:1">
      <c r="A8059" t="s">
        <v>8591</v>
      </c>
    </row>
    <row r="8060" spans="1:1">
      <c r="A8060" t="s">
        <v>8592</v>
      </c>
    </row>
    <row r="8061" spans="1:1">
      <c r="A8061" t="s">
        <v>8593</v>
      </c>
    </row>
    <row r="8062" spans="1:1">
      <c r="A8062" t="s">
        <v>8594</v>
      </c>
    </row>
    <row r="8063" spans="1:1">
      <c r="A8063" t="s">
        <v>8595</v>
      </c>
    </row>
    <row r="8064" spans="1:1">
      <c r="A8064" t="s">
        <v>8596</v>
      </c>
    </row>
    <row r="8065" spans="1:1">
      <c r="A8065" t="s">
        <v>8597</v>
      </c>
    </row>
    <row r="8066" spans="1:1">
      <c r="A8066" t="s">
        <v>8598</v>
      </c>
    </row>
    <row r="8067" spans="1:1">
      <c r="A8067" t="s">
        <v>8599</v>
      </c>
    </row>
    <row r="8068" spans="1:1">
      <c r="A8068" t="s">
        <v>8600</v>
      </c>
    </row>
    <row r="8069" spans="1:1">
      <c r="A8069" t="s">
        <v>8601</v>
      </c>
    </row>
    <row r="8070" spans="1:1">
      <c r="A8070" t="s">
        <v>8602</v>
      </c>
    </row>
    <row r="8071" spans="1:1">
      <c r="A8071" t="s">
        <v>8603</v>
      </c>
    </row>
    <row r="8072" spans="1:1">
      <c r="A8072" t="s">
        <v>8604</v>
      </c>
    </row>
    <row r="8073" spans="1:1">
      <c r="A8073" t="s">
        <v>8605</v>
      </c>
    </row>
    <row r="8074" spans="1:1">
      <c r="A8074" t="s">
        <v>8606</v>
      </c>
    </row>
    <row r="8075" spans="1:1">
      <c r="A8075" t="s">
        <v>8607</v>
      </c>
    </row>
    <row r="8076" spans="1:1">
      <c r="A8076" t="s">
        <v>8608</v>
      </c>
    </row>
    <row r="8077" spans="1:1">
      <c r="A8077" t="s">
        <v>8609</v>
      </c>
    </row>
    <row r="8078" spans="1:1">
      <c r="A8078" t="s">
        <v>8610</v>
      </c>
    </row>
    <row r="8079" spans="1:1">
      <c r="A8079" t="s">
        <v>8611</v>
      </c>
    </row>
    <row r="8080" spans="1:1">
      <c r="A8080" t="s">
        <v>8612</v>
      </c>
    </row>
    <row r="8081" spans="1:1">
      <c r="A8081" t="s">
        <v>8613</v>
      </c>
    </row>
    <row r="8082" spans="1:1">
      <c r="A8082" t="s">
        <v>8614</v>
      </c>
    </row>
    <row r="8083" spans="1:1">
      <c r="A8083" t="s">
        <v>8615</v>
      </c>
    </row>
    <row r="8084" spans="1:1">
      <c r="A8084" t="s">
        <v>8616</v>
      </c>
    </row>
    <row r="8085" spans="1:1">
      <c r="A8085" t="s">
        <v>8617</v>
      </c>
    </row>
    <row r="8086" spans="1:1">
      <c r="A8086" t="s">
        <v>8618</v>
      </c>
    </row>
    <row r="8087" spans="1:1">
      <c r="A8087" t="s">
        <v>8619</v>
      </c>
    </row>
    <row r="8088" spans="1:1">
      <c r="A8088" t="s">
        <v>8620</v>
      </c>
    </row>
    <row r="8089" spans="1:1">
      <c r="A8089" t="s">
        <v>8621</v>
      </c>
    </row>
    <row r="8090" spans="1:1">
      <c r="A8090" t="s">
        <v>8622</v>
      </c>
    </row>
    <row r="8091" spans="1:1">
      <c r="A8091" t="s">
        <v>8623</v>
      </c>
    </row>
    <row r="8092" spans="1:1">
      <c r="A8092" t="s">
        <v>8624</v>
      </c>
    </row>
    <row r="8093" spans="1:1">
      <c r="A8093" t="s">
        <v>8625</v>
      </c>
    </row>
    <row r="8094" spans="1:1">
      <c r="A8094" t="s">
        <v>8626</v>
      </c>
    </row>
    <row r="8095" spans="1:1">
      <c r="A8095" t="s">
        <v>8627</v>
      </c>
    </row>
    <row r="8096" spans="1:1">
      <c r="A8096" t="s">
        <v>8628</v>
      </c>
    </row>
    <row r="8097" spans="1:1">
      <c r="A8097" t="s">
        <v>8629</v>
      </c>
    </row>
    <row r="8098" spans="1:1">
      <c r="A8098" t="s">
        <v>8630</v>
      </c>
    </row>
    <row r="8099" spans="1:1">
      <c r="A8099" t="s">
        <v>8631</v>
      </c>
    </row>
    <row r="8100" spans="1:1">
      <c r="A8100" t="s">
        <v>8632</v>
      </c>
    </row>
    <row r="8101" spans="1:1">
      <c r="A8101" t="s">
        <v>8633</v>
      </c>
    </row>
    <row r="8102" spans="1:1">
      <c r="A8102" t="s">
        <v>8634</v>
      </c>
    </row>
    <row r="8103" spans="1:1">
      <c r="A8103" t="s">
        <v>8635</v>
      </c>
    </row>
    <row r="8104" spans="1:1">
      <c r="A8104" t="s">
        <v>8636</v>
      </c>
    </row>
    <row r="8105" spans="1:1">
      <c r="A8105" t="s">
        <v>8637</v>
      </c>
    </row>
    <row r="8106" spans="1:1">
      <c r="A8106" t="s">
        <v>8638</v>
      </c>
    </row>
    <row r="8107" spans="1:1">
      <c r="A8107" t="s">
        <v>8639</v>
      </c>
    </row>
    <row r="8108" spans="1:1">
      <c r="A8108" t="s">
        <v>8640</v>
      </c>
    </row>
    <row r="8109" spans="1:1">
      <c r="A8109" t="s">
        <v>8641</v>
      </c>
    </row>
    <row r="8110" spans="1:1">
      <c r="A8110" t="s">
        <v>8642</v>
      </c>
    </row>
    <row r="8111" spans="1:1">
      <c r="A8111" t="s">
        <v>8643</v>
      </c>
    </row>
    <row r="8112" spans="1:1">
      <c r="A8112" t="s">
        <v>8644</v>
      </c>
    </row>
    <row r="8113" spans="1:1">
      <c r="A8113" t="s">
        <v>8645</v>
      </c>
    </row>
    <row r="8114" spans="1:1">
      <c r="A8114" t="s">
        <v>8646</v>
      </c>
    </row>
    <row r="8115" spans="1:1">
      <c r="A8115" t="s">
        <v>8647</v>
      </c>
    </row>
    <row r="8116" spans="1:1">
      <c r="A8116" t="s">
        <v>8648</v>
      </c>
    </row>
    <row r="8117" spans="1:1">
      <c r="A8117" t="s">
        <v>8649</v>
      </c>
    </row>
    <row r="8118" spans="1:1">
      <c r="A8118" t="s">
        <v>8650</v>
      </c>
    </row>
    <row r="8119" spans="1:1">
      <c r="A8119" t="s">
        <v>8651</v>
      </c>
    </row>
    <row r="8120" spans="1:1">
      <c r="A8120" t="s">
        <v>8652</v>
      </c>
    </row>
    <row r="8121" spans="1:1">
      <c r="A8121" t="s">
        <v>8653</v>
      </c>
    </row>
    <row r="8122" spans="1:1">
      <c r="A8122" t="s">
        <v>8654</v>
      </c>
    </row>
    <row r="8123" spans="1:1">
      <c r="A8123" t="s">
        <v>8655</v>
      </c>
    </row>
    <row r="8124" spans="1:1">
      <c r="A8124" t="s">
        <v>8656</v>
      </c>
    </row>
    <row r="8125" spans="1:1">
      <c r="A8125" t="s">
        <v>8657</v>
      </c>
    </row>
    <row r="8126" spans="1:1">
      <c r="A8126" t="s">
        <v>8658</v>
      </c>
    </row>
    <row r="8127" spans="1:1">
      <c r="A8127" t="s">
        <v>8659</v>
      </c>
    </row>
    <row r="8128" spans="1:1">
      <c r="A8128" t="s">
        <v>8660</v>
      </c>
    </row>
    <row r="8129" spans="1:1">
      <c r="A8129" t="s">
        <v>8661</v>
      </c>
    </row>
    <row r="8130" spans="1:1">
      <c r="A8130" t="s">
        <v>8662</v>
      </c>
    </row>
    <row r="8131" spans="1:1">
      <c r="A8131" t="s">
        <v>8663</v>
      </c>
    </row>
    <row r="8132" spans="1:1">
      <c r="A8132" t="s">
        <v>8664</v>
      </c>
    </row>
    <row r="8133" spans="1:1">
      <c r="A8133" t="s">
        <v>8665</v>
      </c>
    </row>
    <row r="8134" spans="1:1">
      <c r="A8134" t="s">
        <v>8666</v>
      </c>
    </row>
    <row r="8135" spans="1:1">
      <c r="A8135" t="s">
        <v>8667</v>
      </c>
    </row>
    <row r="8136" spans="1:1">
      <c r="A8136" t="s">
        <v>8668</v>
      </c>
    </row>
    <row r="8137" spans="1:1">
      <c r="A8137" t="s">
        <v>8669</v>
      </c>
    </row>
    <row r="8138" spans="1:1">
      <c r="A8138" t="s">
        <v>8670</v>
      </c>
    </row>
    <row r="8139" spans="1:1">
      <c r="A8139" t="s">
        <v>8671</v>
      </c>
    </row>
    <row r="8140" spans="1:1">
      <c r="A8140" t="s">
        <v>8672</v>
      </c>
    </row>
    <row r="8141" spans="1:1">
      <c r="A8141" t="s">
        <v>8673</v>
      </c>
    </row>
    <row r="8142" spans="1:1">
      <c r="A8142" t="s">
        <v>8674</v>
      </c>
    </row>
    <row r="8143" spans="1:1">
      <c r="A8143" t="s">
        <v>8675</v>
      </c>
    </row>
    <row r="8144" spans="1:1">
      <c r="A8144" t="s">
        <v>8676</v>
      </c>
    </row>
    <row r="8145" spans="1:1">
      <c r="A8145" t="s">
        <v>8677</v>
      </c>
    </row>
    <row r="8146" spans="1:1">
      <c r="A8146" t="s">
        <v>8678</v>
      </c>
    </row>
    <row r="8147" spans="1:1">
      <c r="A8147" t="s">
        <v>8679</v>
      </c>
    </row>
    <row r="8148" spans="1:1">
      <c r="A8148" t="s">
        <v>8680</v>
      </c>
    </row>
    <row r="8149" spans="1:1">
      <c r="A8149" t="s">
        <v>8681</v>
      </c>
    </row>
    <row r="8150" spans="1:1">
      <c r="A8150" t="s">
        <v>8682</v>
      </c>
    </row>
    <row r="8151" spans="1:1">
      <c r="A8151" t="s">
        <v>8683</v>
      </c>
    </row>
    <row r="8152" spans="1:1">
      <c r="A8152" t="s">
        <v>8684</v>
      </c>
    </row>
    <row r="8153" spans="1:1">
      <c r="A8153" t="s">
        <v>8685</v>
      </c>
    </row>
    <row r="8154" spans="1:1">
      <c r="A8154" t="s">
        <v>8686</v>
      </c>
    </row>
    <row r="8155" spans="1:1">
      <c r="A8155" t="s">
        <v>8687</v>
      </c>
    </row>
    <row r="8156" spans="1:1">
      <c r="A8156" t="s">
        <v>8688</v>
      </c>
    </row>
    <row r="8157" spans="1:1">
      <c r="A8157" t="s">
        <v>8689</v>
      </c>
    </row>
    <row r="8158" spans="1:1">
      <c r="A8158" t="s">
        <v>8690</v>
      </c>
    </row>
    <row r="8159" spans="1:1">
      <c r="A8159" t="s">
        <v>8691</v>
      </c>
    </row>
    <row r="8160" spans="1:1">
      <c r="A8160" t="s">
        <v>8692</v>
      </c>
    </row>
    <row r="8161" spans="1:1">
      <c r="A8161" t="s">
        <v>8693</v>
      </c>
    </row>
    <row r="8162" spans="1:1">
      <c r="A8162" t="s">
        <v>8694</v>
      </c>
    </row>
    <row r="8163" spans="1:1">
      <c r="A8163" t="s">
        <v>8695</v>
      </c>
    </row>
    <row r="8164" spans="1:1">
      <c r="A8164" t="s">
        <v>8696</v>
      </c>
    </row>
    <row r="8165" spans="1:1">
      <c r="A8165" t="s">
        <v>8697</v>
      </c>
    </row>
    <row r="8166" spans="1:1">
      <c r="A8166" t="s">
        <v>8698</v>
      </c>
    </row>
    <row r="8167" spans="1:1">
      <c r="A8167" t="s">
        <v>8699</v>
      </c>
    </row>
    <row r="8168" spans="1:1">
      <c r="A8168" t="s">
        <v>8700</v>
      </c>
    </row>
    <row r="8169" spans="1:1">
      <c r="A8169" t="s">
        <v>8701</v>
      </c>
    </row>
    <row r="8170" spans="1:1">
      <c r="A8170" t="s">
        <v>8702</v>
      </c>
    </row>
    <row r="8171" spans="1:1">
      <c r="A8171" t="s">
        <v>8703</v>
      </c>
    </row>
    <row r="8172" spans="1:1">
      <c r="A8172" t="s">
        <v>8704</v>
      </c>
    </row>
    <row r="8173" spans="1:1">
      <c r="A8173" t="s">
        <v>8705</v>
      </c>
    </row>
    <row r="8174" spans="1:1">
      <c r="A8174" t="s">
        <v>8706</v>
      </c>
    </row>
    <row r="8175" spans="1:1">
      <c r="A8175" t="s">
        <v>8707</v>
      </c>
    </row>
    <row r="8176" spans="1:1">
      <c r="A8176" t="s">
        <v>8708</v>
      </c>
    </row>
    <row r="8177" spans="1:1">
      <c r="A8177" t="s">
        <v>8709</v>
      </c>
    </row>
    <row r="8178" spans="1:1">
      <c r="A8178" t="s">
        <v>8710</v>
      </c>
    </row>
    <row r="8179" spans="1:1">
      <c r="A8179" t="s">
        <v>8711</v>
      </c>
    </row>
    <row r="8180" spans="1:1">
      <c r="A8180" t="s">
        <v>8712</v>
      </c>
    </row>
    <row r="8181" spans="1:1">
      <c r="A8181" t="s">
        <v>8713</v>
      </c>
    </row>
    <row r="8182" spans="1:1">
      <c r="A8182" t="s">
        <v>8714</v>
      </c>
    </row>
    <row r="8183" spans="1:1">
      <c r="A8183" t="s">
        <v>8715</v>
      </c>
    </row>
    <row r="8184" spans="1:1">
      <c r="A8184" t="s">
        <v>8716</v>
      </c>
    </row>
    <row r="8185" spans="1:1">
      <c r="A8185" t="s">
        <v>8717</v>
      </c>
    </row>
    <row r="8186" spans="1:1">
      <c r="A8186" t="s">
        <v>8718</v>
      </c>
    </row>
    <row r="8187" spans="1:1">
      <c r="A8187" t="s">
        <v>8719</v>
      </c>
    </row>
    <row r="8188" spans="1:1">
      <c r="A8188" t="s">
        <v>8720</v>
      </c>
    </row>
    <row r="8189" spans="1:1">
      <c r="A8189" t="s">
        <v>8721</v>
      </c>
    </row>
    <row r="8190" spans="1:1">
      <c r="A8190" t="s">
        <v>8722</v>
      </c>
    </row>
    <row r="8191" spans="1:1">
      <c r="A8191" t="s">
        <v>8723</v>
      </c>
    </row>
    <row r="8192" spans="1:1">
      <c r="A8192" t="s">
        <v>8724</v>
      </c>
    </row>
    <row r="8193" spans="1:1">
      <c r="A8193" t="s">
        <v>8725</v>
      </c>
    </row>
    <row r="8194" spans="1:1">
      <c r="A8194" t="s">
        <v>8726</v>
      </c>
    </row>
    <row r="8195" spans="1:1">
      <c r="A8195" t="s">
        <v>8727</v>
      </c>
    </row>
    <row r="8196" spans="1:1">
      <c r="A8196" t="s">
        <v>8728</v>
      </c>
    </row>
    <row r="8197" spans="1:1">
      <c r="A8197" t="s">
        <v>8729</v>
      </c>
    </row>
    <row r="8198" spans="1:1">
      <c r="A8198" t="s">
        <v>8730</v>
      </c>
    </row>
    <row r="8199" spans="1:1">
      <c r="A8199" t="s">
        <v>8731</v>
      </c>
    </row>
    <row r="8200" spans="1:1">
      <c r="A8200" t="s">
        <v>8732</v>
      </c>
    </row>
    <row r="8201" spans="1:1">
      <c r="A8201" t="s">
        <v>8733</v>
      </c>
    </row>
    <row r="8202" spans="1:1">
      <c r="A8202" t="s">
        <v>8734</v>
      </c>
    </row>
    <row r="8203" spans="1:1">
      <c r="A8203" t="s">
        <v>8735</v>
      </c>
    </row>
    <row r="8204" spans="1:1">
      <c r="A8204" t="s">
        <v>8736</v>
      </c>
    </row>
    <row r="8205" spans="1:1">
      <c r="A8205" t="s">
        <v>8737</v>
      </c>
    </row>
    <row r="8206" spans="1:1">
      <c r="A8206" t="s">
        <v>8738</v>
      </c>
    </row>
    <row r="8207" spans="1:1">
      <c r="A8207" t="s">
        <v>8739</v>
      </c>
    </row>
    <row r="8208" spans="1:1">
      <c r="A8208" t="s">
        <v>8740</v>
      </c>
    </row>
    <row r="8209" spans="1:1">
      <c r="A8209" t="s">
        <v>8741</v>
      </c>
    </row>
    <row r="8210" spans="1:1">
      <c r="A8210" t="s">
        <v>8742</v>
      </c>
    </row>
    <row r="8211" spans="1:1">
      <c r="A8211" t="s">
        <v>8743</v>
      </c>
    </row>
    <row r="8212" spans="1:1">
      <c r="A8212" t="s">
        <v>8744</v>
      </c>
    </row>
    <row r="8213" spans="1:1">
      <c r="A8213" t="s">
        <v>8745</v>
      </c>
    </row>
    <row r="8214" spans="1:1">
      <c r="A8214" t="s">
        <v>8746</v>
      </c>
    </row>
    <row r="8215" spans="1:1">
      <c r="A8215" t="s">
        <v>8747</v>
      </c>
    </row>
    <row r="8216" spans="1:1">
      <c r="A8216" t="s">
        <v>8748</v>
      </c>
    </row>
    <row r="8217" spans="1:1">
      <c r="A8217" t="s">
        <v>8749</v>
      </c>
    </row>
    <row r="8218" spans="1:1">
      <c r="A8218" t="s">
        <v>8750</v>
      </c>
    </row>
    <row r="8219" spans="1:1">
      <c r="A8219" t="s">
        <v>8751</v>
      </c>
    </row>
    <row r="8220" spans="1:1">
      <c r="A8220" t="s">
        <v>8752</v>
      </c>
    </row>
    <row r="8221" spans="1:1">
      <c r="A8221" t="s">
        <v>8753</v>
      </c>
    </row>
    <row r="8222" spans="1:1">
      <c r="A8222" t="s">
        <v>8754</v>
      </c>
    </row>
    <row r="8223" spans="1:1">
      <c r="A8223" t="s">
        <v>8755</v>
      </c>
    </row>
    <row r="8224" spans="1:1">
      <c r="A8224" t="s">
        <v>8756</v>
      </c>
    </row>
    <row r="8225" spans="1:1">
      <c r="A8225" t="s">
        <v>8757</v>
      </c>
    </row>
    <row r="8226" spans="1:1">
      <c r="A8226" t="s">
        <v>8758</v>
      </c>
    </row>
    <row r="8227" spans="1:1">
      <c r="A8227" t="s">
        <v>8759</v>
      </c>
    </row>
    <row r="8228" spans="1:1">
      <c r="A8228" t="s">
        <v>8760</v>
      </c>
    </row>
    <row r="8229" spans="1:1">
      <c r="A8229" t="s">
        <v>8761</v>
      </c>
    </row>
    <row r="8230" spans="1:1">
      <c r="A8230" t="s">
        <v>8762</v>
      </c>
    </row>
    <row r="8231" spans="1:1">
      <c r="A8231" t="s">
        <v>8763</v>
      </c>
    </row>
    <row r="8232" spans="1:1">
      <c r="A8232" t="s">
        <v>8764</v>
      </c>
    </row>
    <row r="8233" spans="1:1">
      <c r="A8233" t="s">
        <v>8765</v>
      </c>
    </row>
    <row r="8234" spans="1:1">
      <c r="A8234" t="s">
        <v>8766</v>
      </c>
    </row>
    <row r="8235" spans="1:1">
      <c r="A8235" t="s">
        <v>8767</v>
      </c>
    </row>
    <row r="8236" spans="1:1">
      <c r="A8236" t="s">
        <v>8768</v>
      </c>
    </row>
    <row r="8237" spans="1:1">
      <c r="A8237" t="s">
        <v>8769</v>
      </c>
    </row>
    <row r="8238" spans="1:1">
      <c r="A8238" t="s">
        <v>8770</v>
      </c>
    </row>
    <row r="8239" spans="1:1">
      <c r="A8239" t="s">
        <v>8771</v>
      </c>
    </row>
    <row r="8240" spans="1:1">
      <c r="A8240" t="s">
        <v>8772</v>
      </c>
    </row>
    <row r="8241" spans="1:1">
      <c r="A8241" t="s">
        <v>8773</v>
      </c>
    </row>
    <row r="8242" spans="1:1">
      <c r="A8242" t="s">
        <v>8774</v>
      </c>
    </row>
    <row r="8243" spans="1:1">
      <c r="A8243" t="s">
        <v>8775</v>
      </c>
    </row>
    <row r="8244" spans="1:1">
      <c r="A8244" t="s">
        <v>8776</v>
      </c>
    </row>
    <row r="8245" spans="1:1">
      <c r="A8245" t="s">
        <v>8777</v>
      </c>
    </row>
    <row r="8246" spans="1:1">
      <c r="A8246" t="s">
        <v>8778</v>
      </c>
    </row>
    <row r="8247" spans="1:1">
      <c r="A8247" t="s">
        <v>8779</v>
      </c>
    </row>
    <row r="8248" spans="1:1">
      <c r="A8248" t="s">
        <v>8780</v>
      </c>
    </row>
    <row r="8249" spans="1:1">
      <c r="A8249" t="s">
        <v>8781</v>
      </c>
    </row>
    <row r="8250" spans="1:1">
      <c r="A8250" t="s">
        <v>8782</v>
      </c>
    </row>
    <row r="8251" spans="1:1">
      <c r="A8251" t="s">
        <v>8783</v>
      </c>
    </row>
    <row r="8252" spans="1:1">
      <c r="A8252" t="s">
        <v>8784</v>
      </c>
    </row>
    <row r="8253" spans="1:1">
      <c r="A8253" t="s">
        <v>8785</v>
      </c>
    </row>
    <row r="8254" spans="1:1">
      <c r="A8254" t="s">
        <v>8786</v>
      </c>
    </row>
    <row r="8255" spans="1:1">
      <c r="A8255" t="s">
        <v>8787</v>
      </c>
    </row>
    <row r="8256" spans="1:1">
      <c r="A8256" t="s">
        <v>8788</v>
      </c>
    </row>
    <row r="8257" spans="1:1">
      <c r="A8257" t="s">
        <v>8789</v>
      </c>
    </row>
    <row r="8258" spans="1:1">
      <c r="A8258" t="s">
        <v>8790</v>
      </c>
    </row>
    <row r="8259" spans="1:1">
      <c r="A8259" t="s">
        <v>8791</v>
      </c>
    </row>
    <row r="8260" spans="1:1">
      <c r="A8260" t="s">
        <v>8792</v>
      </c>
    </row>
    <row r="8261" spans="1:1">
      <c r="A8261" t="s">
        <v>8793</v>
      </c>
    </row>
    <row r="8262" spans="1:1">
      <c r="A8262" t="s">
        <v>8794</v>
      </c>
    </row>
    <row r="8263" spans="1:1">
      <c r="A8263" t="s">
        <v>8795</v>
      </c>
    </row>
    <row r="8264" spans="1:1">
      <c r="A8264" t="s">
        <v>8796</v>
      </c>
    </row>
    <row r="8265" spans="1:1">
      <c r="A8265" t="s">
        <v>8797</v>
      </c>
    </row>
    <row r="8266" spans="1:1">
      <c r="A8266" t="s">
        <v>8798</v>
      </c>
    </row>
    <row r="8267" spans="1:1">
      <c r="A8267" t="s">
        <v>8799</v>
      </c>
    </row>
    <row r="8268" spans="1:1">
      <c r="A8268" t="s">
        <v>8800</v>
      </c>
    </row>
    <row r="8269" spans="1:1">
      <c r="A8269" t="s">
        <v>8801</v>
      </c>
    </row>
    <row r="8270" spans="1:1">
      <c r="A8270" t="s">
        <v>8802</v>
      </c>
    </row>
    <row r="8271" spans="1:1">
      <c r="A8271" t="s">
        <v>8803</v>
      </c>
    </row>
    <row r="8272" spans="1:1">
      <c r="A8272" t="s">
        <v>8804</v>
      </c>
    </row>
    <row r="8273" spans="1:1">
      <c r="A8273" t="s">
        <v>8805</v>
      </c>
    </row>
    <row r="8274" spans="1:1">
      <c r="A8274" t="s">
        <v>8806</v>
      </c>
    </row>
    <row r="8275" spans="1:1">
      <c r="A8275" t="s">
        <v>8807</v>
      </c>
    </row>
    <row r="8276" spans="1:1">
      <c r="A8276" t="s">
        <v>8808</v>
      </c>
    </row>
    <row r="8277" spans="1:1">
      <c r="A8277" t="s">
        <v>8809</v>
      </c>
    </row>
    <row r="8278" spans="1:1">
      <c r="A8278" t="s">
        <v>8810</v>
      </c>
    </row>
    <row r="8279" spans="1:1">
      <c r="A8279" t="s">
        <v>8811</v>
      </c>
    </row>
    <row r="8280" spans="1:1">
      <c r="A8280" t="s">
        <v>8812</v>
      </c>
    </row>
    <row r="8281" spans="1:1">
      <c r="A8281" t="s">
        <v>8813</v>
      </c>
    </row>
    <row r="8282" spans="1:1">
      <c r="A8282" t="s">
        <v>8814</v>
      </c>
    </row>
    <row r="8283" spans="1:1">
      <c r="A8283" t="s">
        <v>8815</v>
      </c>
    </row>
    <row r="8284" spans="1:1">
      <c r="A8284" t="s">
        <v>8816</v>
      </c>
    </row>
    <row r="8285" spans="1:1">
      <c r="A8285" t="s">
        <v>8817</v>
      </c>
    </row>
    <row r="8286" spans="1:1">
      <c r="A8286" t="s">
        <v>8818</v>
      </c>
    </row>
    <row r="8287" spans="1:1">
      <c r="A8287" t="s">
        <v>8819</v>
      </c>
    </row>
    <row r="8288" spans="1:1">
      <c r="A8288" t="s">
        <v>8820</v>
      </c>
    </row>
    <row r="8289" spans="1:1">
      <c r="A8289" t="s">
        <v>8821</v>
      </c>
    </row>
    <row r="8290" spans="1:1">
      <c r="A8290" t="s">
        <v>8822</v>
      </c>
    </row>
    <row r="8291" spans="1:1">
      <c r="A8291" t="s">
        <v>8823</v>
      </c>
    </row>
    <row r="8292" spans="1:1">
      <c r="A8292" t="s">
        <v>8824</v>
      </c>
    </row>
    <row r="8293" spans="1:1">
      <c r="A8293" t="s">
        <v>8825</v>
      </c>
    </row>
    <row r="8294" spans="1:1">
      <c r="A8294" t="s">
        <v>8826</v>
      </c>
    </row>
    <row r="8295" spans="1:1">
      <c r="A8295" t="s">
        <v>8827</v>
      </c>
    </row>
    <row r="8296" spans="1:1">
      <c r="A8296" t="s">
        <v>8828</v>
      </c>
    </row>
    <row r="8297" spans="1:1">
      <c r="A8297" t="s">
        <v>8829</v>
      </c>
    </row>
    <row r="8298" spans="1:1">
      <c r="A8298" t="s">
        <v>8830</v>
      </c>
    </row>
    <row r="8299" spans="1:1">
      <c r="A8299" t="s">
        <v>8831</v>
      </c>
    </row>
    <row r="8300" spans="1:1">
      <c r="A8300" t="s">
        <v>8832</v>
      </c>
    </row>
    <row r="8301" spans="1:1">
      <c r="A8301" t="s">
        <v>8833</v>
      </c>
    </row>
    <row r="8302" spans="1:1">
      <c r="A8302" t="s">
        <v>8834</v>
      </c>
    </row>
    <row r="8303" spans="1:1">
      <c r="A8303" t="s">
        <v>8835</v>
      </c>
    </row>
    <row r="8304" spans="1:1">
      <c r="A8304" t="s">
        <v>8836</v>
      </c>
    </row>
    <row r="8305" spans="1:1">
      <c r="A8305" t="s">
        <v>8837</v>
      </c>
    </row>
    <row r="8306" spans="1:1">
      <c r="A8306" t="s">
        <v>8838</v>
      </c>
    </row>
    <row r="8307" spans="1:1">
      <c r="A8307" t="s">
        <v>8839</v>
      </c>
    </row>
    <row r="8308" spans="1:1">
      <c r="A8308" t="s">
        <v>8840</v>
      </c>
    </row>
    <row r="8309" spans="1:1">
      <c r="A8309" t="s">
        <v>8841</v>
      </c>
    </row>
    <row r="8310" spans="1:1">
      <c r="A8310" t="s">
        <v>8842</v>
      </c>
    </row>
    <row r="8311" spans="1:1">
      <c r="A8311" t="s">
        <v>8843</v>
      </c>
    </row>
    <row r="8312" spans="1:1">
      <c r="A8312" t="s">
        <v>8844</v>
      </c>
    </row>
    <row r="8313" spans="1:1">
      <c r="A8313" t="s">
        <v>8845</v>
      </c>
    </row>
    <row r="8314" spans="1:1">
      <c r="A8314" t="s">
        <v>8846</v>
      </c>
    </row>
    <row r="8315" spans="1:1">
      <c r="A8315" t="s">
        <v>8847</v>
      </c>
    </row>
    <row r="8316" spans="1:1">
      <c r="A8316" t="s">
        <v>8848</v>
      </c>
    </row>
    <row r="8317" spans="1:1">
      <c r="A8317" t="s">
        <v>8849</v>
      </c>
    </row>
    <row r="8318" spans="1:1">
      <c r="A8318" t="s">
        <v>8850</v>
      </c>
    </row>
    <row r="8319" spans="1:1">
      <c r="A8319" t="s">
        <v>8851</v>
      </c>
    </row>
    <row r="8320" spans="1:1">
      <c r="A8320" t="s">
        <v>8852</v>
      </c>
    </row>
    <row r="8321" spans="1:1">
      <c r="A8321" t="s">
        <v>8853</v>
      </c>
    </row>
    <row r="8322" spans="1:1">
      <c r="A8322" t="s">
        <v>8854</v>
      </c>
    </row>
    <row r="8323" spans="1:1">
      <c r="A8323" t="s">
        <v>8855</v>
      </c>
    </row>
    <row r="8324" spans="1:1">
      <c r="A8324" t="s">
        <v>8856</v>
      </c>
    </row>
    <row r="8325" spans="1:1">
      <c r="A8325" t="s">
        <v>8857</v>
      </c>
    </row>
    <row r="8326" spans="1:1">
      <c r="A8326" t="s">
        <v>8858</v>
      </c>
    </row>
    <row r="8327" spans="1:1">
      <c r="A8327" t="s">
        <v>8859</v>
      </c>
    </row>
    <row r="8328" spans="1:1">
      <c r="A8328" t="s">
        <v>8860</v>
      </c>
    </row>
    <row r="8329" spans="1:1">
      <c r="A8329" t="s">
        <v>8861</v>
      </c>
    </row>
    <row r="8330" spans="1:1">
      <c r="A8330" t="s">
        <v>8862</v>
      </c>
    </row>
    <row r="8331" spans="1:1">
      <c r="A8331" t="s">
        <v>8863</v>
      </c>
    </row>
    <row r="8332" spans="1:1">
      <c r="A8332" t="s">
        <v>8864</v>
      </c>
    </row>
    <row r="8333" spans="1:1">
      <c r="A8333" t="s">
        <v>8865</v>
      </c>
    </row>
    <row r="8334" spans="1:1">
      <c r="A8334" t="s">
        <v>8866</v>
      </c>
    </row>
    <row r="8335" spans="1:1">
      <c r="A8335" t="s">
        <v>8867</v>
      </c>
    </row>
    <row r="8336" spans="1:1">
      <c r="A8336" t="s">
        <v>8868</v>
      </c>
    </row>
    <row r="8337" spans="1:1">
      <c r="A8337" t="s">
        <v>8869</v>
      </c>
    </row>
    <row r="8338" spans="1:1">
      <c r="A8338" t="s">
        <v>8870</v>
      </c>
    </row>
    <row r="8339" spans="1:1">
      <c r="A8339" t="s">
        <v>8871</v>
      </c>
    </row>
    <row r="8340" spans="1:1">
      <c r="A8340" t="s">
        <v>8872</v>
      </c>
    </row>
    <row r="8341" spans="1:1">
      <c r="A8341" t="s">
        <v>8873</v>
      </c>
    </row>
    <row r="8342" spans="1:1">
      <c r="A8342" t="s">
        <v>8874</v>
      </c>
    </row>
    <row r="8343" spans="1:1">
      <c r="A8343" t="s">
        <v>8875</v>
      </c>
    </row>
    <row r="8344" spans="1:1">
      <c r="A8344" t="s">
        <v>8876</v>
      </c>
    </row>
    <row r="8345" spans="1:1">
      <c r="A8345" t="s">
        <v>8877</v>
      </c>
    </row>
    <row r="8346" spans="1:1">
      <c r="A8346" t="s">
        <v>8878</v>
      </c>
    </row>
    <row r="8347" spans="1:1">
      <c r="A8347" t="s">
        <v>8879</v>
      </c>
    </row>
    <row r="8348" spans="1:1">
      <c r="A8348" t="s">
        <v>8880</v>
      </c>
    </row>
    <row r="8349" spans="1:1">
      <c r="A8349" t="s">
        <v>8881</v>
      </c>
    </row>
    <row r="8350" spans="1:1">
      <c r="A8350" t="s">
        <v>8882</v>
      </c>
    </row>
    <row r="8351" spans="1:1">
      <c r="A8351" t="s">
        <v>8883</v>
      </c>
    </row>
    <row r="8352" spans="1:1">
      <c r="A8352" t="s">
        <v>8884</v>
      </c>
    </row>
    <row r="8353" spans="1:1">
      <c r="A8353" t="s">
        <v>8885</v>
      </c>
    </row>
    <row r="8354" spans="1:1">
      <c r="A8354" t="s">
        <v>8886</v>
      </c>
    </row>
    <row r="8355" spans="1:1">
      <c r="A8355" t="s">
        <v>8887</v>
      </c>
    </row>
    <row r="8356" spans="1:1">
      <c r="A8356" t="s">
        <v>8888</v>
      </c>
    </row>
    <row r="8357" spans="1:1">
      <c r="A8357" t="s">
        <v>8889</v>
      </c>
    </row>
    <row r="8358" spans="1:1">
      <c r="A8358" t="s">
        <v>8890</v>
      </c>
    </row>
    <row r="8359" spans="1:1">
      <c r="A8359" t="s">
        <v>8891</v>
      </c>
    </row>
    <row r="8360" spans="1:1">
      <c r="A8360" t="s">
        <v>8892</v>
      </c>
    </row>
    <row r="8361" spans="1:1">
      <c r="A8361" t="s">
        <v>8893</v>
      </c>
    </row>
    <row r="8362" spans="1:1">
      <c r="A8362" t="s">
        <v>8894</v>
      </c>
    </row>
    <row r="8363" spans="1:1">
      <c r="A8363" t="s">
        <v>8895</v>
      </c>
    </row>
    <row r="8364" spans="1:1">
      <c r="A8364" t="s">
        <v>8896</v>
      </c>
    </row>
    <row r="8365" spans="1:1">
      <c r="A8365" t="s">
        <v>8897</v>
      </c>
    </row>
    <row r="8366" spans="1:1">
      <c r="A8366" t="s">
        <v>8898</v>
      </c>
    </row>
    <row r="8367" spans="1:1">
      <c r="A8367" t="s">
        <v>8899</v>
      </c>
    </row>
    <row r="8368" spans="1:1">
      <c r="A8368" t="s">
        <v>8900</v>
      </c>
    </row>
    <row r="8369" spans="1:1">
      <c r="A8369" t="s">
        <v>8901</v>
      </c>
    </row>
    <row r="8370" spans="1:1">
      <c r="A8370" t="s">
        <v>8902</v>
      </c>
    </row>
    <row r="8371" spans="1:1">
      <c r="A8371" t="s">
        <v>8903</v>
      </c>
    </row>
    <row r="8372" spans="1:1">
      <c r="A8372" t="s">
        <v>8904</v>
      </c>
    </row>
    <row r="8373" spans="1:1">
      <c r="A8373" t="s">
        <v>8905</v>
      </c>
    </row>
    <row r="8374" spans="1:1">
      <c r="A8374" t="s">
        <v>8906</v>
      </c>
    </row>
    <row r="8375" spans="1:1">
      <c r="A8375" t="s">
        <v>8907</v>
      </c>
    </row>
    <row r="8376" spans="1:1">
      <c r="A8376" t="s">
        <v>8908</v>
      </c>
    </row>
    <row r="8377" spans="1:1">
      <c r="A8377" t="s">
        <v>8909</v>
      </c>
    </row>
    <row r="8378" spans="1:1">
      <c r="A8378" t="s">
        <v>8910</v>
      </c>
    </row>
    <row r="8379" spans="1:1">
      <c r="A8379" t="s">
        <v>8911</v>
      </c>
    </row>
    <row r="8380" spans="1:1">
      <c r="A8380" t="s">
        <v>8912</v>
      </c>
    </row>
    <row r="8381" spans="1:1">
      <c r="A8381" t="s">
        <v>8913</v>
      </c>
    </row>
    <row r="8382" spans="1:1">
      <c r="A8382" t="s">
        <v>8914</v>
      </c>
    </row>
    <row r="8383" spans="1:1">
      <c r="A8383" t="s">
        <v>8915</v>
      </c>
    </row>
    <row r="8384" spans="1:1">
      <c r="A8384" t="s">
        <v>8916</v>
      </c>
    </row>
    <row r="8385" spans="1:1">
      <c r="A8385" t="s">
        <v>8917</v>
      </c>
    </row>
    <row r="8386" spans="1:1">
      <c r="A8386" t="s">
        <v>8918</v>
      </c>
    </row>
    <row r="8387" spans="1:1">
      <c r="A8387" t="s">
        <v>8919</v>
      </c>
    </row>
    <row r="8388" spans="1:1">
      <c r="A8388" t="s">
        <v>8920</v>
      </c>
    </row>
    <row r="8389" spans="1:1">
      <c r="A8389" t="s">
        <v>8921</v>
      </c>
    </row>
    <row r="8390" spans="1:1">
      <c r="A8390" t="s">
        <v>8922</v>
      </c>
    </row>
    <row r="8391" spans="1:1">
      <c r="A8391" t="s">
        <v>8923</v>
      </c>
    </row>
    <row r="8392" spans="1:1">
      <c r="A8392" t="s">
        <v>8924</v>
      </c>
    </row>
    <row r="8393" spans="1:1">
      <c r="A8393" t="s">
        <v>8925</v>
      </c>
    </row>
    <row r="8394" spans="1:1">
      <c r="A8394" t="s">
        <v>8926</v>
      </c>
    </row>
    <row r="8395" spans="1:1">
      <c r="A8395" t="s">
        <v>8927</v>
      </c>
    </row>
    <row r="8396" spans="1:1">
      <c r="A8396" t="s">
        <v>8928</v>
      </c>
    </row>
    <row r="8397" spans="1:1">
      <c r="A8397" t="s">
        <v>8929</v>
      </c>
    </row>
    <row r="8398" spans="1:1">
      <c r="A8398" t="s">
        <v>8930</v>
      </c>
    </row>
    <row r="8399" spans="1:1">
      <c r="A8399" t="s">
        <v>8931</v>
      </c>
    </row>
    <row r="8400" spans="1:1">
      <c r="A8400" t="s">
        <v>8932</v>
      </c>
    </row>
    <row r="8401" spans="1:1">
      <c r="A8401" t="s">
        <v>8933</v>
      </c>
    </row>
    <row r="8402" spans="1:1">
      <c r="A8402" t="s">
        <v>8934</v>
      </c>
    </row>
    <row r="8403" spans="1:1">
      <c r="A8403" t="s">
        <v>8935</v>
      </c>
    </row>
    <row r="8404" spans="1:1">
      <c r="A8404" t="s">
        <v>8936</v>
      </c>
    </row>
    <row r="8405" spans="1:1">
      <c r="A8405" t="s">
        <v>8937</v>
      </c>
    </row>
    <row r="8406" spans="1:1">
      <c r="A8406" t="s">
        <v>8938</v>
      </c>
    </row>
    <row r="8407" spans="1:1">
      <c r="A8407" t="s">
        <v>8939</v>
      </c>
    </row>
    <row r="8408" spans="1:1">
      <c r="A8408" t="s">
        <v>8940</v>
      </c>
    </row>
    <row r="8409" spans="1:1">
      <c r="A8409" t="s">
        <v>8941</v>
      </c>
    </row>
    <row r="8410" spans="1:1">
      <c r="A8410" t="s">
        <v>8942</v>
      </c>
    </row>
    <row r="8411" spans="1:1">
      <c r="A8411" t="s">
        <v>8943</v>
      </c>
    </row>
    <row r="8412" spans="1:1">
      <c r="A8412" t="s">
        <v>8944</v>
      </c>
    </row>
    <row r="8413" spans="1:1">
      <c r="A8413" t="s">
        <v>8945</v>
      </c>
    </row>
    <row r="8414" spans="1:1">
      <c r="A8414" t="s">
        <v>8946</v>
      </c>
    </row>
    <row r="8415" spans="1:1">
      <c r="A8415" t="s">
        <v>8947</v>
      </c>
    </row>
    <row r="8416" spans="1:1">
      <c r="A8416" t="s">
        <v>8948</v>
      </c>
    </row>
    <row r="8417" spans="1:1">
      <c r="A8417" t="s">
        <v>8949</v>
      </c>
    </row>
    <row r="8418" spans="1:1">
      <c r="A8418" t="s">
        <v>8950</v>
      </c>
    </row>
    <row r="8419" spans="1:1">
      <c r="A8419" t="s">
        <v>8951</v>
      </c>
    </row>
    <row r="8420" spans="1:1">
      <c r="A8420" t="s">
        <v>8952</v>
      </c>
    </row>
    <row r="8421" spans="1:1">
      <c r="A8421" t="s">
        <v>8953</v>
      </c>
    </row>
    <row r="8422" spans="1:1">
      <c r="A8422" t="s">
        <v>8954</v>
      </c>
    </row>
    <row r="8423" spans="1:1">
      <c r="A8423" t="s">
        <v>8955</v>
      </c>
    </row>
    <row r="8424" spans="1:1">
      <c r="A8424" t="s">
        <v>8956</v>
      </c>
    </row>
    <row r="8425" spans="1:1">
      <c r="A8425" t="s">
        <v>8957</v>
      </c>
    </row>
    <row r="8426" spans="1:1">
      <c r="A8426" t="s">
        <v>8958</v>
      </c>
    </row>
    <row r="8427" spans="1:1">
      <c r="A8427" t="s">
        <v>8959</v>
      </c>
    </row>
    <row r="8428" spans="1:1">
      <c r="A8428" t="s">
        <v>8960</v>
      </c>
    </row>
    <row r="8429" spans="1:1">
      <c r="A8429" t="s">
        <v>8961</v>
      </c>
    </row>
    <row r="8430" spans="1:1">
      <c r="A8430" t="s">
        <v>8962</v>
      </c>
    </row>
    <row r="8431" spans="1:1">
      <c r="A8431" t="s">
        <v>8963</v>
      </c>
    </row>
    <row r="8432" spans="1:1">
      <c r="A8432" t="s">
        <v>8964</v>
      </c>
    </row>
    <row r="8433" spans="1:1">
      <c r="A8433" t="s">
        <v>8965</v>
      </c>
    </row>
    <row r="8434" spans="1:1">
      <c r="A8434" t="s">
        <v>8966</v>
      </c>
    </row>
    <row r="8435" spans="1:1">
      <c r="A8435" t="s">
        <v>8967</v>
      </c>
    </row>
    <row r="8436" spans="1:1">
      <c r="A8436" t="s">
        <v>8968</v>
      </c>
    </row>
    <row r="8437" spans="1:1">
      <c r="A8437" t="s">
        <v>8969</v>
      </c>
    </row>
    <row r="8438" spans="1:1">
      <c r="A8438" t="s">
        <v>8970</v>
      </c>
    </row>
    <row r="8439" spans="1:1">
      <c r="A8439" t="s">
        <v>8971</v>
      </c>
    </row>
    <row r="8440" spans="1:1">
      <c r="A8440" t="s">
        <v>8972</v>
      </c>
    </row>
    <row r="8441" spans="1:1">
      <c r="A8441" t="s">
        <v>8973</v>
      </c>
    </row>
    <row r="8442" spans="1:1">
      <c r="A8442" t="s">
        <v>8974</v>
      </c>
    </row>
    <row r="8443" spans="1:1">
      <c r="A8443" t="s">
        <v>8975</v>
      </c>
    </row>
    <row r="8444" spans="1:1">
      <c r="A8444" t="s">
        <v>8976</v>
      </c>
    </row>
    <row r="8445" spans="1:1">
      <c r="A8445" t="s">
        <v>8977</v>
      </c>
    </row>
    <row r="8446" spans="1:1">
      <c r="A8446" t="s">
        <v>8978</v>
      </c>
    </row>
    <row r="8447" spans="1:1">
      <c r="A8447" t="s">
        <v>8979</v>
      </c>
    </row>
    <row r="8448" spans="1:1">
      <c r="A8448" t="s">
        <v>8980</v>
      </c>
    </row>
    <row r="8449" spans="1:1">
      <c r="A8449" t="s">
        <v>8981</v>
      </c>
    </row>
    <row r="8450" spans="1:1">
      <c r="A8450" t="s">
        <v>8982</v>
      </c>
    </row>
    <row r="8451" spans="1:1">
      <c r="A8451" t="s">
        <v>8983</v>
      </c>
    </row>
    <row r="8452" spans="1:1">
      <c r="A8452" t="s">
        <v>8984</v>
      </c>
    </row>
    <row r="8453" spans="1:1">
      <c r="A8453" t="s">
        <v>8985</v>
      </c>
    </row>
    <row r="8454" spans="1:1">
      <c r="A8454" t="s">
        <v>8986</v>
      </c>
    </row>
    <row r="8455" spans="1:1">
      <c r="A8455" t="s">
        <v>8987</v>
      </c>
    </row>
    <row r="8456" spans="1:1">
      <c r="A8456" t="s">
        <v>8988</v>
      </c>
    </row>
    <row r="8457" spans="1:1">
      <c r="A8457" t="s">
        <v>8989</v>
      </c>
    </row>
    <row r="8458" spans="1:1">
      <c r="A8458" t="s">
        <v>8990</v>
      </c>
    </row>
    <row r="8459" spans="1:1">
      <c r="A8459" t="s">
        <v>8991</v>
      </c>
    </row>
    <row r="8460" spans="1:1">
      <c r="A8460" t="s">
        <v>8992</v>
      </c>
    </row>
    <row r="8461" spans="1:1">
      <c r="A8461" t="s">
        <v>8993</v>
      </c>
    </row>
    <row r="8462" spans="1:1">
      <c r="A8462" t="s">
        <v>8994</v>
      </c>
    </row>
    <row r="8463" spans="1:1">
      <c r="A8463" t="s">
        <v>8995</v>
      </c>
    </row>
    <row r="8464" spans="1:1">
      <c r="A8464" t="s">
        <v>8996</v>
      </c>
    </row>
    <row r="8465" spans="1:1">
      <c r="A8465" t="s">
        <v>8997</v>
      </c>
    </row>
    <row r="8466" spans="1:1">
      <c r="A8466" t="s">
        <v>8998</v>
      </c>
    </row>
    <row r="8467" spans="1:1">
      <c r="A8467" t="s">
        <v>8999</v>
      </c>
    </row>
    <row r="8468" spans="1:1">
      <c r="A8468" t="s">
        <v>9000</v>
      </c>
    </row>
    <row r="8469" spans="1:1">
      <c r="A8469" t="s">
        <v>9001</v>
      </c>
    </row>
    <row r="8470" spans="1:1">
      <c r="A8470" t="s">
        <v>9002</v>
      </c>
    </row>
    <row r="8471" spans="1:1">
      <c r="A8471" t="s">
        <v>9003</v>
      </c>
    </row>
    <row r="8472" spans="1:1">
      <c r="A8472" t="s">
        <v>9004</v>
      </c>
    </row>
    <row r="8473" spans="1:1">
      <c r="A8473" t="s">
        <v>9005</v>
      </c>
    </row>
    <row r="8474" spans="1:1">
      <c r="A8474" t="s">
        <v>9006</v>
      </c>
    </row>
    <row r="8475" spans="1:1">
      <c r="A8475" t="s">
        <v>9007</v>
      </c>
    </row>
    <row r="8476" spans="1:1">
      <c r="A8476" t="s">
        <v>9008</v>
      </c>
    </row>
    <row r="8477" spans="1:1">
      <c r="A8477" t="s">
        <v>9009</v>
      </c>
    </row>
    <row r="8478" spans="1:1">
      <c r="A8478" t="s">
        <v>9010</v>
      </c>
    </row>
    <row r="8479" spans="1:1">
      <c r="A8479" t="s">
        <v>9011</v>
      </c>
    </row>
    <row r="8480" spans="1:1">
      <c r="A8480" t="s">
        <v>9012</v>
      </c>
    </row>
    <row r="8481" spans="1:1">
      <c r="A8481" t="s">
        <v>9013</v>
      </c>
    </row>
    <row r="8482" spans="1:1">
      <c r="A8482" t="s">
        <v>9014</v>
      </c>
    </row>
    <row r="8483" spans="1:1">
      <c r="A8483" t="s">
        <v>9015</v>
      </c>
    </row>
    <row r="8484" spans="1:1">
      <c r="A8484" t="s">
        <v>9016</v>
      </c>
    </row>
    <row r="8485" spans="1:1">
      <c r="A8485" t="s">
        <v>9017</v>
      </c>
    </row>
    <row r="8486" spans="1:1">
      <c r="A8486" t="s">
        <v>9018</v>
      </c>
    </row>
    <row r="8487" spans="1:1">
      <c r="A8487" t="s">
        <v>9019</v>
      </c>
    </row>
    <row r="8488" spans="1:1">
      <c r="A8488" t="s">
        <v>9020</v>
      </c>
    </row>
    <row r="8489" spans="1:1">
      <c r="A8489" t="s">
        <v>9021</v>
      </c>
    </row>
    <row r="8490" spans="1:1">
      <c r="A8490" t="s">
        <v>9022</v>
      </c>
    </row>
    <row r="8491" spans="1:1">
      <c r="A8491" t="s">
        <v>9023</v>
      </c>
    </row>
    <row r="8492" spans="1:1">
      <c r="A8492" t="s">
        <v>9024</v>
      </c>
    </row>
    <row r="8493" spans="1:1">
      <c r="A8493" t="s">
        <v>9025</v>
      </c>
    </row>
    <row r="8494" spans="1:1">
      <c r="A8494" t="s">
        <v>9026</v>
      </c>
    </row>
    <row r="8495" spans="1:1">
      <c r="A8495" t="s">
        <v>9027</v>
      </c>
    </row>
    <row r="8496" spans="1:1">
      <c r="A8496" t="s">
        <v>9028</v>
      </c>
    </row>
    <row r="8497" spans="1:1">
      <c r="A8497" t="s">
        <v>9029</v>
      </c>
    </row>
    <row r="8498" spans="1:1">
      <c r="A8498" t="s">
        <v>9030</v>
      </c>
    </row>
    <row r="8499" spans="1:1">
      <c r="A8499" t="s">
        <v>9031</v>
      </c>
    </row>
    <row r="8500" spans="1:1">
      <c r="A8500" t="s">
        <v>9032</v>
      </c>
    </row>
    <row r="8501" spans="1:1">
      <c r="A8501" t="s">
        <v>9033</v>
      </c>
    </row>
    <row r="8502" spans="1:1">
      <c r="A8502" t="s">
        <v>9034</v>
      </c>
    </row>
    <row r="8503" spans="1:1">
      <c r="A8503" t="s">
        <v>9035</v>
      </c>
    </row>
    <row r="8504" spans="1:1">
      <c r="A8504" t="s">
        <v>9036</v>
      </c>
    </row>
    <row r="8505" spans="1:1">
      <c r="A8505" t="s">
        <v>9037</v>
      </c>
    </row>
    <row r="8506" spans="1:1">
      <c r="A8506" t="s">
        <v>9038</v>
      </c>
    </row>
    <row r="8507" spans="1:1">
      <c r="A8507" t="s">
        <v>9039</v>
      </c>
    </row>
    <row r="8508" spans="1:1">
      <c r="A8508" t="s">
        <v>9040</v>
      </c>
    </row>
    <row r="8509" spans="1:1">
      <c r="A8509" t="s">
        <v>9041</v>
      </c>
    </row>
    <row r="8510" spans="1:1">
      <c r="A8510" t="s">
        <v>9042</v>
      </c>
    </row>
    <row r="8511" spans="1:1">
      <c r="A8511" t="s">
        <v>9043</v>
      </c>
    </row>
    <row r="8512" spans="1:1">
      <c r="A8512" t="s">
        <v>9044</v>
      </c>
    </row>
    <row r="8513" spans="1:1">
      <c r="A8513" t="s">
        <v>9045</v>
      </c>
    </row>
    <row r="8514" spans="1:1">
      <c r="A8514" t="s">
        <v>9046</v>
      </c>
    </row>
    <row r="8515" spans="1:1">
      <c r="A8515" t="s">
        <v>9047</v>
      </c>
    </row>
    <row r="8516" spans="1:1">
      <c r="A8516" t="s">
        <v>9048</v>
      </c>
    </row>
    <row r="8517" spans="1:1">
      <c r="A8517" t="s">
        <v>9049</v>
      </c>
    </row>
    <row r="8518" spans="1:1">
      <c r="A8518" t="s">
        <v>9050</v>
      </c>
    </row>
    <row r="8519" spans="1:1">
      <c r="A8519" t="s">
        <v>9051</v>
      </c>
    </row>
    <row r="8520" spans="1:1">
      <c r="A8520" t="s">
        <v>9052</v>
      </c>
    </row>
    <row r="8521" spans="1:1">
      <c r="A8521" t="s">
        <v>9053</v>
      </c>
    </row>
    <row r="8522" spans="1:1">
      <c r="A8522" t="s">
        <v>9054</v>
      </c>
    </row>
    <row r="8523" spans="1:1">
      <c r="A8523" t="s">
        <v>9055</v>
      </c>
    </row>
    <row r="8524" spans="1:1">
      <c r="A8524" t="s">
        <v>9056</v>
      </c>
    </row>
    <row r="8525" spans="1:1">
      <c r="A8525" t="s">
        <v>9057</v>
      </c>
    </row>
    <row r="8526" spans="1:1">
      <c r="A8526" t="s">
        <v>9058</v>
      </c>
    </row>
    <row r="8527" spans="1:1">
      <c r="A8527" t="s">
        <v>9059</v>
      </c>
    </row>
    <row r="8528" spans="1:1">
      <c r="A8528" t="s">
        <v>9060</v>
      </c>
    </row>
    <row r="8529" spans="1:1">
      <c r="A8529" t="s">
        <v>9061</v>
      </c>
    </row>
    <row r="8530" spans="1:1">
      <c r="A8530" t="s">
        <v>9062</v>
      </c>
    </row>
    <row r="8531" spans="1:1">
      <c r="A8531" t="s">
        <v>9063</v>
      </c>
    </row>
    <row r="8532" spans="1:1">
      <c r="A8532" t="s">
        <v>9064</v>
      </c>
    </row>
    <row r="8533" spans="1:1">
      <c r="A8533" t="s">
        <v>9065</v>
      </c>
    </row>
    <row r="8534" spans="1:1">
      <c r="A8534" t="s">
        <v>9066</v>
      </c>
    </row>
    <row r="8535" spans="1:1">
      <c r="A8535" t="s">
        <v>9067</v>
      </c>
    </row>
    <row r="8536" spans="1:1">
      <c r="A8536" t="s">
        <v>9068</v>
      </c>
    </row>
    <row r="8537" spans="1:1">
      <c r="A8537" t="s">
        <v>9069</v>
      </c>
    </row>
    <row r="8538" spans="1:1">
      <c r="A8538" t="s">
        <v>9070</v>
      </c>
    </row>
    <row r="8539" spans="1:1">
      <c r="A8539" t="s">
        <v>9071</v>
      </c>
    </row>
    <row r="8540" spans="1:1">
      <c r="A8540" t="s">
        <v>9072</v>
      </c>
    </row>
    <row r="8541" spans="1:1">
      <c r="A8541" t="s">
        <v>9073</v>
      </c>
    </row>
    <row r="8542" spans="1:1">
      <c r="A8542" t="s">
        <v>9074</v>
      </c>
    </row>
    <row r="8543" spans="1:1">
      <c r="A8543" t="s">
        <v>9075</v>
      </c>
    </row>
    <row r="8544" spans="1:1">
      <c r="A8544" t="s">
        <v>9076</v>
      </c>
    </row>
    <row r="8545" spans="1:1">
      <c r="A8545" t="s">
        <v>9077</v>
      </c>
    </row>
    <row r="8546" spans="1:1">
      <c r="A8546" t="s">
        <v>9078</v>
      </c>
    </row>
    <row r="8547" spans="1:1">
      <c r="A8547" t="s">
        <v>9079</v>
      </c>
    </row>
    <row r="8548" spans="1:1">
      <c r="A8548" t="s">
        <v>9080</v>
      </c>
    </row>
    <row r="8549" spans="1:1">
      <c r="A8549" t="s">
        <v>9081</v>
      </c>
    </row>
    <row r="8550" spans="1:1">
      <c r="A8550" t="s">
        <v>9082</v>
      </c>
    </row>
    <row r="8551" spans="1:1">
      <c r="A8551" t="s">
        <v>9083</v>
      </c>
    </row>
    <row r="8552" spans="1:1">
      <c r="A8552" t="s">
        <v>9084</v>
      </c>
    </row>
    <row r="8553" spans="1:1">
      <c r="A8553" t="s">
        <v>9085</v>
      </c>
    </row>
    <row r="8554" spans="1:1">
      <c r="A8554" t="s">
        <v>9086</v>
      </c>
    </row>
    <row r="8555" spans="1:1">
      <c r="A8555" t="s">
        <v>9087</v>
      </c>
    </row>
    <row r="8556" spans="1:1">
      <c r="A8556" t="s">
        <v>9088</v>
      </c>
    </row>
    <row r="8557" spans="1:1">
      <c r="A8557" t="s">
        <v>9089</v>
      </c>
    </row>
    <row r="8558" spans="1:1">
      <c r="A8558" t="s">
        <v>9090</v>
      </c>
    </row>
    <row r="8559" spans="1:1">
      <c r="A8559" t="s">
        <v>9091</v>
      </c>
    </row>
    <row r="8560" spans="1:1">
      <c r="A8560" t="s">
        <v>9092</v>
      </c>
    </row>
    <row r="8561" spans="1:1">
      <c r="A8561" t="s">
        <v>9093</v>
      </c>
    </row>
    <row r="8562" spans="1:1">
      <c r="A8562" t="s">
        <v>9094</v>
      </c>
    </row>
    <row r="8563" spans="1:1">
      <c r="A8563" t="s">
        <v>9095</v>
      </c>
    </row>
    <row r="8564" spans="1:1">
      <c r="A8564" t="s">
        <v>9096</v>
      </c>
    </row>
    <row r="8565" spans="1:1">
      <c r="A8565" t="s">
        <v>9097</v>
      </c>
    </row>
    <row r="8566" spans="1:1">
      <c r="A8566" t="s">
        <v>9098</v>
      </c>
    </row>
    <row r="8567" spans="1:1">
      <c r="A8567" t="s">
        <v>9099</v>
      </c>
    </row>
    <row r="8568" spans="1:1">
      <c r="A8568" t="s">
        <v>9100</v>
      </c>
    </row>
    <row r="8569" spans="1:1">
      <c r="A8569" t="s">
        <v>9101</v>
      </c>
    </row>
    <row r="8570" spans="1:1">
      <c r="A8570" t="s">
        <v>9102</v>
      </c>
    </row>
    <row r="8571" spans="1:1">
      <c r="A8571" t="s">
        <v>9103</v>
      </c>
    </row>
    <row r="8572" spans="1:1">
      <c r="A8572" t="s">
        <v>9104</v>
      </c>
    </row>
    <row r="8573" spans="1:1">
      <c r="A8573" t="s">
        <v>9105</v>
      </c>
    </row>
    <row r="8574" spans="1:1">
      <c r="A8574" t="s">
        <v>9106</v>
      </c>
    </row>
    <row r="8575" spans="1:1">
      <c r="A8575" t="s">
        <v>9107</v>
      </c>
    </row>
    <row r="8576" spans="1:1">
      <c r="A8576" t="s">
        <v>9108</v>
      </c>
    </row>
    <row r="8577" spans="1:1">
      <c r="A8577" t="s">
        <v>9109</v>
      </c>
    </row>
    <row r="8578" spans="1:1">
      <c r="A8578" t="s">
        <v>9110</v>
      </c>
    </row>
    <row r="8579" spans="1:1">
      <c r="A8579" t="s">
        <v>9111</v>
      </c>
    </row>
    <row r="8580" spans="1:1">
      <c r="A8580" t="s">
        <v>9112</v>
      </c>
    </row>
    <row r="8581" spans="1:1">
      <c r="A8581" t="s">
        <v>9113</v>
      </c>
    </row>
    <row r="8582" spans="1:1">
      <c r="A8582" t="s">
        <v>9114</v>
      </c>
    </row>
    <row r="8583" spans="1:1">
      <c r="A8583" t="s">
        <v>9115</v>
      </c>
    </row>
    <row r="8584" spans="1:1">
      <c r="A8584" t="s">
        <v>9116</v>
      </c>
    </row>
    <row r="8585" spans="1:1">
      <c r="A8585" t="s">
        <v>9117</v>
      </c>
    </row>
    <row r="8586" spans="1:1">
      <c r="A8586" t="s">
        <v>9118</v>
      </c>
    </row>
    <row r="8587" spans="1:1">
      <c r="A8587" t="s">
        <v>9119</v>
      </c>
    </row>
    <row r="8588" spans="1:1">
      <c r="A8588" t="s">
        <v>9120</v>
      </c>
    </row>
    <row r="8589" spans="1:1">
      <c r="A8589" t="s">
        <v>9121</v>
      </c>
    </row>
    <row r="8590" spans="1:1">
      <c r="A8590" t="s">
        <v>9122</v>
      </c>
    </row>
    <row r="8591" spans="1:1">
      <c r="A8591" t="s">
        <v>9123</v>
      </c>
    </row>
    <row r="8592" spans="1:1">
      <c r="A8592" t="s">
        <v>9124</v>
      </c>
    </row>
    <row r="8593" spans="1:1">
      <c r="A8593" t="s">
        <v>9125</v>
      </c>
    </row>
    <row r="8594" spans="1:1">
      <c r="A8594" t="s">
        <v>9126</v>
      </c>
    </row>
    <row r="8595" spans="1:1">
      <c r="A8595" t="s">
        <v>9127</v>
      </c>
    </row>
    <row r="8596" spans="1:1">
      <c r="A8596" t="s">
        <v>9128</v>
      </c>
    </row>
    <row r="8597" spans="1:1">
      <c r="A8597" t="s">
        <v>9129</v>
      </c>
    </row>
    <row r="8598" spans="1:1">
      <c r="A8598" t="s">
        <v>9130</v>
      </c>
    </row>
    <row r="8599" spans="1:1">
      <c r="A8599" t="s">
        <v>9131</v>
      </c>
    </row>
    <row r="8600" spans="1:1">
      <c r="A8600" t="s">
        <v>9132</v>
      </c>
    </row>
    <row r="8601" spans="1:1">
      <c r="A8601" t="s">
        <v>9133</v>
      </c>
    </row>
    <row r="8602" spans="1:1">
      <c r="A8602" t="s">
        <v>9134</v>
      </c>
    </row>
    <row r="8603" spans="1:1">
      <c r="A8603" t="s">
        <v>9135</v>
      </c>
    </row>
    <row r="8604" spans="1:1">
      <c r="A8604" t="s">
        <v>9136</v>
      </c>
    </row>
    <row r="8605" spans="1:1">
      <c r="A8605" t="s">
        <v>9137</v>
      </c>
    </row>
    <row r="8606" spans="1:1">
      <c r="A8606" t="s">
        <v>9138</v>
      </c>
    </row>
    <row r="8607" spans="1:1">
      <c r="A8607" t="s">
        <v>9139</v>
      </c>
    </row>
    <row r="8608" spans="1:1">
      <c r="A8608" t="s">
        <v>9140</v>
      </c>
    </row>
    <row r="8609" spans="1:1">
      <c r="A8609" t="s">
        <v>9141</v>
      </c>
    </row>
    <row r="8610" spans="1:1">
      <c r="A8610" t="s">
        <v>9142</v>
      </c>
    </row>
    <row r="8611" spans="1:1">
      <c r="A8611" t="s">
        <v>9143</v>
      </c>
    </row>
    <row r="8612" spans="1:1">
      <c r="A8612" t="s">
        <v>9144</v>
      </c>
    </row>
    <row r="8613" spans="1:1">
      <c r="A8613" t="s">
        <v>9145</v>
      </c>
    </row>
    <row r="8614" spans="1:1">
      <c r="A8614" t="s">
        <v>9146</v>
      </c>
    </row>
    <row r="8615" spans="1:1">
      <c r="A8615" t="s">
        <v>9147</v>
      </c>
    </row>
    <row r="8616" spans="1:1">
      <c r="A8616" t="s">
        <v>9148</v>
      </c>
    </row>
    <row r="8617" spans="1:1">
      <c r="A8617" t="s">
        <v>9149</v>
      </c>
    </row>
    <row r="8618" spans="1:1">
      <c r="A8618" t="s">
        <v>9150</v>
      </c>
    </row>
    <row r="8619" spans="1:1">
      <c r="A8619" t="s">
        <v>9151</v>
      </c>
    </row>
    <row r="8620" spans="1:1">
      <c r="A8620" t="s">
        <v>9152</v>
      </c>
    </row>
    <row r="8621" spans="1:1">
      <c r="A8621" t="s">
        <v>9153</v>
      </c>
    </row>
    <row r="8622" spans="1:1">
      <c r="A8622" t="s">
        <v>9154</v>
      </c>
    </row>
    <row r="8623" spans="1:1">
      <c r="A8623" t="s">
        <v>9155</v>
      </c>
    </row>
    <row r="8624" spans="1:1">
      <c r="A8624" t="s">
        <v>9156</v>
      </c>
    </row>
    <row r="8625" spans="1:1">
      <c r="A8625" t="s">
        <v>9157</v>
      </c>
    </row>
    <row r="8626" spans="1:1">
      <c r="A8626" t="s">
        <v>9158</v>
      </c>
    </row>
    <row r="8627" spans="1:1">
      <c r="A8627" t="s">
        <v>9159</v>
      </c>
    </row>
    <row r="8628" spans="1:1">
      <c r="A8628" t="s">
        <v>9160</v>
      </c>
    </row>
    <row r="8629" spans="1:1">
      <c r="A8629" t="s">
        <v>9161</v>
      </c>
    </row>
    <row r="8630" spans="1:1">
      <c r="A8630" t="s">
        <v>9162</v>
      </c>
    </row>
    <row r="8631" spans="1:1">
      <c r="A8631" t="s">
        <v>9163</v>
      </c>
    </row>
    <row r="8632" spans="1:1">
      <c r="A8632" t="s">
        <v>9164</v>
      </c>
    </row>
    <row r="8633" spans="1:1">
      <c r="A8633" t="s">
        <v>9165</v>
      </c>
    </row>
    <row r="8634" spans="1:1">
      <c r="A8634" t="s">
        <v>9166</v>
      </c>
    </row>
    <row r="8635" spans="1:1">
      <c r="A8635" t="s">
        <v>9167</v>
      </c>
    </row>
    <row r="8636" spans="1:1">
      <c r="A8636" t="s">
        <v>9168</v>
      </c>
    </row>
    <row r="8637" spans="1:1">
      <c r="A8637" t="s">
        <v>9169</v>
      </c>
    </row>
    <row r="8638" spans="1:1">
      <c r="A8638" t="s">
        <v>9170</v>
      </c>
    </row>
    <row r="8639" spans="1:1">
      <c r="A8639" t="s">
        <v>9171</v>
      </c>
    </row>
    <row r="8640" spans="1:1">
      <c r="A8640" t="s">
        <v>9172</v>
      </c>
    </row>
    <row r="8641" spans="1:1">
      <c r="A8641" t="s">
        <v>9173</v>
      </c>
    </row>
    <row r="8642" spans="1:1">
      <c r="A8642" t="s">
        <v>9174</v>
      </c>
    </row>
    <row r="8643" spans="1:1">
      <c r="A8643" t="s">
        <v>9175</v>
      </c>
    </row>
    <row r="8644" spans="1:1">
      <c r="A8644" t="s">
        <v>9176</v>
      </c>
    </row>
    <row r="8645" spans="1:1">
      <c r="A8645" t="s">
        <v>9177</v>
      </c>
    </row>
    <row r="8646" spans="1:1">
      <c r="A8646" t="s">
        <v>9178</v>
      </c>
    </row>
    <row r="8647" spans="1:1">
      <c r="A8647" t="s">
        <v>9179</v>
      </c>
    </row>
    <row r="8648" spans="1:1">
      <c r="A8648" t="s">
        <v>9180</v>
      </c>
    </row>
    <row r="8649" spans="1:1">
      <c r="A8649" t="s">
        <v>9181</v>
      </c>
    </row>
    <row r="8650" spans="1:1">
      <c r="A8650" t="s">
        <v>9182</v>
      </c>
    </row>
    <row r="8651" spans="1:1">
      <c r="A8651" t="s">
        <v>9183</v>
      </c>
    </row>
    <row r="8652" spans="1:1">
      <c r="A8652" t="s">
        <v>9184</v>
      </c>
    </row>
    <row r="8653" spans="1:1">
      <c r="A8653" t="s">
        <v>9185</v>
      </c>
    </row>
    <row r="8654" spans="1:1">
      <c r="A8654" t="s">
        <v>9186</v>
      </c>
    </row>
    <row r="8655" spans="1:1">
      <c r="A8655" t="s">
        <v>9187</v>
      </c>
    </row>
    <row r="8656" spans="1:1">
      <c r="A8656" t="s">
        <v>9188</v>
      </c>
    </row>
    <row r="8657" spans="1:1">
      <c r="A8657" t="s">
        <v>9189</v>
      </c>
    </row>
    <row r="8658" spans="1:1">
      <c r="A8658" t="s">
        <v>9190</v>
      </c>
    </row>
    <row r="8659" spans="1:1">
      <c r="A8659" t="s">
        <v>9191</v>
      </c>
    </row>
    <row r="8660" spans="1:1">
      <c r="A8660" t="s">
        <v>9192</v>
      </c>
    </row>
    <row r="8661" spans="1:1">
      <c r="A8661" t="s">
        <v>9193</v>
      </c>
    </row>
    <row r="8662" spans="1:1">
      <c r="A8662" t="s">
        <v>9194</v>
      </c>
    </row>
    <row r="8663" spans="1:1">
      <c r="A8663" t="s">
        <v>9195</v>
      </c>
    </row>
    <row r="8664" spans="1:1">
      <c r="A8664" t="s">
        <v>9196</v>
      </c>
    </row>
    <row r="8665" spans="1:1">
      <c r="A8665" t="s">
        <v>9197</v>
      </c>
    </row>
    <row r="8666" spans="1:1">
      <c r="A8666" t="s">
        <v>9198</v>
      </c>
    </row>
    <row r="8667" spans="1:1">
      <c r="A8667" t="s">
        <v>9199</v>
      </c>
    </row>
    <row r="8668" spans="1:1">
      <c r="A8668" t="s">
        <v>9200</v>
      </c>
    </row>
    <row r="8669" spans="1:1">
      <c r="A8669" t="s">
        <v>9201</v>
      </c>
    </row>
    <row r="8670" spans="1:1">
      <c r="A8670" t="s">
        <v>9202</v>
      </c>
    </row>
    <row r="8671" spans="1:1">
      <c r="A8671" t="s">
        <v>9203</v>
      </c>
    </row>
    <row r="8672" spans="1:1">
      <c r="A8672" t="s">
        <v>9204</v>
      </c>
    </row>
    <row r="8673" spans="1:1">
      <c r="A8673" t="s">
        <v>9205</v>
      </c>
    </row>
    <row r="8674" spans="1:1">
      <c r="A8674" t="s">
        <v>9206</v>
      </c>
    </row>
    <row r="8675" spans="1:1">
      <c r="A8675" t="s">
        <v>9207</v>
      </c>
    </row>
    <row r="8676" spans="1:1">
      <c r="A8676" t="s">
        <v>9208</v>
      </c>
    </row>
    <row r="8677" spans="1:1">
      <c r="A8677" t="s">
        <v>9209</v>
      </c>
    </row>
    <row r="8678" spans="1:1">
      <c r="A8678" t="s">
        <v>9210</v>
      </c>
    </row>
    <row r="8679" spans="1:1">
      <c r="A8679" t="s">
        <v>9211</v>
      </c>
    </row>
    <row r="8680" spans="1:1">
      <c r="A8680" t="s">
        <v>9212</v>
      </c>
    </row>
    <row r="8681" spans="1:1">
      <c r="A8681" t="s">
        <v>9213</v>
      </c>
    </row>
    <row r="8682" spans="1:1">
      <c r="A8682" t="s">
        <v>9214</v>
      </c>
    </row>
    <row r="8683" spans="1:1">
      <c r="A8683" t="s">
        <v>9215</v>
      </c>
    </row>
    <row r="8684" spans="1:1">
      <c r="A8684" t="s">
        <v>9216</v>
      </c>
    </row>
    <row r="8685" spans="1:1">
      <c r="A8685" t="s">
        <v>9217</v>
      </c>
    </row>
    <row r="8686" spans="1:1">
      <c r="A8686" t="s">
        <v>9218</v>
      </c>
    </row>
    <row r="8687" spans="1:1">
      <c r="A8687" t="s">
        <v>9219</v>
      </c>
    </row>
    <row r="8688" spans="1:1">
      <c r="A8688" t="s">
        <v>9220</v>
      </c>
    </row>
    <row r="8689" spans="1:1">
      <c r="A8689" t="s">
        <v>9221</v>
      </c>
    </row>
    <row r="8690" spans="1:1">
      <c r="A8690" t="s">
        <v>9222</v>
      </c>
    </row>
    <row r="8691" spans="1:1">
      <c r="A8691" t="s">
        <v>9223</v>
      </c>
    </row>
    <row r="8692" spans="1:1">
      <c r="A8692" t="s">
        <v>9224</v>
      </c>
    </row>
    <row r="8693" spans="1:1">
      <c r="A8693" t="s">
        <v>9225</v>
      </c>
    </row>
    <row r="8694" spans="1:1">
      <c r="A8694" t="s">
        <v>9226</v>
      </c>
    </row>
    <row r="8695" spans="1:1">
      <c r="A8695" t="s">
        <v>9227</v>
      </c>
    </row>
    <row r="8696" spans="1:1">
      <c r="A8696" t="s">
        <v>9228</v>
      </c>
    </row>
    <row r="8697" spans="1:1">
      <c r="A8697" t="s">
        <v>9229</v>
      </c>
    </row>
    <row r="8698" spans="1:1">
      <c r="A8698" t="s">
        <v>9230</v>
      </c>
    </row>
    <row r="8699" spans="1:1">
      <c r="A8699" t="s">
        <v>9231</v>
      </c>
    </row>
    <row r="8700" spans="1:1">
      <c r="A8700" t="s">
        <v>9232</v>
      </c>
    </row>
    <row r="8701" spans="1:1">
      <c r="A8701" t="s">
        <v>9233</v>
      </c>
    </row>
    <row r="8702" spans="1:1">
      <c r="A8702" t="s">
        <v>9234</v>
      </c>
    </row>
    <row r="8703" spans="1:1">
      <c r="A8703" t="s">
        <v>9235</v>
      </c>
    </row>
    <row r="8704" spans="1:1">
      <c r="A8704" t="s">
        <v>9236</v>
      </c>
    </row>
    <row r="8705" spans="1:1">
      <c r="A8705" t="s">
        <v>9237</v>
      </c>
    </row>
    <row r="8706" spans="1:1">
      <c r="A8706" t="s">
        <v>9238</v>
      </c>
    </row>
    <row r="8707" spans="1:1">
      <c r="A8707" t="s">
        <v>9239</v>
      </c>
    </row>
    <row r="8708" spans="1:1">
      <c r="A8708" t="s">
        <v>9240</v>
      </c>
    </row>
    <row r="8709" spans="1:1">
      <c r="A8709" t="s">
        <v>9241</v>
      </c>
    </row>
    <row r="8710" spans="1:1">
      <c r="A8710" t="s">
        <v>9242</v>
      </c>
    </row>
    <row r="8711" spans="1:1">
      <c r="A8711" t="s">
        <v>9243</v>
      </c>
    </row>
    <row r="8712" spans="1:1">
      <c r="A8712" t="s">
        <v>9244</v>
      </c>
    </row>
    <row r="8713" spans="1:1">
      <c r="A8713" t="s">
        <v>9245</v>
      </c>
    </row>
    <row r="8714" spans="1:1">
      <c r="A8714" t="s">
        <v>9246</v>
      </c>
    </row>
    <row r="8715" spans="1:1">
      <c r="A8715" t="s">
        <v>9247</v>
      </c>
    </row>
    <row r="8716" spans="1:1">
      <c r="A8716" t="s">
        <v>9248</v>
      </c>
    </row>
    <row r="8717" spans="1:1">
      <c r="A8717" t="s">
        <v>9249</v>
      </c>
    </row>
    <row r="8718" spans="1:1">
      <c r="A8718" t="s">
        <v>9250</v>
      </c>
    </row>
    <row r="8719" spans="1:1">
      <c r="A8719" t="s">
        <v>9251</v>
      </c>
    </row>
    <row r="8720" spans="1:1">
      <c r="A8720" t="s">
        <v>9252</v>
      </c>
    </row>
    <row r="8721" spans="1:1">
      <c r="A8721" t="s">
        <v>9253</v>
      </c>
    </row>
    <row r="8722" spans="1:1">
      <c r="A8722" t="s">
        <v>9254</v>
      </c>
    </row>
    <row r="8723" spans="1:1">
      <c r="A8723" t="s">
        <v>9255</v>
      </c>
    </row>
    <row r="8724" spans="1:1">
      <c r="A8724" t="s">
        <v>9256</v>
      </c>
    </row>
    <row r="8725" spans="1:1">
      <c r="A8725" t="s">
        <v>9257</v>
      </c>
    </row>
    <row r="8726" spans="1:1">
      <c r="A8726" t="s">
        <v>9258</v>
      </c>
    </row>
    <row r="8727" spans="1:1">
      <c r="A8727" t="s">
        <v>9259</v>
      </c>
    </row>
    <row r="8728" spans="1:1">
      <c r="A8728" t="s">
        <v>9260</v>
      </c>
    </row>
    <row r="8729" spans="1:1">
      <c r="A8729" t="s">
        <v>9261</v>
      </c>
    </row>
    <row r="8730" spans="1:1">
      <c r="A8730" t="s">
        <v>9262</v>
      </c>
    </row>
    <row r="8731" spans="1:1">
      <c r="A8731" t="s">
        <v>9263</v>
      </c>
    </row>
    <row r="8732" spans="1:1">
      <c r="A8732" t="s">
        <v>9264</v>
      </c>
    </row>
    <row r="8733" spans="1:1">
      <c r="A8733" t="s">
        <v>9265</v>
      </c>
    </row>
    <row r="8734" spans="1:1">
      <c r="A8734" t="s">
        <v>9266</v>
      </c>
    </row>
    <row r="8735" spans="1:1">
      <c r="A8735" t="s">
        <v>9267</v>
      </c>
    </row>
    <row r="8736" spans="1:1">
      <c r="A8736" t="s">
        <v>9268</v>
      </c>
    </row>
    <row r="8737" spans="1:1">
      <c r="A8737" t="s">
        <v>9269</v>
      </c>
    </row>
    <row r="8738" spans="1:1">
      <c r="A8738" t="s">
        <v>9270</v>
      </c>
    </row>
    <row r="8739" spans="1:1">
      <c r="A8739" t="s">
        <v>9271</v>
      </c>
    </row>
    <row r="8740" spans="1:1">
      <c r="A8740" t="s">
        <v>9272</v>
      </c>
    </row>
    <row r="8741" spans="1:1">
      <c r="A8741" t="s">
        <v>9273</v>
      </c>
    </row>
    <row r="8742" spans="1:1">
      <c r="A8742" t="s">
        <v>9274</v>
      </c>
    </row>
    <row r="8743" spans="1:1">
      <c r="A8743" t="s">
        <v>9275</v>
      </c>
    </row>
    <row r="8744" spans="1:1">
      <c r="A8744" t="s">
        <v>9276</v>
      </c>
    </row>
    <row r="8745" spans="1:1">
      <c r="A8745" t="s">
        <v>9277</v>
      </c>
    </row>
    <row r="8746" spans="1:1">
      <c r="A8746" t="s">
        <v>9278</v>
      </c>
    </row>
    <row r="8747" spans="1:1">
      <c r="A8747" t="s">
        <v>9279</v>
      </c>
    </row>
    <row r="8748" spans="1:1">
      <c r="A8748" t="s">
        <v>9280</v>
      </c>
    </row>
    <row r="8749" spans="1:1">
      <c r="A8749" t="s">
        <v>9281</v>
      </c>
    </row>
    <row r="8750" spans="1:1">
      <c r="A8750" t="s">
        <v>9282</v>
      </c>
    </row>
    <row r="8751" spans="1:1">
      <c r="A8751" t="s">
        <v>9283</v>
      </c>
    </row>
    <row r="8752" spans="1:1">
      <c r="A8752" t="s">
        <v>9284</v>
      </c>
    </row>
    <row r="8753" spans="1:1">
      <c r="A8753" t="s">
        <v>9285</v>
      </c>
    </row>
    <row r="8754" spans="1:1">
      <c r="A8754" t="s">
        <v>9286</v>
      </c>
    </row>
    <row r="8755" spans="1:1">
      <c r="A8755" t="s">
        <v>9287</v>
      </c>
    </row>
    <row r="8756" spans="1:1">
      <c r="A8756" t="s">
        <v>9288</v>
      </c>
    </row>
    <row r="8757" spans="1:1">
      <c r="A8757" t="s">
        <v>9289</v>
      </c>
    </row>
    <row r="8758" spans="1:1">
      <c r="A8758" t="s">
        <v>9290</v>
      </c>
    </row>
    <row r="8759" spans="1:1">
      <c r="A8759" t="s">
        <v>9291</v>
      </c>
    </row>
    <row r="8760" spans="1:1">
      <c r="A8760" t="s">
        <v>9292</v>
      </c>
    </row>
    <row r="8761" spans="1:1">
      <c r="A8761" t="s">
        <v>9293</v>
      </c>
    </row>
    <row r="8762" spans="1:1">
      <c r="A8762" t="s">
        <v>9294</v>
      </c>
    </row>
    <row r="8763" spans="1:1">
      <c r="A8763" t="s">
        <v>9295</v>
      </c>
    </row>
    <row r="8764" spans="1:1">
      <c r="A8764" t="s">
        <v>9296</v>
      </c>
    </row>
    <row r="8765" spans="1:1">
      <c r="A8765" t="s">
        <v>9297</v>
      </c>
    </row>
    <row r="8766" spans="1:1">
      <c r="A8766" t="s">
        <v>9298</v>
      </c>
    </row>
    <row r="8767" spans="1:1">
      <c r="A8767" t="s">
        <v>9299</v>
      </c>
    </row>
    <row r="8768" spans="1:1">
      <c r="A8768" t="s">
        <v>9300</v>
      </c>
    </row>
    <row r="8769" spans="1:1">
      <c r="A8769" t="s">
        <v>9301</v>
      </c>
    </row>
    <row r="8770" spans="1:1">
      <c r="A8770" t="s">
        <v>9302</v>
      </c>
    </row>
    <row r="8771" spans="1:1">
      <c r="A8771" t="s">
        <v>9303</v>
      </c>
    </row>
    <row r="8772" spans="1:1">
      <c r="A8772" t="s">
        <v>9304</v>
      </c>
    </row>
    <row r="8773" spans="1:1">
      <c r="A8773" t="s">
        <v>9305</v>
      </c>
    </row>
    <row r="8774" spans="1:1">
      <c r="A8774" t="s">
        <v>9306</v>
      </c>
    </row>
    <row r="8775" spans="1:1">
      <c r="A8775" t="s">
        <v>9307</v>
      </c>
    </row>
    <row r="8776" spans="1:1">
      <c r="A8776" t="s">
        <v>9308</v>
      </c>
    </row>
    <row r="8777" spans="1:1">
      <c r="A8777" t="s">
        <v>9309</v>
      </c>
    </row>
    <row r="8778" spans="1:1">
      <c r="A8778" t="s">
        <v>9310</v>
      </c>
    </row>
    <row r="8779" spans="1:1">
      <c r="A8779" t="s">
        <v>9311</v>
      </c>
    </row>
    <row r="8780" spans="1:1">
      <c r="A8780" t="s">
        <v>9312</v>
      </c>
    </row>
    <row r="8781" spans="1:1">
      <c r="A8781" t="s">
        <v>9313</v>
      </c>
    </row>
    <row r="8782" spans="1:1">
      <c r="A8782" t="s">
        <v>9314</v>
      </c>
    </row>
    <row r="8783" spans="1:1">
      <c r="A8783" t="s">
        <v>9315</v>
      </c>
    </row>
    <row r="8784" spans="1:1">
      <c r="A8784" t="s">
        <v>9316</v>
      </c>
    </row>
    <row r="8785" spans="1:1">
      <c r="A8785" t="s">
        <v>9317</v>
      </c>
    </row>
    <row r="8786" spans="1:1">
      <c r="A8786" t="s">
        <v>9318</v>
      </c>
    </row>
    <row r="8787" spans="1:1">
      <c r="A8787" t="s">
        <v>9319</v>
      </c>
    </row>
    <row r="8788" spans="1:1">
      <c r="A8788" t="s">
        <v>9320</v>
      </c>
    </row>
    <row r="8789" spans="1:1">
      <c r="A8789" t="s">
        <v>9321</v>
      </c>
    </row>
    <row r="8790" spans="1:1">
      <c r="A8790" t="s">
        <v>9322</v>
      </c>
    </row>
    <row r="8791" spans="1:1">
      <c r="A8791" t="s">
        <v>9323</v>
      </c>
    </row>
    <row r="8792" spans="1:1">
      <c r="A8792" t="s">
        <v>9324</v>
      </c>
    </row>
    <row r="8793" spans="1:1">
      <c r="A8793" t="s">
        <v>9325</v>
      </c>
    </row>
    <row r="8794" spans="1:1">
      <c r="A8794" t="s">
        <v>9326</v>
      </c>
    </row>
    <row r="8795" spans="1:1">
      <c r="A8795" t="s">
        <v>9327</v>
      </c>
    </row>
    <row r="8796" spans="1:1">
      <c r="A8796" t="s">
        <v>9328</v>
      </c>
    </row>
    <row r="8797" spans="1:1">
      <c r="A8797" t="s">
        <v>9329</v>
      </c>
    </row>
    <row r="8798" spans="1:1">
      <c r="A8798" t="s">
        <v>9330</v>
      </c>
    </row>
    <row r="8799" spans="1:1">
      <c r="A8799" t="s">
        <v>9331</v>
      </c>
    </row>
    <row r="8800" spans="1:1">
      <c r="A8800" t="s">
        <v>9332</v>
      </c>
    </row>
    <row r="8801" spans="1:1">
      <c r="A8801" t="s">
        <v>9333</v>
      </c>
    </row>
    <row r="8802" spans="1:1">
      <c r="A8802" t="s">
        <v>9334</v>
      </c>
    </row>
    <row r="8803" spans="1:1">
      <c r="A8803" t="s">
        <v>9335</v>
      </c>
    </row>
    <row r="8804" spans="1:1">
      <c r="A8804" t="s">
        <v>9336</v>
      </c>
    </row>
    <row r="8805" spans="1:1">
      <c r="A8805" t="s">
        <v>9337</v>
      </c>
    </row>
    <row r="8806" spans="1:1">
      <c r="A8806" t="s">
        <v>9338</v>
      </c>
    </row>
    <row r="8807" spans="1:1">
      <c r="A8807" t="s">
        <v>9339</v>
      </c>
    </row>
    <row r="8808" spans="1:1">
      <c r="A8808" t="s">
        <v>9340</v>
      </c>
    </row>
    <row r="8809" spans="1:1">
      <c r="A8809" t="s">
        <v>9341</v>
      </c>
    </row>
    <row r="8810" spans="1:1">
      <c r="A8810" t="s">
        <v>9342</v>
      </c>
    </row>
    <row r="8811" spans="1:1">
      <c r="A8811" t="s">
        <v>9343</v>
      </c>
    </row>
    <row r="8812" spans="1:1">
      <c r="A8812" t="s">
        <v>9344</v>
      </c>
    </row>
    <row r="8813" spans="1:1">
      <c r="A8813" t="s">
        <v>9345</v>
      </c>
    </row>
    <row r="8814" spans="1:1">
      <c r="A8814" t="s">
        <v>9346</v>
      </c>
    </row>
    <row r="8815" spans="1:1">
      <c r="A8815" t="s">
        <v>9347</v>
      </c>
    </row>
    <row r="8816" spans="1:1">
      <c r="A8816" t="s">
        <v>9348</v>
      </c>
    </row>
    <row r="8817" spans="1:1">
      <c r="A8817" t="s">
        <v>9349</v>
      </c>
    </row>
    <row r="8818" spans="1:1">
      <c r="A8818" t="s">
        <v>9350</v>
      </c>
    </row>
    <row r="8819" spans="1:1">
      <c r="A8819" t="s">
        <v>9351</v>
      </c>
    </row>
    <row r="8820" spans="1:1">
      <c r="A8820" t="s">
        <v>9352</v>
      </c>
    </row>
    <row r="8821" spans="1:1">
      <c r="A8821" t="s">
        <v>9353</v>
      </c>
    </row>
    <row r="8822" spans="1:1">
      <c r="A8822" t="s">
        <v>9354</v>
      </c>
    </row>
    <row r="8823" spans="1:1">
      <c r="A8823" t="s">
        <v>9355</v>
      </c>
    </row>
    <row r="8824" spans="1:1">
      <c r="A8824" t="s">
        <v>9356</v>
      </c>
    </row>
    <row r="8825" spans="1:1">
      <c r="A8825" t="s">
        <v>9357</v>
      </c>
    </row>
    <row r="8826" spans="1:1">
      <c r="A8826" t="s">
        <v>9358</v>
      </c>
    </row>
    <row r="8827" spans="1:1">
      <c r="A8827" t="s">
        <v>9359</v>
      </c>
    </row>
    <row r="8828" spans="1:1">
      <c r="A8828" t="s">
        <v>9360</v>
      </c>
    </row>
    <row r="8829" spans="1:1">
      <c r="A8829" t="s">
        <v>9361</v>
      </c>
    </row>
    <row r="8830" spans="1:1">
      <c r="A8830" t="s">
        <v>9362</v>
      </c>
    </row>
    <row r="8831" spans="1:1">
      <c r="A8831" t="s">
        <v>9363</v>
      </c>
    </row>
    <row r="8832" spans="1:1">
      <c r="A8832" t="s">
        <v>9364</v>
      </c>
    </row>
    <row r="8833" spans="1:1">
      <c r="A8833" t="s">
        <v>9365</v>
      </c>
    </row>
    <row r="8834" spans="1:1">
      <c r="A8834" t="s">
        <v>9366</v>
      </c>
    </row>
    <row r="8835" spans="1:1">
      <c r="A8835" t="s">
        <v>9367</v>
      </c>
    </row>
    <row r="8836" spans="1:1">
      <c r="A8836" t="s">
        <v>9368</v>
      </c>
    </row>
    <row r="8837" spans="1:1">
      <c r="A8837" t="s">
        <v>9369</v>
      </c>
    </row>
    <row r="8838" spans="1:1">
      <c r="A8838" t="s">
        <v>9370</v>
      </c>
    </row>
    <row r="8839" spans="1:1">
      <c r="A8839" t="s">
        <v>9371</v>
      </c>
    </row>
    <row r="8840" spans="1:1">
      <c r="A8840" t="s">
        <v>9372</v>
      </c>
    </row>
    <row r="8841" spans="1:1">
      <c r="A8841" t="s">
        <v>9373</v>
      </c>
    </row>
    <row r="8842" spans="1:1">
      <c r="A8842" t="s">
        <v>9374</v>
      </c>
    </row>
    <row r="8843" spans="1:1">
      <c r="A8843" t="s">
        <v>9375</v>
      </c>
    </row>
    <row r="8844" spans="1:1">
      <c r="A8844" t="s">
        <v>9376</v>
      </c>
    </row>
    <row r="8845" spans="1:1">
      <c r="A8845" t="s">
        <v>9377</v>
      </c>
    </row>
    <row r="8846" spans="1:1">
      <c r="A8846" t="s">
        <v>9378</v>
      </c>
    </row>
    <row r="8847" spans="1:1">
      <c r="A8847" t="s">
        <v>9379</v>
      </c>
    </row>
    <row r="8848" spans="1:1">
      <c r="A8848" t="s">
        <v>9380</v>
      </c>
    </row>
    <row r="8849" spans="1:1">
      <c r="A8849" t="s">
        <v>9381</v>
      </c>
    </row>
    <row r="8850" spans="1:1">
      <c r="A8850" t="s">
        <v>9382</v>
      </c>
    </row>
    <row r="8851" spans="1:1">
      <c r="A8851" t="s">
        <v>9383</v>
      </c>
    </row>
    <row r="8852" spans="1:1">
      <c r="A8852" t="s">
        <v>9384</v>
      </c>
    </row>
    <row r="8853" spans="1:1">
      <c r="A8853" t="s">
        <v>9385</v>
      </c>
    </row>
    <row r="8854" spans="1:1">
      <c r="A8854" t="s">
        <v>9386</v>
      </c>
    </row>
    <row r="8855" spans="1:1">
      <c r="A8855" t="s">
        <v>9387</v>
      </c>
    </row>
    <row r="8856" spans="1:1">
      <c r="A8856" t="s">
        <v>9388</v>
      </c>
    </row>
    <row r="8857" spans="1:1">
      <c r="A8857" t="s">
        <v>9389</v>
      </c>
    </row>
    <row r="8858" spans="1:1">
      <c r="A8858" t="s">
        <v>9390</v>
      </c>
    </row>
    <row r="8859" spans="1:1">
      <c r="A8859" t="s">
        <v>9391</v>
      </c>
    </row>
    <row r="8860" spans="1:1">
      <c r="A8860" t="s">
        <v>9392</v>
      </c>
    </row>
    <row r="8861" spans="1:1">
      <c r="A8861" t="s">
        <v>9393</v>
      </c>
    </row>
    <row r="8862" spans="1:1">
      <c r="A8862" t="s">
        <v>9394</v>
      </c>
    </row>
    <row r="8863" spans="1:1">
      <c r="A8863" t="s">
        <v>9395</v>
      </c>
    </row>
    <row r="8864" spans="1:1">
      <c r="A8864" t="s">
        <v>9396</v>
      </c>
    </row>
    <row r="8865" spans="1:1">
      <c r="A8865" t="s">
        <v>9397</v>
      </c>
    </row>
    <row r="8866" spans="1:1">
      <c r="A8866" t="s">
        <v>9398</v>
      </c>
    </row>
    <row r="8867" spans="1:1">
      <c r="A8867" t="s">
        <v>9399</v>
      </c>
    </row>
    <row r="8868" spans="1:1">
      <c r="A8868" t="s">
        <v>9400</v>
      </c>
    </row>
    <row r="8869" spans="1:1">
      <c r="A8869" t="s">
        <v>9401</v>
      </c>
    </row>
    <row r="8870" spans="1:1">
      <c r="A8870" t="s">
        <v>9402</v>
      </c>
    </row>
    <row r="8871" spans="1:1">
      <c r="A8871" t="s">
        <v>9403</v>
      </c>
    </row>
    <row r="8872" spans="1:1">
      <c r="A8872" t="s">
        <v>9404</v>
      </c>
    </row>
    <row r="8873" spans="1:1">
      <c r="A8873" t="s">
        <v>9405</v>
      </c>
    </row>
    <row r="8874" spans="1:1">
      <c r="A8874" t="s">
        <v>9406</v>
      </c>
    </row>
    <row r="8875" spans="1:1">
      <c r="A8875" t="s">
        <v>9407</v>
      </c>
    </row>
    <row r="8876" spans="1:1">
      <c r="A8876" t="s">
        <v>9408</v>
      </c>
    </row>
    <row r="8877" spans="1:1">
      <c r="A8877" t="s">
        <v>9409</v>
      </c>
    </row>
    <row r="8878" spans="1:1">
      <c r="A8878" t="s">
        <v>9410</v>
      </c>
    </row>
    <row r="8879" spans="1:1">
      <c r="A8879" t="s">
        <v>9411</v>
      </c>
    </row>
    <row r="8880" spans="1:1">
      <c r="A8880" t="s">
        <v>9412</v>
      </c>
    </row>
    <row r="8881" spans="1:1">
      <c r="A8881" t="s">
        <v>9413</v>
      </c>
    </row>
    <row r="8882" spans="1:1">
      <c r="A8882" t="s">
        <v>9414</v>
      </c>
    </row>
    <row r="8883" spans="1:1">
      <c r="A8883" t="s">
        <v>9415</v>
      </c>
    </row>
    <row r="8884" spans="1:1">
      <c r="A8884" t="s">
        <v>9416</v>
      </c>
    </row>
    <row r="8885" spans="1:1">
      <c r="A8885" t="s">
        <v>9417</v>
      </c>
    </row>
    <row r="8886" spans="1:1">
      <c r="A8886" t="s">
        <v>9418</v>
      </c>
    </row>
    <row r="8887" spans="1:1">
      <c r="A8887" t="s">
        <v>9419</v>
      </c>
    </row>
    <row r="8888" spans="1:1">
      <c r="A8888" t="s">
        <v>9420</v>
      </c>
    </row>
    <row r="8889" spans="1:1">
      <c r="A8889" t="s">
        <v>9421</v>
      </c>
    </row>
    <row r="8890" spans="1:1">
      <c r="A8890" t="s">
        <v>9422</v>
      </c>
    </row>
    <row r="8891" spans="1:1">
      <c r="A8891" t="s">
        <v>9423</v>
      </c>
    </row>
    <row r="8892" spans="1:1">
      <c r="A8892" t="s">
        <v>9424</v>
      </c>
    </row>
    <row r="8893" spans="1:1">
      <c r="A8893" t="s">
        <v>9425</v>
      </c>
    </row>
    <row r="8894" spans="1:1">
      <c r="A8894" t="s">
        <v>9426</v>
      </c>
    </row>
    <row r="8895" spans="1:1">
      <c r="A8895" t="s">
        <v>9427</v>
      </c>
    </row>
    <row r="8896" spans="1:1">
      <c r="A8896" t="s">
        <v>9428</v>
      </c>
    </row>
    <row r="8897" spans="1:1">
      <c r="A8897" t="s">
        <v>9429</v>
      </c>
    </row>
    <row r="8898" spans="1:1">
      <c r="A8898" t="s">
        <v>9430</v>
      </c>
    </row>
    <row r="8899" spans="1:1">
      <c r="A8899" t="s">
        <v>9431</v>
      </c>
    </row>
    <row r="8900" spans="1:1">
      <c r="A8900" t="s">
        <v>9432</v>
      </c>
    </row>
    <row r="8901" spans="1:1">
      <c r="A8901" t="s">
        <v>9433</v>
      </c>
    </row>
    <row r="8902" spans="1:1">
      <c r="A8902" t="s">
        <v>9434</v>
      </c>
    </row>
    <row r="8903" spans="1:1">
      <c r="A8903" t="s">
        <v>9435</v>
      </c>
    </row>
    <row r="8904" spans="1:1">
      <c r="A8904" t="s">
        <v>9436</v>
      </c>
    </row>
    <row r="8905" spans="1:1">
      <c r="A8905" t="s">
        <v>9437</v>
      </c>
    </row>
    <row r="8906" spans="1:1">
      <c r="A8906" t="s">
        <v>9438</v>
      </c>
    </row>
    <row r="8907" spans="1:1">
      <c r="A8907" t="s">
        <v>9439</v>
      </c>
    </row>
    <row r="8908" spans="1:1">
      <c r="A8908" t="s">
        <v>9440</v>
      </c>
    </row>
    <row r="8909" spans="1:1">
      <c r="A8909" t="s">
        <v>9441</v>
      </c>
    </row>
    <row r="8910" spans="1:1">
      <c r="A8910" t="s">
        <v>9442</v>
      </c>
    </row>
    <row r="8911" spans="1:1">
      <c r="A8911" t="s">
        <v>9443</v>
      </c>
    </row>
    <row r="8912" spans="1:1">
      <c r="A8912" t="s">
        <v>9444</v>
      </c>
    </row>
    <row r="8913" spans="1:1">
      <c r="A8913" t="s">
        <v>9445</v>
      </c>
    </row>
    <row r="8914" spans="1:1">
      <c r="A8914" t="s">
        <v>9446</v>
      </c>
    </row>
    <row r="8915" spans="1:1">
      <c r="A8915" t="s">
        <v>9447</v>
      </c>
    </row>
    <row r="8916" spans="1:1">
      <c r="A8916" t="s">
        <v>9448</v>
      </c>
    </row>
    <row r="8917" spans="1:1">
      <c r="A8917" t="s">
        <v>9449</v>
      </c>
    </row>
    <row r="8918" spans="1:1">
      <c r="A8918" t="s">
        <v>9450</v>
      </c>
    </row>
    <row r="8919" spans="1:1">
      <c r="A8919" t="s">
        <v>9451</v>
      </c>
    </row>
    <row r="8920" spans="1:1">
      <c r="A8920" t="s">
        <v>9452</v>
      </c>
    </row>
    <row r="8921" spans="1:1">
      <c r="A8921" t="s">
        <v>9453</v>
      </c>
    </row>
    <row r="8922" spans="1:1">
      <c r="A8922" t="s">
        <v>9454</v>
      </c>
    </row>
    <row r="8923" spans="1:1">
      <c r="A8923" t="s">
        <v>9455</v>
      </c>
    </row>
    <row r="8924" spans="1:1">
      <c r="A8924" t="s">
        <v>9456</v>
      </c>
    </row>
    <row r="8925" spans="1:1">
      <c r="A8925" t="s">
        <v>9457</v>
      </c>
    </row>
    <row r="8926" spans="1:1">
      <c r="A8926" t="s">
        <v>9458</v>
      </c>
    </row>
    <row r="8927" spans="1:1">
      <c r="A8927" t="s">
        <v>9459</v>
      </c>
    </row>
    <row r="8928" spans="1:1">
      <c r="A8928" t="s">
        <v>9460</v>
      </c>
    </row>
    <row r="8929" spans="1:1">
      <c r="A8929" t="s">
        <v>9461</v>
      </c>
    </row>
    <row r="8930" spans="1:1">
      <c r="A8930" t="s">
        <v>9462</v>
      </c>
    </row>
    <row r="8931" spans="1:1">
      <c r="A8931" t="s">
        <v>9463</v>
      </c>
    </row>
    <row r="8932" spans="1:1">
      <c r="A8932" t="s">
        <v>9464</v>
      </c>
    </row>
    <row r="8933" spans="1:1">
      <c r="A8933" t="s">
        <v>9465</v>
      </c>
    </row>
    <row r="8934" spans="1:1">
      <c r="A8934" t="s">
        <v>9466</v>
      </c>
    </row>
    <row r="8935" spans="1:1">
      <c r="A8935" t="s">
        <v>9467</v>
      </c>
    </row>
    <row r="8936" spans="1:1">
      <c r="A8936" t="s">
        <v>9468</v>
      </c>
    </row>
    <row r="8937" spans="1:1">
      <c r="A8937" t="s">
        <v>9469</v>
      </c>
    </row>
    <row r="8938" spans="1:1">
      <c r="A8938" t="s">
        <v>9470</v>
      </c>
    </row>
    <row r="8939" spans="1:1">
      <c r="A8939" t="s">
        <v>9471</v>
      </c>
    </row>
    <row r="8940" spans="1:1">
      <c r="A8940" t="s">
        <v>9472</v>
      </c>
    </row>
    <row r="8941" spans="1:1">
      <c r="A8941" t="s">
        <v>9473</v>
      </c>
    </row>
    <row r="8942" spans="1:1">
      <c r="A8942" t="s">
        <v>9474</v>
      </c>
    </row>
    <row r="8943" spans="1:1">
      <c r="A8943" t="s">
        <v>9475</v>
      </c>
    </row>
    <row r="8944" spans="1:1">
      <c r="A8944" t="s">
        <v>9476</v>
      </c>
    </row>
    <row r="8945" spans="1:1">
      <c r="A8945" t="s">
        <v>9477</v>
      </c>
    </row>
    <row r="8946" spans="1:1">
      <c r="A8946" t="s">
        <v>9478</v>
      </c>
    </row>
    <row r="8947" spans="1:1">
      <c r="A8947" t="s">
        <v>9479</v>
      </c>
    </row>
    <row r="8948" spans="1:1">
      <c r="A8948" t="s">
        <v>9480</v>
      </c>
    </row>
    <row r="8949" spans="1:1">
      <c r="A8949" t="s">
        <v>9481</v>
      </c>
    </row>
    <row r="8950" spans="1:1">
      <c r="A8950" t="s">
        <v>9482</v>
      </c>
    </row>
    <row r="8951" spans="1:1">
      <c r="A8951" t="s">
        <v>9483</v>
      </c>
    </row>
    <row r="8952" spans="1:1">
      <c r="A8952" t="s">
        <v>9484</v>
      </c>
    </row>
    <row r="8953" spans="1:1">
      <c r="A8953" t="s">
        <v>9485</v>
      </c>
    </row>
    <row r="8954" spans="1:1">
      <c r="A8954" t="s">
        <v>9486</v>
      </c>
    </row>
    <row r="8955" spans="1:1">
      <c r="A8955" t="s">
        <v>9487</v>
      </c>
    </row>
    <row r="8956" spans="1:1">
      <c r="A8956" t="s">
        <v>9488</v>
      </c>
    </row>
    <row r="8957" spans="1:1">
      <c r="A8957" t="s">
        <v>9489</v>
      </c>
    </row>
    <row r="8958" spans="1:1">
      <c r="A8958" t="s">
        <v>9490</v>
      </c>
    </row>
    <row r="8959" spans="1:1">
      <c r="A8959" t="s">
        <v>9491</v>
      </c>
    </row>
    <row r="8960" spans="1:1">
      <c r="A8960" t="s">
        <v>9492</v>
      </c>
    </row>
    <row r="8961" spans="1:1">
      <c r="A8961" t="s">
        <v>9493</v>
      </c>
    </row>
    <row r="8962" spans="1:1">
      <c r="A8962" t="s">
        <v>9494</v>
      </c>
    </row>
    <row r="8963" spans="1:1">
      <c r="A8963" t="s">
        <v>9495</v>
      </c>
    </row>
    <row r="8964" spans="1:1">
      <c r="A8964" t="s">
        <v>9496</v>
      </c>
    </row>
    <row r="8965" spans="1:1">
      <c r="A8965" t="s">
        <v>9497</v>
      </c>
    </row>
    <row r="8966" spans="1:1">
      <c r="A8966" t="s">
        <v>9498</v>
      </c>
    </row>
    <row r="8967" spans="1:1">
      <c r="A8967" t="s">
        <v>9499</v>
      </c>
    </row>
    <row r="8968" spans="1:1">
      <c r="A8968" t="s">
        <v>9500</v>
      </c>
    </row>
    <row r="8969" spans="1:1">
      <c r="A8969" t="s">
        <v>9501</v>
      </c>
    </row>
    <row r="8970" spans="1:1">
      <c r="A8970" t="s">
        <v>9502</v>
      </c>
    </row>
    <row r="8971" spans="1:1">
      <c r="A8971" t="s">
        <v>9503</v>
      </c>
    </row>
    <row r="8972" spans="1:1">
      <c r="A8972" t="s">
        <v>9504</v>
      </c>
    </row>
    <row r="8973" spans="1:1">
      <c r="A8973" t="s">
        <v>9505</v>
      </c>
    </row>
    <row r="8974" spans="1:1">
      <c r="A8974" t="s">
        <v>9506</v>
      </c>
    </row>
    <row r="8975" spans="1:1">
      <c r="A8975" t="s">
        <v>9507</v>
      </c>
    </row>
    <row r="8976" spans="1:1">
      <c r="A8976" t="s">
        <v>9508</v>
      </c>
    </row>
    <row r="8977" spans="1:1">
      <c r="A8977" t="s">
        <v>9509</v>
      </c>
    </row>
    <row r="8978" spans="1:1">
      <c r="A8978" t="s">
        <v>9510</v>
      </c>
    </row>
    <row r="8979" spans="1:1">
      <c r="A8979" t="s">
        <v>9511</v>
      </c>
    </row>
    <row r="8980" spans="1:1">
      <c r="A8980" t="s">
        <v>9512</v>
      </c>
    </row>
    <row r="8981" spans="1:1">
      <c r="A8981" t="s">
        <v>9513</v>
      </c>
    </row>
    <row r="8982" spans="1:1">
      <c r="A8982" t="s">
        <v>9514</v>
      </c>
    </row>
    <row r="8983" spans="1:1">
      <c r="A8983" t="s">
        <v>9515</v>
      </c>
    </row>
    <row r="8984" spans="1:1">
      <c r="A8984" t="s">
        <v>9516</v>
      </c>
    </row>
    <row r="8985" spans="1:1">
      <c r="A8985" t="s">
        <v>9517</v>
      </c>
    </row>
    <row r="8986" spans="1:1">
      <c r="A8986" t="s">
        <v>9518</v>
      </c>
    </row>
    <row r="8987" spans="1:1">
      <c r="A8987" t="s">
        <v>9519</v>
      </c>
    </row>
    <row r="8988" spans="1:1">
      <c r="A8988" t="s">
        <v>9520</v>
      </c>
    </row>
    <row r="8989" spans="1:1">
      <c r="A8989" t="s">
        <v>9521</v>
      </c>
    </row>
    <row r="8990" spans="1:1">
      <c r="A8990" t="s">
        <v>9522</v>
      </c>
    </row>
    <row r="8991" spans="1:1">
      <c r="A8991" t="s">
        <v>9523</v>
      </c>
    </row>
    <row r="8992" spans="1:1">
      <c r="A8992" t="s">
        <v>9524</v>
      </c>
    </row>
    <row r="8993" spans="1:1">
      <c r="A8993" t="s">
        <v>9525</v>
      </c>
    </row>
    <row r="8994" spans="1:1">
      <c r="A8994" t="s">
        <v>9526</v>
      </c>
    </row>
    <row r="8995" spans="1:1">
      <c r="A8995" t="s">
        <v>9527</v>
      </c>
    </row>
    <row r="8996" spans="1:1">
      <c r="A8996" t="s">
        <v>9528</v>
      </c>
    </row>
    <row r="8997" spans="1:1">
      <c r="A8997" t="s">
        <v>9529</v>
      </c>
    </row>
    <row r="8998" spans="1:1">
      <c r="A8998" t="s">
        <v>9530</v>
      </c>
    </row>
    <row r="8999" spans="1:1">
      <c r="A8999" t="s">
        <v>9531</v>
      </c>
    </row>
    <row r="9000" spans="1:1">
      <c r="A9000" t="s">
        <v>9532</v>
      </c>
    </row>
    <row r="9001" spans="1:1">
      <c r="A9001" t="s">
        <v>9533</v>
      </c>
    </row>
    <row r="9002" spans="1:1">
      <c r="A9002" t="s">
        <v>9534</v>
      </c>
    </row>
    <row r="9003" spans="1:1">
      <c r="A9003" t="s">
        <v>9535</v>
      </c>
    </row>
    <row r="9004" spans="1:1">
      <c r="A9004" t="s">
        <v>9536</v>
      </c>
    </row>
    <row r="9005" spans="1:1">
      <c r="A9005" t="s">
        <v>9537</v>
      </c>
    </row>
    <row r="9006" spans="1:1">
      <c r="A9006" t="s">
        <v>9538</v>
      </c>
    </row>
    <row r="9007" spans="1:1">
      <c r="A9007" t="s">
        <v>9539</v>
      </c>
    </row>
    <row r="9008" spans="1:1">
      <c r="A9008" t="s">
        <v>9540</v>
      </c>
    </row>
    <row r="9009" spans="1:1">
      <c r="A9009" t="s">
        <v>9541</v>
      </c>
    </row>
    <row r="9010" spans="1:1">
      <c r="A9010" t="s">
        <v>9542</v>
      </c>
    </row>
    <row r="9011" spans="1:1">
      <c r="A9011" t="s">
        <v>9543</v>
      </c>
    </row>
    <row r="9012" spans="1:1">
      <c r="A9012" t="s">
        <v>9544</v>
      </c>
    </row>
    <row r="9013" spans="1:1">
      <c r="A9013" t="s">
        <v>9545</v>
      </c>
    </row>
    <row r="9014" spans="1:1">
      <c r="A9014" t="s">
        <v>9546</v>
      </c>
    </row>
    <row r="9015" spans="1:1">
      <c r="A9015" t="s">
        <v>9547</v>
      </c>
    </row>
    <row r="9016" spans="1:1">
      <c r="A9016" t="s">
        <v>9548</v>
      </c>
    </row>
    <row r="9017" spans="1:1">
      <c r="A9017" t="s">
        <v>9549</v>
      </c>
    </row>
    <row r="9018" spans="1:1">
      <c r="A9018" t="s">
        <v>9550</v>
      </c>
    </row>
    <row r="9019" spans="1:1">
      <c r="A9019" t="s">
        <v>9551</v>
      </c>
    </row>
    <row r="9020" spans="1:1">
      <c r="A9020" t="s">
        <v>9552</v>
      </c>
    </row>
    <row r="9021" spans="1:1">
      <c r="A9021" t="s">
        <v>9553</v>
      </c>
    </row>
    <row r="9022" spans="1:1">
      <c r="A9022" t="s">
        <v>9554</v>
      </c>
    </row>
    <row r="9023" spans="1:1">
      <c r="A9023" t="s">
        <v>9555</v>
      </c>
    </row>
    <row r="9024" spans="1:1">
      <c r="A9024" t="s">
        <v>9556</v>
      </c>
    </row>
    <row r="9025" spans="1:1">
      <c r="A9025" t="s">
        <v>9557</v>
      </c>
    </row>
    <row r="9026" spans="1:1">
      <c r="A9026" t="s">
        <v>9558</v>
      </c>
    </row>
    <row r="9027" spans="1:1">
      <c r="A9027" t="s">
        <v>9559</v>
      </c>
    </row>
    <row r="9028" spans="1:1">
      <c r="A9028" t="s">
        <v>9560</v>
      </c>
    </row>
    <row r="9029" spans="1:1">
      <c r="A9029" t="s">
        <v>9561</v>
      </c>
    </row>
    <row r="9030" spans="1:1">
      <c r="A9030" t="s">
        <v>9562</v>
      </c>
    </row>
    <row r="9031" spans="1:1">
      <c r="A9031" t="s">
        <v>9563</v>
      </c>
    </row>
    <row r="9032" spans="1:1">
      <c r="A9032" t="s">
        <v>9564</v>
      </c>
    </row>
    <row r="9033" spans="1:1">
      <c r="A9033" t="s">
        <v>9565</v>
      </c>
    </row>
    <row r="9034" spans="1:1">
      <c r="A9034" t="s">
        <v>9566</v>
      </c>
    </row>
    <row r="9035" spans="1:1">
      <c r="A9035" t="s">
        <v>9567</v>
      </c>
    </row>
    <row r="9036" spans="1:1">
      <c r="A9036" t="s">
        <v>9568</v>
      </c>
    </row>
    <row r="9037" spans="1:1">
      <c r="A9037" t="s">
        <v>9569</v>
      </c>
    </row>
    <row r="9038" spans="1:1">
      <c r="A9038" t="s">
        <v>9570</v>
      </c>
    </row>
    <row r="9039" spans="1:1">
      <c r="A9039" t="s">
        <v>9571</v>
      </c>
    </row>
    <row r="9040" spans="1:1">
      <c r="A9040" t="s">
        <v>9572</v>
      </c>
    </row>
    <row r="9041" spans="1:1">
      <c r="A9041" t="s">
        <v>9573</v>
      </c>
    </row>
    <row r="9042" spans="1:1">
      <c r="A9042" t="s">
        <v>9574</v>
      </c>
    </row>
    <row r="9043" spans="1:1">
      <c r="A9043" t="s">
        <v>9575</v>
      </c>
    </row>
    <row r="9044" spans="1:1">
      <c r="A9044" t="s">
        <v>9576</v>
      </c>
    </row>
    <row r="9045" spans="1:1">
      <c r="A9045" t="s">
        <v>9577</v>
      </c>
    </row>
    <row r="9046" spans="1:1">
      <c r="A9046" t="s">
        <v>9578</v>
      </c>
    </row>
    <row r="9047" spans="1:1">
      <c r="A9047" t="s">
        <v>9579</v>
      </c>
    </row>
    <row r="9048" spans="1:1">
      <c r="A9048" t="s">
        <v>9580</v>
      </c>
    </row>
    <row r="9049" spans="1:1">
      <c r="A9049" t="s">
        <v>9581</v>
      </c>
    </row>
    <row r="9050" spans="1:1">
      <c r="A9050" t="s">
        <v>9582</v>
      </c>
    </row>
    <row r="9051" spans="1:1">
      <c r="A9051" t="s">
        <v>9583</v>
      </c>
    </row>
    <row r="9052" spans="1:1">
      <c r="A9052" t="s">
        <v>9584</v>
      </c>
    </row>
    <row r="9053" spans="1:1">
      <c r="A9053" t="s">
        <v>9585</v>
      </c>
    </row>
    <row r="9054" spans="1:1">
      <c r="A9054" t="s">
        <v>9586</v>
      </c>
    </row>
    <row r="9055" spans="1:1">
      <c r="A9055" t="s">
        <v>9587</v>
      </c>
    </row>
    <row r="9056" spans="1:1">
      <c r="A9056" t="s">
        <v>9588</v>
      </c>
    </row>
    <row r="9057" spans="1:1">
      <c r="A9057" t="s">
        <v>9589</v>
      </c>
    </row>
    <row r="9058" spans="1:1">
      <c r="A9058" t="s">
        <v>9590</v>
      </c>
    </row>
    <row r="9059" spans="1:1">
      <c r="A9059" t="s">
        <v>9591</v>
      </c>
    </row>
    <row r="9060" spans="1:1">
      <c r="A9060" t="s">
        <v>9592</v>
      </c>
    </row>
    <row r="9061" spans="1:1">
      <c r="A9061" t="s">
        <v>9593</v>
      </c>
    </row>
    <row r="9062" spans="1:1">
      <c r="A9062" t="s">
        <v>9594</v>
      </c>
    </row>
    <row r="9063" spans="1:1">
      <c r="A9063" t="s">
        <v>9595</v>
      </c>
    </row>
    <row r="9064" spans="1:1">
      <c r="A9064" t="s">
        <v>9596</v>
      </c>
    </row>
    <row r="9065" spans="1:1">
      <c r="A9065" t="s">
        <v>9597</v>
      </c>
    </row>
    <row r="9066" spans="1:1">
      <c r="A9066" t="s">
        <v>9598</v>
      </c>
    </row>
    <row r="9067" spans="1:1">
      <c r="A9067" t="s">
        <v>9599</v>
      </c>
    </row>
    <row r="9068" spans="1:1">
      <c r="A9068" t="s">
        <v>9600</v>
      </c>
    </row>
    <row r="9069" spans="1:1">
      <c r="A9069" t="s">
        <v>9601</v>
      </c>
    </row>
    <row r="9070" spans="1:1">
      <c r="A9070" t="s">
        <v>9602</v>
      </c>
    </row>
    <row r="9071" spans="1:1">
      <c r="A9071" t="s">
        <v>9603</v>
      </c>
    </row>
    <row r="9072" spans="1:1">
      <c r="A9072" t="s">
        <v>9604</v>
      </c>
    </row>
    <row r="9073" spans="1:1">
      <c r="A9073" t="s">
        <v>9605</v>
      </c>
    </row>
    <row r="9074" spans="1:1">
      <c r="A9074" t="s">
        <v>9606</v>
      </c>
    </row>
    <row r="9075" spans="1:1">
      <c r="A9075" t="s">
        <v>9607</v>
      </c>
    </row>
    <row r="9076" spans="1:1">
      <c r="A9076" t="s">
        <v>9608</v>
      </c>
    </row>
    <row r="9077" spans="1:1">
      <c r="A9077" t="s">
        <v>9609</v>
      </c>
    </row>
    <row r="9078" spans="1:1">
      <c r="A9078" t="s">
        <v>9610</v>
      </c>
    </row>
    <row r="9079" spans="1:1">
      <c r="A9079" t="s">
        <v>9611</v>
      </c>
    </row>
    <row r="9080" spans="1:1">
      <c r="A9080" t="s">
        <v>9612</v>
      </c>
    </row>
    <row r="9081" spans="1:1">
      <c r="A9081" t="s">
        <v>9613</v>
      </c>
    </row>
    <row r="9082" spans="1:1">
      <c r="A9082" t="s">
        <v>9614</v>
      </c>
    </row>
    <row r="9083" spans="1:1">
      <c r="A9083" t="s">
        <v>9615</v>
      </c>
    </row>
    <row r="9084" spans="1:1">
      <c r="A9084" t="s">
        <v>9616</v>
      </c>
    </row>
    <row r="9085" spans="1:1">
      <c r="A9085" t="s">
        <v>9617</v>
      </c>
    </row>
    <row r="9086" spans="1:1">
      <c r="A9086" t="s">
        <v>9618</v>
      </c>
    </row>
    <row r="9087" spans="1:1">
      <c r="A9087" t="s">
        <v>9619</v>
      </c>
    </row>
    <row r="9088" spans="1:1">
      <c r="A9088" t="s">
        <v>9620</v>
      </c>
    </row>
    <row r="9089" spans="1:1">
      <c r="A9089" t="s">
        <v>9621</v>
      </c>
    </row>
    <row r="9090" spans="1:1">
      <c r="A9090" t="s">
        <v>9622</v>
      </c>
    </row>
    <row r="9091" spans="1:1">
      <c r="A9091" t="s">
        <v>9623</v>
      </c>
    </row>
    <row r="9092" spans="1:1">
      <c r="A9092" t="s">
        <v>9624</v>
      </c>
    </row>
    <row r="9093" spans="1:1">
      <c r="A9093" t="s">
        <v>9625</v>
      </c>
    </row>
    <row r="9094" spans="1:1">
      <c r="A9094" t="s">
        <v>9626</v>
      </c>
    </row>
    <row r="9095" spans="1:1">
      <c r="A9095" t="s">
        <v>9627</v>
      </c>
    </row>
    <row r="9096" spans="1:1">
      <c r="A9096" t="s">
        <v>9628</v>
      </c>
    </row>
    <row r="9097" spans="1:1">
      <c r="A9097" t="s">
        <v>9629</v>
      </c>
    </row>
    <row r="9098" spans="1:1">
      <c r="A9098" t="s">
        <v>9630</v>
      </c>
    </row>
    <row r="9099" spans="1:1">
      <c r="A9099" t="s">
        <v>9631</v>
      </c>
    </row>
    <row r="9100" spans="1:1">
      <c r="A9100" t="s">
        <v>9632</v>
      </c>
    </row>
    <row r="9101" spans="1:1">
      <c r="A9101" t="s">
        <v>9633</v>
      </c>
    </row>
    <row r="9102" spans="1:1">
      <c r="A9102" t="s">
        <v>9634</v>
      </c>
    </row>
    <row r="9103" spans="1:1">
      <c r="A9103" t="s">
        <v>9635</v>
      </c>
    </row>
    <row r="9104" spans="1:1">
      <c r="A9104" t="s">
        <v>9636</v>
      </c>
    </row>
    <row r="9105" spans="1:1">
      <c r="A9105" t="s">
        <v>9637</v>
      </c>
    </row>
    <row r="9106" spans="1:1">
      <c r="A9106" t="s">
        <v>9638</v>
      </c>
    </row>
    <row r="9107" spans="1:1">
      <c r="A9107" t="s">
        <v>9639</v>
      </c>
    </row>
    <row r="9108" spans="1:1">
      <c r="A9108" t="s">
        <v>9640</v>
      </c>
    </row>
    <row r="9109" spans="1:1">
      <c r="A9109" t="s">
        <v>9641</v>
      </c>
    </row>
    <row r="9110" spans="1:1">
      <c r="A9110" t="s">
        <v>9642</v>
      </c>
    </row>
    <row r="9111" spans="1:1">
      <c r="A9111" t="s">
        <v>9643</v>
      </c>
    </row>
    <row r="9112" spans="1:1">
      <c r="A9112" t="s">
        <v>9644</v>
      </c>
    </row>
    <row r="9113" spans="1:1">
      <c r="A9113" t="s">
        <v>9645</v>
      </c>
    </row>
    <row r="9114" spans="1:1">
      <c r="A9114" t="s">
        <v>9646</v>
      </c>
    </row>
    <row r="9115" spans="1:1">
      <c r="A9115" t="s">
        <v>9647</v>
      </c>
    </row>
    <row r="9116" spans="1:1">
      <c r="A9116" t="s">
        <v>9648</v>
      </c>
    </row>
    <row r="9117" spans="1:1">
      <c r="A9117" t="s">
        <v>9649</v>
      </c>
    </row>
    <row r="9118" spans="1:1">
      <c r="A9118" t="s">
        <v>9650</v>
      </c>
    </row>
    <row r="9119" spans="1:1">
      <c r="A9119" t="s">
        <v>9651</v>
      </c>
    </row>
    <row r="9120" spans="1:1">
      <c r="A9120" t="s">
        <v>9652</v>
      </c>
    </row>
    <row r="9121" spans="1:1">
      <c r="A9121" t="s">
        <v>9653</v>
      </c>
    </row>
    <row r="9122" spans="1:1">
      <c r="A9122" t="s">
        <v>9654</v>
      </c>
    </row>
    <row r="9123" spans="1:1">
      <c r="A9123" t="s">
        <v>9655</v>
      </c>
    </row>
    <row r="9124" spans="1:1">
      <c r="A9124" t="s">
        <v>9656</v>
      </c>
    </row>
    <row r="9125" spans="1:1">
      <c r="A9125" t="s">
        <v>9657</v>
      </c>
    </row>
    <row r="9126" spans="1:1">
      <c r="A9126" t="s">
        <v>9658</v>
      </c>
    </row>
    <row r="9127" spans="1:1">
      <c r="A9127" t="s">
        <v>9659</v>
      </c>
    </row>
    <row r="9128" spans="1:1">
      <c r="A9128" t="s">
        <v>9660</v>
      </c>
    </row>
    <row r="9129" spans="1:1">
      <c r="A9129" t="s">
        <v>9661</v>
      </c>
    </row>
    <row r="9130" spans="1:1">
      <c r="A9130" t="s">
        <v>9662</v>
      </c>
    </row>
    <row r="9131" spans="1:1">
      <c r="A9131" t="s">
        <v>9663</v>
      </c>
    </row>
    <row r="9132" spans="1:1">
      <c r="A9132" t="s">
        <v>9664</v>
      </c>
    </row>
    <row r="9133" spans="1:1">
      <c r="A9133" t="s">
        <v>9665</v>
      </c>
    </row>
    <row r="9134" spans="1:1">
      <c r="A9134" t="s">
        <v>9666</v>
      </c>
    </row>
    <row r="9135" spans="1:1">
      <c r="A9135" t="s">
        <v>9667</v>
      </c>
    </row>
    <row r="9136" spans="1:1">
      <c r="A9136" t="s">
        <v>9668</v>
      </c>
    </row>
    <row r="9137" spans="1:1">
      <c r="A9137" t="s">
        <v>9669</v>
      </c>
    </row>
    <row r="9138" spans="1:1">
      <c r="A9138" t="s">
        <v>9670</v>
      </c>
    </row>
    <row r="9139" spans="1:1">
      <c r="A9139" t="s">
        <v>9671</v>
      </c>
    </row>
    <row r="9140" spans="1:1">
      <c r="A9140" t="s">
        <v>9672</v>
      </c>
    </row>
    <row r="9141" spans="1:1">
      <c r="A9141" t="s">
        <v>9673</v>
      </c>
    </row>
    <row r="9142" spans="1:1">
      <c r="A9142" t="s">
        <v>9674</v>
      </c>
    </row>
    <row r="9143" spans="1:1">
      <c r="A9143" t="s">
        <v>9675</v>
      </c>
    </row>
    <row r="9144" spans="1:1">
      <c r="A9144" t="s">
        <v>9676</v>
      </c>
    </row>
    <row r="9145" spans="1:1">
      <c r="A9145" t="s">
        <v>9677</v>
      </c>
    </row>
    <row r="9146" spans="1:1">
      <c r="A9146" t="s">
        <v>9678</v>
      </c>
    </row>
    <row r="9147" spans="1:1">
      <c r="A9147" t="s">
        <v>9679</v>
      </c>
    </row>
    <row r="9148" spans="1:1">
      <c r="A9148" t="s">
        <v>9680</v>
      </c>
    </row>
    <row r="9149" spans="1:1">
      <c r="A9149" t="s">
        <v>9681</v>
      </c>
    </row>
    <row r="9150" spans="1:1">
      <c r="A9150" t="s">
        <v>9682</v>
      </c>
    </row>
    <row r="9151" spans="1:1">
      <c r="A9151" t="s">
        <v>9683</v>
      </c>
    </row>
    <row r="9152" spans="1:1">
      <c r="A9152" t="s">
        <v>9684</v>
      </c>
    </row>
    <row r="9153" spans="1:1">
      <c r="A9153" t="s">
        <v>9685</v>
      </c>
    </row>
    <row r="9154" spans="1:1">
      <c r="A9154" t="s">
        <v>9686</v>
      </c>
    </row>
    <row r="9155" spans="1:1">
      <c r="A9155" t="s">
        <v>9687</v>
      </c>
    </row>
    <row r="9156" spans="1:1">
      <c r="A9156" t="s">
        <v>9688</v>
      </c>
    </row>
    <row r="9157" spans="1:1">
      <c r="A9157" t="s">
        <v>9689</v>
      </c>
    </row>
    <row r="9158" spans="1:1">
      <c r="A9158" t="s">
        <v>9690</v>
      </c>
    </row>
    <row r="9159" spans="1:1">
      <c r="A9159" t="s">
        <v>9691</v>
      </c>
    </row>
    <row r="9160" spans="1:1">
      <c r="A9160" t="s">
        <v>9692</v>
      </c>
    </row>
    <row r="9161" spans="1:1">
      <c r="A9161" t="s">
        <v>9693</v>
      </c>
    </row>
    <row r="9162" spans="1:1">
      <c r="A9162" t="s">
        <v>9694</v>
      </c>
    </row>
    <row r="9163" spans="1:1">
      <c r="A9163" t="s">
        <v>9695</v>
      </c>
    </row>
    <row r="9164" spans="1:1">
      <c r="A9164" t="s">
        <v>9696</v>
      </c>
    </row>
    <row r="9165" spans="1:1">
      <c r="A9165" t="s">
        <v>9697</v>
      </c>
    </row>
    <row r="9166" spans="1:1">
      <c r="A9166" t="s">
        <v>9698</v>
      </c>
    </row>
    <row r="9167" spans="1:1">
      <c r="A9167" t="s">
        <v>9699</v>
      </c>
    </row>
    <row r="9168" spans="1:1">
      <c r="A9168" t="s">
        <v>9700</v>
      </c>
    </row>
    <row r="9169" spans="1:1">
      <c r="A9169" t="s">
        <v>9701</v>
      </c>
    </row>
    <row r="9170" spans="1:1">
      <c r="A9170" t="s">
        <v>9702</v>
      </c>
    </row>
    <row r="9171" spans="1:1">
      <c r="A9171" t="s">
        <v>9703</v>
      </c>
    </row>
    <row r="9172" spans="1:1">
      <c r="A9172" t="s">
        <v>9704</v>
      </c>
    </row>
    <row r="9173" spans="1:1">
      <c r="A9173" t="s">
        <v>9705</v>
      </c>
    </row>
    <row r="9174" spans="1:1">
      <c r="A9174" t="s">
        <v>9706</v>
      </c>
    </row>
    <row r="9175" spans="1:1">
      <c r="A9175" t="s">
        <v>9707</v>
      </c>
    </row>
    <row r="9176" spans="1:1">
      <c r="A9176" t="s">
        <v>9708</v>
      </c>
    </row>
    <row r="9177" spans="1:1">
      <c r="A9177" t="s">
        <v>9709</v>
      </c>
    </row>
    <row r="9178" spans="1:1">
      <c r="A9178" t="s">
        <v>9710</v>
      </c>
    </row>
    <row r="9179" spans="1:1">
      <c r="A9179" t="s">
        <v>9711</v>
      </c>
    </row>
    <row r="9180" spans="1:1">
      <c r="A9180" t="s">
        <v>9712</v>
      </c>
    </row>
    <row r="9181" spans="1:1">
      <c r="A9181" t="s">
        <v>9713</v>
      </c>
    </row>
    <row r="9182" spans="1:1">
      <c r="A9182" t="s">
        <v>9714</v>
      </c>
    </row>
    <row r="9183" spans="1:1">
      <c r="A9183" t="s">
        <v>9715</v>
      </c>
    </row>
    <row r="9184" spans="1:1">
      <c r="A9184" t="s">
        <v>9716</v>
      </c>
    </row>
    <row r="9185" spans="1:1">
      <c r="A9185" t="s">
        <v>9717</v>
      </c>
    </row>
    <row r="9186" spans="1:1">
      <c r="A9186" t="s">
        <v>9718</v>
      </c>
    </row>
    <row r="9187" spans="1:1">
      <c r="A9187" t="s">
        <v>9719</v>
      </c>
    </row>
    <row r="9188" spans="1:1">
      <c r="A9188" t="s">
        <v>9720</v>
      </c>
    </row>
    <row r="9189" spans="1:1">
      <c r="A9189" t="s">
        <v>9721</v>
      </c>
    </row>
    <row r="9190" spans="1:1">
      <c r="A9190" t="s">
        <v>9722</v>
      </c>
    </row>
    <row r="9191" spans="1:1">
      <c r="A9191" t="s">
        <v>9723</v>
      </c>
    </row>
    <row r="9192" spans="1:1">
      <c r="A9192" t="s">
        <v>9724</v>
      </c>
    </row>
    <row r="9193" spans="1:1">
      <c r="A9193" t="s">
        <v>9725</v>
      </c>
    </row>
    <row r="9194" spans="1:1">
      <c r="A9194" t="s">
        <v>9726</v>
      </c>
    </row>
    <row r="9195" spans="1:1">
      <c r="A9195" t="s">
        <v>9727</v>
      </c>
    </row>
    <row r="9196" spans="1:1">
      <c r="A9196" t="s">
        <v>9728</v>
      </c>
    </row>
    <row r="9197" spans="1:1">
      <c r="A9197" t="s">
        <v>9729</v>
      </c>
    </row>
    <row r="9198" spans="1:1">
      <c r="A9198" t="s">
        <v>9730</v>
      </c>
    </row>
    <row r="9199" spans="1:1">
      <c r="A9199" t="s">
        <v>9731</v>
      </c>
    </row>
    <row r="9200" spans="1:1">
      <c r="A9200" t="s">
        <v>9732</v>
      </c>
    </row>
    <row r="9201" spans="1:1">
      <c r="A9201" t="s">
        <v>9733</v>
      </c>
    </row>
    <row r="9202" spans="1:1">
      <c r="A9202" t="s">
        <v>9734</v>
      </c>
    </row>
    <row r="9203" spans="1:1">
      <c r="A9203" t="s">
        <v>9735</v>
      </c>
    </row>
    <row r="9204" spans="1:1">
      <c r="A9204" t="s">
        <v>9736</v>
      </c>
    </row>
    <row r="9205" spans="1:1">
      <c r="A9205" t="s">
        <v>9737</v>
      </c>
    </row>
    <row r="9206" spans="1:1">
      <c r="A9206" t="s">
        <v>9738</v>
      </c>
    </row>
    <row r="9207" spans="1:1">
      <c r="A9207" t="s">
        <v>9739</v>
      </c>
    </row>
    <row r="9208" spans="1:1">
      <c r="A9208" t="s">
        <v>9740</v>
      </c>
    </row>
    <row r="9209" spans="1:1">
      <c r="A9209" t="s">
        <v>9741</v>
      </c>
    </row>
    <row r="9210" spans="1:1">
      <c r="A9210" t="s">
        <v>9742</v>
      </c>
    </row>
    <row r="9211" spans="1:1">
      <c r="A9211" t="s">
        <v>9743</v>
      </c>
    </row>
    <row r="9212" spans="1:1">
      <c r="A9212" t="s">
        <v>9744</v>
      </c>
    </row>
    <row r="9213" spans="1:1">
      <c r="A9213" t="s">
        <v>9745</v>
      </c>
    </row>
    <row r="9214" spans="1:1">
      <c r="A9214" t="s">
        <v>9746</v>
      </c>
    </row>
    <row r="9215" spans="1:1">
      <c r="A9215" t="s">
        <v>9747</v>
      </c>
    </row>
    <row r="9216" spans="1:1">
      <c r="A9216" t="s">
        <v>9748</v>
      </c>
    </row>
    <row r="9217" spans="1:1">
      <c r="A9217" t="s">
        <v>9749</v>
      </c>
    </row>
    <row r="9218" spans="1:1">
      <c r="A9218" t="s">
        <v>9750</v>
      </c>
    </row>
    <row r="9219" spans="1:1">
      <c r="A9219" t="s">
        <v>9751</v>
      </c>
    </row>
    <row r="9220" spans="1:1">
      <c r="A9220" t="s">
        <v>9752</v>
      </c>
    </row>
    <row r="9221" spans="1:1">
      <c r="A9221" t="s">
        <v>9753</v>
      </c>
    </row>
    <row r="9222" spans="1:1">
      <c r="A9222" t="s">
        <v>9754</v>
      </c>
    </row>
    <row r="9223" spans="1:1">
      <c r="A9223" t="s">
        <v>9755</v>
      </c>
    </row>
    <row r="9224" spans="1:1">
      <c r="A9224" t="s">
        <v>9756</v>
      </c>
    </row>
    <row r="9225" spans="1:1">
      <c r="A9225" t="s">
        <v>9757</v>
      </c>
    </row>
    <row r="9226" spans="1:1">
      <c r="A9226" t="s">
        <v>9758</v>
      </c>
    </row>
    <row r="9227" spans="1:1">
      <c r="A9227" t="s">
        <v>9759</v>
      </c>
    </row>
    <row r="9228" spans="1:1">
      <c r="A9228" t="s">
        <v>9760</v>
      </c>
    </row>
    <row r="9229" spans="1:1">
      <c r="A9229" t="s">
        <v>9761</v>
      </c>
    </row>
    <row r="9230" spans="1:1">
      <c r="A9230" t="s">
        <v>9762</v>
      </c>
    </row>
    <row r="9231" spans="1:1">
      <c r="A9231" t="s">
        <v>9763</v>
      </c>
    </row>
    <row r="9232" spans="1:1">
      <c r="A9232" t="s">
        <v>9764</v>
      </c>
    </row>
    <row r="9233" spans="1:1">
      <c r="A9233" t="s">
        <v>9765</v>
      </c>
    </row>
    <row r="9234" spans="1:1">
      <c r="A9234" t="s">
        <v>9766</v>
      </c>
    </row>
    <row r="9235" spans="1:1">
      <c r="A9235" t="s">
        <v>9767</v>
      </c>
    </row>
    <row r="9236" spans="1:1">
      <c r="A9236" t="s">
        <v>9768</v>
      </c>
    </row>
    <row r="9237" spans="1:1">
      <c r="A9237" t="s">
        <v>9769</v>
      </c>
    </row>
    <row r="9238" spans="1:1">
      <c r="A9238" t="s">
        <v>9770</v>
      </c>
    </row>
    <row r="9239" spans="1:1">
      <c r="A9239" t="s">
        <v>9771</v>
      </c>
    </row>
    <row r="9240" spans="1:1">
      <c r="A9240" t="s">
        <v>9772</v>
      </c>
    </row>
    <row r="9241" spans="1:1">
      <c r="A9241" t="s">
        <v>9773</v>
      </c>
    </row>
    <row r="9242" spans="1:1">
      <c r="A9242" t="s">
        <v>9774</v>
      </c>
    </row>
    <row r="9243" spans="1:1">
      <c r="A9243" t="s">
        <v>9775</v>
      </c>
    </row>
    <row r="9244" spans="1:1">
      <c r="A9244" t="s">
        <v>9776</v>
      </c>
    </row>
    <row r="9245" spans="1:1">
      <c r="A9245" t="s">
        <v>9777</v>
      </c>
    </row>
    <row r="9246" spans="1:1">
      <c r="A9246" t="s">
        <v>9778</v>
      </c>
    </row>
    <row r="9247" spans="1:1">
      <c r="A9247" t="s">
        <v>9779</v>
      </c>
    </row>
    <row r="9248" spans="1:1">
      <c r="A9248" t="s">
        <v>9780</v>
      </c>
    </row>
    <row r="9249" spans="1:1">
      <c r="A9249" t="s">
        <v>9781</v>
      </c>
    </row>
    <row r="9250" spans="1:1">
      <c r="A9250" t="s">
        <v>9782</v>
      </c>
    </row>
    <row r="9251" spans="1:1">
      <c r="A9251" t="s">
        <v>9783</v>
      </c>
    </row>
    <row r="9252" spans="1:1">
      <c r="A9252" t="s">
        <v>9784</v>
      </c>
    </row>
    <row r="9253" spans="1:1">
      <c r="A9253" t="s">
        <v>9785</v>
      </c>
    </row>
    <row r="9254" spans="1:1">
      <c r="A9254" t="s">
        <v>9786</v>
      </c>
    </row>
    <row r="9255" spans="1:1">
      <c r="A9255" t="s">
        <v>9787</v>
      </c>
    </row>
    <row r="9256" spans="1:1">
      <c r="A9256" t="s">
        <v>9788</v>
      </c>
    </row>
    <row r="9257" spans="1:1">
      <c r="A9257" t="s">
        <v>9789</v>
      </c>
    </row>
    <row r="9258" spans="1:1">
      <c r="A9258" t="s">
        <v>9790</v>
      </c>
    </row>
    <row r="9259" spans="1:1">
      <c r="A9259" t="s">
        <v>9791</v>
      </c>
    </row>
    <row r="9260" spans="1:1">
      <c r="A9260" t="s">
        <v>9792</v>
      </c>
    </row>
    <row r="9261" spans="1:1">
      <c r="A9261" t="s">
        <v>9793</v>
      </c>
    </row>
    <row r="9262" spans="1:1">
      <c r="A9262" t="s">
        <v>9794</v>
      </c>
    </row>
    <row r="9263" spans="1:1">
      <c r="A9263" t="s">
        <v>9795</v>
      </c>
    </row>
    <row r="9264" spans="1:1">
      <c r="A9264" t="s">
        <v>9796</v>
      </c>
    </row>
    <row r="9265" spans="1:1">
      <c r="A9265" t="s">
        <v>9797</v>
      </c>
    </row>
    <row r="9266" spans="1:1">
      <c r="A9266" t="s">
        <v>9798</v>
      </c>
    </row>
    <row r="9267" spans="1:1">
      <c r="A9267" t="s">
        <v>9799</v>
      </c>
    </row>
    <row r="9268" spans="1:1">
      <c r="A9268" t="s">
        <v>9800</v>
      </c>
    </row>
    <row r="9269" spans="1:1">
      <c r="A9269" t="s">
        <v>9801</v>
      </c>
    </row>
    <row r="9270" spans="1:1">
      <c r="A9270" t="s">
        <v>9802</v>
      </c>
    </row>
    <row r="9271" spans="1:1">
      <c r="A9271" t="s">
        <v>9803</v>
      </c>
    </row>
    <row r="9272" spans="1:1">
      <c r="A9272" t="s">
        <v>9804</v>
      </c>
    </row>
    <row r="9273" spans="1:1">
      <c r="A9273" t="s">
        <v>9805</v>
      </c>
    </row>
    <row r="9274" spans="1:1">
      <c r="A9274" t="s">
        <v>9806</v>
      </c>
    </row>
    <row r="9275" spans="1:1">
      <c r="A9275" t="s">
        <v>9807</v>
      </c>
    </row>
    <row r="9276" spans="1:1">
      <c r="A9276" t="s">
        <v>9808</v>
      </c>
    </row>
    <row r="9277" spans="1:1">
      <c r="A9277" t="s">
        <v>9809</v>
      </c>
    </row>
    <row r="9278" spans="1:1">
      <c r="A9278" t="s">
        <v>9810</v>
      </c>
    </row>
    <row r="9279" spans="1:1">
      <c r="A9279" t="s">
        <v>9811</v>
      </c>
    </row>
    <row r="9280" spans="1:1">
      <c r="A9280" t="s">
        <v>9812</v>
      </c>
    </row>
    <row r="9281" spans="1:1">
      <c r="A9281" t="s">
        <v>9813</v>
      </c>
    </row>
    <row r="9282" spans="1:1">
      <c r="A9282" t="s">
        <v>9814</v>
      </c>
    </row>
    <row r="9283" spans="1:1">
      <c r="A9283" t="s">
        <v>9815</v>
      </c>
    </row>
    <row r="9284" spans="1:1">
      <c r="A9284" t="s">
        <v>9816</v>
      </c>
    </row>
    <row r="9285" spans="1:1">
      <c r="A9285" t="s">
        <v>9817</v>
      </c>
    </row>
    <row r="9286" spans="1:1">
      <c r="A9286" t="s">
        <v>9818</v>
      </c>
    </row>
    <row r="9287" spans="1:1">
      <c r="A9287" t="s">
        <v>9819</v>
      </c>
    </row>
    <row r="9288" spans="1:1">
      <c r="A9288" t="s">
        <v>9820</v>
      </c>
    </row>
    <row r="9289" spans="1:1">
      <c r="A9289" t="s">
        <v>9821</v>
      </c>
    </row>
    <row r="9290" spans="1:1">
      <c r="A9290" t="s">
        <v>9822</v>
      </c>
    </row>
    <row r="9291" spans="1:1">
      <c r="A9291" t="s">
        <v>9823</v>
      </c>
    </row>
    <row r="9292" spans="1:1">
      <c r="A9292" t="s">
        <v>9824</v>
      </c>
    </row>
    <row r="9293" spans="1:1">
      <c r="A9293" t="s">
        <v>9825</v>
      </c>
    </row>
    <row r="9294" spans="1:1">
      <c r="A9294" t="s">
        <v>9826</v>
      </c>
    </row>
    <row r="9295" spans="1:1">
      <c r="A9295" t="s">
        <v>9827</v>
      </c>
    </row>
    <row r="9296" spans="1:1">
      <c r="A9296" t="s">
        <v>9828</v>
      </c>
    </row>
    <row r="9297" spans="1:1">
      <c r="A9297" t="s">
        <v>9829</v>
      </c>
    </row>
    <row r="9298" spans="1:1">
      <c r="A9298" t="s">
        <v>9830</v>
      </c>
    </row>
    <row r="9299" spans="1:1">
      <c r="A9299" t="s">
        <v>9831</v>
      </c>
    </row>
    <row r="9300" spans="1:1">
      <c r="A9300" t="s">
        <v>9832</v>
      </c>
    </row>
    <row r="9301" spans="1:1">
      <c r="A9301" t="s">
        <v>9833</v>
      </c>
    </row>
    <row r="9302" spans="1:1">
      <c r="A9302" t="s">
        <v>9834</v>
      </c>
    </row>
    <row r="9303" spans="1:1">
      <c r="A9303" t="s">
        <v>9835</v>
      </c>
    </row>
    <row r="9304" spans="1:1">
      <c r="A9304" t="s">
        <v>9836</v>
      </c>
    </row>
    <row r="9305" spans="1:1">
      <c r="A9305" t="s">
        <v>9837</v>
      </c>
    </row>
    <row r="9306" spans="1:1">
      <c r="A9306" t="s">
        <v>9838</v>
      </c>
    </row>
    <row r="9307" spans="1:1">
      <c r="A9307" t="s">
        <v>9839</v>
      </c>
    </row>
    <row r="9308" spans="1:1">
      <c r="A9308" t="s">
        <v>9840</v>
      </c>
    </row>
    <row r="9309" spans="1:1">
      <c r="A9309" t="s">
        <v>9841</v>
      </c>
    </row>
    <row r="9310" spans="1:1">
      <c r="A9310" t="s">
        <v>9842</v>
      </c>
    </row>
    <row r="9311" spans="1:1">
      <c r="A9311" t="s">
        <v>9843</v>
      </c>
    </row>
    <row r="9312" spans="1:1">
      <c r="A9312" t="s">
        <v>9844</v>
      </c>
    </row>
    <row r="9313" spans="1:1">
      <c r="A9313" t="s">
        <v>9845</v>
      </c>
    </row>
    <row r="9314" spans="1:1">
      <c r="A9314" t="s">
        <v>9846</v>
      </c>
    </row>
    <row r="9315" spans="1:1">
      <c r="A9315" t="s">
        <v>9847</v>
      </c>
    </row>
    <row r="9316" spans="1:1">
      <c r="A9316" t="s">
        <v>9848</v>
      </c>
    </row>
    <row r="9317" spans="1:1">
      <c r="A9317" t="s">
        <v>9849</v>
      </c>
    </row>
    <row r="9318" spans="1:1">
      <c r="A9318" t="s">
        <v>9850</v>
      </c>
    </row>
    <row r="9319" spans="1:1">
      <c r="A9319" t="s">
        <v>9851</v>
      </c>
    </row>
    <row r="9320" spans="1:1">
      <c r="A9320" t="s">
        <v>9852</v>
      </c>
    </row>
    <row r="9321" spans="1:1">
      <c r="A9321" t="s">
        <v>9853</v>
      </c>
    </row>
    <row r="9322" spans="1:1">
      <c r="A9322" t="s">
        <v>9854</v>
      </c>
    </row>
    <row r="9323" spans="1:1">
      <c r="A9323" t="s">
        <v>9855</v>
      </c>
    </row>
    <row r="9324" spans="1:1">
      <c r="A9324" t="s">
        <v>9856</v>
      </c>
    </row>
    <row r="9325" spans="1:1">
      <c r="A9325" t="s">
        <v>9857</v>
      </c>
    </row>
    <row r="9326" spans="1:1">
      <c r="A9326" t="s">
        <v>9858</v>
      </c>
    </row>
    <row r="9327" spans="1:1">
      <c r="A9327" t="s">
        <v>9859</v>
      </c>
    </row>
    <row r="9328" spans="1:1">
      <c r="A9328" t="s">
        <v>9860</v>
      </c>
    </row>
    <row r="9329" spans="1:1">
      <c r="A9329" t="s">
        <v>9861</v>
      </c>
    </row>
    <row r="9330" spans="1:1">
      <c r="A9330" t="s">
        <v>9862</v>
      </c>
    </row>
    <row r="9331" spans="1:1">
      <c r="A9331" t="s">
        <v>9863</v>
      </c>
    </row>
    <row r="9332" spans="1:1">
      <c r="A9332" t="s">
        <v>9864</v>
      </c>
    </row>
    <row r="9333" spans="1:1">
      <c r="A9333" t="s">
        <v>9865</v>
      </c>
    </row>
    <row r="9334" spans="1:1">
      <c r="A9334" t="s">
        <v>9866</v>
      </c>
    </row>
    <row r="9335" spans="1:1">
      <c r="A9335" t="s">
        <v>9867</v>
      </c>
    </row>
    <row r="9336" spans="1:1">
      <c r="A9336" t="s">
        <v>9868</v>
      </c>
    </row>
    <row r="9337" spans="1:1">
      <c r="A9337" t="s">
        <v>9869</v>
      </c>
    </row>
    <row r="9338" spans="1:1">
      <c r="A9338" t="s">
        <v>9870</v>
      </c>
    </row>
    <row r="9339" spans="1:1">
      <c r="A9339" t="s">
        <v>9871</v>
      </c>
    </row>
    <row r="9340" spans="1:1">
      <c r="A9340" t="s">
        <v>9872</v>
      </c>
    </row>
    <row r="9341" spans="1:1">
      <c r="A9341" t="s">
        <v>9873</v>
      </c>
    </row>
    <row r="9342" spans="1:1">
      <c r="A9342" t="s">
        <v>9874</v>
      </c>
    </row>
    <row r="9343" spans="1:1">
      <c r="A9343" t="s">
        <v>9875</v>
      </c>
    </row>
    <row r="9344" spans="1:1">
      <c r="A9344" t="s">
        <v>9876</v>
      </c>
    </row>
    <row r="9345" spans="1:1">
      <c r="A9345" t="s">
        <v>9877</v>
      </c>
    </row>
    <row r="9346" spans="1:1">
      <c r="A9346" t="s">
        <v>9878</v>
      </c>
    </row>
    <row r="9347" spans="1:1">
      <c r="A9347" t="s">
        <v>9879</v>
      </c>
    </row>
    <row r="9348" spans="1:1">
      <c r="A9348" t="s">
        <v>9880</v>
      </c>
    </row>
    <row r="9349" spans="1:1">
      <c r="A9349" t="s">
        <v>9881</v>
      </c>
    </row>
    <row r="9350" spans="1:1">
      <c r="A9350" t="s">
        <v>9882</v>
      </c>
    </row>
    <row r="9351" spans="1:1">
      <c r="A9351" t="s">
        <v>9883</v>
      </c>
    </row>
    <row r="9352" spans="1:1">
      <c r="A9352" t="s">
        <v>9884</v>
      </c>
    </row>
    <row r="9353" spans="1:1">
      <c r="A9353" t="s">
        <v>9885</v>
      </c>
    </row>
    <row r="9354" spans="1:1">
      <c r="A9354" t="s">
        <v>9886</v>
      </c>
    </row>
    <row r="9355" spans="1:1">
      <c r="A9355" t="s">
        <v>9887</v>
      </c>
    </row>
    <row r="9356" spans="1:1">
      <c r="A9356" t="s">
        <v>9888</v>
      </c>
    </row>
    <row r="9357" spans="1:1">
      <c r="A9357" t="s">
        <v>9889</v>
      </c>
    </row>
    <row r="9358" spans="1:1">
      <c r="A9358" t="s">
        <v>9890</v>
      </c>
    </row>
    <row r="9359" spans="1:1">
      <c r="A9359" t="s">
        <v>9891</v>
      </c>
    </row>
    <row r="9360" spans="1:1">
      <c r="A9360" t="s">
        <v>9892</v>
      </c>
    </row>
    <row r="9361" spans="1:1">
      <c r="A9361" t="s">
        <v>9893</v>
      </c>
    </row>
    <row r="9362" spans="1:1">
      <c r="A9362" t="s">
        <v>9894</v>
      </c>
    </row>
    <row r="9363" spans="1:1">
      <c r="A9363" t="s">
        <v>9895</v>
      </c>
    </row>
    <row r="9364" spans="1:1">
      <c r="A9364" t="s">
        <v>9896</v>
      </c>
    </row>
    <row r="9365" spans="1:1">
      <c r="A9365" t="s">
        <v>9897</v>
      </c>
    </row>
    <row r="9366" spans="1:1">
      <c r="A9366" t="s">
        <v>9898</v>
      </c>
    </row>
    <row r="9367" spans="1:1">
      <c r="A9367" t="s">
        <v>9899</v>
      </c>
    </row>
    <row r="9368" spans="1:1">
      <c r="A9368" t="s">
        <v>9900</v>
      </c>
    </row>
    <row r="9369" spans="1:1">
      <c r="A9369" t="s">
        <v>9901</v>
      </c>
    </row>
    <row r="9370" spans="1:1">
      <c r="A9370" t="s">
        <v>9902</v>
      </c>
    </row>
    <row r="9371" spans="1:1">
      <c r="A9371" t="s">
        <v>9903</v>
      </c>
    </row>
    <row r="9372" spans="1:1">
      <c r="A9372" t="s">
        <v>9904</v>
      </c>
    </row>
    <row r="9373" spans="1:1">
      <c r="A9373" t="s">
        <v>9905</v>
      </c>
    </row>
    <row r="9374" spans="1:1">
      <c r="A9374" t="s">
        <v>9906</v>
      </c>
    </row>
    <row r="9375" spans="1:1">
      <c r="A9375" t="s">
        <v>9907</v>
      </c>
    </row>
    <row r="9376" spans="1:1">
      <c r="A9376" t="s">
        <v>9908</v>
      </c>
    </row>
    <row r="9377" spans="1:1">
      <c r="A9377" t="s">
        <v>9909</v>
      </c>
    </row>
    <row r="9378" spans="1:1">
      <c r="A9378" t="s">
        <v>9910</v>
      </c>
    </row>
    <row r="9379" spans="1:1">
      <c r="A9379" t="s">
        <v>9911</v>
      </c>
    </row>
    <row r="9380" spans="1:1">
      <c r="A9380" t="s">
        <v>9912</v>
      </c>
    </row>
    <row r="9381" spans="1:1">
      <c r="A9381" t="s">
        <v>9913</v>
      </c>
    </row>
    <row r="9382" spans="1:1">
      <c r="A9382" t="s">
        <v>9914</v>
      </c>
    </row>
    <row r="9383" spans="1:1">
      <c r="A9383" t="s">
        <v>9915</v>
      </c>
    </row>
    <row r="9384" spans="1:1">
      <c r="A9384" t="s">
        <v>9916</v>
      </c>
    </row>
    <row r="9385" spans="1:1">
      <c r="A9385" t="s">
        <v>9917</v>
      </c>
    </row>
    <row r="9386" spans="1:1">
      <c r="A9386" t="s">
        <v>9918</v>
      </c>
    </row>
    <row r="9387" spans="1:1">
      <c r="A9387" t="s">
        <v>9919</v>
      </c>
    </row>
    <row r="9388" spans="1:1">
      <c r="A9388" t="s">
        <v>9920</v>
      </c>
    </row>
    <row r="9389" spans="1:1">
      <c r="A9389" t="s">
        <v>9921</v>
      </c>
    </row>
    <row r="9390" spans="1:1">
      <c r="A9390" t="s">
        <v>9922</v>
      </c>
    </row>
    <row r="9391" spans="1:1">
      <c r="A9391" t="s">
        <v>9923</v>
      </c>
    </row>
    <row r="9392" spans="1:1">
      <c r="A9392" t="s">
        <v>9924</v>
      </c>
    </row>
    <row r="9393" spans="1:1">
      <c r="A9393" t="s">
        <v>9925</v>
      </c>
    </row>
    <row r="9394" spans="1:1">
      <c r="A9394" t="s">
        <v>9926</v>
      </c>
    </row>
    <row r="9395" spans="1:1">
      <c r="A9395" t="s">
        <v>9927</v>
      </c>
    </row>
    <row r="9396" spans="1:1">
      <c r="A9396" t="s">
        <v>9928</v>
      </c>
    </row>
    <row r="9397" spans="1:1">
      <c r="A9397" t="s">
        <v>9929</v>
      </c>
    </row>
    <row r="9398" spans="1:1">
      <c r="A9398" t="s">
        <v>9930</v>
      </c>
    </row>
    <row r="9399" spans="1:1">
      <c r="A9399" t="s">
        <v>9931</v>
      </c>
    </row>
    <row r="9400" spans="1:1">
      <c r="A9400" t="s">
        <v>9932</v>
      </c>
    </row>
    <row r="9401" spans="1:1">
      <c r="A9401" t="s">
        <v>9933</v>
      </c>
    </row>
    <row r="9402" spans="1:1">
      <c r="A9402" t="s">
        <v>9934</v>
      </c>
    </row>
    <row r="9403" spans="1:1">
      <c r="A9403" t="s">
        <v>9935</v>
      </c>
    </row>
    <row r="9404" spans="1:1">
      <c r="A9404" t="s">
        <v>9936</v>
      </c>
    </row>
    <row r="9405" spans="1:1">
      <c r="A9405" t="s">
        <v>9937</v>
      </c>
    </row>
    <row r="9406" spans="1:1">
      <c r="A9406" t="s">
        <v>9938</v>
      </c>
    </row>
    <row r="9407" spans="1:1">
      <c r="A9407" t="s">
        <v>9939</v>
      </c>
    </row>
    <row r="9408" spans="1:1">
      <c r="A9408" t="s">
        <v>9940</v>
      </c>
    </row>
    <row r="9409" spans="1:1">
      <c r="A9409" t="s">
        <v>9941</v>
      </c>
    </row>
    <row r="9410" spans="1:1">
      <c r="A9410" t="s">
        <v>9942</v>
      </c>
    </row>
    <row r="9411" spans="1:1">
      <c r="A9411" t="s">
        <v>9943</v>
      </c>
    </row>
    <row r="9412" spans="1:1">
      <c r="A9412" t="s">
        <v>9944</v>
      </c>
    </row>
    <row r="9413" spans="1:1">
      <c r="A9413" t="s">
        <v>9945</v>
      </c>
    </row>
    <row r="9414" spans="1:1">
      <c r="A9414" t="s">
        <v>9946</v>
      </c>
    </row>
    <row r="9415" spans="1:1">
      <c r="A9415" t="s">
        <v>9947</v>
      </c>
    </row>
    <row r="9416" spans="1:1">
      <c r="A9416" t="s">
        <v>9948</v>
      </c>
    </row>
    <row r="9417" spans="1:1">
      <c r="A9417" t="s">
        <v>9949</v>
      </c>
    </row>
    <row r="9418" spans="1:1">
      <c r="A9418" t="s">
        <v>9950</v>
      </c>
    </row>
    <row r="9419" spans="1:1">
      <c r="A9419" t="s">
        <v>9951</v>
      </c>
    </row>
    <row r="9420" spans="1:1">
      <c r="A9420" t="s">
        <v>9952</v>
      </c>
    </row>
    <row r="9421" spans="1:1">
      <c r="A9421" t="s">
        <v>9953</v>
      </c>
    </row>
    <row r="9422" spans="1:1">
      <c r="A9422" t="s">
        <v>9954</v>
      </c>
    </row>
    <row r="9423" spans="1:1">
      <c r="A9423" t="s">
        <v>9955</v>
      </c>
    </row>
    <row r="9424" spans="1:1">
      <c r="A9424" t="s">
        <v>9956</v>
      </c>
    </row>
    <row r="9425" spans="1:1">
      <c r="A9425" t="s">
        <v>9957</v>
      </c>
    </row>
    <row r="9426" spans="1:1">
      <c r="A9426" t="s">
        <v>9958</v>
      </c>
    </row>
    <row r="9427" spans="1:1">
      <c r="A9427" t="s">
        <v>9959</v>
      </c>
    </row>
    <row r="9428" spans="1:1">
      <c r="A9428" t="s">
        <v>9960</v>
      </c>
    </row>
    <row r="9429" spans="1:1">
      <c r="A9429" t="s">
        <v>9961</v>
      </c>
    </row>
    <row r="9430" spans="1:1">
      <c r="A9430" t="s">
        <v>9962</v>
      </c>
    </row>
    <row r="9431" spans="1:1">
      <c r="A9431" t="s">
        <v>9963</v>
      </c>
    </row>
    <row r="9432" spans="1:1">
      <c r="A9432" t="s">
        <v>9964</v>
      </c>
    </row>
    <row r="9433" spans="1:1">
      <c r="A9433" t="s">
        <v>9965</v>
      </c>
    </row>
    <row r="9434" spans="1:1">
      <c r="A9434" t="s">
        <v>9966</v>
      </c>
    </row>
    <row r="9435" spans="1:1">
      <c r="A9435" t="s">
        <v>9967</v>
      </c>
    </row>
    <row r="9436" spans="1:1">
      <c r="A9436" t="s">
        <v>9968</v>
      </c>
    </row>
    <row r="9437" spans="1:1">
      <c r="A9437" t="s">
        <v>9969</v>
      </c>
    </row>
    <row r="9438" spans="1:1">
      <c r="A9438" t="s">
        <v>9970</v>
      </c>
    </row>
    <row r="9439" spans="1:1">
      <c r="A9439" t="s">
        <v>9971</v>
      </c>
    </row>
    <row r="9440" spans="1:1">
      <c r="A9440" t="s">
        <v>9972</v>
      </c>
    </row>
    <row r="9441" spans="1:1">
      <c r="A9441" t="s">
        <v>9973</v>
      </c>
    </row>
    <row r="9442" spans="1:1">
      <c r="A9442" t="s">
        <v>9974</v>
      </c>
    </row>
    <row r="9443" spans="1:1">
      <c r="A9443" t="s">
        <v>9975</v>
      </c>
    </row>
    <row r="9444" spans="1:1">
      <c r="A9444" t="s">
        <v>9976</v>
      </c>
    </row>
    <row r="9445" spans="1:1">
      <c r="A9445" t="s">
        <v>9977</v>
      </c>
    </row>
    <row r="9446" spans="1:1">
      <c r="A9446" t="s">
        <v>9978</v>
      </c>
    </row>
    <row r="9447" spans="1:1">
      <c r="A9447" t="s">
        <v>9979</v>
      </c>
    </row>
    <row r="9448" spans="1:1">
      <c r="A9448" t="s">
        <v>9980</v>
      </c>
    </row>
    <row r="9449" spans="1:1">
      <c r="A9449" t="s">
        <v>9981</v>
      </c>
    </row>
    <row r="9450" spans="1:1">
      <c r="A9450" t="s">
        <v>9982</v>
      </c>
    </row>
    <row r="9451" spans="1:1">
      <c r="A9451" t="s">
        <v>9983</v>
      </c>
    </row>
    <row r="9452" spans="1:1">
      <c r="A9452" t="s">
        <v>9984</v>
      </c>
    </row>
    <row r="9453" spans="1:1">
      <c r="A9453" t="s">
        <v>9985</v>
      </c>
    </row>
    <row r="9454" spans="1:1">
      <c r="A9454" t="s">
        <v>9986</v>
      </c>
    </row>
    <row r="9455" spans="1:1">
      <c r="A9455" t="s">
        <v>9987</v>
      </c>
    </row>
    <row r="9456" spans="1:1">
      <c r="A9456" t="s">
        <v>9988</v>
      </c>
    </row>
    <row r="9457" spans="1:1">
      <c r="A9457" t="s">
        <v>9989</v>
      </c>
    </row>
    <row r="9458" spans="1:1">
      <c r="A9458" t="s">
        <v>9990</v>
      </c>
    </row>
    <row r="9459" spans="1:1">
      <c r="A9459" t="s">
        <v>9991</v>
      </c>
    </row>
    <row r="9460" spans="1:1">
      <c r="A9460" t="s">
        <v>9992</v>
      </c>
    </row>
    <row r="9461" spans="1:1">
      <c r="A9461" t="s">
        <v>9993</v>
      </c>
    </row>
    <row r="9462" spans="1:1">
      <c r="A9462" t="s">
        <v>9994</v>
      </c>
    </row>
    <row r="9463" spans="1:1">
      <c r="A9463" t="s">
        <v>9995</v>
      </c>
    </row>
    <row r="9464" spans="1:1">
      <c r="A9464" t="s">
        <v>9996</v>
      </c>
    </row>
    <row r="9465" spans="1:1">
      <c r="A9465" t="s">
        <v>9997</v>
      </c>
    </row>
    <row r="9466" spans="1:1">
      <c r="A9466" t="s">
        <v>9998</v>
      </c>
    </row>
    <row r="9467" spans="1:1">
      <c r="A9467" t="s">
        <v>9999</v>
      </c>
    </row>
    <row r="9468" spans="1:1">
      <c r="A9468" t="s">
        <v>10000</v>
      </c>
    </row>
    <row r="9469" spans="1:1">
      <c r="A9469" t="s">
        <v>10001</v>
      </c>
    </row>
    <row r="9470" spans="1:1">
      <c r="A9470" t="s">
        <v>10002</v>
      </c>
    </row>
    <row r="9471" spans="1:1">
      <c r="A9471" t="s">
        <v>10003</v>
      </c>
    </row>
    <row r="9472" spans="1:1">
      <c r="A9472" t="s">
        <v>10004</v>
      </c>
    </row>
    <row r="9473" spans="1:1">
      <c r="A9473" t="s">
        <v>10005</v>
      </c>
    </row>
    <row r="9474" spans="1:1">
      <c r="A9474" t="s">
        <v>10006</v>
      </c>
    </row>
    <row r="9475" spans="1:1">
      <c r="A9475" t="s">
        <v>10007</v>
      </c>
    </row>
    <row r="9476" spans="1:1">
      <c r="A9476" t="s">
        <v>10008</v>
      </c>
    </row>
    <row r="9477" spans="1:1">
      <c r="A9477" t="s">
        <v>10009</v>
      </c>
    </row>
    <row r="9478" spans="1:1">
      <c r="A9478" t="s">
        <v>10010</v>
      </c>
    </row>
    <row r="9479" spans="1:1">
      <c r="A9479" t="s">
        <v>10011</v>
      </c>
    </row>
    <row r="9480" spans="1:1">
      <c r="A9480" t="s">
        <v>10012</v>
      </c>
    </row>
    <row r="9481" spans="1:1">
      <c r="A9481" t="s">
        <v>10013</v>
      </c>
    </row>
    <row r="9482" spans="1:1">
      <c r="A9482" t="s">
        <v>10014</v>
      </c>
    </row>
    <row r="9483" spans="1:1">
      <c r="A9483" t="s">
        <v>10015</v>
      </c>
    </row>
    <row r="9484" spans="1:1">
      <c r="A9484" t="s">
        <v>10016</v>
      </c>
    </row>
    <row r="9485" spans="1:1">
      <c r="A9485" t="s">
        <v>10017</v>
      </c>
    </row>
    <row r="9486" spans="1:1">
      <c r="A9486" t="s">
        <v>10018</v>
      </c>
    </row>
    <row r="9487" spans="1:1">
      <c r="A9487" t="s">
        <v>10019</v>
      </c>
    </row>
    <row r="9488" spans="1:1">
      <c r="A9488" t="s">
        <v>10020</v>
      </c>
    </row>
    <row r="9489" spans="1:1">
      <c r="A9489" t="s">
        <v>10021</v>
      </c>
    </row>
    <row r="9490" spans="1:1">
      <c r="A9490" t="s">
        <v>10022</v>
      </c>
    </row>
    <row r="9491" spans="1:1">
      <c r="A9491" t="s">
        <v>10023</v>
      </c>
    </row>
    <row r="9492" spans="1:1">
      <c r="A9492" t="s">
        <v>10024</v>
      </c>
    </row>
    <row r="9493" spans="1:1">
      <c r="A9493" t="s">
        <v>10025</v>
      </c>
    </row>
    <row r="9494" spans="1:1">
      <c r="A9494" t="s">
        <v>10026</v>
      </c>
    </row>
    <row r="9495" spans="1:1">
      <c r="A9495" t="s">
        <v>10027</v>
      </c>
    </row>
    <row r="9496" spans="1:1">
      <c r="A9496" t="s">
        <v>10028</v>
      </c>
    </row>
    <row r="9497" spans="1:1">
      <c r="A9497" t="s">
        <v>10029</v>
      </c>
    </row>
    <row r="9498" spans="1:1">
      <c r="A9498" t="s">
        <v>10030</v>
      </c>
    </row>
    <row r="9499" spans="1:1">
      <c r="A9499" t="s">
        <v>10031</v>
      </c>
    </row>
    <row r="9500" spans="1:1">
      <c r="A9500" t="s">
        <v>10032</v>
      </c>
    </row>
    <row r="9501" spans="1:1">
      <c r="A9501" t="s">
        <v>10033</v>
      </c>
    </row>
    <row r="9502" spans="1:1">
      <c r="A9502" t="s">
        <v>10034</v>
      </c>
    </row>
    <row r="9503" spans="1:1">
      <c r="A9503" t="s">
        <v>10035</v>
      </c>
    </row>
    <row r="9504" spans="1:1">
      <c r="A9504" t="s">
        <v>10036</v>
      </c>
    </row>
    <row r="9505" spans="1:1">
      <c r="A9505" t="s">
        <v>10037</v>
      </c>
    </row>
    <row r="9506" spans="1:1">
      <c r="A9506" t="s">
        <v>10038</v>
      </c>
    </row>
    <row r="9507" spans="1:1">
      <c r="A9507" t="s">
        <v>10039</v>
      </c>
    </row>
    <row r="9508" spans="1:1">
      <c r="A9508" t="s">
        <v>10040</v>
      </c>
    </row>
    <row r="9509" spans="1:1">
      <c r="A9509" t="s">
        <v>10041</v>
      </c>
    </row>
    <row r="9510" spans="1:1">
      <c r="A9510" t="s">
        <v>10042</v>
      </c>
    </row>
    <row r="9511" spans="1:1">
      <c r="A9511" t="s">
        <v>10043</v>
      </c>
    </row>
    <row r="9512" spans="1:1">
      <c r="A9512" t="s">
        <v>10044</v>
      </c>
    </row>
    <row r="9513" spans="1:1">
      <c r="A9513" t="s">
        <v>10045</v>
      </c>
    </row>
    <row r="9514" spans="1:1">
      <c r="A9514" t="s">
        <v>10046</v>
      </c>
    </row>
    <row r="9515" spans="1:1">
      <c r="A9515" t="s">
        <v>10047</v>
      </c>
    </row>
    <row r="9516" spans="1:1">
      <c r="A9516" t="s">
        <v>10048</v>
      </c>
    </row>
    <row r="9517" spans="1:1">
      <c r="A9517" t="s">
        <v>10049</v>
      </c>
    </row>
    <row r="9518" spans="1:1">
      <c r="A9518" t="s">
        <v>10050</v>
      </c>
    </row>
    <row r="9519" spans="1:1">
      <c r="A9519" t="s">
        <v>10051</v>
      </c>
    </row>
    <row r="9520" spans="1:1">
      <c r="A9520" t="s">
        <v>10052</v>
      </c>
    </row>
    <row r="9521" spans="1:1">
      <c r="A9521" t="s">
        <v>10053</v>
      </c>
    </row>
    <row r="9522" spans="1:1">
      <c r="A9522" t="s">
        <v>10054</v>
      </c>
    </row>
    <row r="9523" spans="1:1">
      <c r="A9523" t="s">
        <v>10055</v>
      </c>
    </row>
    <row r="9524" spans="1:1">
      <c r="A9524" t="s">
        <v>10056</v>
      </c>
    </row>
    <row r="9525" spans="1:1">
      <c r="A9525" t="s">
        <v>10057</v>
      </c>
    </row>
    <row r="9526" spans="1:1">
      <c r="A9526" t="s">
        <v>10058</v>
      </c>
    </row>
    <row r="9527" spans="1:1">
      <c r="A9527" t="s">
        <v>10059</v>
      </c>
    </row>
    <row r="9528" spans="1:1">
      <c r="A9528" t="s">
        <v>10060</v>
      </c>
    </row>
    <row r="9529" spans="1:1">
      <c r="A9529" t="s">
        <v>10061</v>
      </c>
    </row>
    <row r="9530" spans="1:1">
      <c r="A9530" t="s">
        <v>10062</v>
      </c>
    </row>
    <row r="9531" spans="1:1">
      <c r="A9531" t="s">
        <v>10063</v>
      </c>
    </row>
    <row r="9532" spans="1:1">
      <c r="A9532" t="s">
        <v>10064</v>
      </c>
    </row>
    <row r="9533" spans="1:1">
      <c r="A9533" t="s">
        <v>10065</v>
      </c>
    </row>
    <row r="9534" spans="1:1">
      <c r="A9534" t="s">
        <v>10066</v>
      </c>
    </row>
    <row r="9535" spans="1:1">
      <c r="A9535" t="s">
        <v>10067</v>
      </c>
    </row>
    <row r="9536" spans="1:1">
      <c r="A9536" t="s">
        <v>10068</v>
      </c>
    </row>
    <row r="9537" spans="1:1">
      <c r="A9537" t="s">
        <v>10069</v>
      </c>
    </row>
    <row r="9538" spans="1:1">
      <c r="A9538" t="s">
        <v>10070</v>
      </c>
    </row>
    <row r="9539" spans="1:1">
      <c r="A9539" t="s">
        <v>10071</v>
      </c>
    </row>
    <row r="9540" spans="1:1">
      <c r="A9540" t="s">
        <v>10072</v>
      </c>
    </row>
    <row r="9541" spans="1:1">
      <c r="A9541" t="s">
        <v>10073</v>
      </c>
    </row>
    <row r="9542" spans="1:1">
      <c r="A9542" t="s">
        <v>10074</v>
      </c>
    </row>
    <row r="9543" spans="1:1">
      <c r="A9543" t="s">
        <v>10075</v>
      </c>
    </row>
    <row r="9544" spans="1:1">
      <c r="A9544" t="s">
        <v>10076</v>
      </c>
    </row>
    <row r="9545" spans="1:1">
      <c r="A9545" t="s">
        <v>10077</v>
      </c>
    </row>
    <row r="9546" spans="1:1">
      <c r="A9546" t="s">
        <v>10078</v>
      </c>
    </row>
    <row r="9547" spans="1:1">
      <c r="A9547" t="s">
        <v>10079</v>
      </c>
    </row>
    <row r="9548" spans="1:1">
      <c r="A9548" t="s">
        <v>10080</v>
      </c>
    </row>
    <row r="9549" spans="1:1">
      <c r="A9549" t="s">
        <v>10081</v>
      </c>
    </row>
    <row r="9550" spans="1:1">
      <c r="A9550" t="s">
        <v>10082</v>
      </c>
    </row>
    <row r="9551" spans="1:1">
      <c r="A9551" t="s">
        <v>10083</v>
      </c>
    </row>
    <row r="9552" spans="1:1">
      <c r="A9552" t="s">
        <v>10084</v>
      </c>
    </row>
    <row r="9553" spans="1:1">
      <c r="A9553" t="s">
        <v>10085</v>
      </c>
    </row>
    <row r="9554" spans="1:1">
      <c r="A9554" t="s">
        <v>10086</v>
      </c>
    </row>
    <row r="9555" spans="1:1">
      <c r="A9555" t="s">
        <v>10087</v>
      </c>
    </row>
    <row r="9556" spans="1:1">
      <c r="A9556" t="s">
        <v>10088</v>
      </c>
    </row>
    <row r="9557" spans="1:1">
      <c r="A9557" t="s">
        <v>10089</v>
      </c>
    </row>
    <row r="9558" spans="1:1">
      <c r="A9558" t="s">
        <v>10090</v>
      </c>
    </row>
    <row r="9559" spans="1:1">
      <c r="A9559" t="s">
        <v>10091</v>
      </c>
    </row>
    <row r="9560" spans="1:1">
      <c r="A9560" t="s">
        <v>10092</v>
      </c>
    </row>
    <row r="9561" spans="1:1">
      <c r="A9561" t="s">
        <v>10093</v>
      </c>
    </row>
    <row r="9562" spans="1:1">
      <c r="A9562" t="s">
        <v>10094</v>
      </c>
    </row>
    <row r="9563" spans="1:1">
      <c r="A9563" t="s">
        <v>10095</v>
      </c>
    </row>
    <row r="9564" spans="1:1">
      <c r="A9564" t="s">
        <v>10096</v>
      </c>
    </row>
    <row r="9565" spans="1:1">
      <c r="A9565" t="s">
        <v>10097</v>
      </c>
    </row>
    <row r="9566" spans="1:1">
      <c r="A9566" t="s">
        <v>10098</v>
      </c>
    </row>
    <row r="9567" spans="1:1">
      <c r="A9567" t="s">
        <v>10099</v>
      </c>
    </row>
    <row r="9568" spans="1:1">
      <c r="A9568" t="s">
        <v>10100</v>
      </c>
    </row>
    <row r="9569" spans="1:1">
      <c r="A9569" t="s">
        <v>10101</v>
      </c>
    </row>
    <row r="9570" spans="1:1">
      <c r="A9570" t="s">
        <v>10102</v>
      </c>
    </row>
    <row r="9571" spans="1:1">
      <c r="A9571" t="s">
        <v>10103</v>
      </c>
    </row>
    <row r="9572" spans="1:1">
      <c r="A9572" t="s">
        <v>10104</v>
      </c>
    </row>
    <row r="9573" spans="1:1">
      <c r="A9573" t="s">
        <v>10105</v>
      </c>
    </row>
    <row r="9574" spans="1:1">
      <c r="A9574" t="s">
        <v>10106</v>
      </c>
    </row>
    <row r="9575" spans="1:1">
      <c r="A9575" t="s">
        <v>10107</v>
      </c>
    </row>
    <row r="9576" spans="1:1">
      <c r="A9576" t="s">
        <v>10108</v>
      </c>
    </row>
    <row r="9577" spans="1:1">
      <c r="A9577" t="s">
        <v>10109</v>
      </c>
    </row>
    <row r="9578" spans="1:1">
      <c r="A9578" t="s">
        <v>10110</v>
      </c>
    </row>
    <row r="9579" spans="1:1">
      <c r="A9579" t="s">
        <v>10111</v>
      </c>
    </row>
    <row r="9580" spans="1:1">
      <c r="A9580" t="s">
        <v>10112</v>
      </c>
    </row>
    <row r="9581" spans="1:1">
      <c r="A9581" t="s">
        <v>10113</v>
      </c>
    </row>
    <row r="9582" spans="1:1">
      <c r="A9582" t="s">
        <v>10114</v>
      </c>
    </row>
    <row r="9583" spans="1:1">
      <c r="A9583" t="s">
        <v>10115</v>
      </c>
    </row>
    <row r="9584" spans="1:1">
      <c r="A9584" t="s">
        <v>10116</v>
      </c>
    </row>
    <row r="9585" spans="1:1">
      <c r="A9585" t="s">
        <v>10117</v>
      </c>
    </row>
    <row r="9586" spans="1:1">
      <c r="A9586" t="s">
        <v>10118</v>
      </c>
    </row>
    <row r="9587" spans="1:1">
      <c r="A9587" t="s">
        <v>10119</v>
      </c>
    </row>
    <row r="9588" spans="1:1">
      <c r="A9588" t="s">
        <v>10120</v>
      </c>
    </row>
    <row r="9589" spans="1:1">
      <c r="A9589" t="s">
        <v>10121</v>
      </c>
    </row>
    <row r="9590" spans="1:1">
      <c r="A9590" t="s">
        <v>10122</v>
      </c>
    </row>
    <row r="9591" spans="1:1">
      <c r="A9591" t="s">
        <v>10123</v>
      </c>
    </row>
    <row r="9592" spans="1:1">
      <c r="A9592" t="s">
        <v>10124</v>
      </c>
    </row>
    <row r="9593" spans="1:1">
      <c r="A9593" t="s">
        <v>10125</v>
      </c>
    </row>
    <row r="9594" spans="1:1">
      <c r="A9594" t="s">
        <v>10126</v>
      </c>
    </row>
    <row r="9595" spans="1:1">
      <c r="A9595" t="s">
        <v>10127</v>
      </c>
    </row>
    <row r="9596" spans="1:1">
      <c r="A9596" t="s">
        <v>10128</v>
      </c>
    </row>
    <row r="9597" spans="1:1">
      <c r="A9597" t="s">
        <v>10129</v>
      </c>
    </row>
    <row r="9598" spans="1:1">
      <c r="A9598" t="s">
        <v>10130</v>
      </c>
    </row>
    <row r="9599" spans="1:1">
      <c r="A9599" t="s">
        <v>10131</v>
      </c>
    </row>
    <row r="9600" spans="1:1">
      <c r="A9600" t="s">
        <v>10132</v>
      </c>
    </row>
    <row r="9601" spans="1:1">
      <c r="A9601" t="s">
        <v>10133</v>
      </c>
    </row>
    <row r="9602" spans="1:1">
      <c r="A9602" t="s">
        <v>10134</v>
      </c>
    </row>
    <row r="9603" spans="1:1">
      <c r="A9603" t="s">
        <v>10135</v>
      </c>
    </row>
    <row r="9604" spans="1:1">
      <c r="A9604" t="s">
        <v>10136</v>
      </c>
    </row>
    <row r="9605" spans="1:1">
      <c r="A9605" t="s">
        <v>10137</v>
      </c>
    </row>
    <row r="9606" spans="1:1">
      <c r="A9606" t="s">
        <v>10138</v>
      </c>
    </row>
    <row r="9607" spans="1:1">
      <c r="A9607" t="s">
        <v>10139</v>
      </c>
    </row>
    <row r="9608" spans="1:1">
      <c r="A9608" t="s">
        <v>10140</v>
      </c>
    </row>
    <row r="9609" spans="1:1">
      <c r="A9609" t="s">
        <v>10141</v>
      </c>
    </row>
    <row r="9610" spans="1:1">
      <c r="A9610" t="s">
        <v>10142</v>
      </c>
    </row>
    <row r="9611" spans="1:1">
      <c r="A9611" t="s">
        <v>10143</v>
      </c>
    </row>
    <row r="9612" spans="1:1">
      <c r="A9612" t="s">
        <v>10144</v>
      </c>
    </row>
    <row r="9613" spans="1:1">
      <c r="A9613" t="s">
        <v>10145</v>
      </c>
    </row>
    <row r="9614" spans="1:1">
      <c r="A9614" t="s">
        <v>10146</v>
      </c>
    </row>
    <row r="9615" spans="1:1">
      <c r="A9615" t="s">
        <v>10147</v>
      </c>
    </row>
    <row r="9616" spans="1:1">
      <c r="A9616" t="s">
        <v>10148</v>
      </c>
    </row>
    <row r="9617" spans="1:1">
      <c r="A9617" t="s">
        <v>10149</v>
      </c>
    </row>
    <row r="9618" spans="1:1">
      <c r="A9618" t="s">
        <v>10150</v>
      </c>
    </row>
    <row r="9619" spans="1:1">
      <c r="A9619" t="s">
        <v>10151</v>
      </c>
    </row>
    <row r="9620" spans="1:1">
      <c r="A9620" t="s">
        <v>10152</v>
      </c>
    </row>
    <row r="9621" spans="1:1">
      <c r="A9621" t="s">
        <v>10153</v>
      </c>
    </row>
    <row r="9622" spans="1:1">
      <c r="A9622" t="s">
        <v>10154</v>
      </c>
    </row>
    <row r="9623" spans="1:1">
      <c r="A9623" t="s">
        <v>10155</v>
      </c>
    </row>
    <row r="9624" spans="1:1">
      <c r="A9624" t="s">
        <v>10156</v>
      </c>
    </row>
    <row r="9625" spans="1:1">
      <c r="A9625" t="s">
        <v>10157</v>
      </c>
    </row>
    <row r="9626" spans="1:1">
      <c r="A9626" t="s">
        <v>10158</v>
      </c>
    </row>
    <row r="9627" spans="1:1">
      <c r="A9627" t="s">
        <v>10159</v>
      </c>
    </row>
    <row r="9628" spans="1:1">
      <c r="A9628" t="s">
        <v>10160</v>
      </c>
    </row>
    <row r="9629" spans="1:1">
      <c r="A9629" t="s">
        <v>10161</v>
      </c>
    </row>
    <row r="9630" spans="1:1">
      <c r="A9630" t="s">
        <v>10162</v>
      </c>
    </row>
    <row r="9631" spans="1:1">
      <c r="A9631" t="s">
        <v>10163</v>
      </c>
    </row>
    <row r="9632" spans="1:1">
      <c r="A9632" t="s">
        <v>10164</v>
      </c>
    </row>
    <row r="9633" spans="1:1">
      <c r="A9633" t="s">
        <v>10165</v>
      </c>
    </row>
    <row r="9634" spans="1:1">
      <c r="A9634" t="s">
        <v>10166</v>
      </c>
    </row>
    <row r="9635" spans="1:1">
      <c r="A9635" t="s">
        <v>10167</v>
      </c>
    </row>
    <row r="9636" spans="1:1">
      <c r="A9636" t="s">
        <v>10168</v>
      </c>
    </row>
    <row r="9637" spans="1:1">
      <c r="A9637" t="s">
        <v>10169</v>
      </c>
    </row>
    <row r="9638" spans="1:1">
      <c r="A9638" t="s">
        <v>10170</v>
      </c>
    </row>
    <row r="9639" spans="1:1">
      <c r="A9639" t="s">
        <v>10171</v>
      </c>
    </row>
    <row r="9640" spans="1:1">
      <c r="A9640" t="s">
        <v>10172</v>
      </c>
    </row>
    <row r="9641" spans="1:1">
      <c r="A9641" t="s">
        <v>10173</v>
      </c>
    </row>
    <row r="9642" spans="1:1">
      <c r="A9642" t="s">
        <v>10174</v>
      </c>
    </row>
    <row r="9643" spans="1:1">
      <c r="A9643" t="s">
        <v>10175</v>
      </c>
    </row>
    <row r="9644" spans="1:1">
      <c r="A9644" t="s">
        <v>10176</v>
      </c>
    </row>
    <row r="9645" spans="1:1">
      <c r="A9645" t="s">
        <v>10177</v>
      </c>
    </row>
    <row r="9646" spans="1:1">
      <c r="A9646" t="s">
        <v>10178</v>
      </c>
    </row>
    <row r="9647" spans="1:1">
      <c r="A9647" t="s">
        <v>10179</v>
      </c>
    </row>
    <row r="9648" spans="1:1">
      <c r="A9648" t="s">
        <v>10180</v>
      </c>
    </row>
    <row r="9649" spans="1:1">
      <c r="A9649" t="s">
        <v>10181</v>
      </c>
    </row>
    <row r="9650" spans="1:1">
      <c r="A9650" t="s">
        <v>10182</v>
      </c>
    </row>
    <row r="9651" spans="1:1">
      <c r="A9651" t="s">
        <v>10183</v>
      </c>
    </row>
    <row r="9652" spans="1:1">
      <c r="A9652" t="s">
        <v>10184</v>
      </c>
    </row>
    <row r="9653" spans="1:1">
      <c r="A9653" t="s">
        <v>10185</v>
      </c>
    </row>
    <row r="9654" spans="1:1">
      <c r="A9654" t="s">
        <v>10186</v>
      </c>
    </row>
    <row r="9655" spans="1:1">
      <c r="A9655" t="s">
        <v>10187</v>
      </c>
    </row>
    <row r="9656" spans="1:1">
      <c r="A9656" t="s">
        <v>10188</v>
      </c>
    </row>
    <row r="9657" spans="1:1">
      <c r="A9657" t="s">
        <v>10189</v>
      </c>
    </row>
    <row r="9658" spans="1:1">
      <c r="A9658" t="s">
        <v>10190</v>
      </c>
    </row>
    <row r="9659" spans="1:1">
      <c r="A9659" t="s">
        <v>10191</v>
      </c>
    </row>
    <row r="9660" spans="1:1">
      <c r="A9660" t="s">
        <v>10192</v>
      </c>
    </row>
    <row r="9661" spans="1:1">
      <c r="A9661" t="s">
        <v>10193</v>
      </c>
    </row>
    <row r="9662" spans="1:1">
      <c r="A9662" t="s">
        <v>10194</v>
      </c>
    </row>
    <row r="9663" spans="1:1">
      <c r="A9663" t="s">
        <v>10195</v>
      </c>
    </row>
    <row r="9664" spans="1:1">
      <c r="A9664" t="s">
        <v>10196</v>
      </c>
    </row>
    <row r="9665" spans="1:1">
      <c r="A9665" t="s">
        <v>10197</v>
      </c>
    </row>
    <row r="9666" spans="1:1">
      <c r="A9666" t="s">
        <v>10198</v>
      </c>
    </row>
    <row r="9667" spans="1:1">
      <c r="A9667" t="s">
        <v>10199</v>
      </c>
    </row>
    <row r="9668" spans="1:1">
      <c r="A9668" t="s">
        <v>10200</v>
      </c>
    </row>
    <row r="9669" spans="1:1">
      <c r="A9669" t="s">
        <v>10201</v>
      </c>
    </row>
    <row r="9670" spans="1:1">
      <c r="A9670" t="s">
        <v>10202</v>
      </c>
    </row>
    <row r="9671" spans="1:1">
      <c r="A9671" t="s">
        <v>10203</v>
      </c>
    </row>
    <row r="9672" spans="1:1">
      <c r="A9672" t="s">
        <v>10204</v>
      </c>
    </row>
    <row r="9673" spans="1:1">
      <c r="A9673" t="s">
        <v>10205</v>
      </c>
    </row>
    <row r="9674" spans="1:1">
      <c r="A9674" t="s">
        <v>10206</v>
      </c>
    </row>
    <row r="9675" spans="1:1">
      <c r="A9675" t="s">
        <v>10207</v>
      </c>
    </row>
    <row r="9676" spans="1:1">
      <c r="A9676" t="s">
        <v>10208</v>
      </c>
    </row>
    <row r="9677" spans="1:1">
      <c r="A9677" t="s">
        <v>10209</v>
      </c>
    </row>
    <row r="9678" spans="1:1">
      <c r="A9678" t="s">
        <v>10210</v>
      </c>
    </row>
    <row r="9679" spans="1:1">
      <c r="A9679" t="s">
        <v>10211</v>
      </c>
    </row>
    <row r="9680" spans="1:1">
      <c r="A9680" t="s">
        <v>10212</v>
      </c>
    </row>
    <row r="9681" spans="1:1">
      <c r="A9681" t="s">
        <v>10213</v>
      </c>
    </row>
    <row r="9682" spans="1:1">
      <c r="A9682" t="s">
        <v>10214</v>
      </c>
    </row>
    <row r="9683" spans="1:1">
      <c r="A9683" t="s">
        <v>10215</v>
      </c>
    </row>
    <row r="9684" spans="1:1">
      <c r="A9684" t="s">
        <v>10216</v>
      </c>
    </row>
    <row r="9685" spans="1:1">
      <c r="A9685" t="s">
        <v>10217</v>
      </c>
    </row>
    <row r="9686" spans="1:1">
      <c r="A9686" t="s">
        <v>10218</v>
      </c>
    </row>
    <row r="9687" spans="1:1">
      <c r="A9687" t="s">
        <v>10219</v>
      </c>
    </row>
    <row r="9688" spans="1:1">
      <c r="A9688" t="s">
        <v>10220</v>
      </c>
    </row>
    <row r="9689" spans="1:1">
      <c r="A9689" t="s">
        <v>10221</v>
      </c>
    </row>
    <row r="9690" spans="1:1">
      <c r="A9690" t="s">
        <v>10222</v>
      </c>
    </row>
    <row r="9691" spans="1:1">
      <c r="A9691" t="s">
        <v>10223</v>
      </c>
    </row>
    <row r="9692" spans="1:1">
      <c r="A9692" t="s">
        <v>10224</v>
      </c>
    </row>
    <row r="9693" spans="1:1">
      <c r="A9693" t="s">
        <v>10225</v>
      </c>
    </row>
    <row r="9694" spans="1:1">
      <c r="A9694" t="s">
        <v>10226</v>
      </c>
    </row>
    <row r="9695" spans="1:1">
      <c r="A9695" t="s">
        <v>10227</v>
      </c>
    </row>
    <row r="9696" spans="1:1">
      <c r="A9696" t="s">
        <v>10228</v>
      </c>
    </row>
    <row r="9697" spans="1:1">
      <c r="A9697" t="s">
        <v>10229</v>
      </c>
    </row>
    <row r="9698" spans="1:1">
      <c r="A9698" t="s">
        <v>10230</v>
      </c>
    </row>
    <row r="9699" spans="1:1">
      <c r="A9699" t="s">
        <v>10231</v>
      </c>
    </row>
    <row r="9700" spans="1:1">
      <c r="A9700" t="s">
        <v>10232</v>
      </c>
    </row>
    <row r="9701" spans="1:1">
      <c r="A9701" t="s">
        <v>10233</v>
      </c>
    </row>
    <row r="9702" spans="1:1">
      <c r="A9702" t="s">
        <v>10234</v>
      </c>
    </row>
    <row r="9703" spans="1:1">
      <c r="A9703" t="s">
        <v>10235</v>
      </c>
    </row>
    <row r="9704" spans="1:1">
      <c r="A9704" t="s">
        <v>10236</v>
      </c>
    </row>
    <row r="9705" spans="1:1">
      <c r="A9705" t="s">
        <v>10237</v>
      </c>
    </row>
    <row r="9706" spans="1:1">
      <c r="A9706" t="s">
        <v>10238</v>
      </c>
    </row>
    <row r="9707" spans="1:1">
      <c r="A9707" t="s">
        <v>10239</v>
      </c>
    </row>
    <row r="9708" spans="1:1">
      <c r="A9708" t="s">
        <v>10240</v>
      </c>
    </row>
    <row r="9709" spans="1:1">
      <c r="A9709" t="s">
        <v>10241</v>
      </c>
    </row>
    <row r="9710" spans="1:1">
      <c r="A9710" t="s">
        <v>10242</v>
      </c>
    </row>
    <row r="9711" spans="1:1">
      <c r="A9711" t="s">
        <v>10243</v>
      </c>
    </row>
    <row r="9712" spans="1:1">
      <c r="A9712" t="s">
        <v>10244</v>
      </c>
    </row>
    <row r="9713" spans="1:1">
      <c r="A9713" t="s">
        <v>10245</v>
      </c>
    </row>
    <row r="9714" spans="1:1">
      <c r="A9714" t="s">
        <v>10246</v>
      </c>
    </row>
    <row r="9715" spans="1:1">
      <c r="A9715" t="s">
        <v>10247</v>
      </c>
    </row>
    <row r="9716" spans="1:1">
      <c r="A9716" t="s">
        <v>10248</v>
      </c>
    </row>
    <row r="9717" spans="1:1">
      <c r="A9717" t="s">
        <v>10249</v>
      </c>
    </row>
    <row r="9718" spans="1:1">
      <c r="A9718" t="s">
        <v>10250</v>
      </c>
    </row>
    <row r="9719" spans="1:1">
      <c r="A9719" t="s">
        <v>10251</v>
      </c>
    </row>
    <row r="9720" spans="1:1">
      <c r="A9720" t="s">
        <v>10252</v>
      </c>
    </row>
    <row r="9721" spans="1:1">
      <c r="A9721" t="s">
        <v>10253</v>
      </c>
    </row>
    <row r="9722" spans="1:1">
      <c r="A9722" t="s">
        <v>10254</v>
      </c>
    </row>
    <row r="9723" spans="1:1">
      <c r="A9723" t="s">
        <v>10255</v>
      </c>
    </row>
    <row r="9724" spans="1:1">
      <c r="A9724" t="s">
        <v>10256</v>
      </c>
    </row>
    <row r="9725" spans="1:1">
      <c r="A9725" t="s">
        <v>10257</v>
      </c>
    </row>
    <row r="9726" spans="1:1">
      <c r="A9726" t="s">
        <v>10258</v>
      </c>
    </row>
    <row r="9727" spans="1:1">
      <c r="A9727" t="s">
        <v>10259</v>
      </c>
    </row>
    <row r="9728" spans="1:1">
      <c r="A9728" t="s">
        <v>10260</v>
      </c>
    </row>
    <row r="9729" spans="1:1">
      <c r="A9729" t="s">
        <v>10261</v>
      </c>
    </row>
    <row r="9730" spans="1:1">
      <c r="A9730" t="s">
        <v>10262</v>
      </c>
    </row>
    <row r="9731" spans="1:1">
      <c r="A9731" t="s">
        <v>10263</v>
      </c>
    </row>
    <row r="9732" spans="1:1">
      <c r="A9732" t="s">
        <v>10264</v>
      </c>
    </row>
    <row r="9733" spans="1:1">
      <c r="A9733" t="s">
        <v>10265</v>
      </c>
    </row>
    <row r="9734" spans="1:1">
      <c r="A9734" t="s">
        <v>10266</v>
      </c>
    </row>
    <row r="9735" spans="1:1">
      <c r="A9735" t="s">
        <v>10267</v>
      </c>
    </row>
    <row r="9736" spans="1:1">
      <c r="A9736" t="s">
        <v>10268</v>
      </c>
    </row>
    <row r="9737" spans="1:1">
      <c r="A9737" t="s">
        <v>10269</v>
      </c>
    </row>
    <row r="9738" spans="1:1">
      <c r="A9738" t="s">
        <v>10270</v>
      </c>
    </row>
    <row r="9739" spans="1:1">
      <c r="A9739" t="s">
        <v>10271</v>
      </c>
    </row>
    <row r="9740" spans="1:1">
      <c r="A9740" t="s">
        <v>10272</v>
      </c>
    </row>
    <row r="9741" spans="1:1">
      <c r="A9741" t="s">
        <v>10273</v>
      </c>
    </row>
    <row r="9742" spans="1:1">
      <c r="A9742" t="s">
        <v>10274</v>
      </c>
    </row>
    <row r="9743" spans="1:1">
      <c r="A9743" t="s">
        <v>10275</v>
      </c>
    </row>
    <row r="9744" spans="1:1">
      <c r="A9744" t="s">
        <v>10276</v>
      </c>
    </row>
    <row r="9745" spans="1:1">
      <c r="A9745" t="s">
        <v>10277</v>
      </c>
    </row>
    <row r="9746" spans="1:1">
      <c r="A9746" t="s">
        <v>10278</v>
      </c>
    </row>
    <row r="9747" spans="1:1">
      <c r="A9747" t="s">
        <v>10279</v>
      </c>
    </row>
    <row r="9748" spans="1:1">
      <c r="A9748" t="s">
        <v>10280</v>
      </c>
    </row>
    <row r="9749" spans="1:1">
      <c r="A9749" t="s">
        <v>10281</v>
      </c>
    </row>
    <row r="9750" spans="1:1">
      <c r="A9750" t="s">
        <v>10282</v>
      </c>
    </row>
    <row r="9751" spans="1:1">
      <c r="A9751" t="s">
        <v>10283</v>
      </c>
    </row>
    <row r="9752" spans="1:1">
      <c r="A9752" t="s">
        <v>10284</v>
      </c>
    </row>
    <row r="9753" spans="1:1">
      <c r="A9753" t="s">
        <v>10285</v>
      </c>
    </row>
    <row r="9754" spans="1:1">
      <c r="A9754" t="s">
        <v>10286</v>
      </c>
    </row>
    <row r="9755" spans="1:1">
      <c r="A9755" t="s">
        <v>10287</v>
      </c>
    </row>
    <row r="9756" spans="1:1">
      <c r="A9756" t="s">
        <v>10288</v>
      </c>
    </row>
    <row r="9757" spans="1:1">
      <c r="A9757" t="s">
        <v>10289</v>
      </c>
    </row>
    <row r="9758" spans="1:1">
      <c r="A9758" t="s">
        <v>10290</v>
      </c>
    </row>
    <row r="9759" spans="1:1">
      <c r="A9759" t="s">
        <v>10291</v>
      </c>
    </row>
    <row r="9760" spans="1:1">
      <c r="A9760" t="s">
        <v>10292</v>
      </c>
    </row>
    <row r="9761" spans="1:1">
      <c r="A9761" t="s">
        <v>10293</v>
      </c>
    </row>
    <row r="9762" spans="1:1">
      <c r="A9762" t="s">
        <v>10294</v>
      </c>
    </row>
    <row r="9763" spans="1:1">
      <c r="A9763" t="s">
        <v>10295</v>
      </c>
    </row>
    <row r="9764" spans="1:1">
      <c r="A9764" t="s">
        <v>10296</v>
      </c>
    </row>
    <row r="9765" spans="1:1">
      <c r="A9765" t="s">
        <v>10297</v>
      </c>
    </row>
    <row r="9766" spans="1:1">
      <c r="A9766" t="s">
        <v>10298</v>
      </c>
    </row>
    <row r="9767" spans="1:1">
      <c r="A9767" t="s">
        <v>10299</v>
      </c>
    </row>
    <row r="9768" spans="1:1">
      <c r="A9768" t="s">
        <v>10300</v>
      </c>
    </row>
    <row r="9769" spans="1:1">
      <c r="A9769" t="s">
        <v>10301</v>
      </c>
    </row>
    <row r="9770" spans="1:1">
      <c r="A9770" t="s">
        <v>10302</v>
      </c>
    </row>
    <row r="9771" spans="1:1">
      <c r="A9771" t="s">
        <v>10303</v>
      </c>
    </row>
    <row r="9772" spans="1:1">
      <c r="A9772" t="s">
        <v>10304</v>
      </c>
    </row>
    <row r="9773" spans="1:1">
      <c r="A9773" t="s">
        <v>10305</v>
      </c>
    </row>
    <row r="9774" spans="1:1">
      <c r="A9774" t="s">
        <v>10306</v>
      </c>
    </row>
    <row r="9775" spans="1:1">
      <c r="A9775" t="s">
        <v>10307</v>
      </c>
    </row>
    <row r="9776" spans="1:1">
      <c r="A9776" t="s">
        <v>10308</v>
      </c>
    </row>
    <row r="9777" spans="1:1">
      <c r="A9777" t="s">
        <v>10309</v>
      </c>
    </row>
    <row r="9778" spans="1:1">
      <c r="A9778" t="s">
        <v>10310</v>
      </c>
    </row>
    <row r="9779" spans="1:1">
      <c r="A9779" t="s">
        <v>10311</v>
      </c>
    </row>
    <row r="9780" spans="1:1">
      <c r="A9780" t="s">
        <v>10312</v>
      </c>
    </row>
    <row r="9781" spans="1:1">
      <c r="A9781" t="s">
        <v>10313</v>
      </c>
    </row>
    <row r="9782" spans="1:1">
      <c r="A9782" t="s">
        <v>10314</v>
      </c>
    </row>
    <row r="9783" spans="1:1">
      <c r="A9783" t="s">
        <v>10315</v>
      </c>
    </row>
    <row r="9784" spans="1:1">
      <c r="A9784" t="s">
        <v>10316</v>
      </c>
    </row>
    <row r="9785" spans="1:1">
      <c r="A9785" t="s">
        <v>10317</v>
      </c>
    </row>
    <row r="9786" spans="1:1">
      <c r="A9786" t="s">
        <v>10318</v>
      </c>
    </row>
    <row r="9787" spans="1:1">
      <c r="A9787" t="s">
        <v>10319</v>
      </c>
    </row>
    <row r="9788" spans="1:1">
      <c r="A9788" t="s">
        <v>10320</v>
      </c>
    </row>
    <row r="9789" spans="1:1">
      <c r="A9789" t="s">
        <v>10321</v>
      </c>
    </row>
    <row r="9790" spans="1:1">
      <c r="A9790" t="s">
        <v>10322</v>
      </c>
    </row>
    <row r="9791" spans="1:1">
      <c r="A9791" t="s">
        <v>10323</v>
      </c>
    </row>
    <row r="9792" spans="1:1">
      <c r="A9792" t="s">
        <v>10324</v>
      </c>
    </row>
    <row r="9793" spans="1:1">
      <c r="A9793" t="s">
        <v>10325</v>
      </c>
    </row>
    <row r="9794" spans="1:1">
      <c r="A9794" t="s">
        <v>10326</v>
      </c>
    </row>
    <row r="9795" spans="1:1">
      <c r="A9795" t="s">
        <v>10327</v>
      </c>
    </row>
    <row r="9796" spans="1:1">
      <c r="A9796" t="s">
        <v>10328</v>
      </c>
    </row>
    <row r="9797" spans="1:1">
      <c r="A9797" t="s">
        <v>10329</v>
      </c>
    </row>
    <row r="9798" spans="1:1">
      <c r="A9798" t="s">
        <v>10330</v>
      </c>
    </row>
    <row r="9799" spans="1:1">
      <c r="A9799" t="s">
        <v>10331</v>
      </c>
    </row>
    <row r="9800" spans="1:1">
      <c r="A9800" t="s">
        <v>10332</v>
      </c>
    </row>
    <row r="9801" spans="1:1">
      <c r="A9801" t="s">
        <v>10333</v>
      </c>
    </row>
    <row r="9802" spans="1:1">
      <c r="A9802" t="s">
        <v>10334</v>
      </c>
    </row>
    <row r="9803" spans="1:1">
      <c r="A9803" t="s">
        <v>10335</v>
      </c>
    </row>
    <row r="9804" spans="1:1">
      <c r="A9804" t="s">
        <v>10336</v>
      </c>
    </row>
    <row r="9805" spans="1:1">
      <c r="A9805" t="s">
        <v>10337</v>
      </c>
    </row>
    <row r="9806" spans="1:1">
      <c r="A9806" t="s">
        <v>10338</v>
      </c>
    </row>
    <row r="9807" spans="1:1">
      <c r="A9807" t="s">
        <v>10339</v>
      </c>
    </row>
    <row r="9808" spans="1:1">
      <c r="A9808" t="s">
        <v>10340</v>
      </c>
    </row>
    <row r="9809" spans="1:1">
      <c r="A9809" t="s">
        <v>10341</v>
      </c>
    </row>
    <row r="9810" spans="1:1">
      <c r="A9810" t="s">
        <v>10342</v>
      </c>
    </row>
    <row r="9811" spans="1:1">
      <c r="A9811" t="s">
        <v>10343</v>
      </c>
    </row>
    <row r="9812" spans="1:1">
      <c r="A9812" t="s">
        <v>10344</v>
      </c>
    </row>
    <row r="9813" spans="1:1">
      <c r="A9813" t="s">
        <v>10345</v>
      </c>
    </row>
    <row r="9814" spans="1:1">
      <c r="A9814" t="s">
        <v>10346</v>
      </c>
    </row>
    <row r="9815" spans="1:1">
      <c r="A9815" t="s">
        <v>10347</v>
      </c>
    </row>
    <row r="9816" spans="1:1">
      <c r="A9816" t="s">
        <v>10348</v>
      </c>
    </row>
    <row r="9817" spans="1:1">
      <c r="A9817" t="s">
        <v>10349</v>
      </c>
    </row>
    <row r="9818" spans="1:1">
      <c r="A9818" t="s">
        <v>10350</v>
      </c>
    </row>
    <row r="9819" spans="1:1">
      <c r="A9819" t="s">
        <v>10351</v>
      </c>
    </row>
    <row r="9820" spans="1:1">
      <c r="A9820" t="s">
        <v>10352</v>
      </c>
    </row>
    <row r="9821" spans="1:1">
      <c r="A9821" t="s">
        <v>10353</v>
      </c>
    </row>
    <row r="9822" spans="1:1">
      <c r="A9822" t="s">
        <v>10354</v>
      </c>
    </row>
    <row r="9823" spans="1:1">
      <c r="A9823" t="s">
        <v>10355</v>
      </c>
    </row>
    <row r="9824" spans="1:1">
      <c r="A9824" t="s">
        <v>10356</v>
      </c>
    </row>
    <row r="9825" spans="1:1">
      <c r="A9825" t="s">
        <v>10357</v>
      </c>
    </row>
    <row r="9826" spans="1:1">
      <c r="A9826" t="s">
        <v>10358</v>
      </c>
    </row>
    <row r="9827" spans="1:1">
      <c r="A9827" t="s">
        <v>10359</v>
      </c>
    </row>
    <row r="9828" spans="1:1">
      <c r="A9828" t="s">
        <v>10360</v>
      </c>
    </row>
    <row r="9829" spans="1:1">
      <c r="A9829" t="s">
        <v>10361</v>
      </c>
    </row>
    <row r="9830" spans="1:1">
      <c r="A9830" t="s">
        <v>10362</v>
      </c>
    </row>
    <row r="9831" spans="1:1">
      <c r="A9831" t="s">
        <v>10363</v>
      </c>
    </row>
    <row r="9832" spans="1:1">
      <c r="A9832" t="s">
        <v>10364</v>
      </c>
    </row>
    <row r="9833" spans="1:1">
      <c r="A9833" t="s">
        <v>10365</v>
      </c>
    </row>
    <row r="9834" spans="1:1">
      <c r="A9834" t="s">
        <v>10366</v>
      </c>
    </row>
    <row r="9835" spans="1:1">
      <c r="A9835" t="s">
        <v>10367</v>
      </c>
    </row>
    <row r="9836" spans="1:1">
      <c r="A9836" t="s">
        <v>10368</v>
      </c>
    </row>
    <row r="9837" spans="1:1">
      <c r="A9837" t="s">
        <v>10369</v>
      </c>
    </row>
    <row r="9838" spans="1:1">
      <c r="A9838" t="s">
        <v>10370</v>
      </c>
    </row>
    <row r="9839" spans="1:1">
      <c r="A9839" t="s">
        <v>10371</v>
      </c>
    </row>
    <row r="9840" spans="1:1">
      <c r="A9840" t="s">
        <v>10372</v>
      </c>
    </row>
    <row r="9841" spans="1:1">
      <c r="A9841" t="s">
        <v>10373</v>
      </c>
    </row>
    <row r="9842" spans="1:1">
      <c r="A9842" t="s">
        <v>10374</v>
      </c>
    </row>
    <row r="9843" spans="1:1">
      <c r="A9843" t="s">
        <v>10375</v>
      </c>
    </row>
    <row r="9844" spans="1:1">
      <c r="A9844" t="s">
        <v>10376</v>
      </c>
    </row>
    <row r="9845" spans="1:1">
      <c r="A9845" t="s">
        <v>10377</v>
      </c>
    </row>
    <row r="9846" spans="1:1">
      <c r="A9846" t="s">
        <v>10378</v>
      </c>
    </row>
    <row r="9847" spans="1:1">
      <c r="A9847" t="s">
        <v>10379</v>
      </c>
    </row>
    <row r="9848" spans="1:1">
      <c r="A9848" t="s">
        <v>10380</v>
      </c>
    </row>
    <row r="9849" spans="1:1">
      <c r="A9849" t="s">
        <v>10381</v>
      </c>
    </row>
    <row r="9850" spans="1:1">
      <c r="A9850" t="s">
        <v>10382</v>
      </c>
    </row>
    <row r="9851" spans="1:1">
      <c r="A9851" t="s">
        <v>10383</v>
      </c>
    </row>
    <row r="9852" spans="1:1">
      <c r="A9852" t="s">
        <v>10384</v>
      </c>
    </row>
    <row r="9853" spans="1:1">
      <c r="A9853" t="s">
        <v>10385</v>
      </c>
    </row>
    <row r="9854" spans="1:1">
      <c r="A9854" t="s">
        <v>10386</v>
      </c>
    </row>
    <row r="9855" spans="1:1">
      <c r="A9855" t="s">
        <v>10387</v>
      </c>
    </row>
    <row r="9856" spans="1:1">
      <c r="A9856" t="s">
        <v>10388</v>
      </c>
    </row>
    <row r="9857" spans="1:1">
      <c r="A9857" t="s">
        <v>10389</v>
      </c>
    </row>
    <row r="9858" spans="1:1">
      <c r="A9858" t="s">
        <v>10390</v>
      </c>
    </row>
    <row r="9859" spans="1:1">
      <c r="A9859" t="s">
        <v>10391</v>
      </c>
    </row>
    <row r="9860" spans="1:1">
      <c r="A9860" t="s">
        <v>10392</v>
      </c>
    </row>
    <row r="9861" spans="1:1">
      <c r="A9861" t="s">
        <v>10393</v>
      </c>
    </row>
    <row r="9862" spans="1:1">
      <c r="A9862" t="s">
        <v>10394</v>
      </c>
    </row>
    <row r="9863" spans="1:1">
      <c r="A9863" t="s">
        <v>10395</v>
      </c>
    </row>
    <row r="9864" spans="1:1">
      <c r="A9864" t="s">
        <v>10396</v>
      </c>
    </row>
    <row r="9865" spans="1:1">
      <c r="A9865" t="s">
        <v>10397</v>
      </c>
    </row>
    <row r="9866" spans="1:1">
      <c r="A9866" t="s">
        <v>10398</v>
      </c>
    </row>
    <row r="9867" spans="1:1">
      <c r="A9867" t="s">
        <v>10399</v>
      </c>
    </row>
    <row r="9868" spans="1:1">
      <c r="A9868" t="s">
        <v>10400</v>
      </c>
    </row>
    <row r="9869" spans="1:1">
      <c r="A9869" t="s">
        <v>10401</v>
      </c>
    </row>
    <row r="9870" spans="1:1">
      <c r="A9870" t="s">
        <v>10402</v>
      </c>
    </row>
    <row r="9871" spans="1:1">
      <c r="A9871" t="s">
        <v>10403</v>
      </c>
    </row>
    <row r="9872" spans="1:1">
      <c r="A9872" t="s">
        <v>10404</v>
      </c>
    </row>
    <row r="9873" spans="1:1">
      <c r="A9873" t="s">
        <v>10405</v>
      </c>
    </row>
    <row r="9874" spans="1:1">
      <c r="A9874" t="s">
        <v>10406</v>
      </c>
    </row>
    <row r="9875" spans="1:1">
      <c r="A9875" t="s">
        <v>10407</v>
      </c>
    </row>
    <row r="9876" spans="1:1">
      <c r="A9876" t="s">
        <v>10408</v>
      </c>
    </row>
    <row r="9877" spans="1:1">
      <c r="A9877" t="s">
        <v>10409</v>
      </c>
    </row>
    <row r="9878" spans="1:1">
      <c r="A9878" t="s">
        <v>10410</v>
      </c>
    </row>
    <row r="9879" spans="1:1">
      <c r="A9879" t="s">
        <v>10411</v>
      </c>
    </row>
    <row r="9880" spans="1:1">
      <c r="A9880" t="s">
        <v>10412</v>
      </c>
    </row>
    <row r="9881" spans="1:1">
      <c r="A9881" t="s">
        <v>10413</v>
      </c>
    </row>
    <row r="9882" spans="1:1">
      <c r="A9882" t="s">
        <v>10414</v>
      </c>
    </row>
    <row r="9883" spans="1:1">
      <c r="A9883" t="s">
        <v>10415</v>
      </c>
    </row>
    <row r="9884" spans="1:1">
      <c r="A9884" t="s">
        <v>10416</v>
      </c>
    </row>
    <row r="9885" spans="1:1">
      <c r="A9885" t="s">
        <v>10417</v>
      </c>
    </row>
    <row r="9886" spans="1:1">
      <c r="A9886" t="s">
        <v>10418</v>
      </c>
    </row>
    <row r="9887" spans="1:1">
      <c r="A9887" t="s">
        <v>10419</v>
      </c>
    </row>
    <row r="9888" spans="1:1">
      <c r="A9888" t="s">
        <v>10420</v>
      </c>
    </row>
    <row r="9889" spans="1:1">
      <c r="A9889" t="s">
        <v>10421</v>
      </c>
    </row>
    <row r="9890" spans="1:1">
      <c r="A9890" t="s">
        <v>10422</v>
      </c>
    </row>
    <row r="9891" spans="1:1">
      <c r="A9891" t="s">
        <v>10423</v>
      </c>
    </row>
    <row r="9892" spans="1:1">
      <c r="A9892" t="s">
        <v>10424</v>
      </c>
    </row>
    <row r="9893" spans="1:1">
      <c r="A9893" t="s">
        <v>10425</v>
      </c>
    </row>
    <row r="9894" spans="1:1">
      <c r="A9894" t="s">
        <v>10426</v>
      </c>
    </row>
    <row r="9895" spans="1:1">
      <c r="A9895" t="s">
        <v>10427</v>
      </c>
    </row>
    <row r="9896" spans="1:1">
      <c r="A9896" t="s">
        <v>10428</v>
      </c>
    </row>
    <row r="9897" spans="1:1">
      <c r="A9897" t="s">
        <v>10429</v>
      </c>
    </row>
    <row r="9898" spans="1:1">
      <c r="A9898" t="s">
        <v>10430</v>
      </c>
    </row>
    <row r="9899" spans="1:1">
      <c r="A9899" t="s">
        <v>10431</v>
      </c>
    </row>
    <row r="9900" spans="1:1">
      <c r="A9900" t="s">
        <v>10432</v>
      </c>
    </row>
    <row r="9901" spans="1:1">
      <c r="A9901" t="s">
        <v>10433</v>
      </c>
    </row>
    <row r="9902" spans="1:1">
      <c r="A9902" t="s">
        <v>10434</v>
      </c>
    </row>
    <row r="9903" spans="1:1">
      <c r="A9903" t="s">
        <v>10435</v>
      </c>
    </row>
    <row r="9904" spans="1:1">
      <c r="A9904" t="s">
        <v>10436</v>
      </c>
    </row>
    <row r="9905" spans="1:1">
      <c r="A9905" t="s">
        <v>10437</v>
      </c>
    </row>
    <row r="9906" spans="1:1">
      <c r="A9906" t="s">
        <v>10438</v>
      </c>
    </row>
    <row r="9907" spans="1:1">
      <c r="A9907" t="s">
        <v>10439</v>
      </c>
    </row>
    <row r="9908" spans="1:1">
      <c r="A9908" t="s">
        <v>10440</v>
      </c>
    </row>
    <row r="9909" spans="1:1">
      <c r="A9909" t="s">
        <v>10441</v>
      </c>
    </row>
    <row r="9910" spans="1:1">
      <c r="A9910" t="s">
        <v>10442</v>
      </c>
    </row>
    <row r="9911" spans="1:1">
      <c r="A9911" t="s">
        <v>10443</v>
      </c>
    </row>
    <row r="9912" spans="1:1">
      <c r="A9912" t="s">
        <v>10444</v>
      </c>
    </row>
    <row r="9913" spans="1:1">
      <c r="A9913" t="s">
        <v>10445</v>
      </c>
    </row>
    <row r="9914" spans="1:1">
      <c r="A9914" t="s">
        <v>10446</v>
      </c>
    </row>
    <row r="9915" spans="1:1">
      <c r="A9915" t="s">
        <v>10447</v>
      </c>
    </row>
    <row r="9916" spans="1:1">
      <c r="A9916" t="s">
        <v>10448</v>
      </c>
    </row>
    <row r="9917" spans="1:1">
      <c r="A9917" t="s">
        <v>10449</v>
      </c>
    </row>
    <row r="9918" spans="1:1">
      <c r="A9918" t="s">
        <v>10450</v>
      </c>
    </row>
    <row r="9919" spans="1:1">
      <c r="A9919" t="s">
        <v>10451</v>
      </c>
    </row>
    <row r="9920" spans="1:1">
      <c r="A9920" t="s">
        <v>10452</v>
      </c>
    </row>
    <row r="9921" spans="1:1">
      <c r="A9921" t="s">
        <v>10453</v>
      </c>
    </row>
    <row r="9922" spans="1:1">
      <c r="A9922" t="s">
        <v>10454</v>
      </c>
    </row>
    <row r="9923" spans="1:1">
      <c r="A9923" t="s">
        <v>10455</v>
      </c>
    </row>
    <row r="9924" spans="1:1">
      <c r="A9924" t="s">
        <v>10456</v>
      </c>
    </row>
    <row r="9925" spans="1:1">
      <c r="A9925" t="s">
        <v>10457</v>
      </c>
    </row>
    <row r="9926" spans="1:1">
      <c r="A9926" t="s">
        <v>10458</v>
      </c>
    </row>
    <row r="9927" spans="1:1">
      <c r="A9927" t="s">
        <v>10459</v>
      </c>
    </row>
    <row r="9928" spans="1:1">
      <c r="A9928" t="s">
        <v>10460</v>
      </c>
    </row>
    <row r="9929" spans="1:1">
      <c r="A9929" t="s">
        <v>10461</v>
      </c>
    </row>
    <row r="9930" spans="1:1">
      <c r="A9930" t="s">
        <v>10462</v>
      </c>
    </row>
    <row r="9931" spans="1:1">
      <c r="A9931" t="s">
        <v>10463</v>
      </c>
    </row>
    <row r="9932" spans="1:1">
      <c r="A9932" t="s">
        <v>10464</v>
      </c>
    </row>
    <row r="9933" spans="1:1">
      <c r="A9933" t="s">
        <v>10465</v>
      </c>
    </row>
    <row r="9934" spans="1:1">
      <c r="A9934" t="s">
        <v>10466</v>
      </c>
    </row>
    <row r="9935" spans="1:1">
      <c r="A9935" t="s">
        <v>10467</v>
      </c>
    </row>
    <row r="9936" spans="1:1">
      <c r="A9936" t="s">
        <v>10468</v>
      </c>
    </row>
    <row r="9937" spans="1:1">
      <c r="A9937" t="s">
        <v>10469</v>
      </c>
    </row>
    <row r="9938" spans="1:1">
      <c r="A9938" t="s">
        <v>10470</v>
      </c>
    </row>
    <row r="9939" spans="1:1">
      <c r="A9939" t="s">
        <v>10471</v>
      </c>
    </row>
    <row r="9940" spans="1:1">
      <c r="A9940" t="s">
        <v>10472</v>
      </c>
    </row>
    <row r="9941" spans="1:1">
      <c r="A9941" t="s">
        <v>10473</v>
      </c>
    </row>
    <row r="9942" spans="1:1">
      <c r="A9942" t="s">
        <v>10474</v>
      </c>
    </row>
    <row r="9943" spans="1:1">
      <c r="A9943" t="s">
        <v>10475</v>
      </c>
    </row>
    <row r="9944" spans="1:1">
      <c r="A9944" t="s">
        <v>10476</v>
      </c>
    </row>
    <row r="9945" spans="1:1">
      <c r="A9945" t="s">
        <v>10477</v>
      </c>
    </row>
    <row r="9946" spans="1:1">
      <c r="A9946" t="s">
        <v>10478</v>
      </c>
    </row>
    <row r="9947" spans="1:1">
      <c r="A9947" t="s">
        <v>10479</v>
      </c>
    </row>
    <row r="9948" spans="1:1">
      <c r="A9948" t="s">
        <v>10480</v>
      </c>
    </row>
    <row r="9949" spans="1:1">
      <c r="A9949" t="s">
        <v>10481</v>
      </c>
    </row>
    <row r="9950" spans="1:1">
      <c r="A9950" t="s">
        <v>10482</v>
      </c>
    </row>
    <row r="9951" spans="1:1">
      <c r="A9951" t="s">
        <v>10483</v>
      </c>
    </row>
    <row r="9952" spans="1:1">
      <c r="A9952" t="s">
        <v>10484</v>
      </c>
    </row>
    <row r="9953" spans="1:1">
      <c r="A9953" t="s">
        <v>10485</v>
      </c>
    </row>
    <row r="9954" spans="1:1">
      <c r="A9954" t="s">
        <v>10486</v>
      </c>
    </row>
    <row r="9955" spans="1:1">
      <c r="A9955" t="s">
        <v>10487</v>
      </c>
    </row>
    <row r="9956" spans="1:1">
      <c r="A9956" t="s">
        <v>10488</v>
      </c>
    </row>
    <row r="9957" spans="1:1">
      <c r="A9957" t="s">
        <v>10489</v>
      </c>
    </row>
    <row r="9958" spans="1:1">
      <c r="A9958" t="s">
        <v>10490</v>
      </c>
    </row>
    <row r="9959" spans="1:1">
      <c r="A9959" t="s">
        <v>10491</v>
      </c>
    </row>
    <row r="9960" spans="1:1">
      <c r="A9960" t="s">
        <v>10492</v>
      </c>
    </row>
    <row r="9961" spans="1:1">
      <c r="A9961" t="s">
        <v>10493</v>
      </c>
    </row>
    <row r="9962" spans="1:1">
      <c r="A9962" t="s">
        <v>10494</v>
      </c>
    </row>
    <row r="9963" spans="1:1">
      <c r="A9963" t="s">
        <v>10495</v>
      </c>
    </row>
    <row r="9964" spans="1:1">
      <c r="A9964" t="s">
        <v>10496</v>
      </c>
    </row>
    <row r="9965" spans="1:1">
      <c r="A9965" t="s">
        <v>10497</v>
      </c>
    </row>
    <row r="9966" spans="1:1">
      <c r="A9966" t="s">
        <v>10498</v>
      </c>
    </row>
    <row r="9967" spans="1:1">
      <c r="A9967" t="s">
        <v>10499</v>
      </c>
    </row>
    <row r="9968" spans="1:1">
      <c r="A9968" t="s">
        <v>10500</v>
      </c>
    </row>
    <row r="9969" spans="1:1">
      <c r="A9969" t="s">
        <v>10501</v>
      </c>
    </row>
    <row r="9970" spans="1:1">
      <c r="A9970" t="s">
        <v>10502</v>
      </c>
    </row>
    <row r="9971" spans="1:1">
      <c r="A9971" t="s">
        <v>10503</v>
      </c>
    </row>
    <row r="9972" spans="1:1">
      <c r="A9972" t="s">
        <v>10504</v>
      </c>
    </row>
    <row r="9973" spans="1:1">
      <c r="A9973" t="s">
        <v>10505</v>
      </c>
    </row>
    <row r="9974" spans="1:1">
      <c r="A9974" t="s">
        <v>10506</v>
      </c>
    </row>
    <row r="9975" spans="1:1">
      <c r="A9975" t="s">
        <v>10507</v>
      </c>
    </row>
    <row r="9976" spans="1:1">
      <c r="A9976" t="s">
        <v>10508</v>
      </c>
    </row>
    <row r="9977" spans="1:1">
      <c r="A9977" t="s">
        <v>10509</v>
      </c>
    </row>
    <row r="9978" spans="1:1">
      <c r="A9978" t="s">
        <v>10510</v>
      </c>
    </row>
    <row r="9979" spans="1:1">
      <c r="A9979" t="s">
        <v>10511</v>
      </c>
    </row>
    <row r="9980" spans="1:1">
      <c r="A9980" t="s">
        <v>10512</v>
      </c>
    </row>
    <row r="9981" spans="1:1">
      <c r="A9981" t="s">
        <v>10513</v>
      </c>
    </row>
    <row r="9982" spans="1:1">
      <c r="A9982" t="s">
        <v>10514</v>
      </c>
    </row>
    <row r="9983" spans="1:1">
      <c r="A9983" t="s">
        <v>10515</v>
      </c>
    </row>
    <row r="9984" spans="1:1">
      <c r="A9984" t="s">
        <v>10516</v>
      </c>
    </row>
    <row r="9985" spans="1:1">
      <c r="A9985" t="s">
        <v>10517</v>
      </c>
    </row>
    <row r="9986" spans="1:1">
      <c r="A9986" t="s">
        <v>10518</v>
      </c>
    </row>
    <row r="9987" spans="1:1">
      <c r="A9987" t="s">
        <v>10519</v>
      </c>
    </row>
    <row r="9988" spans="1:1">
      <c r="A9988" t="s">
        <v>10520</v>
      </c>
    </row>
    <row r="9989" spans="1:1">
      <c r="A9989" t="s">
        <v>10521</v>
      </c>
    </row>
    <row r="9990" spans="1:1">
      <c r="A9990" t="s">
        <v>10522</v>
      </c>
    </row>
    <row r="9991" spans="1:1">
      <c r="A9991" t="s">
        <v>10523</v>
      </c>
    </row>
    <row r="9992" spans="1:1">
      <c r="A9992" t="s">
        <v>10524</v>
      </c>
    </row>
    <row r="9993" spans="1:1">
      <c r="A9993" t="s">
        <v>10525</v>
      </c>
    </row>
    <row r="9994" spans="1:1">
      <c r="A9994" t="s">
        <v>10526</v>
      </c>
    </row>
    <row r="9995" spans="1:1">
      <c r="A9995" t="s">
        <v>10527</v>
      </c>
    </row>
    <row r="9996" spans="1:1">
      <c r="A9996" t="s">
        <v>10528</v>
      </c>
    </row>
    <row r="9997" spans="1:1">
      <c r="A9997" t="s">
        <v>10529</v>
      </c>
    </row>
    <row r="9998" spans="1:1">
      <c r="A9998" t="s">
        <v>10530</v>
      </c>
    </row>
    <row r="9999" spans="1:1">
      <c r="A9999" t="s">
        <v>10531</v>
      </c>
    </row>
    <row r="10000" spans="1:1">
      <c r="A10000" t="s">
        <v>10532</v>
      </c>
    </row>
    <row r="10001" spans="1:1">
      <c r="A10001" t="s">
        <v>10533</v>
      </c>
    </row>
    <row r="10002" spans="1:1">
      <c r="A10002" t="s">
        <v>10534</v>
      </c>
    </row>
    <row r="10003" spans="1:1">
      <c r="A10003" t="s">
        <v>10535</v>
      </c>
    </row>
    <row r="10004" spans="1:1">
      <c r="A10004" t="s">
        <v>10536</v>
      </c>
    </row>
    <row r="10005" spans="1:1">
      <c r="A10005" t="s">
        <v>10537</v>
      </c>
    </row>
    <row r="10006" spans="1:1">
      <c r="A10006" t="s">
        <v>10538</v>
      </c>
    </row>
    <row r="10007" spans="1:1">
      <c r="A10007" t="s">
        <v>10539</v>
      </c>
    </row>
    <row r="10008" spans="1:1">
      <c r="A10008" t="s">
        <v>10540</v>
      </c>
    </row>
    <row r="10009" spans="1:1">
      <c r="A10009" t="s">
        <v>10541</v>
      </c>
    </row>
    <row r="10010" spans="1:1">
      <c r="A10010" t="s">
        <v>10542</v>
      </c>
    </row>
    <row r="10011" spans="1:1">
      <c r="A10011" t="s">
        <v>10543</v>
      </c>
    </row>
    <row r="10012" spans="1:1">
      <c r="A10012" t="s">
        <v>10544</v>
      </c>
    </row>
    <row r="10013" spans="1:1">
      <c r="A10013" t="s">
        <v>10545</v>
      </c>
    </row>
    <row r="10014" spans="1:1">
      <c r="A10014" t="s">
        <v>10546</v>
      </c>
    </row>
    <row r="10015" spans="1:1">
      <c r="A10015" t="s">
        <v>10547</v>
      </c>
    </row>
    <row r="10016" spans="1:1">
      <c r="A10016" t="s">
        <v>10548</v>
      </c>
    </row>
    <row r="10017" spans="1:1">
      <c r="A10017" t="s">
        <v>10549</v>
      </c>
    </row>
    <row r="10018" spans="1:1">
      <c r="A10018" t="s">
        <v>10550</v>
      </c>
    </row>
    <row r="10019" spans="1:1">
      <c r="A10019" t="s">
        <v>10551</v>
      </c>
    </row>
    <row r="10020" spans="1:1">
      <c r="A10020" t="s">
        <v>10552</v>
      </c>
    </row>
    <row r="10021" spans="1:1">
      <c r="A10021" t="s">
        <v>10553</v>
      </c>
    </row>
    <row r="10022" spans="1:1">
      <c r="A10022" t="s">
        <v>10554</v>
      </c>
    </row>
    <row r="10023" spans="1:1">
      <c r="A10023" t="s">
        <v>10555</v>
      </c>
    </row>
    <row r="10024" spans="1:1">
      <c r="A10024" t="s">
        <v>10556</v>
      </c>
    </row>
    <row r="10025" spans="1:1">
      <c r="A10025" t="s">
        <v>10557</v>
      </c>
    </row>
    <row r="10026" spans="1:1">
      <c r="A10026" t="s">
        <v>10558</v>
      </c>
    </row>
    <row r="10027" spans="1:1">
      <c r="A10027" t="s">
        <v>10559</v>
      </c>
    </row>
    <row r="10028" spans="1:1">
      <c r="A10028" t="s">
        <v>10560</v>
      </c>
    </row>
    <row r="10029" spans="1:1">
      <c r="A10029" t="s">
        <v>10561</v>
      </c>
    </row>
    <row r="10030" spans="1:1">
      <c r="A10030" t="s">
        <v>10562</v>
      </c>
    </row>
    <row r="10031" spans="1:1">
      <c r="A10031" t="s">
        <v>10563</v>
      </c>
    </row>
    <row r="10032" spans="1:1">
      <c r="A10032" t="s">
        <v>10564</v>
      </c>
    </row>
    <row r="10033" spans="1:1">
      <c r="A10033" t="s">
        <v>10565</v>
      </c>
    </row>
    <row r="10034" spans="1:1">
      <c r="A10034" t="s">
        <v>10566</v>
      </c>
    </row>
    <row r="10035" spans="1:1">
      <c r="A10035" t="s">
        <v>10567</v>
      </c>
    </row>
    <row r="10036" spans="1:1">
      <c r="A10036" t="s">
        <v>10568</v>
      </c>
    </row>
    <row r="10037" spans="1:1">
      <c r="A10037" t="s">
        <v>10569</v>
      </c>
    </row>
    <row r="10038" spans="1:1">
      <c r="A10038" t="s">
        <v>10570</v>
      </c>
    </row>
    <row r="10039" spans="1:1">
      <c r="A10039" t="s">
        <v>10571</v>
      </c>
    </row>
    <row r="10040" spans="1:1">
      <c r="A10040" t="s">
        <v>10572</v>
      </c>
    </row>
    <row r="10041" spans="1:1">
      <c r="A10041" t="s">
        <v>10573</v>
      </c>
    </row>
    <row r="10042" spans="1:1">
      <c r="A10042" t="s">
        <v>10574</v>
      </c>
    </row>
    <row r="10043" spans="1:1">
      <c r="A10043" t="s">
        <v>10575</v>
      </c>
    </row>
    <row r="10044" spans="1:1">
      <c r="A10044" t="s">
        <v>10576</v>
      </c>
    </row>
    <row r="10045" spans="1:1">
      <c r="A10045" t="s">
        <v>10577</v>
      </c>
    </row>
    <row r="10046" spans="1:1">
      <c r="A10046" t="s">
        <v>10578</v>
      </c>
    </row>
    <row r="10047" spans="1:1">
      <c r="A10047" t="s">
        <v>10579</v>
      </c>
    </row>
    <row r="10048" spans="1:1">
      <c r="A10048" t="s">
        <v>10580</v>
      </c>
    </row>
    <row r="10049" spans="1:1">
      <c r="A10049" t="s">
        <v>10581</v>
      </c>
    </row>
    <row r="10050" spans="1:1">
      <c r="A10050" t="s">
        <v>10582</v>
      </c>
    </row>
    <row r="10051" spans="1:1">
      <c r="A10051" t="s">
        <v>10583</v>
      </c>
    </row>
    <row r="10052" spans="1:1">
      <c r="A10052" t="s">
        <v>10584</v>
      </c>
    </row>
    <row r="10053" spans="1:1">
      <c r="A10053" t="s">
        <v>10585</v>
      </c>
    </row>
    <row r="10054" spans="1:1">
      <c r="A10054" t="s">
        <v>10586</v>
      </c>
    </row>
    <row r="10055" spans="1:1">
      <c r="A10055" t="s">
        <v>10587</v>
      </c>
    </row>
    <row r="10056" spans="1:1">
      <c r="A10056" t="s">
        <v>10588</v>
      </c>
    </row>
    <row r="10057" spans="1:1">
      <c r="A10057" t="s">
        <v>10589</v>
      </c>
    </row>
    <row r="10058" spans="1:1">
      <c r="A10058" t="s">
        <v>10590</v>
      </c>
    </row>
    <row r="10059" spans="1:1">
      <c r="A10059" t="s">
        <v>10591</v>
      </c>
    </row>
    <row r="10060" spans="1:1">
      <c r="A10060" t="s">
        <v>10592</v>
      </c>
    </row>
    <row r="10061" spans="1:1">
      <c r="A10061" t="s">
        <v>10593</v>
      </c>
    </row>
    <row r="10062" spans="1:1">
      <c r="A10062" t="s">
        <v>10594</v>
      </c>
    </row>
    <row r="10063" spans="1:1">
      <c r="A10063" t="s">
        <v>10595</v>
      </c>
    </row>
    <row r="10064" spans="1:1">
      <c r="A10064" t="s">
        <v>10596</v>
      </c>
    </row>
    <row r="10065" spans="1:1">
      <c r="A10065" t="s">
        <v>10597</v>
      </c>
    </row>
    <row r="10066" spans="1:1">
      <c r="A10066" t="s">
        <v>10598</v>
      </c>
    </row>
    <row r="10067" spans="1:1">
      <c r="A10067" t="s">
        <v>10599</v>
      </c>
    </row>
    <row r="10068" spans="1:1">
      <c r="A10068" t="s">
        <v>10600</v>
      </c>
    </row>
    <row r="10069" spans="1:1">
      <c r="A10069" t="s">
        <v>10601</v>
      </c>
    </row>
    <row r="10070" spans="1:1">
      <c r="A10070" t="s">
        <v>10602</v>
      </c>
    </row>
    <row r="10071" spans="1:1">
      <c r="A10071" t="s">
        <v>10603</v>
      </c>
    </row>
    <row r="10072" spans="1:1">
      <c r="A10072" t="s">
        <v>10604</v>
      </c>
    </row>
    <row r="10073" spans="1:1">
      <c r="A10073" t="s">
        <v>10605</v>
      </c>
    </row>
    <row r="10074" spans="1:1">
      <c r="A10074" t="s">
        <v>10606</v>
      </c>
    </row>
    <row r="10075" spans="1:1">
      <c r="A10075" t="s">
        <v>10607</v>
      </c>
    </row>
    <row r="10076" spans="1:1">
      <c r="A10076" t="s">
        <v>10608</v>
      </c>
    </row>
    <row r="10077" spans="1:1">
      <c r="A10077" t="s">
        <v>10609</v>
      </c>
    </row>
    <row r="10078" spans="1:1">
      <c r="A10078" t="s">
        <v>10610</v>
      </c>
    </row>
    <row r="10079" spans="1:1">
      <c r="A10079" t="s">
        <v>10611</v>
      </c>
    </row>
    <row r="10080" spans="1:1">
      <c r="A10080" t="s">
        <v>10612</v>
      </c>
    </row>
    <row r="10081" spans="1:1">
      <c r="A10081" t="s">
        <v>10613</v>
      </c>
    </row>
    <row r="10082" spans="1:1">
      <c r="A10082" t="s">
        <v>10614</v>
      </c>
    </row>
    <row r="10083" spans="1:1">
      <c r="A10083" t="s">
        <v>10615</v>
      </c>
    </row>
    <row r="10084" spans="1:1">
      <c r="A10084" t="s">
        <v>10616</v>
      </c>
    </row>
    <row r="10085" spans="1:1">
      <c r="A10085" t="s">
        <v>10617</v>
      </c>
    </row>
    <row r="10086" spans="1:1">
      <c r="A10086" t="s">
        <v>10618</v>
      </c>
    </row>
    <row r="10087" spans="1:1">
      <c r="A10087" t="s">
        <v>10619</v>
      </c>
    </row>
    <row r="10088" spans="1:1">
      <c r="A10088" t="s">
        <v>10620</v>
      </c>
    </row>
    <row r="10089" spans="1:1">
      <c r="A10089" t="s">
        <v>10621</v>
      </c>
    </row>
    <row r="10090" spans="1:1">
      <c r="A10090" t="s">
        <v>10622</v>
      </c>
    </row>
    <row r="10091" spans="1:1">
      <c r="A10091" t="s">
        <v>10623</v>
      </c>
    </row>
    <row r="10092" spans="1:1">
      <c r="A10092" t="s">
        <v>10624</v>
      </c>
    </row>
    <row r="10093" spans="1:1">
      <c r="A10093" t="s">
        <v>10625</v>
      </c>
    </row>
    <row r="10094" spans="1:1">
      <c r="A10094" t="s">
        <v>10626</v>
      </c>
    </row>
    <row r="10095" spans="1:1">
      <c r="A10095" t="s">
        <v>10627</v>
      </c>
    </row>
    <row r="10096" spans="1:1">
      <c r="A10096" t="s">
        <v>10628</v>
      </c>
    </row>
    <row r="10097" spans="1:1">
      <c r="A10097" t="s">
        <v>10629</v>
      </c>
    </row>
    <row r="10098" spans="1:1">
      <c r="A10098" t="s">
        <v>10630</v>
      </c>
    </row>
    <row r="10099" spans="1:1">
      <c r="A10099" t="s">
        <v>10631</v>
      </c>
    </row>
    <row r="10100" spans="1:1">
      <c r="A10100" t="s">
        <v>10632</v>
      </c>
    </row>
    <row r="10101" spans="1:1">
      <c r="A10101" t="s">
        <v>10633</v>
      </c>
    </row>
    <row r="10102" spans="1:1">
      <c r="A10102" t="s">
        <v>10634</v>
      </c>
    </row>
    <row r="10103" spans="1:1">
      <c r="A10103" t="s">
        <v>10635</v>
      </c>
    </row>
    <row r="10104" spans="1:1">
      <c r="A10104" t="s">
        <v>10636</v>
      </c>
    </row>
    <row r="10105" spans="1:1">
      <c r="A10105" t="s">
        <v>10637</v>
      </c>
    </row>
    <row r="10106" spans="1:1">
      <c r="A10106" t="s">
        <v>10638</v>
      </c>
    </row>
    <row r="10107" spans="1:1">
      <c r="A10107" t="s">
        <v>10639</v>
      </c>
    </row>
    <row r="10108" spans="1:1">
      <c r="A10108" t="s">
        <v>10640</v>
      </c>
    </row>
    <row r="10109" spans="1:1">
      <c r="A10109" t="s">
        <v>10641</v>
      </c>
    </row>
    <row r="10110" spans="1:1">
      <c r="A10110" t="s">
        <v>10642</v>
      </c>
    </row>
    <row r="10111" spans="1:1">
      <c r="A10111" t="s">
        <v>10643</v>
      </c>
    </row>
    <row r="10112" spans="1:1">
      <c r="A10112" t="s">
        <v>10644</v>
      </c>
    </row>
    <row r="10113" spans="1:1">
      <c r="A10113" t="s">
        <v>10645</v>
      </c>
    </row>
    <row r="10114" spans="1:1">
      <c r="A10114" t="s">
        <v>10646</v>
      </c>
    </row>
    <row r="10115" spans="1:1">
      <c r="A10115" t="s">
        <v>10647</v>
      </c>
    </row>
    <row r="10116" spans="1:1">
      <c r="A10116" t="s">
        <v>10648</v>
      </c>
    </row>
    <row r="10117" spans="1:1">
      <c r="A10117" t="s">
        <v>10649</v>
      </c>
    </row>
    <row r="10118" spans="1:1">
      <c r="A10118" t="s">
        <v>10650</v>
      </c>
    </row>
    <row r="10119" spans="1:1">
      <c r="A10119" t="s">
        <v>10651</v>
      </c>
    </row>
    <row r="10120" spans="1:1">
      <c r="A10120" t="s">
        <v>10652</v>
      </c>
    </row>
    <row r="10121" spans="1:1">
      <c r="A10121" t="s">
        <v>10653</v>
      </c>
    </row>
    <row r="10122" spans="1:1">
      <c r="A10122" t="s">
        <v>10654</v>
      </c>
    </row>
    <row r="10123" spans="1:1">
      <c r="A10123" t="s">
        <v>10655</v>
      </c>
    </row>
    <row r="10124" spans="1:1">
      <c r="A10124" t="s">
        <v>10656</v>
      </c>
    </row>
    <row r="10125" spans="1:1">
      <c r="A10125" t="s">
        <v>10657</v>
      </c>
    </row>
    <row r="10126" spans="1:1">
      <c r="A10126" t="s">
        <v>10658</v>
      </c>
    </row>
    <row r="10127" spans="1:1">
      <c r="A10127" t="s">
        <v>10659</v>
      </c>
    </row>
    <row r="10128" spans="1:1">
      <c r="A10128" t="s">
        <v>10660</v>
      </c>
    </row>
    <row r="10129" spans="1:1">
      <c r="A10129" t="s">
        <v>10661</v>
      </c>
    </row>
    <row r="10130" spans="1:1">
      <c r="A10130" t="s">
        <v>10662</v>
      </c>
    </row>
    <row r="10131" spans="1:1">
      <c r="A10131" t="s">
        <v>10663</v>
      </c>
    </row>
    <row r="10132" spans="1:1">
      <c r="A10132" t="s">
        <v>10664</v>
      </c>
    </row>
    <row r="10133" spans="1:1">
      <c r="A10133" t="s">
        <v>10665</v>
      </c>
    </row>
    <row r="10134" spans="1:1">
      <c r="A10134" t="s">
        <v>10666</v>
      </c>
    </row>
    <row r="10135" spans="1:1">
      <c r="A10135" t="s">
        <v>10667</v>
      </c>
    </row>
    <row r="10136" spans="1:1">
      <c r="A10136" t="s">
        <v>10668</v>
      </c>
    </row>
    <row r="10137" spans="1:1">
      <c r="A10137" t="s">
        <v>10669</v>
      </c>
    </row>
    <row r="10138" spans="1:1">
      <c r="A10138" t="s">
        <v>10670</v>
      </c>
    </row>
    <row r="10139" spans="1:1">
      <c r="A10139" t="s">
        <v>10671</v>
      </c>
    </row>
    <row r="10140" spans="1:1">
      <c r="A10140" t="s">
        <v>10672</v>
      </c>
    </row>
    <row r="10141" spans="1:1">
      <c r="A10141" t="s">
        <v>10673</v>
      </c>
    </row>
    <row r="10142" spans="1:1">
      <c r="A10142" t="s">
        <v>10674</v>
      </c>
    </row>
    <row r="10143" spans="1:1">
      <c r="A10143" t="s">
        <v>10675</v>
      </c>
    </row>
    <row r="10144" spans="1:1">
      <c r="A10144" t="s">
        <v>10676</v>
      </c>
    </row>
    <row r="10145" spans="1:1">
      <c r="A10145" t="s">
        <v>10677</v>
      </c>
    </row>
    <row r="10146" spans="1:1">
      <c r="A10146" t="s">
        <v>10678</v>
      </c>
    </row>
    <row r="10147" spans="1:1">
      <c r="A10147" t="s">
        <v>10679</v>
      </c>
    </row>
    <row r="10148" spans="1:1">
      <c r="A10148" t="s">
        <v>10680</v>
      </c>
    </row>
    <row r="10149" spans="1:1">
      <c r="A10149" t="s">
        <v>10681</v>
      </c>
    </row>
    <row r="10150" spans="1:1">
      <c r="A10150" t="s">
        <v>10682</v>
      </c>
    </row>
    <row r="10151" spans="1:1">
      <c r="A10151" t="s">
        <v>10683</v>
      </c>
    </row>
    <row r="10152" spans="1:1">
      <c r="A10152" t="s">
        <v>10684</v>
      </c>
    </row>
    <row r="10153" spans="1:1">
      <c r="A10153" t="s">
        <v>10685</v>
      </c>
    </row>
    <row r="10154" spans="1:1">
      <c r="A10154" t="s">
        <v>10686</v>
      </c>
    </row>
    <row r="10155" spans="1:1">
      <c r="A10155" t="s">
        <v>10687</v>
      </c>
    </row>
    <row r="10156" spans="1:1">
      <c r="A10156" t="s">
        <v>10688</v>
      </c>
    </row>
    <row r="10157" spans="1:1">
      <c r="A10157" t="s">
        <v>10689</v>
      </c>
    </row>
    <row r="10158" spans="1:1">
      <c r="A10158" t="s">
        <v>10690</v>
      </c>
    </row>
    <row r="10159" spans="1:1">
      <c r="A10159" t="s">
        <v>10691</v>
      </c>
    </row>
    <row r="10160" spans="1:1">
      <c r="A10160" t="s">
        <v>10692</v>
      </c>
    </row>
    <row r="10161" spans="1:1">
      <c r="A10161" t="s">
        <v>10693</v>
      </c>
    </row>
    <row r="10162" spans="1:1">
      <c r="A10162" t="s">
        <v>10694</v>
      </c>
    </row>
    <row r="10163" spans="1:1">
      <c r="A10163" t="s">
        <v>10695</v>
      </c>
    </row>
    <row r="10164" spans="1:1">
      <c r="A10164" t="s">
        <v>10696</v>
      </c>
    </row>
    <row r="10165" spans="1:1">
      <c r="A10165" t="s">
        <v>10697</v>
      </c>
    </row>
    <row r="10166" spans="1:1">
      <c r="A10166" t="s">
        <v>10698</v>
      </c>
    </row>
    <row r="10167" spans="1:1">
      <c r="A10167" t="s">
        <v>10699</v>
      </c>
    </row>
    <row r="10168" spans="1:1">
      <c r="A10168" t="s">
        <v>10700</v>
      </c>
    </row>
    <row r="10169" spans="1:1">
      <c r="A10169" t="s">
        <v>10701</v>
      </c>
    </row>
    <row r="10170" spans="1:1">
      <c r="A10170" t="s">
        <v>10702</v>
      </c>
    </row>
    <row r="10171" spans="1:1">
      <c r="A10171" t="s">
        <v>10703</v>
      </c>
    </row>
    <row r="10172" spans="1:1">
      <c r="A10172" t="s">
        <v>10704</v>
      </c>
    </row>
    <row r="10173" spans="1:1">
      <c r="A10173" t="s">
        <v>10705</v>
      </c>
    </row>
    <row r="10174" spans="1:1">
      <c r="A10174" t="s">
        <v>10706</v>
      </c>
    </row>
    <row r="10175" spans="1:1">
      <c r="A10175" t="s">
        <v>10707</v>
      </c>
    </row>
    <row r="10176" spans="1:1">
      <c r="A10176" t="s">
        <v>10708</v>
      </c>
    </row>
    <row r="10177" spans="1:1">
      <c r="A10177" t="s">
        <v>10709</v>
      </c>
    </row>
    <row r="10178" spans="1:1">
      <c r="A10178" t="s">
        <v>10710</v>
      </c>
    </row>
    <row r="10179" spans="1:1">
      <c r="A10179" t="s">
        <v>10711</v>
      </c>
    </row>
    <row r="10180" spans="1:1">
      <c r="A10180" t="s">
        <v>10712</v>
      </c>
    </row>
    <row r="10181" spans="1:1">
      <c r="A10181" t="s">
        <v>10713</v>
      </c>
    </row>
    <row r="10182" spans="1:1">
      <c r="A10182" t="s">
        <v>10714</v>
      </c>
    </row>
    <row r="10183" spans="1:1">
      <c r="A10183" t="s">
        <v>10715</v>
      </c>
    </row>
    <row r="10184" spans="1:1">
      <c r="A10184" t="s">
        <v>10716</v>
      </c>
    </row>
    <row r="10185" spans="1:1">
      <c r="A10185" t="s">
        <v>10717</v>
      </c>
    </row>
    <row r="10186" spans="1:1">
      <c r="A10186" t="s">
        <v>10718</v>
      </c>
    </row>
    <row r="10187" spans="1:1">
      <c r="A10187" t="s">
        <v>10719</v>
      </c>
    </row>
    <row r="10188" spans="1:1">
      <c r="A10188" t="s">
        <v>10720</v>
      </c>
    </row>
    <row r="10189" spans="1:1">
      <c r="A10189" t="s">
        <v>10721</v>
      </c>
    </row>
    <row r="10190" spans="1:1">
      <c r="A10190" t="s">
        <v>10722</v>
      </c>
    </row>
    <row r="10191" spans="1:1">
      <c r="A10191" t="s">
        <v>10723</v>
      </c>
    </row>
    <row r="10192" spans="1:1">
      <c r="A10192" t="s">
        <v>10724</v>
      </c>
    </row>
    <row r="10193" spans="1:1">
      <c r="A10193" t="s">
        <v>10725</v>
      </c>
    </row>
    <row r="10194" spans="1:1">
      <c r="A10194" t="s">
        <v>10726</v>
      </c>
    </row>
    <row r="10195" spans="1:1">
      <c r="A10195" t="s">
        <v>10727</v>
      </c>
    </row>
    <row r="10196" spans="1:1">
      <c r="A10196" t="s">
        <v>10728</v>
      </c>
    </row>
    <row r="10197" spans="1:1">
      <c r="A10197" t="s">
        <v>10729</v>
      </c>
    </row>
    <row r="10198" spans="1:1">
      <c r="A10198" t="s">
        <v>10730</v>
      </c>
    </row>
    <row r="10199" spans="1:1">
      <c r="A10199" t="s">
        <v>10731</v>
      </c>
    </row>
    <row r="10200" spans="1:1">
      <c r="A10200" t="s">
        <v>10732</v>
      </c>
    </row>
    <row r="10201" spans="1:1">
      <c r="A10201" t="s">
        <v>10733</v>
      </c>
    </row>
    <row r="10202" spans="1:1">
      <c r="A10202" t="s">
        <v>10734</v>
      </c>
    </row>
    <row r="10203" spans="1:1">
      <c r="A10203" t="s">
        <v>10735</v>
      </c>
    </row>
    <row r="10204" spans="1:1">
      <c r="A10204" t="s">
        <v>10736</v>
      </c>
    </row>
    <row r="10205" spans="1:1">
      <c r="A10205" t="s">
        <v>10737</v>
      </c>
    </row>
    <row r="10206" spans="1:1">
      <c r="A10206" t="s">
        <v>10738</v>
      </c>
    </row>
    <row r="10207" spans="1:1">
      <c r="A10207" t="s">
        <v>10739</v>
      </c>
    </row>
    <row r="10208" spans="1:1">
      <c r="A10208" t="s">
        <v>10740</v>
      </c>
    </row>
    <row r="10209" spans="1:1">
      <c r="A10209" t="s">
        <v>10741</v>
      </c>
    </row>
    <row r="10210" spans="1:1">
      <c r="A10210" t="s">
        <v>10742</v>
      </c>
    </row>
    <row r="10211" spans="1:1">
      <c r="A10211" t="s">
        <v>10743</v>
      </c>
    </row>
    <row r="10212" spans="1:1">
      <c r="A10212" t="s">
        <v>10744</v>
      </c>
    </row>
    <row r="10213" spans="1:1">
      <c r="A10213" t="s">
        <v>10745</v>
      </c>
    </row>
    <row r="10214" spans="1:1">
      <c r="A10214" t="s">
        <v>10746</v>
      </c>
    </row>
    <row r="10215" spans="1:1">
      <c r="A10215" t="s">
        <v>10747</v>
      </c>
    </row>
    <row r="10216" spans="1:1">
      <c r="A10216" t="s">
        <v>10748</v>
      </c>
    </row>
    <row r="10217" spans="1:1">
      <c r="A10217" t="s">
        <v>10749</v>
      </c>
    </row>
    <row r="10218" spans="1:1">
      <c r="A10218" t="s">
        <v>10750</v>
      </c>
    </row>
    <row r="10219" spans="1:1">
      <c r="A10219" t="s">
        <v>10751</v>
      </c>
    </row>
    <row r="10220" spans="1:1">
      <c r="A10220" t="s">
        <v>10752</v>
      </c>
    </row>
    <row r="10221" spans="1:1">
      <c r="A10221" t="s">
        <v>10753</v>
      </c>
    </row>
    <row r="10222" spans="1:1">
      <c r="A10222" t="s">
        <v>10754</v>
      </c>
    </row>
    <row r="10223" spans="1:1">
      <c r="A10223" t="s">
        <v>10755</v>
      </c>
    </row>
    <row r="10224" spans="1:1">
      <c r="A10224" t="s">
        <v>10756</v>
      </c>
    </row>
    <row r="10225" spans="1:1">
      <c r="A10225" t="s">
        <v>10757</v>
      </c>
    </row>
    <row r="10226" spans="1:1">
      <c r="A10226" t="s">
        <v>10758</v>
      </c>
    </row>
    <row r="10227" spans="1:1">
      <c r="A10227" t="s">
        <v>10759</v>
      </c>
    </row>
    <row r="10228" spans="1:1">
      <c r="A10228" t="s">
        <v>10760</v>
      </c>
    </row>
    <row r="10229" spans="1:1">
      <c r="A10229" t="s">
        <v>10761</v>
      </c>
    </row>
    <row r="10230" spans="1:1">
      <c r="A10230" t="s">
        <v>10762</v>
      </c>
    </row>
    <row r="10231" spans="1:1">
      <c r="A10231" t="s">
        <v>10763</v>
      </c>
    </row>
    <row r="10232" spans="1:1">
      <c r="A10232" t="s">
        <v>10764</v>
      </c>
    </row>
    <row r="10233" spans="1:1">
      <c r="A10233" t="s">
        <v>10765</v>
      </c>
    </row>
    <row r="10234" spans="1:1">
      <c r="A10234" t="s">
        <v>10766</v>
      </c>
    </row>
    <row r="10235" spans="1:1">
      <c r="A10235" t="s">
        <v>10767</v>
      </c>
    </row>
    <row r="10236" spans="1:1">
      <c r="A10236" t="s">
        <v>10768</v>
      </c>
    </row>
    <row r="10237" spans="1:1">
      <c r="A10237" t="s">
        <v>10769</v>
      </c>
    </row>
    <row r="10238" spans="1:1">
      <c r="A10238" t="s">
        <v>10770</v>
      </c>
    </row>
    <row r="10239" spans="1:1">
      <c r="A10239" t="s">
        <v>10771</v>
      </c>
    </row>
    <row r="10240" spans="1:1">
      <c r="A10240" t="s">
        <v>10772</v>
      </c>
    </row>
    <row r="10241" spans="1:1">
      <c r="A10241" t="s">
        <v>10773</v>
      </c>
    </row>
    <row r="10242" spans="1:1">
      <c r="A10242" t="s">
        <v>10774</v>
      </c>
    </row>
    <row r="10243" spans="1:1">
      <c r="A10243" t="s">
        <v>10775</v>
      </c>
    </row>
    <row r="10244" spans="1:1">
      <c r="A10244" t="s">
        <v>10776</v>
      </c>
    </row>
    <row r="10245" spans="1:1">
      <c r="A10245" t="s">
        <v>10777</v>
      </c>
    </row>
    <row r="10246" spans="1:1">
      <c r="A10246" t="s">
        <v>10778</v>
      </c>
    </row>
    <row r="10247" spans="1:1">
      <c r="A10247" t="s">
        <v>10779</v>
      </c>
    </row>
    <row r="10248" spans="1:1">
      <c r="A10248" t="s">
        <v>10780</v>
      </c>
    </row>
    <row r="10249" spans="1:1">
      <c r="A10249" t="s">
        <v>10781</v>
      </c>
    </row>
    <row r="10250" spans="1:1">
      <c r="A10250" t="s">
        <v>10782</v>
      </c>
    </row>
    <row r="10251" spans="1:1">
      <c r="A10251" t="s">
        <v>10783</v>
      </c>
    </row>
    <row r="10252" spans="1:1">
      <c r="A10252" t="s">
        <v>10784</v>
      </c>
    </row>
    <row r="10253" spans="1:1">
      <c r="A10253" t="s">
        <v>10785</v>
      </c>
    </row>
    <row r="10254" spans="1:1">
      <c r="A10254" t="s">
        <v>10786</v>
      </c>
    </row>
    <row r="10255" spans="1:1">
      <c r="A10255" t="s">
        <v>10787</v>
      </c>
    </row>
    <row r="10256" spans="1:1">
      <c r="A10256" t="s">
        <v>10788</v>
      </c>
    </row>
    <row r="10257" spans="1:1">
      <c r="A10257" t="s">
        <v>10789</v>
      </c>
    </row>
    <row r="10258" spans="1:1">
      <c r="A10258" t="s">
        <v>10790</v>
      </c>
    </row>
    <row r="10259" spans="1:1">
      <c r="A10259" t="s">
        <v>10791</v>
      </c>
    </row>
    <row r="10260" spans="1:1">
      <c r="A10260" t="s">
        <v>10792</v>
      </c>
    </row>
    <row r="10261" spans="1:1">
      <c r="A10261" t="s">
        <v>10793</v>
      </c>
    </row>
    <row r="10262" spans="1:1">
      <c r="A10262" t="s">
        <v>10794</v>
      </c>
    </row>
    <row r="10263" spans="1:1">
      <c r="A10263" t="s">
        <v>10795</v>
      </c>
    </row>
    <row r="10264" spans="1:1">
      <c r="A10264" t="s">
        <v>10796</v>
      </c>
    </row>
    <row r="10265" spans="1:1">
      <c r="A10265" t="s">
        <v>10797</v>
      </c>
    </row>
    <row r="10266" spans="1:1">
      <c r="A10266" t="s">
        <v>10798</v>
      </c>
    </row>
    <row r="10267" spans="1:1">
      <c r="A10267" t="s">
        <v>10799</v>
      </c>
    </row>
    <row r="10268" spans="1:1">
      <c r="A10268" t="s">
        <v>10800</v>
      </c>
    </row>
    <row r="10269" spans="1:1">
      <c r="A10269" t="s">
        <v>10801</v>
      </c>
    </row>
    <row r="10270" spans="1:1">
      <c r="A10270" t="s">
        <v>10802</v>
      </c>
    </row>
    <row r="10271" spans="1:1">
      <c r="A10271" t="s">
        <v>10803</v>
      </c>
    </row>
    <row r="10272" spans="1:1">
      <c r="A10272" t="s">
        <v>10804</v>
      </c>
    </row>
    <row r="10273" spans="1:1">
      <c r="A10273" t="s">
        <v>10805</v>
      </c>
    </row>
    <row r="10274" spans="1:1">
      <c r="A10274" t="s">
        <v>10806</v>
      </c>
    </row>
    <row r="10275" spans="1:1">
      <c r="A10275" t="s">
        <v>10807</v>
      </c>
    </row>
    <row r="10276" spans="1:1">
      <c r="A10276" t="s">
        <v>10808</v>
      </c>
    </row>
    <row r="10277" spans="1:1">
      <c r="A10277" t="s">
        <v>10809</v>
      </c>
    </row>
    <row r="10278" spans="1:1">
      <c r="A10278" t="s">
        <v>10810</v>
      </c>
    </row>
    <row r="10279" spans="1:1">
      <c r="A10279" t="s">
        <v>10811</v>
      </c>
    </row>
    <row r="10280" spans="1:1">
      <c r="A10280" t="s">
        <v>10812</v>
      </c>
    </row>
    <row r="10281" spans="1:1">
      <c r="A10281" t="s">
        <v>10813</v>
      </c>
    </row>
    <row r="10282" spans="1:1">
      <c r="A10282" t="s">
        <v>10814</v>
      </c>
    </row>
    <row r="10283" spans="1:1">
      <c r="A10283" t="s">
        <v>10815</v>
      </c>
    </row>
    <row r="10284" spans="1:1">
      <c r="A10284" t="s">
        <v>10816</v>
      </c>
    </row>
    <row r="10285" spans="1:1">
      <c r="A10285" t="s">
        <v>10817</v>
      </c>
    </row>
    <row r="10286" spans="1:1">
      <c r="A10286" t="s">
        <v>10818</v>
      </c>
    </row>
    <row r="10287" spans="1:1">
      <c r="A10287" t="s">
        <v>10819</v>
      </c>
    </row>
    <row r="10288" spans="1:1">
      <c r="A10288" t="s">
        <v>10820</v>
      </c>
    </row>
    <row r="10289" spans="1:1">
      <c r="A10289" t="s">
        <v>10821</v>
      </c>
    </row>
    <row r="10290" spans="1:1">
      <c r="A10290" t="s">
        <v>10822</v>
      </c>
    </row>
    <row r="10291" spans="1:1">
      <c r="A10291" t="s">
        <v>10823</v>
      </c>
    </row>
    <row r="10292" spans="1:1">
      <c r="A10292" t="s">
        <v>10824</v>
      </c>
    </row>
    <row r="10293" spans="1:1">
      <c r="A10293" t="s">
        <v>10825</v>
      </c>
    </row>
    <row r="10294" spans="1:1">
      <c r="A10294" t="s">
        <v>10826</v>
      </c>
    </row>
    <row r="10295" spans="1:1">
      <c r="A10295" t="s">
        <v>10827</v>
      </c>
    </row>
    <row r="10296" spans="1:1">
      <c r="A10296" t="s">
        <v>10828</v>
      </c>
    </row>
    <row r="10297" spans="1:1">
      <c r="A10297" t="s">
        <v>10829</v>
      </c>
    </row>
    <row r="10298" spans="1:1">
      <c r="A10298" t="s">
        <v>10830</v>
      </c>
    </row>
    <row r="10299" spans="1:1">
      <c r="A10299" t="s">
        <v>10831</v>
      </c>
    </row>
    <row r="10300" spans="1:1">
      <c r="A10300" t="s">
        <v>10832</v>
      </c>
    </row>
    <row r="10301" spans="1:1">
      <c r="A10301" t="s">
        <v>10833</v>
      </c>
    </row>
    <row r="10302" spans="1:1">
      <c r="A10302" t="s">
        <v>10834</v>
      </c>
    </row>
    <row r="10303" spans="1:1">
      <c r="A10303" t="s">
        <v>10835</v>
      </c>
    </row>
    <row r="10304" spans="1:1">
      <c r="A10304" t="s">
        <v>10836</v>
      </c>
    </row>
    <row r="10305" spans="1:1">
      <c r="A10305" t="s">
        <v>10837</v>
      </c>
    </row>
    <row r="10306" spans="1:1">
      <c r="A10306" t="s">
        <v>10838</v>
      </c>
    </row>
    <row r="10307" spans="1:1">
      <c r="A10307" t="s">
        <v>10839</v>
      </c>
    </row>
    <row r="10308" spans="1:1">
      <c r="A10308" t="s">
        <v>10840</v>
      </c>
    </row>
    <row r="10309" spans="1:1">
      <c r="A10309" t="s">
        <v>10841</v>
      </c>
    </row>
    <row r="10310" spans="1:1">
      <c r="A10310" t="s">
        <v>10842</v>
      </c>
    </row>
    <row r="10311" spans="1:1">
      <c r="A10311" t="s">
        <v>10843</v>
      </c>
    </row>
    <row r="10312" spans="1:1">
      <c r="A10312" t="s">
        <v>10844</v>
      </c>
    </row>
    <row r="10313" spans="1:1">
      <c r="A10313" t="s">
        <v>10845</v>
      </c>
    </row>
    <row r="10314" spans="1:1">
      <c r="A10314" t="s">
        <v>10846</v>
      </c>
    </row>
    <row r="10315" spans="1:1">
      <c r="A10315" t="s">
        <v>10847</v>
      </c>
    </row>
    <row r="10316" spans="1:1">
      <c r="A10316" t="s">
        <v>10848</v>
      </c>
    </row>
    <row r="10317" spans="1:1">
      <c r="A10317" t="s">
        <v>10849</v>
      </c>
    </row>
    <row r="10318" spans="1:1">
      <c r="A10318" t="s">
        <v>10850</v>
      </c>
    </row>
    <row r="10319" spans="1:1">
      <c r="A10319" t="s">
        <v>10851</v>
      </c>
    </row>
    <row r="10320" spans="1:1">
      <c r="A10320" t="s">
        <v>10852</v>
      </c>
    </row>
    <row r="10321" spans="1:1">
      <c r="A10321" t="s">
        <v>10853</v>
      </c>
    </row>
    <row r="10322" spans="1:1">
      <c r="A10322" t="s">
        <v>10854</v>
      </c>
    </row>
    <row r="10323" spans="1:1">
      <c r="A10323" t="s">
        <v>10855</v>
      </c>
    </row>
    <row r="10324" spans="1:1">
      <c r="A10324" t="s">
        <v>10856</v>
      </c>
    </row>
    <row r="10325" spans="1:1">
      <c r="A10325" t="s">
        <v>10857</v>
      </c>
    </row>
    <row r="10326" spans="1:1">
      <c r="A10326" t="s">
        <v>10858</v>
      </c>
    </row>
    <row r="10327" spans="1:1">
      <c r="A10327" t="s">
        <v>10859</v>
      </c>
    </row>
    <row r="10328" spans="1:1">
      <c r="A10328" t="s">
        <v>10860</v>
      </c>
    </row>
    <row r="10329" spans="1:1">
      <c r="A10329" t="s">
        <v>10861</v>
      </c>
    </row>
    <row r="10330" spans="1:1">
      <c r="A10330" t="s">
        <v>10862</v>
      </c>
    </row>
    <row r="10331" spans="1:1">
      <c r="A10331" t="s">
        <v>10863</v>
      </c>
    </row>
    <row r="10332" spans="1:1">
      <c r="A10332" t="s">
        <v>10864</v>
      </c>
    </row>
    <row r="10333" spans="1:1">
      <c r="A10333" t="s">
        <v>10865</v>
      </c>
    </row>
    <row r="10334" spans="1:1">
      <c r="A10334" t="s">
        <v>10866</v>
      </c>
    </row>
    <row r="10335" spans="1:1">
      <c r="A10335" t="s">
        <v>10867</v>
      </c>
    </row>
    <row r="10336" spans="1:1">
      <c r="A10336" t="s">
        <v>10868</v>
      </c>
    </row>
    <row r="10337" spans="1:1">
      <c r="A10337" t="s">
        <v>10869</v>
      </c>
    </row>
    <row r="10338" spans="1:1">
      <c r="A10338" t="s">
        <v>10870</v>
      </c>
    </row>
    <row r="10339" spans="1:1">
      <c r="A10339" t="s">
        <v>10871</v>
      </c>
    </row>
    <row r="10340" spans="1:1">
      <c r="A10340" t="s">
        <v>10872</v>
      </c>
    </row>
    <row r="10341" spans="1:1">
      <c r="A10341" t="s">
        <v>10873</v>
      </c>
    </row>
    <row r="10342" spans="1:1">
      <c r="A10342" t="s">
        <v>10874</v>
      </c>
    </row>
    <row r="10343" spans="1:1">
      <c r="A10343" t="s">
        <v>10875</v>
      </c>
    </row>
    <row r="10344" spans="1:1">
      <c r="A10344" t="s">
        <v>10876</v>
      </c>
    </row>
    <row r="10345" spans="1:1">
      <c r="A10345" t="s">
        <v>10877</v>
      </c>
    </row>
    <row r="10346" spans="1:1">
      <c r="A10346" t="s">
        <v>10878</v>
      </c>
    </row>
    <row r="10347" spans="1:1">
      <c r="A10347" t="s">
        <v>10879</v>
      </c>
    </row>
    <row r="10348" spans="1:1">
      <c r="A10348" t="s">
        <v>10880</v>
      </c>
    </row>
    <row r="10349" spans="1:1">
      <c r="A10349" t="s">
        <v>10881</v>
      </c>
    </row>
    <row r="10350" spans="1:1">
      <c r="A10350" t="s">
        <v>10882</v>
      </c>
    </row>
    <row r="10351" spans="1:1">
      <c r="A10351" t="s">
        <v>10883</v>
      </c>
    </row>
    <row r="10352" spans="1:1">
      <c r="A10352" t="s">
        <v>10884</v>
      </c>
    </row>
    <row r="10353" spans="1:1">
      <c r="A10353" t="s">
        <v>10885</v>
      </c>
    </row>
    <row r="10354" spans="1:1">
      <c r="A10354" t="s">
        <v>10886</v>
      </c>
    </row>
    <row r="10355" spans="1:1">
      <c r="A10355" t="s">
        <v>10887</v>
      </c>
    </row>
    <row r="10356" spans="1:1">
      <c r="A10356" t="s">
        <v>10888</v>
      </c>
    </row>
    <row r="10357" spans="1:1">
      <c r="A10357" t="s">
        <v>10889</v>
      </c>
    </row>
    <row r="10358" spans="1:1">
      <c r="A10358" t="s">
        <v>10890</v>
      </c>
    </row>
    <row r="10359" spans="1:1">
      <c r="A10359" t="s">
        <v>10891</v>
      </c>
    </row>
    <row r="10360" spans="1:1">
      <c r="A10360" t="s">
        <v>10892</v>
      </c>
    </row>
    <row r="10361" spans="1:1">
      <c r="A10361" t="s">
        <v>10893</v>
      </c>
    </row>
    <row r="10362" spans="1:1">
      <c r="A10362" t="s">
        <v>10894</v>
      </c>
    </row>
    <row r="10363" spans="1:1">
      <c r="A10363" t="s">
        <v>10895</v>
      </c>
    </row>
    <row r="10364" spans="1:1">
      <c r="A10364" t="s">
        <v>10896</v>
      </c>
    </row>
    <row r="10365" spans="1:1">
      <c r="A10365" t="s">
        <v>10897</v>
      </c>
    </row>
    <row r="10366" spans="1:1">
      <c r="A10366" t="s">
        <v>10898</v>
      </c>
    </row>
    <row r="10367" spans="1:1">
      <c r="A10367" t="s">
        <v>10899</v>
      </c>
    </row>
    <row r="10368" spans="1:1">
      <c r="A10368" t="s">
        <v>10900</v>
      </c>
    </row>
    <row r="10369" spans="1:1">
      <c r="A10369" t="s">
        <v>10901</v>
      </c>
    </row>
    <row r="10370" spans="1:1">
      <c r="A10370" t="s">
        <v>10902</v>
      </c>
    </row>
    <row r="10371" spans="1:1">
      <c r="A10371" t="s">
        <v>10903</v>
      </c>
    </row>
    <row r="10372" spans="1:1">
      <c r="A10372" t="s">
        <v>10904</v>
      </c>
    </row>
    <row r="10373" spans="1:1">
      <c r="A10373" t="s">
        <v>10905</v>
      </c>
    </row>
    <row r="10374" spans="1:1">
      <c r="A10374" t="s">
        <v>10906</v>
      </c>
    </row>
    <row r="10375" spans="1:1">
      <c r="A10375" t="s">
        <v>10907</v>
      </c>
    </row>
    <row r="10376" spans="1:1">
      <c r="A10376" t="s">
        <v>10908</v>
      </c>
    </row>
    <row r="10377" spans="1:1">
      <c r="A10377" t="s">
        <v>10909</v>
      </c>
    </row>
    <row r="10378" spans="1:1">
      <c r="A10378" t="s">
        <v>10910</v>
      </c>
    </row>
    <row r="10379" spans="1:1">
      <c r="A10379" t="s">
        <v>10911</v>
      </c>
    </row>
    <row r="10380" spans="1:1">
      <c r="A10380" t="s">
        <v>10912</v>
      </c>
    </row>
    <row r="10381" spans="1:1">
      <c r="A10381" t="s">
        <v>10913</v>
      </c>
    </row>
    <row r="10382" spans="1:1">
      <c r="A10382" t="s">
        <v>10914</v>
      </c>
    </row>
    <row r="10383" spans="1:1">
      <c r="A10383" t="s">
        <v>10915</v>
      </c>
    </row>
    <row r="10384" spans="1:1">
      <c r="A10384" t="s">
        <v>10916</v>
      </c>
    </row>
    <row r="10385" spans="1:1">
      <c r="A10385" t="s">
        <v>10917</v>
      </c>
    </row>
    <row r="10386" spans="1:1">
      <c r="A10386" t="s">
        <v>10918</v>
      </c>
    </row>
    <row r="10387" spans="1:1">
      <c r="A10387" t="s">
        <v>10919</v>
      </c>
    </row>
    <row r="10388" spans="1:1">
      <c r="A10388" t="s">
        <v>10920</v>
      </c>
    </row>
    <row r="10389" spans="1:1">
      <c r="A10389" t="s">
        <v>10921</v>
      </c>
    </row>
    <row r="10390" spans="1:1">
      <c r="A10390" t="s">
        <v>10922</v>
      </c>
    </row>
    <row r="10391" spans="1:1">
      <c r="A10391" t="s">
        <v>10923</v>
      </c>
    </row>
    <row r="10392" spans="1:1">
      <c r="A10392" t="s">
        <v>10924</v>
      </c>
    </row>
    <row r="10393" spans="1:1">
      <c r="A10393" t="s">
        <v>10925</v>
      </c>
    </row>
    <row r="10394" spans="1:1">
      <c r="A10394" t="s">
        <v>10926</v>
      </c>
    </row>
    <row r="10395" spans="1:1">
      <c r="A10395" t="s">
        <v>10927</v>
      </c>
    </row>
    <row r="10396" spans="1:1">
      <c r="A10396" t="s">
        <v>10928</v>
      </c>
    </row>
    <row r="10397" spans="1:1">
      <c r="A10397" t="s">
        <v>10929</v>
      </c>
    </row>
    <row r="10398" spans="1:1">
      <c r="A10398" t="s">
        <v>10930</v>
      </c>
    </row>
    <row r="10399" spans="1:1">
      <c r="A10399" t="s">
        <v>10931</v>
      </c>
    </row>
    <row r="10400" spans="1:1">
      <c r="A10400" t="s">
        <v>10932</v>
      </c>
    </row>
    <row r="10401" spans="1:1">
      <c r="A10401" t="s">
        <v>10933</v>
      </c>
    </row>
    <row r="10402" spans="1:1">
      <c r="A10402" t="s">
        <v>10934</v>
      </c>
    </row>
    <row r="10403" spans="1:1">
      <c r="A10403" t="s">
        <v>10935</v>
      </c>
    </row>
    <row r="10404" spans="1:1">
      <c r="A10404" t="s">
        <v>10936</v>
      </c>
    </row>
    <row r="10405" spans="1:1">
      <c r="A10405" t="s">
        <v>10937</v>
      </c>
    </row>
    <row r="10406" spans="1:1">
      <c r="A10406" t="s">
        <v>10938</v>
      </c>
    </row>
    <row r="10407" spans="1:1">
      <c r="A10407" t="s">
        <v>10939</v>
      </c>
    </row>
    <row r="10408" spans="1:1">
      <c r="A10408" t="s">
        <v>10940</v>
      </c>
    </row>
    <row r="10409" spans="1:1">
      <c r="A10409" t="s">
        <v>10941</v>
      </c>
    </row>
    <row r="10410" spans="1:1">
      <c r="A10410" t="s">
        <v>10942</v>
      </c>
    </row>
    <row r="10411" spans="1:1">
      <c r="A10411" t="s">
        <v>10943</v>
      </c>
    </row>
    <row r="10412" spans="1:1">
      <c r="A10412" t="s">
        <v>10944</v>
      </c>
    </row>
    <row r="10413" spans="1:1">
      <c r="A10413" t="s">
        <v>10945</v>
      </c>
    </row>
    <row r="10414" spans="1:1">
      <c r="A10414" t="s">
        <v>10946</v>
      </c>
    </row>
    <row r="10415" spans="1:1">
      <c r="A10415" t="s">
        <v>10947</v>
      </c>
    </row>
    <row r="10416" spans="1:1">
      <c r="A10416" t="s">
        <v>10948</v>
      </c>
    </row>
    <row r="10417" spans="1:1">
      <c r="A10417" t="s">
        <v>10949</v>
      </c>
    </row>
    <row r="10418" spans="1:1">
      <c r="A10418" t="s">
        <v>10950</v>
      </c>
    </row>
    <row r="10419" spans="1:1">
      <c r="A10419" t="s">
        <v>10951</v>
      </c>
    </row>
    <row r="10420" spans="1:1">
      <c r="A10420" t="s">
        <v>10952</v>
      </c>
    </row>
    <row r="10421" spans="1:1">
      <c r="A10421" t="s">
        <v>10953</v>
      </c>
    </row>
    <row r="10422" spans="1:1">
      <c r="A10422" t="s">
        <v>10954</v>
      </c>
    </row>
    <row r="10423" spans="1:1">
      <c r="A10423" t="s">
        <v>10955</v>
      </c>
    </row>
    <row r="10424" spans="1:1">
      <c r="A10424" t="s">
        <v>10956</v>
      </c>
    </row>
    <row r="10425" spans="1:1">
      <c r="A10425" t="s">
        <v>10957</v>
      </c>
    </row>
    <row r="10426" spans="1:1">
      <c r="A10426" t="s">
        <v>10958</v>
      </c>
    </row>
    <row r="10427" spans="1:1">
      <c r="A10427" t="s">
        <v>10959</v>
      </c>
    </row>
    <row r="10428" spans="1:1">
      <c r="A10428" t="s">
        <v>10960</v>
      </c>
    </row>
    <row r="10429" spans="1:1">
      <c r="A10429" t="s">
        <v>10961</v>
      </c>
    </row>
    <row r="10430" spans="1:1">
      <c r="A10430" t="s">
        <v>10962</v>
      </c>
    </row>
    <row r="10431" spans="1:1">
      <c r="A10431" t="s">
        <v>10963</v>
      </c>
    </row>
    <row r="10432" spans="1:1">
      <c r="A10432" t="s">
        <v>10964</v>
      </c>
    </row>
    <row r="10433" spans="1:1">
      <c r="A10433" t="s">
        <v>10965</v>
      </c>
    </row>
    <row r="10434" spans="1:1">
      <c r="A10434" t="s">
        <v>10966</v>
      </c>
    </row>
    <row r="10435" spans="1:1">
      <c r="A10435" t="s">
        <v>10967</v>
      </c>
    </row>
    <row r="10436" spans="1:1">
      <c r="A10436" t="s">
        <v>10968</v>
      </c>
    </row>
    <row r="10437" spans="1:1">
      <c r="A10437" t="s">
        <v>10969</v>
      </c>
    </row>
    <row r="10438" spans="1:1">
      <c r="A10438" t="s">
        <v>10970</v>
      </c>
    </row>
    <row r="10439" spans="1:1">
      <c r="A10439" t="s">
        <v>10971</v>
      </c>
    </row>
    <row r="10440" spans="1:1">
      <c r="A10440" t="s">
        <v>10972</v>
      </c>
    </row>
    <row r="10441" spans="1:1">
      <c r="A10441" t="s">
        <v>10973</v>
      </c>
    </row>
    <row r="10442" spans="1:1">
      <c r="A10442" t="s">
        <v>10974</v>
      </c>
    </row>
    <row r="10443" spans="1:1">
      <c r="A10443" t="s">
        <v>10975</v>
      </c>
    </row>
    <row r="10444" spans="1:1">
      <c r="A10444" t="s">
        <v>10976</v>
      </c>
    </row>
    <row r="10445" spans="1:1">
      <c r="A10445" t="s">
        <v>10977</v>
      </c>
    </row>
    <row r="10446" spans="1:1">
      <c r="A10446" t="s">
        <v>10978</v>
      </c>
    </row>
    <row r="10447" spans="1:1">
      <c r="A10447" t="s">
        <v>10979</v>
      </c>
    </row>
    <row r="10448" spans="1:1">
      <c r="A10448" t="s">
        <v>10980</v>
      </c>
    </row>
    <row r="10449" spans="1:1">
      <c r="A10449" t="s">
        <v>10981</v>
      </c>
    </row>
    <row r="10450" spans="1:1">
      <c r="A10450" t="s">
        <v>10982</v>
      </c>
    </row>
    <row r="10451" spans="1:1">
      <c r="A10451" t="s">
        <v>10983</v>
      </c>
    </row>
    <row r="10452" spans="1:1">
      <c r="A10452" t="s">
        <v>10984</v>
      </c>
    </row>
    <row r="10453" spans="1:1">
      <c r="A10453" t="s">
        <v>10985</v>
      </c>
    </row>
    <row r="10454" spans="1:1">
      <c r="A10454" t="s">
        <v>10986</v>
      </c>
    </row>
    <row r="10455" spans="1:1">
      <c r="A10455" t="s">
        <v>10987</v>
      </c>
    </row>
    <row r="10456" spans="1:1">
      <c r="A10456" t="s">
        <v>10988</v>
      </c>
    </row>
    <row r="10457" spans="1:1">
      <c r="A10457" t="s">
        <v>10989</v>
      </c>
    </row>
    <row r="10458" spans="1:1">
      <c r="A10458" t="s">
        <v>10990</v>
      </c>
    </row>
    <row r="10459" spans="1:1">
      <c r="A10459" t="s">
        <v>10991</v>
      </c>
    </row>
    <row r="10460" spans="1:1">
      <c r="A10460" t="s">
        <v>10992</v>
      </c>
    </row>
    <row r="10461" spans="1:1">
      <c r="A10461" t="s">
        <v>10993</v>
      </c>
    </row>
    <row r="10462" spans="1:1">
      <c r="A10462" t="s">
        <v>10994</v>
      </c>
    </row>
    <row r="10463" spans="1:1">
      <c r="A10463" t="s">
        <v>10995</v>
      </c>
    </row>
    <row r="10464" spans="1:1">
      <c r="A10464" t="s">
        <v>10996</v>
      </c>
    </row>
    <row r="10465" spans="1:1">
      <c r="A10465" t="s">
        <v>10997</v>
      </c>
    </row>
    <row r="10466" spans="1:1">
      <c r="A10466" t="s">
        <v>10998</v>
      </c>
    </row>
    <row r="10467" spans="1:1">
      <c r="A10467" t="s">
        <v>10999</v>
      </c>
    </row>
    <row r="10468" spans="1:1">
      <c r="A10468" t="s">
        <v>11000</v>
      </c>
    </row>
    <row r="10469" spans="1:1">
      <c r="A10469" t="s">
        <v>11001</v>
      </c>
    </row>
    <row r="10470" spans="1:1">
      <c r="A10470" t="s">
        <v>11002</v>
      </c>
    </row>
    <row r="10471" spans="1:1">
      <c r="A10471" t="s">
        <v>11003</v>
      </c>
    </row>
    <row r="10472" spans="1:1">
      <c r="A10472" t="s">
        <v>11004</v>
      </c>
    </row>
    <row r="10473" spans="1:1">
      <c r="A10473" t="s">
        <v>11005</v>
      </c>
    </row>
    <row r="10474" spans="1:1">
      <c r="A10474" t="s">
        <v>11006</v>
      </c>
    </row>
    <row r="10475" spans="1:1">
      <c r="A10475" t="s">
        <v>11007</v>
      </c>
    </row>
    <row r="10476" spans="1:1">
      <c r="A10476" t="s">
        <v>11008</v>
      </c>
    </row>
    <row r="10477" spans="1:1">
      <c r="A10477" t="s">
        <v>11009</v>
      </c>
    </row>
    <row r="10478" spans="1:1">
      <c r="A10478" t="s">
        <v>11010</v>
      </c>
    </row>
    <row r="10479" spans="1:1">
      <c r="A10479" t="s">
        <v>11011</v>
      </c>
    </row>
    <row r="10480" spans="1:1">
      <c r="A10480" t="s">
        <v>11012</v>
      </c>
    </row>
    <row r="10481" spans="1:1">
      <c r="A10481" t="s">
        <v>11013</v>
      </c>
    </row>
    <row r="10482" spans="1:1">
      <c r="A10482" t="s">
        <v>11014</v>
      </c>
    </row>
    <row r="10483" spans="1:1">
      <c r="A10483" t="s">
        <v>11015</v>
      </c>
    </row>
    <row r="10484" spans="1:1">
      <c r="A10484" t="s">
        <v>11016</v>
      </c>
    </row>
    <row r="10485" spans="1:1">
      <c r="A10485" t="s">
        <v>11017</v>
      </c>
    </row>
    <row r="10486" spans="1:1">
      <c r="A10486" t="s">
        <v>11018</v>
      </c>
    </row>
    <row r="10487" spans="1:1">
      <c r="A10487" t="s">
        <v>11019</v>
      </c>
    </row>
    <row r="10488" spans="1:1">
      <c r="A10488" t="s">
        <v>11020</v>
      </c>
    </row>
    <row r="10489" spans="1:1">
      <c r="A10489" t="s">
        <v>11021</v>
      </c>
    </row>
    <row r="10490" spans="1:1">
      <c r="A10490" t="s">
        <v>11022</v>
      </c>
    </row>
    <row r="10491" spans="1:1">
      <c r="A10491" t="s">
        <v>11023</v>
      </c>
    </row>
    <row r="10492" spans="1:1">
      <c r="A10492" t="s">
        <v>11024</v>
      </c>
    </row>
    <row r="10493" spans="1:1">
      <c r="A10493" t="s">
        <v>11025</v>
      </c>
    </row>
    <row r="10494" spans="1:1">
      <c r="A10494" t="s">
        <v>11026</v>
      </c>
    </row>
    <row r="10495" spans="1:1">
      <c r="A10495" t="s">
        <v>11027</v>
      </c>
    </row>
    <row r="10496" spans="1:1">
      <c r="A10496" t="s">
        <v>11028</v>
      </c>
    </row>
    <row r="10497" spans="1:1">
      <c r="A10497" t="s">
        <v>11029</v>
      </c>
    </row>
    <row r="10498" spans="1:1">
      <c r="A10498" t="s">
        <v>11030</v>
      </c>
    </row>
    <row r="10499" spans="1:1">
      <c r="A10499" t="s">
        <v>11031</v>
      </c>
    </row>
    <row r="10500" spans="1:1">
      <c r="A10500" t="s">
        <v>11032</v>
      </c>
    </row>
    <row r="10501" spans="1:1">
      <c r="A10501" t="s">
        <v>11033</v>
      </c>
    </row>
    <row r="10502" spans="1:1">
      <c r="A10502" t="s">
        <v>11034</v>
      </c>
    </row>
    <row r="10503" spans="1:1">
      <c r="A10503" t="s">
        <v>11035</v>
      </c>
    </row>
    <row r="10504" spans="1:1">
      <c r="A10504" t="s">
        <v>11036</v>
      </c>
    </row>
    <row r="10505" spans="1:1">
      <c r="A10505" t="s">
        <v>11037</v>
      </c>
    </row>
    <row r="10506" spans="1:1">
      <c r="A10506" t="s">
        <v>11038</v>
      </c>
    </row>
    <row r="10507" spans="1:1">
      <c r="A10507" t="s">
        <v>11039</v>
      </c>
    </row>
    <row r="10508" spans="1:1">
      <c r="A10508" t="s">
        <v>11040</v>
      </c>
    </row>
    <row r="10509" spans="1:1">
      <c r="A10509" t="s">
        <v>11041</v>
      </c>
    </row>
    <row r="10510" spans="1:1">
      <c r="A10510" t="s">
        <v>11042</v>
      </c>
    </row>
    <row r="10511" spans="1:1">
      <c r="A10511" t="s">
        <v>11043</v>
      </c>
    </row>
    <row r="10512" spans="1:1">
      <c r="A10512" t="s">
        <v>11044</v>
      </c>
    </row>
    <row r="10513" spans="1:1">
      <c r="A10513" t="s">
        <v>11045</v>
      </c>
    </row>
    <row r="10514" spans="1:1">
      <c r="A10514" t="s">
        <v>11046</v>
      </c>
    </row>
    <row r="10515" spans="1:1">
      <c r="A10515" t="s">
        <v>11047</v>
      </c>
    </row>
    <row r="10516" spans="1:1">
      <c r="A10516" t="s">
        <v>11048</v>
      </c>
    </row>
    <row r="10517" spans="1:1">
      <c r="A10517" t="s">
        <v>11049</v>
      </c>
    </row>
    <row r="10518" spans="1:1">
      <c r="A10518" t="s">
        <v>11050</v>
      </c>
    </row>
    <row r="10519" spans="1:1">
      <c r="A10519" t="s">
        <v>11051</v>
      </c>
    </row>
    <row r="10520" spans="1:1">
      <c r="A10520" t="s">
        <v>11052</v>
      </c>
    </row>
    <row r="10521" spans="1:1">
      <c r="A10521" t="s">
        <v>11053</v>
      </c>
    </row>
    <row r="10522" spans="1:1">
      <c r="A10522" t="s">
        <v>11054</v>
      </c>
    </row>
    <row r="10523" spans="1:1">
      <c r="A10523" t="s">
        <v>11055</v>
      </c>
    </row>
    <row r="10524" spans="1:1">
      <c r="A10524" t="s">
        <v>11056</v>
      </c>
    </row>
    <row r="10525" spans="1:1">
      <c r="A10525" t="s">
        <v>11057</v>
      </c>
    </row>
    <row r="10526" spans="1:1">
      <c r="A10526" t="s">
        <v>11058</v>
      </c>
    </row>
    <row r="10527" spans="1:1">
      <c r="A10527" t="s">
        <v>11059</v>
      </c>
    </row>
    <row r="10528" spans="1:1">
      <c r="A10528" t="s">
        <v>11060</v>
      </c>
    </row>
    <row r="10529" spans="1:1">
      <c r="A10529" t="s">
        <v>11061</v>
      </c>
    </row>
    <row r="10530" spans="1:1">
      <c r="A10530" t="s">
        <v>11062</v>
      </c>
    </row>
    <row r="10531" spans="1:1">
      <c r="A10531" t="s">
        <v>11063</v>
      </c>
    </row>
    <row r="10532" spans="1:1">
      <c r="A10532" t="s">
        <v>11064</v>
      </c>
    </row>
    <row r="10533" spans="1:1">
      <c r="A10533" t="s">
        <v>11065</v>
      </c>
    </row>
    <row r="10534" spans="1:1">
      <c r="A10534" t="s">
        <v>11066</v>
      </c>
    </row>
    <row r="10535" spans="1:1">
      <c r="A10535" t="s">
        <v>11067</v>
      </c>
    </row>
    <row r="10536" spans="1:1">
      <c r="A10536" t="s">
        <v>11068</v>
      </c>
    </row>
    <row r="10537" spans="1:1">
      <c r="A10537" t="s">
        <v>11069</v>
      </c>
    </row>
    <row r="10538" spans="1:1">
      <c r="A10538" t="s">
        <v>11070</v>
      </c>
    </row>
    <row r="10539" spans="1:1">
      <c r="A10539" t="s">
        <v>11071</v>
      </c>
    </row>
    <row r="10540" spans="1:1">
      <c r="A10540" t="s">
        <v>11072</v>
      </c>
    </row>
    <row r="10541" spans="1:1">
      <c r="A10541" t="s">
        <v>11073</v>
      </c>
    </row>
    <row r="10542" spans="1:1">
      <c r="A10542" t="s">
        <v>11074</v>
      </c>
    </row>
    <row r="10543" spans="1:1">
      <c r="A10543" t="s">
        <v>11075</v>
      </c>
    </row>
    <row r="10544" spans="1:1">
      <c r="A10544" t="s">
        <v>11076</v>
      </c>
    </row>
    <row r="10545" spans="1:1">
      <c r="A10545" t="s">
        <v>11077</v>
      </c>
    </row>
    <row r="10546" spans="1:1">
      <c r="A10546" t="s">
        <v>11078</v>
      </c>
    </row>
    <row r="10547" spans="1:1">
      <c r="A10547" t="s">
        <v>11079</v>
      </c>
    </row>
    <row r="10548" spans="1:1">
      <c r="A10548" t="s">
        <v>11080</v>
      </c>
    </row>
    <row r="10549" spans="1:1">
      <c r="A10549" t="s">
        <v>11081</v>
      </c>
    </row>
    <row r="10550" spans="1:1">
      <c r="A10550" t="s">
        <v>11082</v>
      </c>
    </row>
    <row r="10551" spans="1:1">
      <c r="A10551" t="s">
        <v>11083</v>
      </c>
    </row>
    <row r="10552" spans="1:1">
      <c r="A10552" t="s">
        <v>11084</v>
      </c>
    </row>
    <row r="10553" spans="1:1">
      <c r="A10553" t="s">
        <v>11085</v>
      </c>
    </row>
    <row r="10554" spans="1:1">
      <c r="A10554" t="s">
        <v>11086</v>
      </c>
    </row>
    <row r="10555" spans="1:1">
      <c r="A10555" t="s">
        <v>11087</v>
      </c>
    </row>
    <row r="10556" spans="1:1">
      <c r="A10556" t="s">
        <v>11088</v>
      </c>
    </row>
    <row r="10557" spans="1:1">
      <c r="A10557" t="s">
        <v>11089</v>
      </c>
    </row>
    <row r="10558" spans="1:1">
      <c r="A10558" t="s">
        <v>11090</v>
      </c>
    </row>
    <row r="10559" spans="1:1">
      <c r="A10559" t="s">
        <v>11091</v>
      </c>
    </row>
    <row r="10560" spans="1:1">
      <c r="A10560" t="s">
        <v>11092</v>
      </c>
    </row>
    <row r="10561" spans="1:1">
      <c r="A10561" t="s">
        <v>11093</v>
      </c>
    </row>
    <row r="10562" spans="1:1">
      <c r="A10562" t="s">
        <v>11094</v>
      </c>
    </row>
    <row r="10563" spans="1:1">
      <c r="A10563" t="s">
        <v>11095</v>
      </c>
    </row>
    <row r="10564" spans="1:1">
      <c r="A10564" t="s">
        <v>11096</v>
      </c>
    </row>
    <row r="10565" spans="1:1">
      <c r="A10565" t="s">
        <v>11097</v>
      </c>
    </row>
    <row r="10566" spans="1:1">
      <c r="A10566" t="s">
        <v>11098</v>
      </c>
    </row>
    <row r="10567" spans="1:1">
      <c r="A10567" t="s">
        <v>11099</v>
      </c>
    </row>
    <row r="10568" spans="1:1">
      <c r="A10568" t="s">
        <v>11100</v>
      </c>
    </row>
    <row r="10569" spans="1:1">
      <c r="A10569" t="s">
        <v>11101</v>
      </c>
    </row>
    <row r="10570" spans="1:1">
      <c r="A10570" t="s">
        <v>11102</v>
      </c>
    </row>
    <row r="10571" spans="1:1">
      <c r="A10571" t="s">
        <v>11103</v>
      </c>
    </row>
    <row r="10572" spans="1:1">
      <c r="A10572" t="s">
        <v>11104</v>
      </c>
    </row>
    <row r="10573" spans="1:1">
      <c r="A10573" t="s">
        <v>11105</v>
      </c>
    </row>
    <row r="10574" spans="1:1">
      <c r="A10574" t="s">
        <v>11106</v>
      </c>
    </row>
    <row r="10575" spans="1:1">
      <c r="A10575" t="s">
        <v>11107</v>
      </c>
    </row>
    <row r="10576" spans="1:1">
      <c r="A10576" t="s">
        <v>11108</v>
      </c>
    </row>
    <row r="10577" spans="1:1">
      <c r="A10577" t="s">
        <v>11109</v>
      </c>
    </row>
    <row r="10578" spans="1:1">
      <c r="A10578" t="s">
        <v>11110</v>
      </c>
    </row>
    <row r="10579" spans="1:1">
      <c r="A10579" t="s">
        <v>11111</v>
      </c>
    </row>
    <row r="10580" spans="1:1">
      <c r="A10580" t="s">
        <v>11112</v>
      </c>
    </row>
    <row r="10581" spans="1:1">
      <c r="A10581" t="s">
        <v>11113</v>
      </c>
    </row>
    <row r="10582" spans="1:1">
      <c r="A10582" t="s">
        <v>11114</v>
      </c>
    </row>
    <row r="10583" spans="1:1">
      <c r="A10583" t="s">
        <v>11115</v>
      </c>
    </row>
    <row r="10584" spans="1:1">
      <c r="A10584" t="s">
        <v>11116</v>
      </c>
    </row>
    <row r="10585" spans="1:1">
      <c r="A10585" t="s">
        <v>11117</v>
      </c>
    </row>
    <row r="10586" spans="1:1">
      <c r="A10586" t="s">
        <v>11118</v>
      </c>
    </row>
    <row r="10587" spans="1:1">
      <c r="A10587" t="s">
        <v>11119</v>
      </c>
    </row>
    <row r="10588" spans="1:1">
      <c r="A10588" t="s">
        <v>11120</v>
      </c>
    </row>
    <row r="10589" spans="1:1">
      <c r="A10589" t="s">
        <v>11121</v>
      </c>
    </row>
    <row r="10590" spans="1:1">
      <c r="A10590" t="s">
        <v>11122</v>
      </c>
    </row>
    <row r="10591" spans="1:1">
      <c r="A10591" t="s">
        <v>11123</v>
      </c>
    </row>
    <row r="10592" spans="1:1">
      <c r="A10592" t="s">
        <v>11124</v>
      </c>
    </row>
    <row r="10593" spans="1:1">
      <c r="A10593" t="s">
        <v>11125</v>
      </c>
    </row>
    <row r="10594" spans="1:1">
      <c r="A10594" t="s">
        <v>11126</v>
      </c>
    </row>
    <row r="10595" spans="1:1">
      <c r="A10595" t="s">
        <v>11127</v>
      </c>
    </row>
    <row r="10596" spans="1:1">
      <c r="A10596" t="s">
        <v>11128</v>
      </c>
    </row>
    <row r="10597" spans="1:1">
      <c r="A10597" t="s">
        <v>11129</v>
      </c>
    </row>
    <row r="10598" spans="1:1">
      <c r="A10598" t="s">
        <v>11130</v>
      </c>
    </row>
    <row r="10599" spans="1:1">
      <c r="A10599" t="s">
        <v>11131</v>
      </c>
    </row>
    <row r="10600" spans="1:1">
      <c r="A10600" t="s">
        <v>11132</v>
      </c>
    </row>
    <row r="10601" spans="1:1">
      <c r="A10601" t="s">
        <v>11133</v>
      </c>
    </row>
    <row r="10602" spans="1:1">
      <c r="A10602" t="s">
        <v>11134</v>
      </c>
    </row>
    <row r="10603" spans="1:1">
      <c r="A10603" t="s">
        <v>11135</v>
      </c>
    </row>
    <row r="10604" spans="1:1">
      <c r="A10604" t="s">
        <v>11136</v>
      </c>
    </row>
    <row r="10605" spans="1:1">
      <c r="A10605" t="s">
        <v>11137</v>
      </c>
    </row>
    <row r="10606" spans="1:1">
      <c r="A10606" t="s">
        <v>11138</v>
      </c>
    </row>
    <row r="10607" spans="1:1">
      <c r="A10607" t="s">
        <v>11139</v>
      </c>
    </row>
    <row r="10608" spans="1:1">
      <c r="A10608" t="s">
        <v>11140</v>
      </c>
    </row>
    <row r="10609" spans="1:1">
      <c r="A10609" t="s">
        <v>11141</v>
      </c>
    </row>
    <row r="10610" spans="1:1">
      <c r="A10610" t="s">
        <v>11142</v>
      </c>
    </row>
    <row r="10611" spans="1:1">
      <c r="A10611" t="s">
        <v>11143</v>
      </c>
    </row>
    <row r="10612" spans="1:1">
      <c r="A10612" t="s">
        <v>11144</v>
      </c>
    </row>
    <row r="10613" spans="1:1">
      <c r="A10613" t="s">
        <v>11145</v>
      </c>
    </row>
    <row r="10614" spans="1:1">
      <c r="A10614" t="s">
        <v>11146</v>
      </c>
    </row>
    <row r="10615" spans="1:1">
      <c r="A10615" t="s">
        <v>11147</v>
      </c>
    </row>
    <row r="10616" spans="1:1">
      <c r="A10616" t="s">
        <v>11148</v>
      </c>
    </row>
    <row r="10617" spans="1:1">
      <c r="A10617" t="s">
        <v>11149</v>
      </c>
    </row>
    <row r="10618" spans="1:1">
      <c r="A10618" t="s">
        <v>11150</v>
      </c>
    </row>
    <row r="10619" spans="1:1">
      <c r="A10619" t="s">
        <v>11151</v>
      </c>
    </row>
    <row r="10620" spans="1:1">
      <c r="A10620" t="s">
        <v>11152</v>
      </c>
    </row>
    <row r="10621" spans="1:1">
      <c r="A10621" t="s">
        <v>11153</v>
      </c>
    </row>
    <row r="10622" spans="1:1">
      <c r="A10622" t="s">
        <v>11154</v>
      </c>
    </row>
    <row r="10623" spans="1:1">
      <c r="A10623" t="s">
        <v>11155</v>
      </c>
    </row>
    <row r="10624" spans="1:1">
      <c r="A10624" t="s">
        <v>11156</v>
      </c>
    </row>
    <row r="10625" spans="1:1">
      <c r="A10625" t="s">
        <v>11157</v>
      </c>
    </row>
    <row r="10626" spans="1:1">
      <c r="A10626" t="s">
        <v>11158</v>
      </c>
    </row>
    <row r="10627" spans="1:1">
      <c r="A10627" t="s">
        <v>11159</v>
      </c>
    </row>
    <row r="10628" spans="1:1">
      <c r="A10628" t="s">
        <v>11160</v>
      </c>
    </row>
    <row r="10629" spans="1:1">
      <c r="A10629" t="s">
        <v>11161</v>
      </c>
    </row>
    <row r="10630" spans="1:1">
      <c r="A10630" t="s">
        <v>11162</v>
      </c>
    </row>
    <row r="10631" spans="1:1">
      <c r="A10631" t="s">
        <v>11163</v>
      </c>
    </row>
    <row r="10632" spans="1:1">
      <c r="A10632" t="s">
        <v>11164</v>
      </c>
    </row>
    <row r="10633" spans="1:1">
      <c r="A10633" t="s">
        <v>11165</v>
      </c>
    </row>
    <row r="10634" spans="1:1">
      <c r="A10634" t="s">
        <v>11166</v>
      </c>
    </row>
    <row r="10635" spans="1:1">
      <c r="A10635" t="s">
        <v>11167</v>
      </c>
    </row>
    <row r="10636" spans="1:1">
      <c r="A10636" t="s">
        <v>11168</v>
      </c>
    </row>
    <row r="10637" spans="1:1">
      <c r="A10637" t="s">
        <v>11169</v>
      </c>
    </row>
    <row r="10638" spans="1:1">
      <c r="A10638" t="s">
        <v>11170</v>
      </c>
    </row>
    <row r="10639" spans="1:1">
      <c r="A10639" t="s">
        <v>11171</v>
      </c>
    </row>
    <row r="10640" spans="1:1">
      <c r="A10640" t="s">
        <v>11172</v>
      </c>
    </row>
    <row r="10641" spans="1:1">
      <c r="A10641" t="s">
        <v>11173</v>
      </c>
    </row>
    <row r="10642" spans="1:1">
      <c r="A10642" t="s">
        <v>11174</v>
      </c>
    </row>
    <row r="10643" spans="1:1">
      <c r="A10643" t="s">
        <v>11175</v>
      </c>
    </row>
    <row r="10644" spans="1:1">
      <c r="A10644" t="s">
        <v>11176</v>
      </c>
    </row>
    <row r="10645" spans="1:1">
      <c r="A10645" t="s">
        <v>11177</v>
      </c>
    </row>
    <row r="10646" spans="1:1">
      <c r="A10646" t="s">
        <v>11178</v>
      </c>
    </row>
    <row r="10647" spans="1:1">
      <c r="A10647" t="s">
        <v>11179</v>
      </c>
    </row>
    <row r="10648" spans="1:1">
      <c r="A10648" t="s">
        <v>11180</v>
      </c>
    </row>
    <row r="10649" spans="1:1">
      <c r="A10649" t="s">
        <v>11181</v>
      </c>
    </row>
    <row r="10650" spans="1:1">
      <c r="A10650" t="s">
        <v>11182</v>
      </c>
    </row>
    <row r="10651" spans="1:1">
      <c r="A10651" t="s">
        <v>11183</v>
      </c>
    </row>
    <row r="10652" spans="1:1">
      <c r="A10652" t="s">
        <v>11184</v>
      </c>
    </row>
    <row r="10653" spans="1:1">
      <c r="A10653" t="s">
        <v>11185</v>
      </c>
    </row>
    <row r="10654" spans="1:1">
      <c r="A10654" t="s">
        <v>11186</v>
      </c>
    </row>
    <row r="10655" spans="1:1">
      <c r="A10655" t="s">
        <v>11187</v>
      </c>
    </row>
    <row r="10656" spans="1:1">
      <c r="A10656" t="s">
        <v>11188</v>
      </c>
    </row>
    <row r="10657" spans="1:1">
      <c r="A10657" t="s">
        <v>11189</v>
      </c>
    </row>
    <row r="10658" spans="1:1">
      <c r="A10658" t="s">
        <v>11190</v>
      </c>
    </row>
    <row r="10659" spans="1:1">
      <c r="A10659" t="s">
        <v>11191</v>
      </c>
    </row>
    <row r="10660" spans="1:1">
      <c r="A10660" t="s">
        <v>11192</v>
      </c>
    </row>
    <row r="10661" spans="1:1">
      <c r="A10661" t="s">
        <v>11193</v>
      </c>
    </row>
    <row r="10662" spans="1:1">
      <c r="A10662" t="s">
        <v>11194</v>
      </c>
    </row>
    <row r="10663" spans="1:1">
      <c r="A10663" t="s">
        <v>11195</v>
      </c>
    </row>
    <row r="10664" spans="1:1">
      <c r="A10664" t="s">
        <v>11196</v>
      </c>
    </row>
    <row r="10665" spans="1:1">
      <c r="A10665" t="s">
        <v>11197</v>
      </c>
    </row>
    <row r="10666" spans="1:1">
      <c r="A10666" t="s">
        <v>11198</v>
      </c>
    </row>
    <row r="10667" spans="1:1">
      <c r="A10667" t="s">
        <v>11199</v>
      </c>
    </row>
    <row r="10668" spans="1:1">
      <c r="A10668" t="s">
        <v>11200</v>
      </c>
    </row>
    <row r="10669" spans="1:1">
      <c r="A10669" t="s">
        <v>11201</v>
      </c>
    </row>
    <row r="10670" spans="1:1">
      <c r="A10670" t="s">
        <v>11202</v>
      </c>
    </row>
    <row r="10671" spans="1:1">
      <c r="A10671" t="s">
        <v>11203</v>
      </c>
    </row>
    <row r="10672" spans="1:1">
      <c r="A10672" t="s">
        <v>11204</v>
      </c>
    </row>
    <row r="10673" spans="1:1">
      <c r="A10673" t="s">
        <v>11205</v>
      </c>
    </row>
    <row r="10674" spans="1:1">
      <c r="A10674" t="s">
        <v>11206</v>
      </c>
    </row>
    <row r="10675" spans="1:1">
      <c r="A10675" t="s">
        <v>11207</v>
      </c>
    </row>
    <row r="10676" spans="1:1">
      <c r="A10676" t="s">
        <v>11208</v>
      </c>
    </row>
    <row r="10677" spans="1:1">
      <c r="A10677" t="s">
        <v>11209</v>
      </c>
    </row>
    <row r="10678" spans="1:1">
      <c r="A10678" t="s">
        <v>11210</v>
      </c>
    </row>
    <row r="10679" spans="1:1">
      <c r="A10679" t="s">
        <v>11211</v>
      </c>
    </row>
    <row r="10680" spans="1:1">
      <c r="A10680" t="s">
        <v>11212</v>
      </c>
    </row>
    <row r="10681" spans="1:1">
      <c r="A10681" t="s">
        <v>11213</v>
      </c>
    </row>
    <row r="10682" spans="1:1">
      <c r="A10682" t="s">
        <v>11214</v>
      </c>
    </row>
    <row r="10683" spans="1:1">
      <c r="A10683" t="s">
        <v>11215</v>
      </c>
    </row>
    <row r="10684" spans="1:1">
      <c r="A10684" t="s">
        <v>11216</v>
      </c>
    </row>
    <row r="10685" spans="1:1">
      <c r="A10685" t="s">
        <v>11217</v>
      </c>
    </row>
    <row r="10686" spans="1:1">
      <c r="A10686" t="s">
        <v>11218</v>
      </c>
    </row>
    <row r="10687" spans="1:1">
      <c r="A10687" t="s">
        <v>11219</v>
      </c>
    </row>
    <row r="10688" spans="1:1">
      <c r="A10688" t="s">
        <v>11220</v>
      </c>
    </row>
    <row r="10689" spans="1:1">
      <c r="A10689" t="s">
        <v>11221</v>
      </c>
    </row>
    <row r="10690" spans="1:1">
      <c r="A10690" t="s">
        <v>11222</v>
      </c>
    </row>
    <row r="10691" spans="1:1">
      <c r="A10691" t="s">
        <v>11223</v>
      </c>
    </row>
    <row r="10692" spans="1:1">
      <c r="A10692" t="s">
        <v>11224</v>
      </c>
    </row>
    <row r="10693" spans="1:1">
      <c r="A10693" t="s">
        <v>11225</v>
      </c>
    </row>
    <row r="10694" spans="1:1">
      <c r="A10694" t="s">
        <v>11226</v>
      </c>
    </row>
    <row r="10695" spans="1:1">
      <c r="A10695" t="s">
        <v>11227</v>
      </c>
    </row>
    <row r="10696" spans="1:1">
      <c r="A10696" t="s">
        <v>11228</v>
      </c>
    </row>
    <row r="10697" spans="1:1">
      <c r="A10697" t="s">
        <v>11229</v>
      </c>
    </row>
    <row r="10698" spans="1:1">
      <c r="A10698" t="s">
        <v>11230</v>
      </c>
    </row>
    <row r="10699" spans="1:1">
      <c r="A10699" t="s">
        <v>11231</v>
      </c>
    </row>
    <row r="10700" spans="1:1">
      <c r="A10700" t="s">
        <v>11232</v>
      </c>
    </row>
    <row r="10701" spans="1:1">
      <c r="A10701" t="s">
        <v>11233</v>
      </c>
    </row>
    <row r="10702" spans="1:1">
      <c r="A10702" t="s">
        <v>11234</v>
      </c>
    </row>
    <row r="10703" spans="1:1">
      <c r="A10703" t="s">
        <v>11235</v>
      </c>
    </row>
    <row r="10704" spans="1:1">
      <c r="A10704" t="s">
        <v>11236</v>
      </c>
    </row>
    <row r="10705" spans="1:1">
      <c r="A10705" t="s">
        <v>11237</v>
      </c>
    </row>
    <row r="10706" spans="1:1">
      <c r="A10706" t="s">
        <v>11238</v>
      </c>
    </row>
    <row r="10707" spans="1:1">
      <c r="A10707" t="s">
        <v>11239</v>
      </c>
    </row>
    <row r="10708" spans="1:1">
      <c r="A10708" t="s">
        <v>11240</v>
      </c>
    </row>
    <row r="10709" spans="1:1">
      <c r="A10709" t="s">
        <v>11241</v>
      </c>
    </row>
    <row r="10710" spans="1:1">
      <c r="A10710" t="s">
        <v>11242</v>
      </c>
    </row>
    <row r="10711" spans="1:1">
      <c r="A10711" t="s">
        <v>11243</v>
      </c>
    </row>
    <row r="10712" spans="1:1">
      <c r="A10712" t="s">
        <v>11244</v>
      </c>
    </row>
    <row r="10713" spans="1:1">
      <c r="A10713" t="s">
        <v>11245</v>
      </c>
    </row>
    <row r="10714" spans="1:1">
      <c r="A10714" t="s">
        <v>11246</v>
      </c>
    </row>
    <row r="10715" spans="1:1">
      <c r="A10715" t="s">
        <v>11247</v>
      </c>
    </row>
    <row r="10716" spans="1:1">
      <c r="A10716" t="s">
        <v>11248</v>
      </c>
    </row>
    <row r="10717" spans="1:1">
      <c r="A10717" t="s">
        <v>11249</v>
      </c>
    </row>
    <row r="10718" spans="1:1">
      <c r="A10718" t="s">
        <v>11250</v>
      </c>
    </row>
    <row r="10719" spans="1:1">
      <c r="A10719" t="s">
        <v>11251</v>
      </c>
    </row>
    <row r="10720" spans="1:1">
      <c r="A10720" t="s">
        <v>11252</v>
      </c>
    </row>
    <row r="10721" spans="1:1">
      <c r="A10721" t="s">
        <v>11253</v>
      </c>
    </row>
    <row r="10722" spans="1:1">
      <c r="A10722" t="s">
        <v>11254</v>
      </c>
    </row>
    <row r="10723" spans="1:1">
      <c r="A10723" t="s">
        <v>11255</v>
      </c>
    </row>
    <row r="10724" spans="1:1">
      <c r="A10724" t="s">
        <v>11256</v>
      </c>
    </row>
    <row r="10725" spans="1:1">
      <c r="A10725" t="s">
        <v>11257</v>
      </c>
    </row>
    <row r="10726" spans="1:1">
      <c r="A10726" t="s">
        <v>11258</v>
      </c>
    </row>
    <row r="10727" spans="1:1">
      <c r="A10727" t="s">
        <v>11259</v>
      </c>
    </row>
    <row r="10728" spans="1:1">
      <c r="A10728" t="s">
        <v>11260</v>
      </c>
    </row>
    <row r="10729" spans="1:1">
      <c r="A10729" t="s">
        <v>11261</v>
      </c>
    </row>
    <row r="10730" spans="1:1">
      <c r="A10730" t="s">
        <v>11262</v>
      </c>
    </row>
    <row r="10731" spans="1:1">
      <c r="A10731" t="s">
        <v>11263</v>
      </c>
    </row>
    <row r="10732" spans="1:1">
      <c r="A10732" t="s">
        <v>11264</v>
      </c>
    </row>
    <row r="10733" spans="1:1">
      <c r="A10733" t="s">
        <v>11265</v>
      </c>
    </row>
    <row r="10734" spans="1:1">
      <c r="A10734" t="s">
        <v>11266</v>
      </c>
    </row>
    <row r="10735" spans="1:1">
      <c r="A10735" t="s">
        <v>11267</v>
      </c>
    </row>
    <row r="10736" spans="1:1">
      <c r="A10736" t="s">
        <v>11268</v>
      </c>
    </row>
    <row r="10737" spans="1:1">
      <c r="A10737" t="s">
        <v>11269</v>
      </c>
    </row>
    <row r="10738" spans="1:1">
      <c r="A10738" t="s">
        <v>11270</v>
      </c>
    </row>
    <row r="10739" spans="1:1">
      <c r="A10739" t="s">
        <v>11271</v>
      </c>
    </row>
    <row r="10740" spans="1:1">
      <c r="A10740" t="s">
        <v>11272</v>
      </c>
    </row>
    <row r="10741" spans="1:1">
      <c r="A10741" t="s">
        <v>11273</v>
      </c>
    </row>
    <row r="10742" spans="1:1">
      <c r="A10742" t="s">
        <v>11274</v>
      </c>
    </row>
    <row r="10743" spans="1:1">
      <c r="A10743" t="s">
        <v>11275</v>
      </c>
    </row>
    <row r="10744" spans="1:1">
      <c r="A10744" t="s">
        <v>11276</v>
      </c>
    </row>
    <row r="10745" spans="1:1">
      <c r="A10745" t="s">
        <v>11277</v>
      </c>
    </row>
    <row r="10746" spans="1:1">
      <c r="A10746" t="s">
        <v>11278</v>
      </c>
    </row>
    <row r="10747" spans="1:1">
      <c r="A10747" t="s">
        <v>11279</v>
      </c>
    </row>
    <row r="10748" spans="1:1">
      <c r="A10748" t="s">
        <v>11280</v>
      </c>
    </row>
    <row r="10749" spans="1:1">
      <c r="A10749" t="s">
        <v>11281</v>
      </c>
    </row>
    <row r="10750" spans="1:1">
      <c r="A10750" t="s">
        <v>11282</v>
      </c>
    </row>
    <row r="10751" spans="1:1">
      <c r="A10751" t="s">
        <v>11283</v>
      </c>
    </row>
    <row r="10752" spans="1:1">
      <c r="A10752" t="s">
        <v>11284</v>
      </c>
    </row>
    <row r="10753" spans="1:1">
      <c r="A10753" t="s">
        <v>11285</v>
      </c>
    </row>
    <row r="10754" spans="1:1">
      <c r="A10754" t="s">
        <v>11286</v>
      </c>
    </row>
    <row r="10755" spans="1:1">
      <c r="A10755" t="s">
        <v>11287</v>
      </c>
    </row>
    <row r="10756" spans="1:1">
      <c r="A10756" t="s">
        <v>11288</v>
      </c>
    </row>
    <row r="10757" spans="1:1">
      <c r="A10757" t="s">
        <v>11289</v>
      </c>
    </row>
    <row r="10758" spans="1:1">
      <c r="A10758" t="s">
        <v>11290</v>
      </c>
    </row>
    <row r="10759" spans="1:1">
      <c r="A10759" t="s">
        <v>11291</v>
      </c>
    </row>
    <row r="10760" spans="1:1">
      <c r="A10760" t="s">
        <v>11292</v>
      </c>
    </row>
    <row r="10761" spans="1:1">
      <c r="A10761" t="s">
        <v>11293</v>
      </c>
    </row>
    <row r="10762" spans="1:1">
      <c r="A10762" t="s">
        <v>11294</v>
      </c>
    </row>
    <row r="10763" spans="1:1">
      <c r="A10763" t="s">
        <v>11295</v>
      </c>
    </row>
    <row r="10764" spans="1:1">
      <c r="A10764" t="s">
        <v>11296</v>
      </c>
    </row>
    <row r="10765" spans="1:1">
      <c r="A10765" t="s">
        <v>11297</v>
      </c>
    </row>
    <row r="10766" spans="1:1">
      <c r="A10766" t="s">
        <v>11298</v>
      </c>
    </row>
    <row r="10767" spans="1:1">
      <c r="A10767" t="s">
        <v>11299</v>
      </c>
    </row>
    <row r="10768" spans="1:1">
      <c r="A10768" t="s">
        <v>11300</v>
      </c>
    </row>
    <row r="10769" spans="1:1">
      <c r="A10769" t="s">
        <v>11301</v>
      </c>
    </row>
    <row r="10770" spans="1:1">
      <c r="A10770" t="s">
        <v>11302</v>
      </c>
    </row>
    <row r="10771" spans="1:1">
      <c r="A10771" t="s">
        <v>11303</v>
      </c>
    </row>
    <row r="10772" spans="1:1">
      <c r="A10772" t="s">
        <v>11304</v>
      </c>
    </row>
    <row r="10773" spans="1:1">
      <c r="A10773" t="s">
        <v>11305</v>
      </c>
    </row>
    <row r="10774" spans="1:1">
      <c r="A10774" t="s">
        <v>11306</v>
      </c>
    </row>
    <row r="10775" spans="1:1">
      <c r="A10775" t="s">
        <v>11307</v>
      </c>
    </row>
    <row r="10776" spans="1:1">
      <c r="A10776" t="s">
        <v>11308</v>
      </c>
    </row>
    <row r="10777" spans="1:1">
      <c r="A10777" t="s">
        <v>11309</v>
      </c>
    </row>
    <row r="10778" spans="1:1">
      <c r="A10778" t="s">
        <v>11310</v>
      </c>
    </row>
    <row r="10779" spans="1:1">
      <c r="A10779" t="s">
        <v>11311</v>
      </c>
    </row>
    <row r="10780" spans="1:1">
      <c r="A10780" t="s">
        <v>11312</v>
      </c>
    </row>
    <row r="10781" spans="1:1">
      <c r="A10781" t="s">
        <v>11313</v>
      </c>
    </row>
    <row r="10782" spans="1:1">
      <c r="A10782" t="s">
        <v>11314</v>
      </c>
    </row>
    <row r="10783" spans="1:1">
      <c r="A10783" t="s">
        <v>11315</v>
      </c>
    </row>
    <row r="10784" spans="1:1">
      <c r="A10784" t="s">
        <v>11316</v>
      </c>
    </row>
    <row r="10785" spans="1:1">
      <c r="A10785" t="s">
        <v>11317</v>
      </c>
    </row>
    <row r="10786" spans="1:1">
      <c r="A10786" t="s">
        <v>11318</v>
      </c>
    </row>
    <row r="10787" spans="1:1">
      <c r="A10787" t="s">
        <v>11319</v>
      </c>
    </row>
    <row r="10788" spans="1:1">
      <c r="A10788" t="s">
        <v>11320</v>
      </c>
    </row>
    <row r="10789" spans="1:1">
      <c r="A10789" t="s">
        <v>11321</v>
      </c>
    </row>
    <row r="10790" spans="1:1">
      <c r="A10790" t="s">
        <v>11322</v>
      </c>
    </row>
    <row r="10791" spans="1:1">
      <c r="A10791" t="s">
        <v>11323</v>
      </c>
    </row>
    <row r="10792" spans="1:1">
      <c r="A10792" t="s">
        <v>11324</v>
      </c>
    </row>
    <row r="10793" spans="1:1">
      <c r="A10793" t="s">
        <v>11325</v>
      </c>
    </row>
    <row r="10794" spans="1:1">
      <c r="A10794" t="s">
        <v>11326</v>
      </c>
    </row>
    <row r="10795" spans="1:1">
      <c r="A10795" t="s">
        <v>11327</v>
      </c>
    </row>
    <row r="10796" spans="1:1">
      <c r="A10796" t="s">
        <v>11328</v>
      </c>
    </row>
    <row r="10797" spans="1:1">
      <c r="A10797" t="s">
        <v>11329</v>
      </c>
    </row>
    <row r="10798" spans="1:1">
      <c r="A10798" t="s">
        <v>11330</v>
      </c>
    </row>
    <row r="10799" spans="1:1">
      <c r="A10799" t="s">
        <v>11331</v>
      </c>
    </row>
    <row r="10800" spans="1:1">
      <c r="A10800" t="s">
        <v>11332</v>
      </c>
    </row>
    <row r="10801" spans="1:1">
      <c r="A10801" t="s">
        <v>11333</v>
      </c>
    </row>
    <row r="10802" spans="1:1">
      <c r="A10802" t="s">
        <v>11334</v>
      </c>
    </row>
    <row r="10803" spans="1:1">
      <c r="A10803" t="s">
        <v>11335</v>
      </c>
    </row>
    <row r="10804" spans="1:1">
      <c r="A10804" t="s">
        <v>11336</v>
      </c>
    </row>
    <row r="10805" spans="1:1">
      <c r="A10805" t="s">
        <v>11337</v>
      </c>
    </row>
    <row r="10806" spans="1:1">
      <c r="A10806" t="s">
        <v>11338</v>
      </c>
    </row>
    <row r="10807" spans="1:1">
      <c r="A10807" t="s">
        <v>11339</v>
      </c>
    </row>
    <row r="10808" spans="1:1">
      <c r="A10808" t="s">
        <v>11340</v>
      </c>
    </row>
    <row r="10809" spans="1:1">
      <c r="A10809" t="s">
        <v>11341</v>
      </c>
    </row>
    <row r="10810" spans="1:1">
      <c r="A10810" t="s">
        <v>11342</v>
      </c>
    </row>
    <row r="10811" spans="1:1">
      <c r="A10811" t="s">
        <v>11343</v>
      </c>
    </row>
    <row r="10812" spans="1:1">
      <c r="A10812" t="s">
        <v>11344</v>
      </c>
    </row>
    <row r="10813" spans="1:1">
      <c r="A10813" t="s">
        <v>11345</v>
      </c>
    </row>
    <row r="10814" spans="1:1">
      <c r="A10814" t="s">
        <v>11346</v>
      </c>
    </row>
    <row r="10815" spans="1:1">
      <c r="A10815" t="s">
        <v>11347</v>
      </c>
    </row>
    <row r="10816" spans="1:1">
      <c r="A10816" t="s">
        <v>11348</v>
      </c>
    </row>
    <row r="10817" spans="1:1">
      <c r="A10817" t="s">
        <v>11349</v>
      </c>
    </row>
    <row r="10818" spans="1:1">
      <c r="A10818" t="s">
        <v>11350</v>
      </c>
    </row>
    <row r="10819" spans="1:1">
      <c r="A10819" t="s">
        <v>11351</v>
      </c>
    </row>
    <row r="10820" spans="1:1">
      <c r="A10820" t="s">
        <v>11352</v>
      </c>
    </row>
    <row r="10821" spans="1:1">
      <c r="A10821" t="s">
        <v>11353</v>
      </c>
    </row>
    <row r="10822" spans="1:1">
      <c r="A10822" t="s">
        <v>11354</v>
      </c>
    </row>
    <row r="10823" spans="1:1">
      <c r="A10823" t="s">
        <v>11355</v>
      </c>
    </row>
    <row r="10824" spans="1:1">
      <c r="A10824" t="s">
        <v>11356</v>
      </c>
    </row>
    <row r="10825" spans="1:1">
      <c r="A10825" t="s">
        <v>11357</v>
      </c>
    </row>
    <row r="10826" spans="1:1">
      <c r="A10826" t="s">
        <v>11358</v>
      </c>
    </row>
    <row r="10827" spans="1:1">
      <c r="A10827" t="s">
        <v>11359</v>
      </c>
    </row>
    <row r="10828" spans="1:1">
      <c r="A10828" t="s">
        <v>11360</v>
      </c>
    </row>
    <row r="10829" spans="1:1">
      <c r="A10829" t="s">
        <v>11361</v>
      </c>
    </row>
    <row r="10830" spans="1:1">
      <c r="A10830" t="s">
        <v>11362</v>
      </c>
    </row>
    <row r="10831" spans="1:1">
      <c r="A10831" t="s">
        <v>11363</v>
      </c>
    </row>
    <row r="10832" spans="1:1">
      <c r="A10832" t="s">
        <v>11364</v>
      </c>
    </row>
    <row r="10833" spans="1:1">
      <c r="A10833" t="s">
        <v>11365</v>
      </c>
    </row>
    <row r="10834" spans="1:1">
      <c r="A10834" t="s">
        <v>11366</v>
      </c>
    </row>
    <row r="10835" spans="1:1">
      <c r="A10835" t="s">
        <v>11367</v>
      </c>
    </row>
    <row r="10836" spans="1:1">
      <c r="A10836" t="s">
        <v>11368</v>
      </c>
    </row>
    <row r="10837" spans="1:1">
      <c r="A10837" t="s">
        <v>11369</v>
      </c>
    </row>
    <row r="10838" spans="1:1">
      <c r="A10838" t="s">
        <v>11370</v>
      </c>
    </row>
    <row r="10839" spans="1:1">
      <c r="A10839" t="s">
        <v>11371</v>
      </c>
    </row>
    <row r="10840" spans="1:1">
      <c r="A10840" t="s">
        <v>11372</v>
      </c>
    </row>
    <row r="10841" spans="1:1">
      <c r="A10841" t="s">
        <v>11373</v>
      </c>
    </row>
    <row r="10842" spans="1:1">
      <c r="A10842" t="s">
        <v>11374</v>
      </c>
    </row>
    <row r="10843" spans="1:1">
      <c r="A10843" t="s">
        <v>11375</v>
      </c>
    </row>
    <row r="10844" spans="1:1">
      <c r="A10844" t="s">
        <v>11376</v>
      </c>
    </row>
    <row r="10845" spans="1:1">
      <c r="A10845" t="s">
        <v>11377</v>
      </c>
    </row>
    <row r="10846" spans="1:1">
      <c r="A10846" t="s">
        <v>11378</v>
      </c>
    </row>
    <row r="10847" spans="1:1">
      <c r="A10847" t="s">
        <v>11379</v>
      </c>
    </row>
    <row r="10848" spans="1:1">
      <c r="A10848" t="s">
        <v>11380</v>
      </c>
    </row>
    <row r="10849" spans="1:1">
      <c r="A10849" t="s">
        <v>11381</v>
      </c>
    </row>
    <row r="10850" spans="1:1">
      <c r="A10850" t="s">
        <v>11382</v>
      </c>
    </row>
    <row r="10851" spans="1:1">
      <c r="A10851" t="s">
        <v>11383</v>
      </c>
    </row>
    <row r="10852" spans="1:1">
      <c r="A10852" t="s">
        <v>11384</v>
      </c>
    </row>
    <row r="10853" spans="1:1">
      <c r="A10853" t="s">
        <v>11385</v>
      </c>
    </row>
    <row r="10854" spans="1:1">
      <c r="A10854" t="s">
        <v>11386</v>
      </c>
    </row>
    <row r="10855" spans="1:1">
      <c r="A10855" t="s">
        <v>11387</v>
      </c>
    </row>
    <row r="10856" spans="1:1">
      <c r="A10856" t="s">
        <v>11388</v>
      </c>
    </row>
    <row r="10857" spans="1:1">
      <c r="A10857" t="s">
        <v>11389</v>
      </c>
    </row>
    <row r="10858" spans="1:1">
      <c r="A10858" t="s">
        <v>11390</v>
      </c>
    </row>
    <row r="10859" spans="1:1">
      <c r="A10859" t="s">
        <v>11391</v>
      </c>
    </row>
    <row r="10860" spans="1:1">
      <c r="A10860" t="s">
        <v>11392</v>
      </c>
    </row>
    <row r="10861" spans="1:1">
      <c r="A10861" t="s">
        <v>11393</v>
      </c>
    </row>
    <row r="10862" spans="1:1">
      <c r="A10862" t="s">
        <v>11394</v>
      </c>
    </row>
    <row r="10863" spans="1:1">
      <c r="A10863" t="s">
        <v>11395</v>
      </c>
    </row>
    <row r="10864" spans="1:1">
      <c r="A10864" t="s">
        <v>11396</v>
      </c>
    </row>
    <row r="10865" spans="1:1">
      <c r="A10865" t="s">
        <v>11397</v>
      </c>
    </row>
    <row r="10866" spans="1:1">
      <c r="A10866" t="s">
        <v>11398</v>
      </c>
    </row>
    <row r="10867" spans="1:1">
      <c r="A10867" t="s">
        <v>11399</v>
      </c>
    </row>
    <row r="10868" spans="1:1">
      <c r="A10868" t="s">
        <v>11400</v>
      </c>
    </row>
    <row r="10869" spans="1:1">
      <c r="A10869" t="s">
        <v>11401</v>
      </c>
    </row>
    <row r="10870" spans="1:1">
      <c r="A10870" t="s">
        <v>11402</v>
      </c>
    </row>
    <row r="10871" spans="1:1">
      <c r="A10871" t="s">
        <v>11403</v>
      </c>
    </row>
    <row r="10872" spans="1:1">
      <c r="A10872" t="s">
        <v>11404</v>
      </c>
    </row>
    <row r="10873" spans="1:1">
      <c r="A10873" t="s">
        <v>11405</v>
      </c>
    </row>
    <row r="10874" spans="1:1">
      <c r="A10874" t="s">
        <v>11406</v>
      </c>
    </row>
    <row r="10875" spans="1:1">
      <c r="A10875" t="s">
        <v>11407</v>
      </c>
    </row>
    <row r="10876" spans="1:1">
      <c r="A10876" t="s">
        <v>11408</v>
      </c>
    </row>
    <row r="10877" spans="1:1">
      <c r="A10877" t="s">
        <v>11409</v>
      </c>
    </row>
    <row r="10878" spans="1:1">
      <c r="A10878" t="s">
        <v>11410</v>
      </c>
    </row>
    <row r="10879" spans="1:1">
      <c r="A10879" t="s">
        <v>11411</v>
      </c>
    </row>
    <row r="10880" spans="1:1">
      <c r="A10880" t="s">
        <v>11412</v>
      </c>
    </row>
    <row r="10881" spans="1:1">
      <c r="A10881" t="s">
        <v>11413</v>
      </c>
    </row>
    <row r="10882" spans="1:1">
      <c r="A10882" t="s">
        <v>11414</v>
      </c>
    </row>
    <row r="10883" spans="1:1">
      <c r="A10883" t="s">
        <v>11415</v>
      </c>
    </row>
    <row r="10884" spans="1:1">
      <c r="A10884" t="s">
        <v>11416</v>
      </c>
    </row>
    <row r="10885" spans="1:1">
      <c r="A10885" t="s">
        <v>11417</v>
      </c>
    </row>
    <row r="10886" spans="1:1">
      <c r="A10886" t="s">
        <v>11418</v>
      </c>
    </row>
    <row r="10887" spans="1:1">
      <c r="A10887" t="s">
        <v>11419</v>
      </c>
    </row>
    <row r="10888" spans="1:1">
      <c r="A10888" t="s">
        <v>11420</v>
      </c>
    </row>
    <row r="10889" spans="1:1">
      <c r="A10889" t="s">
        <v>11421</v>
      </c>
    </row>
    <row r="10890" spans="1:1">
      <c r="A10890" t="s">
        <v>11422</v>
      </c>
    </row>
    <row r="10891" spans="1:1">
      <c r="A10891" t="s">
        <v>11423</v>
      </c>
    </row>
    <row r="10892" spans="1:1">
      <c r="A10892" t="s">
        <v>11424</v>
      </c>
    </row>
    <row r="10893" spans="1:1">
      <c r="A10893" t="s">
        <v>11425</v>
      </c>
    </row>
    <row r="10894" spans="1:1">
      <c r="A10894" t="s">
        <v>11426</v>
      </c>
    </row>
    <row r="10895" spans="1:1">
      <c r="A10895" t="s">
        <v>11427</v>
      </c>
    </row>
    <row r="10896" spans="1:1">
      <c r="A10896" t="s">
        <v>11428</v>
      </c>
    </row>
    <row r="10897" spans="1:1">
      <c r="A10897" t="s">
        <v>11429</v>
      </c>
    </row>
    <row r="10898" spans="1:1">
      <c r="A10898" t="s">
        <v>11430</v>
      </c>
    </row>
    <row r="10899" spans="1:1">
      <c r="A10899" t="s">
        <v>11431</v>
      </c>
    </row>
    <row r="10900" spans="1:1">
      <c r="A10900" t="s">
        <v>11432</v>
      </c>
    </row>
    <row r="10901" spans="1:1">
      <c r="A10901" t="s">
        <v>11433</v>
      </c>
    </row>
    <row r="10902" spans="1:1">
      <c r="A10902" t="s">
        <v>11434</v>
      </c>
    </row>
    <row r="10903" spans="1:1">
      <c r="A10903" t="s">
        <v>11435</v>
      </c>
    </row>
    <row r="10904" spans="1:1">
      <c r="A10904" t="s">
        <v>11436</v>
      </c>
    </row>
    <row r="10905" spans="1:1">
      <c r="A10905" t="s">
        <v>11437</v>
      </c>
    </row>
    <row r="10906" spans="1:1">
      <c r="A10906" t="s">
        <v>11438</v>
      </c>
    </row>
    <row r="10907" spans="1:1">
      <c r="A10907" t="s">
        <v>11439</v>
      </c>
    </row>
    <row r="10908" spans="1:1">
      <c r="A10908" t="s">
        <v>11440</v>
      </c>
    </row>
    <row r="10909" spans="1:1">
      <c r="A10909" t="s">
        <v>11441</v>
      </c>
    </row>
    <row r="10910" spans="1:1">
      <c r="A10910" t="s">
        <v>11442</v>
      </c>
    </row>
    <row r="10911" spans="1:1">
      <c r="A10911" t="s">
        <v>11443</v>
      </c>
    </row>
    <row r="10912" spans="1:1">
      <c r="A10912" t="s">
        <v>11444</v>
      </c>
    </row>
    <row r="10913" spans="1:1">
      <c r="A10913" t="s">
        <v>11445</v>
      </c>
    </row>
    <row r="10914" spans="1:1">
      <c r="A10914" t="s">
        <v>11446</v>
      </c>
    </row>
    <row r="10915" spans="1:1">
      <c r="A10915" t="s">
        <v>11447</v>
      </c>
    </row>
    <row r="10916" spans="1:1">
      <c r="A10916" t="s">
        <v>11448</v>
      </c>
    </row>
    <row r="10917" spans="1:1">
      <c r="A10917" t="s">
        <v>11449</v>
      </c>
    </row>
    <row r="10918" spans="1:1">
      <c r="A10918" t="s">
        <v>11450</v>
      </c>
    </row>
    <row r="10919" spans="1:1">
      <c r="A10919" t="s">
        <v>11451</v>
      </c>
    </row>
    <row r="10920" spans="1:1">
      <c r="A10920" t="s">
        <v>11452</v>
      </c>
    </row>
    <row r="10921" spans="1:1">
      <c r="A10921" t="s">
        <v>11453</v>
      </c>
    </row>
    <row r="10922" spans="1:1">
      <c r="A10922" t="s">
        <v>11454</v>
      </c>
    </row>
    <row r="10923" spans="1:1">
      <c r="A10923" t="s">
        <v>11455</v>
      </c>
    </row>
    <row r="10924" spans="1:1">
      <c r="A10924" t="s">
        <v>11456</v>
      </c>
    </row>
    <row r="10925" spans="1:1">
      <c r="A10925" t="s">
        <v>11457</v>
      </c>
    </row>
    <row r="10926" spans="1:1">
      <c r="A10926" t="s">
        <v>11458</v>
      </c>
    </row>
    <row r="10927" spans="1:1">
      <c r="A10927" t="s">
        <v>11459</v>
      </c>
    </row>
    <row r="10928" spans="1:1">
      <c r="A10928" t="s">
        <v>11460</v>
      </c>
    </row>
    <row r="10929" spans="1:1">
      <c r="A10929" t="s">
        <v>11461</v>
      </c>
    </row>
    <row r="10930" spans="1:1">
      <c r="A10930" t="s">
        <v>11462</v>
      </c>
    </row>
    <row r="10931" spans="1:1">
      <c r="A10931" t="s">
        <v>11463</v>
      </c>
    </row>
    <row r="10932" spans="1:1">
      <c r="A10932" t="s">
        <v>11464</v>
      </c>
    </row>
    <row r="10933" spans="1:1">
      <c r="A10933" t="s">
        <v>11465</v>
      </c>
    </row>
    <row r="10934" spans="1:1">
      <c r="A10934" t="s">
        <v>11466</v>
      </c>
    </row>
    <row r="10935" spans="1:1">
      <c r="A10935" t="s">
        <v>11467</v>
      </c>
    </row>
    <row r="10936" spans="1:1">
      <c r="A10936" t="s">
        <v>11468</v>
      </c>
    </row>
    <row r="10937" spans="1:1">
      <c r="A10937" t="s">
        <v>11469</v>
      </c>
    </row>
    <row r="10938" spans="1:1">
      <c r="A10938" t="s">
        <v>11470</v>
      </c>
    </row>
    <row r="10939" spans="1:1">
      <c r="A10939" t="s">
        <v>11471</v>
      </c>
    </row>
    <row r="10940" spans="1:1">
      <c r="A10940" t="s">
        <v>11472</v>
      </c>
    </row>
    <row r="10941" spans="1:1">
      <c r="A10941" t="s">
        <v>11473</v>
      </c>
    </row>
    <row r="10942" spans="1:1">
      <c r="A10942" t="s">
        <v>11474</v>
      </c>
    </row>
    <row r="10943" spans="1:1">
      <c r="A10943" t="s">
        <v>11475</v>
      </c>
    </row>
    <row r="10944" spans="1:1">
      <c r="A10944" t="s">
        <v>11476</v>
      </c>
    </row>
    <row r="10945" spans="1:1">
      <c r="A10945" t="s">
        <v>11477</v>
      </c>
    </row>
    <row r="10946" spans="1:1">
      <c r="A10946" t="s">
        <v>11478</v>
      </c>
    </row>
    <row r="10947" spans="1:1">
      <c r="A10947" t="s">
        <v>11479</v>
      </c>
    </row>
    <row r="10948" spans="1:1">
      <c r="A10948" t="s">
        <v>11480</v>
      </c>
    </row>
    <row r="10949" spans="1:1">
      <c r="A10949" t="s">
        <v>11481</v>
      </c>
    </row>
    <row r="10950" spans="1:1">
      <c r="A10950" t="s">
        <v>11482</v>
      </c>
    </row>
    <row r="10951" spans="1:1">
      <c r="A10951" t="s">
        <v>11483</v>
      </c>
    </row>
    <row r="10952" spans="1:1">
      <c r="A10952" t="s">
        <v>11484</v>
      </c>
    </row>
    <row r="10953" spans="1:1">
      <c r="A10953" t="s">
        <v>11485</v>
      </c>
    </row>
    <row r="10954" spans="1:1">
      <c r="A10954" t="s">
        <v>11486</v>
      </c>
    </row>
    <row r="10955" spans="1:1">
      <c r="A10955" t="s">
        <v>11487</v>
      </c>
    </row>
    <row r="10956" spans="1:1">
      <c r="A10956" t="s">
        <v>11488</v>
      </c>
    </row>
    <row r="10957" spans="1:1">
      <c r="A10957" t="s">
        <v>11489</v>
      </c>
    </row>
    <row r="10958" spans="1:1">
      <c r="A10958" t="s">
        <v>11490</v>
      </c>
    </row>
    <row r="10959" spans="1:1">
      <c r="A10959" t="s">
        <v>11491</v>
      </c>
    </row>
    <row r="10960" spans="1:1">
      <c r="A10960" t="s">
        <v>11492</v>
      </c>
    </row>
    <row r="10961" spans="1:1">
      <c r="A10961" t="s">
        <v>11493</v>
      </c>
    </row>
    <row r="10962" spans="1:1">
      <c r="A10962" t="s">
        <v>11494</v>
      </c>
    </row>
    <row r="10963" spans="1:1">
      <c r="A10963" t="s">
        <v>11495</v>
      </c>
    </row>
    <row r="10964" spans="1:1">
      <c r="A10964" t="s">
        <v>11496</v>
      </c>
    </row>
    <row r="10965" spans="1:1">
      <c r="A10965" t="s">
        <v>11497</v>
      </c>
    </row>
    <row r="10966" spans="1:1">
      <c r="A10966" t="s">
        <v>11498</v>
      </c>
    </row>
    <row r="10967" spans="1:1">
      <c r="A10967" t="s">
        <v>11499</v>
      </c>
    </row>
    <row r="10968" spans="1:1">
      <c r="A10968" t="s">
        <v>11500</v>
      </c>
    </row>
    <row r="10969" spans="1:1">
      <c r="A10969" t="s">
        <v>11501</v>
      </c>
    </row>
    <row r="10970" spans="1:1">
      <c r="A10970" t="s">
        <v>11502</v>
      </c>
    </row>
    <row r="10971" spans="1:1">
      <c r="A10971" t="s">
        <v>11503</v>
      </c>
    </row>
    <row r="10972" spans="1:1">
      <c r="A10972" t="s">
        <v>11504</v>
      </c>
    </row>
    <row r="10973" spans="1:1">
      <c r="A10973" t="s">
        <v>11505</v>
      </c>
    </row>
    <row r="10974" spans="1:1">
      <c r="A10974" t="s">
        <v>11506</v>
      </c>
    </row>
    <row r="10975" spans="1:1">
      <c r="A10975" t="s">
        <v>11507</v>
      </c>
    </row>
    <row r="10976" spans="1:1">
      <c r="A10976" t="s">
        <v>11508</v>
      </c>
    </row>
    <row r="10977" spans="1:1">
      <c r="A10977" t="s">
        <v>11509</v>
      </c>
    </row>
    <row r="10978" spans="1:1">
      <c r="A10978" t="s">
        <v>11510</v>
      </c>
    </row>
    <row r="10979" spans="1:1">
      <c r="A10979" t="s">
        <v>11511</v>
      </c>
    </row>
    <row r="10980" spans="1:1">
      <c r="A10980" t="s">
        <v>11512</v>
      </c>
    </row>
    <row r="10981" spans="1:1">
      <c r="A10981" t="s">
        <v>11513</v>
      </c>
    </row>
    <row r="10982" spans="1:1">
      <c r="A10982" t="s">
        <v>11514</v>
      </c>
    </row>
    <row r="10983" spans="1:1">
      <c r="A10983" t="s">
        <v>11515</v>
      </c>
    </row>
    <row r="10984" spans="1:1">
      <c r="A10984" t="s">
        <v>11516</v>
      </c>
    </row>
    <row r="10985" spans="1:1">
      <c r="A10985" t="s">
        <v>11517</v>
      </c>
    </row>
    <row r="10986" spans="1:1">
      <c r="A10986" t="s">
        <v>11518</v>
      </c>
    </row>
    <row r="10987" spans="1:1">
      <c r="A10987" t="s">
        <v>11519</v>
      </c>
    </row>
    <row r="10988" spans="1:1">
      <c r="A10988" t="s">
        <v>11520</v>
      </c>
    </row>
    <row r="10989" spans="1:1">
      <c r="A10989" t="s">
        <v>11521</v>
      </c>
    </row>
    <row r="10990" spans="1:1">
      <c r="A10990" t="s">
        <v>11522</v>
      </c>
    </row>
    <row r="10991" spans="1:1">
      <c r="A10991" t="s">
        <v>11523</v>
      </c>
    </row>
    <row r="10992" spans="1:1">
      <c r="A10992" t="s">
        <v>11524</v>
      </c>
    </row>
    <row r="10993" spans="1:1">
      <c r="A10993" t="s">
        <v>11525</v>
      </c>
    </row>
    <row r="10994" spans="1:1">
      <c r="A10994" t="s">
        <v>11526</v>
      </c>
    </row>
    <row r="10995" spans="1:1">
      <c r="A10995" t="s">
        <v>11527</v>
      </c>
    </row>
    <row r="10996" spans="1:1">
      <c r="A10996" t="s">
        <v>11528</v>
      </c>
    </row>
    <row r="10997" spans="1:1">
      <c r="A10997" t="s">
        <v>11529</v>
      </c>
    </row>
    <row r="10998" spans="1:1">
      <c r="A10998" t="s">
        <v>11530</v>
      </c>
    </row>
    <row r="10999" spans="1:1">
      <c r="A10999" t="s">
        <v>11531</v>
      </c>
    </row>
    <row r="11000" spans="1:1">
      <c r="A11000" t="s">
        <v>11532</v>
      </c>
    </row>
    <row r="11001" spans="1:1">
      <c r="A11001" t="s">
        <v>11533</v>
      </c>
    </row>
    <row r="11002" spans="1:1">
      <c r="A11002" t="s">
        <v>11534</v>
      </c>
    </row>
    <row r="11003" spans="1:1">
      <c r="A11003" t="s">
        <v>11535</v>
      </c>
    </row>
    <row r="11004" spans="1:1">
      <c r="A11004" t="s">
        <v>11536</v>
      </c>
    </row>
    <row r="11005" spans="1:1">
      <c r="A11005" t="s">
        <v>11537</v>
      </c>
    </row>
    <row r="11006" spans="1:1">
      <c r="A11006" t="s">
        <v>11538</v>
      </c>
    </row>
    <row r="11007" spans="1:1">
      <c r="A11007" t="s">
        <v>11539</v>
      </c>
    </row>
    <row r="11008" spans="1:1">
      <c r="A11008" t="s">
        <v>11540</v>
      </c>
    </row>
    <row r="11009" spans="1:1">
      <c r="A11009" t="s">
        <v>11541</v>
      </c>
    </row>
    <row r="11010" spans="1:1">
      <c r="A11010" t="s">
        <v>11542</v>
      </c>
    </row>
    <row r="11011" spans="1:1">
      <c r="A11011" t="s">
        <v>11543</v>
      </c>
    </row>
    <row r="11012" spans="1:1">
      <c r="A11012" t="s">
        <v>11544</v>
      </c>
    </row>
    <row r="11013" spans="1:1">
      <c r="A11013" t="s">
        <v>11545</v>
      </c>
    </row>
    <row r="11014" spans="1:1">
      <c r="A11014" t="s">
        <v>11546</v>
      </c>
    </row>
    <row r="11015" spans="1:1">
      <c r="A11015" t="s">
        <v>11547</v>
      </c>
    </row>
    <row r="11016" spans="1:1">
      <c r="A11016" t="s">
        <v>11548</v>
      </c>
    </row>
    <row r="11017" spans="1:1">
      <c r="A11017" t="s">
        <v>11549</v>
      </c>
    </row>
    <row r="11018" spans="1:1">
      <c r="A11018" t="s">
        <v>11550</v>
      </c>
    </row>
    <row r="11019" spans="1:1">
      <c r="A11019" t="s">
        <v>11551</v>
      </c>
    </row>
    <row r="11020" spans="1:1">
      <c r="A11020" t="s">
        <v>11552</v>
      </c>
    </row>
    <row r="11021" spans="1:1">
      <c r="A11021" t="s">
        <v>11553</v>
      </c>
    </row>
    <row r="11022" spans="1:1">
      <c r="A11022" t="s">
        <v>11554</v>
      </c>
    </row>
    <row r="11023" spans="1:1">
      <c r="A11023" t="s">
        <v>11555</v>
      </c>
    </row>
    <row r="11024" spans="1:1">
      <c r="A11024" t="s">
        <v>11556</v>
      </c>
    </row>
    <row r="11025" spans="1:1">
      <c r="A11025" t="s">
        <v>11557</v>
      </c>
    </row>
    <row r="11026" spans="1:1">
      <c r="A11026" t="s">
        <v>11558</v>
      </c>
    </row>
    <row r="11027" spans="1:1">
      <c r="A11027" t="s">
        <v>11559</v>
      </c>
    </row>
    <row r="11028" spans="1:1">
      <c r="A11028" t="s">
        <v>11560</v>
      </c>
    </row>
    <row r="11029" spans="1:1">
      <c r="A11029" t="s">
        <v>11561</v>
      </c>
    </row>
    <row r="11030" spans="1:1">
      <c r="A11030" t="s">
        <v>11562</v>
      </c>
    </row>
    <row r="11031" spans="1:1">
      <c r="A11031" t="s">
        <v>11563</v>
      </c>
    </row>
    <row r="11032" spans="1:1">
      <c r="A11032" t="s">
        <v>11564</v>
      </c>
    </row>
    <row r="11033" spans="1:1">
      <c r="A11033" t="s">
        <v>11565</v>
      </c>
    </row>
    <row r="11034" spans="1:1">
      <c r="A11034" t="s">
        <v>11566</v>
      </c>
    </row>
    <row r="11035" spans="1:1">
      <c r="A11035" t="s">
        <v>11567</v>
      </c>
    </row>
    <row r="11036" spans="1:1">
      <c r="A11036" t="s">
        <v>11568</v>
      </c>
    </row>
    <row r="11037" spans="1:1">
      <c r="A11037" t="s">
        <v>11569</v>
      </c>
    </row>
    <row r="11038" spans="1:1">
      <c r="A11038" t="s">
        <v>11570</v>
      </c>
    </row>
    <row r="11039" spans="1:1">
      <c r="A11039" t="s">
        <v>11571</v>
      </c>
    </row>
    <row r="11040" spans="1:1">
      <c r="A11040" t="s">
        <v>11572</v>
      </c>
    </row>
    <row r="11041" spans="1:1">
      <c r="A11041" t="s">
        <v>11573</v>
      </c>
    </row>
    <row r="11042" spans="1:1">
      <c r="A11042" t="s">
        <v>11574</v>
      </c>
    </row>
    <row r="11043" spans="1:1">
      <c r="A11043" t="s">
        <v>11575</v>
      </c>
    </row>
    <row r="11044" spans="1:1">
      <c r="A11044" t="s">
        <v>11576</v>
      </c>
    </row>
    <row r="11045" spans="1:1">
      <c r="A11045" t="s">
        <v>11577</v>
      </c>
    </row>
    <row r="11046" spans="1:1">
      <c r="A11046" t="s">
        <v>11578</v>
      </c>
    </row>
    <row r="11047" spans="1:1">
      <c r="A11047" t="s">
        <v>11579</v>
      </c>
    </row>
    <row r="11048" spans="1:1">
      <c r="A11048" t="s">
        <v>11580</v>
      </c>
    </row>
    <row r="11049" spans="1:1">
      <c r="A11049" t="s">
        <v>11581</v>
      </c>
    </row>
    <row r="11050" spans="1:1">
      <c r="A11050" t="s">
        <v>11582</v>
      </c>
    </row>
    <row r="11051" spans="1:1">
      <c r="A11051" t="s">
        <v>11583</v>
      </c>
    </row>
    <row r="11052" spans="1:1">
      <c r="A11052" t="s">
        <v>11584</v>
      </c>
    </row>
    <row r="11053" spans="1:1">
      <c r="A11053" t="s">
        <v>11585</v>
      </c>
    </row>
    <row r="11054" spans="1:1">
      <c r="A11054" t="s">
        <v>11586</v>
      </c>
    </row>
    <row r="11055" spans="1:1">
      <c r="A11055" t="s">
        <v>11587</v>
      </c>
    </row>
    <row r="11056" spans="1:1">
      <c r="A11056" t="s">
        <v>11588</v>
      </c>
    </row>
    <row r="11057" spans="1:1">
      <c r="A11057" t="s">
        <v>11589</v>
      </c>
    </row>
    <row r="11058" spans="1:1">
      <c r="A11058" t="s">
        <v>11590</v>
      </c>
    </row>
    <row r="11059" spans="1:1">
      <c r="A11059" t="s">
        <v>11591</v>
      </c>
    </row>
    <row r="11060" spans="1:1">
      <c r="A11060" t="s">
        <v>11592</v>
      </c>
    </row>
    <row r="11061" spans="1:1">
      <c r="A11061" t="s">
        <v>11593</v>
      </c>
    </row>
    <row r="11062" spans="1:1">
      <c r="A11062" t="s">
        <v>11594</v>
      </c>
    </row>
    <row r="11063" spans="1:1">
      <c r="A11063" t="s">
        <v>11595</v>
      </c>
    </row>
    <row r="11064" spans="1:1">
      <c r="A11064" t="s">
        <v>11596</v>
      </c>
    </row>
    <row r="11065" spans="1:1">
      <c r="A11065" t="s">
        <v>11597</v>
      </c>
    </row>
    <row r="11066" spans="1:1">
      <c r="A11066" t="s">
        <v>11598</v>
      </c>
    </row>
    <row r="11067" spans="1:1">
      <c r="A11067" t="s">
        <v>11599</v>
      </c>
    </row>
    <row r="11068" spans="1:1">
      <c r="A11068" t="s">
        <v>11600</v>
      </c>
    </row>
    <row r="11069" spans="1:1">
      <c r="A11069" t="s">
        <v>11601</v>
      </c>
    </row>
    <row r="11070" spans="1:1">
      <c r="A11070" t="s">
        <v>11602</v>
      </c>
    </row>
    <row r="11071" spans="1:1">
      <c r="A11071" t="s">
        <v>11603</v>
      </c>
    </row>
    <row r="11072" spans="1:1">
      <c r="A11072" t="s">
        <v>11604</v>
      </c>
    </row>
    <row r="11073" spans="1:1">
      <c r="A11073" t="s">
        <v>11605</v>
      </c>
    </row>
    <row r="11074" spans="1:1">
      <c r="A11074" t="s">
        <v>11606</v>
      </c>
    </row>
    <row r="11075" spans="1:1">
      <c r="A11075" t="s">
        <v>11607</v>
      </c>
    </row>
    <row r="11076" spans="1:1">
      <c r="A11076" t="s">
        <v>11608</v>
      </c>
    </row>
    <row r="11077" spans="1:1">
      <c r="A11077" t="s">
        <v>11609</v>
      </c>
    </row>
    <row r="11078" spans="1:1">
      <c r="A11078" t="s">
        <v>11610</v>
      </c>
    </row>
    <row r="11079" spans="1:1">
      <c r="A11079" t="s">
        <v>11611</v>
      </c>
    </row>
    <row r="11080" spans="1:1">
      <c r="A11080" t="s">
        <v>11612</v>
      </c>
    </row>
    <row r="11081" spans="1:1">
      <c r="A11081" t="s">
        <v>11613</v>
      </c>
    </row>
    <row r="11082" spans="1:1">
      <c r="A11082" t="s">
        <v>11614</v>
      </c>
    </row>
    <row r="11083" spans="1:1">
      <c r="A11083" t="s">
        <v>11615</v>
      </c>
    </row>
    <row r="11084" spans="1:1">
      <c r="A11084" t="s">
        <v>11616</v>
      </c>
    </row>
    <row r="11085" spans="1:1">
      <c r="A11085" t="s">
        <v>11617</v>
      </c>
    </row>
    <row r="11086" spans="1:1">
      <c r="A11086" t="s">
        <v>11618</v>
      </c>
    </row>
    <row r="11087" spans="1:1">
      <c r="A11087" t="s">
        <v>11619</v>
      </c>
    </row>
    <row r="11088" spans="1:1">
      <c r="A11088" t="s">
        <v>11620</v>
      </c>
    </row>
    <row r="11089" spans="1:1">
      <c r="A11089" t="s">
        <v>11621</v>
      </c>
    </row>
    <row r="11090" spans="1:1">
      <c r="A11090" t="s">
        <v>11622</v>
      </c>
    </row>
    <row r="11091" spans="1:1">
      <c r="A11091" t="s">
        <v>11623</v>
      </c>
    </row>
    <row r="11092" spans="1:1">
      <c r="A11092" t="s">
        <v>11624</v>
      </c>
    </row>
    <row r="11093" spans="1:1">
      <c r="A11093" t="s">
        <v>11625</v>
      </c>
    </row>
    <row r="11094" spans="1:1">
      <c r="A11094" t="s">
        <v>11626</v>
      </c>
    </row>
    <row r="11095" spans="1:1">
      <c r="A11095" t="s">
        <v>11627</v>
      </c>
    </row>
    <row r="11096" spans="1:1">
      <c r="A11096" t="s">
        <v>11628</v>
      </c>
    </row>
    <row r="11097" spans="1:1">
      <c r="A11097" t="s">
        <v>11629</v>
      </c>
    </row>
    <row r="11098" spans="1:1">
      <c r="A11098" t="s">
        <v>11630</v>
      </c>
    </row>
    <row r="11099" spans="1:1">
      <c r="A11099" t="s">
        <v>11631</v>
      </c>
    </row>
    <row r="11100" spans="1:1">
      <c r="A11100" t="s">
        <v>11632</v>
      </c>
    </row>
    <row r="11101" spans="1:1">
      <c r="A11101" t="s">
        <v>11633</v>
      </c>
    </row>
    <row r="11102" spans="1:1">
      <c r="A11102" t="s">
        <v>11634</v>
      </c>
    </row>
    <row r="11103" spans="1:1">
      <c r="A11103" t="s">
        <v>11635</v>
      </c>
    </row>
    <row r="11104" spans="1:1">
      <c r="A11104" t="s">
        <v>11636</v>
      </c>
    </row>
    <row r="11105" spans="1:1">
      <c r="A11105" t="s">
        <v>11637</v>
      </c>
    </row>
    <row r="11106" spans="1:1">
      <c r="A11106" t="s">
        <v>11638</v>
      </c>
    </row>
    <row r="11107" spans="1:1">
      <c r="A11107" t="s">
        <v>11639</v>
      </c>
    </row>
    <row r="11108" spans="1:1">
      <c r="A11108" t="s">
        <v>11640</v>
      </c>
    </row>
    <row r="11109" spans="1:1">
      <c r="A11109" t="s">
        <v>11641</v>
      </c>
    </row>
    <row r="11110" spans="1:1">
      <c r="A11110" t="s">
        <v>11642</v>
      </c>
    </row>
    <row r="11111" spans="1:1">
      <c r="A11111" t="s">
        <v>11643</v>
      </c>
    </row>
    <row r="11112" spans="1:1">
      <c r="A11112" t="s">
        <v>11644</v>
      </c>
    </row>
    <row r="11113" spans="1:1">
      <c r="A11113" t="s">
        <v>11645</v>
      </c>
    </row>
    <row r="11114" spans="1:1">
      <c r="A11114" t="s">
        <v>11646</v>
      </c>
    </row>
    <row r="11115" spans="1:1">
      <c r="A11115" t="s">
        <v>11647</v>
      </c>
    </row>
    <row r="11116" spans="1:1">
      <c r="A11116" t="s">
        <v>11648</v>
      </c>
    </row>
    <row r="11117" spans="1:1">
      <c r="A11117" t="s">
        <v>11649</v>
      </c>
    </row>
    <row r="11118" spans="1:1">
      <c r="A11118" t="s">
        <v>11650</v>
      </c>
    </row>
    <row r="11119" spans="1:1">
      <c r="A11119" t="s">
        <v>11651</v>
      </c>
    </row>
    <row r="11120" spans="1:1">
      <c r="A11120" t="s">
        <v>11652</v>
      </c>
    </row>
    <row r="11121" spans="1:1">
      <c r="A11121" t="s">
        <v>11653</v>
      </c>
    </row>
    <row r="11122" spans="1:1">
      <c r="A11122" t="s">
        <v>11654</v>
      </c>
    </row>
    <row r="11123" spans="1:1">
      <c r="A11123" t="s">
        <v>11655</v>
      </c>
    </row>
    <row r="11124" spans="1:1">
      <c r="A11124" t="s">
        <v>11656</v>
      </c>
    </row>
    <row r="11125" spans="1:1">
      <c r="A11125" t="s">
        <v>11657</v>
      </c>
    </row>
    <row r="11126" spans="1:1">
      <c r="A11126" t="s">
        <v>11658</v>
      </c>
    </row>
    <row r="11127" spans="1:1">
      <c r="A11127" t="s">
        <v>11659</v>
      </c>
    </row>
    <row r="11128" spans="1:1">
      <c r="A11128" t="s">
        <v>11660</v>
      </c>
    </row>
    <row r="11129" spans="1:1">
      <c r="A11129" t="s">
        <v>11661</v>
      </c>
    </row>
    <row r="11130" spans="1:1">
      <c r="A11130" t="s">
        <v>11662</v>
      </c>
    </row>
    <row r="11131" spans="1:1">
      <c r="A11131" t="s">
        <v>11663</v>
      </c>
    </row>
    <row r="11132" spans="1:1">
      <c r="A11132" t="s">
        <v>11664</v>
      </c>
    </row>
    <row r="11133" spans="1:1">
      <c r="A11133" t="s">
        <v>11665</v>
      </c>
    </row>
    <row r="11134" spans="1:1">
      <c r="A11134" t="s">
        <v>11666</v>
      </c>
    </row>
    <row r="11135" spans="1:1">
      <c r="A11135" t="s">
        <v>11667</v>
      </c>
    </row>
    <row r="11136" spans="1:1">
      <c r="A11136" t="s">
        <v>11668</v>
      </c>
    </row>
    <row r="11137" spans="1:1">
      <c r="A11137" t="s">
        <v>11669</v>
      </c>
    </row>
    <row r="11138" spans="1:1">
      <c r="A11138" t="s">
        <v>11670</v>
      </c>
    </row>
    <row r="11139" spans="1:1">
      <c r="A11139" t="s">
        <v>11671</v>
      </c>
    </row>
    <row r="11140" spans="1:1">
      <c r="A11140" t="s">
        <v>11672</v>
      </c>
    </row>
    <row r="11141" spans="1:1">
      <c r="A11141" t="s">
        <v>11673</v>
      </c>
    </row>
    <row r="11142" spans="1:1">
      <c r="A11142" t="s">
        <v>11674</v>
      </c>
    </row>
    <row r="11143" spans="1:1">
      <c r="A11143" t="s">
        <v>11675</v>
      </c>
    </row>
    <row r="11144" spans="1:1">
      <c r="A11144" t="s">
        <v>11676</v>
      </c>
    </row>
    <row r="11145" spans="1:1">
      <c r="A11145" t="s">
        <v>11677</v>
      </c>
    </row>
    <row r="11146" spans="1:1">
      <c r="A11146" t="s">
        <v>11678</v>
      </c>
    </row>
    <row r="11147" spans="1:1">
      <c r="A11147" t="s">
        <v>11679</v>
      </c>
    </row>
    <row r="11148" spans="1:1">
      <c r="A11148" t="s">
        <v>11680</v>
      </c>
    </row>
    <row r="11149" spans="1:1">
      <c r="A11149" t="s">
        <v>11681</v>
      </c>
    </row>
    <row r="11150" spans="1:1">
      <c r="A11150" t="s">
        <v>11682</v>
      </c>
    </row>
    <row r="11151" spans="1:1">
      <c r="A11151" t="s">
        <v>11683</v>
      </c>
    </row>
    <row r="11152" spans="1:1">
      <c r="A11152" t="s">
        <v>11684</v>
      </c>
    </row>
    <row r="11153" spans="1:1">
      <c r="A11153" t="s">
        <v>11685</v>
      </c>
    </row>
    <row r="11154" spans="1:1">
      <c r="A11154" t="s">
        <v>11686</v>
      </c>
    </row>
    <row r="11155" spans="1:1">
      <c r="A11155" t="s">
        <v>11687</v>
      </c>
    </row>
    <row r="11156" spans="1:1">
      <c r="A11156" t="s">
        <v>11688</v>
      </c>
    </row>
    <row r="11157" spans="1:1">
      <c r="A11157" t="s">
        <v>11689</v>
      </c>
    </row>
    <row r="11158" spans="1:1">
      <c r="A11158" t="s">
        <v>11690</v>
      </c>
    </row>
    <row r="11159" spans="1:1">
      <c r="A11159" t="s">
        <v>11691</v>
      </c>
    </row>
    <row r="11160" spans="1:1">
      <c r="A11160" t="s">
        <v>11692</v>
      </c>
    </row>
    <row r="11161" spans="1:1">
      <c r="A11161" t="s">
        <v>11693</v>
      </c>
    </row>
    <row r="11162" spans="1:1">
      <c r="A11162" t="s">
        <v>11694</v>
      </c>
    </row>
    <row r="11163" spans="1:1">
      <c r="A11163" t="s">
        <v>11695</v>
      </c>
    </row>
    <row r="11164" spans="1:1">
      <c r="A11164" t="s">
        <v>11696</v>
      </c>
    </row>
    <row r="11165" spans="1:1">
      <c r="A11165" t="s">
        <v>11697</v>
      </c>
    </row>
    <row r="11166" spans="1:1">
      <c r="A11166" t="s">
        <v>11698</v>
      </c>
    </row>
    <row r="11167" spans="1:1">
      <c r="A11167" t="s">
        <v>11699</v>
      </c>
    </row>
    <row r="11168" spans="1:1">
      <c r="A11168" t="s">
        <v>11700</v>
      </c>
    </row>
    <row r="11169" spans="1:1">
      <c r="A11169" t="s">
        <v>11701</v>
      </c>
    </row>
    <row r="11170" spans="1:1">
      <c r="A11170" t="s">
        <v>11702</v>
      </c>
    </row>
    <row r="11171" spans="1:1">
      <c r="A11171" t="s">
        <v>11703</v>
      </c>
    </row>
    <row r="11172" spans="1:1">
      <c r="A11172" t="s">
        <v>11704</v>
      </c>
    </row>
    <row r="11173" spans="1:1">
      <c r="A11173" t="s">
        <v>11705</v>
      </c>
    </row>
    <row r="11174" spans="1:1">
      <c r="A11174" t="s">
        <v>11706</v>
      </c>
    </row>
    <row r="11175" spans="1:1">
      <c r="A11175" t="s">
        <v>11707</v>
      </c>
    </row>
    <row r="11176" spans="1:1">
      <c r="A11176" t="s">
        <v>11708</v>
      </c>
    </row>
    <row r="11177" spans="1:1">
      <c r="A11177" t="s">
        <v>11709</v>
      </c>
    </row>
    <row r="11178" spans="1:1">
      <c r="A11178" t="s">
        <v>11710</v>
      </c>
    </row>
    <row r="11179" spans="1:1">
      <c r="A11179" t="s">
        <v>11711</v>
      </c>
    </row>
    <row r="11180" spans="1:1">
      <c r="A11180" t="s">
        <v>11712</v>
      </c>
    </row>
    <row r="11181" spans="1:1">
      <c r="A11181" t="s">
        <v>11713</v>
      </c>
    </row>
    <row r="11182" spans="1:1">
      <c r="A11182" t="s">
        <v>11714</v>
      </c>
    </row>
    <row r="11183" spans="1:1">
      <c r="A11183" t="s">
        <v>11715</v>
      </c>
    </row>
    <row r="11184" spans="1:1">
      <c r="A11184" t="s">
        <v>11716</v>
      </c>
    </row>
    <row r="11185" spans="1:1">
      <c r="A11185" t="s">
        <v>11717</v>
      </c>
    </row>
    <row r="11186" spans="1:1">
      <c r="A11186" t="s">
        <v>11718</v>
      </c>
    </row>
    <row r="11187" spans="1:1">
      <c r="A11187" t="s">
        <v>11719</v>
      </c>
    </row>
    <row r="11188" spans="1:1">
      <c r="A11188" t="s">
        <v>11720</v>
      </c>
    </row>
    <row r="11189" spans="1:1">
      <c r="A11189" t="s">
        <v>11721</v>
      </c>
    </row>
    <row r="11190" spans="1:1">
      <c r="A11190" t="s">
        <v>11722</v>
      </c>
    </row>
    <row r="11191" spans="1:1">
      <c r="A11191" t="s">
        <v>11723</v>
      </c>
    </row>
    <row r="11192" spans="1:1">
      <c r="A11192" t="s">
        <v>11724</v>
      </c>
    </row>
    <row r="11193" spans="1:1">
      <c r="A11193" t="s">
        <v>11725</v>
      </c>
    </row>
    <row r="11194" spans="1:1">
      <c r="A11194" t="s">
        <v>11726</v>
      </c>
    </row>
    <row r="11195" spans="1:1">
      <c r="A11195" t="s">
        <v>11727</v>
      </c>
    </row>
    <row r="11196" spans="1:1">
      <c r="A11196" t="s">
        <v>11728</v>
      </c>
    </row>
    <row r="11197" spans="1:1">
      <c r="A11197" t="s">
        <v>11729</v>
      </c>
    </row>
    <row r="11198" spans="1:1">
      <c r="A11198" t="s">
        <v>11730</v>
      </c>
    </row>
    <row r="11199" spans="1:1">
      <c r="A11199" t="s">
        <v>11731</v>
      </c>
    </row>
    <row r="11200" spans="1:1">
      <c r="A11200" t="s">
        <v>11732</v>
      </c>
    </row>
    <row r="11201" spans="1:1">
      <c r="A11201" t="s">
        <v>11733</v>
      </c>
    </row>
    <row r="11202" spans="1:1">
      <c r="A11202" t="s">
        <v>11734</v>
      </c>
    </row>
    <row r="11203" spans="1:1">
      <c r="A11203" t="s">
        <v>11735</v>
      </c>
    </row>
    <row r="11204" spans="1:1">
      <c r="A11204" t="s">
        <v>11736</v>
      </c>
    </row>
    <row r="11205" spans="1:1">
      <c r="A11205" t="s">
        <v>11737</v>
      </c>
    </row>
    <row r="11206" spans="1:1">
      <c r="A11206" t="s">
        <v>11738</v>
      </c>
    </row>
    <row r="11207" spans="1:1">
      <c r="A11207" t="s">
        <v>11739</v>
      </c>
    </row>
    <row r="11208" spans="1:1">
      <c r="A11208" t="s">
        <v>11740</v>
      </c>
    </row>
    <row r="11209" spans="1:1">
      <c r="A11209" t="s">
        <v>11741</v>
      </c>
    </row>
    <row r="11210" spans="1:1">
      <c r="A11210" t="s">
        <v>11742</v>
      </c>
    </row>
    <row r="11211" spans="1:1">
      <c r="A11211" t="s">
        <v>11743</v>
      </c>
    </row>
    <row r="11212" spans="1:1">
      <c r="A11212" t="s">
        <v>11744</v>
      </c>
    </row>
    <row r="11213" spans="1:1">
      <c r="A11213" t="s">
        <v>11745</v>
      </c>
    </row>
    <row r="11214" spans="1:1">
      <c r="A11214" t="s">
        <v>11746</v>
      </c>
    </row>
    <row r="11215" spans="1:1">
      <c r="A11215" t="s">
        <v>11747</v>
      </c>
    </row>
    <row r="11216" spans="1:1">
      <c r="A11216" t="s">
        <v>11748</v>
      </c>
    </row>
    <row r="11217" spans="1:1">
      <c r="A11217" t="s">
        <v>11749</v>
      </c>
    </row>
    <row r="11218" spans="1:1">
      <c r="A11218" t="s">
        <v>11750</v>
      </c>
    </row>
    <row r="11219" spans="1:1">
      <c r="A11219" t="s">
        <v>11751</v>
      </c>
    </row>
    <row r="11220" spans="1:1">
      <c r="A11220" t="s">
        <v>11752</v>
      </c>
    </row>
    <row r="11221" spans="1:1">
      <c r="A11221" t="s">
        <v>11753</v>
      </c>
    </row>
    <row r="11222" spans="1:1">
      <c r="A11222" t="s">
        <v>11754</v>
      </c>
    </row>
    <row r="11223" spans="1:1">
      <c r="A11223" t="s">
        <v>11755</v>
      </c>
    </row>
    <row r="11224" spans="1:1">
      <c r="A11224" t="s">
        <v>11756</v>
      </c>
    </row>
    <row r="11225" spans="1:1">
      <c r="A11225" t="s">
        <v>11757</v>
      </c>
    </row>
    <row r="11226" spans="1:1">
      <c r="A11226" t="s">
        <v>11758</v>
      </c>
    </row>
    <row r="11227" spans="1:1">
      <c r="A11227" t="s">
        <v>11759</v>
      </c>
    </row>
    <row r="11228" spans="1:1">
      <c r="A11228" t="s">
        <v>11760</v>
      </c>
    </row>
    <row r="11229" spans="1:1">
      <c r="A11229" t="s">
        <v>11761</v>
      </c>
    </row>
    <row r="11230" spans="1:1">
      <c r="A11230" t="s">
        <v>11762</v>
      </c>
    </row>
    <row r="11231" spans="1:1">
      <c r="A11231" t="s">
        <v>11763</v>
      </c>
    </row>
    <row r="11232" spans="1:1">
      <c r="A11232" t="s">
        <v>11764</v>
      </c>
    </row>
    <row r="11233" spans="1:1">
      <c r="A11233" t="s">
        <v>11765</v>
      </c>
    </row>
    <row r="11234" spans="1:1">
      <c r="A11234" t="s">
        <v>11766</v>
      </c>
    </row>
    <row r="11235" spans="1:1">
      <c r="A11235" t="s">
        <v>11767</v>
      </c>
    </row>
    <row r="11236" spans="1:1">
      <c r="A11236" t="s">
        <v>11768</v>
      </c>
    </row>
    <row r="11237" spans="1:1">
      <c r="A11237" t="s">
        <v>11769</v>
      </c>
    </row>
    <row r="11238" spans="1:1">
      <c r="A11238" t="s">
        <v>11770</v>
      </c>
    </row>
    <row r="11239" spans="1:1">
      <c r="A11239" t="s">
        <v>11771</v>
      </c>
    </row>
    <row r="11240" spans="1:1">
      <c r="A11240" t="s">
        <v>11772</v>
      </c>
    </row>
    <row r="11241" spans="1:1">
      <c r="A11241" t="s">
        <v>11773</v>
      </c>
    </row>
    <row r="11242" spans="1:1">
      <c r="A11242" t="s">
        <v>11774</v>
      </c>
    </row>
    <row r="11243" spans="1:1">
      <c r="A11243" t="s">
        <v>11775</v>
      </c>
    </row>
    <row r="11244" spans="1:1">
      <c r="A11244" t="s">
        <v>11776</v>
      </c>
    </row>
    <row r="11245" spans="1:1">
      <c r="A11245" t="s">
        <v>11777</v>
      </c>
    </row>
    <row r="11246" spans="1:1">
      <c r="A11246" t="s">
        <v>11778</v>
      </c>
    </row>
    <row r="11247" spans="1:1">
      <c r="A11247" t="s">
        <v>11779</v>
      </c>
    </row>
    <row r="11248" spans="1:1">
      <c r="A11248" t="s">
        <v>11780</v>
      </c>
    </row>
    <row r="11249" spans="1:1">
      <c r="A11249" t="s">
        <v>11781</v>
      </c>
    </row>
    <row r="11250" spans="1:1">
      <c r="A11250" t="s">
        <v>11782</v>
      </c>
    </row>
    <row r="11251" spans="1:1">
      <c r="A11251" t="s">
        <v>11783</v>
      </c>
    </row>
    <row r="11252" spans="1:1">
      <c r="A11252" t="s">
        <v>11784</v>
      </c>
    </row>
    <row r="11253" spans="1:1">
      <c r="A11253" t="s">
        <v>11785</v>
      </c>
    </row>
    <row r="11254" spans="1:1">
      <c r="A11254" t="s">
        <v>11786</v>
      </c>
    </row>
    <row r="11255" spans="1:1">
      <c r="A11255" t="s">
        <v>11787</v>
      </c>
    </row>
    <row r="11256" spans="1:1">
      <c r="A11256" t="s">
        <v>11788</v>
      </c>
    </row>
    <row r="11257" spans="1:1">
      <c r="A11257" t="s">
        <v>11789</v>
      </c>
    </row>
    <row r="11258" spans="1:1">
      <c r="A11258" t="s">
        <v>11790</v>
      </c>
    </row>
    <row r="11259" spans="1:1">
      <c r="A11259" t="s">
        <v>11791</v>
      </c>
    </row>
    <row r="11260" spans="1:1">
      <c r="A11260" t="s">
        <v>11792</v>
      </c>
    </row>
    <row r="11261" spans="1:1">
      <c r="A11261" t="s">
        <v>11793</v>
      </c>
    </row>
    <row r="11262" spans="1:1">
      <c r="A11262" t="s">
        <v>11794</v>
      </c>
    </row>
    <row r="11263" spans="1:1">
      <c r="A11263" t="s">
        <v>11795</v>
      </c>
    </row>
    <row r="11264" spans="1:1">
      <c r="A11264" t="s">
        <v>11796</v>
      </c>
    </row>
    <row r="11265" spans="1:1">
      <c r="A11265" t="s">
        <v>11797</v>
      </c>
    </row>
    <row r="11266" spans="1:1">
      <c r="A11266" t="s">
        <v>11798</v>
      </c>
    </row>
    <row r="11267" spans="1:1">
      <c r="A11267" t="s">
        <v>11799</v>
      </c>
    </row>
    <row r="11268" spans="1:1">
      <c r="A11268" t="s">
        <v>11800</v>
      </c>
    </row>
    <row r="11269" spans="1:1">
      <c r="A11269" t="s">
        <v>11801</v>
      </c>
    </row>
    <row r="11270" spans="1:1">
      <c r="A11270" t="s">
        <v>11802</v>
      </c>
    </row>
    <row r="11271" spans="1:1">
      <c r="A11271" t="s">
        <v>11803</v>
      </c>
    </row>
    <row r="11272" spans="1:1">
      <c r="A11272" t="s">
        <v>11804</v>
      </c>
    </row>
    <row r="11273" spans="1:1">
      <c r="A11273" t="s">
        <v>11805</v>
      </c>
    </row>
    <row r="11274" spans="1:1">
      <c r="A11274" t="s">
        <v>11806</v>
      </c>
    </row>
    <row r="11275" spans="1:1">
      <c r="A11275" t="s">
        <v>11807</v>
      </c>
    </row>
    <row r="11276" spans="1:1">
      <c r="A11276" t="s">
        <v>11808</v>
      </c>
    </row>
    <row r="11277" spans="1:1">
      <c r="A11277" t="s">
        <v>11809</v>
      </c>
    </row>
    <row r="11278" spans="1:1">
      <c r="A11278" t="s">
        <v>11810</v>
      </c>
    </row>
    <row r="11279" spans="1:1">
      <c r="A11279" t="s">
        <v>11811</v>
      </c>
    </row>
    <row r="11280" spans="1:1">
      <c r="A11280" t="s">
        <v>11812</v>
      </c>
    </row>
    <row r="11281" spans="1:1">
      <c r="A11281" t="s">
        <v>11813</v>
      </c>
    </row>
    <row r="11282" spans="1:1">
      <c r="A11282" t="s">
        <v>11814</v>
      </c>
    </row>
    <row r="11283" spans="1:1">
      <c r="A11283" t="s">
        <v>11815</v>
      </c>
    </row>
    <row r="11284" spans="1:1">
      <c r="A11284" t="s">
        <v>11816</v>
      </c>
    </row>
    <row r="11285" spans="1:1">
      <c r="A11285" t="s">
        <v>11817</v>
      </c>
    </row>
    <row r="11286" spans="1:1">
      <c r="A11286" t="s">
        <v>11818</v>
      </c>
    </row>
    <row r="11287" spans="1:1">
      <c r="A11287" t="s">
        <v>11819</v>
      </c>
    </row>
    <row r="11288" spans="1:1">
      <c r="A11288" t="s">
        <v>11820</v>
      </c>
    </row>
    <row r="11289" spans="1:1">
      <c r="A11289" t="s">
        <v>11821</v>
      </c>
    </row>
    <row r="11290" spans="1:1">
      <c r="A11290" t="s">
        <v>11822</v>
      </c>
    </row>
    <row r="11291" spans="1:1">
      <c r="A11291" t="s">
        <v>11823</v>
      </c>
    </row>
    <row r="11292" spans="1:1">
      <c r="A11292" t="s">
        <v>11824</v>
      </c>
    </row>
    <row r="11293" spans="1:1">
      <c r="A11293" t="s">
        <v>11825</v>
      </c>
    </row>
    <row r="11294" spans="1:1">
      <c r="A11294" t="s">
        <v>11826</v>
      </c>
    </row>
    <row r="11295" spans="1:1">
      <c r="A11295" t="s">
        <v>11827</v>
      </c>
    </row>
    <row r="11296" spans="1:1">
      <c r="A11296" t="s">
        <v>11828</v>
      </c>
    </row>
    <row r="11297" spans="1:1">
      <c r="A11297" t="s">
        <v>11829</v>
      </c>
    </row>
    <row r="11298" spans="1:1">
      <c r="A11298" t="s">
        <v>11830</v>
      </c>
    </row>
    <row r="11299" spans="1:1">
      <c r="A11299" t="s">
        <v>11831</v>
      </c>
    </row>
    <row r="11300" spans="1:1">
      <c r="A11300" t="s">
        <v>11832</v>
      </c>
    </row>
    <row r="11301" spans="1:1">
      <c r="A11301" t="s">
        <v>11833</v>
      </c>
    </row>
    <row r="11302" spans="1:1">
      <c r="A11302" t="s">
        <v>11834</v>
      </c>
    </row>
    <row r="11303" spans="1:1">
      <c r="A11303" t="s">
        <v>11835</v>
      </c>
    </row>
    <row r="11304" spans="1:1">
      <c r="A11304" t="s">
        <v>11836</v>
      </c>
    </row>
    <row r="11305" spans="1:1">
      <c r="A11305" t="s">
        <v>11837</v>
      </c>
    </row>
    <row r="11306" spans="1:1">
      <c r="A11306" t="s">
        <v>11838</v>
      </c>
    </row>
    <row r="11307" spans="1:1">
      <c r="A11307" t="s">
        <v>11839</v>
      </c>
    </row>
    <row r="11308" spans="1:1">
      <c r="A11308" t="s">
        <v>11840</v>
      </c>
    </row>
    <row r="11309" spans="1:1">
      <c r="A11309" t="s">
        <v>11841</v>
      </c>
    </row>
    <row r="11310" spans="1:1">
      <c r="A11310" t="s">
        <v>11842</v>
      </c>
    </row>
    <row r="11311" spans="1:1">
      <c r="A11311" t="s">
        <v>11843</v>
      </c>
    </row>
    <row r="11312" spans="1:1">
      <c r="A11312" t="s">
        <v>11844</v>
      </c>
    </row>
    <row r="11313" spans="1:1">
      <c r="A11313" t="s">
        <v>11845</v>
      </c>
    </row>
    <row r="11314" spans="1:1">
      <c r="A11314" t="s">
        <v>11846</v>
      </c>
    </row>
    <row r="11315" spans="1:1">
      <c r="A11315" t="s">
        <v>11847</v>
      </c>
    </row>
    <row r="11316" spans="1:1">
      <c r="A11316" t="s">
        <v>11848</v>
      </c>
    </row>
    <row r="11317" spans="1:1">
      <c r="A11317" t="s">
        <v>11849</v>
      </c>
    </row>
    <row r="11318" spans="1:1">
      <c r="A11318" t="s">
        <v>11850</v>
      </c>
    </row>
    <row r="11319" spans="1:1">
      <c r="A11319" t="s">
        <v>11851</v>
      </c>
    </row>
    <row r="11320" spans="1:1">
      <c r="A11320" t="s">
        <v>11852</v>
      </c>
    </row>
    <row r="11321" spans="1:1">
      <c r="A11321" t="s">
        <v>11853</v>
      </c>
    </row>
    <row r="11322" spans="1:1">
      <c r="A11322" t="s">
        <v>11854</v>
      </c>
    </row>
    <row r="11323" spans="1:1">
      <c r="A11323" t="s">
        <v>11855</v>
      </c>
    </row>
    <row r="11324" spans="1:1">
      <c r="A11324" t="s">
        <v>11856</v>
      </c>
    </row>
    <row r="11325" spans="1:1">
      <c r="A11325" t="s">
        <v>11857</v>
      </c>
    </row>
    <row r="11326" spans="1:1">
      <c r="A11326" t="s">
        <v>11858</v>
      </c>
    </row>
    <row r="11327" spans="1:1">
      <c r="A11327" t="s">
        <v>11859</v>
      </c>
    </row>
    <row r="11328" spans="1:1">
      <c r="A11328" t="s">
        <v>11860</v>
      </c>
    </row>
    <row r="11329" spans="1:1">
      <c r="A11329" t="s">
        <v>11861</v>
      </c>
    </row>
    <row r="11330" spans="1:1">
      <c r="A11330" t="s">
        <v>11862</v>
      </c>
    </row>
    <row r="11331" spans="1:1">
      <c r="A11331" t="s">
        <v>11863</v>
      </c>
    </row>
    <row r="11332" spans="1:1">
      <c r="A11332" t="s">
        <v>11864</v>
      </c>
    </row>
    <row r="11333" spans="1:1">
      <c r="A11333" t="s">
        <v>11865</v>
      </c>
    </row>
    <row r="11334" spans="1:1">
      <c r="A11334" t="s">
        <v>11866</v>
      </c>
    </row>
    <row r="11335" spans="1:1">
      <c r="A11335" t="s">
        <v>11867</v>
      </c>
    </row>
    <row r="11336" spans="1:1">
      <c r="A11336" t="s">
        <v>11868</v>
      </c>
    </row>
    <row r="11337" spans="1:1">
      <c r="A11337" t="s">
        <v>11869</v>
      </c>
    </row>
    <row r="11338" spans="1:1">
      <c r="A11338" t="s">
        <v>11870</v>
      </c>
    </row>
    <row r="11339" spans="1:1">
      <c r="A11339" t="s">
        <v>11871</v>
      </c>
    </row>
    <row r="11340" spans="1:1">
      <c r="A11340" t="s">
        <v>11872</v>
      </c>
    </row>
    <row r="11341" spans="1:1">
      <c r="A11341" t="s">
        <v>11873</v>
      </c>
    </row>
    <row r="11342" spans="1:1">
      <c r="A11342" t="s">
        <v>11874</v>
      </c>
    </row>
    <row r="11343" spans="1:1">
      <c r="A11343" t="s">
        <v>11875</v>
      </c>
    </row>
    <row r="11344" spans="1:1">
      <c r="A11344" t="s">
        <v>11876</v>
      </c>
    </row>
    <row r="11345" spans="1:1">
      <c r="A11345" t="s">
        <v>11877</v>
      </c>
    </row>
    <row r="11346" spans="1:1">
      <c r="A11346" t="s">
        <v>11878</v>
      </c>
    </row>
    <row r="11347" spans="1:1">
      <c r="A11347" t="s">
        <v>11879</v>
      </c>
    </row>
    <row r="11348" spans="1:1">
      <c r="A11348" t="s">
        <v>11880</v>
      </c>
    </row>
    <row r="11349" spans="1:1">
      <c r="A11349" t="s">
        <v>11881</v>
      </c>
    </row>
    <row r="11350" spans="1:1">
      <c r="A11350" t="s">
        <v>11882</v>
      </c>
    </row>
    <row r="11351" spans="1:1">
      <c r="A11351" t="s">
        <v>11883</v>
      </c>
    </row>
    <row r="11352" spans="1:1">
      <c r="A11352" t="s">
        <v>11884</v>
      </c>
    </row>
    <row r="11353" spans="1:1">
      <c r="A11353" t="s">
        <v>11885</v>
      </c>
    </row>
    <row r="11354" spans="1:1">
      <c r="A11354" t="s">
        <v>11886</v>
      </c>
    </row>
    <row r="11355" spans="1:1">
      <c r="A11355" t="s">
        <v>11887</v>
      </c>
    </row>
    <row r="11356" spans="1:1">
      <c r="A11356" t="s">
        <v>11888</v>
      </c>
    </row>
    <row r="11357" spans="1:1">
      <c r="A11357" t="s">
        <v>11889</v>
      </c>
    </row>
    <row r="11358" spans="1:1">
      <c r="A11358" t="s">
        <v>11890</v>
      </c>
    </row>
    <row r="11359" spans="1:1">
      <c r="A11359" t="s">
        <v>11891</v>
      </c>
    </row>
    <row r="11360" spans="1:1">
      <c r="A11360" t="s">
        <v>11892</v>
      </c>
    </row>
    <row r="11361" spans="1:1">
      <c r="A11361" t="s">
        <v>11893</v>
      </c>
    </row>
    <row r="11362" spans="1:1">
      <c r="A11362" t="s">
        <v>11894</v>
      </c>
    </row>
    <row r="11363" spans="1:1">
      <c r="A11363" t="s">
        <v>11895</v>
      </c>
    </row>
    <row r="11364" spans="1:1">
      <c r="A11364" t="s">
        <v>11896</v>
      </c>
    </row>
    <row r="11365" spans="1:1">
      <c r="A11365" t="s">
        <v>11897</v>
      </c>
    </row>
    <row r="11366" spans="1:1">
      <c r="A11366" t="s">
        <v>11898</v>
      </c>
    </row>
    <row r="11367" spans="1:1">
      <c r="A11367" t="s">
        <v>11899</v>
      </c>
    </row>
    <row r="11368" spans="1:1">
      <c r="A11368" t="s">
        <v>11900</v>
      </c>
    </row>
    <row r="11369" spans="1:1">
      <c r="A11369" t="s">
        <v>11901</v>
      </c>
    </row>
    <row r="11370" spans="1:1">
      <c r="A11370" t="s">
        <v>11902</v>
      </c>
    </row>
    <row r="11371" spans="1:1">
      <c r="A11371" t="s">
        <v>11903</v>
      </c>
    </row>
    <row r="11372" spans="1:1">
      <c r="A11372" t="s">
        <v>11904</v>
      </c>
    </row>
    <row r="11373" spans="1:1">
      <c r="A11373" t="s">
        <v>11905</v>
      </c>
    </row>
    <row r="11374" spans="1:1">
      <c r="A11374" t="s">
        <v>11906</v>
      </c>
    </row>
    <row r="11375" spans="1:1">
      <c r="A11375" t="s">
        <v>11907</v>
      </c>
    </row>
    <row r="11376" spans="1:1">
      <c r="A11376" t="s">
        <v>11908</v>
      </c>
    </row>
    <row r="11377" spans="1:1">
      <c r="A11377" t="s">
        <v>11909</v>
      </c>
    </row>
    <row r="11378" spans="1:1">
      <c r="A11378" t="s">
        <v>11910</v>
      </c>
    </row>
    <row r="11379" spans="1:1">
      <c r="A11379" t="s">
        <v>11911</v>
      </c>
    </row>
    <row r="11380" spans="1:1">
      <c r="A11380" t="s">
        <v>11912</v>
      </c>
    </row>
    <row r="11381" spans="1:1">
      <c r="A11381" t="s">
        <v>11913</v>
      </c>
    </row>
    <row r="11382" spans="1:1">
      <c r="A11382" t="s">
        <v>11914</v>
      </c>
    </row>
    <row r="11383" spans="1:1">
      <c r="A11383" t="s">
        <v>11915</v>
      </c>
    </row>
    <row r="11384" spans="1:1">
      <c r="A11384" t="s">
        <v>11916</v>
      </c>
    </row>
    <row r="11385" spans="1:1">
      <c r="A11385" t="s">
        <v>11917</v>
      </c>
    </row>
    <row r="11386" spans="1:1">
      <c r="A11386" t="s">
        <v>11918</v>
      </c>
    </row>
    <row r="11387" spans="1:1">
      <c r="A11387" t="s">
        <v>11919</v>
      </c>
    </row>
    <row r="11388" spans="1:1">
      <c r="A11388" t="s">
        <v>11920</v>
      </c>
    </row>
    <row r="11389" spans="1:1">
      <c r="A11389" t="s">
        <v>11921</v>
      </c>
    </row>
    <row r="11390" spans="1:1">
      <c r="A11390" t="s">
        <v>11922</v>
      </c>
    </row>
    <row r="11391" spans="1:1">
      <c r="A11391" t="s">
        <v>11923</v>
      </c>
    </row>
    <row r="11392" spans="1:1">
      <c r="A11392" t="s">
        <v>11924</v>
      </c>
    </row>
    <row r="11393" spans="1:1">
      <c r="A11393" t="s">
        <v>11925</v>
      </c>
    </row>
    <row r="11394" spans="1:1">
      <c r="A11394" t="s">
        <v>11926</v>
      </c>
    </row>
    <row r="11395" spans="1:1">
      <c r="A11395" t="s">
        <v>11927</v>
      </c>
    </row>
    <row r="11396" spans="1:1">
      <c r="A11396" t="s">
        <v>11928</v>
      </c>
    </row>
    <row r="11397" spans="1:1">
      <c r="A11397" t="s">
        <v>11929</v>
      </c>
    </row>
    <row r="11398" spans="1:1">
      <c r="A11398" t="s">
        <v>11930</v>
      </c>
    </row>
    <row r="11399" spans="1:1">
      <c r="A11399" t="s">
        <v>11931</v>
      </c>
    </row>
    <row r="11400" spans="1:1">
      <c r="A11400" t="s">
        <v>11932</v>
      </c>
    </row>
    <row r="11401" spans="1:1">
      <c r="A11401" t="s">
        <v>11933</v>
      </c>
    </row>
    <row r="11402" spans="1:1">
      <c r="A11402" t="s">
        <v>11934</v>
      </c>
    </row>
    <row r="11403" spans="1:1">
      <c r="A11403" t="s">
        <v>11935</v>
      </c>
    </row>
    <row r="11404" spans="1:1">
      <c r="A11404" t="s">
        <v>11936</v>
      </c>
    </row>
    <row r="11405" spans="1:1">
      <c r="A11405" t="s">
        <v>11937</v>
      </c>
    </row>
    <row r="11406" spans="1:1">
      <c r="A11406" t="s">
        <v>11938</v>
      </c>
    </row>
    <row r="11407" spans="1:1">
      <c r="A11407" t="s">
        <v>11939</v>
      </c>
    </row>
    <row r="11408" spans="1:1">
      <c r="A11408" t="s">
        <v>11940</v>
      </c>
    </row>
    <row r="11409" spans="1:1">
      <c r="A11409" t="s">
        <v>11941</v>
      </c>
    </row>
    <row r="11410" spans="1:1">
      <c r="A11410" t="s">
        <v>11942</v>
      </c>
    </row>
    <row r="11411" spans="1:1">
      <c r="A11411" t="s">
        <v>11943</v>
      </c>
    </row>
    <row r="11412" spans="1:1">
      <c r="A11412" t="s">
        <v>11944</v>
      </c>
    </row>
    <row r="11413" spans="1:1">
      <c r="A11413" t="s">
        <v>11945</v>
      </c>
    </row>
    <row r="11414" spans="1:1">
      <c r="A11414" t="s">
        <v>11946</v>
      </c>
    </row>
    <row r="11415" spans="1:1">
      <c r="A11415" t="s">
        <v>11947</v>
      </c>
    </row>
    <row r="11416" spans="1:1">
      <c r="A11416" t="s">
        <v>11948</v>
      </c>
    </row>
    <row r="11417" spans="1:1">
      <c r="A11417" t="s">
        <v>11949</v>
      </c>
    </row>
    <row r="11418" spans="1:1">
      <c r="A11418" t="s">
        <v>11950</v>
      </c>
    </row>
    <row r="11419" spans="1:1">
      <c r="A11419" t="s">
        <v>11951</v>
      </c>
    </row>
    <row r="11420" spans="1:1">
      <c r="A11420" t="s">
        <v>11952</v>
      </c>
    </row>
    <row r="11421" spans="1:1">
      <c r="A11421" t="s">
        <v>11953</v>
      </c>
    </row>
    <row r="11422" spans="1:1">
      <c r="A11422" t="s">
        <v>11954</v>
      </c>
    </row>
    <row r="11423" spans="1:1">
      <c r="A11423" t="s">
        <v>11955</v>
      </c>
    </row>
    <row r="11424" spans="1:1">
      <c r="A11424" t="s">
        <v>11956</v>
      </c>
    </row>
    <row r="11425" spans="1:1">
      <c r="A11425" t="s">
        <v>11957</v>
      </c>
    </row>
    <row r="11426" spans="1:1">
      <c r="A11426" t="s">
        <v>11958</v>
      </c>
    </row>
    <row r="11427" spans="1:1">
      <c r="A11427" t="s">
        <v>11959</v>
      </c>
    </row>
    <row r="11428" spans="1:1">
      <c r="A11428" t="s">
        <v>11960</v>
      </c>
    </row>
    <row r="11429" spans="1:1">
      <c r="A11429" t="s">
        <v>11961</v>
      </c>
    </row>
    <row r="11430" spans="1:1">
      <c r="A11430" t="s">
        <v>11962</v>
      </c>
    </row>
    <row r="11431" spans="1:1">
      <c r="A11431" t="s">
        <v>11963</v>
      </c>
    </row>
    <row r="11432" spans="1:1">
      <c r="A11432" t="s">
        <v>11964</v>
      </c>
    </row>
    <row r="11433" spans="1:1">
      <c r="A11433" t="s">
        <v>11965</v>
      </c>
    </row>
    <row r="11434" spans="1:1">
      <c r="A11434" t="s">
        <v>11966</v>
      </c>
    </row>
    <row r="11435" spans="1:1">
      <c r="A11435" t="s">
        <v>11967</v>
      </c>
    </row>
    <row r="11436" spans="1:1">
      <c r="A11436" t="s">
        <v>11968</v>
      </c>
    </row>
    <row r="11437" spans="1:1">
      <c r="A11437" t="s">
        <v>11969</v>
      </c>
    </row>
    <row r="11438" spans="1:1">
      <c r="A11438" t="s">
        <v>11970</v>
      </c>
    </row>
    <row r="11439" spans="1:1">
      <c r="A11439" t="s">
        <v>11971</v>
      </c>
    </row>
    <row r="11440" spans="1:1">
      <c r="A11440" t="s">
        <v>11972</v>
      </c>
    </row>
    <row r="11441" spans="1:1">
      <c r="A11441" t="s">
        <v>11973</v>
      </c>
    </row>
    <row r="11442" spans="1:1">
      <c r="A11442" t="s">
        <v>11974</v>
      </c>
    </row>
    <row r="11443" spans="1:1">
      <c r="A11443" t="s">
        <v>11975</v>
      </c>
    </row>
    <row r="11444" spans="1:1">
      <c r="A11444" t="s">
        <v>11976</v>
      </c>
    </row>
    <row r="11445" spans="1:1">
      <c r="A11445" t="s">
        <v>11977</v>
      </c>
    </row>
    <row r="11446" spans="1:1">
      <c r="A11446" t="s">
        <v>11978</v>
      </c>
    </row>
    <row r="11447" spans="1:1">
      <c r="A11447" t="s">
        <v>11979</v>
      </c>
    </row>
    <row r="11448" spans="1:1">
      <c r="A11448" t="s">
        <v>11980</v>
      </c>
    </row>
    <row r="11449" spans="1:1">
      <c r="A11449" t="s">
        <v>11981</v>
      </c>
    </row>
    <row r="11450" spans="1:1">
      <c r="A11450" t="s">
        <v>11982</v>
      </c>
    </row>
    <row r="11451" spans="1:1">
      <c r="A11451" t="s">
        <v>11983</v>
      </c>
    </row>
    <row r="11452" spans="1:1">
      <c r="A11452" t="s">
        <v>11984</v>
      </c>
    </row>
    <row r="11453" spans="1:1">
      <c r="A11453" t="s">
        <v>11985</v>
      </c>
    </row>
    <row r="11454" spans="1:1">
      <c r="A11454" t="s">
        <v>11986</v>
      </c>
    </row>
    <row r="11455" spans="1:1">
      <c r="A11455" t="s">
        <v>11987</v>
      </c>
    </row>
    <row r="11456" spans="1:1">
      <c r="A11456" t="s">
        <v>11988</v>
      </c>
    </row>
    <row r="11457" spans="1:1">
      <c r="A11457" t="s">
        <v>11989</v>
      </c>
    </row>
    <row r="11458" spans="1:1">
      <c r="A11458" t="s">
        <v>11990</v>
      </c>
    </row>
    <row r="11459" spans="1:1">
      <c r="A11459" t="s">
        <v>11991</v>
      </c>
    </row>
    <row r="11460" spans="1:1">
      <c r="A11460" t="s">
        <v>11992</v>
      </c>
    </row>
    <row r="11461" spans="1:1">
      <c r="A11461" t="s">
        <v>11993</v>
      </c>
    </row>
    <row r="11462" spans="1:1">
      <c r="A11462" t="s">
        <v>11994</v>
      </c>
    </row>
    <row r="11463" spans="1:1">
      <c r="A11463" t="s">
        <v>11995</v>
      </c>
    </row>
    <row r="11464" spans="1:1">
      <c r="A11464" t="s">
        <v>11996</v>
      </c>
    </row>
    <row r="11465" spans="1:1">
      <c r="A11465" t="s">
        <v>11997</v>
      </c>
    </row>
    <row r="11466" spans="1:1">
      <c r="A11466" t="s">
        <v>11998</v>
      </c>
    </row>
    <row r="11467" spans="1:1">
      <c r="A11467" t="s">
        <v>11999</v>
      </c>
    </row>
    <row r="11468" spans="1:1">
      <c r="A11468" t="s">
        <v>12000</v>
      </c>
    </row>
    <row r="11469" spans="1:1">
      <c r="A11469" t="s">
        <v>12001</v>
      </c>
    </row>
    <row r="11470" spans="1:1">
      <c r="A11470" t="s">
        <v>12002</v>
      </c>
    </row>
    <row r="11471" spans="1:1">
      <c r="A11471" t="s">
        <v>12003</v>
      </c>
    </row>
    <row r="11472" spans="1:1">
      <c r="A11472" t="s">
        <v>12004</v>
      </c>
    </row>
    <row r="11473" spans="1:1">
      <c r="A11473" t="s">
        <v>12005</v>
      </c>
    </row>
    <row r="11474" spans="1:1">
      <c r="A11474" t="s">
        <v>12006</v>
      </c>
    </row>
    <row r="11475" spans="1:1">
      <c r="A11475" t="s">
        <v>12007</v>
      </c>
    </row>
    <row r="11476" spans="1:1">
      <c r="A11476" t="s">
        <v>12008</v>
      </c>
    </row>
    <row r="11477" spans="1:1">
      <c r="A11477" t="s">
        <v>12009</v>
      </c>
    </row>
    <row r="11478" spans="1:1">
      <c r="A11478" t="s">
        <v>12010</v>
      </c>
    </row>
    <row r="11479" spans="1:1">
      <c r="A11479" t="s">
        <v>12011</v>
      </c>
    </row>
    <row r="11480" spans="1:1">
      <c r="A11480" t="s">
        <v>12012</v>
      </c>
    </row>
    <row r="11481" spans="1:1">
      <c r="A11481" t="s">
        <v>12013</v>
      </c>
    </row>
    <row r="11482" spans="1:1">
      <c r="A11482" t="s">
        <v>12014</v>
      </c>
    </row>
    <row r="11483" spans="1:1">
      <c r="A11483" t="s">
        <v>12015</v>
      </c>
    </row>
    <row r="11484" spans="1:1">
      <c r="A11484" t="s">
        <v>12016</v>
      </c>
    </row>
    <row r="11485" spans="1:1">
      <c r="A11485" t="s">
        <v>12017</v>
      </c>
    </row>
    <row r="11486" spans="1:1">
      <c r="A11486" t="s">
        <v>12018</v>
      </c>
    </row>
    <row r="11487" spans="1:1">
      <c r="A11487" t="s">
        <v>12019</v>
      </c>
    </row>
    <row r="11488" spans="1:1">
      <c r="A11488" t="s">
        <v>12020</v>
      </c>
    </row>
    <row r="11489" spans="1:1">
      <c r="A11489" t="s">
        <v>12021</v>
      </c>
    </row>
    <row r="11490" spans="1:1">
      <c r="A11490" t="s">
        <v>12022</v>
      </c>
    </row>
    <row r="11491" spans="1:1">
      <c r="A11491" t="s">
        <v>12023</v>
      </c>
    </row>
    <row r="11492" spans="1:1">
      <c r="A11492" t="s">
        <v>12024</v>
      </c>
    </row>
    <row r="11493" spans="1:1">
      <c r="A11493" t="s">
        <v>12025</v>
      </c>
    </row>
    <row r="11494" spans="1:1">
      <c r="A11494" t="s">
        <v>12026</v>
      </c>
    </row>
    <row r="11495" spans="1:1">
      <c r="A11495" t="s">
        <v>12027</v>
      </c>
    </row>
    <row r="11496" spans="1:1">
      <c r="A11496" t="s">
        <v>12028</v>
      </c>
    </row>
    <row r="11497" spans="1:1">
      <c r="A11497" t="s">
        <v>12029</v>
      </c>
    </row>
    <row r="11498" spans="1:1">
      <c r="A11498" t="s">
        <v>12030</v>
      </c>
    </row>
    <row r="11499" spans="1:1">
      <c r="A11499" t="s">
        <v>12031</v>
      </c>
    </row>
    <row r="11500" spans="1:1">
      <c r="A11500" t="s">
        <v>12032</v>
      </c>
    </row>
    <row r="11501" spans="1:1">
      <c r="A11501" t="s">
        <v>12033</v>
      </c>
    </row>
    <row r="11502" spans="1:1">
      <c r="A11502" t="s">
        <v>12034</v>
      </c>
    </row>
    <row r="11503" spans="1:1">
      <c r="A11503" t="s">
        <v>12035</v>
      </c>
    </row>
    <row r="11504" spans="1:1">
      <c r="A11504" t="s">
        <v>12036</v>
      </c>
    </row>
    <row r="11505" spans="1:1">
      <c r="A11505" t="s">
        <v>12037</v>
      </c>
    </row>
    <row r="11506" spans="1:1">
      <c r="A11506" t="s">
        <v>12038</v>
      </c>
    </row>
    <row r="11507" spans="1:1">
      <c r="A11507" t="s">
        <v>12039</v>
      </c>
    </row>
    <row r="11508" spans="1:1">
      <c r="A11508" t="s">
        <v>12040</v>
      </c>
    </row>
    <row r="11509" spans="1:1">
      <c r="A11509" t="s">
        <v>12041</v>
      </c>
    </row>
    <row r="11510" spans="1:1">
      <c r="A11510" t="s">
        <v>12042</v>
      </c>
    </row>
    <row r="11511" spans="1:1">
      <c r="A11511" t="s">
        <v>12043</v>
      </c>
    </row>
    <row r="11512" spans="1:1">
      <c r="A11512" t="s">
        <v>12044</v>
      </c>
    </row>
    <row r="11513" spans="1:1">
      <c r="A11513" t="s">
        <v>12045</v>
      </c>
    </row>
    <row r="11514" spans="1:1">
      <c r="A11514" t="s">
        <v>12046</v>
      </c>
    </row>
    <row r="11515" spans="1:1">
      <c r="A11515" t="s">
        <v>12047</v>
      </c>
    </row>
    <row r="11516" spans="1:1">
      <c r="A11516" t="s">
        <v>12048</v>
      </c>
    </row>
    <row r="11517" spans="1:1">
      <c r="A11517" t="s">
        <v>12049</v>
      </c>
    </row>
    <row r="11518" spans="1:1">
      <c r="A11518" t="s">
        <v>12050</v>
      </c>
    </row>
    <row r="11519" spans="1:1">
      <c r="A11519" t="s">
        <v>12051</v>
      </c>
    </row>
    <row r="11520" spans="1:1">
      <c r="A11520" t="s">
        <v>12052</v>
      </c>
    </row>
    <row r="11521" spans="1:1">
      <c r="A11521" t="s">
        <v>12053</v>
      </c>
    </row>
    <row r="11522" spans="1:1">
      <c r="A11522" t="s">
        <v>12054</v>
      </c>
    </row>
    <row r="11523" spans="1:1">
      <c r="A11523" t="s">
        <v>12055</v>
      </c>
    </row>
    <row r="11524" spans="1:1">
      <c r="A11524" t="s">
        <v>12056</v>
      </c>
    </row>
    <row r="11525" spans="1:1">
      <c r="A11525" t="s">
        <v>12057</v>
      </c>
    </row>
    <row r="11526" spans="1:1">
      <c r="A11526" t="s">
        <v>12058</v>
      </c>
    </row>
    <row r="11527" spans="1:1">
      <c r="A11527" t="s">
        <v>12059</v>
      </c>
    </row>
    <row r="11528" spans="1:1">
      <c r="A11528" t="s">
        <v>12060</v>
      </c>
    </row>
    <row r="11529" spans="1:1">
      <c r="A11529" t="s">
        <v>12061</v>
      </c>
    </row>
    <row r="11530" spans="1:1">
      <c r="A11530" t="s">
        <v>12062</v>
      </c>
    </row>
    <row r="11531" spans="1:1">
      <c r="A11531" t="s">
        <v>12063</v>
      </c>
    </row>
    <row r="11532" spans="1:1">
      <c r="A11532" t="s">
        <v>12064</v>
      </c>
    </row>
    <row r="11533" spans="1:1">
      <c r="A11533" t="s">
        <v>12065</v>
      </c>
    </row>
    <row r="11534" spans="1:1">
      <c r="A11534" t="s">
        <v>12066</v>
      </c>
    </row>
    <row r="11535" spans="1:1">
      <c r="A11535" t="s">
        <v>12067</v>
      </c>
    </row>
    <row r="11536" spans="1:1">
      <c r="A11536" t="s">
        <v>12068</v>
      </c>
    </row>
    <row r="11537" spans="1:1">
      <c r="A11537" t="s">
        <v>12069</v>
      </c>
    </row>
    <row r="11538" spans="1:1">
      <c r="A11538" t="s">
        <v>12070</v>
      </c>
    </row>
    <row r="11539" spans="1:1">
      <c r="A11539" t="s">
        <v>12071</v>
      </c>
    </row>
    <row r="11540" spans="1:1">
      <c r="A11540" t="s">
        <v>12072</v>
      </c>
    </row>
    <row r="11541" spans="1:1">
      <c r="A11541" t="s">
        <v>12073</v>
      </c>
    </row>
    <row r="11542" spans="1:1">
      <c r="A11542" t="s">
        <v>12074</v>
      </c>
    </row>
    <row r="11543" spans="1:1">
      <c r="A11543" t="s">
        <v>12075</v>
      </c>
    </row>
    <row r="11544" spans="1:1">
      <c r="A11544" t="s">
        <v>12076</v>
      </c>
    </row>
    <row r="11545" spans="1:1">
      <c r="A11545" t="s">
        <v>12077</v>
      </c>
    </row>
    <row r="11546" spans="1:1">
      <c r="A11546" t="s">
        <v>12078</v>
      </c>
    </row>
    <row r="11547" spans="1:1">
      <c r="A11547" t="s">
        <v>12079</v>
      </c>
    </row>
    <row r="11548" spans="1:1">
      <c r="A11548" t="s">
        <v>12080</v>
      </c>
    </row>
    <row r="11549" spans="1:1">
      <c r="A11549" t="s">
        <v>12081</v>
      </c>
    </row>
    <row r="11550" spans="1:1">
      <c r="A11550" t="s">
        <v>12082</v>
      </c>
    </row>
    <row r="11551" spans="1:1">
      <c r="A11551" t="s">
        <v>12083</v>
      </c>
    </row>
    <row r="11552" spans="1:1">
      <c r="A11552" t="s">
        <v>12084</v>
      </c>
    </row>
    <row r="11553" spans="1:1">
      <c r="A11553" t="s">
        <v>12085</v>
      </c>
    </row>
    <row r="11554" spans="1:1">
      <c r="A11554" t="s">
        <v>12086</v>
      </c>
    </row>
    <row r="11555" spans="1:1">
      <c r="A11555" t="s">
        <v>12087</v>
      </c>
    </row>
    <row r="11556" spans="1:1">
      <c r="A11556" t="s">
        <v>12088</v>
      </c>
    </row>
    <row r="11557" spans="1:1">
      <c r="A11557" t="s">
        <v>12089</v>
      </c>
    </row>
    <row r="11558" spans="1:1">
      <c r="A11558" t="s">
        <v>12090</v>
      </c>
    </row>
    <row r="11559" spans="1:1">
      <c r="A11559" t="s">
        <v>12091</v>
      </c>
    </row>
    <row r="11560" spans="1:1">
      <c r="A11560" t="s">
        <v>12092</v>
      </c>
    </row>
    <row r="11561" spans="1:1">
      <c r="A11561" t="s">
        <v>12093</v>
      </c>
    </row>
    <row r="11562" spans="1:1">
      <c r="A11562" t="s">
        <v>12094</v>
      </c>
    </row>
    <row r="11563" spans="1:1">
      <c r="A11563" t="s">
        <v>12095</v>
      </c>
    </row>
    <row r="11564" spans="1:1">
      <c r="A11564" t="s">
        <v>12096</v>
      </c>
    </row>
    <row r="11565" spans="1:1">
      <c r="A11565" t="s">
        <v>12097</v>
      </c>
    </row>
    <row r="11566" spans="1:1">
      <c r="A11566" t="s">
        <v>12098</v>
      </c>
    </row>
    <row r="11567" spans="1:1">
      <c r="A11567" t="s">
        <v>12099</v>
      </c>
    </row>
    <row r="11568" spans="1:1">
      <c r="A11568" t="s">
        <v>12100</v>
      </c>
    </row>
    <row r="11569" spans="1:1">
      <c r="A11569" t="s">
        <v>12101</v>
      </c>
    </row>
    <row r="11570" spans="1:1">
      <c r="A11570" t="s">
        <v>12102</v>
      </c>
    </row>
    <row r="11571" spans="1:1">
      <c r="A11571" t="s">
        <v>12103</v>
      </c>
    </row>
    <row r="11572" spans="1:1">
      <c r="A11572" t="s">
        <v>12104</v>
      </c>
    </row>
    <row r="11573" spans="1:1">
      <c r="A11573" t="s">
        <v>12105</v>
      </c>
    </row>
    <row r="11574" spans="1:1">
      <c r="A11574" t="s">
        <v>12106</v>
      </c>
    </row>
    <row r="11575" spans="1:1">
      <c r="A11575" t="s">
        <v>12107</v>
      </c>
    </row>
    <row r="11576" spans="1:1">
      <c r="A11576" t="s">
        <v>12108</v>
      </c>
    </row>
    <row r="11577" spans="1:1">
      <c r="A11577" t="s">
        <v>12109</v>
      </c>
    </row>
    <row r="11578" spans="1:1">
      <c r="A11578" t="s">
        <v>12110</v>
      </c>
    </row>
    <row r="11579" spans="1:1">
      <c r="A11579" t="s">
        <v>12111</v>
      </c>
    </row>
    <row r="11580" spans="1:1">
      <c r="A11580" t="s">
        <v>12112</v>
      </c>
    </row>
    <row r="11581" spans="1:1">
      <c r="A11581" t="s">
        <v>12113</v>
      </c>
    </row>
    <row r="11582" spans="1:1">
      <c r="A11582" t="s">
        <v>12114</v>
      </c>
    </row>
    <row r="11583" spans="1:1">
      <c r="A11583" t="s">
        <v>12115</v>
      </c>
    </row>
    <row r="11584" spans="1:1">
      <c r="A11584" t="s">
        <v>12116</v>
      </c>
    </row>
    <row r="11585" spans="1:1">
      <c r="A11585" t="s">
        <v>12117</v>
      </c>
    </row>
    <row r="11586" spans="1:1">
      <c r="A11586" t="s">
        <v>12118</v>
      </c>
    </row>
    <row r="11587" spans="1:1">
      <c r="A11587" t="s">
        <v>12119</v>
      </c>
    </row>
    <row r="11588" spans="1:1">
      <c r="A11588" t="s">
        <v>12120</v>
      </c>
    </row>
    <row r="11589" spans="1:1">
      <c r="A11589" t="s">
        <v>12121</v>
      </c>
    </row>
    <row r="11590" spans="1:1">
      <c r="A11590" t="s">
        <v>12122</v>
      </c>
    </row>
    <row r="11591" spans="1:1">
      <c r="A11591" t="s">
        <v>12123</v>
      </c>
    </row>
    <row r="11592" spans="1:1">
      <c r="A11592" t="s">
        <v>12124</v>
      </c>
    </row>
    <row r="11593" spans="1:1">
      <c r="A11593" t="s">
        <v>12125</v>
      </c>
    </row>
    <row r="11594" spans="1:1">
      <c r="A11594" t="s">
        <v>12126</v>
      </c>
    </row>
    <row r="11595" spans="1:1">
      <c r="A11595" t="s">
        <v>12127</v>
      </c>
    </row>
    <row r="11596" spans="1:1">
      <c r="A11596" t="s">
        <v>12128</v>
      </c>
    </row>
    <row r="11597" spans="1:1">
      <c r="A11597" t="s">
        <v>12129</v>
      </c>
    </row>
    <row r="11598" spans="1:1">
      <c r="A11598" t="s">
        <v>12130</v>
      </c>
    </row>
    <row r="11599" spans="1:1">
      <c r="A11599" t="s">
        <v>12131</v>
      </c>
    </row>
    <row r="11600" spans="1:1">
      <c r="A11600" t="s">
        <v>12132</v>
      </c>
    </row>
    <row r="11601" spans="1:1">
      <c r="A11601" t="s">
        <v>12133</v>
      </c>
    </row>
    <row r="11602" spans="1:1">
      <c r="A11602" t="s">
        <v>12134</v>
      </c>
    </row>
    <row r="11603" spans="1:1">
      <c r="A11603" t="s">
        <v>12135</v>
      </c>
    </row>
    <row r="11604" spans="1:1">
      <c r="A11604" t="s">
        <v>12136</v>
      </c>
    </row>
    <row r="11605" spans="1:1">
      <c r="A11605" t="s">
        <v>12137</v>
      </c>
    </row>
    <row r="11606" spans="1:1">
      <c r="A11606" t="s">
        <v>12138</v>
      </c>
    </row>
    <row r="11607" spans="1:1">
      <c r="A11607" t="s">
        <v>12139</v>
      </c>
    </row>
    <row r="11608" spans="1:1">
      <c r="A11608" t="s">
        <v>12140</v>
      </c>
    </row>
    <row r="11609" spans="1:1">
      <c r="A11609" t="s">
        <v>12141</v>
      </c>
    </row>
    <row r="11610" spans="1:1">
      <c r="A11610" t="s">
        <v>12142</v>
      </c>
    </row>
    <row r="11611" spans="1:1">
      <c r="A11611" t="s">
        <v>12143</v>
      </c>
    </row>
    <row r="11612" spans="1:1">
      <c r="A11612" t="s">
        <v>12144</v>
      </c>
    </row>
    <row r="11613" spans="1:1">
      <c r="A11613" t="s">
        <v>12145</v>
      </c>
    </row>
    <row r="11614" spans="1:1">
      <c r="A11614" t="s">
        <v>12146</v>
      </c>
    </row>
    <row r="11615" spans="1:1">
      <c r="A11615" t="s">
        <v>12147</v>
      </c>
    </row>
    <row r="11616" spans="1:1">
      <c r="A11616" t="s">
        <v>12148</v>
      </c>
    </row>
    <row r="11617" spans="1:1">
      <c r="A11617" t="s">
        <v>12149</v>
      </c>
    </row>
    <row r="11618" spans="1:1">
      <c r="A11618" t="s">
        <v>12150</v>
      </c>
    </row>
    <row r="11619" spans="1:1">
      <c r="A11619" t="s">
        <v>12151</v>
      </c>
    </row>
    <row r="11620" spans="1:1">
      <c r="A11620" t="s">
        <v>12152</v>
      </c>
    </row>
    <row r="11621" spans="1:1">
      <c r="A11621" t="s">
        <v>12153</v>
      </c>
    </row>
    <row r="11622" spans="1:1">
      <c r="A11622" t="s">
        <v>12154</v>
      </c>
    </row>
    <row r="11623" spans="1:1">
      <c r="A11623" t="s">
        <v>12155</v>
      </c>
    </row>
    <row r="11624" spans="1:1">
      <c r="A11624" t="s">
        <v>12156</v>
      </c>
    </row>
    <row r="11625" spans="1:1">
      <c r="A11625" t="s">
        <v>12157</v>
      </c>
    </row>
    <row r="11626" spans="1:1">
      <c r="A11626" t="s">
        <v>12158</v>
      </c>
    </row>
    <row r="11627" spans="1:1">
      <c r="A11627" t="s">
        <v>12159</v>
      </c>
    </row>
    <row r="11628" spans="1:1">
      <c r="A11628" t="s">
        <v>12160</v>
      </c>
    </row>
    <row r="11629" spans="1:1">
      <c r="A11629" t="s">
        <v>12161</v>
      </c>
    </row>
    <row r="11630" spans="1:1">
      <c r="A11630" t="s">
        <v>12162</v>
      </c>
    </row>
    <row r="11631" spans="1:1">
      <c r="A11631" t="s">
        <v>12163</v>
      </c>
    </row>
    <row r="11632" spans="1:1">
      <c r="A11632" t="s">
        <v>12164</v>
      </c>
    </row>
    <row r="11633" spans="1:1">
      <c r="A11633" t="s">
        <v>12165</v>
      </c>
    </row>
    <row r="11634" spans="1:1">
      <c r="A11634" t="s">
        <v>12166</v>
      </c>
    </row>
    <row r="11635" spans="1:1">
      <c r="A11635" t="s">
        <v>12167</v>
      </c>
    </row>
    <row r="11636" spans="1:1">
      <c r="A11636" t="s">
        <v>12168</v>
      </c>
    </row>
    <row r="11637" spans="1:1">
      <c r="A11637" t="s">
        <v>12169</v>
      </c>
    </row>
    <row r="11638" spans="1:1">
      <c r="A11638" t="s">
        <v>12170</v>
      </c>
    </row>
    <row r="11639" spans="1:1">
      <c r="A11639" t="s">
        <v>12171</v>
      </c>
    </row>
    <row r="11640" spans="1:1">
      <c r="A11640" t="s">
        <v>12172</v>
      </c>
    </row>
    <row r="11641" spans="1:1">
      <c r="A11641" t="s">
        <v>12173</v>
      </c>
    </row>
    <row r="11642" spans="1:1">
      <c r="A11642" t="s">
        <v>12174</v>
      </c>
    </row>
    <row r="11643" spans="1:1">
      <c r="A11643" t="s">
        <v>12175</v>
      </c>
    </row>
    <row r="11644" spans="1:1">
      <c r="A11644" t="s">
        <v>12176</v>
      </c>
    </row>
    <row r="11645" spans="1:1">
      <c r="A11645" t="s">
        <v>12177</v>
      </c>
    </row>
    <row r="11646" spans="1:1">
      <c r="A11646" t="s">
        <v>12178</v>
      </c>
    </row>
    <row r="11647" spans="1:1">
      <c r="A11647" t="s">
        <v>12179</v>
      </c>
    </row>
    <row r="11648" spans="1:1">
      <c r="A11648" t="s">
        <v>12180</v>
      </c>
    </row>
    <row r="11649" spans="1:1">
      <c r="A11649" t="s">
        <v>12181</v>
      </c>
    </row>
    <row r="11650" spans="1:1">
      <c r="A11650" t="s">
        <v>12182</v>
      </c>
    </row>
    <row r="11651" spans="1:1">
      <c r="A11651" t="s">
        <v>12183</v>
      </c>
    </row>
    <row r="11652" spans="1:1">
      <c r="A11652" t="s">
        <v>12184</v>
      </c>
    </row>
    <row r="11653" spans="1:1">
      <c r="A11653" t="s">
        <v>12185</v>
      </c>
    </row>
    <row r="11654" spans="1:1">
      <c r="A11654" t="s">
        <v>12186</v>
      </c>
    </row>
    <row r="11655" spans="1:1">
      <c r="A11655" t="s">
        <v>12187</v>
      </c>
    </row>
    <row r="11656" spans="1:1">
      <c r="A11656" t="s">
        <v>12188</v>
      </c>
    </row>
    <row r="11657" spans="1:1">
      <c r="A11657" t="s">
        <v>12189</v>
      </c>
    </row>
    <row r="11658" spans="1:1">
      <c r="A11658" t="s">
        <v>12190</v>
      </c>
    </row>
    <row r="11659" spans="1:1">
      <c r="A11659" t="s">
        <v>12191</v>
      </c>
    </row>
    <row r="11660" spans="1:1">
      <c r="A11660" t="s">
        <v>12192</v>
      </c>
    </row>
    <row r="11661" spans="1:1">
      <c r="A11661" t="s">
        <v>12193</v>
      </c>
    </row>
    <row r="11662" spans="1:1">
      <c r="A11662" t="s">
        <v>12194</v>
      </c>
    </row>
    <row r="11663" spans="1:1">
      <c r="A11663" t="s">
        <v>12195</v>
      </c>
    </row>
    <row r="11664" spans="1:1">
      <c r="A11664" t="s">
        <v>12196</v>
      </c>
    </row>
    <row r="11665" spans="1:1">
      <c r="A11665" t="s">
        <v>12197</v>
      </c>
    </row>
    <row r="11666" spans="1:1">
      <c r="A11666" t="s">
        <v>12198</v>
      </c>
    </row>
    <row r="11667" spans="1:1">
      <c r="A11667" t="s">
        <v>12199</v>
      </c>
    </row>
    <row r="11668" spans="1:1">
      <c r="A11668" t="s">
        <v>12200</v>
      </c>
    </row>
    <row r="11669" spans="1:1">
      <c r="A11669" t="s">
        <v>12201</v>
      </c>
    </row>
    <row r="11670" spans="1:1">
      <c r="A11670" t="s">
        <v>12202</v>
      </c>
    </row>
    <row r="11671" spans="1:1">
      <c r="A11671" t="s">
        <v>12203</v>
      </c>
    </row>
    <row r="11672" spans="1:1">
      <c r="A11672" t="s">
        <v>12204</v>
      </c>
    </row>
    <row r="11673" spans="1:1">
      <c r="A11673" t="s">
        <v>12205</v>
      </c>
    </row>
    <row r="11674" spans="1:1">
      <c r="A11674" t="s">
        <v>12206</v>
      </c>
    </row>
    <row r="11675" spans="1:1">
      <c r="A11675" t="s">
        <v>12207</v>
      </c>
    </row>
    <row r="11676" spans="1:1">
      <c r="A11676" t="s">
        <v>12208</v>
      </c>
    </row>
    <row r="11677" spans="1:1">
      <c r="A11677" t="s">
        <v>12209</v>
      </c>
    </row>
    <row r="11678" spans="1:1">
      <c r="A11678" t="s">
        <v>12210</v>
      </c>
    </row>
    <row r="11679" spans="1:1">
      <c r="A11679" t="s">
        <v>12211</v>
      </c>
    </row>
    <row r="11680" spans="1:1">
      <c r="A11680" t="s">
        <v>12212</v>
      </c>
    </row>
    <row r="11681" spans="1:1">
      <c r="A11681" t="s">
        <v>12213</v>
      </c>
    </row>
    <row r="11682" spans="1:1">
      <c r="A11682" t="s">
        <v>12214</v>
      </c>
    </row>
    <row r="11683" spans="1:1">
      <c r="A11683" t="s">
        <v>12215</v>
      </c>
    </row>
    <row r="11684" spans="1:1">
      <c r="A11684" t="s">
        <v>12216</v>
      </c>
    </row>
    <row r="11685" spans="1:1">
      <c r="A11685" t="s">
        <v>12217</v>
      </c>
    </row>
    <row r="11686" spans="1:1">
      <c r="A11686" t="s">
        <v>12218</v>
      </c>
    </row>
    <row r="11687" spans="1:1">
      <c r="A11687" t="s">
        <v>12219</v>
      </c>
    </row>
    <row r="11688" spans="1:1">
      <c r="A11688" t="s">
        <v>12220</v>
      </c>
    </row>
    <row r="11689" spans="1:1">
      <c r="A11689" t="s">
        <v>12221</v>
      </c>
    </row>
    <row r="11690" spans="1:1">
      <c r="A11690" t="s">
        <v>12222</v>
      </c>
    </row>
    <row r="11691" spans="1:1">
      <c r="A11691" t="s">
        <v>12223</v>
      </c>
    </row>
    <row r="11692" spans="1:1">
      <c r="A11692" t="s">
        <v>12224</v>
      </c>
    </row>
    <row r="11693" spans="1:1">
      <c r="A11693" t="s">
        <v>12225</v>
      </c>
    </row>
    <row r="11694" spans="1:1">
      <c r="A11694" t="s">
        <v>12226</v>
      </c>
    </row>
    <row r="11695" spans="1:1">
      <c r="A11695" t="s">
        <v>12227</v>
      </c>
    </row>
    <row r="11696" spans="1:1">
      <c r="A11696" t="s">
        <v>12228</v>
      </c>
    </row>
    <row r="11697" spans="1:1">
      <c r="A11697" t="s">
        <v>12229</v>
      </c>
    </row>
    <row r="11698" spans="1:1">
      <c r="A11698" t="s">
        <v>12230</v>
      </c>
    </row>
    <row r="11699" spans="1:1">
      <c r="A11699" t="s">
        <v>12231</v>
      </c>
    </row>
    <row r="11700" spans="1:1">
      <c r="A11700" t="s">
        <v>12232</v>
      </c>
    </row>
    <row r="11701" spans="1:1">
      <c r="A11701" t="s">
        <v>12233</v>
      </c>
    </row>
    <row r="11702" spans="1:1">
      <c r="A11702" t="s">
        <v>12234</v>
      </c>
    </row>
    <row r="11703" spans="1:1">
      <c r="A11703" t="s">
        <v>12235</v>
      </c>
    </row>
    <row r="11704" spans="1:1">
      <c r="A11704" t="s">
        <v>12236</v>
      </c>
    </row>
    <row r="11705" spans="1:1">
      <c r="A11705" t="s">
        <v>12237</v>
      </c>
    </row>
    <row r="11706" spans="1:1">
      <c r="A11706" t="s">
        <v>12238</v>
      </c>
    </row>
    <row r="11707" spans="1:1">
      <c r="A11707" t="s">
        <v>12239</v>
      </c>
    </row>
    <row r="11708" spans="1:1">
      <c r="A11708" t="s">
        <v>12240</v>
      </c>
    </row>
    <row r="11709" spans="1:1">
      <c r="A11709" t="s">
        <v>12241</v>
      </c>
    </row>
    <row r="11710" spans="1:1">
      <c r="A11710" t="s">
        <v>12242</v>
      </c>
    </row>
    <row r="11711" spans="1:1">
      <c r="A11711" t="s">
        <v>12243</v>
      </c>
    </row>
    <row r="11712" spans="1:1">
      <c r="A11712" t="s">
        <v>12244</v>
      </c>
    </row>
    <row r="11713" spans="1:1">
      <c r="A11713" t="s">
        <v>12245</v>
      </c>
    </row>
    <row r="11714" spans="1:1">
      <c r="A11714" t="s">
        <v>12246</v>
      </c>
    </row>
    <row r="11715" spans="1:1">
      <c r="A11715" t="s">
        <v>12247</v>
      </c>
    </row>
    <row r="11716" spans="1:1">
      <c r="A11716" t="s">
        <v>12248</v>
      </c>
    </row>
    <row r="11717" spans="1:1">
      <c r="A11717" t="s">
        <v>12249</v>
      </c>
    </row>
    <row r="11718" spans="1:1">
      <c r="A11718" t="s">
        <v>12250</v>
      </c>
    </row>
    <row r="11719" spans="1:1">
      <c r="A11719" t="s">
        <v>12251</v>
      </c>
    </row>
    <row r="11720" spans="1:1">
      <c r="A11720" t="s">
        <v>12252</v>
      </c>
    </row>
    <row r="11721" spans="1:1">
      <c r="A11721" t="s">
        <v>12253</v>
      </c>
    </row>
    <row r="11722" spans="1:1">
      <c r="A11722" t="s">
        <v>12254</v>
      </c>
    </row>
    <row r="11723" spans="1:1">
      <c r="A11723" t="s">
        <v>12255</v>
      </c>
    </row>
    <row r="11724" spans="1:1">
      <c r="A11724" t="s">
        <v>12256</v>
      </c>
    </row>
    <row r="11725" spans="1:1">
      <c r="A11725" t="s">
        <v>12257</v>
      </c>
    </row>
    <row r="11726" spans="1:1">
      <c r="A11726" t="s">
        <v>12258</v>
      </c>
    </row>
    <row r="11727" spans="1:1">
      <c r="A11727" t="s">
        <v>12259</v>
      </c>
    </row>
    <row r="11728" spans="1:1">
      <c r="A11728" t="s">
        <v>12260</v>
      </c>
    </row>
    <row r="11729" spans="1:1">
      <c r="A11729" t="s">
        <v>12261</v>
      </c>
    </row>
    <row r="11730" spans="1:1">
      <c r="A11730" t="s">
        <v>12262</v>
      </c>
    </row>
    <row r="11731" spans="1:1">
      <c r="A11731" t="s">
        <v>12263</v>
      </c>
    </row>
    <row r="11732" spans="1:1">
      <c r="A11732" t="s">
        <v>12264</v>
      </c>
    </row>
    <row r="11733" spans="1:1">
      <c r="A11733" t="s">
        <v>12265</v>
      </c>
    </row>
    <row r="11734" spans="1:1">
      <c r="A11734" t="s">
        <v>12266</v>
      </c>
    </row>
    <row r="11735" spans="1:1">
      <c r="A11735" t="s">
        <v>12267</v>
      </c>
    </row>
    <row r="11736" spans="1:1">
      <c r="A11736" t="s">
        <v>12268</v>
      </c>
    </row>
    <row r="11737" spans="1:1">
      <c r="A11737" t="s">
        <v>12269</v>
      </c>
    </row>
    <row r="11738" spans="1:1">
      <c r="A11738" t="s">
        <v>12270</v>
      </c>
    </row>
    <row r="11739" spans="1:1">
      <c r="A11739" t="s">
        <v>12271</v>
      </c>
    </row>
    <row r="11740" spans="1:1">
      <c r="A11740" t="s">
        <v>12272</v>
      </c>
    </row>
    <row r="11741" spans="1:1">
      <c r="A11741" t="s">
        <v>12273</v>
      </c>
    </row>
    <row r="11742" spans="1:1">
      <c r="A11742" t="s">
        <v>12274</v>
      </c>
    </row>
    <row r="11743" spans="1:1">
      <c r="A11743" t="s">
        <v>12275</v>
      </c>
    </row>
    <row r="11744" spans="1:1">
      <c r="A11744" t="s">
        <v>12276</v>
      </c>
    </row>
    <row r="11745" spans="1:1">
      <c r="A11745" t="s">
        <v>12277</v>
      </c>
    </row>
    <row r="11746" spans="1:1">
      <c r="A11746" t="s">
        <v>12278</v>
      </c>
    </row>
    <row r="11747" spans="1:1">
      <c r="A11747" t="s">
        <v>12279</v>
      </c>
    </row>
    <row r="11748" spans="1:1">
      <c r="A11748" t="s">
        <v>12280</v>
      </c>
    </row>
    <row r="11749" spans="1:1">
      <c r="A11749" t="s">
        <v>12281</v>
      </c>
    </row>
    <row r="11750" spans="1:1">
      <c r="A11750" t="s">
        <v>12282</v>
      </c>
    </row>
    <row r="11751" spans="1:1">
      <c r="A11751" t="s">
        <v>12283</v>
      </c>
    </row>
    <row r="11752" spans="1:1">
      <c r="A11752" t="s">
        <v>12284</v>
      </c>
    </row>
    <row r="11753" spans="1:1">
      <c r="A11753" t="s">
        <v>12285</v>
      </c>
    </row>
    <row r="11754" spans="1:1">
      <c r="A11754" t="s">
        <v>12286</v>
      </c>
    </row>
    <row r="11755" spans="1:1">
      <c r="A11755" t="s">
        <v>12287</v>
      </c>
    </row>
    <row r="11756" spans="1:1">
      <c r="A11756" t="s">
        <v>12288</v>
      </c>
    </row>
    <row r="11757" spans="1:1">
      <c r="A11757" t="s">
        <v>12289</v>
      </c>
    </row>
    <row r="11758" spans="1:1">
      <c r="A11758" t="s">
        <v>12290</v>
      </c>
    </row>
    <row r="11759" spans="1:1">
      <c r="A11759" t="s">
        <v>12291</v>
      </c>
    </row>
    <row r="11760" spans="1:1">
      <c r="A11760" t="s">
        <v>12292</v>
      </c>
    </row>
    <row r="11761" spans="1:1">
      <c r="A11761" t="s">
        <v>12293</v>
      </c>
    </row>
    <row r="11762" spans="1:1">
      <c r="A11762" t="s">
        <v>12294</v>
      </c>
    </row>
    <row r="11763" spans="1:1">
      <c r="A11763" t="s">
        <v>12295</v>
      </c>
    </row>
    <row r="11764" spans="1:1">
      <c r="A11764" t="s">
        <v>12296</v>
      </c>
    </row>
    <row r="11765" spans="1:1">
      <c r="A11765" t="s">
        <v>12297</v>
      </c>
    </row>
    <row r="11766" spans="1:1">
      <c r="A11766" t="s">
        <v>12298</v>
      </c>
    </row>
    <row r="11767" spans="1:1">
      <c r="A11767" t="s">
        <v>12299</v>
      </c>
    </row>
    <row r="11768" spans="1:1">
      <c r="A11768" t="s">
        <v>12300</v>
      </c>
    </row>
    <row r="11769" spans="1:1">
      <c r="A11769" t="s">
        <v>12301</v>
      </c>
    </row>
    <row r="11770" spans="1:1">
      <c r="A11770" t="s">
        <v>12302</v>
      </c>
    </row>
    <row r="11771" spans="1:1">
      <c r="A11771" t="s">
        <v>12303</v>
      </c>
    </row>
    <row r="11772" spans="1:1">
      <c r="A11772" t="s">
        <v>12304</v>
      </c>
    </row>
    <row r="11773" spans="1:1">
      <c r="A11773" t="s">
        <v>12305</v>
      </c>
    </row>
    <row r="11774" spans="1:1">
      <c r="A11774" t="s">
        <v>12306</v>
      </c>
    </row>
    <row r="11775" spans="1:1">
      <c r="A11775" t="s">
        <v>12307</v>
      </c>
    </row>
    <row r="11776" spans="1:1">
      <c r="A11776" t="s">
        <v>12308</v>
      </c>
    </row>
    <row r="11777" spans="1:1">
      <c r="A11777" t="s">
        <v>12309</v>
      </c>
    </row>
    <row r="11778" spans="1:1">
      <c r="A11778" t="s">
        <v>12310</v>
      </c>
    </row>
    <row r="11779" spans="1:1">
      <c r="A11779" t="s">
        <v>12311</v>
      </c>
    </row>
    <row r="11780" spans="1:1">
      <c r="A11780" t="s">
        <v>12312</v>
      </c>
    </row>
    <row r="11781" spans="1:1">
      <c r="A11781" t="s">
        <v>12313</v>
      </c>
    </row>
    <row r="11782" spans="1:1">
      <c r="A11782" t="s">
        <v>12314</v>
      </c>
    </row>
    <row r="11783" spans="1:1">
      <c r="A11783" t="s">
        <v>12315</v>
      </c>
    </row>
    <row r="11784" spans="1:1">
      <c r="A11784" t="s">
        <v>12316</v>
      </c>
    </row>
    <row r="11785" spans="1:1">
      <c r="A11785" t="s">
        <v>12317</v>
      </c>
    </row>
    <row r="11786" spans="1:1">
      <c r="A11786" t="s">
        <v>12318</v>
      </c>
    </row>
    <row r="11787" spans="1:1">
      <c r="A11787" t="s">
        <v>12319</v>
      </c>
    </row>
    <row r="11788" spans="1:1">
      <c r="A11788" t="s">
        <v>12320</v>
      </c>
    </row>
    <row r="11789" spans="1:1">
      <c r="A11789" t="s">
        <v>12321</v>
      </c>
    </row>
    <row r="11790" spans="1:1">
      <c r="A11790" t="s">
        <v>12322</v>
      </c>
    </row>
    <row r="11791" spans="1:1">
      <c r="A11791" t="s">
        <v>12323</v>
      </c>
    </row>
    <row r="11792" spans="1:1">
      <c r="A11792" t="s">
        <v>12324</v>
      </c>
    </row>
    <row r="11793" spans="1:1">
      <c r="A11793" t="s">
        <v>12325</v>
      </c>
    </row>
    <row r="11794" spans="1:1">
      <c r="A11794" t="s">
        <v>12326</v>
      </c>
    </row>
    <row r="11795" spans="1:1">
      <c r="A11795" t="s">
        <v>12327</v>
      </c>
    </row>
    <row r="11796" spans="1:1">
      <c r="A11796" t="s">
        <v>12328</v>
      </c>
    </row>
    <row r="11797" spans="1:1">
      <c r="A11797" t="s">
        <v>12329</v>
      </c>
    </row>
    <row r="11798" spans="1:1">
      <c r="A11798" t="s">
        <v>12330</v>
      </c>
    </row>
    <row r="11799" spans="1:1">
      <c r="A11799" t="s">
        <v>12331</v>
      </c>
    </row>
    <row r="11800" spans="1:1">
      <c r="A11800" t="s">
        <v>12332</v>
      </c>
    </row>
    <row r="11801" spans="1:1">
      <c r="A11801" t="s">
        <v>12333</v>
      </c>
    </row>
    <row r="11802" spans="1:1">
      <c r="A11802" t="s">
        <v>12334</v>
      </c>
    </row>
    <row r="11803" spans="1:1">
      <c r="A11803" t="s">
        <v>12335</v>
      </c>
    </row>
    <row r="11804" spans="1:1">
      <c r="A11804" t="s">
        <v>12336</v>
      </c>
    </row>
    <row r="11805" spans="1:1">
      <c r="A11805" t="s">
        <v>12337</v>
      </c>
    </row>
    <row r="11806" spans="1:1">
      <c r="A11806" t="s">
        <v>12338</v>
      </c>
    </row>
    <row r="11807" spans="1:1">
      <c r="A11807" t="s">
        <v>12339</v>
      </c>
    </row>
    <row r="11808" spans="1:1">
      <c r="A11808" t="s">
        <v>12340</v>
      </c>
    </row>
    <row r="11809" spans="1:1">
      <c r="A11809" t="s">
        <v>12341</v>
      </c>
    </row>
    <row r="11810" spans="1:1">
      <c r="A11810" t="s">
        <v>12342</v>
      </c>
    </row>
    <row r="11811" spans="1:1">
      <c r="A11811" t="s">
        <v>12343</v>
      </c>
    </row>
    <row r="11812" spans="1:1">
      <c r="A11812" t="s">
        <v>12344</v>
      </c>
    </row>
    <row r="11813" spans="1:1">
      <c r="A11813" t="s">
        <v>12345</v>
      </c>
    </row>
    <row r="11814" spans="1:1">
      <c r="A11814" t="s">
        <v>12346</v>
      </c>
    </row>
    <row r="11815" spans="1:1">
      <c r="A11815" t="s">
        <v>12347</v>
      </c>
    </row>
    <row r="11816" spans="1:1">
      <c r="A11816" t="s">
        <v>12348</v>
      </c>
    </row>
    <row r="11817" spans="1:1">
      <c r="A11817" t="s">
        <v>12349</v>
      </c>
    </row>
    <row r="11818" spans="1:1">
      <c r="A11818" t="s">
        <v>12350</v>
      </c>
    </row>
    <row r="11819" spans="1:1">
      <c r="A11819" t="s">
        <v>12351</v>
      </c>
    </row>
    <row r="11820" spans="1:1">
      <c r="A11820" t="s">
        <v>12352</v>
      </c>
    </row>
    <row r="11821" spans="1:1">
      <c r="A11821" t="s">
        <v>12353</v>
      </c>
    </row>
    <row r="11822" spans="1:1">
      <c r="A11822" t="s">
        <v>12354</v>
      </c>
    </row>
    <row r="11823" spans="1:1">
      <c r="A11823" t="s">
        <v>12355</v>
      </c>
    </row>
    <row r="11824" spans="1:1">
      <c r="A11824" t="s">
        <v>12356</v>
      </c>
    </row>
    <row r="11825" spans="1:1">
      <c r="A11825" t="s">
        <v>12357</v>
      </c>
    </row>
    <row r="11826" spans="1:1">
      <c r="A11826" t="s">
        <v>12358</v>
      </c>
    </row>
    <row r="11827" spans="1:1">
      <c r="A11827" t="s">
        <v>12359</v>
      </c>
    </row>
    <row r="11828" spans="1:1">
      <c r="A11828" t="s">
        <v>12360</v>
      </c>
    </row>
    <row r="11829" spans="1:1">
      <c r="A11829" t="s">
        <v>12361</v>
      </c>
    </row>
    <row r="11830" spans="1:1">
      <c r="A11830" t="s">
        <v>12362</v>
      </c>
    </row>
    <row r="11831" spans="1:1">
      <c r="A11831" t="s">
        <v>12363</v>
      </c>
    </row>
    <row r="11832" spans="1:1">
      <c r="A11832" t="s">
        <v>12364</v>
      </c>
    </row>
    <row r="11833" spans="1:1">
      <c r="A11833" t="s">
        <v>12365</v>
      </c>
    </row>
    <row r="11834" spans="1:1">
      <c r="A11834" t="s">
        <v>12366</v>
      </c>
    </row>
    <row r="11835" spans="1:1">
      <c r="A11835" t="s">
        <v>12367</v>
      </c>
    </row>
    <row r="11836" spans="1:1">
      <c r="A11836" t="s">
        <v>12368</v>
      </c>
    </row>
    <row r="11837" spans="1:1">
      <c r="A11837" t="s">
        <v>12369</v>
      </c>
    </row>
    <row r="11838" spans="1:1">
      <c r="A11838" t="s">
        <v>12370</v>
      </c>
    </row>
    <row r="11839" spans="1:1">
      <c r="A11839" t="s">
        <v>12371</v>
      </c>
    </row>
    <row r="11840" spans="1:1">
      <c r="A11840" t="s">
        <v>12372</v>
      </c>
    </row>
    <row r="11841" spans="1:1">
      <c r="A11841" t="s">
        <v>12373</v>
      </c>
    </row>
    <row r="11842" spans="1:1">
      <c r="A11842" t="s">
        <v>12374</v>
      </c>
    </row>
    <row r="11843" spans="1:1">
      <c r="A11843" t="s">
        <v>12375</v>
      </c>
    </row>
    <row r="11844" spans="1:1">
      <c r="A11844" t="s">
        <v>12376</v>
      </c>
    </row>
    <row r="11845" spans="1:1">
      <c r="A11845" t="s">
        <v>12377</v>
      </c>
    </row>
    <row r="11846" spans="1:1">
      <c r="A11846" t="s">
        <v>12378</v>
      </c>
    </row>
    <row r="11847" spans="1:1">
      <c r="A11847" t="s">
        <v>12379</v>
      </c>
    </row>
    <row r="11848" spans="1:1">
      <c r="A11848" t="s">
        <v>12380</v>
      </c>
    </row>
    <row r="11849" spans="1:1">
      <c r="A11849" t="s">
        <v>12381</v>
      </c>
    </row>
    <row r="11850" spans="1:1">
      <c r="A11850" t="s">
        <v>12382</v>
      </c>
    </row>
    <row r="11851" spans="1:1">
      <c r="A11851" t="s">
        <v>12383</v>
      </c>
    </row>
    <row r="11852" spans="1:1">
      <c r="A11852" t="s">
        <v>12384</v>
      </c>
    </row>
    <row r="11853" spans="1:1">
      <c r="A11853" t="s">
        <v>12385</v>
      </c>
    </row>
    <row r="11854" spans="1:1">
      <c r="A11854" t="s">
        <v>12386</v>
      </c>
    </row>
    <row r="11855" spans="1:1">
      <c r="A11855" t="s">
        <v>12387</v>
      </c>
    </row>
    <row r="11856" spans="1:1">
      <c r="A11856" t="s">
        <v>12388</v>
      </c>
    </row>
    <row r="11857" spans="1:1">
      <c r="A11857" t="s">
        <v>12389</v>
      </c>
    </row>
    <row r="11858" spans="1:1">
      <c r="A11858" t="s">
        <v>12390</v>
      </c>
    </row>
    <row r="11859" spans="1:1">
      <c r="A11859" t="s">
        <v>12391</v>
      </c>
    </row>
    <row r="11860" spans="1:1">
      <c r="A11860" t="s">
        <v>12392</v>
      </c>
    </row>
    <row r="11861" spans="1:1">
      <c r="A11861" t="s">
        <v>12393</v>
      </c>
    </row>
    <row r="11862" spans="1:1">
      <c r="A11862" t="s">
        <v>12394</v>
      </c>
    </row>
    <row r="11863" spans="1:1">
      <c r="A11863" t="s">
        <v>12395</v>
      </c>
    </row>
    <row r="11864" spans="1:1">
      <c r="A11864" t="s">
        <v>12396</v>
      </c>
    </row>
    <row r="11865" spans="1:1">
      <c r="A11865" t="s">
        <v>12397</v>
      </c>
    </row>
    <row r="11866" spans="1:1">
      <c r="A11866" t="s">
        <v>12398</v>
      </c>
    </row>
    <row r="11867" spans="1:1">
      <c r="A11867" t="s">
        <v>12399</v>
      </c>
    </row>
    <row r="11868" spans="1:1">
      <c r="A11868" t="s">
        <v>12400</v>
      </c>
    </row>
    <row r="11869" spans="1:1">
      <c r="A11869" t="s">
        <v>12401</v>
      </c>
    </row>
    <row r="11870" spans="1:1">
      <c r="A11870" t="s">
        <v>12402</v>
      </c>
    </row>
    <row r="11871" spans="1:1">
      <c r="A11871" t="s">
        <v>12403</v>
      </c>
    </row>
    <row r="11872" spans="1:1">
      <c r="A11872" t="s">
        <v>12404</v>
      </c>
    </row>
    <row r="11873" spans="1:1">
      <c r="A11873" t="s">
        <v>12405</v>
      </c>
    </row>
    <row r="11874" spans="1:1">
      <c r="A11874" t="s">
        <v>12406</v>
      </c>
    </row>
    <row r="11875" spans="1:1">
      <c r="A11875" t="s">
        <v>12407</v>
      </c>
    </row>
    <row r="11876" spans="1:1">
      <c r="A11876" t="s">
        <v>12408</v>
      </c>
    </row>
    <row r="11877" spans="1:1">
      <c r="A11877" t="s">
        <v>12409</v>
      </c>
    </row>
    <row r="11878" spans="1:1">
      <c r="A11878" t="s">
        <v>12410</v>
      </c>
    </row>
    <row r="11879" spans="1:1">
      <c r="A11879" t="s">
        <v>12411</v>
      </c>
    </row>
    <row r="11880" spans="1:1">
      <c r="A11880" t="s">
        <v>12412</v>
      </c>
    </row>
    <row r="11881" spans="1:1">
      <c r="A11881" t="s">
        <v>12413</v>
      </c>
    </row>
    <row r="11882" spans="1:1">
      <c r="A11882" t="s">
        <v>12414</v>
      </c>
    </row>
    <row r="11883" spans="1:1">
      <c r="A11883" t="s">
        <v>12415</v>
      </c>
    </row>
    <row r="11884" spans="1:1">
      <c r="A11884" t="s">
        <v>12416</v>
      </c>
    </row>
    <row r="11885" spans="1:1">
      <c r="A11885" t="s">
        <v>12417</v>
      </c>
    </row>
    <row r="11886" spans="1:1">
      <c r="A11886" t="s">
        <v>12418</v>
      </c>
    </row>
    <row r="11887" spans="1:1">
      <c r="A11887" t="s">
        <v>12419</v>
      </c>
    </row>
    <row r="11888" spans="1:1">
      <c r="A11888" t="s">
        <v>12420</v>
      </c>
    </row>
    <row r="11889" spans="1:1">
      <c r="A11889" t="s">
        <v>12421</v>
      </c>
    </row>
    <row r="11890" spans="1:1">
      <c r="A11890" t="s">
        <v>12422</v>
      </c>
    </row>
    <row r="11891" spans="1:1">
      <c r="A11891" t="s">
        <v>12423</v>
      </c>
    </row>
    <row r="11892" spans="1:1">
      <c r="A11892" t="s">
        <v>12424</v>
      </c>
    </row>
    <row r="11893" spans="1:1">
      <c r="A11893" t="s">
        <v>12425</v>
      </c>
    </row>
    <row r="11894" spans="1:1">
      <c r="A11894" t="s">
        <v>12426</v>
      </c>
    </row>
    <row r="11895" spans="1:1">
      <c r="A11895" t="s">
        <v>12427</v>
      </c>
    </row>
    <row r="11896" spans="1:1">
      <c r="A11896" t="s">
        <v>12428</v>
      </c>
    </row>
    <row r="11897" spans="1:1">
      <c r="A11897" t="s">
        <v>12429</v>
      </c>
    </row>
    <row r="11898" spans="1:1">
      <c r="A11898" t="s">
        <v>12430</v>
      </c>
    </row>
    <row r="11899" spans="1:1">
      <c r="A11899" t="s">
        <v>12431</v>
      </c>
    </row>
    <row r="11900" spans="1:1">
      <c r="A11900" t="s">
        <v>12432</v>
      </c>
    </row>
    <row r="11901" spans="1:1">
      <c r="A11901" t="s">
        <v>12433</v>
      </c>
    </row>
    <row r="11902" spans="1:1">
      <c r="A11902" t="s">
        <v>12434</v>
      </c>
    </row>
    <row r="11903" spans="1:1">
      <c r="A11903" t="s">
        <v>12435</v>
      </c>
    </row>
    <row r="11904" spans="1:1">
      <c r="A11904" t="s">
        <v>12436</v>
      </c>
    </row>
    <row r="11905" spans="1:1">
      <c r="A11905" t="s">
        <v>12437</v>
      </c>
    </row>
    <row r="11906" spans="1:1">
      <c r="A11906" t="s">
        <v>12438</v>
      </c>
    </row>
    <row r="11907" spans="1:1">
      <c r="A11907" t="s">
        <v>12439</v>
      </c>
    </row>
    <row r="11908" spans="1:1">
      <c r="A11908" t="s">
        <v>12440</v>
      </c>
    </row>
    <row r="11909" spans="1:1">
      <c r="A11909" t="s">
        <v>12441</v>
      </c>
    </row>
    <row r="11910" spans="1:1">
      <c r="A11910" t="s">
        <v>12442</v>
      </c>
    </row>
    <row r="11911" spans="1:1">
      <c r="A11911" t="s">
        <v>12443</v>
      </c>
    </row>
    <row r="11912" spans="1:1">
      <c r="A11912" t="s">
        <v>12444</v>
      </c>
    </row>
    <row r="11913" spans="1:1">
      <c r="A11913" t="s">
        <v>12445</v>
      </c>
    </row>
    <row r="11914" spans="1:1">
      <c r="A11914" t="s">
        <v>12446</v>
      </c>
    </row>
    <row r="11915" spans="1:1">
      <c r="A11915" t="s">
        <v>12447</v>
      </c>
    </row>
    <row r="11916" spans="1:1">
      <c r="A11916" t="s">
        <v>12448</v>
      </c>
    </row>
    <row r="11917" spans="1:1">
      <c r="A11917" t="s">
        <v>12449</v>
      </c>
    </row>
    <row r="11918" spans="1:1">
      <c r="A11918" t="s">
        <v>12450</v>
      </c>
    </row>
    <row r="11919" spans="1:1">
      <c r="A11919" t="s">
        <v>12451</v>
      </c>
    </row>
    <row r="11920" spans="1:1">
      <c r="A11920" t="s">
        <v>12452</v>
      </c>
    </row>
    <row r="11921" spans="1:1">
      <c r="A11921" t="s">
        <v>12453</v>
      </c>
    </row>
    <row r="11922" spans="1:1">
      <c r="A11922" t="s">
        <v>12454</v>
      </c>
    </row>
    <row r="11923" spans="1:1">
      <c r="A11923" t="s">
        <v>12455</v>
      </c>
    </row>
    <row r="11924" spans="1:1">
      <c r="A11924" t="s">
        <v>12456</v>
      </c>
    </row>
    <row r="11925" spans="1:1">
      <c r="A11925" t="s">
        <v>12457</v>
      </c>
    </row>
    <row r="11926" spans="1:1">
      <c r="A11926" t="s">
        <v>12458</v>
      </c>
    </row>
    <row r="11927" spans="1:1">
      <c r="A11927" t="s">
        <v>12459</v>
      </c>
    </row>
    <row r="11928" spans="1:1">
      <c r="A11928" t="s">
        <v>12460</v>
      </c>
    </row>
    <row r="11929" spans="1:1">
      <c r="A11929" t="s">
        <v>12461</v>
      </c>
    </row>
    <row r="11930" spans="1:1">
      <c r="A11930" t="s">
        <v>12462</v>
      </c>
    </row>
    <row r="11931" spans="1:1">
      <c r="A11931" t="s">
        <v>12463</v>
      </c>
    </row>
    <row r="11932" spans="1:1">
      <c r="A11932" t="s">
        <v>12464</v>
      </c>
    </row>
    <row r="11933" spans="1:1">
      <c r="A11933" t="s">
        <v>12465</v>
      </c>
    </row>
    <row r="11934" spans="1:1">
      <c r="A11934" t="s">
        <v>12466</v>
      </c>
    </row>
    <row r="11935" spans="1:1">
      <c r="A11935" t="s">
        <v>12467</v>
      </c>
    </row>
    <row r="11936" spans="1:1">
      <c r="A11936" t="s">
        <v>12468</v>
      </c>
    </row>
    <row r="11937" spans="1:1">
      <c r="A11937" t="s">
        <v>12469</v>
      </c>
    </row>
    <row r="11938" spans="1:1">
      <c r="A11938" t="s">
        <v>12470</v>
      </c>
    </row>
    <row r="11939" spans="1:1">
      <c r="A11939" t="s">
        <v>12471</v>
      </c>
    </row>
    <row r="11940" spans="1:1">
      <c r="A11940" t="s">
        <v>12472</v>
      </c>
    </row>
    <row r="11941" spans="1:1">
      <c r="A11941" t="s">
        <v>12473</v>
      </c>
    </row>
    <row r="11942" spans="1:1">
      <c r="A11942" t="s">
        <v>12474</v>
      </c>
    </row>
    <row r="11943" spans="1:1">
      <c r="A11943" t="s">
        <v>12475</v>
      </c>
    </row>
    <row r="11944" spans="1:1">
      <c r="A11944" t="s">
        <v>12476</v>
      </c>
    </row>
    <row r="11945" spans="1:1">
      <c r="A11945" t="s">
        <v>12477</v>
      </c>
    </row>
    <row r="11946" spans="1:1">
      <c r="A11946" t="s">
        <v>12478</v>
      </c>
    </row>
    <row r="11947" spans="1:1">
      <c r="A11947" t="s">
        <v>12479</v>
      </c>
    </row>
    <row r="11948" spans="1:1">
      <c r="A11948" t="s">
        <v>12480</v>
      </c>
    </row>
    <row r="11949" spans="1:1">
      <c r="A11949" t="s">
        <v>12481</v>
      </c>
    </row>
    <row r="11950" spans="1:1">
      <c r="A11950" t="s">
        <v>12482</v>
      </c>
    </row>
    <row r="11951" spans="1:1">
      <c r="A11951" t="s">
        <v>12483</v>
      </c>
    </row>
    <row r="11952" spans="1:1">
      <c r="A11952" t="s">
        <v>12484</v>
      </c>
    </row>
    <row r="11953" spans="1:1">
      <c r="A11953" t="s">
        <v>12485</v>
      </c>
    </row>
    <row r="11954" spans="1:1">
      <c r="A11954" t="s">
        <v>12486</v>
      </c>
    </row>
    <row r="11955" spans="1:1">
      <c r="A11955" t="s">
        <v>12487</v>
      </c>
    </row>
    <row r="11956" spans="1:1">
      <c r="A11956" t="s">
        <v>12488</v>
      </c>
    </row>
    <row r="11957" spans="1:1">
      <c r="A11957" t="s">
        <v>12489</v>
      </c>
    </row>
    <row r="11958" spans="1:1">
      <c r="A11958" t="s">
        <v>12490</v>
      </c>
    </row>
    <row r="11959" spans="1:1">
      <c r="A11959" t="s">
        <v>12491</v>
      </c>
    </row>
    <row r="11960" spans="1:1">
      <c r="A11960" t="s">
        <v>12492</v>
      </c>
    </row>
    <row r="11961" spans="1:1">
      <c r="A11961" t="s">
        <v>12493</v>
      </c>
    </row>
    <row r="11962" spans="1:1">
      <c r="A11962" t="s">
        <v>12494</v>
      </c>
    </row>
    <row r="11963" spans="1:1">
      <c r="A11963" t="s">
        <v>12495</v>
      </c>
    </row>
    <row r="11964" spans="1:1">
      <c r="A11964" t="s">
        <v>12496</v>
      </c>
    </row>
    <row r="11965" spans="1:1">
      <c r="A11965" t="s">
        <v>12497</v>
      </c>
    </row>
    <row r="11966" spans="1:1">
      <c r="A11966" t="s">
        <v>12498</v>
      </c>
    </row>
    <row r="11967" spans="1:1">
      <c r="A11967" t="s">
        <v>12499</v>
      </c>
    </row>
    <row r="11968" spans="1:1">
      <c r="A11968" t="s">
        <v>12500</v>
      </c>
    </row>
    <row r="11969" spans="1:1">
      <c r="A11969" t="s">
        <v>12501</v>
      </c>
    </row>
    <row r="11970" spans="1:1">
      <c r="A11970" t="s">
        <v>12502</v>
      </c>
    </row>
    <row r="11971" spans="1:1">
      <c r="A11971" t="s">
        <v>12503</v>
      </c>
    </row>
    <row r="11972" spans="1:1">
      <c r="A11972" t="s">
        <v>12504</v>
      </c>
    </row>
    <row r="11973" spans="1:1">
      <c r="A11973" t="s">
        <v>12505</v>
      </c>
    </row>
    <row r="11974" spans="1:1">
      <c r="A11974" t="s">
        <v>12506</v>
      </c>
    </row>
    <row r="11975" spans="1:1">
      <c r="A11975" t="s">
        <v>12507</v>
      </c>
    </row>
    <row r="11976" spans="1:1">
      <c r="A11976" t="s">
        <v>12508</v>
      </c>
    </row>
    <row r="11977" spans="1:1">
      <c r="A11977" t="s">
        <v>12509</v>
      </c>
    </row>
    <row r="11978" spans="1:1">
      <c r="A11978" t="s">
        <v>12510</v>
      </c>
    </row>
    <row r="11979" spans="1:1">
      <c r="A11979" t="s">
        <v>12511</v>
      </c>
    </row>
    <row r="11980" spans="1:1">
      <c r="A11980" t="s">
        <v>12512</v>
      </c>
    </row>
    <row r="11981" spans="1:1">
      <c r="A11981" t="s">
        <v>12513</v>
      </c>
    </row>
    <row r="11982" spans="1:1">
      <c r="A11982" t="s">
        <v>12514</v>
      </c>
    </row>
    <row r="11983" spans="1:1">
      <c r="A11983" t="s">
        <v>12515</v>
      </c>
    </row>
    <row r="11984" spans="1:1">
      <c r="A11984" t="s">
        <v>12516</v>
      </c>
    </row>
    <row r="11985" spans="1:1">
      <c r="A11985" t="s">
        <v>12517</v>
      </c>
    </row>
    <row r="11986" spans="1:1">
      <c r="A11986" t="s">
        <v>12518</v>
      </c>
    </row>
    <row r="11987" spans="1:1">
      <c r="A11987" t="s">
        <v>12519</v>
      </c>
    </row>
    <row r="11988" spans="1:1">
      <c r="A11988" t="s">
        <v>12520</v>
      </c>
    </row>
    <row r="11989" spans="1:1">
      <c r="A11989" t="s">
        <v>12521</v>
      </c>
    </row>
    <row r="11990" spans="1:1">
      <c r="A11990" t="s">
        <v>12522</v>
      </c>
    </row>
    <row r="11991" spans="1:1">
      <c r="A11991" t="s">
        <v>12523</v>
      </c>
    </row>
    <row r="11992" spans="1:1">
      <c r="A11992" t="s">
        <v>12524</v>
      </c>
    </row>
    <row r="11993" spans="1:1">
      <c r="A11993" t="s">
        <v>12525</v>
      </c>
    </row>
    <row r="11994" spans="1:1">
      <c r="A11994" t="s">
        <v>12526</v>
      </c>
    </row>
    <row r="11995" spans="1:1">
      <c r="A11995" t="s">
        <v>12527</v>
      </c>
    </row>
    <row r="11996" spans="1:1">
      <c r="A11996" t="s">
        <v>12528</v>
      </c>
    </row>
    <row r="11997" spans="1:1">
      <c r="A11997" t="s">
        <v>12529</v>
      </c>
    </row>
    <row r="11998" spans="1:1">
      <c r="A11998" t="s">
        <v>12530</v>
      </c>
    </row>
    <row r="11999" spans="1:1">
      <c r="A11999" t="s">
        <v>12531</v>
      </c>
    </row>
    <row r="12000" spans="1:1">
      <c r="A12000" t="s">
        <v>12532</v>
      </c>
    </row>
    <row r="12001" spans="1:1">
      <c r="A12001" t="s">
        <v>12533</v>
      </c>
    </row>
    <row r="12002" spans="1:1">
      <c r="A12002" t="s">
        <v>12534</v>
      </c>
    </row>
    <row r="12003" spans="1:1">
      <c r="A12003" t="s">
        <v>12535</v>
      </c>
    </row>
    <row r="12004" spans="1:1">
      <c r="A12004" t="s">
        <v>12536</v>
      </c>
    </row>
    <row r="12005" spans="1:1">
      <c r="A12005" t="s">
        <v>12537</v>
      </c>
    </row>
    <row r="12006" spans="1:1">
      <c r="A12006" t="s">
        <v>12538</v>
      </c>
    </row>
    <row r="12007" spans="1:1">
      <c r="A12007" t="s">
        <v>12539</v>
      </c>
    </row>
    <row r="12008" spans="1:1">
      <c r="A12008" t="s">
        <v>12540</v>
      </c>
    </row>
    <row r="12009" spans="1:1">
      <c r="A12009" t="s">
        <v>12541</v>
      </c>
    </row>
    <row r="12010" spans="1:1">
      <c r="A12010" t="s">
        <v>12542</v>
      </c>
    </row>
    <row r="12011" spans="1:1">
      <c r="A12011" t="s">
        <v>12543</v>
      </c>
    </row>
    <row r="12012" spans="1:1">
      <c r="A12012" t="s">
        <v>12544</v>
      </c>
    </row>
    <row r="12013" spans="1:1">
      <c r="A12013" t="s">
        <v>12545</v>
      </c>
    </row>
    <row r="12014" spans="1:1">
      <c r="A12014" t="s">
        <v>12546</v>
      </c>
    </row>
    <row r="12015" spans="1:1">
      <c r="A12015" t="s">
        <v>12547</v>
      </c>
    </row>
    <row r="12016" spans="1:1">
      <c r="A12016" t="s">
        <v>12548</v>
      </c>
    </row>
    <row r="12017" spans="1:1">
      <c r="A12017" t="s">
        <v>12549</v>
      </c>
    </row>
    <row r="12018" spans="1:1">
      <c r="A12018" t="s">
        <v>12550</v>
      </c>
    </row>
    <row r="12019" spans="1:1">
      <c r="A12019" t="s">
        <v>12551</v>
      </c>
    </row>
    <row r="12020" spans="1:1">
      <c r="A12020" t="s">
        <v>12552</v>
      </c>
    </row>
    <row r="12021" spans="1:1">
      <c r="A12021" t="s">
        <v>12553</v>
      </c>
    </row>
    <row r="12022" spans="1:1">
      <c r="A12022" t="s">
        <v>12554</v>
      </c>
    </row>
    <row r="12023" spans="1:1">
      <c r="A12023" t="s">
        <v>12555</v>
      </c>
    </row>
    <row r="12024" spans="1:1">
      <c r="A12024" t="s">
        <v>12556</v>
      </c>
    </row>
    <row r="12025" spans="1:1">
      <c r="A12025" t="s">
        <v>12557</v>
      </c>
    </row>
    <row r="12026" spans="1:1">
      <c r="A12026" t="s">
        <v>12558</v>
      </c>
    </row>
    <row r="12027" spans="1:1">
      <c r="A12027" t="s">
        <v>12559</v>
      </c>
    </row>
    <row r="12028" spans="1:1">
      <c r="A12028" t="s">
        <v>12560</v>
      </c>
    </row>
    <row r="12029" spans="1:1">
      <c r="A12029" t="s">
        <v>12561</v>
      </c>
    </row>
    <row r="12030" spans="1:1">
      <c r="A12030" t="s">
        <v>12562</v>
      </c>
    </row>
    <row r="12031" spans="1:1">
      <c r="A12031" t="s">
        <v>12563</v>
      </c>
    </row>
    <row r="12032" spans="1:1">
      <c r="A12032" t="s">
        <v>12564</v>
      </c>
    </row>
    <row r="12033" spans="1:1">
      <c r="A12033" t="s">
        <v>12565</v>
      </c>
    </row>
    <row r="12034" spans="1:1">
      <c r="A12034" t="s">
        <v>12566</v>
      </c>
    </row>
    <row r="12035" spans="1:1">
      <c r="A12035" t="s">
        <v>12567</v>
      </c>
    </row>
    <row r="12036" spans="1:1">
      <c r="A12036" t="s">
        <v>12568</v>
      </c>
    </row>
    <row r="12037" spans="1:1">
      <c r="A12037" t="s">
        <v>12569</v>
      </c>
    </row>
    <row r="12038" spans="1:1">
      <c r="A12038" t="s">
        <v>12570</v>
      </c>
    </row>
    <row r="12039" spans="1:1">
      <c r="A12039" t="s">
        <v>12571</v>
      </c>
    </row>
    <row r="12040" spans="1:1">
      <c r="A12040" t="s">
        <v>12572</v>
      </c>
    </row>
    <row r="12041" spans="1:1">
      <c r="A12041" t="s">
        <v>12573</v>
      </c>
    </row>
    <row r="12042" spans="1:1">
      <c r="A12042" t="s">
        <v>12574</v>
      </c>
    </row>
    <row r="12043" spans="1:1">
      <c r="A12043" t="s">
        <v>12575</v>
      </c>
    </row>
    <row r="12044" spans="1:1">
      <c r="A12044" t="s">
        <v>12576</v>
      </c>
    </row>
    <row r="12045" spans="1:1">
      <c r="A12045" t="s">
        <v>12577</v>
      </c>
    </row>
    <row r="12046" spans="1:1">
      <c r="A12046" t="s">
        <v>12578</v>
      </c>
    </row>
    <row r="12047" spans="1:1">
      <c r="A12047" t="s">
        <v>12579</v>
      </c>
    </row>
    <row r="12048" spans="1:1">
      <c r="A12048" t="s">
        <v>12580</v>
      </c>
    </row>
    <row r="12049" spans="1:1">
      <c r="A12049" t="s">
        <v>12581</v>
      </c>
    </row>
    <row r="12050" spans="1:1">
      <c r="A12050" t="s">
        <v>12582</v>
      </c>
    </row>
    <row r="12051" spans="1:1">
      <c r="A12051" t="s">
        <v>12583</v>
      </c>
    </row>
    <row r="12052" spans="1:1">
      <c r="A12052" t="s">
        <v>12584</v>
      </c>
    </row>
    <row r="12053" spans="1:1">
      <c r="A12053" t="s">
        <v>12585</v>
      </c>
    </row>
    <row r="12054" spans="1:1">
      <c r="A12054" t="s">
        <v>12586</v>
      </c>
    </row>
    <row r="12055" spans="1:1">
      <c r="A12055" t="s">
        <v>12587</v>
      </c>
    </row>
    <row r="12056" spans="1:1">
      <c r="A12056" t="s">
        <v>12588</v>
      </c>
    </row>
    <row r="12057" spans="1:1">
      <c r="A12057" t="s">
        <v>12589</v>
      </c>
    </row>
    <row r="12058" spans="1:1">
      <c r="A12058" t="s">
        <v>12590</v>
      </c>
    </row>
    <row r="12059" spans="1:1">
      <c r="A12059" t="s">
        <v>12591</v>
      </c>
    </row>
    <row r="12060" spans="1:1">
      <c r="A12060" t="s">
        <v>12592</v>
      </c>
    </row>
    <row r="12061" spans="1:1">
      <c r="A12061" t="s">
        <v>12593</v>
      </c>
    </row>
    <row r="12062" spans="1:1">
      <c r="A12062" t="s">
        <v>12594</v>
      </c>
    </row>
    <row r="12063" spans="1:1">
      <c r="A12063" t="s">
        <v>12595</v>
      </c>
    </row>
    <row r="12064" spans="1:1">
      <c r="A12064" t="s">
        <v>12596</v>
      </c>
    </row>
    <row r="12065" spans="1:1">
      <c r="A12065" t="s">
        <v>12597</v>
      </c>
    </row>
    <row r="12066" spans="1:1">
      <c r="A12066" t="s">
        <v>12598</v>
      </c>
    </row>
    <row r="12067" spans="1:1">
      <c r="A12067" t="s">
        <v>12599</v>
      </c>
    </row>
    <row r="12068" spans="1:1">
      <c r="A12068" t="s">
        <v>12600</v>
      </c>
    </row>
    <row r="12069" spans="1:1">
      <c r="A12069" t="s">
        <v>12601</v>
      </c>
    </row>
    <row r="12070" spans="1:1">
      <c r="A12070" t="s">
        <v>12602</v>
      </c>
    </row>
    <row r="12071" spans="1:1">
      <c r="A12071" t="s">
        <v>12603</v>
      </c>
    </row>
    <row r="12072" spans="1:1">
      <c r="A12072" t="s">
        <v>12604</v>
      </c>
    </row>
    <row r="12073" spans="1:1">
      <c r="A12073" t="s">
        <v>12605</v>
      </c>
    </row>
    <row r="12074" spans="1:1">
      <c r="A12074" t="s">
        <v>12606</v>
      </c>
    </row>
    <row r="12075" spans="1:1">
      <c r="A12075" t="s">
        <v>12607</v>
      </c>
    </row>
    <row r="12076" spans="1:1">
      <c r="A12076" t="s">
        <v>12608</v>
      </c>
    </row>
    <row r="12077" spans="1:1">
      <c r="A12077" t="s">
        <v>12609</v>
      </c>
    </row>
    <row r="12078" spans="1:1">
      <c r="A12078" t="s">
        <v>12610</v>
      </c>
    </row>
    <row r="12079" spans="1:1">
      <c r="A12079" t="s">
        <v>12611</v>
      </c>
    </row>
    <row r="12080" spans="1:1">
      <c r="A12080" t="s">
        <v>12612</v>
      </c>
    </row>
    <row r="12081" spans="1:1">
      <c r="A12081" t="s">
        <v>12613</v>
      </c>
    </row>
    <row r="12082" spans="1:1">
      <c r="A12082" t="s">
        <v>12614</v>
      </c>
    </row>
    <row r="12083" spans="1:1">
      <c r="A12083" t="s">
        <v>12615</v>
      </c>
    </row>
    <row r="12084" spans="1:1">
      <c r="A12084" t="s">
        <v>12616</v>
      </c>
    </row>
    <row r="12085" spans="1:1">
      <c r="A12085" t="s">
        <v>12617</v>
      </c>
    </row>
    <row r="12086" spans="1:1">
      <c r="A12086" t="s">
        <v>12618</v>
      </c>
    </row>
    <row r="12087" spans="1:1">
      <c r="A12087" t="s">
        <v>12619</v>
      </c>
    </row>
    <row r="12088" spans="1:1">
      <c r="A12088" t="s">
        <v>12620</v>
      </c>
    </row>
    <row r="12089" spans="1:1">
      <c r="A12089" t="s">
        <v>12621</v>
      </c>
    </row>
    <row r="12090" spans="1:1">
      <c r="A12090" t="s">
        <v>12622</v>
      </c>
    </row>
    <row r="12091" spans="1:1">
      <c r="A12091" t="s">
        <v>12623</v>
      </c>
    </row>
    <row r="12092" spans="1:1">
      <c r="A12092" t="s">
        <v>12624</v>
      </c>
    </row>
    <row r="12093" spans="1:1">
      <c r="A12093" t="s">
        <v>12625</v>
      </c>
    </row>
    <row r="12094" spans="1:1">
      <c r="A12094" t="s">
        <v>12626</v>
      </c>
    </row>
    <row r="12095" spans="1:1">
      <c r="A12095" t="s">
        <v>12627</v>
      </c>
    </row>
    <row r="12096" spans="1:1">
      <c r="A12096" t="s">
        <v>12628</v>
      </c>
    </row>
    <row r="12097" spans="1:1">
      <c r="A12097" t="s">
        <v>12629</v>
      </c>
    </row>
    <row r="12098" spans="1:1">
      <c r="A12098" t="s">
        <v>12630</v>
      </c>
    </row>
    <row r="12099" spans="1:1">
      <c r="A12099" t="s">
        <v>12631</v>
      </c>
    </row>
    <row r="12100" spans="1:1">
      <c r="A12100" t="s">
        <v>12632</v>
      </c>
    </row>
    <row r="12101" spans="1:1">
      <c r="A12101" t="s">
        <v>12633</v>
      </c>
    </row>
    <row r="12102" spans="1:1">
      <c r="A12102" t="s">
        <v>12634</v>
      </c>
    </row>
    <row r="12103" spans="1:1">
      <c r="A12103" t="s">
        <v>12635</v>
      </c>
    </row>
    <row r="12104" spans="1:1">
      <c r="A12104" t="s">
        <v>12636</v>
      </c>
    </row>
    <row r="12105" spans="1:1">
      <c r="A12105" t="s">
        <v>12637</v>
      </c>
    </row>
    <row r="12106" spans="1:1">
      <c r="A12106" t="s">
        <v>12638</v>
      </c>
    </row>
    <row r="12107" spans="1:1">
      <c r="A12107" t="s">
        <v>12639</v>
      </c>
    </row>
    <row r="12108" spans="1:1">
      <c r="A12108" t="s">
        <v>12640</v>
      </c>
    </row>
    <row r="12109" spans="1:1">
      <c r="A12109" t="s">
        <v>12641</v>
      </c>
    </row>
    <row r="12110" spans="1:1">
      <c r="A12110" t="s">
        <v>12642</v>
      </c>
    </row>
    <row r="12111" spans="1:1">
      <c r="A12111" t="s">
        <v>12643</v>
      </c>
    </row>
    <row r="12112" spans="1:1">
      <c r="A12112" t="s">
        <v>12644</v>
      </c>
    </row>
    <row r="12113" spans="1:1">
      <c r="A12113" t="s">
        <v>12645</v>
      </c>
    </row>
    <row r="12114" spans="1:1">
      <c r="A12114" t="s">
        <v>12646</v>
      </c>
    </row>
    <row r="12115" spans="1:1">
      <c r="A12115" t="s">
        <v>12647</v>
      </c>
    </row>
    <row r="12116" spans="1:1">
      <c r="A12116" t="s">
        <v>12648</v>
      </c>
    </row>
    <row r="12117" spans="1:1">
      <c r="A12117" t="s">
        <v>12649</v>
      </c>
    </row>
    <row r="12118" spans="1:1">
      <c r="A12118" t="s">
        <v>12650</v>
      </c>
    </row>
    <row r="12119" spans="1:1">
      <c r="A12119" t="s">
        <v>12651</v>
      </c>
    </row>
    <row r="12120" spans="1:1">
      <c r="A12120" t="s">
        <v>12652</v>
      </c>
    </row>
    <row r="12121" spans="1:1">
      <c r="A12121" t="s">
        <v>12653</v>
      </c>
    </row>
    <row r="12122" spans="1:1">
      <c r="A12122" t="s">
        <v>12654</v>
      </c>
    </row>
    <row r="12123" spans="1:1">
      <c r="A12123" t="s">
        <v>12655</v>
      </c>
    </row>
    <row r="12124" spans="1:1">
      <c r="A12124" t="s">
        <v>12656</v>
      </c>
    </row>
    <row r="12125" spans="1:1">
      <c r="A12125" t="s">
        <v>12657</v>
      </c>
    </row>
    <row r="12126" spans="1:1">
      <c r="A12126" t="s">
        <v>12658</v>
      </c>
    </row>
    <row r="12127" spans="1:1">
      <c r="A12127" t="s">
        <v>12659</v>
      </c>
    </row>
    <row r="12128" spans="1:1">
      <c r="A12128" t="s">
        <v>12660</v>
      </c>
    </row>
    <row r="12129" spans="1:1">
      <c r="A12129" t="s">
        <v>12661</v>
      </c>
    </row>
    <row r="12130" spans="1:1">
      <c r="A12130" t="s">
        <v>12662</v>
      </c>
    </row>
    <row r="12131" spans="1:1">
      <c r="A12131" t="s">
        <v>12663</v>
      </c>
    </row>
    <row r="12132" spans="1:1">
      <c r="A12132" t="s">
        <v>12664</v>
      </c>
    </row>
    <row r="12133" spans="1:1">
      <c r="A12133" t="s">
        <v>12665</v>
      </c>
    </row>
    <row r="12134" spans="1:1">
      <c r="A12134" t="s">
        <v>12666</v>
      </c>
    </row>
    <row r="12135" spans="1:1">
      <c r="A12135" t="s">
        <v>12667</v>
      </c>
    </row>
    <row r="12136" spans="1:1">
      <c r="A12136" t="s">
        <v>12668</v>
      </c>
    </row>
    <row r="12137" spans="1:1">
      <c r="A12137" t="s">
        <v>12669</v>
      </c>
    </row>
    <row r="12138" spans="1:1">
      <c r="A12138" t="s">
        <v>12670</v>
      </c>
    </row>
    <row r="12139" spans="1:1">
      <c r="A12139" t="s">
        <v>12671</v>
      </c>
    </row>
    <row r="12140" spans="1:1">
      <c r="A12140" t="s">
        <v>12672</v>
      </c>
    </row>
    <row r="12141" spans="1:1">
      <c r="A12141" t="s">
        <v>12673</v>
      </c>
    </row>
    <row r="12142" spans="1:1">
      <c r="A12142" t="s">
        <v>12674</v>
      </c>
    </row>
    <row r="12143" spans="1:1">
      <c r="A12143" t="s">
        <v>12675</v>
      </c>
    </row>
    <row r="12144" spans="1:1">
      <c r="A12144" t="s">
        <v>12676</v>
      </c>
    </row>
    <row r="12145" spans="1:1">
      <c r="A12145" t="s">
        <v>12677</v>
      </c>
    </row>
    <row r="12146" spans="1:1">
      <c r="A12146" t="s">
        <v>12678</v>
      </c>
    </row>
    <row r="12147" spans="1:1">
      <c r="A12147" t="s">
        <v>12679</v>
      </c>
    </row>
    <row r="12148" spans="1:1">
      <c r="A12148" t="s">
        <v>12680</v>
      </c>
    </row>
    <row r="12149" spans="1:1">
      <c r="A12149" t="s">
        <v>12681</v>
      </c>
    </row>
    <row r="12150" spans="1:1">
      <c r="A12150" t="s">
        <v>12682</v>
      </c>
    </row>
    <row r="12151" spans="1:1">
      <c r="A12151" t="s">
        <v>12683</v>
      </c>
    </row>
    <row r="12152" spans="1:1">
      <c r="A12152" t="s">
        <v>12684</v>
      </c>
    </row>
    <row r="12153" spans="1:1">
      <c r="A12153" t="s">
        <v>12685</v>
      </c>
    </row>
    <row r="12154" spans="1:1">
      <c r="A12154" t="s">
        <v>12686</v>
      </c>
    </row>
    <row r="12155" spans="1:1">
      <c r="A12155" t="s">
        <v>12687</v>
      </c>
    </row>
    <row r="12156" spans="1:1">
      <c r="A12156" t="s">
        <v>12688</v>
      </c>
    </row>
    <row r="12157" spans="1:1">
      <c r="A12157" t="s">
        <v>12689</v>
      </c>
    </row>
    <row r="12158" spans="1:1">
      <c r="A12158" t="s">
        <v>12690</v>
      </c>
    </row>
    <row r="12159" spans="1:1">
      <c r="A12159" t="s">
        <v>12691</v>
      </c>
    </row>
    <row r="12160" spans="1:1">
      <c r="A12160" t="s">
        <v>12692</v>
      </c>
    </row>
    <row r="12161" spans="1:1">
      <c r="A12161" t="s">
        <v>12693</v>
      </c>
    </row>
    <row r="12162" spans="1:1">
      <c r="A12162" t="s">
        <v>12694</v>
      </c>
    </row>
    <row r="12163" spans="1:1">
      <c r="A12163" t="s">
        <v>12695</v>
      </c>
    </row>
    <row r="12164" spans="1:1">
      <c r="A12164" t="s">
        <v>12696</v>
      </c>
    </row>
    <row r="12165" spans="1:1">
      <c r="A12165" t="s">
        <v>12697</v>
      </c>
    </row>
    <row r="12166" spans="1:1">
      <c r="A12166" t="s">
        <v>12698</v>
      </c>
    </row>
    <row r="12167" spans="1:1">
      <c r="A12167" t="s">
        <v>12699</v>
      </c>
    </row>
    <row r="12168" spans="1:1">
      <c r="A12168" t="s">
        <v>12700</v>
      </c>
    </row>
    <row r="12169" spans="1:1">
      <c r="A12169" t="s">
        <v>12701</v>
      </c>
    </row>
    <row r="12170" spans="1:1">
      <c r="A12170" t="s">
        <v>12702</v>
      </c>
    </row>
    <row r="12171" spans="1:1">
      <c r="A12171" t="s">
        <v>12703</v>
      </c>
    </row>
    <row r="12172" spans="1:1">
      <c r="A12172" t="s">
        <v>12704</v>
      </c>
    </row>
    <row r="12173" spans="1:1">
      <c r="A12173" t="s">
        <v>12705</v>
      </c>
    </row>
    <row r="12174" spans="1:1">
      <c r="A12174" t="s">
        <v>12706</v>
      </c>
    </row>
    <row r="12175" spans="1:1">
      <c r="A12175" t="s">
        <v>12707</v>
      </c>
    </row>
    <row r="12176" spans="1:1">
      <c r="A12176" t="s">
        <v>12708</v>
      </c>
    </row>
    <row r="12177" spans="1:1">
      <c r="A12177" t="s">
        <v>12709</v>
      </c>
    </row>
    <row r="12178" spans="1:1">
      <c r="A12178" t="s">
        <v>12710</v>
      </c>
    </row>
    <row r="12179" spans="1:1">
      <c r="A12179" t="s">
        <v>12711</v>
      </c>
    </row>
    <row r="12180" spans="1:1">
      <c r="A12180" t="s">
        <v>12712</v>
      </c>
    </row>
    <row r="12181" spans="1:1">
      <c r="A12181" t="s">
        <v>12713</v>
      </c>
    </row>
    <row r="12182" spans="1:1">
      <c r="A12182" t="s">
        <v>12714</v>
      </c>
    </row>
    <row r="12183" spans="1:1">
      <c r="A12183" t="s">
        <v>12715</v>
      </c>
    </row>
    <row r="12184" spans="1:1">
      <c r="A12184" t="s">
        <v>12716</v>
      </c>
    </row>
    <row r="12185" spans="1:1">
      <c r="A12185" t="s">
        <v>12717</v>
      </c>
    </row>
    <row r="12186" spans="1:1">
      <c r="A12186" t="s">
        <v>12718</v>
      </c>
    </row>
    <row r="12187" spans="1:1">
      <c r="A12187" t="s">
        <v>12719</v>
      </c>
    </row>
    <row r="12188" spans="1:1">
      <c r="A12188" t="s">
        <v>12720</v>
      </c>
    </row>
    <row r="12189" spans="1:1">
      <c r="A12189" t="s">
        <v>12721</v>
      </c>
    </row>
    <row r="12190" spans="1:1">
      <c r="A12190" t="s">
        <v>12722</v>
      </c>
    </row>
    <row r="12191" spans="1:1">
      <c r="A12191" t="s">
        <v>12723</v>
      </c>
    </row>
    <row r="12192" spans="1:1">
      <c r="A12192" t="s">
        <v>12724</v>
      </c>
    </row>
    <row r="12193" spans="1:1">
      <c r="A12193" t="s">
        <v>12725</v>
      </c>
    </row>
    <row r="12194" spans="1:1">
      <c r="A12194" t="s">
        <v>12726</v>
      </c>
    </row>
    <row r="12195" spans="1:1">
      <c r="A12195" t="s">
        <v>12727</v>
      </c>
    </row>
    <row r="12196" spans="1:1">
      <c r="A12196" t="s">
        <v>12728</v>
      </c>
    </row>
    <row r="12197" spans="1:1">
      <c r="A12197" t="s">
        <v>12729</v>
      </c>
    </row>
    <row r="12198" spans="1:1">
      <c r="A12198" t="s">
        <v>12730</v>
      </c>
    </row>
    <row r="12199" spans="1:1">
      <c r="A12199" t="s">
        <v>12731</v>
      </c>
    </row>
    <row r="12200" spans="1:1">
      <c r="A12200" t="s">
        <v>12732</v>
      </c>
    </row>
    <row r="12201" spans="1:1">
      <c r="A12201" t="s">
        <v>12733</v>
      </c>
    </row>
    <row r="12202" spans="1:1">
      <c r="A12202" t="s">
        <v>12734</v>
      </c>
    </row>
    <row r="12203" spans="1:1">
      <c r="A12203" t="s">
        <v>12735</v>
      </c>
    </row>
    <row r="12204" spans="1:1">
      <c r="A12204" t="s">
        <v>12736</v>
      </c>
    </row>
    <row r="12205" spans="1:1">
      <c r="A12205" t="s">
        <v>12737</v>
      </c>
    </row>
    <row r="12206" spans="1:1">
      <c r="A12206" t="s">
        <v>12738</v>
      </c>
    </row>
    <row r="12207" spans="1:1">
      <c r="A12207" t="s">
        <v>12739</v>
      </c>
    </row>
    <row r="12208" spans="1:1">
      <c r="A12208" t="s">
        <v>12740</v>
      </c>
    </row>
    <row r="12209" spans="1:1">
      <c r="A12209" t="s">
        <v>12741</v>
      </c>
    </row>
    <row r="12210" spans="1:1">
      <c r="A12210" t="s">
        <v>12742</v>
      </c>
    </row>
    <row r="12211" spans="1:1">
      <c r="A12211" t="s">
        <v>12743</v>
      </c>
    </row>
    <row r="12212" spans="1:1">
      <c r="A12212" t="s">
        <v>12744</v>
      </c>
    </row>
    <row r="12213" spans="1:1">
      <c r="A12213" t="s">
        <v>12745</v>
      </c>
    </row>
    <row r="12214" spans="1:1">
      <c r="A12214" t="s">
        <v>12746</v>
      </c>
    </row>
    <row r="12215" spans="1:1">
      <c r="A12215" t="s">
        <v>12747</v>
      </c>
    </row>
    <row r="12216" spans="1:1">
      <c r="A12216" t="s">
        <v>12748</v>
      </c>
    </row>
    <row r="12217" spans="1:1">
      <c r="A12217" t="s">
        <v>12749</v>
      </c>
    </row>
    <row r="12218" spans="1:1">
      <c r="A12218" t="s">
        <v>12750</v>
      </c>
    </row>
    <row r="12219" spans="1:1">
      <c r="A12219" t="s">
        <v>12751</v>
      </c>
    </row>
    <row r="12220" spans="1:1">
      <c r="A12220" t="s">
        <v>12752</v>
      </c>
    </row>
    <row r="12221" spans="1:1">
      <c r="A12221" t="s">
        <v>12753</v>
      </c>
    </row>
    <row r="12222" spans="1:1">
      <c r="A12222" t="s">
        <v>12754</v>
      </c>
    </row>
    <row r="12223" spans="1:1">
      <c r="A12223" t="s">
        <v>12755</v>
      </c>
    </row>
    <row r="12224" spans="1:1">
      <c r="A12224" t="s">
        <v>12756</v>
      </c>
    </row>
    <row r="12225" spans="1:1">
      <c r="A12225" t="s">
        <v>12757</v>
      </c>
    </row>
    <row r="12226" spans="1:1">
      <c r="A12226" t="s">
        <v>12758</v>
      </c>
    </row>
    <row r="12227" spans="1:1">
      <c r="A12227" t="s">
        <v>12759</v>
      </c>
    </row>
    <row r="12228" spans="1:1">
      <c r="A12228" t="s">
        <v>12760</v>
      </c>
    </row>
    <row r="12229" spans="1:1">
      <c r="A12229" t="s">
        <v>12761</v>
      </c>
    </row>
    <row r="12230" spans="1:1">
      <c r="A12230" t="s">
        <v>12762</v>
      </c>
    </row>
    <row r="12231" spans="1:1">
      <c r="A12231" t="s">
        <v>12763</v>
      </c>
    </row>
    <row r="12232" spans="1:1">
      <c r="A12232" t="s">
        <v>12764</v>
      </c>
    </row>
    <row r="12233" spans="1:1">
      <c r="A12233" t="s">
        <v>12765</v>
      </c>
    </row>
    <row r="12234" spans="1:1">
      <c r="A12234" t="s">
        <v>12766</v>
      </c>
    </row>
    <row r="12235" spans="1:1">
      <c r="A12235" t="s">
        <v>12767</v>
      </c>
    </row>
    <row r="12236" spans="1:1">
      <c r="A12236" t="s">
        <v>12768</v>
      </c>
    </row>
    <row r="12237" spans="1:1">
      <c r="A12237" t="s">
        <v>12769</v>
      </c>
    </row>
    <row r="12238" spans="1:1">
      <c r="A12238" t="s">
        <v>12770</v>
      </c>
    </row>
    <row r="12239" spans="1:1">
      <c r="A12239" t="s">
        <v>12771</v>
      </c>
    </row>
    <row r="12240" spans="1:1">
      <c r="A12240" t="s">
        <v>12772</v>
      </c>
    </row>
    <row r="12241" spans="1:1">
      <c r="A12241" t="s">
        <v>12773</v>
      </c>
    </row>
    <row r="12242" spans="1:1">
      <c r="A12242" t="s">
        <v>12774</v>
      </c>
    </row>
    <row r="12243" spans="1:1">
      <c r="A12243" t="s">
        <v>12775</v>
      </c>
    </row>
    <row r="12244" spans="1:1">
      <c r="A12244" t="s">
        <v>12776</v>
      </c>
    </row>
    <row r="12245" spans="1:1">
      <c r="A12245" t="s">
        <v>12777</v>
      </c>
    </row>
    <row r="12246" spans="1:1">
      <c r="A12246" t="s">
        <v>12778</v>
      </c>
    </row>
    <row r="12247" spans="1:1">
      <c r="A12247" t="s">
        <v>12779</v>
      </c>
    </row>
    <row r="12248" spans="1:1">
      <c r="A12248" t="s">
        <v>12780</v>
      </c>
    </row>
    <row r="12249" spans="1:1">
      <c r="A12249" t="s">
        <v>12781</v>
      </c>
    </row>
    <row r="12250" spans="1:1">
      <c r="A12250" t="s">
        <v>12782</v>
      </c>
    </row>
    <row r="12251" spans="1:1">
      <c r="A12251" t="s">
        <v>12783</v>
      </c>
    </row>
    <row r="12252" spans="1:1">
      <c r="A12252" t="s">
        <v>12784</v>
      </c>
    </row>
    <row r="12253" spans="1:1">
      <c r="A12253" t="s">
        <v>12785</v>
      </c>
    </row>
    <row r="12254" spans="1:1">
      <c r="A12254" t="s">
        <v>12786</v>
      </c>
    </row>
    <row r="12255" spans="1:1">
      <c r="A12255" t="s">
        <v>12787</v>
      </c>
    </row>
    <row r="12256" spans="1:1">
      <c r="A12256" t="s">
        <v>12788</v>
      </c>
    </row>
    <row r="12257" spans="1:1">
      <c r="A12257" t="s">
        <v>12789</v>
      </c>
    </row>
    <row r="12258" spans="1:1">
      <c r="A12258" t="s">
        <v>12790</v>
      </c>
    </row>
    <row r="12259" spans="1:1">
      <c r="A12259" t="s">
        <v>12791</v>
      </c>
    </row>
    <row r="12260" spans="1:1">
      <c r="A12260" t="s">
        <v>12792</v>
      </c>
    </row>
    <row r="12261" spans="1:1">
      <c r="A12261" t="s">
        <v>12793</v>
      </c>
    </row>
    <row r="12262" spans="1:1">
      <c r="A12262" t="s">
        <v>12794</v>
      </c>
    </row>
    <row r="12263" spans="1:1">
      <c r="A12263" t="s">
        <v>12795</v>
      </c>
    </row>
    <row r="12264" spans="1:1">
      <c r="A12264" t="s">
        <v>12796</v>
      </c>
    </row>
    <row r="12265" spans="1:1">
      <c r="A12265" t="s">
        <v>12797</v>
      </c>
    </row>
    <row r="12266" spans="1:1">
      <c r="A12266" t="s">
        <v>12798</v>
      </c>
    </row>
    <row r="12267" spans="1:1">
      <c r="A12267" t="s">
        <v>12799</v>
      </c>
    </row>
    <row r="12268" spans="1:1">
      <c r="A12268" t="s">
        <v>12800</v>
      </c>
    </row>
    <row r="12269" spans="1:1">
      <c r="A12269" t="s">
        <v>12801</v>
      </c>
    </row>
    <row r="12270" spans="1:1">
      <c r="A12270" t="s">
        <v>12802</v>
      </c>
    </row>
    <row r="12271" spans="1:1">
      <c r="A12271" t="s">
        <v>12803</v>
      </c>
    </row>
    <row r="12272" spans="1:1">
      <c r="A12272" t="s">
        <v>12804</v>
      </c>
    </row>
    <row r="12273" spans="1:1">
      <c r="A12273" t="s">
        <v>12805</v>
      </c>
    </row>
    <row r="12274" spans="1:1">
      <c r="A12274" t="s">
        <v>12806</v>
      </c>
    </row>
    <row r="12275" spans="1:1">
      <c r="A12275" t="s">
        <v>12807</v>
      </c>
    </row>
    <row r="12276" spans="1:1">
      <c r="A12276" t="s">
        <v>12808</v>
      </c>
    </row>
    <row r="12277" spans="1:1">
      <c r="A12277" t="s">
        <v>12809</v>
      </c>
    </row>
    <row r="12278" spans="1:1">
      <c r="A12278" t="s">
        <v>12810</v>
      </c>
    </row>
    <row r="12279" spans="1:1">
      <c r="A12279" t="s">
        <v>12811</v>
      </c>
    </row>
    <row r="12280" spans="1:1">
      <c r="A12280" t="s">
        <v>12812</v>
      </c>
    </row>
    <row r="12281" spans="1:1">
      <c r="A12281" t="s">
        <v>12813</v>
      </c>
    </row>
    <row r="12282" spans="1:1">
      <c r="A12282" t="s">
        <v>12814</v>
      </c>
    </row>
    <row r="12283" spans="1:1">
      <c r="A12283" t="s">
        <v>12815</v>
      </c>
    </row>
    <row r="12284" spans="1:1">
      <c r="A12284" t="s">
        <v>12816</v>
      </c>
    </row>
    <row r="12285" spans="1:1">
      <c r="A12285" t="s">
        <v>12817</v>
      </c>
    </row>
    <row r="12286" spans="1:1">
      <c r="A12286" t="s">
        <v>12818</v>
      </c>
    </row>
    <row r="12287" spans="1:1">
      <c r="A12287" t="s">
        <v>12819</v>
      </c>
    </row>
    <row r="12288" spans="1:1">
      <c r="A12288" t="s">
        <v>12820</v>
      </c>
    </row>
    <row r="12289" spans="1:1">
      <c r="A12289" t="s">
        <v>12821</v>
      </c>
    </row>
    <row r="12290" spans="1:1">
      <c r="A12290" t="s">
        <v>12822</v>
      </c>
    </row>
    <row r="12291" spans="1:1">
      <c r="A12291" t="s">
        <v>12823</v>
      </c>
    </row>
    <row r="12292" spans="1:1">
      <c r="A12292" t="s">
        <v>12824</v>
      </c>
    </row>
    <row r="12293" spans="1:1">
      <c r="A12293" t="s">
        <v>12825</v>
      </c>
    </row>
    <row r="12294" spans="1:1">
      <c r="A12294" t="s">
        <v>12826</v>
      </c>
    </row>
    <row r="12295" spans="1:1">
      <c r="A12295" t="s">
        <v>12827</v>
      </c>
    </row>
    <row r="12296" spans="1:1">
      <c r="A12296" t="s">
        <v>12828</v>
      </c>
    </row>
    <row r="12297" spans="1:1">
      <c r="A12297" t="s">
        <v>12829</v>
      </c>
    </row>
    <row r="12298" spans="1:1">
      <c r="A12298" t="s">
        <v>12830</v>
      </c>
    </row>
    <row r="12299" spans="1:1">
      <c r="A12299" t="s">
        <v>12831</v>
      </c>
    </row>
    <row r="12300" spans="1:1">
      <c r="A12300" t="s">
        <v>12832</v>
      </c>
    </row>
    <row r="12301" spans="1:1">
      <c r="A12301" t="s">
        <v>12833</v>
      </c>
    </row>
    <row r="12302" spans="1:1">
      <c r="A12302" t="s">
        <v>12834</v>
      </c>
    </row>
    <row r="12303" spans="1:1">
      <c r="A12303" t="s">
        <v>12835</v>
      </c>
    </row>
    <row r="12304" spans="1:1">
      <c r="A12304" t="s">
        <v>12836</v>
      </c>
    </row>
    <row r="12305" spans="1:1">
      <c r="A12305" t="s">
        <v>12837</v>
      </c>
    </row>
    <row r="12306" spans="1:1">
      <c r="A12306" t="s">
        <v>12838</v>
      </c>
    </row>
    <row r="12307" spans="1:1">
      <c r="A12307" t="s">
        <v>12839</v>
      </c>
    </row>
    <row r="12308" spans="1:1">
      <c r="A12308" t="s">
        <v>12840</v>
      </c>
    </row>
    <row r="12309" spans="1:1">
      <c r="A12309" t="s">
        <v>12841</v>
      </c>
    </row>
    <row r="12310" spans="1:1">
      <c r="A12310" t="s">
        <v>12842</v>
      </c>
    </row>
    <row r="12311" spans="1:1">
      <c r="A12311" t="s">
        <v>12843</v>
      </c>
    </row>
    <row r="12312" spans="1:1">
      <c r="A12312" t="s">
        <v>12844</v>
      </c>
    </row>
    <row r="12313" spans="1:1">
      <c r="A12313" t="s">
        <v>12845</v>
      </c>
    </row>
    <row r="12314" spans="1:1">
      <c r="A12314" t="s">
        <v>12846</v>
      </c>
    </row>
    <row r="12315" spans="1:1">
      <c r="A12315" t="s">
        <v>12847</v>
      </c>
    </row>
    <row r="12316" spans="1:1">
      <c r="A12316" t="s">
        <v>12848</v>
      </c>
    </row>
    <row r="12317" spans="1:1">
      <c r="A12317" t="s">
        <v>12849</v>
      </c>
    </row>
    <row r="12318" spans="1:1">
      <c r="A12318" t="s">
        <v>12850</v>
      </c>
    </row>
    <row r="12319" spans="1:1">
      <c r="A12319" t="s">
        <v>12851</v>
      </c>
    </row>
    <row r="12320" spans="1:1">
      <c r="A12320" t="s">
        <v>12852</v>
      </c>
    </row>
    <row r="12321" spans="1:1">
      <c r="A12321" t="s">
        <v>12853</v>
      </c>
    </row>
    <row r="12322" spans="1:1">
      <c r="A12322" t="s">
        <v>12854</v>
      </c>
    </row>
    <row r="12323" spans="1:1">
      <c r="A12323" t="s">
        <v>12855</v>
      </c>
    </row>
    <row r="12324" spans="1:1">
      <c r="A12324" t="s">
        <v>12856</v>
      </c>
    </row>
    <row r="12325" spans="1:1">
      <c r="A12325" t="s">
        <v>12857</v>
      </c>
    </row>
    <row r="12326" spans="1:1">
      <c r="A12326" t="s">
        <v>12858</v>
      </c>
    </row>
    <row r="12327" spans="1:1">
      <c r="A12327" t="s">
        <v>12859</v>
      </c>
    </row>
    <row r="12328" spans="1:1">
      <c r="A12328" t="s">
        <v>12860</v>
      </c>
    </row>
    <row r="12329" spans="1:1">
      <c r="A12329" t="s">
        <v>12861</v>
      </c>
    </row>
    <row r="12330" spans="1:1">
      <c r="A12330" t="s">
        <v>12862</v>
      </c>
    </row>
    <row r="12331" spans="1:1">
      <c r="A12331" t="s">
        <v>12863</v>
      </c>
    </row>
    <row r="12332" spans="1:1">
      <c r="A12332" t="s">
        <v>12864</v>
      </c>
    </row>
    <row r="12333" spans="1:1">
      <c r="A12333" t="s">
        <v>12865</v>
      </c>
    </row>
    <row r="12334" spans="1:1">
      <c r="A12334" t="s">
        <v>12866</v>
      </c>
    </row>
    <row r="12335" spans="1:1">
      <c r="A12335" t="s">
        <v>12867</v>
      </c>
    </row>
    <row r="12336" spans="1:1">
      <c r="A12336" t="s">
        <v>12868</v>
      </c>
    </row>
    <row r="12337" spans="1:1">
      <c r="A12337" t="s">
        <v>12869</v>
      </c>
    </row>
    <row r="12338" spans="1:1">
      <c r="A12338" t="s">
        <v>12870</v>
      </c>
    </row>
    <row r="12339" spans="1:1">
      <c r="A12339" t="s">
        <v>12871</v>
      </c>
    </row>
    <row r="12340" spans="1:1">
      <c r="A12340" t="s">
        <v>12872</v>
      </c>
    </row>
    <row r="12341" spans="1:1">
      <c r="A12341" t="s">
        <v>12873</v>
      </c>
    </row>
    <row r="12342" spans="1:1">
      <c r="A12342" t="s">
        <v>12874</v>
      </c>
    </row>
    <row r="12343" spans="1:1">
      <c r="A12343" t="s">
        <v>12875</v>
      </c>
    </row>
    <row r="12344" spans="1:1">
      <c r="A12344" t="s">
        <v>12876</v>
      </c>
    </row>
    <row r="12345" spans="1:1">
      <c r="A12345" t="s">
        <v>12877</v>
      </c>
    </row>
    <row r="12346" spans="1:1">
      <c r="A12346" t="s">
        <v>12878</v>
      </c>
    </row>
    <row r="12347" spans="1:1">
      <c r="A12347" t="s">
        <v>12879</v>
      </c>
    </row>
    <row r="12348" spans="1:1">
      <c r="A12348" t="s">
        <v>12880</v>
      </c>
    </row>
    <row r="12349" spans="1:1">
      <c r="A12349" t="s">
        <v>12881</v>
      </c>
    </row>
    <row r="12350" spans="1:1">
      <c r="A12350" t="s">
        <v>12882</v>
      </c>
    </row>
    <row r="12351" spans="1:1">
      <c r="A12351" t="s">
        <v>12883</v>
      </c>
    </row>
    <row r="12352" spans="1:1">
      <c r="A12352" t="s">
        <v>12884</v>
      </c>
    </row>
    <row r="12353" spans="1:1">
      <c r="A12353" t="s">
        <v>12885</v>
      </c>
    </row>
    <row r="12354" spans="1:1">
      <c r="A12354" t="s">
        <v>12886</v>
      </c>
    </row>
    <row r="12355" spans="1:1">
      <c r="A12355" t="s">
        <v>12887</v>
      </c>
    </row>
    <row r="12356" spans="1:1">
      <c r="A12356" t="s">
        <v>12888</v>
      </c>
    </row>
    <row r="12357" spans="1:1">
      <c r="A12357" t="s">
        <v>12889</v>
      </c>
    </row>
    <row r="12358" spans="1:1">
      <c r="A12358" t="s">
        <v>12890</v>
      </c>
    </row>
    <row r="12359" spans="1:1">
      <c r="A12359" t="s">
        <v>12891</v>
      </c>
    </row>
    <row r="12360" spans="1:1">
      <c r="A12360" t="s">
        <v>12892</v>
      </c>
    </row>
    <row r="12361" spans="1:1">
      <c r="A12361" t="s">
        <v>12893</v>
      </c>
    </row>
    <row r="12362" spans="1:1">
      <c r="A12362" t="s">
        <v>12894</v>
      </c>
    </row>
    <row r="12363" spans="1:1">
      <c r="A12363" t="s">
        <v>12895</v>
      </c>
    </row>
    <row r="12364" spans="1:1">
      <c r="A12364" t="s">
        <v>12896</v>
      </c>
    </row>
    <row r="12365" spans="1:1">
      <c r="A12365" t="s">
        <v>12897</v>
      </c>
    </row>
    <row r="12366" spans="1:1">
      <c r="A12366" t="s">
        <v>12898</v>
      </c>
    </row>
    <row r="12367" spans="1:1">
      <c r="A12367" t="s">
        <v>12899</v>
      </c>
    </row>
    <row r="12368" spans="1:1">
      <c r="A12368" t="s">
        <v>12900</v>
      </c>
    </row>
    <row r="12369" spans="1:1">
      <c r="A12369" t="s">
        <v>12901</v>
      </c>
    </row>
    <row r="12370" spans="1:1">
      <c r="A12370" t="s">
        <v>12902</v>
      </c>
    </row>
    <row r="12371" spans="1:1">
      <c r="A12371" t="s">
        <v>12903</v>
      </c>
    </row>
    <row r="12372" spans="1:1">
      <c r="A12372" t="s">
        <v>12904</v>
      </c>
    </row>
    <row r="12373" spans="1:1">
      <c r="A12373" t="s">
        <v>12905</v>
      </c>
    </row>
    <row r="12374" spans="1:1">
      <c r="A12374" t="s">
        <v>12906</v>
      </c>
    </row>
    <row r="12375" spans="1:1">
      <c r="A12375" t="s">
        <v>12907</v>
      </c>
    </row>
    <row r="12376" spans="1:1">
      <c r="A12376" t="s">
        <v>12908</v>
      </c>
    </row>
    <row r="12377" spans="1:1">
      <c r="A12377" t="s">
        <v>12909</v>
      </c>
    </row>
    <row r="12378" spans="1:1">
      <c r="A12378" t="s">
        <v>12910</v>
      </c>
    </row>
    <row r="12379" spans="1:1">
      <c r="A12379" t="s">
        <v>12911</v>
      </c>
    </row>
    <row r="12380" spans="1:1">
      <c r="A12380" t="s">
        <v>12912</v>
      </c>
    </row>
    <row r="12381" spans="1:1">
      <c r="A12381" t="s">
        <v>12913</v>
      </c>
    </row>
    <row r="12382" spans="1:1">
      <c r="A12382" t="s">
        <v>12914</v>
      </c>
    </row>
    <row r="12383" spans="1:1">
      <c r="A12383" t="s">
        <v>12915</v>
      </c>
    </row>
    <row r="12384" spans="1:1">
      <c r="A12384" t="s">
        <v>12916</v>
      </c>
    </row>
    <row r="12385" spans="1:1">
      <c r="A12385" t="s">
        <v>12917</v>
      </c>
    </row>
    <row r="12386" spans="1:1">
      <c r="A12386" t="s">
        <v>12918</v>
      </c>
    </row>
    <row r="12387" spans="1:1">
      <c r="A12387" t="s">
        <v>12919</v>
      </c>
    </row>
    <row r="12388" spans="1:1">
      <c r="A12388" t="s">
        <v>12920</v>
      </c>
    </row>
    <row r="12389" spans="1:1">
      <c r="A12389" t="s">
        <v>12921</v>
      </c>
    </row>
    <row r="12390" spans="1:1">
      <c r="A12390" t="s">
        <v>12922</v>
      </c>
    </row>
    <row r="12391" spans="1:1">
      <c r="A12391" t="s">
        <v>12923</v>
      </c>
    </row>
    <row r="12392" spans="1:1">
      <c r="A12392" t="s">
        <v>12924</v>
      </c>
    </row>
    <row r="12393" spans="1:1">
      <c r="A12393" t="s">
        <v>12925</v>
      </c>
    </row>
    <row r="12394" spans="1:1">
      <c r="A12394" t="s">
        <v>12926</v>
      </c>
    </row>
    <row r="12395" spans="1:1">
      <c r="A12395" t="s">
        <v>12927</v>
      </c>
    </row>
    <row r="12396" spans="1:1">
      <c r="A12396" t="s">
        <v>12928</v>
      </c>
    </row>
    <row r="12397" spans="1:1">
      <c r="A12397" t="s">
        <v>12929</v>
      </c>
    </row>
    <row r="12398" spans="1:1">
      <c r="A12398" t="s">
        <v>12930</v>
      </c>
    </row>
    <row r="12399" spans="1:1">
      <c r="A12399" t="s">
        <v>12931</v>
      </c>
    </row>
    <row r="12400" spans="1:1">
      <c r="A12400" t="s">
        <v>12932</v>
      </c>
    </row>
    <row r="12401" spans="1:1">
      <c r="A12401" t="s">
        <v>12933</v>
      </c>
    </row>
    <row r="12402" spans="1:1">
      <c r="A12402" t="s">
        <v>12934</v>
      </c>
    </row>
    <row r="12403" spans="1:1">
      <c r="A12403" t="s">
        <v>12935</v>
      </c>
    </row>
    <row r="12404" spans="1:1">
      <c r="A12404" t="s">
        <v>12936</v>
      </c>
    </row>
    <row r="12405" spans="1:1">
      <c r="A12405" t="s">
        <v>12937</v>
      </c>
    </row>
    <row r="12406" spans="1:1">
      <c r="A12406" t="s">
        <v>12938</v>
      </c>
    </row>
    <row r="12407" spans="1:1">
      <c r="A12407" t="s">
        <v>12939</v>
      </c>
    </row>
    <row r="12408" spans="1:1">
      <c r="A12408" t="s">
        <v>12940</v>
      </c>
    </row>
    <row r="12409" spans="1:1">
      <c r="A12409" t="s">
        <v>12941</v>
      </c>
    </row>
    <row r="12410" spans="1:1">
      <c r="A12410" t="s">
        <v>12942</v>
      </c>
    </row>
    <row r="12411" spans="1:1">
      <c r="A12411" t="s">
        <v>12943</v>
      </c>
    </row>
    <row r="12412" spans="1:1">
      <c r="A12412" t="s">
        <v>12944</v>
      </c>
    </row>
    <row r="12413" spans="1:1">
      <c r="A12413" t="s">
        <v>12945</v>
      </c>
    </row>
    <row r="12414" spans="1:1">
      <c r="A12414" t="s">
        <v>12946</v>
      </c>
    </row>
    <row r="12415" spans="1:1">
      <c r="A12415" t="s">
        <v>12947</v>
      </c>
    </row>
    <row r="12416" spans="1:1">
      <c r="A12416" t="s">
        <v>12948</v>
      </c>
    </row>
    <row r="12417" spans="1:1">
      <c r="A12417" t="s">
        <v>12949</v>
      </c>
    </row>
    <row r="12418" spans="1:1">
      <c r="A12418" t="s">
        <v>12950</v>
      </c>
    </row>
    <row r="12419" spans="1:1">
      <c r="A12419" t="s">
        <v>12951</v>
      </c>
    </row>
    <row r="12420" spans="1:1">
      <c r="A12420" t="s">
        <v>12952</v>
      </c>
    </row>
    <row r="12421" spans="1:1">
      <c r="A12421" t="s">
        <v>12953</v>
      </c>
    </row>
    <row r="12422" spans="1:1">
      <c r="A12422" t="s">
        <v>12954</v>
      </c>
    </row>
    <row r="12423" spans="1:1">
      <c r="A12423" t="s">
        <v>12955</v>
      </c>
    </row>
    <row r="12424" spans="1:1">
      <c r="A12424" t="s">
        <v>12956</v>
      </c>
    </row>
    <row r="12425" spans="1:1">
      <c r="A12425" t="s">
        <v>12957</v>
      </c>
    </row>
    <row r="12426" spans="1:1">
      <c r="A12426" t="s">
        <v>12958</v>
      </c>
    </row>
    <row r="12427" spans="1:1">
      <c r="A12427" t="s">
        <v>12959</v>
      </c>
    </row>
    <row r="12428" spans="1:1">
      <c r="A12428" t="s">
        <v>12960</v>
      </c>
    </row>
    <row r="12429" spans="1:1">
      <c r="A12429" t="s">
        <v>12961</v>
      </c>
    </row>
    <row r="12430" spans="1:1">
      <c r="A12430" t="s">
        <v>12962</v>
      </c>
    </row>
    <row r="12431" spans="1:1">
      <c r="A12431" t="s">
        <v>12963</v>
      </c>
    </row>
    <row r="12432" spans="1:1">
      <c r="A12432" t="s">
        <v>12964</v>
      </c>
    </row>
    <row r="12433" spans="1:1">
      <c r="A12433" t="s">
        <v>12965</v>
      </c>
    </row>
    <row r="12434" spans="1:1">
      <c r="A12434" t="s">
        <v>12966</v>
      </c>
    </row>
    <row r="12435" spans="1:1">
      <c r="A12435" t="s">
        <v>12967</v>
      </c>
    </row>
    <row r="12436" spans="1:1">
      <c r="A12436" t="s">
        <v>12968</v>
      </c>
    </row>
    <row r="12437" spans="1:1">
      <c r="A12437" t="s">
        <v>12969</v>
      </c>
    </row>
    <row r="12438" spans="1:1">
      <c r="A12438" t="s">
        <v>12970</v>
      </c>
    </row>
    <row r="12439" spans="1:1">
      <c r="A12439" t="s">
        <v>12971</v>
      </c>
    </row>
    <row r="12440" spans="1:1">
      <c r="A12440" t="s">
        <v>12972</v>
      </c>
    </row>
    <row r="12441" spans="1:1">
      <c r="A12441" t="s">
        <v>12973</v>
      </c>
    </row>
    <row r="12442" spans="1:1">
      <c r="A12442" t="s">
        <v>12974</v>
      </c>
    </row>
    <row r="12443" spans="1:1">
      <c r="A12443" t="s">
        <v>12975</v>
      </c>
    </row>
    <row r="12444" spans="1:1">
      <c r="A12444" t="s">
        <v>12976</v>
      </c>
    </row>
    <row r="12445" spans="1:1">
      <c r="A12445" t="s">
        <v>12977</v>
      </c>
    </row>
    <row r="12446" spans="1:1">
      <c r="A12446" t="s">
        <v>12978</v>
      </c>
    </row>
    <row r="12447" spans="1:1">
      <c r="A12447" t="s">
        <v>12979</v>
      </c>
    </row>
    <row r="12448" spans="1:1">
      <c r="A12448" t="s">
        <v>12980</v>
      </c>
    </row>
    <row r="12449" spans="1:1">
      <c r="A12449" t="s">
        <v>12981</v>
      </c>
    </row>
    <row r="12450" spans="1:1">
      <c r="A12450" t="s">
        <v>12982</v>
      </c>
    </row>
    <row r="12451" spans="1:1">
      <c r="A12451" t="s">
        <v>12983</v>
      </c>
    </row>
    <row r="12452" spans="1:1">
      <c r="A12452" t="s">
        <v>12984</v>
      </c>
    </row>
    <row r="12453" spans="1:1">
      <c r="A12453" t="s">
        <v>12985</v>
      </c>
    </row>
    <row r="12454" spans="1:1">
      <c r="A12454" t="s">
        <v>12986</v>
      </c>
    </row>
    <row r="12455" spans="1:1">
      <c r="A12455" t="s">
        <v>12987</v>
      </c>
    </row>
    <row r="12456" spans="1:1">
      <c r="A12456" t="s">
        <v>12988</v>
      </c>
    </row>
    <row r="12457" spans="1:1">
      <c r="A12457" t="s">
        <v>12989</v>
      </c>
    </row>
    <row r="12458" spans="1:1">
      <c r="A12458" t="s">
        <v>12990</v>
      </c>
    </row>
    <row r="12459" spans="1:1">
      <c r="A12459" t="s">
        <v>12991</v>
      </c>
    </row>
    <row r="12460" spans="1:1">
      <c r="A12460" t="s">
        <v>12992</v>
      </c>
    </row>
    <row r="12461" spans="1:1">
      <c r="A12461" t="s">
        <v>12993</v>
      </c>
    </row>
    <row r="12462" spans="1:1">
      <c r="A12462" t="s">
        <v>12994</v>
      </c>
    </row>
    <row r="12463" spans="1:1">
      <c r="A12463" t="s">
        <v>12995</v>
      </c>
    </row>
    <row r="12464" spans="1:1">
      <c r="A12464" t="s">
        <v>12996</v>
      </c>
    </row>
    <row r="12465" spans="1:1">
      <c r="A12465" t="s">
        <v>12997</v>
      </c>
    </row>
    <row r="12466" spans="1:1">
      <c r="A12466" t="s">
        <v>12998</v>
      </c>
    </row>
    <row r="12467" spans="1:1">
      <c r="A12467" t="s">
        <v>12999</v>
      </c>
    </row>
    <row r="12468" spans="1:1">
      <c r="A12468" t="s">
        <v>13000</v>
      </c>
    </row>
    <row r="12469" spans="1:1">
      <c r="A12469" t="s">
        <v>13001</v>
      </c>
    </row>
    <row r="12470" spans="1:1">
      <c r="A12470" t="s">
        <v>13002</v>
      </c>
    </row>
    <row r="12471" spans="1:1">
      <c r="A12471" t="s">
        <v>13003</v>
      </c>
    </row>
    <row r="12472" spans="1:1">
      <c r="A12472" t="s">
        <v>13004</v>
      </c>
    </row>
    <row r="12473" spans="1:1">
      <c r="A12473" t="s">
        <v>13005</v>
      </c>
    </row>
    <row r="12474" spans="1:1">
      <c r="A12474" t="s">
        <v>13006</v>
      </c>
    </row>
    <row r="12475" spans="1:1">
      <c r="A12475" t="s">
        <v>13007</v>
      </c>
    </row>
    <row r="12476" spans="1:1">
      <c r="A12476" t="s">
        <v>13008</v>
      </c>
    </row>
    <row r="12477" spans="1:1">
      <c r="A12477" t="s">
        <v>13009</v>
      </c>
    </row>
    <row r="12478" spans="1:1">
      <c r="A12478" t="s">
        <v>13010</v>
      </c>
    </row>
    <row r="12479" spans="1:1">
      <c r="A12479" t="s">
        <v>13011</v>
      </c>
    </row>
    <row r="12480" spans="1:1">
      <c r="A12480" t="s">
        <v>13012</v>
      </c>
    </row>
    <row r="12481" spans="1:1">
      <c r="A12481" t="s">
        <v>13013</v>
      </c>
    </row>
    <row r="12482" spans="1:1">
      <c r="A12482" t="s">
        <v>13014</v>
      </c>
    </row>
    <row r="12483" spans="1:1">
      <c r="A12483" t="s">
        <v>13015</v>
      </c>
    </row>
    <row r="12484" spans="1:1">
      <c r="A12484" t="s">
        <v>13016</v>
      </c>
    </row>
    <row r="12485" spans="1:1">
      <c r="A12485" t="s">
        <v>13017</v>
      </c>
    </row>
    <row r="12486" spans="1:1">
      <c r="A12486" t="s">
        <v>13018</v>
      </c>
    </row>
    <row r="12487" spans="1:1">
      <c r="A12487" t="s">
        <v>13019</v>
      </c>
    </row>
    <row r="12488" spans="1:1">
      <c r="A12488" t="s">
        <v>13020</v>
      </c>
    </row>
    <row r="12489" spans="1:1">
      <c r="A12489" t="s">
        <v>13021</v>
      </c>
    </row>
    <row r="12490" spans="1:1">
      <c r="A12490" t="s">
        <v>13022</v>
      </c>
    </row>
    <row r="12491" spans="1:1">
      <c r="A12491" t="s">
        <v>13023</v>
      </c>
    </row>
    <row r="12492" spans="1:1">
      <c r="A12492" t="s">
        <v>13024</v>
      </c>
    </row>
    <row r="12493" spans="1:1">
      <c r="A12493" t="s">
        <v>13025</v>
      </c>
    </row>
    <row r="12494" spans="1:1">
      <c r="A12494" t="s">
        <v>13026</v>
      </c>
    </row>
    <row r="12495" spans="1:1">
      <c r="A12495" t="s">
        <v>13027</v>
      </c>
    </row>
    <row r="12496" spans="1:1">
      <c r="A12496" t="s">
        <v>13028</v>
      </c>
    </row>
    <row r="12497" spans="1:1">
      <c r="A12497" t="s">
        <v>13029</v>
      </c>
    </row>
    <row r="12498" spans="1:1">
      <c r="A12498" t="s">
        <v>13030</v>
      </c>
    </row>
    <row r="12499" spans="1:1">
      <c r="A12499" t="s">
        <v>13031</v>
      </c>
    </row>
    <row r="12500" spans="1:1">
      <c r="A12500" t="s">
        <v>13032</v>
      </c>
    </row>
    <row r="12501" spans="1:1">
      <c r="A12501" t="s">
        <v>13033</v>
      </c>
    </row>
    <row r="12502" spans="1:1">
      <c r="A12502" t="s">
        <v>13034</v>
      </c>
    </row>
    <row r="12503" spans="1:1">
      <c r="A12503" t="s">
        <v>13035</v>
      </c>
    </row>
    <row r="12504" spans="1:1">
      <c r="A12504" t="s">
        <v>13036</v>
      </c>
    </row>
    <row r="12505" spans="1:1">
      <c r="A12505" t="s">
        <v>13037</v>
      </c>
    </row>
    <row r="12506" spans="1:1">
      <c r="A12506" t="s">
        <v>13038</v>
      </c>
    </row>
    <row r="12507" spans="1:1">
      <c r="A12507" t="s">
        <v>13039</v>
      </c>
    </row>
    <row r="12508" spans="1:1">
      <c r="A12508" t="s">
        <v>13040</v>
      </c>
    </row>
    <row r="12509" spans="1:1">
      <c r="A12509" t="s">
        <v>13041</v>
      </c>
    </row>
    <row r="12510" spans="1:1">
      <c r="A12510" t="s">
        <v>13042</v>
      </c>
    </row>
    <row r="12511" spans="1:1">
      <c r="A12511" t="s">
        <v>13043</v>
      </c>
    </row>
    <row r="12512" spans="1:1">
      <c r="A12512" t="s">
        <v>13044</v>
      </c>
    </row>
    <row r="12513" spans="1:1">
      <c r="A12513" t="s">
        <v>13045</v>
      </c>
    </row>
    <row r="12514" spans="1:1">
      <c r="A12514" t="s">
        <v>13046</v>
      </c>
    </row>
    <row r="12515" spans="1:1">
      <c r="A12515" t="s">
        <v>13047</v>
      </c>
    </row>
    <row r="12516" spans="1:1">
      <c r="A12516" t="s">
        <v>13048</v>
      </c>
    </row>
    <row r="12517" spans="1:1">
      <c r="A12517" t="s">
        <v>13049</v>
      </c>
    </row>
    <row r="12518" spans="1:1">
      <c r="A12518" t="s">
        <v>13050</v>
      </c>
    </row>
    <row r="12519" spans="1:1">
      <c r="A12519" t="s">
        <v>13051</v>
      </c>
    </row>
    <row r="12520" spans="1:1">
      <c r="A12520" t="s">
        <v>13052</v>
      </c>
    </row>
    <row r="12521" spans="1:1">
      <c r="A12521" t="s">
        <v>13053</v>
      </c>
    </row>
    <row r="12522" spans="1:1">
      <c r="A12522" t="s">
        <v>13054</v>
      </c>
    </row>
    <row r="12523" spans="1:1">
      <c r="A12523" t="s">
        <v>13055</v>
      </c>
    </row>
    <row r="12524" spans="1:1">
      <c r="A12524" t="s">
        <v>13056</v>
      </c>
    </row>
    <row r="12525" spans="1:1">
      <c r="A12525" t="s">
        <v>13057</v>
      </c>
    </row>
    <row r="12526" spans="1:1">
      <c r="A12526" t="s">
        <v>13058</v>
      </c>
    </row>
    <row r="12527" spans="1:1">
      <c r="A12527" t="s">
        <v>13059</v>
      </c>
    </row>
    <row r="12528" spans="1:1">
      <c r="A12528" t="s">
        <v>13060</v>
      </c>
    </row>
    <row r="12529" spans="1:1">
      <c r="A12529" t="s">
        <v>13061</v>
      </c>
    </row>
    <row r="12530" spans="1:1">
      <c r="A12530" t="s">
        <v>13062</v>
      </c>
    </row>
    <row r="12531" spans="1:1">
      <c r="A12531" t="s">
        <v>13063</v>
      </c>
    </row>
    <row r="12532" spans="1:1">
      <c r="A12532" t="s">
        <v>13064</v>
      </c>
    </row>
    <row r="12533" spans="1:1">
      <c r="A12533" t="s">
        <v>13065</v>
      </c>
    </row>
    <row r="12534" spans="1:1">
      <c r="A12534" t="s">
        <v>13066</v>
      </c>
    </row>
    <row r="12535" spans="1:1">
      <c r="A12535" t="s">
        <v>13067</v>
      </c>
    </row>
    <row r="12536" spans="1:1">
      <c r="A12536" t="s">
        <v>13068</v>
      </c>
    </row>
    <row r="12537" spans="1:1">
      <c r="A12537" t="s">
        <v>13069</v>
      </c>
    </row>
    <row r="12538" spans="1:1">
      <c r="A12538" t="s">
        <v>13070</v>
      </c>
    </row>
    <row r="12539" spans="1:1">
      <c r="A12539" t="s">
        <v>13071</v>
      </c>
    </row>
    <row r="12540" spans="1:1">
      <c r="A12540" t="s">
        <v>13072</v>
      </c>
    </row>
    <row r="12541" spans="1:1">
      <c r="A12541" t="s">
        <v>13073</v>
      </c>
    </row>
    <row r="12542" spans="1:1">
      <c r="A12542" t="s">
        <v>13074</v>
      </c>
    </row>
    <row r="12543" spans="1:1">
      <c r="A12543" t="s">
        <v>13075</v>
      </c>
    </row>
    <row r="12544" spans="1:1">
      <c r="A12544" t="s">
        <v>13076</v>
      </c>
    </row>
    <row r="12545" spans="1:1">
      <c r="A12545" t="s">
        <v>13077</v>
      </c>
    </row>
    <row r="12546" spans="1:1">
      <c r="A12546" t="s">
        <v>13078</v>
      </c>
    </row>
    <row r="12547" spans="1:1">
      <c r="A12547" t="s">
        <v>13079</v>
      </c>
    </row>
    <row r="12548" spans="1:1">
      <c r="A12548" t="s">
        <v>13080</v>
      </c>
    </row>
    <row r="12549" spans="1:1">
      <c r="A12549" t="s">
        <v>13081</v>
      </c>
    </row>
    <row r="12550" spans="1:1">
      <c r="A12550" t="s">
        <v>13082</v>
      </c>
    </row>
    <row r="12551" spans="1:1">
      <c r="A12551" t="s">
        <v>13083</v>
      </c>
    </row>
    <row r="12552" spans="1:1">
      <c r="A12552" t="s">
        <v>13084</v>
      </c>
    </row>
    <row r="12553" spans="1:1">
      <c r="A12553" t="s">
        <v>13085</v>
      </c>
    </row>
    <row r="12554" spans="1:1">
      <c r="A12554" t="s">
        <v>13086</v>
      </c>
    </row>
    <row r="12555" spans="1:1">
      <c r="A12555" t="s">
        <v>13087</v>
      </c>
    </row>
    <row r="12556" spans="1:1">
      <c r="A12556" t="s">
        <v>13088</v>
      </c>
    </row>
    <row r="12557" spans="1:1">
      <c r="A12557" t="s">
        <v>13089</v>
      </c>
    </row>
    <row r="12558" spans="1:1">
      <c r="A12558" t="s">
        <v>13090</v>
      </c>
    </row>
    <row r="12559" spans="1:1">
      <c r="A12559" t="s">
        <v>13091</v>
      </c>
    </row>
    <row r="12560" spans="1:1">
      <c r="A12560" t="s">
        <v>13092</v>
      </c>
    </row>
    <row r="12561" spans="1:1">
      <c r="A12561" t="s">
        <v>13093</v>
      </c>
    </row>
    <row r="12562" spans="1:1">
      <c r="A12562" t="s">
        <v>13094</v>
      </c>
    </row>
    <row r="12563" spans="1:1">
      <c r="A12563" t="s">
        <v>13095</v>
      </c>
    </row>
    <row r="12564" spans="1:1">
      <c r="A12564" t="s">
        <v>13096</v>
      </c>
    </row>
    <row r="12565" spans="1:1">
      <c r="A12565" t="s">
        <v>13097</v>
      </c>
    </row>
    <row r="12566" spans="1:1">
      <c r="A12566" t="s">
        <v>13098</v>
      </c>
    </row>
    <row r="12567" spans="1:1">
      <c r="A12567" t="s">
        <v>13099</v>
      </c>
    </row>
    <row r="12568" spans="1:1">
      <c r="A12568" t="s">
        <v>13100</v>
      </c>
    </row>
    <row r="12569" spans="1:1">
      <c r="A12569" t="s">
        <v>13101</v>
      </c>
    </row>
    <row r="12570" spans="1:1">
      <c r="A12570" t="s">
        <v>13102</v>
      </c>
    </row>
    <row r="12571" spans="1:1">
      <c r="A12571" t="s">
        <v>13103</v>
      </c>
    </row>
    <row r="12572" spans="1:1">
      <c r="A12572" t="s">
        <v>13104</v>
      </c>
    </row>
    <row r="12573" spans="1:1">
      <c r="A12573" t="s">
        <v>13105</v>
      </c>
    </row>
    <row r="12574" spans="1:1">
      <c r="A12574" t="s">
        <v>13106</v>
      </c>
    </row>
    <row r="12575" spans="1:1">
      <c r="A12575" t="s">
        <v>13107</v>
      </c>
    </row>
    <row r="12576" spans="1:1">
      <c r="A12576" t="s">
        <v>13108</v>
      </c>
    </row>
    <row r="12577" spans="1:1">
      <c r="A12577" t="s">
        <v>13109</v>
      </c>
    </row>
    <row r="12578" spans="1:1">
      <c r="A12578" t="s">
        <v>13110</v>
      </c>
    </row>
    <row r="12579" spans="1:1">
      <c r="A12579" t="s">
        <v>13111</v>
      </c>
    </row>
    <row r="12580" spans="1:1">
      <c r="A12580" t="s">
        <v>13112</v>
      </c>
    </row>
    <row r="12581" spans="1:1">
      <c r="A12581" t="s">
        <v>13113</v>
      </c>
    </row>
    <row r="12582" spans="1:1">
      <c r="A12582" t="s">
        <v>13114</v>
      </c>
    </row>
    <row r="12583" spans="1:1">
      <c r="A12583" t="s">
        <v>13115</v>
      </c>
    </row>
    <row r="12584" spans="1:1">
      <c r="A12584" t="s">
        <v>13116</v>
      </c>
    </row>
    <row r="12585" spans="1:1">
      <c r="A12585" t="s">
        <v>13117</v>
      </c>
    </row>
    <row r="12586" spans="1:1">
      <c r="A12586" t="s">
        <v>13118</v>
      </c>
    </row>
    <row r="12587" spans="1:1">
      <c r="A12587" t="s">
        <v>13119</v>
      </c>
    </row>
    <row r="12588" spans="1:1">
      <c r="A12588" t="s">
        <v>13120</v>
      </c>
    </row>
    <row r="12589" spans="1:1">
      <c r="A12589" t="s">
        <v>13121</v>
      </c>
    </row>
    <row r="12590" spans="1:1">
      <c r="A12590" t="s">
        <v>13122</v>
      </c>
    </row>
    <row r="12591" spans="1:1">
      <c r="A12591" t="s">
        <v>13123</v>
      </c>
    </row>
    <row r="12592" spans="1:1">
      <c r="A12592" t="s">
        <v>13124</v>
      </c>
    </row>
    <row r="12593" spans="1:1">
      <c r="A12593" t="s">
        <v>13125</v>
      </c>
    </row>
    <row r="12594" spans="1:1">
      <c r="A12594" t="s">
        <v>13126</v>
      </c>
    </row>
    <row r="12595" spans="1:1">
      <c r="A12595" t="s">
        <v>13127</v>
      </c>
    </row>
    <row r="12596" spans="1:1">
      <c r="A12596" t="s">
        <v>13128</v>
      </c>
    </row>
    <row r="12597" spans="1:1">
      <c r="A12597" t="s">
        <v>13129</v>
      </c>
    </row>
    <row r="12598" spans="1:1">
      <c r="A12598" t="s">
        <v>13130</v>
      </c>
    </row>
    <row r="12599" spans="1:1">
      <c r="A12599" t="s">
        <v>13131</v>
      </c>
    </row>
    <row r="12600" spans="1:1">
      <c r="A12600" t="s">
        <v>13132</v>
      </c>
    </row>
    <row r="12601" spans="1:1">
      <c r="A12601" t="s">
        <v>13133</v>
      </c>
    </row>
    <row r="12602" spans="1:1">
      <c r="A12602" t="s">
        <v>13134</v>
      </c>
    </row>
    <row r="12603" spans="1:1">
      <c r="A12603" t="s">
        <v>13135</v>
      </c>
    </row>
    <row r="12604" spans="1:1">
      <c r="A12604" t="s">
        <v>13136</v>
      </c>
    </row>
    <row r="12605" spans="1:1">
      <c r="A12605" t="s">
        <v>13137</v>
      </c>
    </row>
    <row r="12606" spans="1:1">
      <c r="A12606" t="s">
        <v>13138</v>
      </c>
    </row>
    <row r="12607" spans="1:1">
      <c r="A12607" t="s">
        <v>13139</v>
      </c>
    </row>
    <row r="12608" spans="1:1">
      <c r="A12608" t="s">
        <v>13140</v>
      </c>
    </row>
    <row r="12609" spans="1:1">
      <c r="A12609" t="s">
        <v>13141</v>
      </c>
    </row>
    <row r="12610" spans="1:1">
      <c r="A12610" t="s">
        <v>13142</v>
      </c>
    </row>
    <row r="12611" spans="1:1">
      <c r="A12611" t="s">
        <v>13143</v>
      </c>
    </row>
    <row r="12612" spans="1:1">
      <c r="A12612" t="s">
        <v>13144</v>
      </c>
    </row>
    <row r="12613" spans="1:1">
      <c r="A12613" t="s">
        <v>13145</v>
      </c>
    </row>
    <row r="12614" spans="1:1">
      <c r="A12614" t="s">
        <v>13146</v>
      </c>
    </row>
    <row r="12615" spans="1:1">
      <c r="A12615" t="s">
        <v>13147</v>
      </c>
    </row>
    <row r="12616" spans="1:1">
      <c r="A12616" t="s">
        <v>13148</v>
      </c>
    </row>
    <row r="12617" spans="1:1">
      <c r="A12617" t="s">
        <v>13149</v>
      </c>
    </row>
    <row r="12618" spans="1:1">
      <c r="A12618" t="s">
        <v>13150</v>
      </c>
    </row>
    <row r="12619" spans="1:1">
      <c r="A12619" t="s">
        <v>13151</v>
      </c>
    </row>
    <row r="12620" spans="1:1">
      <c r="A12620" t="s">
        <v>13152</v>
      </c>
    </row>
    <row r="12621" spans="1:1">
      <c r="A12621" t="s">
        <v>13153</v>
      </c>
    </row>
    <row r="12622" spans="1:1">
      <c r="A12622" t="s">
        <v>13154</v>
      </c>
    </row>
    <row r="12623" spans="1:1">
      <c r="A12623" t="s">
        <v>13155</v>
      </c>
    </row>
    <row r="12624" spans="1:1">
      <c r="A12624" t="s">
        <v>13156</v>
      </c>
    </row>
    <row r="12625" spans="1:1">
      <c r="A12625" t="s">
        <v>13157</v>
      </c>
    </row>
    <row r="12626" spans="1:1">
      <c r="A12626" t="s">
        <v>13158</v>
      </c>
    </row>
    <row r="12627" spans="1:1">
      <c r="A12627" t="s">
        <v>13159</v>
      </c>
    </row>
    <row r="12628" spans="1:1">
      <c r="A12628" t="s">
        <v>13160</v>
      </c>
    </row>
    <row r="12629" spans="1:1">
      <c r="A12629" t="s">
        <v>13161</v>
      </c>
    </row>
    <row r="12630" spans="1:1">
      <c r="A12630" t="s">
        <v>13162</v>
      </c>
    </row>
    <row r="12631" spans="1:1">
      <c r="A12631" t="s">
        <v>13163</v>
      </c>
    </row>
    <row r="12632" spans="1:1">
      <c r="A12632" t="s">
        <v>13164</v>
      </c>
    </row>
    <row r="12633" spans="1:1">
      <c r="A12633" t="s">
        <v>13165</v>
      </c>
    </row>
    <row r="12634" spans="1:1">
      <c r="A12634" t="s">
        <v>13166</v>
      </c>
    </row>
    <row r="12635" spans="1:1">
      <c r="A12635" t="s">
        <v>13167</v>
      </c>
    </row>
    <row r="12636" spans="1:1">
      <c r="A12636" t="s">
        <v>13168</v>
      </c>
    </row>
    <row r="12637" spans="1:1">
      <c r="A12637" t="s">
        <v>13169</v>
      </c>
    </row>
    <row r="12638" spans="1:1">
      <c r="A12638" t="s">
        <v>13170</v>
      </c>
    </row>
    <row r="12639" spans="1:1">
      <c r="A12639" t="s">
        <v>13171</v>
      </c>
    </row>
    <row r="12640" spans="1:1">
      <c r="A12640" t="s">
        <v>13172</v>
      </c>
    </row>
    <row r="12641" spans="1:1">
      <c r="A12641" t="s">
        <v>13173</v>
      </c>
    </row>
    <row r="12642" spans="1:1">
      <c r="A12642" t="s">
        <v>13174</v>
      </c>
    </row>
    <row r="12643" spans="1:1">
      <c r="A12643" t="s">
        <v>13175</v>
      </c>
    </row>
    <row r="12644" spans="1:1">
      <c r="A12644" t="s">
        <v>13176</v>
      </c>
    </row>
    <row r="12645" spans="1:1">
      <c r="A12645" t="s">
        <v>13177</v>
      </c>
    </row>
    <row r="12646" spans="1:1">
      <c r="A12646" t="s">
        <v>13178</v>
      </c>
    </row>
    <row r="12647" spans="1:1">
      <c r="A12647" t="s">
        <v>13179</v>
      </c>
    </row>
    <row r="12648" spans="1:1">
      <c r="A12648" t="s">
        <v>13180</v>
      </c>
    </row>
    <row r="12649" spans="1:1">
      <c r="A12649" t="s">
        <v>13181</v>
      </c>
    </row>
    <row r="12650" spans="1:1">
      <c r="A12650" t="s">
        <v>13182</v>
      </c>
    </row>
    <row r="12651" spans="1:1">
      <c r="A12651" t="s">
        <v>13183</v>
      </c>
    </row>
    <row r="12652" spans="1:1">
      <c r="A12652" t="s">
        <v>13184</v>
      </c>
    </row>
    <row r="12653" spans="1:1">
      <c r="A12653" t="s">
        <v>13185</v>
      </c>
    </row>
    <row r="12654" spans="1:1">
      <c r="A12654" t="s">
        <v>13186</v>
      </c>
    </row>
    <row r="12655" spans="1:1">
      <c r="A12655" t="s">
        <v>13187</v>
      </c>
    </row>
    <row r="12656" spans="1:1">
      <c r="A12656" t="s">
        <v>13188</v>
      </c>
    </row>
    <row r="12657" spans="1:1">
      <c r="A12657" t="s">
        <v>13189</v>
      </c>
    </row>
    <row r="12658" spans="1:1">
      <c r="A12658" t="s">
        <v>13190</v>
      </c>
    </row>
    <row r="12659" spans="1:1">
      <c r="A12659" t="s">
        <v>13191</v>
      </c>
    </row>
    <row r="12660" spans="1:1">
      <c r="A12660" t="s">
        <v>13192</v>
      </c>
    </row>
    <row r="12661" spans="1:1">
      <c r="A12661" t="s">
        <v>13193</v>
      </c>
    </row>
    <row r="12662" spans="1:1">
      <c r="A12662" t="s">
        <v>13194</v>
      </c>
    </row>
    <row r="12663" spans="1:1">
      <c r="A12663" t="s">
        <v>13195</v>
      </c>
    </row>
    <row r="12664" spans="1:1">
      <c r="A12664" t="s">
        <v>13196</v>
      </c>
    </row>
    <row r="12665" spans="1:1">
      <c r="A12665" t="s">
        <v>13197</v>
      </c>
    </row>
    <row r="12666" spans="1:1">
      <c r="A12666" t="s">
        <v>13198</v>
      </c>
    </row>
    <row r="12667" spans="1:1">
      <c r="A12667" t="s">
        <v>13199</v>
      </c>
    </row>
    <row r="12668" spans="1:1">
      <c r="A12668" t="s">
        <v>13200</v>
      </c>
    </row>
    <row r="12669" spans="1:1">
      <c r="A12669" t="s">
        <v>13201</v>
      </c>
    </row>
    <row r="12670" spans="1:1">
      <c r="A12670" t="s">
        <v>13202</v>
      </c>
    </row>
    <row r="12671" spans="1:1">
      <c r="A12671" t="s">
        <v>13203</v>
      </c>
    </row>
    <row r="12672" spans="1:1">
      <c r="A12672" t="s">
        <v>13204</v>
      </c>
    </row>
    <row r="12673" spans="1:1">
      <c r="A12673" t="s">
        <v>13205</v>
      </c>
    </row>
    <row r="12674" spans="1:1">
      <c r="A12674" t="s">
        <v>13206</v>
      </c>
    </row>
    <row r="12675" spans="1:1">
      <c r="A12675" t="s">
        <v>13207</v>
      </c>
    </row>
    <row r="12676" spans="1:1">
      <c r="A12676" t="s">
        <v>13208</v>
      </c>
    </row>
    <row r="12677" spans="1:1">
      <c r="A12677" t="s">
        <v>13209</v>
      </c>
    </row>
    <row r="12678" spans="1:1">
      <c r="A12678" t="s">
        <v>13210</v>
      </c>
    </row>
    <row r="12679" spans="1:1">
      <c r="A12679" t="s">
        <v>13211</v>
      </c>
    </row>
    <row r="12680" spans="1:1">
      <c r="A12680" t="s">
        <v>13212</v>
      </c>
    </row>
    <row r="12681" spans="1:1">
      <c r="A12681" t="s">
        <v>13213</v>
      </c>
    </row>
    <row r="12682" spans="1:1">
      <c r="A12682" t="s">
        <v>13214</v>
      </c>
    </row>
    <row r="12683" spans="1:1">
      <c r="A12683" t="s">
        <v>13215</v>
      </c>
    </row>
    <row r="12684" spans="1:1">
      <c r="A12684" t="s">
        <v>13216</v>
      </c>
    </row>
    <row r="12685" spans="1:1">
      <c r="A12685" t="s">
        <v>13217</v>
      </c>
    </row>
    <row r="12686" spans="1:1">
      <c r="A12686" t="s">
        <v>13218</v>
      </c>
    </row>
    <row r="12687" spans="1:1">
      <c r="A12687" t="s">
        <v>13219</v>
      </c>
    </row>
    <row r="12688" spans="1:1">
      <c r="A12688" t="s">
        <v>13220</v>
      </c>
    </row>
    <row r="12689" spans="1:1">
      <c r="A12689" t="s">
        <v>13221</v>
      </c>
    </row>
    <row r="12690" spans="1:1">
      <c r="A12690" t="s">
        <v>13222</v>
      </c>
    </row>
    <row r="12691" spans="1:1">
      <c r="A12691" t="s">
        <v>13223</v>
      </c>
    </row>
    <row r="12692" spans="1:1">
      <c r="A12692" t="s">
        <v>13224</v>
      </c>
    </row>
    <row r="12693" spans="1:1">
      <c r="A12693" t="s">
        <v>13225</v>
      </c>
    </row>
    <row r="12694" spans="1:1">
      <c r="A12694" t="s">
        <v>13226</v>
      </c>
    </row>
    <row r="12695" spans="1:1">
      <c r="A12695" t="s">
        <v>13227</v>
      </c>
    </row>
    <row r="12696" spans="1:1">
      <c r="A12696" t="s">
        <v>13228</v>
      </c>
    </row>
    <row r="12697" spans="1:1">
      <c r="A12697" t="s">
        <v>13229</v>
      </c>
    </row>
    <row r="12698" spans="1:1">
      <c r="A12698" t="s">
        <v>13230</v>
      </c>
    </row>
    <row r="12699" spans="1:1">
      <c r="A12699" t="s">
        <v>13231</v>
      </c>
    </row>
    <row r="12700" spans="1:1">
      <c r="A12700" t="s">
        <v>13232</v>
      </c>
    </row>
    <row r="12701" spans="1:1">
      <c r="A12701" t="s">
        <v>13233</v>
      </c>
    </row>
    <row r="12702" spans="1:1">
      <c r="A12702" t="s">
        <v>13234</v>
      </c>
    </row>
    <row r="12703" spans="1:1">
      <c r="A12703" t="s">
        <v>13235</v>
      </c>
    </row>
    <row r="12704" spans="1:1">
      <c r="A12704" t="s">
        <v>13236</v>
      </c>
    </row>
    <row r="12705" spans="1:1">
      <c r="A12705" t="s">
        <v>13237</v>
      </c>
    </row>
    <row r="12706" spans="1:1">
      <c r="A12706" t="s">
        <v>13238</v>
      </c>
    </row>
    <row r="12707" spans="1:1">
      <c r="A12707" t="s">
        <v>13239</v>
      </c>
    </row>
    <row r="12708" spans="1:1">
      <c r="A12708" t="s">
        <v>13240</v>
      </c>
    </row>
    <row r="12709" spans="1:1">
      <c r="A12709" t="s">
        <v>13241</v>
      </c>
    </row>
    <row r="12710" spans="1:1">
      <c r="A12710" t="s">
        <v>13242</v>
      </c>
    </row>
    <row r="12711" spans="1:1">
      <c r="A12711" t="s">
        <v>13243</v>
      </c>
    </row>
    <row r="12712" spans="1:1">
      <c r="A12712" t="s">
        <v>13244</v>
      </c>
    </row>
    <row r="12713" spans="1:1">
      <c r="A12713" t="s">
        <v>13245</v>
      </c>
    </row>
    <row r="12714" spans="1:1">
      <c r="A12714" t="s">
        <v>13246</v>
      </c>
    </row>
    <row r="12715" spans="1:1">
      <c r="A12715" t="s">
        <v>13247</v>
      </c>
    </row>
    <row r="12716" spans="1:1">
      <c r="A12716" t="s">
        <v>13248</v>
      </c>
    </row>
    <row r="12717" spans="1:1">
      <c r="A12717" t="s">
        <v>13249</v>
      </c>
    </row>
    <row r="12718" spans="1:1">
      <c r="A12718" t="s">
        <v>13250</v>
      </c>
    </row>
    <row r="12719" spans="1:1">
      <c r="A12719" t="s">
        <v>13251</v>
      </c>
    </row>
    <row r="12720" spans="1:1">
      <c r="A12720" t="s">
        <v>13252</v>
      </c>
    </row>
    <row r="12721" spans="1:1">
      <c r="A12721" t="s">
        <v>13253</v>
      </c>
    </row>
    <row r="12722" spans="1:1">
      <c r="A12722" t="s">
        <v>13254</v>
      </c>
    </row>
    <row r="12723" spans="1:1">
      <c r="A12723" t="s">
        <v>13255</v>
      </c>
    </row>
    <row r="12724" spans="1:1">
      <c r="A12724" t="s">
        <v>13256</v>
      </c>
    </row>
    <row r="12725" spans="1:1">
      <c r="A12725" t="s">
        <v>13257</v>
      </c>
    </row>
    <row r="12726" spans="1:1">
      <c r="A12726" t="s">
        <v>13258</v>
      </c>
    </row>
    <row r="12727" spans="1:1">
      <c r="A12727" t="s">
        <v>13259</v>
      </c>
    </row>
    <row r="12728" spans="1:1">
      <c r="A12728" t="s">
        <v>13260</v>
      </c>
    </row>
    <row r="12729" spans="1:1">
      <c r="A12729" t="s">
        <v>13261</v>
      </c>
    </row>
    <row r="12730" spans="1:1">
      <c r="A12730" t="s">
        <v>13262</v>
      </c>
    </row>
    <row r="12731" spans="1:1">
      <c r="A12731" t="s">
        <v>13263</v>
      </c>
    </row>
    <row r="12732" spans="1:1">
      <c r="A12732" t="s">
        <v>13264</v>
      </c>
    </row>
    <row r="12733" spans="1:1">
      <c r="A12733" t="s">
        <v>13265</v>
      </c>
    </row>
    <row r="12734" spans="1:1">
      <c r="A12734" t="s">
        <v>13266</v>
      </c>
    </row>
    <row r="12735" spans="1:1">
      <c r="A12735" t="s">
        <v>13267</v>
      </c>
    </row>
    <row r="12736" spans="1:1">
      <c r="A12736" t="s">
        <v>13268</v>
      </c>
    </row>
    <row r="12737" spans="1:1">
      <c r="A12737" t="s">
        <v>13269</v>
      </c>
    </row>
    <row r="12738" spans="1:1">
      <c r="A12738" t="s">
        <v>13270</v>
      </c>
    </row>
    <row r="12739" spans="1:1">
      <c r="A12739" t="s">
        <v>13271</v>
      </c>
    </row>
    <row r="12740" spans="1:1">
      <c r="A12740" t="s">
        <v>13272</v>
      </c>
    </row>
    <row r="12741" spans="1:1">
      <c r="A12741" t="s">
        <v>13273</v>
      </c>
    </row>
    <row r="12742" spans="1:1">
      <c r="A12742" t="s">
        <v>13274</v>
      </c>
    </row>
    <row r="12743" spans="1:1">
      <c r="A12743" t="s">
        <v>13275</v>
      </c>
    </row>
    <row r="12744" spans="1:1">
      <c r="A12744" t="s">
        <v>13276</v>
      </c>
    </row>
    <row r="12745" spans="1:1">
      <c r="A12745" t="s">
        <v>13277</v>
      </c>
    </row>
    <row r="12746" spans="1:1">
      <c r="A12746" t="s">
        <v>13278</v>
      </c>
    </row>
    <row r="12747" spans="1:1">
      <c r="A12747" t="s">
        <v>13279</v>
      </c>
    </row>
    <row r="12748" spans="1:1">
      <c r="A12748" t="s">
        <v>13280</v>
      </c>
    </row>
    <row r="12749" spans="1:1">
      <c r="A12749" t="s">
        <v>13281</v>
      </c>
    </row>
    <row r="12750" spans="1:1">
      <c r="A12750" t="s">
        <v>13282</v>
      </c>
    </row>
    <row r="12751" spans="1:1">
      <c r="A12751" t="s">
        <v>13283</v>
      </c>
    </row>
    <row r="12752" spans="1:1">
      <c r="A12752" t="s">
        <v>13284</v>
      </c>
    </row>
    <row r="12753" spans="1:1">
      <c r="A12753" t="s">
        <v>13285</v>
      </c>
    </row>
    <row r="12754" spans="1:1">
      <c r="A12754" t="s">
        <v>13286</v>
      </c>
    </row>
    <row r="12755" spans="1:1">
      <c r="A12755" t="s">
        <v>13287</v>
      </c>
    </row>
    <row r="12756" spans="1:1">
      <c r="A12756" t="s">
        <v>13288</v>
      </c>
    </row>
    <row r="12757" spans="1:1">
      <c r="A12757" t="s">
        <v>13289</v>
      </c>
    </row>
    <row r="12758" spans="1:1">
      <c r="A12758" t="s">
        <v>13290</v>
      </c>
    </row>
    <row r="12759" spans="1:1">
      <c r="A12759" t="s">
        <v>13291</v>
      </c>
    </row>
    <row r="12760" spans="1:1">
      <c r="A12760" t="s">
        <v>13292</v>
      </c>
    </row>
    <row r="12761" spans="1:1">
      <c r="A12761" t="s">
        <v>13293</v>
      </c>
    </row>
    <row r="12762" spans="1:1">
      <c r="A12762" t="s">
        <v>13294</v>
      </c>
    </row>
    <row r="12763" spans="1:1">
      <c r="A12763" t="s">
        <v>13295</v>
      </c>
    </row>
    <row r="12764" spans="1:1">
      <c r="A12764" t="s">
        <v>13296</v>
      </c>
    </row>
    <row r="12765" spans="1:1">
      <c r="A12765" t="s">
        <v>13297</v>
      </c>
    </row>
    <row r="12766" spans="1:1">
      <c r="A12766" t="s">
        <v>13298</v>
      </c>
    </row>
    <row r="12767" spans="1:1">
      <c r="A12767" t="s">
        <v>13299</v>
      </c>
    </row>
    <row r="12768" spans="1:1">
      <c r="A12768" t="s">
        <v>13300</v>
      </c>
    </row>
    <row r="12769" spans="1:1">
      <c r="A12769" t="s">
        <v>13301</v>
      </c>
    </row>
    <row r="12770" spans="1:1">
      <c r="A12770" t="s">
        <v>13302</v>
      </c>
    </row>
    <row r="12771" spans="1:1">
      <c r="A12771" t="s">
        <v>13303</v>
      </c>
    </row>
    <row r="12772" spans="1:1">
      <c r="A12772" t="s">
        <v>13304</v>
      </c>
    </row>
    <row r="12773" spans="1:1">
      <c r="A12773" t="s">
        <v>13305</v>
      </c>
    </row>
    <row r="12774" spans="1:1">
      <c r="A12774" t="s">
        <v>13306</v>
      </c>
    </row>
    <row r="12775" spans="1:1">
      <c r="A12775" t="s">
        <v>13307</v>
      </c>
    </row>
    <row r="12776" spans="1:1">
      <c r="A12776" t="s">
        <v>13308</v>
      </c>
    </row>
    <row r="12777" spans="1:1">
      <c r="A12777" t="s">
        <v>13309</v>
      </c>
    </row>
    <row r="12778" spans="1:1">
      <c r="A12778" t="s">
        <v>13310</v>
      </c>
    </row>
    <row r="12779" spans="1:1">
      <c r="A12779" t="s">
        <v>13311</v>
      </c>
    </row>
    <row r="12780" spans="1:1">
      <c r="A12780" t="s">
        <v>13312</v>
      </c>
    </row>
    <row r="12781" spans="1:1">
      <c r="A12781" t="s">
        <v>13313</v>
      </c>
    </row>
    <row r="12782" spans="1:1">
      <c r="A12782" t="s">
        <v>13314</v>
      </c>
    </row>
    <row r="12783" spans="1:1">
      <c r="A12783" t="s">
        <v>13315</v>
      </c>
    </row>
    <row r="12784" spans="1:1">
      <c r="A12784" t="s">
        <v>13316</v>
      </c>
    </row>
    <row r="12785" spans="1:1">
      <c r="A12785" t="s">
        <v>13317</v>
      </c>
    </row>
    <row r="12786" spans="1:1">
      <c r="A12786" t="s">
        <v>13318</v>
      </c>
    </row>
    <row r="12787" spans="1:1">
      <c r="A12787" t="s">
        <v>13319</v>
      </c>
    </row>
    <row r="12788" spans="1:1">
      <c r="A12788" t="s">
        <v>13320</v>
      </c>
    </row>
    <row r="12789" spans="1:1">
      <c r="A12789" t="s">
        <v>13321</v>
      </c>
    </row>
    <row r="12790" spans="1:1">
      <c r="A12790" t="s">
        <v>13322</v>
      </c>
    </row>
    <row r="12791" spans="1:1">
      <c r="A12791" t="s">
        <v>13323</v>
      </c>
    </row>
    <row r="12792" spans="1:1">
      <c r="A12792" t="s">
        <v>13324</v>
      </c>
    </row>
    <row r="12793" spans="1:1">
      <c r="A12793" t="s">
        <v>13325</v>
      </c>
    </row>
    <row r="12794" spans="1:1">
      <c r="A12794" t="s">
        <v>13326</v>
      </c>
    </row>
    <row r="12795" spans="1:1">
      <c r="A12795" t="s">
        <v>13327</v>
      </c>
    </row>
    <row r="12796" spans="1:1">
      <c r="A12796" t="s">
        <v>13328</v>
      </c>
    </row>
    <row r="12797" spans="1:1">
      <c r="A12797" t="s">
        <v>13329</v>
      </c>
    </row>
    <row r="12798" spans="1:1">
      <c r="A12798" t="s">
        <v>13330</v>
      </c>
    </row>
    <row r="12799" spans="1:1">
      <c r="A12799" t="s">
        <v>13331</v>
      </c>
    </row>
    <row r="12800" spans="1:1">
      <c r="A12800" t="s">
        <v>13332</v>
      </c>
    </row>
    <row r="12801" spans="1:1">
      <c r="A12801" t="s">
        <v>13333</v>
      </c>
    </row>
    <row r="12802" spans="1:1">
      <c r="A12802" t="s">
        <v>13334</v>
      </c>
    </row>
    <row r="12803" spans="1:1">
      <c r="A12803" t="s">
        <v>13335</v>
      </c>
    </row>
    <row r="12804" spans="1:1">
      <c r="A12804" t="s">
        <v>13336</v>
      </c>
    </row>
    <row r="12805" spans="1:1">
      <c r="A12805" t="s">
        <v>13337</v>
      </c>
    </row>
    <row r="12806" spans="1:1">
      <c r="A12806" t="s">
        <v>13338</v>
      </c>
    </row>
    <row r="12807" spans="1:1">
      <c r="A12807" t="s">
        <v>13339</v>
      </c>
    </row>
    <row r="12808" spans="1:1">
      <c r="A12808" t="s">
        <v>13340</v>
      </c>
    </row>
    <row r="12809" spans="1:1">
      <c r="A12809" t="s">
        <v>13341</v>
      </c>
    </row>
    <row r="12810" spans="1:1">
      <c r="A12810" t="s">
        <v>13342</v>
      </c>
    </row>
    <row r="12811" spans="1:1">
      <c r="A12811" t="s">
        <v>13343</v>
      </c>
    </row>
    <row r="12812" spans="1:1">
      <c r="A12812" t="s">
        <v>13344</v>
      </c>
    </row>
    <row r="12813" spans="1:1">
      <c r="A12813" t="s">
        <v>13345</v>
      </c>
    </row>
    <row r="12814" spans="1:1">
      <c r="A12814" t="s">
        <v>13346</v>
      </c>
    </row>
    <row r="12815" spans="1:1">
      <c r="A12815" t="s">
        <v>13347</v>
      </c>
    </row>
    <row r="12816" spans="1:1">
      <c r="A12816" t="s">
        <v>13348</v>
      </c>
    </row>
    <row r="12817" spans="1:1">
      <c r="A12817" t="s">
        <v>13349</v>
      </c>
    </row>
    <row r="12818" spans="1:1">
      <c r="A12818" t="s">
        <v>13350</v>
      </c>
    </row>
    <row r="12819" spans="1:1">
      <c r="A12819" t="s">
        <v>13351</v>
      </c>
    </row>
    <row r="12820" spans="1:1">
      <c r="A12820" t="s">
        <v>13352</v>
      </c>
    </row>
    <row r="12821" spans="1:1">
      <c r="A12821" t="s">
        <v>13353</v>
      </c>
    </row>
    <row r="12822" spans="1:1">
      <c r="A12822" t="s">
        <v>13354</v>
      </c>
    </row>
    <row r="12823" spans="1:1">
      <c r="A12823" t="s">
        <v>13355</v>
      </c>
    </row>
    <row r="12824" spans="1:1">
      <c r="A12824" t="s">
        <v>13356</v>
      </c>
    </row>
    <row r="12825" spans="1:1">
      <c r="A12825" t="s">
        <v>13357</v>
      </c>
    </row>
    <row r="12826" spans="1:1">
      <c r="A12826" t="s">
        <v>13358</v>
      </c>
    </row>
    <row r="12827" spans="1:1">
      <c r="A12827" t="s">
        <v>13359</v>
      </c>
    </row>
    <row r="12828" spans="1:1">
      <c r="A12828" t="s">
        <v>13360</v>
      </c>
    </row>
    <row r="12829" spans="1:1">
      <c r="A12829" t="s">
        <v>13361</v>
      </c>
    </row>
    <row r="12830" spans="1:1">
      <c r="A12830" t="s">
        <v>13362</v>
      </c>
    </row>
    <row r="12831" spans="1:1">
      <c r="A12831" t="s">
        <v>13363</v>
      </c>
    </row>
    <row r="12832" spans="1:1">
      <c r="A12832" t="s">
        <v>13364</v>
      </c>
    </row>
    <row r="12833" spans="1:1">
      <c r="A12833" t="s">
        <v>13365</v>
      </c>
    </row>
    <row r="12834" spans="1:1">
      <c r="A12834" t="s">
        <v>13366</v>
      </c>
    </row>
    <row r="12835" spans="1:1">
      <c r="A12835" t="s">
        <v>13367</v>
      </c>
    </row>
    <row r="12836" spans="1:1">
      <c r="A12836" t="s">
        <v>13368</v>
      </c>
    </row>
    <row r="12837" spans="1:1">
      <c r="A12837" t="s">
        <v>13369</v>
      </c>
    </row>
    <row r="12838" spans="1:1">
      <c r="A12838" t="s">
        <v>13370</v>
      </c>
    </row>
    <row r="12839" spans="1:1">
      <c r="A12839" t="s">
        <v>13371</v>
      </c>
    </row>
    <row r="12840" spans="1:1">
      <c r="A12840" t="s">
        <v>13372</v>
      </c>
    </row>
    <row r="12841" spans="1:1">
      <c r="A12841" t="s">
        <v>13373</v>
      </c>
    </row>
    <row r="12842" spans="1:1">
      <c r="A12842" t="s">
        <v>13374</v>
      </c>
    </row>
    <row r="12843" spans="1:1">
      <c r="A12843" t="s">
        <v>13375</v>
      </c>
    </row>
    <row r="12844" spans="1:1">
      <c r="A12844" t="s">
        <v>13376</v>
      </c>
    </row>
    <row r="12845" spans="1:1">
      <c r="A12845" t="s">
        <v>13377</v>
      </c>
    </row>
    <row r="12846" spans="1:1">
      <c r="A12846" t="s">
        <v>13378</v>
      </c>
    </row>
    <row r="12847" spans="1:1">
      <c r="A12847" t="s">
        <v>13379</v>
      </c>
    </row>
    <row r="12848" spans="1:1">
      <c r="A12848" t="s">
        <v>13380</v>
      </c>
    </row>
    <row r="12849" spans="1:1">
      <c r="A12849" t="s">
        <v>13381</v>
      </c>
    </row>
    <row r="12850" spans="1:1">
      <c r="A12850" t="s">
        <v>13382</v>
      </c>
    </row>
    <row r="12851" spans="1:1">
      <c r="A12851" t="s">
        <v>13383</v>
      </c>
    </row>
    <row r="12852" spans="1:1">
      <c r="A12852" t="s">
        <v>13384</v>
      </c>
    </row>
    <row r="12853" spans="1:1">
      <c r="A12853" t="s">
        <v>13385</v>
      </c>
    </row>
    <row r="12854" spans="1:1">
      <c r="A12854" t="s">
        <v>13386</v>
      </c>
    </row>
    <row r="12855" spans="1:1">
      <c r="A12855" t="s">
        <v>13387</v>
      </c>
    </row>
    <row r="12856" spans="1:1">
      <c r="A12856" t="s">
        <v>13388</v>
      </c>
    </row>
    <row r="12857" spans="1:1">
      <c r="A12857" t="s">
        <v>13389</v>
      </c>
    </row>
    <row r="12858" spans="1:1">
      <c r="A12858" t="s">
        <v>13390</v>
      </c>
    </row>
    <row r="12859" spans="1:1">
      <c r="A12859" t="s">
        <v>13391</v>
      </c>
    </row>
    <row r="12860" spans="1:1">
      <c r="A12860" t="s">
        <v>13392</v>
      </c>
    </row>
    <row r="12861" spans="1:1">
      <c r="A12861" t="s">
        <v>13393</v>
      </c>
    </row>
    <row r="12862" spans="1:1">
      <c r="A12862" t="s">
        <v>13394</v>
      </c>
    </row>
    <row r="12863" spans="1:1">
      <c r="A12863" t="s">
        <v>13395</v>
      </c>
    </row>
    <row r="12864" spans="1:1">
      <c r="A12864" t="s">
        <v>13396</v>
      </c>
    </row>
    <row r="12865" spans="1:1">
      <c r="A12865" t="s">
        <v>13397</v>
      </c>
    </row>
    <row r="12866" spans="1:1">
      <c r="A12866" t="s">
        <v>13398</v>
      </c>
    </row>
    <row r="12867" spans="1:1">
      <c r="A12867" t="s">
        <v>13399</v>
      </c>
    </row>
    <row r="12868" spans="1:1">
      <c r="A12868" t="s">
        <v>13400</v>
      </c>
    </row>
    <row r="12869" spans="1:1">
      <c r="A12869" t="s">
        <v>13401</v>
      </c>
    </row>
    <row r="12870" spans="1:1">
      <c r="A12870" t="s">
        <v>13402</v>
      </c>
    </row>
    <row r="12871" spans="1:1">
      <c r="A12871" t="s">
        <v>13403</v>
      </c>
    </row>
    <row r="12872" spans="1:1">
      <c r="A12872" t="s">
        <v>13404</v>
      </c>
    </row>
    <row r="12873" spans="1:1">
      <c r="A12873" t="s">
        <v>13405</v>
      </c>
    </row>
    <row r="12874" spans="1:1">
      <c r="A12874" t="s">
        <v>13406</v>
      </c>
    </row>
    <row r="12875" spans="1:1">
      <c r="A12875" t="s">
        <v>13407</v>
      </c>
    </row>
    <row r="12876" spans="1:1">
      <c r="A12876" t="s">
        <v>13408</v>
      </c>
    </row>
    <row r="12877" spans="1:1">
      <c r="A12877" t="s">
        <v>13409</v>
      </c>
    </row>
    <row r="12878" spans="1:1">
      <c r="A12878" t="s">
        <v>13410</v>
      </c>
    </row>
    <row r="12879" spans="1:1">
      <c r="A12879" t="s">
        <v>13411</v>
      </c>
    </row>
    <row r="12880" spans="1:1">
      <c r="A12880" t="s">
        <v>13412</v>
      </c>
    </row>
    <row r="12881" spans="1:1">
      <c r="A12881" t="s">
        <v>13413</v>
      </c>
    </row>
    <row r="12882" spans="1:1">
      <c r="A12882" t="s">
        <v>13414</v>
      </c>
    </row>
    <row r="12883" spans="1:1">
      <c r="A12883" t="s">
        <v>13415</v>
      </c>
    </row>
    <row r="12884" spans="1:1">
      <c r="A12884" t="s">
        <v>13416</v>
      </c>
    </row>
    <row r="12885" spans="1:1">
      <c r="A12885" t="s">
        <v>13417</v>
      </c>
    </row>
    <row r="12886" spans="1:1">
      <c r="A12886" t="s">
        <v>13418</v>
      </c>
    </row>
    <row r="12887" spans="1:1">
      <c r="A12887" t="s">
        <v>13419</v>
      </c>
    </row>
    <row r="12888" spans="1:1">
      <c r="A12888" t="s">
        <v>13420</v>
      </c>
    </row>
    <row r="12889" spans="1:1">
      <c r="A12889" t="s">
        <v>13421</v>
      </c>
    </row>
    <row r="12890" spans="1:1">
      <c r="A12890" t="s">
        <v>13422</v>
      </c>
    </row>
    <row r="12891" spans="1:1">
      <c r="A12891" t="s">
        <v>13423</v>
      </c>
    </row>
    <row r="12892" spans="1:1">
      <c r="A12892" t="s">
        <v>13424</v>
      </c>
    </row>
    <row r="12893" spans="1:1">
      <c r="A12893" t="s">
        <v>13425</v>
      </c>
    </row>
    <row r="12894" spans="1:1">
      <c r="A12894" t="s">
        <v>13426</v>
      </c>
    </row>
    <row r="12895" spans="1:1">
      <c r="A12895" t="s">
        <v>13427</v>
      </c>
    </row>
    <row r="12896" spans="1:1">
      <c r="A12896" t="s">
        <v>13428</v>
      </c>
    </row>
    <row r="12897" spans="1:1">
      <c r="A12897" t="s">
        <v>13429</v>
      </c>
    </row>
    <row r="12898" spans="1:1">
      <c r="A12898" t="s">
        <v>13430</v>
      </c>
    </row>
    <row r="12899" spans="1:1">
      <c r="A12899" t="s">
        <v>13431</v>
      </c>
    </row>
    <row r="12900" spans="1:1">
      <c r="A12900" t="s">
        <v>13432</v>
      </c>
    </row>
    <row r="12901" spans="1:1">
      <c r="A12901" t="s">
        <v>13433</v>
      </c>
    </row>
    <row r="12902" spans="1:1">
      <c r="A12902" t="s">
        <v>13434</v>
      </c>
    </row>
    <row r="12903" spans="1:1">
      <c r="A12903" t="s">
        <v>13435</v>
      </c>
    </row>
    <row r="12904" spans="1:1">
      <c r="A12904" t="s">
        <v>13436</v>
      </c>
    </row>
    <row r="12905" spans="1:1">
      <c r="A12905" t="s">
        <v>13437</v>
      </c>
    </row>
    <row r="12906" spans="1:1">
      <c r="A12906" t="s">
        <v>13438</v>
      </c>
    </row>
    <row r="12907" spans="1:1">
      <c r="A12907" t="s">
        <v>13439</v>
      </c>
    </row>
    <row r="12908" spans="1:1">
      <c r="A12908" t="s">
        <v>13440</v>
      </c>
    </row>
    <row r="12909" spans="1:1">
      <c r="A12909" t="s">
        <v>13441</v>
      </c>
    </row>
    <row r="12910" spans="1:1">
      <c r="A12910" t="s">
        <v>13442</v>
      </c>
    </row>
    <row r="12911" spans="1:1">
      <c r="A12911" t="s">
        <v>13443</v>
      </c>
    </row>
    <row r="12912" spans="1:1">
      <c r="A12912" t="s">
        <v>13444</v>
      </c>
    </row>
    <row r="12913" spans="1:1">
      <c r="A12913" t="s">
        <v>13445</v>
      </c>
    </row>
    <row r="12914" spans="1:1">
      <c r="A12914" t="s">
        <v>13446</v>
      </c>
    </row>
    <row r="12915" spans="1:1">
      <c r="A12915" t="s">
        <v>13447</v>
      </c>
    </row>
    <row r="12916" spans="1:1">
      <c r="A12916" t="s">
        <v>13448</v>
      </c>
    </row>
    <row r="12917" spans="1:1">
      <c r="A12917" t="s">
        <v>13449</v>
      </c>
    </row>
    <row r="12918" spans="1:1">
      <c r="A12918" t="s">
        <v>13450</v>
      </c>
    </row>
    <row r="12919" spans="1:1">
      <c r="A12919" t="s">
        <v>13451</v>
      </c>
    </row>
    <row r="12920" spans="1:1">
      <c r="A12920" t="s">
        <v>13452</v>
      </c>
    </row>
    <row r="12921" spans="1:1">
      <c r="A12921" t="s">
        <v>13453</v>
      </c>
    </row>
    <row r="12922" spans="1:1">
      <c r="A12922" t="s">
        <v>13454</v>
      </c>
    </row>
    <row r="12923" spans="1:1">
      <c r="A12923" t="s">
        <v>13455</v>
      </c>
    </row>
    <row r="12924" spans="1:1">
      <c r="A12924" t="s">
        <v>13456</v>
      </c>
    </row>
    <row r="12925" spans="1:1">
      <c r="A12925" t="s">
        <v>13457</v>
      </c>
    </row>
    <row r="12926" spans="1:1">
      <c r="A12926" t="s">
        <v>13458</v>
      </c>
    </row>
    <row r="12927" spans="1:1">
      <c r="A12927" t="s">
        <v>13459</v>
      </c>
    </row>
    <row r="12928" spans="1:1">
      <c r="A12928" t="s">
        <v>13460</v>
      </c>
    </row>
    <row r="12929" spans="1:1">
      <c r="A12929" t="s">
        <v>13461</v>
      </c>
    </row>
    <row r="12930" spans="1:1">
      <c r="A12930" t="s">
        <v>13462</v>
      </c>
    </row>
    <row r="12931" spans="1:1">
      <c r="A12931" t="s">
        <v>13463</v>
      </c>
    </row>
    <row r="12932" spans="1:1">
      <c r="A12932" t="s">
        <v>13464</v>
      </c>
    </row>
    <row r="12933" spans="1:1">
      <c r="A12933" t="s">
        <v>13465</v>
      </c>
    </row>
    <row r="12934" spans="1:1">
      <c r="A12934" t="s">
        <v>13466</v>
      </c>
    </row>
    <row r="12935" spans="1:1">
      <c r="A12935" t="s">
        <v>13467</v>
      </c>
    </row>
    <row r="12936" spans="1:1">
      <c r="A12936" t="s">
        <v>13468</v>
      </c>
    </row>
    <row r="12937" spans="1:1">
      <c r="A12937" t="s">
        <v>13469</v>
      </c>
    </row>
    <row r="12938" spans="1:1">
      <c r="A12938" t="s">
        <v>13470</v>
      </c>
    </row>
    <row r="12939" spans="1:1">
      <c r="A12939" t="s">
        <v>13471</v>
      </c>
    </row>
    <row r="12940" spans="1:1">
      <c r="A12940" t="s">
        <v>13472</v>
      </c>
    </row>
    <row r="12941" spans="1:1">
      <c r="A12941" t="s">
        <v>13473</v>
      </c>
    </row>
    <row r="12942" spans="1:1">
      <c r="A12942" t="s">
        <v>13474</v>
      </c>
    </row>
    <row r="12943" spans="1:1">
      <c r="A12943" t="s">
        <v>13475</v>
      </c>
    </row>
    <row r="12944" spans="1:1">
      <c r="A12944" t="s">
        <v>13476</v>
      </c>
    </row>
    <row r="12945" spans="1:1">
      <c r="A12945" t="s">
        <v>13477</v>
      </c>
    </row>
    <row r="12946" spans="1:1">
      <c r="A12946" t="s">
        <v>13478</v>
      </c>
    </row>
    <row r="12947" spans="1:1">
      <c r="A12947" t="s">
        <v>13479</v>
      </c>
    </row>
    <row r="12948" spans="1:1">
      <c r="A12948" t="s">
        <v>13480</v>
      </c>
    </row>
    <row r="12949" spans="1:1">
      <c r="A12949" t="s">
        <v>13481</v>
      </c>
    </row>
    <row r="12950" spans="1:1">
      <c r="A12950" t="s">
        <v>13482</v>
      </c>
    </row>
    <row r="12951" spans="1:1">
      <c r="A12951" t="s">
        <v>13483</v>
      </c>
    </row>
    <row r="12952" spans="1:1">
      <c r="A12952" t="s">
        <v>13484</v>
      </c>
    </row>
    <row r="12953" spans="1:1">
      <c r="A12953" t="s">
        <v>13485</v>
      </c>
    </row>
    <row r="12954" spans="1:1">
      <c r="A12954" t="s">
        <v>13486</v>
      </c>
    </row>
    <row r="12955" spans="1:1">
      <c r="A12955" t="s">
        <v>13487</v>
      </c>
    </row>
    <row r="12956" spans="1:1">
      <c r="A12956" t="s">
        <v>13488</v>
      </c>
    </row>
    <row r="12957" spans="1:1">
      <c r="A12957" t="s">
        <v>13489</v>
      </c>
    </row>
    <row r="12958" spans="1:1">
      <c r="A12958" t="s">
        <v>13490</v>
      </c>
    </row>
    <row r="12959" spans="1:1">
      <c r="A12959" t="s">
        <v>13491</v>
      </c>
    </row>
    <row r="12960" spans="1:1">
      <c r="A12960" t="s">
        <v>13492</v>
      </c>
    </row>
    <row r="12961" spans="1:1">
      <c r="A12961" t="s">
        <v>13493</v>
      </c>
    </row>
    <row r="12962" spans="1:1">
      <c r="A12962" t="s">
        <v>13494</v>
      </c>
    </row>
    <row r="12963" spans="1:1">
      <c r="A12963" t="s">
        <v>13495</v>
      </c>
    </row>
    <row r="12964" spans="1:1">
      <c r="A12964" t="s">
        <v>13496</v>
      </c>
    </row>
    <row r="12965" spans="1:1">
      <c r="A12965" t="s">
        <v>13497</v>
      </c>
    </row>
    <row r="12966" spans="1:1">
      <c r="A12966" t="s">
        <v>13498</v>
      </c>
    </row>
    <row r="12967" spans="1:1">
      <c r="A12967" t="s">
        <v>13499</v>
      </c>
    </row>
    <row r="12968" spans="1:1">
      <c r="A12968" t="s">
        <v>13500</v>
      </c>
    </row>
    <row r="12969" spans="1:1">
      <c r="A12969" t="s">
        <v>13501</v>
      </c>
    </row>
    <row r="12970" spans="1:1">
      <c r="A12970" t="s">
        <v>13502</v>
      </c>
    </row>
    <row r="12971" spans="1:1">
      <c r="A12971" t="s">
        <v>13503</v>
      </c>
    </row>
    <row r="12972" spans="1:1">
      <c r="A12972" t="s">
        <v>13504</v>
      </c>
    </row>
    <row r="12973" spans="1:1">
      <c r="A12973" t="s">
        <v>13505</v>
      </c>
    </row>
    <row r="12974" spans="1:1">
      <c r="A12974" t="s">
        <v>13506</v>
      </c>
    </row>
    <row r="12975" spans="1:1">
      <c r="A12975" t="s">
        <v>13507</v>
      </c>
    </row>
    <row r="12976" spans="1:1">
      <c r="A12976" t="s">
        <v>13508</v>
      </c>
    </row>
    <row r="12977" spans="1:1">
      <c r="A12977" t="s">
        <v>13509</v>
      </c>
    </row>
    <row r="12978" spans="1:1">
      <c r="A12978" t="s">
        <v>13510</v>
      </c>
    </row>
    <row r="12979" spans="1:1">
      <c r="A12979" t="s">
        <v>13511</v>
      </c>
    </row>
    <row r="12980" spans="1:1">
      <c r="A12980" t="s">
        <v>13512</v>
      </c>
    </row>
    <row r="12981" spans="1:1">
      <c r="A12981" t="s">
        <v>13513</v>
      </c>
    </row>
    <row r="12982" spans="1:1">
      <c r="A12982" t="s">
        <v>13514</v>
      </c>
    </row>
    <row r="12983" spans="1:1">
      <c r="A12983" t="s">
        <v>13515</v>
      </c>
    </row>
    <row r="12984" spans="1:1">
      <c r="A12984" t="s">
        <v>13516</v>
      </c>
    </row>
    <row r="12985" spans="1:1">
      <c r="A12985" t="s">
        <v>13517</v>
      </c>
    </row>
    <row r="12986" spans="1:1">
      <c r="A12986" t="s">
        <v>13518</v>
      </c>
    </row>
    <row r="12987" spans="1:1">
      <c r="A12987" t="s">
        <v>13519</v>
      </c>
    </row>
    <row r="12988" spans="1:1">
      <c r="A12988" t="s">
        <v>13520</v>
      </c>
    </row>
    <row r="12989" spans="1:1">
      <c r="A12989" t="s">
        <v>13521</v>
      </c>
    </row>
    <row r="12990" spans="1:1">
      <c r="A12990" t="s">
        <v>13522</v>
      </c>
    </row>
    <row r="12991" spans="1:1">
      <c r="A12991" t="s">
        <v>13523</v>
      </c>
    </row>
    <row r="12992" spans="1:1">
      <c r="A12992" t="s">
        <v>13524</v>
      </c>
    </row>
    <row r="12993" spans="1:1">
      <c r="A12993" t="s">
        <v>13525</v>
      </c>
    </row>
    <row r="12994" spans="1:1">
      <c r="A12994" t="s">
        <v>13526</v>
      </c>
    </row>
    <row r="12995" spans="1:1">
      <c r="A12995" t="s">
        <v>13527</v>
      </c>
    </row>
    <row r="12996" spans="1:1">
      <c r="A12996" t="s">
        <v>13528</v>
      </c>
    </row>
    <row r="12997" spans="1:1">
      <c r="A12997" t="s">
        <v>13529</v>
      </c>
    </row>
    <row r="12998" spans="1:1">
      <c r="A12998" t="s">
        <v>13530</v>
      </c>
    </row>
    <row r="12999" spans="1:1">
      <c r="A12999" t="s">
        <v>13531</v>
      </c>
    </row>
    <row r="13000" spans="1:1">
      <c r="A13000" t="s">
        <v>13532</v>
      </c>
    </row>
    <row r="13001" spans="1:1">
      <c r="A13001" t="s">
        <v>13533</v>
      </c>
    </row>
    <row r="13002" spans="1:1">
      <c r="A13002" t="s">
        <v>13534</v>
      </c>
    </row>
    <row r="13003" spans="1:1">
      <c r="A13003" t="s">
        <v>13535</v>
      </c>
    </row>
    <row r="13004" spans="1:1">
      <c r="A13004" t="s">
        <v>13536</v>
      </c>
    </row>
    <row r="13005" spans="1:1">
      <c r="A13005" t="s">
        <v>13537</v>
      </c>
    </row>
    <row r="13006" spans="1:1">
      <c r="A13006" t="s">
        <v>13538</v>
      </c>
    </row>
    <row r="13007" spans="1:1">
      <c r="A13007" t="s">
        <v>13539</v>
      </c>
    </row>
    <row r="13008" spans="1:1">
      <c r="A13008" t="s">
        <v>13540</v>
      </c>
    </row>
    <row r="13009" spans="1:1">
      <c r="A13009" t="s">
        <v>13541</v>
      </c>
    </row>
    <row r="13010" spans="1:1">
      <c r="A13010" t="s">
        <v>13542</v>
      </c>
    </row>
    <row r="13011" spans="1:1">
      <c r="A13011" t="s">
        <v>13543</v>
      </c>
    </row>
    <row r="13012" spans="1:1">
      <c r="A13012" t="s">
        <v>13544</v>
      </c>
    </row>
    <row r="13013" spans="1:1">
      <c r="A13013" t="s">
        <v>13545</v>
      </c>
    </row>
    <row r="13014" spans="1:1">
      <c r="A13014" t="s">
        <v>13546</v>
      </c>
    </row>
    <row r="13015" spans="1:1">
      <c r="A13015" t="s">
        <v>13547</v>
      </c>
    </row>
    <row r="13016" spans="1:1">
      <c r="A13016" t="s">
        <v>13548</v>
      </c>
    </row>
    <row r="13017" spans="1:1">
      <c r="A13017" t="s">
        <v>13549</v>
      </c>
    </row>
    <row r="13018" spans="1:1">
      <c r="A13018" t="s">
        <v>13550</v>
      </c>
    </row>
    <row r="13019" spans="1:1">
      <c r="A13019" t="s">
        <v>13551</v>
      </c>
    </row>
    <row r="13020" spans="1:1">
      <c r="A13020" t="s">
        <v>13552</v>
      </c>
    </row>
    <row r="13021" spans="1:1">
      <c r="A13021" t="s">
        <v>13553</v>
      </c>
    </row>
    <row r="13022" spans="1:1">
      <c r="A13022" t="s">
        <v>13554</v>
      </c>
    </row>
    <row r="13023" spans="1:1">
      <c r="A13023" t="s">
        <v>13555</v>
      </c>
    </row>
    <row r="13024" spans="1:1">
      <c r="A13024" t="s">
        <v>13556</v>
      </c>
    </row>
    <row r="13025" spans="1:1">
      <c r="A13025" t="s">
        <v>13557</v>
      </c>
    </row>
    <row r="13026" spans="1:1">
      <c r="A13026" t="s">
        <v>13558</v>
      </c>
    </row>
    <row r="13027" spans="1:1">
      <c r="A13027" t="s">
        <v>13559</v>
      </c>
    </row>
    <row r="13028" spans="1:1">
      <c r="A13028" t="s">
        <v>13560</v>
      </c>
    </row>
    <row r="13029" spans="1:1">
      <c r="A13029" t="s">
        <v>13561</v>
      </c>
    </row>
    <row r="13030" spans="1:1">
      <c r="A13030" t="s">
        <v>13562</v>
      </c>
    </row>
    <row r="13031" spans="1:1">
      <c r="A13031" t="s">
        <v>13563</v>
      </c>
    </row>
    <row r="13032" spans="1:1">
      <c r="A13032" t="s">
        <v>13564</v>
      </c>
    </row>
    <row r="13033" spans="1:1">
      <c r="A13033" t="s">
        <v>13565</v>
      </c>
    </row>
    <row r="13034" spans="1:1">
      <c r="A13034" t="s">
        <v>13566</v>
      </c>
    </row>
    <row r="13035" spans="1:1">
      <c r="A13035" t="s">
        <v>13567</v>
      </c>
    </row>
    <row r="13036" spans="1:1">
      <c r="A13036" t="s">
        <v>13568</v>
      </c>
    </row>
    <row r="13037" spans="1:1">
      <c r="A13037" t="s">
        <v>13569</v>
      </c>
    </row>
    <row r="13038" spans="1:1">
      <c r="A13038" t="s">
        <v>13570</v>
      </c>
    </row>
    <row r="13039" spans="1:1">
      <c r="A13039" t="s">
        <v>13571</v>
      </c>
    </row>
    <row r="13040" spans="1:1">
      <c r="A13040" t="s">
        <v>13572</v>
      </c>
    </row>
    <row r="13041" spans="1:1">
      <c r="A13041" t="s">
        <v>13573</v>
      </c>
    </row>
    <row r="13042" spans="1:1">
      <c r="A13042" t="s">
        <v>13574</v>
      </c>
    </row>
    <row r="13043" spans="1:1">
      <c r="A13043" t="s">
        <v>13575</v>
      </c>
    </row>
    <row r="13044" spans="1:1">
      <c r="A13044" t="s">
        <v>13576</v>
      </c>
    </row>
    <row r="13045" spans="1:1">
      <c r="A13045" t="s">
        <v>13577</v>
      </c>
    </row>
    <row r="13046" spans="1:1">
      <c r="A13046" t="s">
        <v>13578</v>
      </c>
    </row>
    <row r="13047" spans="1:1">
      <c r="A13047" t="s">
        <v>13579</v>
      </c>
    </row>
    <row r="13048" spans="1:1">
      <c r="A13048" t="s">
        <v>13580</v>
      </c>
    </row>
    <row r="13049" spans="1:1">
      <c r="A13049" t="s">
        <v>13581</v>
      </c>
    </row>
    <row r="13050" spans="1:1">
      <c r="A13050" t="s">
        <v>13582</v>
      </c>
    </row>
    <row r="13051" spans="1:1">
      <c r="A13051" t="s">
        <v>13583</v>
      </c>
    </row>
    <row r="13052" spans="1:1">
      <c r="A13052" t="s">
        <v>13584</v>
      </c>
    </row>
    <row r="13053" spans="1:1">
      <c r="A13053" t="s">
        <v>13585</v>
      </c>
    </row>
    <row r="13054" spans="1:1">
      <c r="A13054" t="s">
        <v>13586</v>
      </c>
    </row>
    <row r="13055" spans="1:1">
      <c r="A13055" t="s">
        <v>13587</v>
      </c>
    </row>
    <row r="13056" spans="1:1">
      <c r="A13056" t="s">
        <v>13588</v>
      </c>
    </row>
    <row r="13057" spans="1:1">
      <c r="A13057" t="s">
        <v>13589</v>
      </c>
    </row>
    <row r="13058" spans="1:1">
      <c r="A13058" t="s">
        <v>13590</v>
      </c>
    </row>
    <row r="13059" spans="1:1">
      <c r="A13059" t="s">
        <v>13591</v>
      </c>
    </row>
    <row r="13060" spans="1:1">
      <c r="A13060" t="s">
        <v>13592</v>
      </c>
    </row>
    <row r="13061" spans="1:1">
      <c r="A13061" t="s">
        <v>13593</v>
      </c>
    </row>
    <row r="13062" spans="1:1">
      <c r="A13062" t="s">
        <v>13594</v>
      </c>
    </row>
    <row r="13063" spans="1:1">
      <c r="A13063" t="s">
        <v>13595</v>
      </c>
    </row>
    <row r="13064" spans="1:1">
      <c r="A13064" t="s">
        <v>13596</v>
      </c>
    </row>
    <row r="13065" spans="1:1">
      <c r="A13065" t="s">
        <v>13597</v>
      </c>
    </row>
    <row r="13066" spans="1:1">
      <c r="A13066" t="s">
        <v>13598</v>
      </c>
    </row>
    <row r="13067" spans="1:1">
      <c r="A13067" t="s">
        <v>13599</v>
      </c>
    </row>
    <row r="13068" spans="1:1">
      <c r="A13068" t="s">
        <v>13600</v>
      </c>
    </row>
    <row r="13069" spans="1:1">
      <c r="A13069" t="s">
        <v>13601</v>
      </c>
    </row>
    <row r="13070" spans="1:1">
      <c r="A13070" t="s">
        <v>13602</v>
      </c>
    </row>
    <row r="13071" spans="1:1">
      <c r="A13071" t="s">
        <v>13603</v>
      </c>
    </row>
    <row r="13072" spans="1:1">
      <c r="A13072" t="s">
        <v>13604</v>
      </c>
    </row>
    <row r="13073" spans="1:1">
      <c r="A13073" t="s">
        <v>13605</v>
      </c>
    </row>
    <row r="13074" spans="1:1">
      <c r="A13074" t="s">
        <v>13606</v>
      </c>
    </row>
    <row r="13075" spans="1:1">
      <c r="A13075" t="s">
        <v>13607</v>
      </c>
    </row>
    <row r="13076" spans="1:1">
      <c r="A13076" t="s">
        <v>13608</v>
      </c>
    </row>
    <row r="13077" spans="1:1">
      <c r="A13077" t="s">
        <v>13609</v>
      </c>
    </row>
    <row r="13078" spans="1:1">
      <c r="A13078" t="s">
        <v>13610</v>
      </c>
    </row>
    <row r="13079" spans="1:1">
      <c r="A13079" t="s">
        <v>13611</v>
      </c>
    </row>
    <row r="13080" spans="1:1">
      <c r="A13080" t="s">
        <v>13612</v>
      </c>
    </row>
    <row r="13081" spans="1:1">
      <c r="A13081" t="s">
        <v>13613</v>
      </c>
    </row>
    <row r="13082" spans="1:1">
      <c r="A13082" t="s">
        <v>13614</v>
      </c>
    </row>
    <row r="13083" spans="1:1">
      <c r="A13083" t="s">
        <v>13615</v>
      </c>
    </row>
    <row r="13084" spans="1:1">
      <c r="A13084" t="s">
        <v>13616</v>
      </c>
    </row>
    <row r="13085" spans="1:1">
      <c r="A13085" t="s">
        <v>13617</v>
      </c>
    </row>
    <row r="13086" spans="1:1">
      <c r="A13086" t="s">
        <v>13618</v>
      </c>
    </row>
    <row r="13087" spans="1:1">
      <c r="A13087" t="s">
        <v>13619</v>
      </c>
    </row>
    <row r="13088" spans="1:1">
      <c r="A13088" t="s">
        <v>13620</v>
      </c>
    </row>
    <row r="13089" spans="1:1">
      <c r="A13089" t="s">
        <v>13621</v>
      </c>
    </row>
    <row r="13090" spans="1:1">
      <c r="A13090" t="s">
        <v>13622</v>
      </c>
    </row>
    <row r="13091" spans="1:1">
      <c r="A13091" t="s">
        <v>13623</v>
      </c>
    </row>
    <row r="13092" spans="1:1">
      <c r="A13092" t="s">
        <v>13624</v>
      </c>
    </row>
    <row r="13093" spans="1:1">
      <c r="A13093" t="s">
        <v>13625</v>
      </c>
    </row>
    <row r="13094" spans="1:1">
      <c r="A13094" t="s">
        <v>13626</v>
      </c>
    </row>
    <row r="13095" spans="1:1">
      <c r="A13095" t="s">
        <v>13627</v>
      </c>
    </row>
    <row r="13096" spans="1:1">
      <c r="A13096" t="s">
        <v>13628</v>
      </c>
    </row>
    <row r="13097" spans="1:1">
      <c r="A13097" t="s">
        <v>13629</v>
      </c>
    </row>
    <row r="13098" spans="1:1">
      <c r="A13098" t="s">
        <v>13630</v>
      </c>
    </row>
    <row r="13099" spans="1:1">
      <c r="A13099" t="s">
        <v>13631</v>
      </c>
    </row>
    <row r="13100" spans="1:1">
      <c r="A13100" t="s">
        <v>13632</v>
      </c>
    </row>
    <row r="13101" spans="1:1">
      <c r="A13101" t="s">
        <v>13633</v>
      </c>
    </row>
    <row r="13102" spans="1:1">
      <c r="A13102" t="s">
        <v>13634</v>
      </c>
    </row>
    <row r="13103" spans="1:1">
      <c r="A13103" t="s">
        <v>13635</v>
      </c>
    </row>
    <row r="13104" spans="1:1">
      <c r="A13104" t="s">
        <v>13636</v>
      </c>
    </row>
    <row r="13105" spans="1:1">
      <c r="A13105" t="s">
        <v>13637</v>
      </c>
    </row>
    <row r="13106" spans="1:1">
      <c r="A13106" t="s">
        <v>13638</v>
      </c>
    </row>
    <row r="13107" spans="1:1">
      <c r="A13107" t="s">
        <v>13639</v>
      </c>
    </row>
    <row r="13108" spans="1:1">
      <c r="A13108" t="s">
        <v>13640</v>
      </c>
    </row>
    <row r="13109" spans="1:1">
      <c r="A13109" t="s">
        <v>13641</v>
      </c>
    </row>
    <row r="13110" spans="1:1">
      <c r="A13110" t="s">
        <v>13642</v>
      </c>
    </row>
    <row r="13111" spans="1:1">
      <c r="A13111" t="s">
        <v>13643</v>
      </c>
    </row>
    <row r="13112" spans="1:1">
      <c r="A13112" t="s">
        <v>13644</v>
      </c>
    </row>
    <row r="13113" spans="1:1">
      <c r="A13113" t="s">
        <v>13645</v>
      </c>
    </row>
    <row r="13114" spans="1:1">
      <c r="A13114" t="s">
        <v>13646</v>
      </c>
    </row>
    <row r="13115" spans="1:1">
      <c r="A13115" t="s">
        <v>13647</v>
      </c>
    </row>
    <row r="13116" spans="1:1">
      <c r="A13116" t="s">
        <v>13648</v>
      </c>
    </row>
    <row r="13117" spans="1:1">
      <c r="A13117" t="s">
        <v>13649</v>
      </c>
    </row>
    <row r="13118" spans="1:1">
      <c r="A13118" t="s">
        <v>13650</v>
      </c>
    </row>
    <row r="13119" spans="1:1">
      <c r="A13119" t="s">
        <v>13651</v>
      </c>
    </row>
    <row r="13120" spans="1:1">
      <c r="A13120" t="s">
        <v>13652</v>
      </c>
    </row>
    <row r="13121" spans="1:1">
      <c r="A13121" t="s">
        <v>13653</v>
      </c>
    </row>
    <row r="13122" spans="1:1">
      <c r="A13122" t="s">
        <v>13654</v>
      </c>
    </row>
    <row r="13123" spans="1:1">
      <c r="A13123" t="s">
        <v>13655</v>
      </c>
    </row>
    <row r="13124" spans="1:1">
      <c r="A13124" t="s">
        <v>13656</v>
      </c>
    </row>
    <row r="13125" spans="1:1">
      <c r="A13125" t="s">
        <v>13657</v>
      </c>
    </row>
    <row r="13126" spans="1:1">
      <c r="A13126" t="s">
        <v>13658</v>
      </c>
    </row>
    <row r="13127" spans="1:1">
      <c r="A13127" t="s">
        <v>13659</v>
      </c>
    </row>
    <row r="13128" spans="1:1">
      <c r="A13128" t="s">
        <v>13660</v>
      </c>
    </row>
    <row r="13129" spans="1:1">
      <c r="A13129" t="s">
        <v>13661</v>
      </c>
    </row>
    <row r="13130" spans="1:1">
      <c r="A13130" t="s">
        <v>13662</v>
      </c>
    </row>
    <row r="13131" spans="1:1">
      <c r="A13131" t="s">
        <v>13663</v>
      </c>
    </row>
    <row r="13132" spans="1:1">
      <c r="A13132" t="s">
        <v>13664</v>
      </c>
    </row>
    <row r="13133" spans="1:1">
      <c r="A13133" t="s">
        <v>13665</v>
      </c>
    </row>
    <row r="13134" spans="1:1">
      <c r="A13134" t="s">
        <v>13666</v>
      </c>
    </row>
    <row r="13135" spans="1:1">
      <c r="A13135" t="s">
        <v>13667</v>
      </c>
    </row>
    <row r="13136" spans="1:1">
      <c r="A13136" t="s">
        <v>13668</v>
      </c>
    </row>
    <row r="13137" spans="1:1">
      <c r="A13137" t="s">
        <v>13669</v>
      </c>
    </row>
    <row r="13138" spans="1:1">
      <c r="A13138" t="s">
        <v>13670</v>
      </c>
    </row>
    <row r="13139" spans="1:1">
      <c r="A13139" t="s">
        <v>13671</v>
      </c>
    </row>
    <row r="13140" spans="1:1">
      <c r="A13140" t="s">
        <v>13672</v>
      </c>
    </row>
    <row r="13141" spans="1:1">
      <c r="A13141" t="s">
        <v>13673</v>
      </c>
    </row>
    <row r="13142" spans="1:1">
      <c r="A13142" t="s">
        <v>13674</v>
      </c>
    </row>
    <row r="13143" spans="1:1">
      <c r="A13143" t="s">
        <v>13675</v>
      </c>
    </row>
    <row r="13144" spans="1:1">
      <c r="A13144" t="s">
        <v>13676</v>
      </c>
    </row>
    <row r="13145" spans="1:1">
      <c r="A13145" t="s">
        <v>13677</v>
      </c>
    </row>
    <row r="13146" spans="1:1">
      <c r="A13146" t="s">
        <v>13678</v>
      </c>
    </row>
    <row r="13147" spans="1:1">
      <c r="A13147" t="s">
        <v>13679</v>
      </c>
    </row>
    <row r="13148" spans="1:1">
      <c r="A13148" t="s">
        <v>13680</v>
      </c>
    </row>
    <row r="13149" spans="1:1">
      <c r="A13149" t="s">
        <v>13681</v>
      </c>
    </row>
    <row r="13150" spans="1:1">
      <c r="A13150" t="s">
        <v>13682</v>
      </c>
    </row>
    <row r="13151" spans="1:1">
      <c r="A13151" t="s">
        <v>13683</v>
      </c>
    </row>
    <row r="13152" spans="1:1">
      <c r="A13152" t="s">
        <v>13684</v>
      </c>
    </row>
    <row r="13153" spans="1:1">
      <c r="A13153" t="s">
        <v>13685</v>
      </c>
    </row>
    <row r="13154" spans="1:1">
      <c r="A13154" t="s">
        <v>13686</v>
      </c>
    </row>
    <row r="13155" spans="1:1">
      <c r="A13155" t="s">
        <v>13687</v>
      </c>
    </row>
    <row r="13156" spans="1:1">
      <c r="A13156" t="s">
        <v>13688</v>
      </c>
    </row>
    <row r="13157" spans="1:1">
      <c r="A13157" t="s">
        <v>13689</v>
      </c>
    </row>
    <row r="13158" spans="1:1">
      <c r="A13158" t="s">
        <v>13690</v>
      </c>
    </row>
    <row r="13159" spans="1:1">
      <c r="A13159" t="s">
        <v>13691</v>
      </c>
    </row>
    <row r="13160" spans="1:1">
      <c r="A13160" t="s">
        <v>13692</v>
      </c>
    </row>
    <row r="13161" spans="1:1">
      <c r="A13161" t="s">
        <v>13693</v>
      </c>
    </row>
    <row r="13162" spans="1:1">
      <c r="A13162" t="s">
        <v>13694</v>
      </c>
    </row>
    <row r="13163" spans="1:1">
      <c r="A13163" t="s">
        <v>13695</v>
      </c>
    </row>
    <row r="13164" spans="1:1">
      <c r="A13164" t="s">
        <v>13696</v>
      </c>
    </row>
    <row r="13165" spans="1:1">
      <c r="A13165" t="s">
        <v>13697</v>
      </c>
    </row>
    <row r="13166" spans="1:1">
      <c r="A13166" t="s">
        <v>13698</v>
      </c>
    </row>
    <row r="13167" spans="1:1">
      <c r="A13167" t="s">
        <v>13699</v>
      </c>
    </row>
    <row r="13168" spans="1:1">
      <c r="A13168" t="s">
        <v>13700</v>
      </c>
    </row>
    <row r="13169" spans="1:1">
      <c r="A13169" t="s">
        <v>13701</v>
      </c>
    </row>
    <row r="13170" spans="1:1">
      <c r="A13170" t="s">
        <v>13702</v>
      </c>
    </row>
    <row r="13171" spans="1:1">
      <c r="A13171" t="s">
        <v>13703</v>
      </c>
    </row>
    <row r="13172" spans="1:1">
      <c r="A13172" t="s">
        <v>13704</v>
      </c>
    </row>
    <row r="13173" spans="1:1">
      <c r="A13173" t="s">
        <v>13705</v>
      </c>
    </row>
    <row r="13174" spans="1:1">
      <c r="A13174" t="s">
        <v>13706</v>
      </c>
    </row>
    <row r="13175" spans="1:1">
      <c r="A13175" t="s">
        <v>13707</v>
      </c>
    </row>
    <row r="13176" spans="1:1">
      <c r="A13176" t="s">
        <v>13708</v>
      </c>
    </row>
    <row r="13177" spans="1:1">
      <c r="A13177" t="s">
        <v>13709</v>
      </c>
    </row>
    <row r="13178" spans="1:1">
      <c r="A13178" t="s">
        <v>13710</v>
      </c>
    </row>
    <row r="13179" spans="1:1">
      <c r="A13179" t="s">
        <v>13711</v>
      </c>
    </row>
    <row r="13180" spans="1:1">
      <c r="A13180" t="s">
        <v>13712</v>
      </c>
    </row>
    <row r="13181" spans="1:1">
      <c r="A13181" t="s">
        <v>13713</v>
      </c>
    </row>
    <row r="13182" spans="1:1">
      <c r="A13182" t="s">
        <v>13714</v>
      </c>
    </row>
    <row r="13183" spans="1:1">
      <c r="A13183" t="s">
        <v>13715</v>
      </c>
    </row>
    <row r="13184" spans="1:1">
      <c r="A13184" t="s">
        <v>13716</v>
      </c>
    </row>
    <row r="13185" spans="1:1">
      <c r="A13185" t="s">
        <v>13717</v>
      </c>
    </row>
    <row r="13186" spans="1:1">
      <c r="A13186" t="s">
        <v>13718</v>
      </c>
    </row>
    <row r="13187" spans="1:1">
      <c r="A13187" t="s">
        <v>13719</v>
      </c>
    </row>
    <row r="13188" spans="1:1">
      <c r="A13188" t="s">
        <v>13720</v>
      </c>
    </row>
    <row r="13189" spans="1:1">
      <c r="A13189" t="s">
        <v>13721</v>
      </c>
    </row>
    <row r="13190" spans="1:1">
      <c r="A13190" t="s">
        <v>13722</v>
      </c>
    </row>
    <row r="13191" spans="1:1">
      <c r="A13191" t="s">
        <v>13723</v>
      </c>
    </row>
    <row r="13192" spans="1:1">
      <c r="A13192" t="s">
        <v>13724</v>
      </c>
    </row>
    <row r="13193" spans="1:1">
      <c r="A13193" t="s">
        <v>13725</v>
      </c>
    </row>
    <row r="13194" spans="1:1">
      <c r="A13194" t="s">
        <v>13726</v>
      </c>
    </row>
    <row r="13195" spans="1:1">
      <c r="A13195" t="s">
        <v>13727</v>
      </c>
    </row>
    <row r="13196" spans="1:1">
      <c r="A13196" t="s">
        <v>13728</v>
      </c>
    </row>
    <row r="13197" spans="1:1">
      <c r="A13197" t="s">
        <v>13729</v>
      </c>
    </row>
    <row r="13198" spans="1:1">
      <c r="A13198" t="s">
        <v>13730</v>
      </c>
    </row>
    <row r="13199" spans="1:1">
      <c r="A13199" t="s">
        <v>13731</v>
      </c>
    </row>
    <row r="13200" spans="1:1">
      <c r="A13200" t="s">
        <v>13732</v>
      </c>
    </row>
    <row r="13201" spans="1:1">
      <c r="A13201" t="s">
        <v>13733</v>
      </c>
    </row>
    <row r="13202" spans="1:1">
      <c r="A13202" t="s">
        <v>13734</v>
      </c>
    </row>
    <row r="13203" spans="1:1">
      <c r="A13203" t="s">
        <v>13735</v>
      </c>
    </row>
    <row r="13204" spans="1:1">
      <c r="A13204" t="s">
        <v>13736</v>
      </c>
    </row>
    <row r="13205" spans="1:1">
      <c r="A13205" t="s">
        <v>13737</v>
      </c>
    </row>
    <row r="13206" spans="1:1">
      <c r="A13206" t="s">
        <v>13738</v>
      </c>
    </row>
    <row r="13207" spans="1:1">
      <c r="A13207" t="s">
        <v>13739</v>
      </c>
    </row>
    <row r="13208" spans="1:1">
      <c r="A13208" t="s">
        <v>13740</v>
      </c>
    </row>
    <row r="13209" spans="1:1">
      <c r="A13209" t="s">
        <v>13741</v>
      </c>
    </row>
    <row r="13210" spans="1:1">
      <c r="A13210" t="s">
        <v>13742</v>
      </c>
    </row>
    <row r="13211" spans="1:1">
      <c r="A13211" t="s">
        <v>13743</v>
      </c>
    </row>
    <row r="13212" spans="1:1">
      <c r="A13212" t="s">
        <v>13744</v>
      </c>
    </row>
    <row r="13213" spans="1:1">
      <c r="A13213" t="s">
        <v>13745</v>
      </c>
    </row>
    <row r="13214" spans="1:1">
      <c r="A13214" t="s">
        <v>13746</v>
      </c>
    </row>
    <row r="13215" spans="1:1">
      <c r="A13215" t="s">
        <v>13747</v>
      </c>
    </row>
    <row r="13216" spans="1:1">
      <c r="A13216" t="s">
        <v>13748</v>
      </c>
    </row>
    <row r="13217" spans="1:1">
      <c r="A13217" t="s">
        <v>13749</v>
      </c>
    </row>
    <row r="13218" spans="1:1">
      <c r="A13218" t="s">
        <v>13750</v>
      </c>
    </row>
    <row r="13219" spans="1:1">
      <c r="A13219" t="s">
        <v>13751</v>
      </c>
    </row>
    <row r="13220" spans="1:1">
      <c r="A13220" t="s">
        <v>13752</v>
      </c>
    </row>
    <row r="13221" spans="1:1">
      <c r="A13221" t="s">
        <v>13753</v>
      </c>
    </row>
    <row r="13222" spans="1:1">
      <c r="A13222" t="s">
        <v>13754</v>
      </c>
    </row>
    <row r="13223" spans="1:1">
      <c r="A13223" t="s">
        <v>13755</v>
      </c>
    </row>
    <row r="13224" spans="1:1">
      <c r="A13224" t="s">
        <v>13756</v>
      </c>
    </row>
    <row r="13225" spans="1:1">
      <c r="A13225" t="s">
        <v>13757</v>
      </c>
    </row>
    <row r="13226" spans="1:1">
      <c r="A13226" t="s">
        <v>13758</v>
      </c>
    </row>
    <row r="13227" spans="1:1">
      <c r="A13227" t="s">
        <v>13759</v>
      </c>
    </row>
    <row r="13228" spans="1:1">
      <c r="A13228" t="s">
        <v>13760</v>
      </c>
    </row>
    <row r="13229" spans="1:1">
      <c r="A13229" t="s">
        <v>13761</v>
      </c>
    </row>
    <row r="13230" spans="1:1">
      <c r="A13230" t="s">
        <v>13762</v>
      </c>
    </row>
    <row r="13231" spans="1:1">
      <c r="A13231" t="s">
        <v>13763</v>
      </c>
    </row>
    <row r="13232" spans="1:1">
      <c r="A13232" t="s">
        <v>13764</v>
      </c>
    </row>
    <row r="13233" spans="1:1">
      <c r="A13233" t="s">
        <v>13765</v>
      </c>
    </row>
    <row r="13234" spans="1:1">
      <c r="A13234" t="s">
        <v>13766</v>
      </c>
    </row>
    <row r="13235" spans="1:1">
      <c r="A13235" t="s">
        <v>13767</v>
      </c>
    </row>
    <row r="13236" spans="1:1">
      <c r="A13236" t="s">
        <v>13768</v>
      </c>
    </row>
    <row r="13237" spans="1:1">
      <c r="A13237" t="s">
        <v>13769</v>
      </c>
    </row>
    <row r="13238" spans="1:1">
      <c r="A13238" t="s">
        <v>13770</v>
      </c>
    </row>
    <row r="13239" spans="1:1">
      <c r="A13239" t="s">
        <v>13771</v>
      </c>
    </row>
    <row r="13240" spans="1:1">
      <c r="A13240" t="s">
        <v>13772</v>
      </c>
    </row>
    <row r="13241" spans="1:1">
      <c r="A13241" t="s">
        <v>13773</v>
      </c>
    </row>
    <row r="13242" spans="1:1">
      <c r="A13242" t="s">
        <v>13774</v>
      </c>
    </row>
    <row r="13243" spans="1:1">
      <c r="A13243" t="s">
        <v>13775</v>
      </c>
    </row>
    <row r="13244" spans="1:1">
      <c r="A13244" t="s">
        <v>13776</v>
      </c>
    </row>
    <row r="13245" spans="1:1">
      <c r="A13245" t="s">
        <v>13777</v>
      </c>
    </row>
    <row r="13246" spans="1:1">
      <c r="A13246" t="s">
        <v>13778</v>
      </c>
    </row>
    <row r="13247" spans="1:1">
      <c r="A13247" t="s">
        <v>13779</v>
      </c>
    </row>
    <row r="13248" spans="1:1">
      <c r="A13248" t="s">
        <v>13780</v>
      </c>
    </row>
    <row r="13249" spans="1:1">
      <c r="A13249" t="s">
        <v>13781</v>
      </c>
    </row>
    <row r="13250" spans="1:1">
      <c r="A13250" t="s">
        <v>13782</v>
      </c>
    </row>
    <row r="13251" spans="1:1">
      <c r="A13251" t="s">
        <v>13783</v>
      </c>
    </row>
    <row r="13252" spans="1:1">
      <c r="A13252" t="s">
        <v>13784</v>
      </c>
    </row>
    <row r="13253" spans="1:1">
      <c r="A13253" t="s">
        <v>13785</v>
      </c>
    </row>
    <row r="13254" spans="1:1">
      <c r="A13254" t="s">
        <v>13786</v>
      </c>
    </row>
    <row r="13255" spans="1:1">
      <c r="A13255" t="s">
        <v>13787</v>
      </c>
    </row>
    <row r="13256" spans="1:1">
      <c r="A13256" t="s">
        <v>13788</v>
      </c>
    </row>
    <row r="13257" spans="1:1">
      <c r="A13257" t="s">
        <v>13789</v>
      </c>
    </row>
    <row r="13258" spans="1:1">
      <c r="A13258" t="s">
        <v>13790</v>
      </c>
    </row>
    <row r="13259" spans="1:1">
      <c r="A13259" t="s">
        <v>13791</v>
      </c>
    </row>
    <row r="13260" spans="1:1">
      <c r="A13260" t="s">
        <v>13792</v>
      </c>
    </row>
    <row r="13261" spans="1:1">
      <c r="A13261" t="s">
        <v>13793</v>
      </c>
    </row>
    <row r="13262" spans="1:1">
      <c r="A13262" t="s">
        <v>13794</v>
      </c>
    </row>
    <row r="13263" spans="1:1">
      <c r="A13263" t="s">
        <v>13795</v>
      </c>
    </row>
    <row r="13264" spans="1:1">
      <c r="A13264" t="s">
        <v>13796</v>
      </c>
    </row>
    <row r="13265" spans="1:1">
      <c r="A13265" t="s">
        <v>13797</v>
      </c>
    </row>
    <row r="13266" spans="1:1">
      <c r="A13266" t="s">
        <v>13798</v>
      </c>
    </row>
    <row r="13267" spans="1:1">
      <c r="A13267" t="s">
        <v>13799</v>
      </c>
    </row>
    <row r="13268" spans="1:1">
      <c r="A13268" t="s">
        <v>13800</v>
      </c>
    </row>
    <row r="13269" spans="1:1">
      <c r="A13269" t="s">
        <v>13801</v>
      </c>
    </row>
    <row r="13270" spans="1:1">
      <c r="A13270" t="s">
        <v>13802</v>
      </c>
    </row>
    <row r="13271" spans="1:1">
      <c r="A13271" t="s">
        <v>13803</v>
      </c>
    </row>
    <row r="13272" spans="1:1">
      <c r="A13272" t="s">
        <v>13804</v>
      </c>
    </row>
    <row r="13273" spans="1:1">
      <c r="A13273" t="s">
        <v>13805</v>
      </c>
    </row>
    <row r="13274" spans="1:1">
      <c r="A13274" t="s">
        <v>13806</v>
      </c>
    </row>
    <row r="13275" spans="1:1">
      <c r="A13275" t="s">
        <v>13807</v>
      </c>
    </row>
    <row r="13276" spans="1:1">
      <c r="A13276" t="s">
        <v>13808</v>
      </c>
    </row>
    <row r="13277" spans="1:1">
      <c r="A13277" t="s">
        <v>13809</v>
      </c>
    </row>
    <row r="13278" spans="1:1">
      <c r="A13278" t="s">
        <v>13810</v>
      </c>
    </row>
    <row r="13279" spans="1:1">
      <c r="A13279" t="s">
        <v>13811</v>
      </c>
    </row>
    <row r="13280" spans="1:1">
      <c r="A13280" t="s">
        <v>13812</v>
      </c>
    </row>
    <row r="13281" spans="1:1">
      <c r="A13281" t="s">
        <v>13813</v>
      </c>
    </row>
    <row r="13282" spans="1:1">
      <c r="A13282" t="s">
        <v>13814</v>
      </c>
    </row>
    <row r="13283" spans="1:1">
      <c r="A13283" t="s">
        <v>13815</v>
      </c>
    </row>
    <row r="13284" spans="1:1">
      <c r="A13284" t="s">
        <v>13816</v>
      </c>
    </row>
    <row r="13285" spans="1:1">
      <c r="A13285" t="s">
        <v>13817</v>
      </c>
    </row>
    <row r="13286" spans="1:1">
      <c r="A13286" t="s">
        <v>13818</v>
      </c>
    </row>
    <row r="13287" spans="1:1">
      <c r="A13287" t="s">
        <v>13819</v>
      </c>
    </row>
    <row r="13288" spans="1:1">
      <c r="A13288" t="s">
        <v>13820</v>
      </c>
    </row>
    <row r="13289" spans="1:1">
      <c r="A13289" t="s">
        <v>13821</v>
      </c>
    </row>
    <row r="13290" spans="1:1">
      <c r="A13290" t="s">
        <v>13822</v>
      </c>
    </row>
    <row r="13291" spans="1:1">
      <c r="A13291" t="s">
        <v>13823</v>
      </c>
    </row>
    <row r="13292" spans="1:1">
      <c r="A13292" t="s">
        <v>13824</v>
      </c>
    </row>
    <row r="13293" spans="1:1">
      <c r="A13293" t="s">
        <v>13825</v>
      </c>
    </row>
    <row r="13294" spans="1:1">
      <c r="A13294" t="s">
        <v>13826</v>
      </c>
    </row>
    <row r="13295" spans="1:1">
      <c r="A13295" t="s">
        <v>13827</v>
      </c>
    </row>
    <row r="13296" spans="1:1">
      <c r="A13296" t="s">
        <v>13828</v>
      </c>
    </row>
    <row r="13297" spans="1:1">
      <c r="A13297" t="s">
        <v>13829</v>
      </c>
    </row>
    <row r="13298" spans="1:1">
      <c r="A13298" t="s">
        <v>13830</v>
      </c>
    </row>
    <row r="13299" spans="1:1">
      <c r="A13299" t="s">
        <v>13831</v>
      </c>
    </row>
    <row r="13300" spans="1:1">
      <c r="A13300" t="s">
        <v>13832</v>
      </c>
    </row>
    <row r="13301" spans="1:1">
      <c r="A13301" t="s">
        <v>13833</v>
      </c>
    </row>
    <row r="13302" spans="1:1">
      <c r="A13302" t="s">
        <v>13834</v>
      </c>
    </row>
    <row r="13303" spans="1:1">
      <c r="A13303" t="s">
        <v>13835</v>
      </c>
    </row>
    <row r="13304" spans="1:1">
      <c r="A13304" t="s">
        <v>13836</v>
      </c>
    </row>
    <row r="13305" spans="1:1">
      <c r="A13305" t="s">
        <v>13837</v>
      </c>
    </row>
    <row r="13306" spans="1:1">
      <c r="A13306" t="s">
        <v>13838</v>
      </c>
    </row>
    <row r="13307" spans="1:1">
      <c r="A13307" t="s">
        <v>13839</v>
      </c>
    </row>
    <row r="13308" spans="1:1">
      <c r="A13308" t="s">
        <v>13840</v>
      </c>
    </row>
    <row r="13309" spans="1:1">
      <c r="A13309" t="s">
        <v>13841</v>
      </c>
    </row>
    <row r="13310" spans="1:1">
      <c r="A13310" t="s">
        <v>13842</v>
      </c>
    </row>
    <row r="13311" spans="1:1">
      <c r="A13311" t="s">
        <v>13843</v>
      </c>
    </row>
    <row r="13312" spans="1:1">
      <c r="A13312" t="s">
        <v>13844</v>
      </c>
    </row>
    <row r="13313" spans="1:1">
      <c r="A13313" t="s">
        <v>13845</v>
      </c>
    </row>
    <row r="13314" spans="1:1">
      <c r="A13314" t="s">
        <v>13846</v>
      </c>
    </row>
    <row r="13315" spans="1:1">
      <c r="A13315" t="s">
        <v>13847</v>
      </c>
    </row>
    <row r="13316" spans="1:1">
      <c r="A13316" t="s">
        <v>13848</v>
      </c>
    </row>
    <row r="13317" spans="1:1">
      <c r="A13317" t="s">
        <v>13849</v>
      </c>
    </row>
    <row r="13318" spans="1:1">
      <c r="A13318" t="s">
        <v>13850</v>
      </c>
    </row>
    <row r="13319" spans="1:1">
      <c r="A13319" t="s">
        <v>13851</v>
      </c>
    </row>
    <row r="13320" spans="1:1">
      <c r="A13320" t="s">
        <v>13852</v>
      </c>
    </row>
    <row r="13321" spans="1:1">
      <c r="A13321" t="s">
        <v>13853</v>
      </c>
    </row>
    <row r="13322" spans="1:1">
      <c r="A13322" t="s">
        <v>13854</v>
      </c>
    </row>
    <row r="13323" spans="1:1">
      <c r="A13323" t="s">
        <v>13855</v>
      </c>
    </row>
    <row r="13324" spans="1:1">
      <c r="A13324" t="s">
        <v>13856</v>
      </c>
    </row>
    <row r="13325" spans="1:1">
      <c r="A13325" t="s">
        <v>13857</v>
      </c>
    </row>
    <row r="13326" spans="1:1">
      <c r="A13326" t="s">
        <v>13858</v>
      </c>
    </row>
    <row r="13327" spans="1:1">
      <c r="A13327" t="s">
        <v>13859</v>
      </c>
    </row>
    <row r="13328" spans="1:1">
      <c r="A13328" t="s">
        <v>13860</v>
      </c>
    </row>
    <row r="13329" spans="1:1">
      <c r="A13329" t="s">
        <v>13861</v>
      </c>
    </row>
    <row r="13330" spans="1:1">
      <c r="A13330" t="s">
        <v>13862</v>
      </c>
    </row>
    <row r="13331" spans="1:1">
      <c r="A13331" t="s">
        <v>13863</v>
      </c>
    </row>
    <row r="13332" spans="1:1">
      <c r="A13332" t="s">
        <v>13864</v>
      </c>
    </row>
    <row r="13333" spans="1:1">
      <c r="A13333" t="s">
        <v>13865</v>
      </c>
    </row>
    <row r="13334" spans="1:1">
      <c r="A13334" t="s">
        <v>13866</v>
      </c>
    </row>
    <row r="13335" spans="1:1">
      <c r="A13335" t="s">
        <v>13867</v>
      </c>
    </row>
    <row r="13336" spans="1:1">
      <c r="A13336" t="s">
        <v>13868</v>
      </c>
    </row>
    <row r="13337" spans="1:1">
      <c r="A13337" t="s">
        <v>13869</v>
      </c>
    </row>
    <row r="13338" spans="1:1">
      <c r="A13338" t="s">
        <v>13870</v>
      </c>
    </row>
    <row r="13339" spans="1:1">
      <c r="A13339" t="s">
        <v>13871</v>
      </c>
    </row>
    <row r="13340" spans="1:1">
      <c r="A13340" t="s">
        <v>13872</v>
      </c>
    </row>
    <row r="13341" spans="1:1">
      <c r="A13341" t="s">
        <v>13873</v>
      </c>
    </row>
    <row r="13342" spans="1:1">
      <c r="A13342" t="s">
        <v>13874</v>
      </c>
    </row>
    <row r="13343" spans="1:1">
      <c r="A13343" t="s">
        <v>13875</v>
      </c>
    </row>
    <row r="13344" spans="1:1">
      <c r="A13344" t="s">
        <v>13876</v>
      </c>
    </row>
    <row r="13345" spans="1:1">
      <c r="A13345" t="s">
        <v>13877</v>
      </c>
    </row>
    <row r="13346" spans="1:1">
      <c r="A13346" t="s">
        <v>13878</v>
      </c>
    </row>
    <row r="13347" spans="1:1">
      <c r="A13347" t="s">
        <v>13879</v>
      </c>
    </row>
    <row r="13348" spans="1:1">
      <c r="A13348" t="s">
        <v>13880</v>
      </c>
    </row>
    <row r="13349" spans="1:1">
      <c r="A13349" t="s">
        <v>13881</v>
      </c>
    </row>
    <row r="13350" spans="1:1">
      <c r="A13350" t="s">
        <v>13882</v>
      </c>
    </row>
    <row r="13351" spans="1:1">
      <c r="A13351" t="s">
        <v>13883</v>
      </c>
    </row>
    <row r="13352" spans="1:1">
      <c r="A13352" t="s">
        <v>13884</v>
      </c>
    </row>
    <row r="13353" spans="1:1">
      <c r="A13353" t="s">
        <v>13885</v>
      </c>
    </row>
    <row r="13354" spans="1:1">
      <c r="A13354" t="s">
        <v>13886</v>
      </c>
    </row>
    <row r="13355" spans="1:1">
      <c r="A13355" t="s">
        <v>13887</v>
      </c>
    </row>
    <row r="13356" spans="1:1">
      <c r="A13356" t="s">
        <v>13888</v>
      </c>
    </row>
    <row r="13357" spans="1:1">
      <c r="A13357" t="s">
        <v>13889</v>
      </c>
    </row>
    <row r="13358" spans="1:1">
      <c r="A13358" t="s">
        <v>13890</v>
      </c>
    </row>
    <row r="13359" spans="1:1">
      <c r="A13359" t="s">
        <v>13891</v>
      </c>
    </row>
    <row r="13360" spans="1:1">
      <c r="A13360" t="s">
        <v>13892</v>
      </c>
    </row>
    <row r="13361" spans="1:1">
      <c r="A13361" t="s">
        <v>13893</v>
      </c>
    </row>
    <row r="13362" spans="1:1">
      <c r="A13362" t="s">
        <v>13894</v>
      </c>
    </row>
    <row r="13363" spans="1:1">
      <c r="A13363" t="s">
        <v>13895</v>
      </c>
    </row>
    <row r="13364" spans="1:1">
      <c r="A13364" t="s">
        <v>13896</v>
      </c>
    </row>
    <row r="13365" spans="1:1">
      <c r="A13365" t="s">
        <v>13897</v>
      </c>
    </row>
    <row r="13366" spans="1:1">
      <c r="A13366" t="s">
        <v>13898</v>
      </c>
    </row>
    <row r="13367" spans="1:1">
      <c r="A13367" t="s">
        <v>13899</v>
      </c>
    </row>
    <row r="13368" spans="1:1">
      <c r="A13368" t="s">
        <v>13900</v>
      </c>
    </row>
    <row r="13369" spans="1:1">
      <c r="A13369" t="s">
        <v>13901</v>
      </c>
    </row>
    <row r="13370" spans="1:1">
      <c r="A13370" t="s">
        <v>13902</v>
      </c>
    </row>
    <row r="13371" spans="1:1">
      <c r="A13371" t="s">
        <v>13903</v>
      </c>
    </row>
    <row r="13372" spans="1:1">
      <c r="A13372" t="s">
        <v>13904</v>
      </c>
    </row>
    <row r="13373" spans="1:1">
      <c r="A13373" t="s">
        <v>13905</v>
      </c>
    </row>
    <row r="13374" spans="1:1">
      <c r="A13374" t="s">
        <v>13906</v>
      </c>
    </row>
    <row r="13375" spans="1:1">
      <c r="A13375" t="s">
        <v>13907</v>
      </c>
    </row>
    <row r="13376" spans="1:1">
      <c r="A13376" t="s">
        <v>13908</v>
      </c>
    </row>
    <row r="13377" spans="1:1">
      <c r="A13377" t="s">
        <v>13909</v>
      </c>
    </row>
    <row r="13378" spans="1:1">
      <c r="A13378" t="s">
        <v>13910</v>
      </c>
    </row>
    <row r="13379" spans="1:1">
      <c r="A13379" t="s">
        <v>13911</v>
      </c>
    </row>
    <row r="13380" spans="1:1">
      <c r="A13380" t="s">
        <v>13912</v>
      </c>
    </row>
    <row r="13381" spans="1:1">
      <c r="A13381" t="s">
        <v>13913</v>
      </c>
    </row>
    <row r="13382" spans="1:1">
      <c r="A13382" t="s">
        <v>13914</v>
      </c>
    </row>
    <row r="13383" spans="1:1">
      <c r="A13383" t="s">
        <v>13915</v>
      </c>
    </row>
    <row r="13384" spans="1:1">
      <c r="A13384" t="s">
        <v>13916</v>
      </c>
    </row>
    <row r="13385" spans="1:1">
      <c r="A13385" t="s">
        <v>13917</v>
      </c>
    </row>
    <row r="13386" spans="1:1">
      <c r="A13386" t="s">
        <v>13918</v>
      </c>
    </row>
    <row r="13387" spans="1:1">
      <c r="A13387" t="s">
        <v>13919</v>
      </c>
    </row>
    <row r="13388" spans="1:1">
      <c r="A13388" t="s">
        <v>13920</v>
      </c>
    </row>
    <row r="13389" spans="1:1">
      <c r="A13389" t="s">
        <v>13921</v>
      </c>
    </row>
    <row r="13390" spans="1:1">
      <c r="A13390" t="s">
        <v>13922</v>
      </c>
    </row>
    <row r="13391" spans="1:1">
      <c r="A13391" t="s">
        <v>13923</v>
      </c>
    </row>
    <row r="13392" spans="1:1">
      <c r="A13392" t="s">
        <v>13924</v>
      </c>
    </row>
    <row r="13393" spans="1:1">
      <c r="A13393" t="s">
        <v>13925</v>
      </c>
    </row>
    <row r="13394" spans="1:1">
      <c r="A13394" t="s">
        <v>13926</v>
      </c>
    </row>
    <row r="13395" spans="1:1">
      <c r="A13395" t="s">
        <v>13927</v>
      </c>
    </row>
    <row r="13396" spans="1:1">
      <c r="A13396" t="s">
        <v>13928</v>
      </c>
    </row>
    <row r="13397" spans="1:1">
      <c r="A13397" t="s">
        <v>13929</v>
      </c>
    </row>
    <row r="13398" spans="1:1">
      <c r="A13398" t="s">
        <v>13930</v>
      </c>
    </row>
    <row r="13399" spans="1:1">
      <c r="A13399" t="s">
        <v>13931</v>
      </c>
    </row>
    <row r="13400" spans="1:1">
      <c r="A13400" t="s">
        <v>13932</v>
      </c>
    </row>
    <row r="13401" spans="1:1">
      <c r="A13401" t="s">
        <v>13933</v>
      </c>
    </row>
    <row r="13402" spans="1:1">
      <c r="A13402" t="s">
        <v>13934</v>
      </c>
    </row>
    <row r="13403" spans="1:1">
      <c r="A13403" t="s">
        <v>13935</v>
      </c>
    </row>
    <row r="13404" spans="1:1">
      <c r="A13404" t="s">
        <v>13936</v>
      </c>
    </row>
    <row r="13405" spans="1:1">
      <c r="A13405" t="s">
        <v>13937</v>
      </c>
    </row>
    <row r="13406" spans="1:1">
      <c r="A13406" t="s">
        <v>13938</v>
      </c>
    </row>
    <row r="13407" spans="1:1">
      <c r="A13407" t="s">
        <v>13939</v>
      </c>
    </row>
    <row r="13408" spans="1:1">
      <c r="A13408" t="s">
        <v>13940</v>
      </c>
    </row>
    <row r="13409" spans="1:1">
      <c r="A13409" t="s">
        <v>13941</v>
      </c>
    </row>
    <row r="13410" spans="1:1">
      <c r="A13410" t="s">
        <v>13942</v>
      </c>
    </row>
    <row r="13411" spans="1:1">
      <c r="A13411" t="s">
        <v>13943</v>
      </c>
    </row>
    <row r="13412" spans="1:1">
      <c r="A13412" t="s">
        <v>13944</v>
      </c>
    </row>
    <row r="13413" spans="1:1">
      <c r="A13413" t="s">
        <v>13945</v>
      </c>
    </row>
    <row r="13414" spans="1:1">
      <c r="A13414" t="s">
        <v>13946</v>
      </c>
    </row>
    <row r="13415" spans="1:1">
      <c r="A13415" t="s">
        <v>13947</v>
      </c>
    </row>
    <row r="13416" spans="1:1">
      <c r="A13416" t="s">
        <v>13948</v>
      </c>
    </row>
    <row r="13417" spans="1:1">
      <c r="A13417" t="s">
        <v>13949</v>
      </c>
    </row>
    <row r="13418" spans="1:1">
      <c r="A13418" t="s">
        <v>13950</v>
      </c>
    </row>
    <row r="13419" spans="1:1">
      <c r="A13419" t="s">
        <v>13951</v>
      </c>
    </row>
    <row r="13420" spans="1:1">
      <c r="A13420" t="s">
        <v>13952</v>
      </c>
    </row>
    <row r="13421" spans="1:1">
      <c r="A13421" t="s">
        <v>13953</v>
      </c>
    </row>
    <row r="13422" spans="1:1">
      <c r="A13422" t="s">
        <v>13954</v>
      </c>
    </row>
    <row r="13423" spans="1:1">
      <c r="A13423" t="s">
        <v>13955</v>
      </c>
    </row>
    <row r="13424" spans="1:1">
      <c r="A13424" t="s">
        <v>13956</v>
      </c>
    </row>
    <row r="13425" spans="1:1">
      <c r="A13425" t="s">
        <v>13957</v>
      </c>
    </row>
    <row r="13426" spans="1:1">
      <c r="A13426" t="s">
        <v>13958</v>
      </c>
    </row>
    <row r="13427" spans="1:1">
      <c r="A13427" t="s">
        <v>13959</v>
      </c>
    </row>
    <row r="13428" spans="1:1">
      <c r="A13428" t="s">
        <v>13960</v>
      </c>
    </row>
    <row r="13429" spans="1:1">
      <c r="A13429" t="s">
        <v>13961</v>
      </c>
    </row>
    <row r="13430" spans="1:1">
      <c r="A13430" t="s">
        <v>13962</v>
      </c>
    </row>
    <row r="13431" spans="1:1">
      <c r="A13431" t="s">
        <v>13963</v>
      </c>
    </row>
    <row r="13432" spans="1:1">
      <c r="A13432" t="s">
        <v>13964</v>
      </c>
    </row>
    <row r="13433" spans="1:1">
      <c r="A13433" t="s">
        <v>13965</v>
      </c>
    </row>
    <row r="13434" spans="1:1">
      <c r="A13434" t="s">
        <v>13966</v>
      </c>
    </row>
    <row r="13435" spans="1:1">
      <c r="A13435" t="s">
        <v>13967</v>
      </c>
    </row>
    <row r="13436" spans="1:1">
      <c r="A13436" t="s">
        <v>13968</v>
      </c>
    </row>
    <row r="13437" spans="1:1">
      <c r="A13437" t="s">
        <v>13969</v>
      </c>
    </row>
    <row r="13438" spans="1:1">
      <c r="A13438" t="s">
        <v>13970</v>
      </c>
    </row>
    <row r="13439" spans="1:1">
      <c r="A13439" t="s">
        <v>13971</v>
      </c>
    </row>
    <row r="13440" spans="1:1">
      <c r="A13440" t="s">
        <v>13972</v>
      </c>
    </row>
    <row r="13441" spans="1:1">
      <c r="A13441" t="s">
        <v>13973</v>
      </c>
    </row>
    <row r="13442" spans="1:1">
      <c r="A13442" t="s">
        <v>13974</v>
      </c>
    </row>
    <row r="13443" spans="1:1">
      <c r="A13443" t="s">
        <v>13975</v>
      </c>
    </row>
    <row r="13444" spans="1:1">
      <c r="A13444" t="s">
        <v>13976</v>
      </c>
    </row>
    <row r="13445" spans="1:1">
      <c r="A13445" t="s">
        <v>13977</v>
      </c>
    </row>
    <row r="13446" spans="1:1">
      <c r="A13446" t="s">
        <v>13978</v>
      </c>
    </row>
    <row r="13447" spans="1:1">
      <c r="A13447" t="s">
        <v>13979</v>
      </c>
    </row>
    <row r="13448" spans="1:1">
      <c r="A13448" t="s">
        <v>13980</v>
      </c>
    </row>
    <row r="13449" spans="1:1">
      <c r="A13449" t="s">
        <v>13981</v>
      </c>
    </row>
    <row r="13450" spans="1:1">
      <c r="A13450" t="s">
        <v>13982</v>
      </c>
    </row>
    <row r="13451" spans="1:1">
      <c r="A13451" t="s">
        <v>13983</v>
      </c>
    </row>
    <row r="13452" spans="1:1">
      <c r="A13452" t="s">
        <v>13984</v>
      </c>
    </row>
    <row r="13453" spans="1:1">
      <c r="A13453" t="s">
        <v>13985</v>
      </c>
    </row>
    <row r="13454" spans="1:1">
      <c r="A13454" t="s">
        <v>13986</v>
      </c>
    </row>
    <row r="13455" spans="1:1">
      <c r="A13455" t="s">
        <v>13987</v>
      </c>
    </row>
    <row r="13456" spans="1:1">
      <c r="A13456" t="s">
        <v>13988</v>
      </c>
    </row>
    <row r="13457" spans="1:1">
      <c r="A13457" t="s">
        <v>13989</v>
      </c>
    </row>
    <row r="13458" spans="1:1">
      <c r="A13458" t="s">
        <v>13990</v>
      </c>
    </row>
    <row r="13459" spans="1:1">
      <c r="A13459" t="s">
        <v>13991</v>
      </c>
    </row>
    <row r="13460" spans="1:1">
      <c r="A13460" t="s">
        <v>13992</v>
      </c>
    </row>
    <row r="13461" spans="1:1">
      <c r="A13461" t="s">
        <v>13993</v>
      </c>
    </row>
    <row r="13462" spans="1:1">
      <c r="A13462" t="s">
        <v>13994</v>
      </c>
    </row>
    <row r="13463" spans="1:1">
      <c r="A13463" t="s">
        <v>13995</v>
      </c>
    </row>
    <row r="13464" spans="1:1">
      <c r="A13464" t="s">
        <v>13996</v>
      </c>
    </row>
    <row r="13465" spans="1:1">
      <c r="A13465" t="s">
        <v>13997</v>
      </c>
    </row>
    <row r="13466" spans="1:1">
      <c r="A13466" t="s">
        <v>13998</v>
      </c>
    </row>
    <row r="13467" spans="1:1">
      <c r="A13467" t="s">
        <v>13999</v>
      </c>
    </row>
    <row r="13468" spans="1:1">
      <c r="A13468" t="s">
        <v>14000</v>
      </c>
    </row>
    <row r="13469" spans="1:1">
      <c r="A13469" t="s">
        <v>14001</v>
      </c>
    </row>
    <row r="13470" spans="1:1">
      <c r="A13470" t="s">
        <v>14002</v>
      </c>
    </row>
    <row r="13471" spans="1:1">
      <c r="A13471" t="s">
        <v>14003</v>
      </c>
    </row>
    <row r="13472" spans="1:1">
      <c r="A13472" t="s">
        <v>14004</v>
      </c>
    </row>
    <row r="13473" spans="1:1">
      <c r="A13473" t="s">
        <v>14005</v>
      </c>
    </row>
    <row r="13474" spans="1:1">
      <c r="A13474" t="s">
        <v>14006</v>
      </c>
    </row>
    <row r="13475" spans="1:1">
      <c r="A13475" t="s">
        <v>14007</v>
      </c>
    </row>
    <row r="13476" spans="1:1">
      <c r="A13476" t="s">
        <v>14008</v>
      </c>
    </row>
    <row r="13477" spans="1:1">
      <c r="A13477" t="s">
        <v>14009</v>
      </c>
    </row>
    <row r="13478" spans="1:1">
      <c r="A13478" t="s">
        <v>14010</v>
      </c>
    </row>
    <row r="13479" spans="1:1">
      <c r="A13479" t="s">
        <v>14011</v>
      </c>
    </row>
    <row r="13480" spans="1:1">
      <c r="A13480" t="s">
        <v>14012</v>
      </c>
    </row>
    <row r="13481" spans="1:1">
      <c r="A13481" t="s">
        <v>14013</v>
      </c>
    </row>
    <row r="13482" spans="1:1">
      <c r="A13482" t="s">
        <v>14014</v>
      </c>
    </row>
    <row r="13483" spans="1:1">
      <c r="A13483" t="s">
        <v>14015</v>
      </c>
    </row>
    <row r="13484" spans="1:1">
      <c r="A13484" t="s">
        <v>14016</v>
      </c>
    </row>
    <row r="13485" spans="1:1">
      <c r="A13485" t="s">
        <v>14017</v>
      </c>
    </row>
    <row r="13486" spans="1:1">
      <c r="A13486" t="s">
        <v>14018</v>
      </c>
    </row>
    <row r="13487" spans="1:1">
      <c r="A13487" t="s">
        <v>14019</v>
      </c>
    </row>
    <row r="13488" spans="1:1">
      <c r="A13488" t="s">
        <v>14020</v>
      </c>
    </row>
    <row r="13489" spans="1:1">
      <c r="A13489" t="s">
        <v>14021</v>
      </c>
    </row>
    <row r="13490" spans="1:1">
      <c r="A13490" t="s">
        <v>14022</v>
      </c>
    </row>
    <row r="13491" spans="1:1">
      <c r="A13491" t="s">
        <v>14023</v>
      </c>
    </row>
    <row r="13492" spans="1:1">
      <c r="A13492" t="s">
        <v>14024</v>
      </c>
    </row>
    <row r="13493" spans="1:1">
      <c r="A13493" t="s">
        <v>14025</v>
      </c>
    </row>
    <row r="13494" spans="1:1">
      <c r="A13494" t="s">
        <v>14026</v>
      </c>
    </row>
    <row r="13495" spans="1:1">
      <c r="A13495" t="s">
        <v>14027</v>
      </c>
    </row>
    <row r="13496" spans="1:1">
      <c r="A13496" t="s">
        <v>14028</v>
      </c>
    </row>
    <row r="13497" spans="1:1">
      <c r="A13497" t="s">
        <v>14029</v>
      </c>
    </row>
    <row r="13498" spans="1:1">
      <c r="A13498" t="s">
        <v>14030</v>
      </c>
    </row>
    <row r="13499" spans="1:1">
      <c r="A13499" t="s">
        <v>14031</v>
      </c>
    </row>
    <row r="13500" spans="1:1">
      <c r="A13500" t="s">
        <v>14032</v>
      </c>
    </row>
    <row r="13501" spans="1:1">
      <c r="A13501" t="s">
        <v>14033</v>
      </c>
    </row>
    <row r="13502" spans="1:1">
      <c r="A13502" t="s">
        <v>14034</v>
      </c>
    </row>
    <row r="13503" spans="1:1">
      <c r="A13503" t="s">
        <v>14035</v>
      </c>
    </row>
    <row r="13504" spans="1:1">
      <c r="A13504" t="s">
        <v>14036</v>
      </c>
    </row>
    <row r="13505" spans="1:1">
      <c r="A13505" t="s">
        <v>14037</v>
      </c>
    </row>
    <row r="13506" spans="1:1">
      <c r="A13506" t="s">
        <v>14038</v>
      </c>
    </row>
    <row r="13507" spans="1:1">
      <c r="A13507" t="s">
        <v>14039</v>
      </c>
    </row>
    <row r="13508" spans="1:1">
      <c r="A13508" t="s">
        <v>14040</v>
      </c>
    </row>
    <row r="13509" spans="1:1">
      <c r="A13509" t="s">
        <v>14041</v>
      </c>
    </row>
    <row r="13510" spans="1:1">
      <c r="A13510" t="s">
        <v>14042</v>
      </c>
    </row>
    <row r="13511" spans="1:1">
      <c r="A13511" t="s">
        <v>14043</v>
      </c>
    </row>
    <row r="13512" spans="1:1">
      <c r="A13512" t="s">
        <v>14044</v>
      </c>
    </row>
    <row r="13513" spans="1:1">
      <c r="A13513" t="s">
        <v>14045</v>
      </c>
    </row>
    <row r="13514" spans="1:1">
      <c r="A13514" t="s">
        <v>14046</v>
      </c>
    </row>
    <row r="13515" spans="1:1">
      <c r="A13515" t="s">
        <v>14047</v>
      </c>
    </row>
    <row r="13516" spans="1:1">
      <c r="A13516" t="s">
        <v>14048</v>
      </c>
    </row>
    <row r="13517" spans="1:1">
      <c r="A13517" t="s">
        <v>14049</v>
      </c>
    </row>
    <row r="13518" spans="1:1">
      <c r="A13518" t="s">
        <v>14050</v>
      </c>
    </row>
    <row r="13519" spans="1:1">
      <c r="A13519" t="s">
        <v>14051</v>
      </c>
    </row>
    <row r="13520" spans="1:1">
      <c r="A13520" t="s">
        <v>14052</v>
      </c>
    </row>
    <row r="13521" spans="1:1">
      <c r="A13521" t="s">
        <v>14053</v>
      </c>
    </row>
    <row r="13522" spans="1:1">
      <c r="A13522" t="s">
        <v>14054</v>
      </c>
    </row>
    <row r="13523" spans="1:1">
      <c r="A13523" t="s">
        <v>14055</v>
      </c>
    </row>
    <row r="13524" spans="1:1">
      <c r="A13524" t="s">
        <v>14056</v>
      </c>
    </row>
    <row r="13525" spans="1:1">
      <c r="A13525" t="s">
        <v>14057</v>
      </c>
    </row>
    <row r="13526" spans="1:1">
      <c r="A13526" t="s">
        <v>14058</v>
      </c>
    </row>
    <row r="13527" spans="1:1">
      <c r="A13527" t="s">
        <v>14059</v>
      </c>
    </row>
    <row r="13528" spans="1:1">
      <c r="A13528" t="s">
        <v>14060</v>
      </c>
    </row>
    <row r="13529" spans="1:1">
      <c r="A13529" t="s">
        <v>14061</v>
      </c>
    </row>
    <row r="13530" spans="1:1">
      <c r="A13530" t="s">
        <v>14062</v>
      </c>
    </row>
    <row r="13531" spans="1:1">
      <c r="A13531" t="s">
        <v>14063</v>
      </c>
    </row>
    <row r="13532" spans="1:1">
      <c r="A13532" t="s">
        <v>14064</v>
      </c>
    </row>
    <row r="13533" spans="1:1">
      <c r="A13533" t="s">
        <v>14065</v>
      </c>
    </row>
    <row r="13534" spans="1:1">
      <c r="A13534" t="s">
        <v>14066</v>
      </c>
    </row>
    <row r="13535" spans="1:1">
      <c r="A13535" t="s">
        <v>14067</v>
      </c>
    </row>
    <row r="13536" spans="1:1">
      <c r="A13536" t="s">
        <v>14068</v>
      </c>
    </row>
    <row r="13537" spans="1:1">
      <c r="A13537" t="s">
        <v>14069</v>
      </c>
    </row>
    <row r="13538" spans="1:1">
      <c r="A13538" t="s">
        <v>14070</v>
      </c>
    </row>
    <row r="13539" spans="1:1">
      <c r="A13539" t="s">
        <v>14071</v>
      </c>
    </row>
    <row r="13540" spans="1:1">
      <c r="A13540" t="s">
        <v>14072</v>
      </c>
    </row>
    <row r="13541" spans="1:1">
      <c r="A13541" t="s">
        <v>14073</v>
      </c>
    </row>
    <row r="13542" spans="1:1">
      <c r="A13542" t="s">
        <v>14074</v>
      </c>
    </row>
    <row r="13543" spans="1:1">
      <c r="A13543" t="s">
        <v>14075</v>
      </c>
    </row>
    <row r="13544" spans="1:1">
      <c r="A13544" t="s">
        <v>14076</v>
      </c>
    </row>
    <row r="13545" spans="1:1">
      <c r="A13545" t="s">
        <v>14077</v>
      </c>
    </row>
    <row r="13546" spans="1:1">
      <c r="A13546" t="s">
        <v>14078</v>
      </c>
    </row>
    <row r="13547" spans="1:1">
      <c r="A13547" t="s">
        <v>14079</v>
      </c>
    </row>
    <row r="13548" spans="1:1">
      <c r="A13548" t="s">
        <v>14080</v>
      </c>
    </row>
    <row r="13549" spans="1:1">
      <c r="A13549" t="s">
        <v>14081</v>
      </c>
    </row>
    <row r="13550" spans="1:1">
      <c r="A13550" t="s">
        <v>14082</v>
      </c>
    </row>
    <row r="13551" spans="1:1">
      <c r="A13551" t="s">
        <v>14083</v>
      </c>
    </row>
    <row r="13552" spans="1:1">
      <c r="A13552" t="s">
        <v>14084</v>
      </c>
    </row>
    <row r="13553" spans="1:1">
      <c r="A13553" t="s">
        <v>14085</v>
      </c>
    </row>
    <row r="13554" spans="1:1">
      <c r="A13554" t="s">
        <v>14086</v>
      </c>
    </row>
    <row r="13555" spans="1:1">
      <c r="A13555" t="s">
        <v>14087</v>
      </c>
    </row>
    <row r="13556" spans="1:1">
      <c r="A13556" t="s">
        <v>14088</v>
      </c>
    </row>
    <row r="13557" spans="1:1">
      <c r="A13557" t="s">
        <v>14089</v>
      </c>
    </row>
    <row r="13558" spans="1:1">
      <c r="A13558" t="s">
        <v>14090</v>
      </c>
    </row>
    <row r="13559" spans="1:1">
      <c r="A13559" t="s">
        <v>14091</v>
      </c>
    </row>
    <row r="13560" spans="1:1">
      <c r="A13560" t="s">
        <v>14092</v>
      </c>
    </row>
    <row r="13561" spans="1:1">
      <c r="A13561" t="s">
        <v>14093</v>
      </c>
    </row>
    <row r="13562" spans="1:1">
      <c r="A13562" t="s">
        <v>14094</v>
      </c>
    </row>
    <row r="13563" spans="1:1">
      <c r="A13563" t="s">
        <v>14095</v>
      </c>
    </row>
    <row r="13564" spans="1:1">
      <c r="A13564" t="s">
        <v>14096</v>
      </c>
    </row>
    <row r="13565" spans="1:1">
      <c r="A13565" t="s">
        <v>14097</v>
      </c>
    </row>
    <row r="13566" spans="1:1">
      <c r="A13566" t="s">
        <v>14098</v>
      </c>
    </row>
    <row r="13567" spans="1:1">
      <c r="A13567" t="s">
        <v>14099</v>
      </c>
    </row>
    <row r="13568" spans="1:1">
      <c r="A13568" t="s">
        <v>14100</v>
      </c>
    </row>
    <row r="13569" spans="1:1">
      <c r="A13569" t="s">
        <v>14101</v>
      </c>
    </row>
    <row r="13570" spans="1:1">
      <c r="A13570" t="s">
        <v>14102</v>
      </c>
    </row>
    <row r="13571" spans="1:1">
      <c r="A13571" t="s">
        <v>14103</v>
      </c>
    </row>
    <row r="13572" spans="1:1">
      <c r="A13572" t="s">
        <v>14104</v>
      </c>
    </row>
    <row r="13573" spans="1:1">
      <c r="A13573" t="s">
        <v>14105</v>
      </c>
    </row>
    <row r="13574" spans="1:1">
      <c r="A13574" t="s">
        <v>14106</v>
      </c>
    </row>
    <row r="13575" spans="1:1">
      <c r="A13575" t="s">
        <v>14107</v>
      </c>
    </row>
    <row r="13576" spans="1:1">
      <c r="A13576" t="s">
        <v>14108</v>
      </c>
    </row>
    <row r="13577" spans="1:1">
      <c r="A13577" t="s">
        <v>14109</v>
      </c>
    </row>
    <row r="13578" spans="1:1">
      <c r="A13578" t="s">
        <v>14110</v>
      </c>
    </row>
    <row r="13579" spans="1:1">
      <c r="A13579" t="s">
        <v>14111</v>
      </c>
    </row>
    <row r="13580" spans="1:1">
      <c r="A13580" t="s">
        <v>14112</v>
      </c>
    </row>
    <row r="13581" spans="1:1">
      <c r="A13581" t="s">
        <v>14113</v>
      </c>
    </row>
    <row r="13582" spans="1:1">
      <c r="A13582" t="s">
        <v>14114</v>
      </c>
    </row>
    <row r="13583" spans="1:1">
      <c r="A13583" t="s">
        <v>14115</v>
      </c>
    </row>
    <row r="13584" spans="1:1">
      <c r="A13584" t="s">
        <v>14116</v>
      </c>
    </row>
    <row r="13585" spans="1:1">
      <c r="A13585" t="s">
        <v>14117</v>
      </c>
    </row>
    <row r="13586" spans="1:1">
      <c r="A13586" t="s">
        <v>14118</v>
      </c>
    </row>
    <row r="13587" spans="1:1">
      <c r="A13587" t="s">
        <v>14119</v>
      </c>
    </row>
    <row r="13588" spans="1:1">
      <c r="A13588" t="s">
        <v>14120</v>
      </c>
    </row>
    <row r="13589" spans="1:1">
      <c r="A13589" t="s">
        <v>14121</v>
      </c>
    </row>
    <row r="13590" spans="1:1">
      <c r="A13590" t="s">
        <v>14122</v>
      </c>
    </row>
    <row r="13591" spans="1:1">
      <c r="A13591" t="s">
        <v>14123</v>
      </c>
    </row>
    <row r="13592" spans="1:1">
      <c r="A13592" t="s">
        <v>14124</v>
      </c>
    </row>
    <row r="13593" spans="1:1">
      <c r="A13593" t="s">
        <v>14125</v>
      </c>
    </row>
    <row r="13594" spans="1:1">
      <c r="A13594" t="s">
        <v>14126</v>
      </c>
    </row>
    <row r="13595" spans="1:1">
      <c r="A13595" t="s">
        <v>14127</v>
      </c>
    </row>
    <row r="13596" spans="1:1">
      <c r="A13596" t="s">
        <v>14128</v>
      </c>
    </row>
    <row r="13597" spans="1:1">
      <c r="A13597" t="s">
        <v>14129</v>
      </c>
    </row>
    <row r="13598" spans="1:1">
      <c r="A13598" t="s">
        <v>14130</v>
      </c>
    </row>
    <row r="13599" spans="1:1">
      <c r="A13599" t="s">
        <v>14131</v>
      </c>
    </row>
    <row r="13600" spans="1:1">
      <c r="A13600" t="s">
        <v>14132</v>
      </c>
    </row>
    <row r="13601" spans="1:1">
      <c r="A13601" t="s">
        <v>14133</v>
      </c>
    </row>
    <row r="13602" spans="1:1">
      <c r="A13602" t="s">
        <v>14134</v>
      </c>
    </row>
    <row r="13603" spans="1:1">
      <c r="A13603" t="s">
        <v>14135</v>
      </c>
    </row>
    <row r="13604" spans="1:1">
      <c r="A13604" t="s">
        <v>14136</v>
      </c>
    </row>
    <row r="13605" spans="1:1">
      <c r="A13605" t="s">
        <v>14137</v>
      </c>
    </row>
    <row r="13606" spans="1:1">
      <c r="A13606" t="s">
        <v>14138</v>
      </c>
    </row>
    <row r="13607" spans="1:1">
      <c r="A13607" t="s">
        <v>14139</v>
      </c>
    </row>
    <row r="13608" spans="1:1">
      <c r="A13608" t="s">
        <v>14140</v>
      </c>
    </row>
    <row r="13609" spans="1:1">
      <c r="A13609" t="s">
        <v>14141</v>
      </c>
    </row>
    <row r="13610" spans="1:1">
      <c r="A13610" t="s">
        <v>14142</v>
      </c>
    </row>
    <row r="13611" spans="1:1">
      <c r="A13611" t="s">
        <v>14143</v>
      </c>
    </row>
    <row r="13612" spans="1:1">
      <c r="A13612" t="s">
        <v>14144</v>
      </c>
    </row>
    <row r="13613" spans="1:1">
      <c r="A13613" t="s">
        <v>14145</v>
      </c>
    </row>
    <row r="13614" spans="1:1">
      <c r="A13614" t="s">
        <v>14146</v>
      </c>
    </row>
    <row r="13615" spans="1:1">
      <c r="A13615" t="s">
        <v>14147</v>
      </c>
    </row>
    <row r="13616" spans="1:1">
      <c r="A13616" t="s">
        <v>14148</v>
      </c>
    </row>
    <row r="13617" spans="1:1">
      <c r="A13617" t="s">
        <v>14149</v>
      </c>
    </row>
    <row r="13618" spans="1:1">
      <c r="A13618" t="s">
        <v>14150</v>
      </c>
    </row>
    <row r="13619" spans="1:1">
      <c r="A13619" t="s">
        <v>14151</v>
      </c>
    </row>
    <row r="13620" spans="1:1">
      <c r="A13620" t="s">
        <v>14152</v>
      </c>
    </row>
    <row r="13621" spans="1:1">
      <c r="A13621" t="s">
        <v>14153</v>
      </c>
    </row>
    <row r="13622" spans="1:1">
      <c r="A13622" t="s">
        <v>14154</v>
      </c>
    </row>
    <row r="13623" spans="1:1">
      <c r="A13623" t="s">
        <v>14155</v>
      </c>
    </row>
    <row r="13624" spans="1:1">
      <c r="A13624" t="s">
        <v>14156</v>
      </c>
    </row>
    <row r="13625" spans="1:1">
      <c r="A13625" t="s">
        <v>14157</v>
      </c>
    </row>
    <row r="13626" spans="1:1">
      <c r="A13626" t="s">
        <v>14158</v>
      </c>
    </row>
    <row r="13627" spans="1:1">
      <c r="A13627" t="s">
        <v>14159</v>
      </c>
    </row>
    <row r="13628" spans="1:1">
      <c r="A13628" t="s">
        <v>14160</v>
      </c>
    </row>
    <row r="13629" spans="1:1">
      <c r="A13629" t="s">
        <v>14161</v>
      </c>
    </row>
    <row r="13630" spans="1:1">
      <c r="A13630" t="s">
        <v>14162</v>
      </c>
    </row>
    <row r="13631" spans="1:1">
      <c r="A13631" t="s">
        <v>14163</v>
      </c>
    </row>
    <row r="13632" spans="1:1">
      <c r="A13632" t="s">
        <v>14164</v>
      </c>
    </row>
    <row r="13633" spans="1:1">
      <c r="A13633" t="s">
        <v>14165</v>
      </c>
    </row>
    <row r="13634" spans="1:1">
      <c r="A13634" t="s">
        <v>14166</v>
      </c>
    </row>
    <row r="13635" spans="1:1">
      <c r="A13635" t="s">
        <v>14167</v>
      </c>
    </row>
    <row r="13636" spans="1:1">
      <c r="A13636" t="s">
        <v>14168</v>
      </c>
    </row>
    <row r="13637" spans="1:1">
      <c r="A13637" t="s">
        <v>14169</v>
      </c>
    </row>
    <row r="13638" spans="1:1">
      <c r="A13638" t="s">
        <v>14170</v>
      </c>
    </row>
    <row r="13639" spans="1:1">
      <c r="A13639" t="s">
        <v>14171</v>
      </c>
    </row>
    <row r="13640" spans="1:1">
      <c r="A13640" t="s">
        <v>14172</v>
      </c>
    </row>
    <row r="13641" spans="1:1">
      <c r="A13641" t="s">
        <v>14173</v>
      </c>
    </row>
    <row r="13642" spans="1:1">
      <c r="A13642" t="s">
        <v>14174</v>
      </c>
    </row>
    <row r="13643" spans="1:1">
      <c r="A13643" t="s">
        <v>14175</v>
      </c>
    </row>
    <row r="13644" spans="1:1">
      <c r="A13644" t="s">
        <v>14176</v>
      </c>
    </row>
    <row r="13645" spans="1:1">
      <c r="A13645" t="s">
        <v>14177</v>
      </c>
    </row>
    <row r="13646" spans="1:1">
      <c r="A13646" t="s">
        <v>14178</v>
      </c>
    </row>
    <row r="13647" spans="1:1">
      <c r="A13647" t="s">
        <v>14179</v>
      </c>
    </row>
    <row r="13648" spans="1:1">
      <c r="A13648" t="s">
        <v>14180</v>
      </c>
    </row>
    <row r="13649" spans="1:1">
      <c r="A13649" t="s">
        <v>14181</v>
      </c>
    </row>
    <row r="13650" spans="1:1">
      <c r="A13650" t="s">
        <v>14182</v>
      </c>
    </row>
    <row r="13651" spans="1:1">
      <c r="A13651" t="s">
        <v>14183</v>
      </c>
    </row>
    <row r="13652" spans="1:1">
      <c r="A13652" t="s">
        <v>14184</v>
      </c>
    </row>
    <row r="13653" spans="1:1">
      <c r="A13653" t="s">
        <v>14185</v>
      </c>
    </row>
    <row r="13654" spans="1:1">
      <c r="A13654" t="s">
        <v>14186</v>
      </c>
    </row>
    <row r="13655" spans="1:1">
      <c r="A13655" t="s">
        <v>14187</v>
      </c>
    </row>
    <row r="13656" spans="1:1">
      <c r="A13656" t="s">
        <v>14188</v>
      </c>
    </row>
    <row r="13657" spans="1:1">
      <c r="A13657" t="s">
        <v>14189</v>
      </c>
    </row>
    <row r="13658" spans="1:1">
      <c r="A13658" t="s">
        <v>14190</v>
      </c>
    </row>
    <row r="13659" spans="1:1">
      <c r="A13659" t="s">
        <v>14191</v>
      </c>
    </row>
    <row r="13660" spans="1:1">
      <c r="A13660" t="s">
        <v>14192</v>
      </c>
    </row>
    <row r="13661" spans="1:1">
      <c r="A13661" t="s">
        <v>14193</v>
      </c>
    </row>
    <row r="13662" spans="1:1">
      <c r="A13662" t="s">
        <v>14194</v>
      </c>
    </row>
    <row r="13663" spans="1:1">
      <c r="A13663" t="s">
        <v>14195</v>
      </c>
    </row>
    <row r="13664" spans="1:1">
      <c r="A13664" t="s">
        <v>14196</v>
      </c>
    </row>
    <row r="13665" spans="1:1">
      <c r="A13665" t="s">
        <v>14197</v>
      </c>
    </row>
    <row r="13666" spans="1:1">
      <c r="A13666" t="s">
        <v>14198</v>
      </c>
    </row>
    <row r="13667" spans="1:1">
      <c r="A13667" t="s">
        <v>14199</v>
      </c>
    </row>
    <row r="13668" spans="1:1">
      <c r="A13668" t="s">
        <v>14200</v>
      </c>
    </row>
    <row r="13669" spans="1:1">
      <c r="A13669" t="s">
        <v>14201</v>
      </c>
    </row>
    <row r="13670" spans="1:1">
      <c r="A13670" t="s">
        <v>14202</v>
      </c>
    </row>
    <row r="13671" spans="1:1">
      <c r="A13671" t="s">
        <v>14203</v>
      </c>
    </row>
    <row r="13672" spans="1:1">
      <c r="A13672" t="s">
        <v>14204</v>
      </c>
    </row>
    <row r="13673" spans="1:1">
      <c r="A13673" t="s">
        <v>14205</v>
      </c>
    </row>
    <row r="13674" spans="1:1">
      <c r="A13674" t="s">
        <v>14206</v>
      </c>
    </row>
    <row r="13675" spans="1:1">
      <c r="A13675" t="s">
        <v>14207</v>
      </c>
    </row>
    <row r="13676" spans="1:1">
      <c r="A13676" t="s">
        <v>14208</v>
      </c>
    </row>
    <row r="13677" spans="1:1">
      <c r="A13677" t="s">
        <v>14209</v>
      </c>
    </row>
    <row r="13678" spans="1:1">
      <c r="A13678" t="s">
        <v>14210</v>
      </c>
    </row>
    <row r="13679" spans="1:1">
      <c r="A13679" t="s">
        <v>14211</v>
      </c>
    </row>
    <row r="13680" spans="1:1">
      <c r="A13680" t="s">
        <v>14212</v>
      </c>
    </row>
    <row r="13681" spans="1:1">
      <c r="A13681" t="s">
        <v>14213</v>
      </c>
    </row>
    <row r="13682" spans="1:1">
      <c r="A13682" t="s">
        <v>14214</v>
      </c>
    </row>
    <row r="13683" spans="1:1">
      <c r="A13683" t="s">
        <v>14215</v>
      </c>
    </row>
    <row r="13684" spans="1:1">
      <c r="A13684" t="s">
        <v>14216</v>
      </c>
    </row>
    <row r="13685" spans="1:1">
      <c r="A13685" t="s">
        <v>14217</v>
      </c>
    </row>
    <row r="13686" spans="1:1">
      <c r="A13686" t="s">
        <v>14218</v>
      </c>
    </row>
    <row r="13687" spans="1:1">
      <c r="A13687" t="s">
        <v>14219</v>
      </c>
    </row>
    <row r="13688" spans="1:1">
      <c r="A13688" t="s">
        <v>14220</v>
      </c>
    </row>
    <row r="13689" spans="1:1">
      <c r="A13689" t="s">
        <v>14221</v>
      </c>
    </row>
    <row r="13690" spans="1:1">
      <c r="A13690" t="s">
        <v>14222</v>
      </c>
    </row>
    <row r="13691" spans="1:1">
      <c r="A13691" t="s">
        <v>14223</v>
      </c>
    </row>
    <row r="13692" spans="1:1">
      <c r="A13692" t="s">
        <v>14224</v>
      </c>
    </row>
    <row r="13693" spans="1:1">
      <c r="A13693" t="s">
        <v>14225</v>
      </c>
    </row>
    <row r="13694" spans="1:1">
      <c r="A13694" t="s">
        <v>14226</v>
      </c>
    </row>
    <row r="13695" spans="1:1">
      <c r="A13695" t="s">
        <v>14227</v>
      </c>
    </row>
    <row r="13696" spans="1:1">
      <c r="A13696" t="s">
        <v>14228</v>
      </c>
    </row>
    <row r="13697" spans="1:1">
      <c r="A13697" t="s">
        <v>14229</v>
      </c>
    </row>
    <row r="13698" spans="1:1">
      <c r="A13698" t="s">
        <v>14230</v>
      </c>
    </row>
    <row r="13699" spans="1:1">
      <c r="A13699" t="s">
        <v>14231</v>
      </c>
    </row>
    <row r="13700" spans="1:1">
      <c r="A13700" t="s">
        <v>14232</v>
      </c>
    </row>
    <row r="13701" spans="1:1">
      <c r="A13701" t="s">
        <v>14233</v>
      </c>
    </row>
    <row r="13702" spans="1:1">
      <c r="A13702" t="s">
        <v>14234</v>
      </c>
    </row>
    <row r="13703" spans="1:1">
      <c r="A13703" t="s">
        <v>14235</v>
      </c>
    </row>
    <row r="13704" spans="1:1">
      <c r="A13704" t="s">
        <v>14236</v>
      </c>
    </row>
    <row r="13705" spans="1:1">
      <c r="A13705" t="s">
        <v>14237</v>
      </c>
    </row>
    <row r="13706" spans="1:1">
      <c r="A13706" t="s">
        <v>14238</v>
      </c>
    </row>
    <row r="13707" spans="1:1">
      <c r="A13707" t="s">
        <v>14239</v>
      </c>
    </row>
    <row r="13708" spans="1:1">
      <c r="A13708" t="s">
        <v>14240</v>
      </c>
    </row>
    <row r="13709" spans="1:1">
      <c r="A13709" t="s">
        <v>14241</v>
      </c>
    </row>
    <row r="13710" spans="1:1">
      <c r="A13710" t="s">
        <v>14242</v>
      </c>
    </row>
    <row r="13711" spans="1:1">
      <c r="A13711" t="s">
        <v>14243</v>
      </c>
    </row>
    <row r="13712" spans="1:1">
      <c r="A13712" t="s">
        <v>14244</v>
      </c>
    </row>
    <row r="13713" spans="1:1">
      <c r="A13713" t="s">
        <v>14245</v>
      </c>
    </row>
    <row r="13714" spans="1:1">
      <c r="A13714" t="s">
        <v>14246</v>
      </c>
    </row>
    <row r="13715" spans="1:1">
      <c r="A13715" t="s">
        <v>14247</v>
      </c>
    </row>
    <row r="13716" spans="1:1">
      <c r="A13716" t="s">
        <v>14248</v>
      </c>
    </row>
    <row r="13717" spans="1:1">
      <c r="A13717" t="s">
        <v>14249</v>
      </c>
    </row>
    <row r="13718" spans="1:1">
      <c r="A13718" t="s">
        <v>14250</v>
      </c>
    </row>
    <row r="13719" spans="1:1">
      <c r="A13719" t="s">
        <v>14251</v>
      </c>
    </row>
    <row r="13720" spans="1:1">
      <c r="A13720" t="s">
        <v>14252</v>
      </c>
    </row>
    <row r="13721" spans="1:1">
      <c r="A13721" t="s">
        <v>14253</v>
      </c>
    </row>
    <row r="13722" spans="1:1">
      <c r="A13722" t="s">
        <v>14254</v>
      </c>
    </row>
    <row r="13723" spans="1:1">
      <c r="A13723" t="s">
        <v>14255</v>
      </c>
    </row>
    <row r="13724" spans="1:1">
      <c r="A13724" t="s">
        <v>14256</v>
      </c>
    </row>
    <row r="13725" spans="1:1">
      <c r="A13725" t="s">
        <v>14257</v>
      </c>
    </row>
    <row r="13726" spans="1:1">
      <c r="A13726" t="s">
        <v>14258</v>
      </c>
    </row>
    <row r="13727" spans="1:1">
      <c r="A13727" t="s">
        <v>14259</v>
      </c>
    </row>
    <row r="13728" spans="1:1">
      <c r="A13728" t="s">
        <v>14260</v>
      </c>
    </row>
    <row r="13729" spans="1:1">
      <c r="A13729" t="s">
        <v>14261</v>
      </c>
    </row>
    <row r="13730" spans="1:1">
      <c r="A13730" t="s">
        <v>14262</v>
      </c>
    </row>
    <row r="13731" spans="1:1">
      <c r="A13731" t="s">
        <v>14263</v>
      </c>
    </row>
    <row r="13732" spans="1:1">
      <c r="A13732" t="s">
        <v>14264</v>
      </c>
    </row>
    <row r="13733" spans="1:1">
      <c r="A13733" t="s">
        <v>14265</v>
      </c>
    </row>
    <row r="13734" spans="1:1">
      <c r="A13734" t="s">
        <v>14266</v>
      </c>
    </row>
    <row r="13735" spans="1:1">
      <c r="A13735" t="s">
        <v>14267</v>
      </c>
    </row>
    <row r="13736" spans="1:1">
      <c r="A13736" t="s">
        <v>14268</v>
      </c>
    </row>
    <row r="13737" spans="1:1">
      <c r="A13737" t="s">
        <v>14269</v>
      </c>
    </row>
    <row r="13738" spans="1:1">
      <c r="A13738" t="s">
        <v>14270</v>
      </c>
    </row>
    <row r="13739" spans="1:1">
      <c r="A13739" t="s">
        <v>14271</v>
      </c>
    </row>
    <row r="13740" spans="1:1">
      <c r="A13740" t="s">
        <v>14272</v>
      </c>
    </row>
    <row r="13741" spans="1:1">
      <c r="A13741" t="s">
        <v>14273</v>
      </c>
    </row>
    <row r="13742" spans="1:1">
      <c r="A13742" t="s">
        <v>14274</v>
      </c>
    </row>
    <row r="13743" spans="1:1">
      <c r="A13743" t="s">
        <v>14275</v>
      </c>
    </row>
    <row r="13744" spans="1:1">
      <c r="A13744" t="s">
        <v>14276</v>
      </c>
    </row>
    <row r="13745" spans="1:1">
      <c r="A13745" t="s">
        <v>14277</v>
      </c>
    </row>
    <row r="13746" spans="1:1">
      <c r="A13746" t="s">
        <v>14278</v>
      </c>
    </row>
    <row r="13747" spans="1:1">
      <c r="A13747" t="s">
        <v>14279</v>
      </c>
    </row>
    <row r="13748" spans="1:1">
      <c r="A13748" t="s">
        <v>14280</v>
      </c>
    </row>
    <row r="13749" spans="1:1">
      <c r="A13749" t="s">
        <v>14281</v>
      </c>
    </row>
    <row r="13750" spans="1:1">
      <c r="A13750" t="s">
        <v>14282</v>
      </c>
    </row>
    <row r="13751" spans="1:1">
      <c r="A13751" t="s">
        <v>14283</v>
      </c>
    </row>
    <row r="13752" spans="1:1">
      <c r="A13752" t="s">
        <v>14284</v>
      </c>
    </row>
    <row r="13753" spans="1:1">
      <c r="A13753" t="s">
        <v>14285</v>
      </c>
    </row>
    <row r="13754" spans="1:1">
      <c r="A13754" t="s">
        <v>14286</v>
      </c>
    </row>
    <row r="13755" spans="1:1">
      <c r="A13755" t="s">
        <v>14287</v>
      </c>
    </row>
    <row r="13756" spans="1:1">
      <c r="A13756" t="s">
        <v>14288</v>
      </c>
    </row>
    <row r="13757" spans="1:1">
      <c r="A13757" t="s">
        <v>14289</v>
      </c>
    </row>
    <row r="13758" spans="1:1">
      <c r="A13758" t="s">
        <v>14290</v>
      </c>
    </row>
    <row r="13759" spans="1:1">
      <c r="A13759" t="s">
        <v>14291</v>
      </c>
    </row>
    <row r="13760" spans="1:1">
      <c r="A13760" t="s">
        <v>14292</v>
      </c>
    </row>
    <row r="13761" spans="1:1">
      <c r="A13761" t="s">
        <v>14293</v>
      </c>
    </row>
    <row r="13762" spans="1:1">
      <c r="A13762" t="s">
        <v>14294</v>
      </c>
    </row>
    <row r="13763" spans="1:1">
      <c r="A13763" t="s">
        <v>14295</v>
      </c>
    </row>
    <row r="13764" spans="1:1">
      <c r="A13764" t="s">
        <v>14296</v>
      </c>
    </row>
    <row r="13765" spans="1:1">
      <c r="A13765" t="s">
        <v>14297</v>
      </c>
    </row>
    <row r="13766" spans="1:1">
      <c r="A13766" t="s">
        <v>14298</v>
      </c>
    </row>
    <row r="13767" spans="1:1">
      <c r="A13767" t="s">
        <v>14299</v>
      </c>
    </row>
    <row r="13768" spans="1:1">
      <c r="A13768" t="s">
        <v>14300</v>
      </c>
    </row>
    <row r="13769" spans="1:1">
      <c r="A13769" t="s">
        <v>14301</v>
      </c>
    </row>
    <row r="13770" spans="1:1">
      <c r="A13770" t="s">
        <v>14302</v>
      </c>
    </row>
    <row r="13771" spans="1:1">
      <c r="A13771" t="s">
        <v>14303</v>
      </c>
    </row>
    <row r="13772" spans="1:1">
      <c r="A13772" t="s">
        <v>14304</v>
      </c>
    </row>
    <row r="13773" spans="1:1">
      <c r="A13773" t="s">
        <v>14305</v>
      </c>
    </row>
    <row r="13774" spans="1:1">
      <c r="A13774" t="s">
        <v>14306</v>
      </c>
    </row>
    <row r="13775" spans="1:1">
      <c r="A13775" t="s">
        <v>14307</v>
      </c>
    </row>
    <row r="13776" spans="1:1">
      <c r="A13776" t="s">
        <v>14308</v>
      </c>
    </row>
    <row r="13777" spans="1:1">
      <c r="A13777" t="s">
        <v>14309</v>
      </c>
    </row>
    <row r="13778" spans="1:1">
      <c r="A13778" t="s">
        <v>14310</v>
      </c>
    </row>
    <row r="13779" spans="1:1">
      <c r="A13779" t="s">
        <v>14311</v>
      </c>
    </row>
    <row r="13780" spans="1:1">
      <c r="A13780" t="s">
        <v>14312</v>
      </c>
    </row>
    <row r="13781" spans="1:1">
      <c r="A13781" t="s">
        <v>14313</v>
      </c>
    </row>
    <row r="13782" spans="1:1">
      <c r="A13782" t="s">
        <v>14314</v>
      </c>
    </row>
    <row r="13783" spans="1:1">
      <c r="A13783" t="s">
        <v>14315</v>
      </c>
    </row>
    <row r="13784" spans="1:1">
      <c r="A13784" t="s">
        <v>14316</v>
      </c>
    </row>
    <row r="13785" spans="1:1">
      <c r="A13785" t="s">
        <v>14317</v>
      </c>
    </row>
    <row r="13786" spans="1:1">
      <c r="A13786" t="s">
        <v>14318</v>
      </c>
    </row>
    <row r="13787" spans="1:1">
      <c r="A13787" t="s">
        <v>14319</v>
      </c>
    </row>
    <row r="13788" spans="1:1">
      <c r="A13788" t="s">
        <v>14320</v>
      </c>
    </row>
    <row r="13789" spans="1:1">
      <c r="A13789" t="s">
        <v>14321</v>
      </c>
    </row>
    <row r="13790" spans="1:1">
      <c r="A13790" t="s">
        <v>14322</v>
      </c>
    </row>
    <row r="13791" spans="1:1">
      <c r="A13791" t="s">
        <v>14323</v>
      </c>
    </row>
    <row r="13792" spans="1:1">
      <c r="A13792" t="s">
        <v>14324</v>
      </c>
    </row>
    <row r="13793" spans="1:1">
      <c r="A13793" t="s">
        <v>14325</v>
      </c>
    </row>
    <row r="13794" spans="1:1">
      <c r="A13794" t="s">
        <v>14326</v>
      </c>
    </row>
    <row r="13795" spans="1:1">
      <c r="A13795" t="s">
        <v>14327</v>
      </c>
    </row>
    <row r="13796" spans="1:1">
      <c r="A13796" t="s">
        <v>14328</v>
      </c>
    </row>
    <row r="13797" spans="1:1">
      <c r="A13797" t="s">
        <v>14329</v>
      </c>
    </row>
    <row r="13798" spans="1:1">
      <c r="A13798" t="s">
        <v>14330</v>
      </c>
    </row>
    <row r="13799" spans="1:1">
      <c r="A13799" t="s">
        <v>14331</v>
      </c>
    </row>
    <row r="13800" spans="1:1">
      <c r="A13800" t="s">
        <v>14332</v>
      </c>
    </row>
    <row r="13801" spans="1:1">
      <c r="A13801" t="s">
        <v>14333</v>
      </c>
    </row>
    <row r="13802" spans="1:1">
      <c r="A13802" t="s">
        <v>14334</v>
      </c>
    </row>
    <row r="13803" spans="1:1">
      <c r="A13803" t="s">
        <v>14335</v>
      </c>
    </row>
    <row r="13804" spans="1:1">
      <c r="A13804" t="s">
        <v>14336</v>
      </c>
    </row>
    <row r="13805" spans="1:1">
      <c r="A13805" t="s">
        <v>14337</v>
      </c>
    </row>
    <row r="13806" spans="1:1">
      <c r="A13806" t="s">
        <v>14338</v>
      </c>
    </row>
    <row r="13807" spans="1:1">
      <c r="A13807" t="s">
        <v>14339</v>
      </c>
    </row>
    <row r="13808" spans="1:1">
      <c r="A13808" t="s">
        <v>14340</v>
      </c>
    </row>
    <row r="13809" spans="1:1">
      <c r="A13809" t="s">
        <v>14341</v>
      </c>
    </row>
    <row r="13810" spans="1:1">
      <c r="A13810" t="s">
        <v>14342</v>
      </c>
    </row>
    <row r="13811" spans="1:1">
      <c r="A13811" t="s">
        <v>14343</v>
      </c>
    </row>
    <row r="13812" spans="1:1">
      <c r="A13812" t="s">
        <v>14344</v>
      </c>
    </row>
    <row r="13813" spans="1:1">
      <c r="A13813" t="s">
        <v>14345</v>
      </c>
    </row>
    <row r="13814" spans="1:1">
      <c r="A13814" t="s">
        <v>14346</v>
      </c>
    </row>
    <row r="13815" spans="1:1">
      <c r="A13815" t="s">
        <v>14347</v>
      </c>
    </row>
    <row r="13816" spans="1:1">
      <c r="A13816" t="s">
        <v>14348</v>
      </c>
    </row>
    <row r="13817" spans="1:1">
      <c r="A13817" t="s">
        <v>14349</v>
      </c>
    </row>
    <row r="13818" spans="1:1">
      <c r="A13818" t="s">
        <v>14350</v>
      </c>
    </row>
    <row r="13819" spans="1:1">
      <c r="A13819" t="s">
        <v>14351</v>
      </c>
    </row>
    <row r="13820" spans="1:1">
      <c r="A13820" t="s">
        <v>14352</v>
      </c>
    </row>
    <row r="13821" spans="1:1">
      <c r="A13821" t="s">
        <v>14353</v>
      </c>
    </row>
    <row r="13822" spans="1:1">
      <c r="A13822" t="s">
        <v>14354</v>
      </c>
    </row>
    <row r="13823" spans="1:1">
      <c r="A13823" t="s">
        <v>14355</v>
      </c>
    </row>
    <row r="13824" spans="1:1">
      <c r="A13824" t="s">
        <v>14356</v>
      </c>
    </row>
    <row r="13825" spans="1:1">
      <c r="A13825" t="s">
        <v>14357</v>
      </c>
    </row>
    <row r="13826" spans="1:1">
      <c r="A13826" t="s">
        <v>14358</v>
      </c>
    </row>
    <row r="13827" spans="1:1">
      <c r="A13827" t="s">
        <v>14359</v>
      </c>
    </row>
    <row r="13828" spans="1:1">
      <c r="A13828" t="s">
        <v>14360</v>
      </c>
    </row>
    <row r="13829" spans="1:1">
      <c r="A13829" t="s">
        <v>14361</v>
      </c>
    </row>
    <row r="13830" spans="1:1">
      <c r="A13830" t="s">
        <v>14362</v>
      </c>
    </row>
    <row r="13831" spans="1:1">
      <c r="A13831" t="s">
        <v>14363</v>
      </c>
    </row>
    <row r="13832" spans="1:1">
      <c r="A13832" t="s">
        <v>14364</v>
      </c>
    </row>
    <row r="13833" spans="1:1">
      <c r="A13833" t="s">
        <v>14365</v>
      </c>
    </row>
    <row r="13834" spans="1:1">
      <c r="A13834" t="s">
        <v>14366</v>
      </c>
    </row>
    <row r="13835" spans="1:1">
      <c r="A13835" t="s">
        <v>14367</v>
      </c>
    </row>
    <row r="13836" spans="1:1">
      <c r="A13836" t="s">
        <v>14368</v>
      </c>
    </row>
    <row r="13837" spans="1:1">
      <c r="A13837" t="s">
        <v>14369</v>
      </c>
    </row>
    <row r="13838" spans="1:1">
      <c r="A13838" t="s">
        <v>14370</v>
      </c>
    </row>
    <row r="13839" spans="1:1">
      <c r="A13839" t="s">
        <v>14371</v>
      </c>
    </row>
    <row r="13840" spans="1:1">
      <c r="A13840" t="s">
        <v>14372</v>
      </c>
    </row>
    <row r="13841" spans="1:1">
      <c r="A13841" t="s">
        <v>14373</v>
      </c>
    </row>
    <row r="13842" spans="1:1">
      <c r="A13842" t="s">
        <v>14374</v>
      </c>
    </row>
    <row r="13843" spans="1:1">
      <c r="A13843" t="s">
        <v>14375</v>
      </c>
    </row>
    <row r="13844" spans="1:1">
      <c r="A13844" t="s">
        <v>14376</v>
      </c>
    </row>
    <row r="13845" spans="1:1">
      <c r="A13845" t="s">
        <v>14377</v>
      </c>
    </row>
    <row r="13846" spans="1:1">
      <c r="A13846" t="s">
        <v>14378</v>
      </c>
    </row>
    <row r="13847" spans="1:1">
      <c r="A13847" t="s">
        <v>14379</v>
      </c>
    </row>
    <row r="13848" spans="1:1">
      <c r="A13848" t="s">
        <v>14380</v>
      </c>
    </row>
    <row r="13849" spans="1:1">
      <c r="A13849" t="s">
        <v>14381</v>
      </c>
    </row>
    <row r="13850" spans="1:1">
      <c r="A13850" t="s">
        <v>14382</v>
      </c>
    </row>
    <row r="13851" spans="1:1">
      <c r="A13851" t="s">
        <v>14383</v>
      </c>
    </row>
    <row r="13852" spans="1:1">
      <c r="A13852" t="s">
        <v>14384</v>
      </c>
    </row>
    <row r="13853" spans="1:1">
      <c r="A13853" t="s">
        <v>14385</v>
      </c>
    </row>
    <row r="13854" spans="1:1">
      <c r="A13854" t="s">
        <v>14386</v>
      </c>
    </row>
    <row r="13855" spans="1:1">
      <c r="A13855" t="s">
        <v>14387</v>
      </c>
    </row>
    <row r="13856" spans="1:1">
      <c r="A13856" t="s">
        <v>14388</v>
      </c>
    </row>
    <row r="13857" spans="1:1">
      <c r="A13857" t="s">
        <v>14389</v>
      </c>
    </row>
    <row r="13858" spans="1:1">
      <c r="A13858" t="s">
        <v>14390</v>
      </c>
    </row>
    <row r="13859" spans="1:1">
      <c r="A13859" t="s">
        <v>14391</v>
      </c>
    </row>
    <row r="13860" spans="1:1">
      <c r="A13860" t="s">
        <v>14392</v>
      </c>
    </row>
    <row r="13861" spans="1:1">
      <c r="A13861" t="s">
        <v>14393</v>
      </c>
    </row>
    <row r="13862" spans="1:1">
      <c r="A13862" t="s">
        <v>14394</v>
      </c>
    </row>
    <row r="13863" spans="1:1">
      <c r="A13863" t="s">
        <v>14395</v>
      </c>
    </row>
    <row r="13864" spans="1:1">
      <c r="A13864" t="s">
        <v>14396</v>
      </c>
    </row>
    <row r="13865" spans="1:1">
      <c r="A13865" t="s">
        <v>14397</v>
      </c>
    </row>
    <row r="13866" spans="1:1">
      <c r="A13866" t="s">
        <v>14398</v>
      </c>
    </row>
    <row r="13867" spans="1:1">
      <c r="A13867" t="s">
        <v>14399</v>
      </c>
    </row>
    <row r="13868" spans="1:1">
      <c r="A13868" t="s">
        <v>14400</v>
      </c>
    </row>
    <row r="13869" spans="1:1">
      <c r="A13869" t="s">
        <v>14401</v>
      </c>
    </row>
    <row r="13870" spans="1:1">
      <c r="A13870" t="s">
        <v>14402</v>
      </c>
    </row>
    <row r="13871" spans="1:1">
      <c r="A13871" t="s">
        <v>14403</v>
      </c>
    </row>
    <row r="13872" spans="1:1">
      <c r="A13872" t="s">
        <v>14404</v>
      </c>
    </row>
    <row r="13873" spans="1:1">
      <c r="A13873" t="s">
        <v>14405</v>
      </c>
    </row>
    <row r="13874" spans="1:1">
      <c r="A13874" t="s">
        <v>14406</v>
      </c>
    </row>
    <row r="13875" spans="1:1">
      <c r="A13875" t="s">
        <v>14407</v>
      </c>
    </row>
    <row r="13876" spans="1:1">
      <c r="A13876" t="s">
        <v>14408</v>
      </c>
    </row>
    <row r="13877" spans="1:1">
      <c r="A13877" t="s">
        <v>14409</v>
      </c>
    </row>
    <row r="13878" spans="1:1">
      <c r="A13878" t="s">
        <v>14410</v>
      </c>
    </row>
    <row r="13879" spans="1:1">
      <c r="A13879" t="s">
        <v>14411</v>
      </c>
    </row>
    <row r="13880" spans="1:1">
      <c r="A13880" t="s">
        <v>14412</v>
      </c>
    </row>
    <row r="13881" spans="1:1">
      <c r="A13881" t="s">
        <v>14413</v>
      </c>
    </row>
    <row r="13882" spans="1:1">
      <c r="A13882" t="s">
        <v>14414</v>
      </c>
    </row>
    <row r="13883" spans="1:1">
      <c r="A13883" t="s">
        <v>14415</v>
      </c>
    </row>
    <row r="13884" spans="1:1">
      <c r="A13884" t="s">
        <v>14416</v>
      </c>
    </row>
    <row r="13885" spans="1:1">
      <c r="A13885" t="s">
        <v>14417</v>
      </c>
    </row>
    <row r="13886" spans="1:1">
      <c r="A13886" t="s">
        <v>14418</v>
      </c>
    </row>
    <row r="13887" spans="1:1">
      <c r="A13887" t="s">
        <v>14419</v>
      </c>
    </row>
    <row r="13888" spans="1:1">
      <c r="A13888" t="s">
        <v>14420</v>
      </c>
    </row>
    <row r="13889" spans="1:1">
      <c r="A13889" t="s">
        <v>14421</v>
      </c>
    </row>
    <row r="13890" spans="1:1">
      <c r="A13890" t="s">
        <v>14422</v>
      </c>
    </row>
    <row r="13891" spans="1:1">
      <c r="A13891" t="s">
        <v>14423</v>
      </c>
    </row>
    <row r="13892" spans="1:1">
      <c r="A13892" t="s">
        <v>14424</v>
      </c>
    </row>
    <row r="13893" spans="1:1">
      <c r="A13893" t="s">
        <v>14425</v>
      </c>
    </row>
    <row r="13894" spans="1:1">
      <c r="A13894" t="s">
        <v>14426</v>
      </c>
    </row>
    <row r="13895" spans="1:1">
      <c r="A13895" t="s">
        <v>14427</v>
      </c>
    </row>
    <row r="13896" spans="1:1">
      <c r="A13896" t="s">
        <v>14428</v>
      </c>
    </row>
    <row r="13897" spans="1:1">
      <c r="A13897" t="s">
        <v>14429</v>
      </c>
    </row>
    <row r="13898" spans="1:1">
      <c r="A13898" t="s">
        <v>14430</v>
      </c>
    </row>
    <row r="13899" spans="1:1">
      <c r="A13899" t="s">
        <v>14431</v>
      </c>
    </row>
    <row r="13900" spans="1:1">
      <c r="A13900" t="s">
        <v>14432</v>
      </c>
    </row>
    <row r="13901" spans="1:1">
      <c r="A13901" t="s">
        <v>14433</v>
      </c>
    </row>
    <row r="13902" spans="1:1">
      <c r="A13902" t="s">
        <v>14434</v>
      </c>
    </row>
    <row r="13903" spans="1:1">
      <c r="A13903" t="s">
        <v>14435</v>
      </c>
    </row>
    <row r="13904" spans="1:1">
      <c r="A13904" t="s">
        <v>14436</v>
      </c>
    </row>
    <row r="13905" spans="1:1">
      <c r="A13905" t="s">
        <v>14437</v>
      </c>
    </row>
    <row r="13906" spans="1:1">
      <c r="A13906" t="s">
        <v>14438</v>
      </c>
    </row>
    <row r="13907" spans="1:1">
      <c r="A13907" t="s">
        <v>14439</v>
      </c>
    </row>
    <row r="13908" spans="1:1">
      <c r="A13908" t="s">
        <v>14440</v>
      </c>
    </row>
    <row r="13909" spans="1:1">
      <c r="A13909" t="s">
        <v>14441</v>
      </c>
    </row>
    <row r="13910" spans="1:1">
      <c r="A13910" t="s">
        <v>14442</v>
      </c>
    </row>
    <row r="13911" spans="1:1">
      <c r="A13911" t="s">
        <v>14443</v>
      </c>
    </row>
    <row r="13912" spans="1:1">
      <c r="A13912" t="s">
        <v>14444</v>
      </c>
    </row>
    <row r="13913" spans="1:1">
      <c r="A13913" t="s">
        <v>14445</v>
      </c>
    </row>
    <row r="13914" spans="1:1">
      <c r="A13914" t="s">
        <v>14446</v>
      </c>
    </row>
    <row r="13915" spans="1:1">
      <c r="A13915" t="s">
        <v>14447</v>
      </c>
    </row>
    <row r="13916" spans="1:1">
      <c r="A13916" t="s">
        <v>14448</v>
      </c>
    </row>
    <row r="13917" spans="1:1">
      <c r="A13917" t="s">
        <v>14449</v>
      </c>
    </row>
    <row r="13918" spans="1:1">
      <c r="A13918" t="s">
        <v>14450</v>
      </c>
    </row>
    <row r="13919" spans="1:1">
      <c r="A13919" t="s">
        <v>14451</v>
      </c>
    </row>
    <row r="13920" spans="1:1">
      <c r="A13920" t="s">
        <v>14452</v>
      </c>
    </row>
    <row r="13921" spans="1:1">
      <c r="A13921" t="s">
        <v>14453</v>
      </c>
    </row>
    <row r="13922" spans="1:1">
      <c r="A13922" t="s">
        <v>14454</v>
      </c>
    </row>
    <row r="13923" spans="1:1">
      <c r="A13923" t="s">
        <v>14455</v>
      </c>
    </row>
    <row r="13924" spans="1:1">
      <c r="A13924" t="s">
        <v>14456</v>
      </c>
    </row>
    <row r="13925" spans="1:1">
      <c r="A13925" t="s">
        <v>14457</v>
      </c>
    </row>
    <row r="13926" spans="1:1">
      <c r="A13926" t="s">
        <v>14458</v>
      </c>
    </row>
    <row r="13927" spans="1:1">
      <c r="A13927" t="s">
        <v>14459</v>
      </c>
    </row>
    <row r="13928" spans="1:1">
      <c r="A13928" t="s">
        <v>14460</v>
      </c>
    </row>
    <row r="13929" spans="1:1">
      <c r="A13929" t="s">
        <v>14461</v>
      </c>
    </row>
    <row r="13930" spans="1:1">
      <c r="A13930" t="s">
        <v>14462</v>
      </c>
    </row>
    <row r="13931" spans="1:1">
      <c r="A13931" t="s">
        <v>14463</v>
      </c>
    </row>
    <row r="13932" spans="1:1">
      <c r="A13932" t="s">
        <v>14464</v>
      </c>
    </row>
    <row r="13933" spans="1:1">
      <c r="A13933" t="s">
        <v>14465</v>
      </c>
    </row>
    <row r="13934" spans="1:1">
      <c r="A13934" t="s">
        <v>14466</v>
      </c>
    </row>
    <row r="13935" spans="1:1">
      <c r="A13935" t="s">
        <v>14467</v>
      </c>
    </row>
    <row r="13936" spans="1:1">
      <c r="A13936" t="s">
        <v>14468</v>
      </c>
    </row>
    <row r="13937" spans="1:1">
      <c r="A13937" t="s">
        <v>14469</v>
      </c>
    </row>
    <row r="13938" spans="1:1">
      <c r="A13938" t="s">
        <v>14470</v>
      </c>
    </row>
    <row r="13939" spans="1:1">
      <c r="A13939" t="s">
        <v>14471</v>
      </c>
    </row>
    <row r="13940" spans="1:1">
      <c r="A13940" t="s">
        <v>14472</v>
      </c>
    </row>
    <row r="13941" spans="1:1">
      <c r="A13941" t="s">
        <v>14473</v>
      </c>
    </row>
    <row r="13942" spans="1:1">
      <c r="A13942" t="s">
        <v>14474</v>
      </c>
    </row>
    <row r="13943" spans="1:1">
      <c r="A13943" t="s">
        <v>14475</v>
      </c>
    </row>
    <row r="13944" spans="1:1">
      <c r="A13944" t="s">
        <v>14476</v>
      </c>
    </row>
    <row r="13945" spans="1:1">
      <c r="A13945" t="s">
        <v>14477</v>
      </c>
    </row>
    <row r="13946" spans="1:1">
      <c r="A13946" t="s">
        <v>14478</v>
      </c>
    </row>
    <row r="13947" spans="1:1">
      <c r="A13947" t="s">
        <v>14479</v>
      </c>
    </row>
    <row r="13948" spans="1:1">
      <c r="A13948" t="s">
        <v>14480</v>
      </c>
    </row>
    <row r="13949" spans="1:1">
      <c r="A13949" t="s">
        <v>14481</v>
      </c>
    </row>
    <row r="13950" spans="1:1">
      <c r="A13950" t="s">
        <v>14482</v>
      </c>
    </row>
    <row r="13951" spans="1:1">
      <c r="A13951" t="s">
        <v>14483</v>
      </c>
    </row>
    <row r="13952" spans="1:1">
      <c r="A13952" t="s">
        <v>14484</v>
      </c>
    </row>
    <row r="13953" spans="1:1">
      <c r="A13953" t="s">
        <v>14485</v>
      </c>
    </row>
    <row r="13954" spans="1:1">
      <c r="A13954" t="s">
        <v>14486</v>
      </c>
    </row>
    <row r="13955" spans="1:1">
      <c r="A13955" t="s">
        <v>14487</v>
      </c>
    </row>
    <row r="13956" spans="1:1">
      <c r="A13956" t="s">
        <v>14488</v>
      </c>
    </row>
    <row r="13957" spans="1:1">
      <c r="A13957" t="s">
        <v>14489</v>
      </c>
    </row>
    <row r="13958" spans="1:1">
      <c r="A13958" t="s">
        <v>14490</v>
      </c>
    </row>
    <row r="13959" spans="1:1">
      <c r="A13959" t="s">
        <v>14491</v>
      </c>
    </row>
    <row r="13960" spans="1:1">
      <c r="A13960" t="s">
        <v>14492</v>
      </c>
    </row>
    <row r="13961" spans="1:1">
      <c r="A13961" t="s">
        <v>14493</v>
      </c>
    </row>
    <row r="13962" spans="1:1">
      <c r="A13962" t="s">
        <v>14494</v>
      </c>
    </row>
    <row r="13963" spans="1:1">
      <c r="A13963" t="s">
        <v>14495</v>
      </c>
    </row>
    <row r="13964" spans="1:1">
      <c r="A13964" t="s">
        <v>14496</v>
      </c>
    </row>
    <row r="13965" spans="1:1">
      <c r="A13965" t="s">
        <v>14497</v>
      </c>
    </row>
    <row r="13966" spans="1:1">
      <c r="A13966" t="s">
        <v>14498</v>
      </c>
    </row>
    <row r="13967" spans="1:1">
      <c r="A13967" t="s">
        <v>14499</v>
      </c>
    </row>
    <row r="13968" spans="1:1">
      <c r="A13968" t="s">
        <v>14500</v>
      </c>
    </row>
    <row r="13969" spans="1:1">
      <c r="A13969" t="s">
        <v>14501</v>
      </c>
    </row>
    <row r="13970" spans="1:1">
      <c r="A13970" t="s">
        <v>14502</v>
      </c>
    </row>
    <row r="13971" spans="1:1">
      <c r="A13971" t="s">
        <v>14503</v>
      </c>
    </row>
    <row r="13972" spans="1:1">
      <c r="A13972" t="s">
        <v>14504</v>
      </c>
    </row>
    <row r="13973" spans="1:1">
      <c r="A13973" t="s">
        <v>14505</v>
      </c>
    </row>
    <row r="13974" spans="1:1">
      <c r="A13974" t="s">
        <v>14506</v>
      </c>
    </row>
    <row r="13975" spans="1:1">
      <c r="A13975" t="s">
        <v>14507</v>
      </c>
    </row>
    <row r="13976" spans="1:1">
      <c r="A13976" t="s">
        <v>14508</v>
      </c>
    </row>
    <row r="13977" spans="1:1">
      <c r="A13977" t="s">
        <v>14509</v>
      </c>
    </row>
    <row r="13978" spans="1:1">
      <c r="A13978" t="s">
        <v>14510</v>
      </c>
    </row>
    <row r="13979" spans="1:1">
      <c r="A13979" t="s">
        <v>14511</v>
      </c>
    </row>
    <row r="13980" spans="1:1">
      <c r="A13980" t="s">
        <v>14512</v>
      </c>
    </row>
    <row r="13981" spans="1:1">
      <c r="A13981" t="s">
        <v>14513</v>
      </c>
    </row>
    <row r="13982" spans="1:1">
      <c r="A13982" t="s">
        <v>14514</v>
      </c>
    </row>
    <row r="13983" spans="1:1">
      <c r="A13983" t="s">
        <v>14515</v>
      </c>
    </row>
    <row r="13984" spans="1:1">
      <c r="A13984" t="s">
        <v>14516</v>
      </c>
    </row>
    <row r="13985" spans="1:1">
      <c r="A13985" t="s">
        <v>14517</v>
      </c>
    </row>
    <row r="13986" spans="1:1">
      <c r="A13986" t="s">
        <v>14518</v>
      </c>
    </row>
    <row r="13987" spans="1:1">
      <c r="A13987" t="s">
        <v>14519</v>
      </c>
    </row>
    <row r="13988" spans="1:1">
      <c r="A13988" t="s">
        <v>14520</v>
      </c>
    </row>
    <row r="13989" spans="1:1">
      <c r="A13989" t="s">
        <v>14521</v>
      </c>
    </row>
    <row r="13990" spans="1:1">
      <c r="A13990" t="s">
        <v>14522</v>
      </c>
    </row>
    <row r="13991" spans="1:1">
      <c r="A13991" t="s">
        <v>14523</v>
      </c>
    </row>
    <row r="13992" spans="1:1">
      <c r="A13992" t="s">
        <v>14524</v>
      </c>
    </row>
    <row r="13993" spans="1:1">
      <c r="A13993" t="s">
        <v>14525</v>
      </c>
    </row>
    <row r="13994" spans="1:1">
      <c r="A13994" t="s">
        <v>14526</v>
      </c>
    </row>
    <row r="13995" spans="1:1">
      <c r="A13995" t="s">
        <v>14527</v>
      </c>
    </row>
    <row r="13996" spans="1:1">
      <c r="A13996" t="s">
        <v>14528</v>
      </c>
    </row>
    <row r="13997" spans="1:1">
      <c r="A13997" t="s">
        <v>14529</v>
      </c>
    </row>
    <row r="13998" spans="1:1">
      <c r="A13998" t="s">
        <v>14530</v>
      </c>
    </row>
    <row r="13999" spans="1:1">
      <c r="A13999" t="s">
        <v>14531</v>
      </c>
    </row>
    <row r="14000" spans="1:1">
      <c r="A14000" t="s">
        <v>14532</v>
      </c>
    </row>
    <row r="14001" spans="1:1">
      <c r="A14001" t="s">
        <v>14533</v>
      </c>
    </row>
    <row r="14002" spans="1:1">
      <c r="A14002" t="s">
        <v>14534</v>
      </c>
    </row>
    <row r="14003" spans="1:1">
      <c r="A14003" t="s">
        <v>14535</v>
      </c>
    </row>
    <row r="14004" spans="1:1">
      <c r="A14004" t="s">
        <v>14536</v>
      </c>
    </row>
    <row r="14005" spans="1:1">
      <c r="A14005" t="s">
        <v>14537</v>
      </c>
    </row>
    <row r="14006" spans="1:1">
      <c r="A14006" t="s">
        <v>14538</v>
      </c>
    </row>
    <row r="14007" spans="1:1">
      <c r="A14007" t="s">
        <v>14539</v>
      </c>
    </row>
    <row r="14008" spans="1:1">
      <c r="A14008" t="s">
        <v>14540</v>
      </c>
    </row>
    <row r="14009" spans="1:1">
      <c r="A14009" t="s">
        <v>14541</v>
      </c>
    </row>
    <row r="14010" spans="1:1">
      <c r="A14010" t="s">
        <v>14542</v>
      </c>
    </row>
    <row r="14011" spans="1:1">
      <c r="A14011" t="s">
        <v>14543</v>
      </c>
    </row>
    <row r="14012" spans="1:1">
      <c r="A14012" t="s">
        <v>14544</v>
      </c>
    </row>
    <row r="14013" spans="1:1">
      <c r="A14013" t="s">
        <v>14545</v>
      </c>
    </row>
    <row r="14014" spans="1:1">
      <c r="A14014" t="s">
        <v>14546</v>
      </c>
    </row>
    <row r="14015" spans="1:1">
      <c r="A14015" t="s">
        <v>14547</v>
      </c>
    </row>
    <row r="14016" spans="1:1">
      <c r="A14016" t="s">
        <v>14548</v>
      </c>
    </row>
    <row r="14017" spans="1:1">
      <c r="A14017" t="s">
        <v>14549</v>
      </c>
    </row>
    <row r="14018" spans="1:1">
      <c r="A14018" t="s">
        <v>14550</v>
      </c>
    </row>
    <row r="14019" spans="1:1">
      <c r="A14019" t="s">
        <v>14551</v>
      </c>
    </row>
    <row r="14020" spans="1:1">
      <c r="A14020" t="s">
        <v>14552</v>
      </c>
    </row>
    <row r="14021" spans="1:1">
      <c r="A14021" t="s">
        <v>14553</v>
      </c>
    </row>
    <row r="14022" spans="1:1">
      <c r="A14022" t="s">
        <v>14554</v>
      </c>
    </row>
    <row r="14023" spans="1:1">
      <c r="A14023" t="s">
        <v>14555</v>
      </c>
    </row>
    <row r="14024" spans="1:1">
      <c r="A14024" t="s">
        <v>14556</v>
      </c>
    </row>
    <row r="14025" spans="1:1">
      <c r="A14025" t="s">
        <v>14557</v>
      </c>
    </row>
    <row r="14026" spans="1:1">
      <c r="A14026" t="s">
        <v>14558</v>
      </c>
    </row>
    <row r="14027" spans="1:1">
      <c r="A14027" t="s">
        <v>14559</v>
      </c>
    </row>
    <row r="14028" spans="1:1">
      <c r="A14028" t="s">
        <v>14560</v>
      </c>
    </row>
    <row r="14029" spans="1:1">
      <c r="A14029" t="s">
        <v>14561</v>
      </c>
    </row>
    <row r="14030" spans="1:1">
      <c r="A14030" t="s">
        <v>14562</v>
      </c>
    </row>
    <row r="14031" spans="1:1">
      <c r="A14031" t="s">
        <v>14563</v>
      </c>
    </row>
    <row r="14032" spans="1:1">
      <c r="A14032" t="s">
        <v>14564</v>
      </c>
    </row>
    <row r="14033" spans="1:1">
      <c r="A14033" t="s">
        <v>14565</v>
      </c>
    </row>
    <row r="14034" spans="1:1">
      <c r="A14034" t="s">
        <v>14566</v>
      </c>
    </row>
    <row r="14035" spans="1:1">
      <c r="A14035" t="s">
        <v>14567</v>
      </c>
    </row>
    <row r="14036" spans="1:1">
      <c r="A14036" t="s">
        <v>14568</v>
      </c>
    </row>
    <row r="14037" spans="1:1">
      <c r="A14037" t="s">
        <v>14569</v>
      </c>
    </row>
    <row r="14038" spans="1:1">
      <c r="A14038" t="s">
        <v>14570</v>
      </c>
    </row>
    <row r="14039" spans="1:1">
      <c r="A14039" t="s">
        <v>14571</v>
      </c>
    </row>
    <row r="14040" spans="1:1">
      <c r="A14040" t="s">
        <v>14572</v>
      </c>
    </row>
    <row r="14041" spans="1:1">
      <c r="A14041" t="s">
        <v>14573</v>
      </c>
    </row>
    <row r="14042" spans="1:1">
      <c r="A14042" t="s">
        <v>14574</v>
      </c>
    </row>
    <row r="14043" spans="1:1">
      <c r="A14043" t="s">
        <v>14575</v>
      </c>
    </row>
    <row r="14044" spans="1:1">
      <c r="A14044" t="s">
        <v>14576</v>
      </c>
    </row>
    <row r="14045" spans="1:1">
      <c r="A14045" t="s">
        <v>14577</v>
      </c>
    </row>
    <row r="14046" spans="1:1">
      <c r="A14046" t="s">
        <v>14578</v>
      </c>
    </row>
    <row r="14047" spans="1:1">
      <c r="A14047" t="s">
        <v>14579</v>
      </c>
    </row>
    <row r="14048" spans="1:1">
      <c r="A14048" t="s">
        <v>14580</v>
      </c>
    </row>
    <row r="14049" spans="1:1">
      <c r="A14049" t="s">
        <v>14581</v>
      </c>
    </row>
    <row r="14050" spans="1:1">
      <c r="A14050" t="s">
        <v>14582</v>
      </c>
    </row>
    <row r="14051" spans="1:1">
      <c r="A14051" t="s">
        <v>14583</v>
      </c>
    </row>
    <row r="14052" spans="1:1">
      <c r="A14052" t="s">
        <v>14584</v>
      </c>
    </row>
    <row r="14053" spans="1:1">
      <c r="A14053" t="s">
        <v>14585</v>
      </c>
    </row>
    <row r="14054" spans="1:1">
      <c r="A14054" t="s">
        <v>14586</v>
      </c>
    </row>
    <row r="14055" spans="1:1">
      <c r="A14055" t="s">
        <v>14587</v>
      </c>
    </row>
    <row r="14056" spans="1:1">
      <c r="A14056" t="s">
        <v>14588</v>
      </c>
    </row>
    <row r="14057" spans="1:1">
      <c r="A14057" t="s">
        <v>14589</v>
      </c>
    </row>
    <row r="14058" spans="1:1">
      <c r="A14058" t="s">
        <v>14590</v>
      </c>
    </row>
    <row r="14059" spans="1:1">
      <c r="A14059" t="s">
        <v>14591</v>
      </c>
    </row>
    <row r="14060" spans="1:1">
      <c r="A14060" t="s">
        <v>14592</v>
      </c>
    </row>
    <row r="14061" spans="1:1">
      <c r="A14061" t="s">
        <v>14593</v>
      </c>
    </row>
    <row r="14062" spans="1:1">
      <c r="A14062" t="s">
        <v>14594</v>
      </c>
    </row>
    <row r="14063" spans="1:1">
      <c r="A14063" t="s">
        <v>14595</v>
      </c>
    </row>
    <row r="14064" spans="1:1">
      <c r="A14064" t="s">
        <v>14596</v>
      </c>
    </row>
    <row r="14065" spans="1:1">
      <c r="A14065" t="s">
        <v>14597</v>
      </c>
    </row>
    <row r="14066" spans="1:1">
      <c r="A14066" t="s">
        <v>14598</v>
      </c>
    </row>
    <row r="14067" spans="1:1">
      <c r="A14067" t="s">
        <v>14599</v>
      </c>
    </row>
    <row r="14068" spans="1:1">
      <c r="A14068" t="s">
        <v>14600</v>
      </c>
    </row>
    <row r="14069" spans="1:1">
      <c r="A14069" t="s">
        <v>14601</v>
      </c>
    </row>
    <row r="14070" spans="1:1">
      <c r="A14070" t="s">
        <v>14602</v>
      </c>
    </row>
    <row r="14071" spans="1:1">
      <c r="A14071" t="s">
        <v>14603</v>
      </c>
    </row>
    <row r="14072" spans="1:1">
      <c r="A14072" t="s">
        <v>14604</v>
      </c>
    </row>
    <row r="14073" spans="1:1">
      <c r="A14073" t="s">
        <v>14605</v>
      </c>
    </row>
    <row r="14074" spans="1:1">
      <c r="A14074" t="s">
        <v>14606</v>
      </c>
    </row>
    <row r="14075" spans="1:1">
      <c r="A14075" t="s">
        <v>14607</v>
      </c>
    </row>
    <row r="14076" spans="1:1">
      <c r="A14076" t="s">
        <v>14608</v>
      </c>
    </row>
    <row r="14077" spans="1:1">
      <c r="A14077" t="s">
        <v>14609</v>
      </c>
    </row>
    <row r="14078" spans="1:1">
      <c r="A14078" t="s">
        <v>14610</v>
      </c>
    </row>
    <row r="14079" spans="1:1">
      <c r="A14079" t="s">
        <v>14611</v>
      </c>
    </row>
    <row r="14080" spans="1:1">
      <c r="A14080" t="s">
        <v>14612</v>
      </c>
    </row>
    <row r="14081" spans="1:1">
      <c r="A14081" t="s">
        <v>14613</v>
      </c>
    </row>
    <row r="14082" spans="1:1">
      <c r="A14082" t="s">
        <v>14614</v>
      </c>
    </row>
    <row r="14083" spans="1:1">
      <c r="A14083" t="s">
        <v>14615</v>
      </c>
    </row>
    <row r="14084" spans="1:1">
      <c r="A14084" t="s">
        <v>14616</v>
      </c>
    </row>
    <row r="14085" spans="1:1">
      <c r="A14085" t="s">
        <v>14617</v>
      </c>
    </row>
    <row r="14086" spans="1:1">
      <c r="A14086" t="s">
        <v>14618</v>
      </c>
    </row>
    <row r="14087" spans="1:1">
      <c r="A14087" t="s">
        <v>14619</v>
      </c>
    </row>
    <row r="14088" spans="1:1">
      <c r="A14088" t="s">
        <v>14620</v>
      </c>
    </row>
    <row r="14089" spans="1:1">
      <c r="A14089" t="s">
        <v>14621</v>
      </c>
    </row>
    <row r="14090" spans="1:1">
      <c r="A14090" t="s">
        <v>14622</v>
      </c>
    </row>
    <row r="14091" spans="1:1">
      <c r="A14091" t="s">
        <v>14623</v>
      </c>
    </row>
    <row r="14092" spans="1:1">
      <c r="A14092" t="s">
        <v>14624</v>
      </c>
    </row>
    <row r="14093" spans="1:1">
      <c r="A14093" t="s">
        <v>14625</v>
      </c>
    </row>
    <row r="14094" spans="1:1">
      <c r="A14094" t="s">
        <v>14626</v>
      </c>
    </row>
    <row r="14095" spans="1:1">
      <c r="A14095" t="s">
        <v>14627</v>
      </c>
    </row>
    <row r="14096" spans="1:1">
      <c r="A14096" t="s">
        <v>14628</v>
      </c>
    </row>
    <row r="14097" spans="1:1">
      <c r="A14097" t="s">
        <v>14629</v>
      </c>
    </row>
    <row r="14098" spans="1:1">
      <c r="A14098" t="s">
        <v>14630</v>
      </c>
    </row>
    <row r="14099" spans="1:1">
      <c r="A14099" t="s">
        <v>14631</v>
      </c>
    </row>
    <row r="14100" spans="1:1">
      <c r="A14100" t="s">
        <v>14632</v>
      </c>
    </row>
    <row r="14101" spans="1:1">
      <c r="A14101" t="s">
        <v>14633</v>
      </c>
    </row>
    <row r="14102" spans="1:1">
      <c r="A14102" t="s">
        <v>14634</v>
      </c>
    </row>
    <row r="14103" spans="1:1">
      <c r="A14103" t="s">
        <v>14635</v>
      </c>
    </row>
    <row r="14104" spans="1:1">
      <c r="A14104" t="s">
        <v>14636</v>
      </c>
    </row>
    <row r="14105" spans="1:1">
      <c r="A14105" t="s">
        <v>14637</v>
      </c>
    </row>
    <row r="14106" spans="1:1">
      <c r="A14106" t="s">
        <v>14638</v>
      </c>
    </row>
    <row r="14107" spans="1:1">
      <c r="A14107" t="s">
        <v>14639</v>
      </c>
    </row>
    <row r="14108" spans="1:1">
      <c r="A14108" t="s">
        <v>14640</v>
      </c>
    </row>
    <row r="14109" spans="1:1">
      <c r="A14109" t="s">
        <v>14641</v>
      </c>
    </row>
    <row r="14110" spans="1:1">
      <c r="A14110" t="s">
        <v>14642</v>
      </c>
    </row>
    <row r="14111" spans="1:1">
      <c r="A14111" t="s">
        <v>14643</v>
      </c>
    </row>
    <row r="14112" spans="1:1">
      <c r="A14112" t="s">
        <v>14644</v>
      </c>
    </row>
    <row r="14113" spans="1:1">
      <c r="A14113" t="s">
        <v>14645</v>
      </c>
    </row>
    <row r="14114" spans="1:1">
      <c r="A14114" t="s">
        <v>14646</v>
      </c>
    </row>
    <row r="14115" spans="1:1">
      <c r="A14115" t="s">
        <v>14647</v>
      </c>
    </row>
    <row r="14116" spans="1:1">
      <c r="A14116" t="s">
        <v>14648</v>
      </c>
    </row>
    <row r="14117" spans="1:1">
      <c r="A14117" t="s">
        <v>14649</v>
      </c>
    </row>
    <row r="14118" spans="1:1">
      <c r="A14118" t="s">
        <v>14650</v>
      </c>
    </row>
    <row r="14119" spans="1:1">
      <c r="A14119" t="s">
        <v>14651</v>
      </c>
    </row>
    <row r="14120" spans="1:1">
      <c r="A14120" t="s">
        <v>14652</v>
      </c>
    </row>
    <row r="14121" spans="1:1">
      <c r="A14121" t="s">
        <v>14653</v>
      </c>
    </row>
    <row r="14122" spans="1:1">
      <c r="A14122" t="s">
        <v>14654</v>
      </c>
    </row>
    <row r="14123" spans="1:1">
      <c r="A14123" t="s">
        <v>14655</v>
      </c>
    </row>
    <row r="14124" spans="1:1">
      <c r="A14124" t="s">
        <v>14656</v>
      </c>
    </row>
    <row r="14125" spans="1:1">
      <c r="A14125" t="s">
        <v>14657</v>
      </c>
    </row>
    <row r="14126" spans="1:1">
      <c r="A14126" t="s">
        <v>14658</v>
      </c>
    </row>
    <row r="14127" spans="1:1">
      <c r="A14127" t="s">
        <v>14659</v>
      </c>
    </row>
    <row r="14128" spans="1:1">
      <c r="A14128" t="s">
        <v>14660</v>
      </c>
    </row>
    <row r="14129" spans="1:1">
      <c r="A14129" t="s">
        <v>14661</v>
      </c>
    </row>
    <row r="14130" spans="1:1">
      <c r="A14130" t="s">
        <v>14662</v>
      </c>
    </row>
    <row r="14131" spans="1:1">
      <c r="A14131" t="s">
        <v>14663</v>
      </c>
    </row>
    <row r="14132" spans="1:1">
      <c r="A14132" t="s">
        <v>14664</v>
      </c>
    </row>
    <row r="14133" spans="1:1">
      <c r="A14133" t="s">
        <v>14665</v>
      </c>
    </row>
    <row r="14134" spans="1:1">
      <c r="A14134" t="s">
        <v>14666</v>
      </c>
    </row>
    <row r="14135" spans="1:1">
      <c r="A14135" t="s">
        <v>14667</v>
      </c>
    </row>
    <row r="14136" spans="1:1">
      <c r="A14136" t="s">
        <v>14668</v>
      </c>
    </row>
    <row r="14137" spans="1:1">
      <c r="A14137" t="s">
        <v>14669</v>
      </c>
    </row>
    <row r="14138" spans="1:1">
      <c r="A14138" t="s">
        <v>14670</v>
      </c>
    </row>
    <row r="14139" spans="1:1">
      <c r="A14139" t="s">
        <v>14671</v>
      </c>
    </row>
    <row r="14140" spans="1:1">
      <c r="A14140" t="s">
        <v>14672</v>
      </c>
    </row>
    <row r="14141" spans="1:1">
      <c r="A14141" t="s">
        <v>14673</v>
      </c>
    </row>
    <row r="14142" spans="1:1">
      <c r="A14142" t="s">
        <v>14674</v>
      </c>
    </row>
    <row r="14143" spans="1:1">
      <c r="A14143" t="s">
        <v>14675</v>
      </c>
    </row>
    <row r="14144" spans="1:1">
      <c r="A14144" t="s">
        <v>14676</v>
      </c>
    </row>
    <row r="14145" spans="1:1">
      <c r="A14145" t="s">
        <v>14677</v>
      </c>
    </row>
    <row r="14146" spans="1:1">
      <c r="A14146" t="s">
        <v>14678</v>
      </c>
    </row>
    <row r="14147" spans="1:1">
      <c r="A14147" t="s">
        <v>14679</v>
      </c>
    </row>
    <row r="14148" spans="1:1">
      <c r="A14148" t="s">
        <v>14680</v>
      </c>
    </row>
    <row r="14149" spans="1:1">
      <c r="A14149" t="s">
        <v>14681</v>
      </c>
    </row>
    <row r="14150" spans="1:1">
      <c r="A14150" t="s">
        <v>14682</v>
      </c>
    </row>
    <row r="14151" spans="1:1">
      <c r="A14151" t="s">
        <v>14683</v>
      </c>
    </row>
    <row r="14152" spans="1:1">
      <c r="A14152" t="s">
        <v>14684</v>
      </c>
    </row>
    <row r="14153" spans="1:1">
      <c r="A14153" t="s">
        <v>14685</v>
      </c>
    </row>
    <row r="14154" spans="1:1">
      <c r="A14154" t="s">
        <v>14686</v>
      </c>
    </row>
    <row r="14155" spans="1:1">
      <c r="A14155" t="s">
        <v>14687</v>
      </c>
    </row>
    <row r="14156" spans="1:1">
      <c r="A14156" t="s">
        <v>14688</v>
      </c>
    </row>
    <row r="14157" spans="1:1">
      <c r="A14157" t="s">
        <v>14689</v>
      </c>
    </row>
    <row r="14158" spans="1:1">
      <c r="A14158" t="s">
        <v>14690</v>
      </c>
    </row>
    <row r="14159" spans="1:1">
      <c r="A14159" t="s">
        <v>14691</v>
      </c>
    </row>
    <row r="14160" spans="1:1">
      <c r="A14160" t="s">
        <v>14692</v>
      </c>
    </row>
    <row r="14161" spans="1:1">
      <c r="A14161" t="s">
        <v>14693</v>
      </c>
    </row>
    <row r="14162" spans="1:1">
      <c r="A14162" t="s">
        <v>14694</v>
      </c>
    </row>
    <row r="14163" spans="1:1">
      <c r="A14163" t="s">
        <v>14695</v>
      </c>
    </row>
    <row r="14164" spans="1:1">
      <c r="A14164" t="s">
        <v>14696</v>
      </c>
    </row>
    <row r="14165" spans="1:1">
      <c r="A14165" t="s">
        <v>14697</v>
      </c>
    </row>
    <row r="14166" spans="1:1">
      <c r="A14166" t="s">
        <v>14698</v>
      </c>
    </row>
    <row r="14167" spans="1:1">
      <c r="A14167" t="s">
        <v>14699</v>
      </c>
    </row>
    <row r="14168" spans="1:1">
      <c r="A14168" t="s">
        <v>14700</v>
      </c>
    </row>
    <row r="14169" spans="1:1">
      <c r="A14169" t="s">
        <v>14701</v>
      </c>
    </row>
    <row r="14170" spans="1:1">
      <c r="A14170" t="s">
        <v>14702</v>
      </c>
    </row>
    <row r="14171" spans="1:1">
      <c r="A14171" t="s">
        <v>14703</v>
      </c>
    </row>
    <row r="14172" spans="1:1">
      <c r="A14172" t="s">
        <v>14704</v>
      </c>
    </row>
    <row r="14173" spans="1:1">
      <c r="A14173" t="s">
        <v>14705</v>
      </c>
    </row>
    <row r="14174" spans="1:1">
      <c r="A14174" t="s">
        <v>14706</v>
      </c>
    </row>
    <row r="14175" spans="1:1">
      <c r="A14175" t="s">
        <v>14707</v>
      </c>
    </row>
    <row r="14176" spans="1:1">
      <c r="A14176" t="s">
        <v>14708</v>
      </c>
    </row>
    <row r="14177" spans="1:1">
      <c r="A14177" t="s">
        <v>14709</v>
      </c>
    </row>
    <row r="14178" spans="1:1">
      <c r="A14178" t="s">
        <v>14710</v>
      </c>
    </row>
    <row r="14179" spans="1:1">
      <c r="A14179" t="s">
        <v>14711</v>
      </c>
    </row>
    <row r="14180" spans="1:1">
      <c r="A14180" t="s">
        <v>14712</v>
      </c>
    </row>
    <row r="14181" spans="1:1">
      <c r="A14181" t="s">
        <v>14713</v>
      </c>
    </row>
    <row r="14182" spans="1:1">
      <c r="A14182" t="s">
        <v>14714</v>
      </c>
    </row>
    <row r="14183" spans="1:1">
      <c r="A14183" t="s">
        <v>14715</v>
      </c>
    </row>
    <row r="14184" spans="1:1">
      <c r="A14184" t="s">
        <v>14716</v>
      </c>
    </row>
    <row r="14185" spans="1:1">
      <c r="A14185" t="s">
        <v>14717</v>
      </c>
    </row>
    <row r="14186" spans="1:1">
      <c r="A14186" t="s">
        <v>14718</v>
      </c>
    </row>
    <row r="14187" spans="1:1">
      <c r="A14187" t="s">
        <v>14719</v>
      </c>
    </row>
    <row r="14188" spans="1:1">
      <c r="A14188" t="s">
        <v>14720</v>
      </c>
    </row>
    <row r="14189" spans="1:1">
      <c r="A14189" t="s">
        <v>14721</v>
      </c>
    </row>
    <row r="14190" spans="1:1">
      <c r="A14190" t="s">
        <v>14722</v>
      </c>
    </row>
    <row r="14191" spans="1:1">
      <c r="A14191" t="s">
        <v>14723</v>
      </c>
    </row>
    <row r="14192" spans="1:1">
      <c r="A14192" t="s">
        <v>14724</v>
      </c>
    </row>
    <row r="14193" spans="1:1">
      <c r="A14193" t="s">
        <v>14725</v>
      </c>
    </row>
    <row r="14194" spans="1:1">
      <c r="A14194" t="s">
        <v>14726</v>
      </c>
    </row>
    <row r="14195" spans="1:1">
      <c r="A14195" t="s">
        <v>14727</v>
      </c>
    </row>
    <row r="14196" spans="1:1">
      <c r="A14196" t="s">
        <v>14728</v>
      </c>
    </row>
    <row r="14197" spans="1:1">
      <c r="A14197" t="s">
        <v>14729</v>
      </c>
    </row>
    <row r="14198" spans="1:1">
      <c r="A14198" t="s">
        <v>14730</v>
      </c>
    </row>
    <row r="14199" spans="1:1">
      <c r="A14199" t="s">
        <v>14731</v>
      </c>
    </row>
    <row r="14200" spans="1:1">
      <c r="A14200" t="s">
        <v>14732</v>
      </c>
    </row>
    <row r="14201" spans="1:1">
      <c r="A14201" t="s">
        <v>14733</v>
      </c>
    </row>
    <row r="14202" spans="1:1">
      <c r="A14202" t="s">
        <v>14734</v>
      </c>
    </row>
    <row r="14203" spans="1:1">
      <c r="A14203" t="s">
        <v>14735</v>
      </c>
    </row>
    <row r="14204" spans="1:1">
      <c r="A14204" t="s">
        <v>14736</v>
      </c>
    </row>
    <row r="14205" spans="1:1">
      <c r="A14205" t="s">
        <v>14737</v>
      </c>
    </row>
    <row r="14206" spans="1:1">
      <c r="A14206" t="s">
        <v>14738</v>
      </c>
    </row>
    <row r="14207" spans="1:1">
      <c r="A14207" t="s">
        <v>14739</v>
      </c>
    </row>
    <row r="14208" spans="1:1">
      <c r="A14208" t="s">
        <v>14740</v>
      </c>
    </row>
    <row r="14209" spans="1:1">
      <c r="A14209" t="s">
        <v>14741</v>
      </c>
    </row>
    <row r="14210" spans="1:1">
      <c r="A14210" t="s">
        <v>14742</v>
      </c>
    </row>
    <row r="14211" spans="1:1">
      <c r="A14211" t="s">
        <v>14743</v>
      </c>
    </row>
    <row r="14212" spans="1:1">
      <c r="A14212" t="s">
        <v>14744</v>
      </c>
    </row>
    <row r="14213" spans="1:1">
      <c r="A14213" t="s">
        <v>14745</v>
      </c>
    </row>
    <row r="14214" spans="1:1">
      <c r="A14214" t="s">
        <v>14746</v>
      </c>
    </row>
    <row r="14215" spans="1:1">
      <c r="A14215" t="s">
        <v>14747</v>
      </c>
    </row>
    <row r="14216" spans="1:1">
      <c r="A14216" t="s">
        <v>14748</v>
      </c>
    </row>
    <row r="14217" spans="1:1">
      <c r="A14217" t="s">
        <v>14749</v>
      </c>
    </row>
    <row r="14218" spans="1:1">
      <c r="A14218" t="s">
        <v>14750</v>
      </c>
    </row>
    <row r="14219" spans="1:1">
      <c r="A14219" t="s">
        <v>14751</v>
      </c>
    </row>
    <row r="14220" spans="1:1">
      <c r="A14220" t="s">
        <v>14752</v>
      </c>
    </row>
    <row r="14221" spans="1:1">
      <c r="A14221" t="s">
        <v>14753</v>
      </c>
    </row>
    <row r="14222" spans="1:1">
      <c r="A14222" t="s">
        <v>14754</v>
      </c>
    </row>
    <row r="14223" spans="1:1">
      <c r="A14223" t="s">
        <v>14755</v>
      </c>
    </row>
    <row r="14224" spans="1:1">
      <c r="A14224" t="s">
        <v>14756</v>
      </c>
    </row>
    <row r="14225" spans="1:1">
      <c r="A14225" t="s">
        <v>14757</v>
      </c>
    </row>
    <row r="14226" spans="1:1">
      <c r="A14226" t="s">
        <v>14758</v>
      </c>
    </row>
    <row r="14227" spans="1:1">
      <c r="A14227" t="s">
        <v>14759</v>
      </c>
    </row>
    <row r="14228" spans="1:1">
      <c r="A14228" t="s">
        <v>14760</v>
      </c>
    </row>
    <row r="14229" spans="1:1">
      <c r="A14229" t="s">
        <v>14761</v>
      </c>
    </row>
    <row r="14230" spans="1:1">
      <c r="A14230" t="s">
        <v>14762</v>
      </c>
    </row>
    <row r="14231" spans="1:1">
      <c r="A14231" t="s">
        <v>14763</v>
      </c>
    </row>
    <row r="14232" spans="1:1">
      <c r="A14232" t="s">
        <v>14764</v>
      </c>
    </row>
    <row r="14233" spans="1:1">
      <c r="A14233" t="s">
        <v>14765</v>
      </c>
    </row>
    <row r="14234" spans="1:1">
      <c r="A14234" t="s">
        <v>14766</v>
      </c>
    </row>
    <row r="14235" spans="1:1">
      <c r="A14235" t="s">
        <v>14767</v>
      </c>
    </row>
    <row r="14236" spans="1:1">
      <c r="A14236" t="s">
        <v>14768</v>
      </c>
    </row>
    <row r="14237" spans="1:1">
      <c r="A14237" t="s">
        <v>14769</v>
      </c>
    </row>
    <row r="14238" spans="1:1">
      <c r="A14238" t="s">
        <v>14770</v>
      </c>
    </row>
    <row r="14239" spans="1:1">
      <c r="A14239" t="s">
        <v>14771</v>
      </c>
    </row>
    <row r="14240" spans="1:1">
      <c r="A14240" t="s">
        <v>14772</v>
      </c>
    </row>
    <row r="14241" spans="1:1">
      <c r="A14241" t="s">
        <v>14773</v>
      </c>
    </row>
    <row r="14242" spans="1:1">
      <c r="A14242" t="s">
        <v>14774</v>
      </c>
    </row>
    <row r="14243" spans="1:1">
      <c r="A14243" t="s">
        <v>14775</v>
      </c>
    </row>
    <row r="14244" spans="1:1">
      <c r="A14244" t="s">
        <v>14776</v>
      </c>
    </row>
    <row r="14245" spans="1:1">
      <c r="A14245" t="s">
        <v>14777</v>
      </c>
    </row>
    <row r="14246" spans="1:1">
      <c r="A14246" t="s">
        <v>14778</v>
      </c>
    </row>
    <row r="14247" spans="1:1">
      <c r="A14247" t="s">
        <v>14779</v>
      </c>
    </row>
    <row r="14248" spans="1:1">
      <c r="A14248" t="s">
        <v>14780</v>
      </c>
    </row>
    <row r="14249" spans="1:1">
      <c r="A14249" t="s">
        <v>14781</v>
      </c>
    </row>
    <row r="14250" spans="1:1">
      <c r="A14250" t="s">
        <v>14782</v>
      </c>
    </row>
    <row r="14251" spans="1:1">
      <c r="A14251" t="s">
        <v>14783</v>
      </c>
    </row>
    <row r="14252" spans="1:1">
      <c r="A14252" t="s">
        <v>14784</v>
      </c>
    </row>
    <row r="14253" spans="1:1">
      <c r="A14253" t="s">
        <v>14785</v>
      </c>
    </row>
    <row r="14254" spans="1:1">
      <c r="A14254" t="s">
        <v>14786</v>
      </c>
    </row>
    <row r="14255" spans="1:1">
      <c r="A14255" t="s">
        <v>14787</v>
      </c>
    </row>
    <row r="14256" spans="1:1">
      <c r="A14256" t="s">
        <v>14788</v>
      </c>
    </row>
    <row r="14257" spans="1:1">
      <c r="A14257" t="s">
        <v>14789</v>
      </c>
    </row>
    <row r="14258" spans="1:1">
      <c r="A14258" t="s">
        <v>14790</v>
      </c>
    </row>
    <row r="14259" spans="1:1">
      <c r="A14259" t="s">
        <v>14791</v>
      </c>
    </row>
    <row r="14260" spans="1:1">
      <c r="A14260" t="s">
        <v>14792</v>
      </c>
    </row>
    <row r="14261" spans="1:1">
      <c r="A14261" t="s">
        <v>14793</v>
      </c>
    </row>
    <row r="14262" spans="1:1">
      <c r="A14262" t="s">
        <v>14794</v>
      </c>
    </row>
    <row r="14263" spans="1:1">
      <c r="A14263" t="s">
        <v>14795</v>
      </c>
    </row>
    <row r="14264" spans="1:1">
      <c r="A14264" t="s">
        <v>14796</v>
      </c>
    </row>
    <row r="14265" spans="1:1">
      <c r="A14265" t="s">
        <v>14797</v>
      </c>
    </row>
    <row r="14266" spans="1:1">
      <c r="A14266" t="s">
        <v>14798</v>
      </c>
    </row>
    <row r="14267" spans="1:1">
      <c r="A14267" t="s">
        <v>14799</v>
      </c>
    </row>
    <row r="14268" spans="1:1">
      <c r="A14268" t="s">
        <v>14800</v>
      </c>
    </row>
    <row r="14269" spans="1:1">
      <c r="A14269" t="s">
        <v>14801</v>
      </c>
    </row>
    <row r="14270" spans="1:1">
      <c r="A14270" t="s">
        <v>14802</v>
      </c>
    </row>
    <row r="14271" spans="1:1">
      <c r="A14271" t="s">
        <v>14803</v>
      </c>
    </row>
    <row r="14272" spans="1:1">
      <c r="A14272" t="s">
        <v>14804</v>
      </c>
    </row>
    <row r="14273" spans="1:1">
      <c r="A14273" t="s">
        <v>14805</v>
      </c>
    </row>
    <row r="14274" spans="1:1">
      <c r="A14274" t="s">
        <v>14806</v>
      </c>
    </row>
    <row r="14275" spans="1:1">
      <c r="A14275" t="s">
        <v>14807</v>
      </c>
    </row>
    <row r="14276" spans="1:1">
      <c r="A14276" t="s">
        <v>14808</v>
      </c>
    </row>
    <row r="14277" spans="1:1">
      <c r="A14277" t="s">
        <v>14809</v>
      </c>
    </row>
    <row r="14278" spans="1:1">
      <c r="A14278" t="s">
        <v>14810</v>
      </c>
    </row>
    <row r="14279" spans="1:1">
      <c r="A14279" t="s">
        <v>14811</v>
      </c>
    </row>
    <row r="14280" spans="1:1">
      <c r="A14280" t="s">
        <v>14812</v>
      </c>
    </row>
    <row r="14281" spans="1:1">
      <c r="A14281" t="s">
        <v>14813</v>
      </c>
    </row>
    <row r="14282" spans="1:1">
      <c r="A14282" t="s">
        <v>14814</v>
      </c>
    </row>
    <row r="14283" spans="1:1">
      <c r="A14283" t="s">
        <v>14815</v>
      </c>
    </row>
    <row r="14284" spans="1:1">
      <c r="A14284" t="s">
        <v>14816</v>
      </c>
    </row>
    <row r="14285" spans="1:1">
      <c r="A14285" t="s">
        <v>14817</v>
      </c>
    </row>
    <row r="14286" spans="1:1">
      <c r="A14286" t="s">
        <v>14818</v>
      </c>
    </row>
    <row r="14287" spans="1:1">
      <c r="A14287" t="s">
        <v>14819</v>
      </c>
    </row>
    <row r="14288" spans="1:1">
      <c r="A14288" t="s">
        <v>14820</v>
      </c>
    </row>
    <row r="14289" spans="1:1">
      <c r="A14289" t="s">
        <v>14821</v>
      </c>
    </row>
    <row r="14290" spans="1:1">
      <c r="A14290" t="s">
        <v>14822</v>
      </c>
    </row>
    <row r="14291" spans="1:1">
      <c r="A14291" t="s">
        <v>14823</v>
      </c>
    </row>
    <row r="14292" spans="1:1">
      <c r="A14292" t="s">
        <v>14824</v>
      </c>
    </row>
    <row r="14293" spans="1:1">
      <c r="A14293" t="s">
        <v>14825</v>
      </c>
    </row>
    <row r="14294" spans="1:1">
      <c r="A14294" t="s">
        <v>14826</v>
      </c>
    </row>
    <row r="14295" spans="1:1">
      <c r="A14295" t="s">
        <v>14827</v>
      </c>
    </row>
    <row r="14296" spans="1:1">
      <c r="A14296" t="s">
        <v>14828</v>
      </c>
    </row>
    <row r="14297" spans="1:1">
      <c r="A14297" t="s">
        <v>14829</v>
      </c>
    </row>
    <row r="14298" spans="1:1">
      <c r="A14298" t="s">
        <v>14830</v>
      </c>
    </row>
    <row r="14299" spans="1:1">
      <c r="A14299" t="s">
        <v>14831</v>
      </c>
    </row>
    <row r="14300" spans="1:1">
      <c r="A14300" t="s">
        <v>14832</v>
      </c>
    </row>
    <row r="14301" spans="1:1">
      <c r="A14301" t="s">
        <v>14833</v>
      </c>
    </row>
    <row r="14302" spans="1:1">
      <c r="A14302" t="s">
        <v>14834</v>
      </c>
    </row>
    <row r="14303" spans="1:1">
      <c r="A14303" t="s">
        <v>14835</v>
      </c>
    </row>
    <row r="14304" spans="1:1">
      <c r="A14304" t="s">
        <v>14836</v>
      </c>
    </row>
    <row r="14305" spans="1:1">
      <c r="A14305" t="s">
        <v>14837</v>
      </c>
    </row>
    <row r="14306" spans="1:1">
      <c r="A14306" t="s">
        <v>14838</v>
      </c>
    </row>
    <row r="14307" spans="1:1">
      <c r="A14307" t="s">
        <v>14839</v>
      </c>
    </row>
    <row r="14308" spans="1:1">
      <c r="A14308" t="s">
        <v>14840</v>
      </c>
    </row>
    <row r="14309" spans="1:1">
      <c r="A14309" t="s">
        <v>14841</v>
      </c>
    </row>
    <row r="14310" spans="1:1">
      <c r="A14310" t="s">
        <v>14842</v>
      </c>
    </row>
    <row r="14311" spans="1:1">
      <c r="A14311" t="s">
        <v>14843</v>
      </c>
    </row>
    <row r="14312" spans="1:1">
      <c r="A14312" t="s">
        <v>14844</v>
      </c>
    </row>
    <row r="14313" spans="1:1">
      <c r="A14313" t="s">
        <v>14845</v>
      </c>
    </row>
    <row r="14314" spans="1:1">
      <c r="A14314" t="s">
        <v>14846</v>
      </c>
    </row>
    <row r="14315" spans="1:1">
      <c r="A14315" t="s">
        <v>14847</v>
      </c>
    </row>
    <row r="14316" spans="1:1">
      <c r="A14316" t="s">
        <v>14848</v>
      </c>
    </row>
    <row r="14317" spans="1:1">
      <c r="A14317" t="s">
        <v>14849</v>
      </c>
    </row>
    <row r="14318" spans="1:1">
      <c r="A14318" t="s">
        <v>14850</v>
      </c>
    </row>
    <row r="14319" spans="1:1">
      <c r="A14319" t="s">
        <v>14851</v>
      </c>
    </row>
    <row r="14320" spans="1:1">
      <c r="A14320" t="s">
        <v>14852</v>
      </c>
    </row>
    <row r="14321" spans="1:1">
      <c r="A14321" t="s">
        <v>14853</v>
      </c>
    </row>
    <row r="14322" spans="1:1">
      <c r="A14322" t="s">
        <v>14854</v>
      </c>
    </row>
    <row r="14323" spans="1:1">
      <c r="A14323" t="s">
        <v>14855</v>
      </c>
    </row>
    <row r="14324" spans="1:1">
      <c r="A14324" t="s">
        <v>14856</v>
      </c>
    </row>
    <row r="14325" spans="1:1">
      <c r="A14325" t="s">
        <v>14857</v>
      </c>
    </row>
    <row r="14326" spans="1:1">
      <c r="A14326" t="s">
        <v>14858</v>
      </c>
    </row>
    <row r="14327" spans="1:1">
      <c r="A14327" t="s">
        <v>14859</v>
      </c>
    </row>
    <row r="14328" spans="1:1">
      <c r="A14328" t="s">
        <v>14860</v>
      </c>
    </row>
    <row r="14329" spans="1:1">
      <c r="A14329" t="s">
        <v>14861</v>
      </c>
    </row>
    <row r="14330" spans="1:1">
      <c r="A14330" t="s">
        <v>14862</v>
      </c>
    </row>
    <row r="14331" spans="1:1">
      <c r="A14331" t="s">
        <v>14863</v>
      </c>
    </row>
    <row r="14332" spans="1:1">
      <c r="A14332" t="s">
        <v>14864</v>
      </c>
    </row>
    <row r="14333" spans="1:1">
      <c r="A14333" t="s">
        <v>14865</v>
      </c>
    </row>
    <row r="14334" spans="1:1">
      <c r="A14334" t="s">
        <v>14866</v>
      </c>
    </row>
    <row r="14335" spans="1:1">
      <c r="A14335" t="s">
        <v>14867</v>
      </c>
    </row>
    <row r="14336" spans="1:1">
      <c r="A14336" t="s">
        <v>14868</v>
      </c>
    </row>
    <row r="14337" spans="1:1">
      <c r="A14337" t="s">
        <v>14869</v>
      </c>
    </row>
    <row r="14338" spans="1:1">
      <c r="A14338" t="s">
        <v>14870</v>
      </c>
    </row>
    <row r="14339" spans="1:1">
      <c r="A14339" t="s">
        <v>14871</v>
      </c>
    </row>
    <row r="14340" spans="1:1">
      <c r="A14340" t="s">
        <v>14872</v>
      </c>
    </row>
    <row r="14341" spans="1:1">
      <c r="A14341" t="s">
        <v>14873</v>
      </c>
    </row>
    <row r="14342" spans="1:1">
      <c r="A14342" t="s">
        <v>14874</v>
      </c>
    </row>
    <row r="14343" spans="1:1">
      <c r="A14343" t="s">
        <v>14875</v>
      </c>
    </row>
    <row r="14344" spans="1:1">
      <c r="A14344" t="s">
        <v>14876</v>
      </c>
    </row>
    <row r="14345" spans="1:1">
      <c r="A14345" t="s">
        <v>14877</v>
      </c>
    </row>
    <row r="14346" spans="1:1">
      <c r="A14346" t="s">
        <v>14878</v>
      </c>
    </row>
    <row r="14347" spans="1:1">
      <c r="A14347" t="s">
        <v>14879</v>
      </c>
    </row>
    <row r="14348" spans="1:1">
      <c r="A14348" t="s">
        <v>14880</v>
      </c>
    </row>
    <row r="14349" spans="1:1">
      <c r="A14349" t="s">
        <v>14881</v>
      </c>
    </row>
    <row r="14350" spans="1:1">
      <c r="A14350" t="s">
        <v>14882</v>
      </c>
    </row>
    <row r="14351" spans="1:1">
      <c r="A14351" t="s">
        <v>14883</v>
      </c>
    </row>
    <row r="14352" spans="1:1">
      <c r="A14352" t="s">
        <v>14884</v>
      </c>
    </row>
    <row r="14353" spans="1:1">
      <c r="A14353" t="s">
        <v>14885</v>
      </c>
    </row>
    <row r="14354" spans="1:1">
      <c r="A14354" t="s">
        <v>14886</v>
      </c>
    </row>
    <row r="14355" spans="1:1">
      <c r="A14355" t="s">
        <v>14887</v>
      </c>
    </row>
    <row r="14356" spans="1:1">
      <c r="A14356" t="s">
        <v>14888</v>
      </c>
    </row>
    <row r="14357" spans="1:1">
      <c r="A14357" t="s">
        <v>14889</v>
      </c>
    </row>
    <row r="14358" spans="1:1">
      <c r="A14358" t="s">
        <v>14890</v>
      </c>
    </row>
    <row r="14359" spans="1:1">
      <c r="A14359" t="s">
        <v>14891</v>
      </c>
    </row>
    <row r="14360" spans="1:1">
      <c r="A14360" t="s">
        <v>14892</v>
      </c>
    </row>
    <row r="14361" spans="1:1">
      <c r="A14361" t="s">
        <v>14893</v>
      </c>
    </row>
    <row r="14362" spans="1:1">
      <c r="A14362" t="s">
        <v>14894</v>
      </c>
    </row>
    <row r="14363" spans="1:1">
      <c r="A14363" t="s">
        <v>14895</v>
      </c>
    </row>
    <row r="14364" spans="1:1">
      <c r="A14364" t="s">
        <v>14896</v>
      </c>
    </row>
    <row r="14365" spans="1:1">
      <c r="A14365" t="s">
        <v>14897</v>
      </c>
    </row>
    <row r="14366" spans="1:1">
      <c r="A14366" t="s">
        <v>14898</v>
      </c>
    </row>
    <row r="14367" spans="1:1">
      <c r="A14367" t="s">
        <v>14899</v>
      </c>
    </row>
    <row r="14368" spans="1:1">
      <c r="A14368" t="s">
        <v>14900</v>
      </c>
    </row>
    <row r="14369" spans="1:1">
      <c r="A14369" t="s">
        <v>14901</v>
      </c>
    </row>
    <row r="14370" spans="1:1">
      <c r="A14370" t="s">
        <v>14902</v>
      </c>
    </row>
    <row r="14371" spans="1:1">
      <c r="A14371" t="s">
        <v>14903</v>
      </c>
    </row>
    <row r="14372" spans="1:1">
      <c r="A14372" t="s">
        <v>14904</v>
      </c>
    </row>
    <row r="14373" spans="1:1">
      <c r="A14373" t="s">
        <v>14905</v>
      </c>
    </row>
    <row r="14374" spans="1:1">
      <c r="A14374" t="s">
        <v>14906</v>
      </c>
    </row>
    <row r="14375" spans="1:1">
      <c r="A14375" t="s">
        <v>14907</v>
      </c>
    </row>
    <row r="14376" spans="1:1">
      <c r="A14376" t="s">
        <v>14908</v>
      </c>
    </row>
    <row r="14377" spans="1:1">
      <c r="A14377" t="s">
        <v>14909</v>
      </c>
    </row>
    <row r="14378" spans="1:1">
      <c r="A14378" t="s">
        <v>14910</v>
      </c>
    </row>
    <row r="14379" spans="1:1">
      <c r="A14379" t="s">
        <v>14911</v>
      </c>
    </row>
    <row r="14380" spans="1:1">
      <c r="A14380" t="s">
        <v>14912</v>
      </c>
    </row>
    <row r="14381" spans="1:1">
      <c r="A14381" t="s">
        <v>14913</v>
      </c>
    </row>
    <row r="14382" spans="1:1">
      <c r="A14382" t="s">
        <v>14914</v>
      </c>
    </row>
    <row r="14383" spans="1:1">
      <c r="A14383" t="s">
        <v>14915</v>
      </c>
    </row>
    <row r="14384" spans="1:1">
      <c r="A14384" t="s">
        <v>14916</v>
      </c>
    </row>
    <row r="14385" spans="1:1">
      <c r="A14385" t="s">
        <v>14917</v>
      </c>
    </row>
    <row r="14386" spans="1:1">
      <c r="A14386" t="s">
        <v>14918</v>
      </c>
    </row>
    <row r="14387" spans="1:1">
      <c r="A14387" t="s">
        <v>14919</v>
      </c>
    </row>
    <row r="14388" spans="1:1">
      <c r="A14388" t="s">
        <v>14920</v>
      </c>
    </row>
    <row r="14389" spans="1:1">
      <c r="A14389" t="s">
        <v>14921</v>
      </c>
    </row>
    <row r="14390" spans="1:1">
      <c r="A14390" t="s">
        <v>14922</v>
      </c>
    </row>
    <row r="14391" spans="1:1">
      <c r="A14391" t="s">
        <v>14923</v>
      </c>
    </row>
    <row r="14392" spans="1:1">
      <c r="A14392" t="s">
        <v>14924</v>
      </c>
    </row>
    <row r="14393" spans="1:1">
      <c r="A14393" t="s">
        <v>14925</v>
      </c>
    </row>
    <row r="14394" spans="1:1">
      <c r="A14394" t="s">
        <v>14926</v>
      </c>
    </row>
    <row r="14395" spans="1:1">
      <c r="A14395" t="s">
        <v>14927</v>
      </c>
    </row>
    <row r="14396" spans="1:1">
      <c r="A14396" t="s">
        <v>14928</v>
      </c>
    </row>
    <row r="14397" spans="1:1">
      <c r="A14397" t="s">
        <v>14929</v>
      </c>
    </row>
    <row r="14398" spans="1:1">
      <c r="A14398" t="s">
        <v>14930</v>
      </c>
    </row>
    <row r="14399" spans="1:1">
      <c r="A14399" t="s">
        <v>14931</v>
      </c>
    </row>
    <row r="14400" spans="1:1">
      <c r="A14400" t="s">
        <v>14932</v>
      </c>
    </row>
    <row r="14401" spans="1:1">
      <c r="A14401" t="s">
        <v>14933</v>
      </c>
    </row>
    <row r="14402" spans="1:1">
      <c r="A14402" t="s">
        <v>14934</v>
      </c>
    </row>
    <row r="14403" spans="1:1">
      <c r="A14403" t="s">
        <v>14935</v>
      </c>
    </row>
    <row r="14404" spans="1:1">
      <c r="A14404" t="s">
        <v>14936</v>
      </c>
    </row>
    <row r="14405" spans="1:1">
      <c r="A14405" t="s">
        <v>14937</v>
      </c>
    </row>
    <row r="14406" spans="1:1">
      <c r="A14406" t="s">
        <v>14938</v>
      </c>
    </row>
    <row r="14407" spans="1:1">
      <c r="A14407" t="s">
        <v>14939</v>
      </c>
    </row>
    <row r="14408" spans="1:1">
      <c r="A14408" t="s">
        <v>14940</v>
      </c>
    </row>
    <row r="14409" spans="1:1">
      <c r="A14409" t="s">
        <v>14941</v>
      </c>
    </row>
    <row r="14410" spans="1:1">
      <c r="A14410" t="s">
        <v>14942</v>
      </c>
    </row>
    <row r="14411" spans="1:1">
      <c r="A14411" t="s">
        <v>14943</v>
      </c>
    </row>
    <row r="14412" spans="1:1">
      <c r="A14412" t="s">
        <v>14944</v>
      </c>
    </row>
    <row r="14413" spans="1:1">
      <c r="A14413" t="s">
        <v>14945</v>
      </c>
    </row>
    <row r="14414" spans="1:1">
      <c r="A14414" t="s">
        <v>14946</v>
      </c>
    </row>
    <row r="14415" spans="1:1">
      <c r="A14415" t="s">
        <v>14947</v>
      </c>
    </row>
    <row r="14416" spans="1:1">
      <c r="A14416" t="s">
        <v>14948</v>
      </c>
    </row>
    <row r="14417" spans="1:1">
      <c r="A14417" t="s">
        <v>14949</v>
      </c>
    </row>
    <row r="14418" spans="1:1">
      <c r="A14418" t="s">
        <v>14950</v>
      </c>
    </row>
    <row r="14419" spans="1:1">
      <c r="A14419" t="s">
        <v>14951</v>
      </c>
    </row>
    <row r="14420" spans="1:1">
      <c r="A14420" t="s">
        <v>14952</v>
      </c>
    </row>
    <row r="14421" spans="1:1">
      <c r="A14421" t="s">
        <v>14953</v>
      </c>
    </row>
    <row r="14422" spans="1:1">
      <c r="A14422" t="s">
        <v>14954</v>
      </c>
    </row>
    <row r="14423" spans="1:1">
      <c r="A14423" t="s">
        <v>14955</v>
      </c>
    </row>
    <row r="14424" spans="1:1">
      <c r="A14424" t="s">
        <v>14956</v>
      </c>
    </row>
    <row r="14425" spans="1:1">
      <c r="A14425" t="s">
        <v>14957</v>
      </c>
    </row>
    <row r="14426" spans="1:1">
      <c r="A14426" t="s">
        <v>14958</v>
      </c>
    </row>
    <row r="14427" spans="1:1">
      <c r="A14427" t="s">
        <v>14959</v>
      </c>
    </row>
    <row r="14428" spans="1:1">
      <c r="A14428" t="s">
        <v>14960</v>
      </c>
    </row>
    <row r="14429" spans="1:1">
      <c r="A14429" t="s">
        <v>14961</v>
      </c>
    </row>
    <row r="14430" spans="1:1">
      <c r="A14430" t="s">
        <v>14962</v>
      </c>
    </row>
    <row r="14431" spans="1:1">
      <c r="A14431" t="s">
        <v>14963</v>
      </c>
    </row>
    <row r="14432" spans="1:1">
      <c r="A14432" t="s">
        <v>14964</v>
      </c>
    </row>
    <row r="14433" spans="1:1">
      <c r="A14433" t="s">
        <v>14965</v>
      </c>
    </row>
    <row r="14434" spans="1:1">
      <c r="A14434" t="s">
        <v>14966</v>
      </c>
    </row>
    <row r="14435" spans="1:1">
      <c r="A14435" t="s">
        <v>14967</v>
      </c>
    </row>
    <row r="14436" spans="1:1">
      <c r="A14436" t="s">
        <v>14968</v>
      </c>
    </row>
    <row r="14437" spans="1:1">
      <c r="A14437" t="s">
        <v>14969</v>
      </c>
    </row>
    <row r="14438" spans="1:1">
      <c r="A14438" t="s">
        <v>14970</v>
      </c>
    </row>
    <row r="14439" spans="1:1">
      <c r="A14439" t="s">
        <v>14971</v>
      </c>
    </row>
    <row r="14440" spans="1:1">
      <c r="A14440" t="s">
        <v>14972</v>
      </c>
    </row>
    <row r="14441" spans="1:1">
      <c r="A14441" t="s">
        <v>14973</v>
      </c>
    </row>
    <row r="14442" spans="1:1">
      <c r="A14442" t="s">
        <v>14974</v>
      </c>
    </row>
    <row r="14443" spans="1:1">
      <c r="A14443" t="s">
        <v>14975</v>
      </c>
    </row>
    <row r="14444" spans="1:1">
      <c r="A14444" t="s">
        <v>14976</v>
      </c>
    </row>
    <row r="14445" spans="1:1">
      <c r="A14445" t="s">
        <v>14977</v>
      </c>
    </row>
    <row r="14446" spans="1:1">
      <c r="A14446" t="s">
        <v>14978</v>
      </c>
    </row>
    <row r="14447" spans="1:1">
      <c r="A14447" t="s">
        <v>14979</v>
      </c>
    </row>
    <row r="14448" spans="1:1">
      <c r="A14448" t="s">
        <v>14980</v>
      </c>
    </row>
    <row r="14449" spans="1:1">
      <c r="A14449" t="s">
        <v>14981</v>
      </c>
    </row>
    <row r="14450" spans="1:1">
      <c r="A14450" t="s">
        <v>14982</v>
      </c>
    </row>
    <row r="14451" spans="1:1">
      <c r="A14451" t="s">
        <v>14983</v>
      </c>
    </row>
    <row r="14452" spans="1:1">
      <c r="A14452" t="s">
        <v>14984</v>
      </c>
    </row>
    <row r="14453" spans="1:1">
      <c r="A14453" t="s">
        <v>14985</v>
      </c>
    </row>
    <row r="14454" spans="1:1">
      <c r="A14454" t="s">
        <v>14986</v>
      </c>
    </row>
    <row r="14455" spans="1:1">
      <c r="A14455" t="s">
        <v>14987</v>
      </c>
    </row>
    <row r="14456" spans="1:1">
      <c r="A14456" t="s">
        <v>14988</v>
      </c>
    </row>
    <row r="14457" spans="1:1">
      <c r="A14457" t="s">
        <v>14989</v>
      </c>
    </row>
    <row r="14458" spans="1:1">
      <c r="A14458" t="s">
        <v>14990</v>
      </c>
    </row>
    <row r="14459" spans="1:1">
      <c r="A14459" t="s">
        <v>14991</v>
      </c>
    </row>
    <row r="14460" spans="1:1">
      <c r="A14460" t="s">
        <v>14992</v>
      </c>
    </row>
    <row r="14461" spans="1:1">
      <c r="A14461" t="s">
        <v>14993</v>
      </c>
    </row>
    <row r="14462" spans="1:1">
      <c r="A14462" t="s">
        <v>14994</v>
      </c>
    </row>
    <row r="14463" spans="1:1">
      <c r="A14463" t="s">
        <v>14995</v>
      </c>
    </row>
    <row r="14464" spans="1:1">
      <c r="A14464" t="s">
        <v>14996</v>
      </c>
    </row>
    <row r="14465" spans="1:1">
      <c r="A14465" t="s">
        <v>14997</v>
      </c>
    </row>
    <row r="14466" spans="1:1">
      <c r="A14466" t="s">
        <v>14998</v>
      </c>
    </row>
    <row r="14467" spans="1:1">
      <c r="A14467" t="s">
        <v>14999</v>
      </c>
    </row>
    <row r="14468" spans="1:1">
      <c r="A14468" t="s">
        <v>15000</v>
      </c>
    </row>
    <row r="14469" spans="1:1">
      <c r="A14469" t="s">
        <v>15001</v>
      </c>
    </row>
    <row r="14470" spans="1:1">
      <c r="A14470" t="s">
        <v>15002</v>
      </c>
    </row>
    <row r="14471" spans="1:1">
      <c r="A14471" t="s">
        <v>15003</v>
      </c>
    </row>
    <row r="14472" spans="1:1">
      <c r="A14472" t="s">
        <v>15004</v>
      </c>
    </row>
    <row r="14473" spans="1:1">
      <c r="A14473" t="s">
        <v>15005</v>
      </c>
    </row>
    <row r="14474" spans="1:1">
      <c r="A14474" t="s">
        <v>15006</v>
      </c>
    </row>
    <row r="14475" spans="1:1">
      <c r="A14475" t="s">
        <v>15007</v>
      </c>
    </row>
    <row r="14476" spans="1:1">
      <c r="A14476" t="s">
        <v>15008</v>
      </c>
    </row>
    <row r="14477" spans="1:1">
      <c r="A14477" t="s">
        <v>15009</v>
      </c>
    </row>
    <row r="14478" spans="1:1">
      <c r="A14478" t="s">
        <v>15010</v>
      </c>
    </row>
    <row r="14479" spans="1:1">
      <c r="A14479" t="s">
        <v>15011</v>
      </c>
    </row>
    <row r="14480" spans="1:1">
      <c r="A14480" t="s">
        <v>15012</v>
      </c>
    </row>
    <row r="14481" spans="1:1">
      <c r="A14481" t="s">
        <v>15013</v>
      </c>
    </row>
    <row r="14482" spans="1:1">
      <c r="A14482" t="s">
        <v>15014</v>
      </c>
    </row>
    <row r="14483" spans="1:1">
      <c r="A14483" t="s">
        <v>15015</v>
      </c>
    </row>
    <row r="14484" spans="1:1">
      <c r="A14484" t="s">
        <v>15016</v>
      </c>
    </row>
    <row r="14485" spans="1:1">
      <c r="A14485" t="s">
        <v>15017</v>
      </c>
    </row>
    <row r="14486" spans="1:1">
      <c r="A14486" t="s">
        <v>15018</v>
      </c>
    </row>
    <row r="14487" spans="1:1">
      <c r="A14487" t="s">
        <v>15019</v>
      </c>
    </row>
    <row r="14488" spans="1:1">
      <c r="A14488" t="s">
        <v>15020</v>
      </c>
    </row>
    <row r="14489" spans="1:1">
      <c r="A14489" t="s">
        <v>15021</v>
      </c>
    </row>
    <row r="14490" spans="1:1">
      <c r="A14490" t="s">
        <v>15022</v>
      </c>
    </row>
    <row r="14491" spans="1:1">
      <c r="A14491" t="s">
        <v>15023</v>
      </c>
    </row>
    <row r="14492" spans="1:1">
      <c r="A14492" t="s">
        <v>15024</v>
      </c>
    </row>
    <row r="14493" spans="1:1">
      <c r="A14493" t="s">
        <v>15025</v>
      </c>
    </row>
    <row r="14494" spans="1:1">
      <c r="A14494" t="s">
        <v>15026</v>
      </c>
    </row>
    <row r="14495" spans="1:1">
      <c r="A14495" t="s">
        <v>15027</v>
      </c>
    </row>
    <row r="14496" spans="1:1">
      <c r="A14496" t="s">
        <v>15028</v>
      </c>
    </row>
    <row r="14497" spans="1:1">
      <c r="A14497" t="s">
        <v>15029</v>
      </c>
    </row>
    <row r="14498" spans="1:1">
      <c r="A14498" t="s">
        <v>15030</v>
      </c>
    </row>
    <row r="14499" spans="1:1">
      <c r="A14499" t="s">
        <v>15031</v>
      </c>
    </row>
    <row r="14500" spans="1:1">
      <c r="A14500" t="s">
        <v>15032</v>
      </c>
    </row>
    <row r="14501" spans="1:1">
      <c r="A14501" t="s">
        <v>15033</v>
      </c>
    </row>
    <row r="14502" spans="1:1">
      <c r="A14502" t="s">
        <v>15034</v>
      </c>
    </row>
    <row r="14503" spans="1:1">
      <c r="A14503" t="s">
        <v>15035</v>
      </c>
    </row>
    <row r="14504" spans="1:1">
      <c r="A14504" t="s">
        <v>15036</v>
      </c>
    </row>
    <row r="14505" spans="1:1">
      <c r="A14505" t="s">
        <v>15037</v>
      </c>
    </row>
    <row r="14506" spans="1:1">
      <c r="A14506" t="s">
        <v>15038</v>
      </c>
    </row>
    <row r="14507" spans="1:1">
      <c r="A14507" t="s">
        <v>15039</v>
      </c>
    </row>
    <row r="14508" spans="1:1">
      <c r="A14508" t="s">
        <v>15040</v>
      </c>
    </row>
    <row r="14509" spans="1:1">
      <c r="A14509" t="s">
        <v>15041</v>
      </c>
    </row>
    <row r="14510" spans="1:1">
      <c r="A14510" t="s">
        <v>15042</v>
      </c>
    </row>
    <row r="14511" spans="1:1">
      <c r="A14511" t="s">
        <v>15043</v>
      </c>
    </row>
    <row r="14512" spans="1:1">
      <c r="A14512" t="s">
        <v>15044</v>
      </c>
    </row>
    <row r="14513" spans="1:1">
      <c r="A14513" t="s">
        <v>15045</v>
      </c>
    </row>
    <row r="14514" spans="1:1">
      <c r="A14514" t="s">
        <v>15046</v>
      </c>
    </row>
    <row r="14515" spans="1:1">
      <c r="A14515" t="s">
        <v>15047</v>
      </c>
    </row>
    <row r="14516" spans="1:1">
      <c r="A14516" t="s">
        <v>15048</v>
      </c>
    </row>
    <row r="14517" spans="1:1">
      <c r="A14517" t="s">
        <v>15049</v>
      </c>
    </row>
    <row r="14518" spans="1:1">
      <c r="A14518" t="s">
        <v>15050</v>
      </c>
    </row>
    <row r="14519" spans="1:1">
      <c r="A14519" t="s">
        <v>15051</v>
      </c>
    </row>
    <row r="14520" spans="1:1">
      <c r="A14520" t="s">
        <v>15052</v>
      </c>
    </row>
    <row r="14521" spans="1:1">
      <c r="A14521" t="s">
        <v>15053</v>
      </c>
    </row>
    <row r="14522" spans="1:1">
      <c r="A14522" t="s">
        <v>15054</v>
      </c>
    </row>
    <row r="14523" spans="1:1">
      <c r="A14523" t="s">
        <v>15055</v>
      </c>
    </row>
    <row r="14524" spans="1:1">
      <c r="A14524" t="s">
        <v>15056</v>
      </c>
    </row>
    <row r="14525" spans="1:1">
      <c r="A14525" t="s">
        <v>15057</v>
      </c>
    </row>
    <row r="14526" spans="1:1">
      <c r="A14526" t="s">
        <v>15058</v>
      </c>
    </row>
    <row r="14527" spans="1:1">
      <c r="A14527" t="s">
        <v>15059</v>
      </c>
    </row>
    <row r="14528" spans="1:1">
      <c r="A14528" t="s">
        <v>15060</v>
      </c>
    </row>
    <row r="14529" spans="1:1">
      <c r="A14529" t="s">
        <v>15061</v>
      </c>
    </row>
    <row r="14530" spans="1:1">
      <c r="A14530" t="s">
        <v>15062</v>
      </c>
    </row>
    <row r="14531" spans="1:1">
      <c r="A14531" t="s">
        <v>15063</v>
      </c>
    </row>
    <row r="14532" spans="1:1">
      <c r="A14532" t="s">
        <v>15064</v>
      </c>
    </row>
    <row r="14533" spans="1:1">
      <c r="A14533" t="s">
        <v>15065</v>
      </c>
    </row>
    <row r="14534" spans="1:1">
      <c r="A14534" t="s">
        <v>15066</v>
      </c>
    </row>
    <row r="14535" spans="1:1">
      <c r="A14535" t="s">
        <v>15067</v>
      </c>
    </row>
    <row r="14536" spans="1:1">
      <c r="A14536" t="s">
        <v>15068</v>
      </c>
    </row>
    <row r="14537" spans="1:1">
      <c r="A14537" t="s">
        <v>15069</v>
      </c>
    </row>
    <row r="14538" spans="1:1">
      <c r="A14538" t="s">
        <v>15070</v>
      </c>
    </row>
    <row r="14539" spans="1:1">
      <c r="A14539" t="s">
        <v>15071</v>
      </c>
    </row>
    <row r="14540" spans="1:1">
      <c r="A14540" t="s">
        <v>15072</v>
      </c>
    </row>
    <row r="14541" spans="1:1">
      <c r="A14541" t="s">
        <v>15073</v>
      </c>
    </row>
    <row r="14542" spans="1:1">
      <c r="A14542" t="s">
        <v>15074</v>
      </c>
    </row>
    <row r="14543" spans="1:1">
      <c r="A14543" t="s">
        <v>15075</v>
      </c>
    </row>
    <row r="14544" spans="1:1">
      <c r="A14544" t="s">
        <v>15076</v>
      </c>
    </row>
    <row r="14545" spans="1:1">
      <c r="A14545" t="s">
        <v>15077</v>
      </c>
    </row>
    <row r="14546" spans="1:1">
      <c r="A14546" t="s">
        <v>15078</v>
      </c>
    </row>
    <row r="14547" spans="1:1">
      <c r="A14547" t="s">
        <v>15079</v>
      </c>
    </row>
    <row r="14548" spans="1:1">
      <c r="A14548" t="s">
        <v>15080</v>
      </c>
    </row>
    <row r="14549" spans="1:1">
      <c r="A14549" t="s">
        <v>15081</v>
      </c>
    </row>
    <row r="14550" spans="1:1">
      <c r="A14550" t="s">
        <v>15082</v>
      </c>
    </row>
    <row r="14551" spans="1:1">
      <c r="A14551" t="s">
        <v>15083</v>
      </c>
    </row>
    <row r="14552" spans="1:1">
      <c r="A14552" t="s">
        <v>15084</v>
      </c>
    </row>
    <row r="14553" spans="1:1">
      <c r="A14553" t="s">
        <v>15085</v>
      </c>
    </row>
    <row r="14554" spans="1:1">
      <c r="A14554" t="s">
        <v>15086</v>
      </c>
    </row>
    <row r="14555" spans="1:1">
      <c r="A14555" t="s">
        <v>15087</v>
      </c>
    </row>
    <row r="14556" spans="1:1">
      <c r="A14556" t="s">
        <v>15088</v>
      </c>
    </row>
    <row r="14557" spans="1:1">
      <c r="A14557" t="s">
        <v>15089</v>
      </c>
    </row>
    <row r="14558" spans="1:1">
      <c r="A14558" t="s">
        <v>15090</v>
      </c>
    </row>
    <row r="14559" spans="1:1">
      <c r="A14559" t="s">
        <v>15091</v>
      </c>
    </row>
    <row r="14560" spans="1:1">
      <c r="A14560" t="s">
        <v>15092</v>
      </c>
    </row>
    <row r="14561" spans="1:1">
      <c r="A14561" t="s">
        <v>15093</v>
      </c>
    </row>
    <row r="14562" spans="1:1">
      <c r="A14562" t="s">
        <v>15094</v>
      </c>
    </row>
    <row r="14563" spans="1:1">
      <c r="A14563" t="s">
        <v>15095</v>
      </c>
    </row>
    <row r="14564" spans="1:1">
      <c r="A14564" t="s">
        <v>15096</v>
      </c>
    </row>
    <row r="14565" spans="1:1">
      <c r="A14565" t="s">
        <v>15097</v>
      </c>
    </row>
    <row r="14566" spans="1:1">
      <c r="A14566" t="s">
        <v>15098</v>
      </c>
    </row>
    <row r="14567" spans="1:1">
      <c r="A14567" t="s">
        <v>15099</v>
      </c>
    </row>
    <row r="14568" spans="1:1">
      <c r="A14568" t="s">
        <v>15100</v>
      </c>
    </row>
    <row r="14569" spans="1:1">
      <c r="A14569" t="s">
        <v>15101</v>
      </c>
    </row>
    <row r="14570" spans="1:1">
      <c r="A14570" t="s">
        <v>15102</v>
      </c>
    </row>
    <row r="14571" spans="1:1">
      <c r="A14571" t="s">
        <v>15103</v>
      </c>
    </row>
    <row r="14572" spans="1:1">
      <c r="A14572" t="s">
        <v>15104</v>
      </c>
    </row>
    <row r="14573" spans="1:1">
      <c r="A14573" t="s">
        <v>15105</v>
      </c>
    </row>
    <row r="14574" spans="1:1">
      <c r="A14574" t="s">
        <v>15106</v>
      </c>
    </row>
    <row r="14575" spans="1:1">
      <c r="A14575" t="s">
        <v>15107</v>
      </c>
    </row>
    <row r="14576" spans="1:1">
      <c r="A14576" t="s">
        <v>15108</v>
      </c>
    </row>
    <row r="14577" spans="1:1">
      <c r="A14577" t="s">
        <v>15109</v>
      </c>
    </row>
    <row r="14578" spans="1:1">
      <c r="A14578" t="s">
        <v>15110</v>
      </c>
    </row>
    <row r="14579" spans="1:1">
      <c r="A14579" t="s">
        <v>15111</v>
      </c>
    </row>
    <row r="14580" spans="1:1">
      <c r="A14580" t="s">
        <v>15112</v>
      </c>
    </row>
    <row r="14581" spans="1:1">
      <c r="A14581" t="s">
        <v>15113</v>
      </c>
    </row>
    <row r="14582" spans="1:1">
      <c r="A14582" t="s">
        <v>15114</v>
      </c>
    </row>
    <row r="14583" spans="1:1">
      <c r="A14583" t="s">
        <v>15115</v>
      </c>
    </row>
    <row r="14584" spans="1:1">
      <c r="A14584" t="s">
        <v>15116</v>
      </c>
    </row>
    <row r="14585" spans="1:1">
      <c r="A14585" t="s">
        <v>15117</v>
      </c>
    </row>
    <row r="14586" spans="1:1">
      <c r="A14586" t="s">
        <v>15118</v>
      </c>
    </row>
    <row r="14587" spans="1:1">
      <c r="A14587" t="s">
        <v>15119</v>
      </c>
    </row>
    <row r="14588" spans="1:1">
      <c r="A14588" t="s">
        <v>15120</v>
      </c>
    </row>
    <row r="14589" spans="1:1">
      <c r="A14589" t="s">
        <v>15121</v>
      </c>
    </row>
    <row r="14590" spans="1:1">
      <c r="A14590" t="s">
        <v>15122</v>
      </c>
    </row>
    <row r="14591" spans="1:1">
      <c r="A14591" t="s">
        <v>15123</v>
      </c>
    </row>
    <row r="14592" spans="1:1">
      <c r="A14592" t="s">
        <v>15124</v>
      </c>
    </row>
    <row r="14593" spans="1:1">
      <c r="A14593" t="s">
        <v>15125</v>
      </c>
    </row>
    <row r="14594" spans="1:1">
      <c r="A14594" t="s">
        <v>15126</v>
      </c>
    </row>
    <row r="14595" spans="1:1">
      <c r="A14595" t="s">
        <v>15127</v>
      </c>
    </row>
    <row r="14596" spans="1:1">
      <c r="A14596" t="s">
        <v>15128</v>
      </c>
    </row>
    <row r="14597" spans="1:1">
      <c r="A14597" t="s">
        <v>15129</v>
      </c>
    </row>
    <row r="14598" spans="1:1">
      <c r="A14598" t="s">
        <v>15130</v>
      </c>
    </row>
    <row r="14599" spans="1:1">
      <c r="A14599" t="s">
        <v>15131</v>
      </c>
    </row>
    <row r="14600" spans="1:1">
      <c r="A14600" t="s">
        <v>15132</v>
      </c>
    </row>
    <row r="14601" spans="1:1">
      <c r="A14601" t="s">
        <v>15133</v>
      </c>
    </row>
    <row r="14602" spans="1:1">
      <c r="A14602" t="s">
        <v>15134</v>
      </c>
    </row>
    <row r="14603" spans="1:1">
      <c r="A14603" t="s">
        <v>15135</v>
      </c>
    </row>
    <row r="14604" spans="1:1">
      <c r="A14604" t="s">
        <v>15136</v>
      </c>
    </row>
    <row r="14605" spans="1:1">
      <c r="A14605" t="s">
        <v>15137</v>
      </c>
    </row>
    <row r="14606" spans="1:1">
      <c r="A14606" t="s">
        <v>15138</v>
      </c>
    </row>
    <row r="14607" spans="1:1">
      <c r="A14607" t="s">
        <v>15139</v>
      </c>
    </row>
    <row r="14608" spans="1:1">
      <c r="A14608" t="s">
        <v>15140</v>
      </c>
    </row>
    <row r="14609" spans="1:1">
      <c r="A14609" t="s">
        <v>15141</v>
      </c>
    </row>
    <row r="14610" spans="1:1">
      <c r="A14610" t="s">
        <v>15142</v>
      </c>
    </row>
    <row r="14611" spans="1:1">
      <c r="A14611" t="s">
        <v>15143</v>
      </c>
    </row>
    <row r="14612" spans="1:1">
      <c r="A14612" t="s">
        <v>15144</v>
      </c>
    </row>
    <row r="14613" spans="1:1">
      <c r="A14613" t="s">
        <v>15145</v>
      </c>
    </row>
    <row r="14614" spans="1:1">
      <c r="A14614" t="s">
        <v>15146</v>
      </c>
    </row>
    <row r="14615" spans="1:1">
      <c r="A14615" t="s">
        <v>15147</v>
      </c>
    </row>
    <row r="14616" spans="1:1">
      <c r="A14616" t="s">
        <v>15148</v>
      </c>
    </row>
    <row r="14617" spans="1:1">
      <c r="A14617" t="s">
        <v>15149</v>
      </c>
    </row>
    <row r="14618" spans="1:1">
      <c r="A14618" t="s">
        <v>15150</v>
      </c>
    </row>
    <row r="14619" spans="1:1">
      <c r="A14619" t="s">
        <v>15151</v>
      </c>
    </row>
    <row r="14620" spans="1:1">
      <c r="A14620" t="s">
        <v>15152</v>
      </c>
    </row>
    <row r="14621" spans="1:1">
      <c r="A14621" t="s">
        <v>15153</v>
      </c>
    </row>
    <row r="14622" spans="1:1">
      <c r="A14622" t="s">
        <v>15154</v>
      </c>
    </row>
    <row r="14623" spans="1:1">
      <c r="A14623" t="s">
        <v>15155</v>
      </c>
    </row>
    <row r="14624" spans="1:1">
      <c r="A14624" t="s">
        <v>15156</v>
      </c>
    </row>
    <row r="14625" spans="1:1">
      <c r="A14625" t="s">
        <v>15157</v>
      </c>
    </row>
    <row r="14626" spans="1:1">
      <c r="A14626" t="s">
        <v>15158</v>
      </c>
    </row>
    <row r="14627" spans="1:1">
      <c r="A14627" t="s">
        <v>15159</v>
      </c>
    </row>
    <row r="14628" spans="1:1">
      <c r="A14628" t="s">
        <v>15160</v>
      </c>
    </row>
    <row r="14629" spans="1:1">
      <c r="A14629" t="s">
        <v>15161</v>
      </c>
    </row>
    <row r="14630" spans="1:1">
      <c r="A14630" t="s">
        <v>15162</v>
      </c>
    </row>
    <row r="14631" spans="1:1">
      <c r="A14631" t="s">
        <v>15163</v>
      </c>
    </row>
    <row r="14632" spans="1:1">
      <c r="A14632" t="s">
        <v>15164</v>
      </c>
    </row>
    <row r="14633" spans="1:1">
      <c r="A14633" t="s">
        <v>15165</v>
      </c>
    </row>
    <row r="14634" spans="1:1">
      <c r="A14634" t="s">
        <v>15166</v>
      </c>
    </row>
    <row r="14635" spans="1:1">
      <c r="A14635" t="s">
        <v>15167</v>
      </c>
    </row>
    <row r="14636" spans="1:1">
      <c r="A14636" t="s">
        <v>15168</v>
      </c>
    </row>
    <row r="14637" spans="1:1">
      <c r="A14637" t="s">
        <v>15169</v>
      </c>
    </row>
    <row r="14638" spans="1:1">
      <c r="A14638" t="s">
        <v>15170</v>
      </c>
    </row>
    <row r="14639" spans="1:1">
      <c r="A14639" t="s">
        <v>15171</v>
      </c>
    </row>
    <row r="14640" spans="1:1">
      <c r="A14640" t="s">
        <v>15172</v>
      </c>
    </row>
    <row r="14641" spans="1:1">
      <c r="A14641" t="s">
        <v>15173</v>
      </c>
    </row>
    <row r="14642" spans="1:1">
      <c r="A14642" t="s">
        <v>15174</v>
      </c>
    </row>
    <row r="14643" spans="1:1">
      <c r="A14643" t="s">
        <v>15175</v>
      </c>
    </row>
    <row r="14644" spans="1:1">
      <c r="A14644" t="s">
        <v>15176</v>
      </c>
    </row>
    <row r="14645" spans="1:1">
      <c r="A14645" t="s">
        <v>15177</v>
      </c>
    </row>
    <row r="14646" spans="1:1">
      <c r="A14646" t="s">
        <v>15178</v>
      </c>
    </row>
    <row r="14647" spans="1:1">
      <c r="A14647" t="s">
        <v>15179</v>
      </c>
    </row>
    <row r="14648" spans="1:1">
      <c r="A14648" t="s">
        <v>15180</v>
      </c>
    </row>
    <row r="14649" spans="1:1">
      <c r="A14649" t="s">
        <v>15181</v>
      </c>
    </row>
    <row r="14650" spans="1:1">
      <c r="A14650" t="s">
        <v>15182</v>
      </c>
    </row>
    <row r="14651" spans="1:1">
      <c r="A14651" t="s">
        <v>15183</v>
      </c>
    </row>
    <row r="14652" spans="1:1">
      <c r="A14652" t="s">
        <v>15184</v>
      </c>
    </row>
    <row r="14653" spans="1:1">
      <c r="A14653" t="s">
        <v>15185</v>
      </c>
    </row>
    <row r="14654" spans="1:1">
      <c r="A14654" t="s">
        <v>15186</v>
      </c>
    </row>
    <row r="14655" spans="1:1">
      <c r="A14655" t="s">
        <v>15187</v>
      </c>
    </row>
    <row r="14656" spans="1:1">
      <c r="A14656" t="s">
        <v>15188</v>
      </c>
    </row>
    <row r="14657" spans="1:1">
      <c r="A14657" t="s">
        <v>15189</v>
      </c>
    </row>
    <row r="14658" spans="1:1">
      <c r="A14658" t="s">
        <v>15190</v>
      </c>
    </row>
    <row r="14659" spans="1:1">
      <c r="A14659" t="s">
        <v>15191</v>
      </c>
    </row>
    <row r="14660" spans="1:1">
      <c r="A14660" t="s">
        <v>15192</v>
      </c>
    </row>
    <row r="14661" spans="1:1">
      <c r="A14661" t="s">
        <v>15193</v>
      </c>
    </row>
    <row r="14662" spans="1:1">
      <c r="A14662" t="s">
        <v>15194</v>
      </c>
    </row>
    <row r="14663" spans="1:1">
      <c r="A14663" t="s">
        <v>15195</v>
      </c>
    </row>
    <row r="14664" spans="1:1">
      <c r="A14664" t="s">
        <v>15196</v>
      </c>
    </row>
    <row r="14665" spans="1:1">
      <c r="A14665" t="s">
        <v>15197</v>
      </c>
    </row>
    <row r="14666" spans="1:1">
      <c r="A14666" t="s">
        <v>15198</v>
      </c>
    </row>
    <row r="14667" spans="1:1">
      <c r="A14667" t="s">
        <v>15199</v>
      </c>
    </row>
    <row r="14668" spans="1:1">
      <c r="A14668" t="s">
        <v>15200</v>
      </c>
    </row>
    <row r="14669" spans="1:1">
      <c r="A14669" t="s">
        <v>15201</v>
      </c>
    </row>
    <row r="14670" spans="1:1">
      <c r="A14670" t="s">
        <v>15202</v>
      </c>
    </row>
    <row r="14671" spans="1:1">
      <c r="A14671" t="s">
        <v>15203</v>
      </c>
    </row>
    <row r="14672" spans="1:1">
      <c r="A14672" t="s">
        <v>15204</v>
      </c>
    </row>
    <row r="14673" spans="1:1">
      <c r="A14673" t="s">
        <v>15205</v>
      </c>
    </row>
    <row r="14674" spans="1:1">
      <c r="A14674" t="s">
        <v>15206</v>
      </c>
    </row>
    <row r="14675" spans="1:1">
      <c r="A14675" t="s">
        <v>15207</v>
      </c>
    </row>
    <row r="14676" spans="1:1">
      <c r="A14676" t="s">
        <v>15208</v>
      </c>
    </row>
    <row r="14677" spans="1:1">
      <c r="A14677" t="s">
        <v>15209</v>
      </c>
    </row>
    <row r="14678" spans="1:1">
      <c r="A14678" t="s">
        <v>15210</v>
      </c>
    </row>
    <row r="14679" spans="1:1">
      <c r="A14679" t="s">
        <v>15211</v>
      </c>
    </row>
    <row r="14680" spans="1:1">
      <c r="A14680" t="s">
        <v>15212</v>
      </c>
    </row>
    <row r="14681" spans="1:1">
      <c r="A14681" t="s">
        <v>15213</v>
      </c>
    </row>
    <row r="14682" spans="1:1">
      <c r="A14682" t="s">
        <v>15214</v>
      </c>
    </row>
    <row r="14683" spans="1:1">
      <c r="A14683" t="s">
        <v>15215</v>
      </c>
    </row>
    <row r="14684" spans="1:1">
      <c r="A14684" t="s">
        <v>15216</v>
      </c>
    </row>
    <row r="14685" spans="1:1">
      <c r="A14685" t="s">
        <v>15217</v>
      </c>
    </row>
    <row r="14686" spans="1:1">
      <c r="A14686" t="s">
        <v>15218</v>
      </c>
    </row>
    <row r="14687" spans="1:1">
      <c r="A14687" t="s">
        <v>15219</v>
      </c>
    </row>
    <row r="14688" spans="1:1">
      <c r="A14688" t="s">
        <v>15220</v>
      </c>
    </row>
    <row r="14689" spans="1:1">
      <c r="A14689" t="s">
        <v>15221</v>
      </c>
    </row>
    <row r="14690" spans="1:1">
      <c r="A14690" t="s">
        <v>15222</v>
      </c>
    </row>
    <row r="14691" spans="1:1">
      <c r="A14691" t="s">
        <v>15223</v>
      </c>
    </row>
    <row r="14692" spans="1:1">
      <c r="A14692" t="s">
        <v>15224</v>
      </c>
    </row>
    <row r="14693" spans="1:1">
      <c r="A14693" t="s">
        <v>15225</v>
      </c>
    </row>
    <row r="14694" spans="1:1">
      <c r="A14694" t="s">
        <v>15226</v>
      </c>
    </row>
    <row r="14695" spans="1:1">
      <c r="A14695" t="s">
        <v>15227</v>
      </c>
    </row>
    <row r="14696" spans="1:1">
      <c r="A14696" t="s">
        <v>15228</v>
      </c>
    </row>
    <row r="14697" spans="1:1">
      <c r="A14697" t="s">
        <v>15229</v>
      </c>
    </row>
    <row r="14698" spans="1:1">
      <c r="A14698" t="s">
        <v>15230</v>
      </c>
    </row>
    <row r="14699" spans="1:1">
      <c r="A14699" t="s">
        <v>15231</v>
      </c>
    </row>
    <row r="14700" spans="1:1">
      <c r="A14700" t="s">
        <v>15232</v>
      </c>
    </row>
    <row r="14701" spans="1:1">
      <c r="A14701" t="s">
        <v>15233</v>
      </c>
    </row>
    <row r="14702" spans="1:1">
      <c r="A14702" t="s">
        <v>15234</v>
      </c>
    </row>
    <row r="14703" spans="1:1">
      <c r="A14703" t="s">
        <v>15235</v>
      </c>
    </row>
    <row r="14704" spans="1:1">
      <c r="A14704" t="s">
        <v>15236</v>
      </c>
    </row>
    <row r="14705" spans="1:1">
      <c r="A14705" t="s">
        <v>15237</v>
      </c>
    </row>
    <row r="14706" spans="1:1">
      <c r="A14706" t="s">
        <v>15238</v>
      </c>
    </row>
    <row r="14707" spans="1:1">
      <c r="A14707" t="s">
        <v>15239</v>
      </c>
    </row>
    <row r="14708" spans="1:1">
      <c r="A14708" t="s">
        <v>15240</v>
      </c>
    </row>
    <row r="14709" spans="1:1">
      <c r="A14709" t="s">
        <v>15241</v>
      </c>
    </row>
    <row r="14710" spans="1:1">
      <c r="A14710" t="s">
        <v>15242</v>
      </c>
    </row>
    <row r="14711" spans="1:1">
      <c r="A14711" t="s">
        <v>15243</v>
      </c>
    </row>
    <row r="14712" spans="1:1">
      <c r="A14712" t="s">
        <v>15244</v>
      </c>
    </row>
    <row r="14713" spans="1:1">
      <c r="A14713" t="s">
        <v>15245</v>
      </c>
    </row>
    <row r="14714" spans="1:1">
      <c r="A14714" t="s">
        <v>15246</v>
      </c>
    </row>
    <row r="14715" spans="1:1">
      <c r="A14715" t="s">
        <v>15247</v>
      </c>
    </row>
    <row r="14716" spans="1:1">
      <c r="A14716" t="s">
        <v>15248</v>
      </c>
    </row>
    <row r="14717" spans="1:1">
      <c r="A14717" t="s">
        <v>15249</v>
      </c>
    </row>
    <row r="14718" spans="1:1">
      <c r="A14718" t="s">
        <v>15250</v>
      </c>
    </row>
    <row r="14719" spans="1:1">
      <c r="A14719" t="s">
        <v>15251</v>
      </c>
    </row>
    <row r="14720" spans="1:1">
      <c r="A14720" t="s">
        <v>15252</v>
      </c>
    </row>
    <row r="14721" spans="1:1">
      <c r="A14721" t="s">
        <v>15253</v>
      </c>
    </row>
    <row r="14722" spans="1:1">
      <c r="A14722" t="s">
        <v>15254</v>
      </c>
    </row>
    <row r="14723" spans="1:1">
      <c r="A14723" t="s">
        <v>15255</v>
      </c>
    </row>
    <row r="14724" spans="1:1">
      <c r="A14724" t="s">
        <v>15256</v>
      </c>
    </row>
    <row r="14725" spans="1:1">
      <c r="A14725" t="s">
        <v>15257</v>
      </c>
    </row>
    <row r="14726" spans="1:1">
      <c r="A14726" t="s">
        <v>15258</v>
      </c>
    </row>
    <row r="14727" spans="1:1">
      <c r="A14727" t="s">
        <v>15259</v>
      </c>
    </row>
    <row r="14728" spans="1:1">
      <c r="A14728" t="s">
        <v>15260</v>
      </c>
    </row>
    <row r="14729" spans="1:1">
      <c r="A14729" t="s">
        <v>15261</v>
      </c>
    </row>
    <row r="14730" spans="1:1">
      <c r="A14730" t="s">
        <v>15262</v>
      </c>
    </row>
    <row r="14731" spans="1:1">
      <c r="A14731" t="s">
        <v>15263</v>
      </c>
    </row>
    <row r="14732" spans="1:1">
      <c r="A14732" t="s">
        <v>15264</v>
      </c>
    </row>
    <row r="14733" spans="1:1">
      <c r="A14733" t="s">
        <v>15265</v>
      </c>
    </row>
    <row r="14734" spans="1:1">
      <c r="A14734" t="s">
        <v>15266</v>
      </c>
    </row>
    <row r="14735" spans="1:1">
      <c r="A14735" t="s">
        <v>15267</v>
      </c>
    </row>
    <row r="14736" spans="1:1">
      <c r="A14736" t="s">
        <v>15268</v>
      </c>
    </row>
    <row r="14737" spans="1:1">
      <c r="A14737" t="s">
        <v>15269</v>
      </c>
    </row>
    <row r="14738" spans="1:1">
      <c r="A14738" t="s">
        <v>15270</v>
      </c>
    </row>
    <row r="14739" spans="1:1">
      <c r="A14739" t="s">
        <v>15271</v>
      </c>
    </row>
    <row r="14740" spans="1:1">
      <c r="A14740" t="s">
        <v>15272</v>
      </c>
    </row>
    <row r="14741" spans="1:1">
      <c r="A14741" t="s">
        <v>15273</v>
      </c>
    </row>
    <row r="14742" spans="1:1">
      <c r="A14742" t="s">
        <v>15274</v>
      </c>
    </row>
    <row r="14743" spans="1:1">
      <c r="A14743" t="s">
        <v>15275</v>
      </c>
    </row>
    <row r="14744" spans="1:1">
      <c r="A14744" t="s">
        <v>15276</v>
      </c>
    </row>
    <row r="14745" spans="1:1">
      <c r="A14745" t="s">
        <v>15277</v>
      </c>
    </row>
    <row r="14746" spans="1:1">
      <c r="A14746" t="s">
        <v>15278</v>
      </c>
    </row>
    <row r="14747" spans="1:1">
      <c r="A14747" t="s">
        <v>15279</v>
      </c>
    </row>
    <row r="14748" spans="1:1">
      <c r="A14748" t="s">
        <v>15280</v>
      </c>
    </row>
    <row r="14749" spans="1:1">
      <c r="A14749" t="s">
        <v>15281</v>
      </c>
    </row>
    <row r="14750" spans="1:1">
      <c r="A14750" t="s">
        <v>15282</v>
      </c>
    </row>
    <row r="14751" spans="1:1">
      <c r="A14751" t="s">
        <v>15283</v>
      </c>
    </row>
    <row r="14752" spans="1:1">
      <c r="A14752" t="s">
        <v>15284</v>
      </c>
    </row>
    <row r="14753" spans="1:1">
      <c r="A14753" t="s">
        <v>15285</v>
      </c>
    </row>
    <row r="14754" spans="1:1">
      <c r="A14754" t="s">
        <v>15286</v>
      </c>
    </row>
    <row r="14755" spans="1:1">
      <c r="A14755" t="s">
        <v>15287</v>
      </c>
    </row>
    <row r="14756" spans="1:1">
      <c r="A14756" t="s">
        <v>15288</v>
      </c>
    </row>
    <row r="14757" spans="1:1">
      <c r="A14757" t="s">
        <v>15289</v>
      </c>
    </row>
    <row r="14758" spans="1:1">
      <c r="A14758" t="s">
        <v>15290</v>
      </c>
    </row>
    <row r="14759" spans="1:1">
      <c r="A14759" t="s">
        <v>15291</v>
      </c>
    </row>
    <row r="14760" spans="1:1">
      <c r="A14760" t="s">
        <v>15292</v>
      </c>
    </row>
    <row r="14761" spans="1:1">
      <c r="A14761" t="s">
        <v>15293</v>
      </c>
    </row>
    <row r="14762" spans="1:1">
      <c r="A14762" t="s">
        <v>15294</v>
      </c>
    </row>
    <row r="14763" spans="1:1">
      <c r="A14763" t="s">
        <v>15295</v>
      </c>
    </row>
    <row r="14764" spans="1:1">
      <c r="A14764" t="s">
        <v>15296</v>
      </c>
    </row>
    <row r="14765" spans="1:1">
      <c r="A14765" t="s">
        <v>15297</v>
      </c>
    </row>
    <row r="14766" spans="1:1">
      <c r="A14766" t="s">
        <v>15298</v>
      </c>
    </row>
    <row r="14767" spans="1:1">
      <c r="A14767" t="s">
        <v>15299</v>
      </c>
    </row>
    <row r="14768" spans="1:1">
      <c r="A14768" t="s">
        <v>15300</v>
      </c>
    </row>
    <row r="14769" spans="1:1">
      <c r="A14769" t="s">
        <v>15301</v>
      </c>
    </row>
    <row r="14770" spans="1:1">
      <c r="A14770" t="s">
        <v>15302</v>
      </c>
    </row>
    <row r="14771" spans="1:1">
      <c r="A14771" t="s">
        <v>15303</v>
      </c>
    </row>
    <row r="14772" spans="1:1">
      <c r="A14772" t="s">
        <v>15304</v>
      </c>
    </row>
    <row r="14773" spans="1:1">
      <c r="A14773" t="s">
        <v>15305</v>
      </c>
    </row>
    <row r="14774" spans="1:1">
      <c r="A14774" t="s">
        <v>15306</v>
      </c>
    </row>
    <row r="14775" spans="1:1">
      <c r="A14775" t="s">
        <v>15307</v>
      </c>
    </row>
    <row r="14776" spans="1:1">
      <c r="A14776" t="s">
        <v>15308</v>
      </c>
    </row>
    <row r="14777" spans="1:1">
      <c r="A14777" t="s">
        <v>15309</v>
      </c>
    </row>
    <row r="14778" spans="1:1">
      <c r="A14778" t="s">
        <v>15310</v>
      </c>
    </row>
    <row r="14779" spans="1:1">
      <c r="A14779" t="s">
        <v>15311</v>
      </c>
    </row>
    <row r="14780" spans="1:1">
      <c r="A14780" t="s">
        <v>15312</v>
      </c>
    </row>
    <row r="14781" spans="1:1">
      <c r="A14781" t="s">
        <v>15313</v>
      </c>
    </row>
    <row r="14782" spans="1:1">
      <c r="A14782" t="s">
        <v>15314</v>
      </c>
    </row>
    <row r="14783" spans="1:1">
      <c r="A14783" t="s">
        <v>15315</v>
      </c>
    </row>
    <row r="14784" spans="1:1">
      <c r="A14784" t="s">
        <v>15316</v>
      </c>
    </row>
    <row r="14785" spans="1:1">
      <c r="A14785" t="s">
        <v>15317</v>
      </c>
    </row>
    <row r="14786" spans="1:1">
      <c r="A14786" t="s">
        <v>15318</v>
      </c>
    </row>
    <row r="14787" spans="1:1">
      <c r="A14787" t="s">
        <v>15319</v>
      </c>
    </row>
    <row r="14788" spans="1:1">
      <c r="A14788" t="s">
        <v>15320</v>
      </c>
    </row>
    <row r="14789" spans="1:1">
      <c r="A14789" t="s">
        <v>15321</v>
      </c>
    </row>
    <row r="14790" spans="1:1">
      <c r="A14790" t="s">
        <v>15322</v>
      </c>
    </row>
    <row r="14791" spans="1:1">
      <c r="A14791" t="s">
        <v>15323</v>
      </c>
    </row>
    <row r="14792" spans="1:1">
      <c r="A14792" t="s">
        <v>15324</v>
      </c>
    </row>
    <row r="14793" spans="1:1">
      <c r="A14793" t="s">
        <v>15325</v>
      </c>
    </row>
    <row r="14794" spans="1:1">
      <c r="A14794" t="s">
        <v>15326</v>
      </c>
    </row>
    <row r="14795" spans="1:1">
      <c r="A14795" t="s">
        <v>15327</v>
      </c>
    </row>
    <row r="14796" spans="1:1">
      <c r="A14796" t="s">
        <v>15328</v>
      </c>
    </row>
    <row r="14797" spans="1:1">
      <c r="A14797" t="s">
        <v>15329</v>
      </c>
    </row>
    <row r="14798" spans="1:1">
      <c r="A14798" t="s">
        <v>15330</v>
      </c>
    </row>
    <row r="14799" spans="1:1">
      <c r="A14799" t="s">
        <v>15331</v>
      </c>
    </row>
    <row r="14800" spans="1:1">
      <c r="A14800" t="s">
        <v>15332</v>
      </c>
    </row>
    <row r="14801" spans="1:1">
      <c r="A14801" t="s">
        <v>15333</v>
      </c>
    </row>
    <row r="14802" spans="1:1">
      <c r="A14802" t="s">
        <v>15334</v>
      </c>
    </row>
    <row r="14803" spans="1:1">
      <c r="A14803" t="s">
        <v>15335</v>
      </c>
    </row>
    <row r="14804" spans="1:1">
      <c r="A14804" t="s">
        <v>15336</v>
      </c>
    </row>
    <row r="14805" spans="1:1">
      <c r="A14805" t="s">
        <v>15337</v>
      </c>
    </row>
    <row r="14806" spans="1:1">
      <c r="A14806" t="s">
        <v>15338</v>
      </c>
    </row>
    <row r="14807" spans="1:1">
      <c r="A14807" t="s">
        <v>15339</v>
      </c>
    </row>
    <row r="14808" spans="1:1">
      <c r="A14808" t="s">
        <v>15340</v>
      </c>
    </row>
    <row r="14809" spans="1:1">
      <c r="A14809" t="s">
        <v>15341</v>
      </c>
    </row>
    <row r="14810" spans="1:1">
      <c r="A14810" t="s">
        <v>15342</v>
      </c>
    </row>
    <row r="14811" spans="1:1">
      <c r="A14811" t="s">
        <v>15343</v>
      </c>
    </row>
    <row r="14812" spans="1:1">
      <c r="A14812" t="s">
        <v>15344</v>
      </c>
    </row>
    <row r="14813" spans="1:1">
      <c r="A14813" t="s">
        <v>15345</v>
      </c>
    </row>
    <row r="14814" spans="1:1">
      <c r="A14814" t="s">
        <v>15346</v>
      </c>
    </row>
    <row r="14815" spans="1:1">
      <c r="A14815" t="s">
        <v>15347</v>
      </c>
    </row>
    <row r="14816" spans="1:1">
      <c r="A14816" t="s">
        <v>15348</v>
      </c>
    </row>
    <row r="14817" spans="1:1">
      <c r="A14817" t="s">
        <v>15349</v>
      </c>
    </row>
    <row r="14818" spans="1:1">
      <c r="A14818" t="s">
        <v>15350</v>
      </c>
    </row>
    <row r="14819" spans="1:1">
      <c r="A14819" t="s">
        <v>15351</v>
      </c>
    </row>
    <row r="14820" spans="1:1">
      <c r="A14820" t="s">
        <v>15352</v>
      </c>
    </row>
    <row r="14821" spans="1:1">
      <c r="A14821" t="s">
        <v>15353</v>
      </c>
    </row>
    <row r="14822" spans="1:1">
      <c r="A14822" t="s">
        <v>15354</v>
      </c>
    </row>
    <row r="14823" spans="1:1">
      <c r="A14823" t="s">
        <v>15355</v>
      </c>
    </row>
    <row r="14824" spans="1:1">
      <c r="A14824" t="s">
        <v>15356</v>
      </c>
    </row>
    <row r="14825" spans="1:1">
      <c r="A14825" t="s">
        <v>15357</v>
      </c>
    </row>
    <row r="14826" spans="1:1">
      <c r="A14826" t="s">
        <v>15358</v>
      </c>
    </row>
    <row r="14827" spans="1:1">
      <c r="A14827" t="s">
        <v>15359</v>
      </c>
    </row>
    <row r="14828" spans="1:1">
      <c r="A14828" t="s">
        <v>15360</v>
      </c>
    </row>
    <row r="14829" spans="1:1">
      <c r="A14829" t="s">
        <v>15361</v>
      </c>
    </row>
    <row r="14830" spans="1:1">
      <c r="A14830" t="s">
        <v>15362</v>
      </c>
    </row>
    <row r="14831" spans="1:1">
      <c r="A14831" t="s">
        <v>15363</v>
      </c>
    </row>
    <row r="14832" spans="1:1">
      <c r="A14832" t="s">
        <v>15364</v>
      </c>
    </row>
    <row r="14833" spans="1:1">
      <c r="A14833" t="s">
        <v>15365</v>
      </c>
    </row>
    <row r="14834" spans="1:1">
      <c r="A14834" t="s">
        <v>15366</v>
      </c>
    </row>
    <row r="14835" spans="1:1">
      <c r="A14835" t="s">
        <v>15367</v>
      </c>
    </row>
    <row r="14836" spans="1:1">
      <c r="A14836" t="s">
        <v>15368</v>
      </c>
    </row>
    <row r="14837" spans="1:1">
      <c r="A14837" t="s">
        <v>15369</v>
      </c>
    </row>
    <row r="14838" spans="1:1">
      <c r="A14838" t="s">
        <v>15370</v>
      </c>
    </row>
    <row r="14839" spans="1:1">
      <c r="A14839" t="s">
        <v>15371</v>
      </c>
    </row>
    <row r="14840" spans="1:1">
      <c r="A14840" t="s">
        <v>15372</v>
      </c>
    </row>
    <row r="14841" spans="1:1">
      <c r="A14841" t="s">
        <v>15373</v>
      </c>
    </row>
    <row r="14842" spans="1:1">
      <c r="A14842" t="s">
        <v>15374</v>
      </c>
    </row>
    <row r="14843" spans="1:1">
      <c r="A14843" t="s">
        <v>15375</v>
      </c>
    </row>
    <row r="14844" spans="1:1">
      <c r="A14844" t="s">
        <v>15376</v>
      </c>
    </row>
    <row r="14845" spans="1:1">
      <c r="A14845" t="s">
        <v>15377</v>
      </c>
    </row>
    <row r="14846" spans="1:1">
      <c r="A14846" t="s">
        <v>15378</v>
      </c>
    </row>
    <row r="14847" spans="1:1">
      <c r="A14847" t="s">
        <v>15379</v>
      </c>
    </row>
    <row r="14848" spans="1:1">
      <c r="A14848" t="s">
        <v>15380</v>
      </c>
    </row>
    <row r="14849" spans="1:1">
      <c r="A14849" t="s">
        <v>15381</v>
      </c>
    </row>
    <row r="14850" spans="1:1">
      <c r="A14850" t="s">
        <v>15382</v>
      </c>
    </row>
    <row r="14851" spans="1:1">
      <c r="A14851" t="s">
        <v>15383</v>
      </c>
    </row>
    <row r="14852" spans="1:1">
      <c r="A14852" t="s">
        <v>15384</v>
      </c>
    </row>
    <row r="14853" spans="1:1">
      <c r="A14853" t="s">
        <v>15385</v>
      </c>
    </row>
    <row r="14854" spans="1:1">
      <c r="A14854" t="s">
        <v>15386</v>
      </c>
    </row>
    <row r="14855" spans="1:1">
      <c r="A14855" t="s">
        <v>15387</v>
      </c>
    </row>
    <row r="14856" spans="1:1">
      <c r="A14856" t="s">
        <v>15388</v>
      </c>
    </row>
    <row r="14857" spans="1:1">
      <c r="A14857" t="s">
        <v>15389</v>
      </c>
    </row>
    <row r="14858" spans="1:1">
      <c r="A14858" t="s">
        <v>15390</v>
      </c>
    </row>
    <row r="14859" spans="1:1">
      <c r="A14859" t="s">
        <v>15391</v>
      </c>
    </row>
    <row r="14860" spans="1:1">
      <c r="A14860" t="s">
        <v>15392</v>
      </c>
    </row>
    <row r="14861" spans="1:1">
      <c r="A14861" t="s">
        <v>15393</v>
      </c>
    </row>
    <row r="14862" spans="1:1">
      <c r="A14862" t="s">
        <v>15394</v>
      </c>
    </row>
    <row r="14863" spans="1:1">
      <c r="A14863" t="s">
        <v>15395</v>
      </c>
    </row>
    <row r="14864" spans="1:1">
      <c r="A14864" t="s">
        <v>15396</v>
      </c>
    </row>
    <row r="14865" spans="1:1">
      <c r="A14865" t="s">
        <v>15397</v>
      </c>
    </row>
    <row r="14866" spans="1:1">
      <c r="A14866" t="s">
        <v>15398</v>
      </c>
    </row>
    <row r="14867" spans="1:1">
      <c r="A14867" t="s">
        <v>15399</v>
      </c>
    </row>
    <row r="14868" spans="1:1">
      <c r="A14868" t="s">
        <v>15400</v>
      </c>
    </row>
    <row r="14869" spans="1:1">
      <c r="A14869" t="s">
        <v>15401</v>
      </c>
    </row>
    <row r="14870" spans="1:1">
      <c r="A14870" t="s">
        <v>15402</v>
      </c>
    </row>
    <row r="14871" spans="1:1">
      <c r="A14871" t="s">
        <v>15403</v>
      </c>
    </row>
    <row r="14872" spans="1:1">
      <c r="A14872" t="s">
        <v>15404</v>
      </c>
    </row>
    <row r="14873" spans="1:1">
      <c r="A14873" t="s">
        <v>15405</v>
      </c>
    </row>
    <row r="14874" spans="1:1">
      <c r="A14874" t="s">
        <v>15406</v>
      </c>
    </row>
    <row r="14875" spans="1:1">
      <c r="A14875" t="s">
        <v>15407</v>
      </c>
    </row>
    <row r="14876" spans="1:1">
      <c r="A14876" t="s">
        <v>15408</v>
      </c>
    </row>
    <row r="14877" spans="1:1">
      <c r="A14877" t="s">
        <v>15409</v>
      </c>
    </row>
    <row r="14878" spans="1:1">
      <c r="A14878" t="s">
        <v>15410</v>
      </c>
    </row>
    <row r="14879" spans="1:1">
      <c r="A14879" t="s">
        <v>15411</v>
      </c>
    </row>
    <row r="14880" spans="1:1">
      <c r="A14880" t="s">
        <v>15412</v>
      </c>
    </row>
    <row r="14881" spans="1:1">
      <c r="A14881" t="s">
        <v>15413</v>
      </c>
    </row>
    <row r="14882" spans="1:1">
      <c r="A14882" t="s">
        <v>15414</v>
      </c>
    </row>
    <row r="14883" spans="1:1">
      <c r="A14883" t="s">
        <v>15415</v>
      </c>
    </row>
    <row r="14884" spans="1:1">
      <c r="A14884" t="s">
        <v>15416</v>
      </c>
    </row>
    <row r="14885" spans="1:1">
      <c r="A14885" t="s">
        <v>15417</v>
      </c>
    </row>
    <row r="14886" spans="1:1">
      <c r="A14886" t="s">
        <v>15418</v>
      </c>
    </row>
    <row r="14887" spans="1:1">
      <c r="A14887" t="s">
        <v>15419</v>
      </c>
    </row>
    <row r="14888" spans="1:1">
      <c r="A14888" t="s">
        <v>15420</v>
      </c>
    </row>
    <row r="14889" spans="1:1">
      <c r="A14889" t="s">
        <v>15421</v>
      </c>
    </row>
    <row r="14890" spans="1:1">
      <c r="A14890" t="s">
        <v>15422</v>
      </c>
    </row>
    <row r="14891" spans="1:1">
      <c r="A14891" t="s">
        <v>15423</v>
      </c>
    </row>
    <row r="14892" spans="1:1">
      <c r="A14892" t="s">
        <v>15424</v>
      </c>
    </row>
    <row r="14893" spans="1:1">
      <c r="A14893" t="s">
        <v>15425</v>
      </c>
    </row>
    <row r="14894" spans="1:1">
      <c r="A14894" t="s">
        <v>15426</v>
      </c>
    </row>
    <row r="14895" spans="1:1">
      <c r="A14895" t="s">
        <v>15427</v>
      </c>
    </row>
    <row r="14896" spans="1:1">
      <c r="A14896" t="s">
        <v>15428</v>
      </c>
    </row>
    <row r="14897" spans="1:1">
      <c r="A14897" t="s">
        <v>15429</v>
      </c>
    </row>
    <row r="14898" spans="1:1">
      <c r="A14898" t="s">
        <v>15430</v>
      </c>
    </row>
    <row r="14899" spans="1:1">
      <c r="A14899" t="s">
        <v>15431</v>
      </c>
    </row>
    <row r="14900" spans="1:1">
      <c r="A14900" t="s">
        <v>15432</v>
      </c>
    </row>
    <row r="14901" spans="1:1">
      <c r="A14901" t="s">
        <v>15433</v>
      </c>
    </row>
    <row r="14902" spans="1:1">
      <c r="A14902" t="s">
        <v>15434</v>
      </c>
    </row>
    <row r="14903" spans="1:1">
      <c r="A14903" t="s">
        <v>15435</v>
      </c>
    </row>
    <row r="14904" spans="1:1">
      <c r="A14904" t="s">
        <v>15436</v>
      </c>
    </row>
    <row r="14905" spans="1:1">
      <c r="A14905" t="s">
        <v>15437</v>
      </c>
    </row>
    <row r="14906" spans="1:1">
      <c r="A14906" t="s">
        <v>15438</v>
      </c>
    </row>
    <row r="14907" spans="1:1">
      <c r="A14907" t="s">
        <v>15439</v>
      </c>
    </row>
    <row r="14908" spans="1:1">
      <c r="A14908" t="s">
        <v>15440</v>
      </c>
    </row>
    <row r="14909" spans="1:1">
      <c r="A14909" t="s">
        <v>15441</v>
      </c>
    </row>
    <row r="14910" spans="1:1">
      <c r="A14910" t="s">
        <v>15442</v>
      </c>
    </row>
    <row r="14911" spans="1:1">
      <c r="A14911" t="s">
        <v>15443</v>
      </c>
    </row>
    <row r="14912" spans="1:1">
      <c r="A14912" t="s">
        <v>15444</v>
      </c>
    </row>
    <row r="14913" spans="1:1">
      <c r="A14913" t="s">
        <v>15445</v>
      </c>
    </row>
    <row r="14914" spans="1:1">
      <c r="A14914" t="s">
        <v>15446</v>
      </c>
    </row>
    <row r="14915" spans="1:1">
      <c r="A14915" t="s">
        <v>15447</v>
      </c>
    </row>
    <row r="14916" spans="1:1">
      <c r="A14916" t="s">
        <v>15448</v>
      </c>
    </row>
    <row r="14917" spans="1:1">
      <c r="A14917" t="s">
        <v>15449</v>
      </c>
    </row>
    <row r="14918" spans="1:1">
      <c r="A14918" t="s">
        <v>15450</v>
      </c>
    </row>
    <row r="14919" spans="1:1">
      <c r="A14919" t="s">
        <v>15451</v>
      </c>
    </row>
    <row r="14920" spans="1:1">
      <c r="A14920" t="s">
        <v>15452</v>
      </c>
    </row>
    <row r="14921" spans="1:1">
      <c r="A14921" t="s">
        <v>15453</v>
      </c>
    </row>
    <row r="14922" spans="1:1">
      <c r="A14922" t="s">
        <v>15454</v>
      </c>
    </row>
    <row r="14923" spans="1:1">
      <c r="A14923" t="s">
        <v>15455</v>
      </c>
    </row>
    <row r="14924" spans="1:1">
      <c r="A14924" t="s">
        <v>15456</v>
      </c>
    </row>
    <row r="14925" spans="1:1">
      <c r="A14925" t="s">
        <v>15457</v>
      </c>
    </row>
    <row r="14926" spans="1:1">
      <c r="A14926" t="s">
        <v>15458</v>
      </c>
    </row>
    <row r="14927" spans="1:1">
      <c r="A14927" t="s">
        <v>15459</v>
      </c>
    </row>
    <row r="14928" spans="1:1">
      <c r="A14928" t="s">
        <v>15460</v>
      </c>
    </row>
    <row r="14929" spans="1:1">
      <c r="A14929" t="s">
        <v>15461</v>
      </c>
    </row>
    <row r="14930" spans="1:1">
      <c r="A14930" t="s">
        <v>15462</v>
      </c>
    </row>
    <row r="14931" spans="1:1">
      <c r="A14931" t="s">
        <v>15463</v>
      </c>
    </row>
    <row r="14932" spans="1:1">
      <c r="A14932" t="s">
        <v>15464</v>
      </c>
    </row>
    <row r="14933" spans="1:1">
      <c r="A14933" t="s">
        <v>15465</v>
      </c>
    </row>
    <row r="14934" spans="1:1">
      <c r="A14934" t="s">
        <v>15466</v>
      </c>
    </row>
    <row r="14935" spans="1:1">
      <c r="A14935" t="s">
        <v>15467</v>
      </c>
    </row>
    <row r="14936" spans="1:1">
      <c r="A14936" t="s">
        <v>15468</v>
      </c>
    </row>
    <row r="14937" spans="1:1">
      <c r="A14937" t="s">
        <v>15469</v>
      </c>
    </row>
    <row r="14938" spans="1:1">
      <c r="A14938" t="s">
        <v>15470</v>
      </c>
    </row>
    <row r="14939" spans="1:1">
      <c r="A14939" t="s">
        <v>15471</v>
      </c>
    </row>
    <row r="14940" spans="1:1">
      <c r="A14940" t="s">
        <v>15472</v>
      </c>
    </row>
    <row r="14941" spans="1:1">
      <c r="A14941" t="s">
        <v>15473</v>
      </c>
    </row>
    <row r="14942" spans="1:1">
      <c r="A14942" t="s">
        <v>15474</v>
      </c>
    </row>
    <row r="14943" spans="1:1">
      <c r="A14943" t="s">
        <v>15475</v>
      </c>
    </row>
    <row r="14944" spans="1:1">
      <c r="A14944" t="s">
        <v>15476</v>
      </c>
    </row>
    <row r="14945" spans="1:1">
      <c r="A14945" t="s">
        <v>15477</v>
      </c>
    </row>
    <row r="14946" spans="1:1">
      <c r="A14946" t="s">
        <v>15478</v>
      </c>
    </row>
    <row r="14947" spans="1:1">
      <c r="A14947" t="s">
        <v>15479</v>
      </c>
    </row>
    <row r="14948" spans="1:1">
      <c r="A14948" t="s">
        <v>15480</v>
      </c>
    </row>
    <row r="14949" spans="1:1">
      <c r="A14949" t="s">
        <v>15481</v>
      </c>
    </row>
    <row r="14950" spans="1:1">
      <c r="A14950" t="s">
        <v>15482</v>
      </c>
    </row>
    <row r="14951" spans="1:1">
      <c r="A14951" t="s">
        <v>15483</v>
      </c>
    </row>
    <row r="14952" spans="1:1">
      <c r="A14952" t="s">
        <v>15484</v>
      </c>
    </row>
    <row r="14953" spans="1:1">
      <c r="A14953" t="s">
        <v>15485</v>
      </c>
    </row>
    <row r="14954" spans="1:1">
      <c r="A14954" t="s">
        <v>15486</v>
      </c>
    </row>
    <row r="14955" spans="1:1">
      <c r="A14955" t="s">
        <v>15487</v>
      </c>
    </row>
    <row r="14956" spans="1:1">
      <c r="A14956" t="s">
        <v>15488</v>
      </c>
    </row>
    <row r="14957" spans="1:1">
      <c r="A14957" t="s">
        <v>15489</v>
      </c>
    </row>
    <row r="14958" spans="1:1">
      <c r="A14958" t="s">
        <v>15490</v>
      </c>
    </row>
    <row r="14959" spans="1:1">
      <c r="A14959" t="s">
        <v>15491</v>
      </c>
    </row>
    <row r="14960" spans="1:1">
      <c r="A14960" t="s">
        <v>15492</v>
      </c>
    </row>
    <row r="14961" spans="1:1">
      <c r="A14961" t="s">
        <v>15493</v>
      </c>
    </row>
    <row r="14962" spans="1:1">
      <c r="A14962" t="s">
        <v>15494</v>
      </c>
    </row>
    <row r="14963" spans="1:1">
      <c r="A14963" t="s">
        <v>15495</v>
      </c>
    </row>
    <row r="14964" spans="1:1">
      <c r="A14964" t="s">
        <v>15496</v>
      </c>
    </row>
    <row r="14965" spans="1:1">
      <c r="A14965" t="s">
        <v>15497</v>
      </c>
    </row>
    <row r="14966" spans="1:1">
      <c r="A14966" t="s">
        <v>15498</v>
      </c>
    </row>
    <row r="14967" spans="1:1">
      <c r="A14967" t="s">
        <v>15499</v>
      </c>
    </row>
    <row r="14968" spans="1:1">
      <c r="A14968" t="s">
        <v>15500</v>
      </c>
    </row>
    <row r="14969" spans="1:1">
      <c r="A14969" t="s">
        <v>15501</v>
      </c>
    </row>
    <row r="14970" spans="1:1">
      <c r="A14970" t="s">
        <v>15502</v>
      </c>
    </row>
    <row r="14971" spans="1:1">
      <c r="A14971" t="s">
        <v>15503</v>
      </c>
    </row>
    <row r="14972" spans="1:1">
      <c r="A14972" t="s">
        <v>15504</v>
      </c>
    </row>
    <row r="14973" spans="1:1">
      <c r="A14973" t="s">
        <v>15505</v>
      </c>
    </row>
    <row r="14974" spans="1:1">
      <c r="A14974" t="s">
        <v>15506</v>
      </c>
    </row>
    <row r="14975" spans="1:1">
      <c r="A14975" t="s">
        <v>15507</v>
      </c>
    </row>
    <row r="14976" spans="1:1">
      <c r="A14976" t="s">
        <v>15508</v>
      </c>
    </row>
    <row r="14977" spans="1:1">
      <c r="A14977" t="s">
        <v>15509</v>
      </c>
    </row>
    <row r="14978" spans="1:1">
      <c r="A14978" t="s">
        <v>15510</v>
      </c>
    </row>
    <row r="14979" spans="1:1">
      <c r="A14979" t="s">
        <v>15511</v>
      </c>
    </row>
    <row r="14980" spans="1:1">
      <c r="A14980" t="s">
        <v>15512</v>
      </c>
    </row>
    <row r="14981" spans="1:1">
      <c r="A14981" t="s">
        <v>15513</v>
      </c>
    </row>
    <row r="14982" spans="1:1">
      <c r="A14982" t="s">
        <v>15514</v>
      </c>
    </row>
    <row r="14983" spans="1:1">
      <c r="A14983" t="s">
        <v>15515</v>
      </c>
    </row>
    <row r="14984" spans="1:1">
      <c r="A14984" t="s">
        <v>15516</v>
      </c>
    </row>
    <row r="14985" spans="1:1">
      <c r="A14985" t="s">
        <v>15517</v>
      </c>
    </row>
    <row r="14986" spans="1:1">
      <c r="A14986" t="s">
        <v>15518</v>
      </c>
    </row>
    <row r="14987" spans="1:1">
      <c r="A14987" t="s">
        <v>15519</v>
      </c>
    </row>
    <row r="14988" spans="1:1">
      <c r="A14988" t="s">
        <v>15520</v>
      </c>
    </row>
    <row r="14989" spans="1:1">
      <c r="A14989" t="s">
        <v>15521</v>
      </c>
    </row>
    <row r="14990" spans="1:1">
      <c r="A14990" t="s">
        <v>15522</v>
      </c>
    </row>
    <row r="14991" spans="1:1">
      <c r="A14991" t="s">
        <v>15523</v>
      </c>
    </row>
    <row r="14992" spans="1:1">
      <c r="A14992" t="s">
        <v>15524</v>
      </c>
    </row>
    <row r="14993" spans="1:1">
      <c r="A14993" t="s">
        <v>15525</v>
      </c>
    </row>
    <row r="14994" spans="1:1">
      <c r="A14994" t="s">
        <v>15526</v>
      </c>
    </row>
    <row r="14995" spans="1:1">
      <c r="A14995" t="s">
        <v>15527</v>
      </c>
    </row>
    <row r="14996" spans="1:1">
      <c r="A14996" t="s">
        <v>15528</v>
      </c>
    </row>
    <row r="14997" spans="1:1">
      <c r="A14997" t="s">
        <v>15529</v>
      </c>
    </row>
    <row r="14998" spans="1:1">
      <c r="A14998" t="s">
        <v>15530</v>
      </c>
    </row>
    <row r="14999" spans="1:1">
      <c r="A14999" t="s">
        <v>15531</v>
      </c>
    </row>
    <row r="15000" spans="1:1">
      <c r="A15000" t="s">
        <v>15532</v>
      </c>
    </row>
    <row r="15001" spans="1:1">
      <c r="A15001" t="s">
        <v>15533</v>
      </c>
    </row>
    <row r="15002" spans="1:1">
      <c r="A15002" t="s">
        <v>15534</v>
      </c>
    </row>
    <row r="15003" spans="1:1">
      <c r="A15003" t="s">
        <v>15535</v>
      </c>
    </row>
    <row r="15004" spans="1:1">
      <c r="A15004" t="s">
        <v>15536</v>
      </c>
    </row>
    <row r="15005" spans="1:1">
      <c r="A15005" t="s">
        <v>15537</v>
      </c>
    </row>
    <row r="15006" spans="1:1">
      <c r="A15006" t="s">
        <v>15538</v>
      </c>
    </row>
    <row r="15007" spans="1:1">
      <c r="A15007" t="s">
        <v>15539</v>
      </c>
    </row>
    <row r="15008" spans="1:1">
      <c r="A15008" t="s">
        <v>15540</v>
      </c>
    </row>
    <row r="15009" spans="1:1">
      <c r="A15009" t="s">
        <v>15541</v>
      </c>
    </row>
    <row r="15010" spans="1:1">
      <c r="A15010" t="s">
        <v>15542</v>
      </c>
    </row>
    <row r="15011" spans="1:1">
      <c r="A15011" t="s">
        <v>15543</v>
      </c>
    </row>
    <row r="15012" spans="1:1">
      <c r="A15012" t="s">
        <v>15544</v>
      </c>
    </row>
    <row r="15013" spans="1:1">
      <c r="A15013" t="s">
        <v>15545</v>
      </c>
    </row>
    <row r="15014" spans="1:1">
      <c r="A15014" t="s">
        <v>15546</v>
      </c>
    </row>
    <row r="15015" spans="1:1">
      <c r="A15015" t="s">
        <v>15547</v>
      </c>
    </row>
    <row r="15016" spans="1:1">
      <c r="A15016" t="s">
        <v>15548</v>
      </c>
    </row>
    <row r="15017" spans="1:1">
      <c r="A15017" t="s">
        <v>15549</v>
      </c>
    </row>
    <row r="15018" spans="1:1">
      <c r="A15018" t="s">
        <v>15550</v>
      </c>
    </row>
    <row r="15019" spans="1:1">
      <c r="A15019" t="s">
        <v>15551</v>
      </c>
    </row>
    <row r="15020" spans="1:1">
      <c r="A15020" t="s">
        <v>15552</v>
      </c>
    </row>
    <row r="15021" spans="1:1">
      <c r="A15021" t="s">
        <v>15553</v>
      </c>
    </row>
    <row r="15022" spans="1:1">
      <c r="A15022" t="s">
        <v>15554</v>
      </c>
    </row>
    <row r="15023" spans="1:1">
      <c r="A15023" t="s">
        <v>15555</v>
      </c>
    </row>
    <row r="15024" spans="1:1">
      <c r="A15024" t="s">
        <v>15556</v>
      </c>
    </row>
    <row r="15025" spans="1:1">
      <c r="A15025" t="s">
        <v>15557</v>
      </c>
    </row>
    <row r="15026" spans="1:1">
      <c r="A15026" t="s">
        <v>15558</v>
      </c>
    </row>
    <row r="15027" spans="1:1">
      <c r="A15027" t="s">
        <v>15559</v>
      </c>
    </row>
    <row r="15028" spans="1:1">
      <c r="A15028" t="s">
        <v>15560</v>
      </c>
    </row>
    <row r="15029" spans="1:1">
      <c r="A15029" t="s">
        <v>15561</v>
      </c>
    </row>
    <row r="15030" spans="1:1">
      <c r="A15030" t="s">
        <v>15562</v>
      </c>
    </row>
    <row r="15031" spans="1:1">
      <c r="A15031" t="s">
        <v>15563</v>
      </c>
    </row>
    <row r="15032" spans="1:1">
      <c r="A15032" t="s">
        <v>15564</v>
      </c>
    </row>
    <row r="15033" spans="1:1">
      <c r="A15033" t="s">
        <v>15565</v>
      </c>
    </row>
    <row r="15034" spans="1:1">
      <c r="A15034" t="s">
        <v>15566</v>
      </c>
    </row>
    <row r="15035" spans="1:1">
      <c r="A15035" t="s">
        <v>15567</v>
      </c>
    </row>
    <row r="15036" spans="1:1">
      <c r="A15036" t="s">
        <v>15568</v>
      </c>
    </row>
    <row r="15037" spans="1:1">
      <c r="A15037" t="s">
        <v>15569</v>
      </c>
    </row>
    <row r="15038" spans="1:1">
      <c r="A15038" t="s">
        <v>15570</v>
      </c>
    </row>
    <row r="15039" spans="1:1">
      <c r="A15039" t="s">
        <v>15571</v>
      </c>
    </row>
    <row r="15040" spans="1:1">
      <c r="A15040" t="s">
        <v>15572</v>
      </c>
    </row>
    <row r="15041" spans="1:1">
      <c r="A15041" t="s">
        <v>15573</v>
      </c>
    </row>
    <row r="15042" spans="1:1">
      <c r="A15042" t="s">
        <v>15574</v>
      </c>
    </row>
    <row r="15043" spans="1:1">
      <c r="A15043" t="s">
        <v>15575</v>
      </c>
    </row>
    <row r="15044" spans="1:1">
      <c r="A15044" t="s">
        <v>15576</v>
      </c>
    </row>
    <row r="15045" spans="1:1">
      <c r="A15045" t="s">
        <v>15577</v>
      </c>
    </row>
    <row r="15046" spans="1:1">
      <c r="A15046" t="s">
        <v>15578</v>
      </c>
    </row>
    <row r="15047" spans="1:1">
      <c r="A15047" t="s">
        <v>15579</v>
      </c>
    </row>
    <row r="15048" spans="1:1">
      <c r="A15048" t="s">
        <v>15580</v>
      </c>
    </row>
    <row r="15049" spans="1:1">
      <c r="A15049" t="s">
        <v>15581</v>
      </c>
    </row>
    <row r="15050" spans="1:1">
      <c r="A15050" t="s">
        <v>15582</v>
      </c>
    </row>
    <row r="15051" spans="1:1">
      <c r="A15051" t="s">
        <v>15583</v>
      </c>
    </row>
    <row r="15052" spans="1:1">
      <c r="A15052" t="s">
        <v>15584</v>
      </c>
    </row>
    <row r="15053" spans="1:1">
      <c r="A15053" t="s">
        <v>15585</v>
      </c>
    </row>
    <row r="15054" spans="1:1">
      <c r="A15054" t="s">
        <v>15586</v>
      </c>
    </row>
    <row r="15055" spans="1:1">
      <c r="A15055" t="s">
        <v>15587</v>
      </c>
    </row>
    <row r="15056" spans="1:1">
      <c r="A15056" t="s">
        <v>15588</v>
      </c>
    </row>
    <row r="15057" spans="1:1">
      <c r="A15057" t="s">
        <v>15589</v>
      </c>
    </row>
    <row r="15058" spans="1:1">
      <c r="A15058" t="s">
        <v>15590</v>
      </c>
    </row>
    <row r="15059" spans="1:1">
      <c r="A15059" t="s">
        <v>15591</v>
      </c>
    </row>
    <row r="15060" spans="1:1">
      <c r="A15060" t="s">
        <v>15592</v>
      </c>
    </row>
    <row r="15061" spans="1:1">
      <c r="A15061" t="s">
        <v>15593</v>
      </c>
    </row>
    <row r="15062" spans="1:1">
      <c r="A15062" t="s">
        <v>15594</v>
      </c>
    </row>
    <row r="15063" spans="1:1">
      <c r="A15063" t="s">
        <v>15595</v>
      </c>
    </row>
    <row r="15064" spans="1:1">
      <c r="A15064" t="s">
        <v>15596</v>
      </c>
    </row>
    <row r="15065" spans="1:1">
      <c r="A15065" t="s">
        <v>15597</v>
      </c>
    </row>
    <row r="15066" spans="1:1">
      <c r="A15066" t="s">
        <v>15598</v>
      </c>
    </row>
    <row r="15067" spans="1:1">
      <c r="A15067" t="s">
        <v>15599</v>
      </c>
    </row>
    <row r="15068" spans="1:1">
      <c r="A15068" t="s">
        <v>15600</v>
      </c>
    </row>
    <row r="15069" spans="1:1">
      <c r="A15069" t="s">
        <v>15601</v>
      </c>
    </row>
    <row r="15070" spans="1:1">
      <c r="A15070" t="s">
        <v>15602</v>
      </c>
    </row>
    <row r="15071" spans="1:1">
      <c r="A15071" t="s">
        <v>15603</v>
      </c>
    </row>
    <row r="15072" spans="1:1">
      <c r="A15072" t="s">
        <v>15604</v>
      </c>
    </row>
    <row r="15073" spans="1:1">
      <c r="A15073" t="s">
        <v>15605</v>
      </c>
    </row>
    <row r="15074" spans="1:1">
      <c r="A15074" t="s">
        <v>15606</v>
      </c>
    </row>
    <row r="15075" spans="1:1">
      <c r="A15075" t="s">
        <v>15607</v>
      </c>
    </row>
    <row r="15076" spans="1:1">
      <c r="A15076" t="s">
        <v>15608</v>
      </c>
    </row>
    <row r="15077" spans="1:1">
      <c r="A15077" t="s">
        <v>15609</v>
      </c>
    </row>
    <row r="15078" spans="1:1">
      <c r="A15078" t="s">
        <v>15610</v>
      </c>
    </row>
    <row r="15079" spans="1:1">
      <c r="A15079" t="s">
        <v>15611</v>
      </c>
    </row>
    <row r="15080" spans="1:1">
      <c r="A15080" t="s">
        <v>15612</v>
      </c>
    </row>
    <row r="15081" spans="1:1">
      <c r="A15081" t="s">
        <v>15613</v>
      </c>
    </row>
    <row r="15082" spans="1:1">
      <c r="A15082" t="s">
        <v>15614</v>
      </c>
    </row>
    <row r="15083" spans="1:1">
      <c r="A15083" t="s">
        <v>15615</v>
      </c>
    </row>
    <row r="15084" spans="1:1">
      <c r="A15084" t="s">
        <v>15616</v>
      </c>
    </row>
    <row r="15085" spans="1:1">
      <c r="A15085" t="s">
        <v>15617</v>
      </c>
    </row>
    <row r="15086" spans="1:1">
      <c r="A15086" t="s">
        <v>15618</v>
      </c>
    </row>
    <row r="15087" spans="1:1">
      <c r="A15087" t="s">
        <v>15619</v>
      </c>
    </row>
    <row r="15088" spans="1:1">
      <c r="A15088" t="s">
        <v>15620</v>
      </c>
    </row>
    <row r="15089" spans="1:1">
      <c r="A15089" t="s">
        <v>15621</v>
      </c>
    </row>
    <row r="15090" spans="1:1">
      <c r="A15090" t="s">
        <v>15622</v>
      </c>
    </row>
    <row r="15091" spans="1:1">
      <c r="A15091" t="s">
        <v>15623</v>
      </c>
    </row>
    <row r="15092" spans="1:1">
      <c r="A15092" t="s">
        <v>15624</v>
      </c>
    </row>
    <row r="15093" spans="1:1">
      <c r="A15093" t="s">
        <v>15625</v>
      </c>
    </row>
    <row r="15094" spans="1:1">
      <c r="A15094" t="s">
        <v>15626</v>
      </c>
    </row>
    <row r="15095" spans="1:1">
      <c r="A15095" t="s">
        <v>15627</v>
      </c>
    </row>
    <row r="15096" spans="1:1">
      <c r="A15096" t="s">
        <v>15628</v>
      </c>
    </row>
    <row r="15097" spans="1:1">
      <c r="A15097" t="s">
        <v>15629</v>
      </c>
    </row>
    <row r="15098" spans="1:1">
      <c r="A15098" t="s">
        <v>15630</v>
      </c>
    </row>
    <row r="15099" spans="1:1">
      <c r="A15099" t="s">
        <v>15631</v>
      </c>
    </row>
    <row r="15100" spans="1:1">
      <c r="A15100" t="s">
        <v>15632</v>
      </c>
    </row>
    <row r="15101" spans="1:1">
      <c r="A15101" t="s">
        <v>15633</v>
      </c>
    </row>
    <row r="15102" spans="1:1">
      <c r="A15102" t="s">
        <v>15634</v>
      </c>
    </row>
    <row r="15103" spans="1:1">
      <c r="A15103" t="s">
        <v>15635</v>
      </c>
    </row>
    <row r="15104" spans="1:1">
      <c r="A15104" t="s">
        <v>15636</v>
      </c>
    </row>
    <row r="15105" spans="1:1">
      <c r="A15105" t="s">
        <v>15637</v>
      </c>
    </row>
    <row r="15106" spans="1:1">
      <c r="A15106" t="s">
        <v>15638</v>
      </c>
    </row>
    <row r="15107" spans="1:1">
      <c r="A15107" t="s">
        <v>15639</v>
      </c>
    </row>
    <row r="15108" spans="1:1">
      <c r="A15108" t="s">
        <v>15640</v>
      </c>
    </row>
    <row r="15109" spans="1:1">
      <c r="A15109" t="s">
        <v>15641</v>
      </c>
    </row>
    <row r="15110" spans="1:1">
      <c r="A15110" t="s">
        <v>15642</v>
      </c>
    </row>
    <row r="15111" spans="1:1">
      <c r="A15111" t="s">
        <v>15643</v>
      </c>
    </row>
    <row r="15112" spans="1:1">
      <c r="A15112" t="s">
        <v>15644</v>
      </c>
    </row>
    <row r="15113" spans="1:1">
      <c r="A15113" t="s">
        <v>15645</v>
      </c>
    </row>
    <row r="15114" spans="1:1">
      <c r="A15114" t="s">
        <v>15646</v>
      </c>
    </row>
    <row r="15115" spans="1:1">
      <c r="A15115" t="s">
        <v>15647</v>
      </c>
    </row>
    <row r="15116" spans="1:1">
      <c r="A15116" t="s">
        <v>15648</v>
      </c>
    </row>
    <row r="15117" spans="1:1">
      <c r="A15117" t="s">
        <v>15649</v>
      </c>
    </row>
    <row r="15118" spans="1:1">
      <c r="A15118" t="s">
        <v>15650</v>
      </c>
    </row>
    <row r="15119" spans="1:1">
      <c r="A15119" t="s">
        <v>15651</v>
      </c>
    </row>
    <row r="15120" spans="1:1">
      <c r="A15120" t="s">
        <v>15652</v>
      </c>
    </row>
    <row r="15121" spans="1:1">
      <c r="A15121" t="s">
        <v>15653</v>
      </c>
    </row>
    <row r="15122" spans="1:1">
      <c r="A15122" t="s">
        <v>15654</v>
      </c>
    </row>
    <row r="15123" spans="1:1">
      <c r="A15123" t="s">
        <v>15655</v>
      </c>
    </row>
    <row r="15124" spans="1:1">
      <c r="A15124" t="s">
        <v>15656</v>
      </c>
    </row>
    <row r="15125" spans="1:1">
      <c r="A15125" t="s">
        <v>15657</v>
      </c>
    </row>
    <row r="15126" spans="1:1">
      <c r="A15126" t="s">
        <v>15658</v>
      </c>
    </row>
    <row r="15127" spans="1:1">
      <c r="A15127" t="s">
        <v>15659</v>
      </c>
    </row>
    <row r="15128" spans="1:1">
      <c r="A15128" t="s">
        <v>15660</v>
      </c>
    </row>
    <row r="15129" spans="1:1">
      <c r="A15129" t="s">
        <v>15661</v>
      </c>
    </row>
    <row r="15130" spans="1:1">
      <c r="A15130" t="s">
        <v>15662</v>
      </c>
    </row>
    <row r="15131" spans="1:1">
      <c r="A15131" t="s">
        <v>15663</v>
      </c>
    </row>
    <row r="15132" spans="1:1">
      <c r="A15132" t="s">
        <v>15664</v>
      </c>
    </row>
    <row r="15133" spans="1:1">
      <c r="A15133" t="s">
        <v>15665</v>
      </c>
    </row>
    <row r="15134" spans="1:1">
      <c r="A15134" t="s">
        <v>15666</v>
      </c>
    </row>
    <row r="15135" spans="1:1">
      <c r="A15135" t="s">
        <v>15667</v>
      </c>
    </row>
    <row r="15136" spans="1:1">
      <c r="A15136" t="s">
        <v>15668</v>
      </c>
    </row>
    <row r="15137" spans="1:1">
      <c r="A15137" t="s">
        <v>15669</v>
      </c>
    </row>
    <row r="15138" spans="1:1">
      <c r="A15138" t="s">
        <v>15670</v>
      </c>
    </row>
    <row r="15139" spans="1:1">
      <c r="A15139" t="s">
        <v>15671</v>
      </c>
    </row>
    <row r="15140" spans="1:1">
      <c r="A15140" t="s">
        <v>15672</v>
      </c>
    </row>
    <row r="15141" spans="1:1">
      <c r="A15141" t="s">
        <v>15673</v>
      </c>
    </row>
    <row r="15142" spans="1:1">
      <c r="A15142" t="s">
        <v>15674</v>
      </c>
    </row>
    <row r="15143" spans="1:1">
      <c r="A15143" t="s">
        <v>15675</v>
      </c>
    </row>
    <row r="15144" spans="1:1">
      <c r="A15144" t="s">
        <v>15676</v>
      </c>
    </row>
    <row r="15145" spans="1:1">
      <c r="A15145" t="s">
        <v>15677</v>
      </c>
    </row>
    <row r="15146" spans="1:1">
      <c r="A15146" t="s">
        <v>15678</v>
      </c>
    </row>
    <row r="15147" spans="1:1">
      <c r="A15147" t="s">
        <v>15679</v>
      </c>
    </row>
    <row r="15148" spans="1:1">
      <c r="A15148" t="s">
        <v>15680</v>
      </c>
    </row>
    <row r="15149" spans="1:1">
      <c r="A15149" t="s">
        <v>15681</v>
      </c>
    </row>
    <row r="15150" spans="1:1">
      <c r="A15150" t="s">
        <v>15682</v>
      </c>
    </row>
    <row r="15151" spans="1:1">
      <c r="A15151" t="s">
        <v>15683</v>
      </c>
    </row>
    <row r="15152" spans="1:1">
      <c r="A15152" t="s">
        <v>15684</v>
      </c>
    </row>
    <row r="15153" spans="1:1">
      <c r="A15153" t="s">
        <v>15685</v>
      </c>
    </row>
    <row r="15154" spans="1:1">
      <c r="A15154" t="s">
        <v>15686</v>
      </c>
    </row>
    <row r="15155" spans="1:1">
      <c r="A15155" t="s">
        <v>15687</v>
      </c>
    </row>
    <row r="15156" spans="1:1">
      <c r="A15156" t="s">
        <v>15688</v>
      </c>
    </row>
    <row r="15157" spans="1:1">
      <c r="A15157" t="s">
        <v>15689</v>
      </c>
    </row>
    <row r="15158" spans="1:1">
      <c r="A15158" t="s">
        <v>15690</v>
      </c>
    </row>
    <row r="15159" spans="1:1">
      <c r="A15159" t="s">
        <v>15691</v>
      </c>
    </row>
    <row r="15160" spans="1:1">
      <c r="A15160" t="s">
        <v>15692</v>
      </c>
    </row>
    <row r="15161" spans="1:1">
      <c r="A15161" t="s">
        <v>15693</v>
      </c>
    </row>
    <row r="15162" spans="1:1">
      <c r="A15162" t="s">
        <v>15694</v>
      </c>
    </row>
    <row r="15163" spans="1:1">
      <c r="A15163" t="s">
        <v>15695</v>
      </c>
    </row>
    <row r="15164" spans="1:1">
      <c r="A15164" t="s">
        <v>15696</v>
      </c>
    </row>
    <row r="15165" spans="1:1">
      <c r="A15165" t="s">
        <v>15697</v>
      </c>
    </row>
    <row r="15166" spans="1:1">
      <c r="A15166" t="s">
        <v>15698</v>
      </c>
    </row>
    <row r="15167" spans="1:1">
      <c r="A15167" t="s">
        <v>15699</v>
      </c>
    </row>
    <row r="15168" spans="1:1">
      <c r="A15168" t="s">
        <v>15700</v>
      </c>
    </row>
    <row r="15169" spans="1:1">
      <c r="A15169" t="s">
        <v>15701</v>
      </c>
    </row>
    <row r="15170" spans="1:1">
      <c r="A15170" t="s">
        <v>15702</v>
      </c>
    </row>
    <row r="15171" spans="1:1">
      <c r="A15171" t="s">
        <v>15703</v>
      </c>
    </row>
    <row r="15172" spans="1:1">
      <c r="A15172" t="s">
        <v>15704</v>
      </c>
    </row>
    <row r="15173" spans="1:1">
      <c r="A15173" t="s">
        <v>15705</v>
      </c>
    </row>
    <row r="15174" spans="1:1">
      <c r="A15174" t="s">
        <v>15706</v>
      </c>
    </row>
    <row r="15175" spans="1:1">
      <c r="A15175" t="s">
        <v>15707</v>
      </c>
    </row>
    <row r="15176" spans="1:1">
      <c r="A15176" t="s">
        <v>15708</v>
      </c>
    </row>
    <row r="15177" spans="1:1">
      <c r="A15177" t="s">
        <v>15709</v>
      </c>
    </row>
    <row r="15178" spans="1:1">
      <c r="A15178" t="s">
        <v>15710</v>
      </c>
    </row>
    <row r="15179" spans="1:1">
      <c r="A15179" t="s">
        <v>15711</v>
      </c>
    </row>
    <row r="15180" spans="1:1">
      <c r="A15180" t="s">
        <v>15712</v>
      </c>
    </row>
    <row r="15181" spans="1:1">
      <c r="A15181" t="s">
        <v>15713</v>
      </c>
    </row>
    <row r="15182" spans="1:1">
      <c r="A15182" t="s">
        <v>15714</v>
      </c>
    </row>
    <row r="15183" spans="1:1">
      <c r="A15183" t="s">
        <v>15715</v>
      </c>
    </row>
    <row r="15184" spans="1:1">
      <c r="A15184" t="s">
        <v>15716</v>
      </c>
    </row>
    <row r="15185" spans="1:1">
      <c r="A15185" t="s">
        <v>15717</v>
      </c>
    </row>
    <row r="15186" spans="1:1">
      <c r="A15186" t="s">
        <v>15718</v>
      </c>
    </row>
    <row r="15187" spans="1:1">
      <c r="A15187" t="s">
        <v>15719</v>
      </c>
    </row>
    <row r="15188" spans="1:1">
      <c r="A15188" t="s">
        <v>15720</v>
      </c>
    </row>
    <row r="15189" spans="1:1">
      <c r="A15189" t="s">
        <v>15721</v>
      </c>
    </row>
    <row r="15190" spans="1:1">
      <c r="A15190" t="s">
        <v>15722</v>
      </c>
    </row>
    <row r="15191" spans="1:1">
      <c r="A15191" t="s">
        <v>15723</v>
      </c>
    </row>
    <row r="15192" spans="1:1">
      <c r="A15192" t="s">
        <v>15724</v>
      </c>
    </row>
    <row r="15193" spans="1:1">
      <c r="A15193" t="s">
        <v>15725</v>
      </c>
    </row>
    <row r="15194" spans="1:1">
      <c r="A15194" t="s">
        <v>15726</v>
      </c>
    </row>
    <row r="15195" spans="1:1">
      <c r="A15195" t="s">
        <v>15727</v>
      </c>
    </row>
    <row r="15196" spans="1:1">
      <c r="A15196" t="s">
        <v>15728</v>
      </c>
    </row>
    <row r="15197" spans="1:1">
      <c r="A15197" t="s">
        <v>15729</v>
      </c>
    </row>
    <row r="15198" spans="1:1">
      <c r="A15198" t="s">
        <v>15730</v>
      </c>
    </row>
    <row r="15199" spans="1:1">
      <c r="A15199" t="s">
        <v>15731</v>
      </c>
    </row>
    <row r="15200" spans="1:1">
      <c r="A15200" t="s">
        <v>15732</v>
      </c>
    </row>
    <row r="15201" spans="1:1">
      <c r="A15201" t="s">
        <v>15733</v>
      </c>
    </row>
    <row r="15202" spans="1:1">
      <c r="A15202" t="s">
        <v>15734</v>
      </c>
    </row>
    <row r="15203" spans="1:1">
      <c r="A15203" t="s">
        <v>15735</v>
      </c>
    </row>
    <row r="15204" spans="1:1">
      <c r="A15204" t="s">
        <v>15736</v>
      </c>
    </row>
    <row r="15205" spans="1:1">
      <c r="A15205" t="s">
        <v>15737</v>
      </c>
    </row>
    <row r="15206" spans="1:1">
      <c r="A15206" t="s">
        <v>15738</v>
      </c>
    </row>
    <row r="15207" spans="1:1">
      <c r="A15207" t="s">
        <v>15739</v>
      </c>
    </row>
    <row r="15208" spans="1:1">
      <c r="A15208" t="s">
        <v>15740</v>
      </c>
    </row>
    <row r="15209" spans="1:1">
      <c r="A15209" t="s">
        <v>15741</v>
      </c>
    </row>
    <row r="15210" spans="1:1">
      <c r="A15210" t="s">
        <v>15742</v>
      </c>
    </row>
    <row r="15211" spans="1:1">
      <c r="A15211" t="s">
        <v>15743</v>
      </c>
    </row>
    <row r="15212" spans="1:1">
      <c r="A15212" t="s">
        <v>15744</v>
      </c>
    </row>
    <row r="15213" spans="1:1">
      <c r="A15213" t="s">
        <v>15745</v>
      </c>
    </row>
    <row r="15214" spans="1:1">
      <c r="A15214" t="s">
        <v>15746</v>
      </c>
    </row>
    <row r="15215" spans="1:1">
      <c r="A15215" t="s">
        <v>15747</v>
      </c>
    </row>
    <row r="15216" spans="1:1">
      <c r="A15216" t="s">
        <v>15748</v>
      </c>
    </row>
    <row r="15217" spans="1:1">
      <c r="A15217" t="s">
        <v>15749</v>
      </c>
    </row>
    <row r="15218" spans="1:1">
      <c r="A15218" t="s">
        <v>15750</v>
      </c>
    </row>
    <row r="15219" spans="1:1">
      <c r="A15219" t="s">
        <v>15751</v>
      </c>
    </row>
    <row r="15220" spans="1:1">
      <c r="A15220" t="s">
        <v>15752</v>
      </c>
    </row>
    <row r="15221" spans="1:1">
      <c r="A15221" t="s">
        <v>15753</v>
      </c>
    </row>
    <row r="15222" spans="1:1">
      <c r="A15222" t="s">
        <v>15754</v>
      </c>
    </row>
    <row r="15223" spans="1:1">
      <c r="A15223" t="s">
        <v>15755</v>
      </c>
    </row>
    <row r="15224" spans="1:1">
      <c r="A15224" t="s">
        <v>15756</v>
      </c>
    </row>
    <row r="15225" spans="1:1">
      <c r="A15225" t="s">
        <v>15757</v>
      </c>
    </row>
    <row r="15226" spans="1:1">
      <c r="A15226" t="s">
        <v>15758</v>
      </c>
    </row>
    <row r="15227" spans="1:1">
      <c r="A15227" t="s">
        <v>15759</v>
      </c>
    </row>
    <row r="15228" spans="1:1">
      <c r="A15228" t="s">
        <v>15760</v>
      </c>
    </row>
    <row r="15229" spans="1:1">
      <c r="A15229" t="s">
        <v>15761</v>
      </c>
    </row>
    <row r="15230" spans="1:1">
      <c r="A15230" t="s">
        <v>15762</v>
      </c>
    </row>
    <row r="15231" spans="1:1">
      <c r="A15231" t="s">
        <v>15763</v>
      </c>
    </row>
    <row r="15232" spans="1:1">
      <c r="A15232" t="s">
        <v>15764</v>
      </c>
    </row>
    <row r="15233" spans="1:1">
      <c r="A15233" t="s">
        <v>15765</v>
      </c>
    </row>
    <row r="15234" spans="1:1">
      <c r="A15234" t="s">
        <v>15766</v>
      </c>
    </row>
    <row r="15235" spans="1:1">
      <c r="A15235" t="s">
        <v>15767</v>
      </c>
    </row>
    <row r="15236" spans="1:1">
      <c r="A15236" t="s">
        <v>15768</v>
      </c>
    </row>
    <row r="15237" spans="1:1">
      <c r="A15237" t="s">
        <v>15769</v>
      </c>
    </row>
    <row r="15238" spans="1:1">
      <c r="A15238" t="s">
        <v>15770</v>
      </c>
    </row>
    <row r="15239" spans="1:1">
      <c r="A15239" t="s">
        <v>15771</v>
      </c>
    </row>
    <row r="15240" spans="1:1">
      <c r="A15240" t="s">
        <v>15772</v>
      </c>
    </row>
    <row r="15241" spans="1:1">
      <c r="A15241" t="s">
        <v>15773</v>
      </c>
    </row>
    <row r="15242" spans="1:1">
      <c r="A15242" t="s">
        <v>15774</v>
      </c>
    </row>
    <row r="15243" spans="1:1">
      <c r="A15243" t="s">
        <v>15775</v>
      </c>
    </row>
    <row r="15244" spans="1:1">
      <c r="A15244" t="s">
        <v>15776</v>
      </c>
    </row>
    <row r="15245" spans="1:1">
      <c r="A15245" t="s">
        <v>15777</v>
      </c>
    </row>
    <row r="15246" spans="1:1">
      <c r="A15246" t="s">
        <v>15778</v>
      </c>
    </row>
    <row r="15247" spans="1:1">
      <c r="A15247" t="s">
        <v>15779</v>
      </c>
    </row>
    <row r="15248" spans="1:1">
      <c r="A15248" t="s">
        <v>15780</v>
      </c>
    </row>
    <row r="15249" spans="1:1">
      <c r="A15249" t="s">
        <v>15781</v>
      </c>
    </row>
    <row r="15250" spans="1:1">
      <c r="A15250" t="s">
        <v>15782</v>
      </c>
    </row>
    <row r="15251" spans="1:1">
      <c r="A15251" t="s">
        <v>15783</v>
      </c>
    </row>
    <row r="15252" spans="1:1">
      <c r="A15252" t="s">
        <v>15784</v>
      </c>
    </row>
    <row r="15253" spans="1:1">
      <c r="A15253" t="s">
        <v>15785</v>
      </c>
    </row>
    <row r="15254" spans="1:1">
      <c r="A15254" t="s">
        <v>15786</v>
      </c>
    </row>
    <row r="15255" spans="1:1">
      <c r="A15255" t="s">
        <v>15787</v>
      </c>
    </row>
    <row r="15256" spans="1:1">
      <c r="A15256" t="s">
        <v>15788</v>
      </c>
    </row>
    <row r="15257" spans="1:1">
      <c r="A15257" t="s">
        <v>15789</v>
      </c>
    </row>
    <row r="15258" spans="1:1">
      <c r="A15258" t="s">
        <v>15790</v>
      </c>
    </row>
    <row r="15259" spans="1:1">
      <c r="A15259" t="s">
        <v>15791</v>
      </c>
    </row>
    <row r="15260" spans="1:1">
      <c r="A15260" t="s">
        <v>15792</v>
      </c>
    </row>
    <row r="15261" spans="1:1">
      <c r="A15261" t="s">
        <v>15793</v>
      </c>
    </row>
    <row r="15262" spans="1:1">
      <c r="A15262" t="s">
        <v>15794</v>
      </c>
    </row>
    <row r="15263" spans="1:1">
      <c r="A15263" t="s">
        <v>15795</v>
      </c>
    </row>
    <row r="15264" spans="1:1">
      <c r="A15264" t="s">
        <v>15796</v>
      </c>
    </row>
    <row r="15265" spans="1:1">
      <c r="A15265" t="s">
        <v>15797</v>
      </c>
    </row>
    <row r="15266" spans="1:1">
      <c r="A15266" t="s">
        <v>15798</v>
      </c>
    </row>
    <row r="15267" spans="1:1">
      <c r="A15267" t="s">
        <v>15799</v>
      </c>
    </row>
    <row r="15268" spans="1:1">
      <c r="A15268" t="s">
        <v>15800</v>
      </c>
    </row>
    <row r="15269" spans="1:1">
      <c r="A15269" t="s">
        <v>15801</v>
      </c>
    </row>
    <row r="15270" spans="1:1">
      <c r="A15270" t="s">
        <v>15802</v>
      </c>
    </row>
    <row r="15271" spans="1:1">
      <c r="A15271" t="s">
        <v>15803</v>
      </c>
    </row>
    <row r="15272" spans="1:1">
      <c r="A15272" t="s">
        <v>15804</v>
      </c>
    </row>
    <row r="15273" spans="1:1">
      <c r="A15273" t="s">
        <v>15805</v>
      </c>
    </row>
    <row r="15274" spans="1:1">
      <c r="A15274" t="s">
        <v>15806</v>
      </c>
    </row>
    <row r="15275" spans="1:1">
      <c r="A15275" t="s">
        <v>15807</v>
      </c>
    </row>
    <row r="15276" spans="1:1">
      <c r="A15276" t="s">
        <v>15808</v>
      </c>
    </row>
    <row r="15277" spans="1:1">
      <c r="A15277" t="s">
        <v>15809</v>
      </c>
    </row>
    <row r="15278" spans="1:1">
      <c r="A15278" t="s">
        <v>15810</v>
      </c>
    </row>
    <row r="15279" spans="1:1">
      <c r="A15279" t="s">
        <v>15811</v>
      </c>
    </row>
    <row r="15280" spans="1:1">
      <c r="A15280" t="s">
        <v>15812</v>
      </c>
    </row>
    <row r="15281" spans="1:1">
      <c r="A15281" t="s">
        <v>15813</v>
      </c>
    </row>
    <row r="15282" spans="1:1">
      <c r="A15282" t="s">
        <v>15814</v>
      </c>
    </row>
    <row r="15283" spans="1:1">
      <c r="A15283" t="s">
        <v>15815</v>
      </c>
    </row>
    <row r="15284" spans="1:1">
      <c r="A15284" t="s">
        <v>15816</v>
      </c>
    </row>
    <row r="15285" spans="1:1">
      <c r="A15285" t="s">
        <v>15817</v>
      </c>
    </row>
    <row r="15286" spans="1:1">
      <c r="A15286" t="s">
        <v>15818</v>
      </c>
    </row>
    <row r="15287" spans="1:1">
      <c r="A15287" t="s">
        <v>15819</v>
      </c>
    </row>
    <row r="15288" spans="1:1">
      <c r="A15288" t="s">
        <v>15820</v>
      </c>
    </row>
    <row r="15289" spans="1:1">
      <c r="A15289" t="s">
        <v>15821</v>
      </c>
    </row>
    <row r="15290" spans="1:1">
      <c r="A15290" t="s">
        <v>15822</v>
      </c>
    </row>
    <row r="15291" spans="1:1">
      <c r="A15291" t="s">
        <v>15823</v>
      </c>
    </row>
    <row r="15292" spans="1:1">
      <c r="A15292" t="s">
        <v>15824</v>
      </c>
    </row>
    <row r="15293" spans="1:1">
      <c r="A15293" t="s">
        <v>15825</v>
      </c>
    </row>
    <row r="15294" spans="1:1">
      <c r="A15294" t="s">
        <v>15826</v>
      </c>
    </row>
    <row r="15295" spans="1:1">
      <c r="A15295" t="s">
        <v>15827</v>
      </c>
    </row>
    <row r="15296" spans="1:1">
      <c r="A15296" t="s">
        <v>15828</v>
      </c>
    </row>
    <row r="15297" spans="1:1">
      <c r="A15297" t="s">
        <v>15829</v>
      </c>
    </row>
    <row r="15298" spans="1:1">
      <c r="A15298" t="s">
        <v>15830</v>
      </c>
    </row>
    <row r="15299" spans="1:1">
      <c r="A15299" t="s">
        <v>15831</v>
      </c>
    </row>
    <row r="15300" spans="1:1">
      <c r="A15300" t="s">
        <v>15832</v>
      </c>
    </row>
    <row r="15301" spans="1:1">
      <c r="A15301" t="s">
        <v>15833</v>
      </c>
    </row>
    <row r="15302" spans="1:1">
      <c r="A15302" t="s">
        <v>15834</v>
      </c>
    </row>
    <row r="15303" spans="1:1">
      <c r="A15303" t="s">
        <v>15835</v>
      </c>
    </row>
    <row r="15304" spans="1:1">
      <c r="A15304" t="s">
        <v>15836</v>
      </c>
    </row>
    <row r="15305" spans="1:1">
      <c r="A15305" t="s">
        <v>15837</v>
      </c>
    </row>
    <row r="15306" spans="1:1">
      <c r="A15306" t="s">
        <v>15838</v>
      </c>
    </row>
    <row r="15307" spans="1:1">
      <c r="A15307" t="s">
        <v>15839</v>
      </c>
    </row>
    <row r="15308" spans="1:1">
      <c r="A15308" t="s">
        <v>15840</v>
      </c>
    </row>
    <row r="15309" spans="1:1">
      <c r="A15309" t="s">
        <v>15841</v>
      </c>
    </row>
    <row r="15310" spans="1:1">
      <c r="A15310" t="s">
        <v>15842</v>
      </c>
    </row>
    <row r="15311" spans="1:1">
      <c r="A15311" t="s">
        <v>15843</v>
      </c>
    </row>
    <row r="15312" spans="1:1">
      <c r="A15312" t="s">
        <v>15844</v>
      </c>
    </row>
    <row r="15313" spans="1:1">
      <c r="A15313" t="s">
        <v>15845</v>
      </c>
    </row>
    <row r="15314" spans="1:1">
      <c r="A15314" t="s">
        <v>15846</v>
      </c>
    </row>
    <row r="15315" spans="1:1">
      <c r="A15315" t="s">
        <v>15847</v>
      </c>
    </row>
    <row r="15316" spans="1:1">
      <c r="A15316" t="s">
        <v>15848</v>
      </c>
    </row>
    <row r="15317" spans="1:1">
      <c r="A15317" t="s">
        <v>15849</v>
      </c>
    </row>
    <row r="15318" spans="1:1">
      <c r="A15318" t="s">
        <v>15850</v>
      </c>
    </row>
    <row r="15319" spans="1:1">
      <c r="A15319" t="s">
        <v>15851</v>
      </c>
    </row>
    <row r="15320" spans="1:1">
      <c r="A15320" t="s">
        <v>15852</v>
      </c>
    </row>
    <row r="15321" spans="1:1">
      <c r="A15321" t="s">
        <v>15853</v>
      </c>
    </row>
    <row r="15322" spans="1:1">
      <c r="A15322" t="s">
        <v>15854</v>
      </c>
    </row>
    <row r="15323" spans="1:1">
      <c r="A15323" t="s">
        <v>15855</v>
      </c>
    </row>
    <row r="15324" spans="1:1">
      <c r="A15324" t="s">
        <v>15856</v>
      </c>
    </row>
    <row r="15325" spans="1:1">
      <c r="A15325" t="s">
        <v>15857</v>
      </c>
    </row>
    <row r="15326" spans="1:1">
      <c r="A15326" t="s">
        <v>15858</v>
      </c>
    </row>
    <row r="15327" spans="1:1">
      <c r="A15327" t="s">
        <v>15859</v>
      </c>
    </row>
    <row r="15328" spans="1:1">
      <c r="A15328" t="s">
        <v>15860</v>
      </c>
    </row>
    <row r="15329" spans="1:1">
      <c r="A15329" t="s">
        <v>15861</v>
      </c>
    </row>
    <row r="15330" spans="1:1">
      <c r="A15330" t="s">
        <v>15862</v>
      </c>
    </row>
    <row r="15331" spans="1:1">
      <c r="A15331" t="s">
        <v>15863</v>
      </c>
    </row>
    <row r="15332" spans="1:1">
      <c r="A15332" t="s">
        <v>15864</v>
      </c>
    </row>
    <row r="15333" spans="1:1">
      <c r="A15333" t="s">
        <v>15865</v>
      </c>
    </row>
    <row r="15334" spans="1:1">
      <c r="A15334" t="s">
        <v>15866</v>
      </c>
    </row>
    <row r="15335" spans="1:1">
      <c r="A15335" t="s">
        <v>15867</v>
      </c>
    </row>
    <row r="15336" spans="1:1">
      <c r="A15336" t="s">
        <v>15868</v>
      </c>
    </row>
    <row r="15337" spans="1:1">
      <c r="A15337" t="s">
        <v>15869</v>
      </c>
    </row>
    <row r="15338" spans="1:1">
      <c r="A15338" t="s">
        <v>15870</v>
      </c>
    </row>
    <row r="15339" spans="1:1">
      <c r="A15339" t="s">
        <v>15871</v>
      </c>
    </row>
    <row r="15340" spans="1:1">
      <c r="A15340" t="s">
        <v>15872</v>
      </c>
    </row>
    <row r="15341" spans="1:1">
      <c r="A15341" t="s">
        <v>15873</v>
      </c>
    </row>
    <row r="15342" spans="1:1">
      <c r="A15342" t="s">
        <v>15874</v>
      </c>
    </row>
    <row r="15343" spans="1:1">
      <c r="A15343" t="s">
        <v>15875</v>
      </c>
    </row>
    <row r="15344" spans="1:1">
      <c r="A15344" t="s">
        <v>15876</v>
      </c>
    </row>
    <row r="15345" spans="1:1">
      <c r="A15345" t="s">
        <v>15877</v>
      </c>
    </row>
    <row r="15346" spans="1:1">
      <c r="A15346" t="s">
        <v>15878</v>
      </c>
    </row>
    <row r="15347" spans="1:1">
      <c r="A15347" t="s">
        <v>15879</v>
      </c>
    </row>
    <row r="15348" spans="1:1">
      <c r="A15348" t="s">
        <v>15880</v>
      </c>
    </row>
    <row r="15349" spans="1:1">
      <c r="A15349" t="s">
        <v>15881</v>
      </c>
    </row>
    <row r="15350" spans="1:1">
      <c r="A15350" t="s">
        <v>15882</v>
      </c>
    </row>
    <row r="15351" spans="1:1">
      <c r="A15351" t="s">
        <v>15883</v>
      </c>
    </row>
    <row r="15352" spans="1:1">
      <c r="A15352" t="s">
        <v>15884</v>
      </c>
    </row>
    <row r="15353" spans="1:1">
      <c r="A15353" t="s">
        <v>15885</v>
      </c>
    </row>
    <row r="15354" spans="1:1">
      <c r="A15354" t="s">
        <v>15886</v>
      </c>
    </row>
    <row r="15355" spans="1:1">
      <c r="A15355" t="s">
        <v>15887</v>
      </c>
    </row>
    <row r="15356" spans="1:1">
      <c r="A15356" t="s">
        <v>15888</v>
      </c>
    </row>
    <row r="15357" spans="1:1">
      <c r="A15357" t="s">
        <v>15889</v>
      </c>
    </row>
    <row r="15358" spans="1:1">
      <c r="A15358" t="s">
        <v>15890</v>
      </c>
    </row>
    <row r="15359" spans="1:1">
      <c r="A15359" t="s">
        <v>15891</v>
      </c>
    </row>
    <row r="15360" spans="1:1">
      <c r="A15360" t="s">
        <v>15892</v>
      </c>
    </row>
    <row r="15361" spans="1:1">
      <c r="A15361" t="s">
        <v>15893</v>
      </c>
    </row>
    <row r="15362" spans="1:1">
      <c r="A15362" t="s">
        <v>15894</v>
      </c>
    </row>
    <row r="15363" spans="1:1">
      <c r="A15363" t="s">
        <v>15895</v>
      </c>
    </row>
    <row r="15364" spans="1:1">
      <c r="A15364" t="s">
        <v>15896</v>
      </c>
    </row>
    <row r="15365" spans="1:1">
      <c r="A15365" t="s">
        <v>15897</v>
      </c>
    </row>
    <row r="15366" spans="1:1">
      <c r="A15366" t="s">
        <v>15898</v>
      </c>
    </row>
    <row r="15367" spans="1:1">
      <c r="A15367" t="s">
        <v>15899</v>
      </c>
    </row>
    <row r="15368" spans="1:1">
      <c r="A15368" t="s">
        <v>15900</v>
      </c>
    </row>
    <row r="15369" spans="1:1">
      <c r="A15369" t="s">
        <v>15901</v>
      </c>
    </row>
    <row r="15370" spans="1:1">
      <c r="A15370" t="s">
        <v>15902</v>
      </c>
    </row>
    <row r="15371" spans="1:1">
      <c r="A15371" t="s">
        <v>15903</v>
      </c>
    </row>
    <row r="15372" spans="1:1">
      <c r="A15372" t="s">
        <v>15904</v>
      </c>
    </row>
    <row r="15373" spans="1:1">
      <c r="A15373" t="s">
        <v>15905</v>
      </c>
    </row>
    <row r="15374" spans="1:1">
      <c r="A15374" t="s">
        <v>15906</v>
      </c>
    </row>
    <row r="15375" spans="1:1">
      <c r="A15375" t="s">
        <v>15907</v>
      </c>
    </row>
    <row r="15376" spans="1:1">
      <c r="A15376" t="s">
        <v>15908</v>
      </c>
    </row>
    <row r="15377" spans="1:1">
      <c r="A15377" t="s">
        <v>15909</v>
      </c>
    </row>
    <row r="15378" spans="1:1">
      <c r="A15378" t="s">
        <v>15910</v>
      </c>
    </row>
    <row r="15379" spans="1:1">
      <c r="A15379" t="s">
        <v>15911</v>
      </c>
    </row>
    <row r="15380" spans="1:1">
      <c r="A15380" t="s">
        <v>15912</v>
      </c>
    </row>
    <row r="15381" spans="1:1">
      <c r="A15381" t="s">
        <v>15913</v>
      </c>
    </row>
    <row r="15382" spans="1:1">
      <c r="A15382" t="s">
        <v>15914</v>
      </c>
    </row>
    <row r="15383" spans="1:1">
      <c r="A15383" t="s">
        <v>15915</v>
      </c>
    </row>
    <row r="15384" spans="1:1">
      <c r="A15384" t="s">
        <v>15916</v>
      </c>
    </row>
    <row r="15385" spans="1:1">
      <c r="A15385" t="s">
        <v>15917</v>
      </c>
    </row>
    <row r="15386" spans="1:1">
      <c r="A15386" t="s">
        <v>15918</v>
      </c>
    </row>
    <row r="15387" spans="1:1">
      <c r="A15387" t="s">
        <v>15919</v>
      </c>
    </row>
    <row r="15388" spans="1:1">
      <c r="A15388" t="s">
        <v>15920</v>
      </c>
    </row>
    <row r="15389" spans="1:1">
      <c r="A15389" t="s">
        <v>15921</v>
      </c>
    </row>
    <row r="15390" spans="1:1">
      <c r="A15390" t="s">
        <v>15922</v>
      </c>
    </row>
    <row r="15391" spans="1:1">
      <c r="A15391" t="s">
        <v>15923</v>
      </c>
    </row>
    <row r="15392" spans="1:1">
      <c r="A15392" t="s">
        <v>15924</v>
      </c>
    </row>
    <row r="15393" spans="1:1">
      <c r="A15393" t="s">
        <v>15925</v>
      </c>
    </row>
    <row r="15394" spans="1:1">
      <c r="A15394" t="s">
        <v>15926</v>
      </c>
    </row>
    <row r="15395" spans="1:1">
      <c r="A15395" t="s">
        <v>15927</v>
      </c>
    </row>
    <row r="15396" spans="1:1">
      <c r="A15396" t="s">
        <v>15928</v>
      </c>
    </row>
    <row r="15397" spans="1:1">
      <c r="A15397" t="s">
        <v>15929</v>
      </c>
    </row>
    <row r="15398" spans="1:1">
      <c r="A15398" t="s">
        <v>15930</v>
      </c>
    </row>
    <row r="15399" spans="1:1">
      <c r="A15399" t="s">
        <v>15931</v>
      </c>
    </row>
    <row r="15400" spans="1:1">
      <c r="A15400" t="s">
        <v>15932</v>
      </c>
    </row>
    <row r="15401" spans="1:1">
      <c r="A15401" t="s">
        <v>15933</v>
      </c>
    </row>
    <row r="15402" spans="1:1">
      <c r="A15402" t="s">
        <v>15934</v>
      </c>
    </row>
    <row r="15403" spans="1:1">
      <c r="A15403" t="s">
        <v>15935</v>
      </c>
    </row>
    <row r="15404" spans="1:1">
      <c r="A15404" t="s">
        <v>15936</v>
      </c>
    </row>
    <row r="15405" spans="1:1">
      <c r="A15405" t="s">
        <v>15937</v>
      </c>
    </row>
    <row r="15406" spans="1:1">
      <c r="A15406" t="s">
        <v>15938</v>
      </c>
    </row>
    <row r="15407" spans="1:1">
      <c r="A15407" t="s">
        <v>15939</v>
      </c>
    </row>
    <row r="15408" spans="1:1">
      <c r="A15408" t="s">
        <v>15940</v>
      </c>
    </row>
    <row r="15409" spans="1:1">
      <c r="A15409" t="s">
        <v>15941</v>
      </c>
    </row>
    <row r="15410" spans="1:1">
      <c r="A15410" t="s">
        <v>15942</v>
      </c>
    </row>
    <row r="15411" spans="1:1">
      <c r="A15411" t="s">
        <v>15943</v>
      </c>
    </row>
    <row r="15412" spans="1:1">
      <c r="A15412" t="s">
        <v>15944</v>
      </c>
    </row>
    <row r="15413" spans="1:1">
      <c r="A15413" t="s">
        <v>15945</v>
      </c>
    </row>
    <row r="15414" spans="1:1">
      <c r="A15414" t="s">
        <v>15946</v>
      </c>
    </row>
    <row r="15415" spans="1:1">
      <c r="A15415" t="s">
        <v>15947</v>
      </c>
    </row>
    <row r="15416" spans="1:1">
      <c r="A15416" t="s">
        <v>15948</v>
      </c>
    </row>
    <row r="15417" spans="1:1">
      <c r="A15417" t="s">
        <v>15949</v>
      </c>
    </row>
    <row r="15418" spans="1:1">
      <c r="A15418" t="s">
        <v>15950</v>
      </c>
    </row>
    <row r="15419" spans="1:1">
      <c r="A15419" t="s">
        <v>15951</v>
      </c>
    </row>
    <row r="15420" spans="1:1">
      <c r="A15420" t="s">
        <v>15952</v>
      </c>
    </row>
    <row r="15421" spans="1:1">
      <c r="A15421" t="s">
        <v>15953</v>
      </c>
    </row>
    <row r="15422" spans="1:1">
      <c r="A15422" t="s">
        <v>15954</v>
      </c>
    </row>
    <row r="15423" spans="1:1">
      <c r="A15423" t="s">
        <v>15955</v>
      </c>
    </row>
    <row r="15424" spans="1:1">
      <c r="A15424" t="s">
        <v>15956</v>
      </c>
    </row>
    <row r="15425" spans="1:1">
      <c r="A15425" t="s">
        <v>15957</v>
      </c>
    </row>
    <row r="15426" spans="1:1">
      <c r="A15426" t="s">
        <v>15958</v>
      </c>
    </row>
    <row r="15427" spans="1:1">
      <c r="A15427" t="s">
        <v>15959</v>
      </c>
    </row>
    <row r="15428" spans="1:1">
      <c r="A15428" t="s">
        <v>15960</v>
      </c>
    </row>
    <row r="15429" spans="1:1">
      <c r="A15429" t="s">
        <v>15961</v>
      </c>
    </row>
    <row r="15430" spans="1:1">
      <c r="A15430" t="s">
        <v>15962</v>
      </c>
    </row>
    <row r="15431" spans="1:1">
      <c r="A15431" t="s">
        <v>15963</v>
      </c>
    </row>
    <row r="15432" spans="1:1">
      <c r="A15432" t="s">
        <v>15964</v>
      </c>
    </row>
    <row r="15433" spans="1:1">
      <c r="A15433" t="s">
        <v>15965</v>
      </c>
    </row>
    <row r="15434" spans="1:1">
      <c r="A15434" t="s">
        <v>15966</v>
      </c>
    </row>
    <row r="15435" spans="1:1">
      <c r="A15435" t="s">
        <v>15967</v>
      </c>
    </row>
    <row r="15436" spans="1:1">
      <c r="A15436" t="s">
        <v>15968</v>
      </c>
    </row>
    <row r="15437" spans="1:1">
      <c r="A15437" t="s">
        <v>15969</v>
      </c>
    </row>
    <row r="15438" spans="1:1">
      <c r="A15438" t="s">
        <v>15970</v>
      </c>
    </row>
    <row r="15439" spans="1:1">
      <c r="A15439" t="s">
        <v>15971</v>
      </c>
    </row>
    <row r="15440" spans="1:1">
      <c r="A15440" t="s">
        <v>15972</v>
      </c>
    </row>
    <row r="15441" spans="1:1">
      <c r="A15441" t="s">
        <v>15973</v>
      </c>
    </row>
    <row r="15442" spans="1:1">
      <c r="A15442" t="s">
        <v>15974</v>
      </c>
    </row>
    <row r="15443" spans="1:1">
      <c r="A15443" t="s">
        <v>15975</v>
      </c>
    </row>
    <row r="15444" spans="1:1">
      <c r="A15444" t="s">
        <v>15976</v>
      </c>
    </row>
    <row r="15445" spans="1:1">
      <c r="A15445" t="s">
        <v>15977</v>
      </c>
    </row>
    <row r="15446" spans="1:1">
      <c r="A15446" t="s">
        <v>15978</v>
      </c>
    </row>
    <row r="15447" spans="1:1">
      <c r="A15447" t="s">
        <v>15979</v>
      </c>
    </row>
    <row r="15448" spans="1:1">
      <c r="A15448" t="s">
        <v>15980</v>
      </c>
    </row>
    <row r="15449" spans="1:1">
      <c r="A15449" t="s">
        <v>15981</v>
      </c>
    </row>
    <row r="15450" spans="1:1">
      <c r="A15450" t="s">
        <v>15982</v>
      </c>
    </row>
    <row r="15451" spans="1:1">
      <c r="A15451" t="s">
        <v>15983</v>
      </c>
    </row>
    <row r="15452" spans="1:1">
      <c r="A15452" t="s">
        <v>15984</v>
      </c>
    </row>
    <row r="15453" spans="1:1">
      <c r="A15453" t="s">
        <v>15985</v>
      </c>
    </row>
    <row r="15454" spans="1:1">
      <c r="A15454" t="s">
        <v>15986</v>
      </c>
    </row>
    <row r="15455" spans="1:1">
      <c r="A15455" t="s">
        <v>15987</v>
      </c>
    </row>
    <row r="15456" spans="1:1">
      <c r="A15456" t="s">
        <v>15988</v>
      </c>
    </row>
    <row r="15457" spans="1:1">
      <c r="A15457" t="s">
        <v>15989</v>
      </c>
    </row>
    <row r="15458" spans="1:1">
      <c r="A15458" t="s">
        <v>15990</v>
      </c>
    </row>
    <row r="15459" spans="1:1">
      <c r="A15459" t="s">
        <v>15991</v>
      </c>
    </row>
    <row r="15460" spans="1:1">
      <c r="A15460" t="s">
        <v>15992</v>
      </c>
    </row>
    <row r="15461" spans="1:1">
      <c r="A15461" t="s">
        <v>15993</v>
      </c>
    </row>
    <row r="15462" spans="1:1">
      <c r="A15462" t="s">
        <v>15994</v>
      </c>
    </row>
    <row r="15463" spans="1:1">
      <c r="A15463" t="s">
        <v>15995</v>
      </c>
    </row>
    <row r="15464" spans="1:1">
      <c r="A15464" t="s">
        <v>15996</v>
      </c>
    </row>
    <row r="15465" spans="1:1">
      <c r="A15465" t="s">
        <v>15997</v>
      </c>
    </row>
    <row r="15466" spans="1:1">
      <c r="A15466" t="s">
        <v>15998</v>
      </c>
    </row>
    <row r="15467" spans="1:1">
      <c r="A15467" t="s">
        <v>15999</v>
      </c>
    </row>
    <row r="15468" spans="1:1">
      <c r="A15468" t="s">
        <v>16000</v>
      </c>
    </row>
    <row r="15469" spans="1:1">
      <c r="A15469" t="s">
        <v>16001</v>
      </c>
    </row>
    <row r="15470" spans="1:1">
      <c r="A15470" t="s">
        <v>16002</v>
      </c>
    </row>
    <row r="15471" spans="1:1">
      <c r="A15471" t="s">
        <v>16003</v>
      </c>
    </row>
    <row r="15472" spans="1:1">
      <c r="A15472" t="s">
        <v>16004</v>
      </c>
    </row>
    <row r="15473" spans="1:1">
      <c r="A15473" t="s">
        <v>16005</v>
      </c>
    </row>
    <row r="15474" spans="1:1">
      <c r="A15474" t="s">
        <v>16006</v>
      </c>
    </row>
    <row r="15475" spans="1:1">
      <c r="A15475" t="s">
        <v>16007</v>
      </c>
    </row>
    <row r="15476" spans="1:1">
      <c r="A15476" t="s">
        <v>16008</v>
      </c>
    </row>
    <row r="15477" spans="1:1">
      <c r="A15477" t="s">
        <v>16009</v>
      </c>
    </row>
    <row r="15478" spans="1:1">
      <c r="A15478" t="s">
        <v>16010</v>
      </c>
    </row>
    <row r="15479" spans="1:1">
      <c r="A15479" t="s">
        <v>16011</v>
      </c>
    </row>
    <row r="15480" spans="1:1">
      <c r="A15480" t="s">
        <v>16012</v>
      </c>
    </row>
    <row r="15481" spans="1:1">
      <c r="A15481" t="s">
        <v>16013</v>
      </c>
    </row>
    <row r="15482" spans="1:1">
      <c r="A15482" t="s">
        <v>16014</v>
      </c>
    </row>
    <row r="15483" spans="1:1">
      <c r="A15483" t="s">
        <v>16015</v>
      </c>
    </row>
    <row r="15484" spans="1:1">
      <c r="A15484" t="s">
        <v>16016</v>
      </c>
    </row>
    <row r="15485" spans="1:1">
      <c r="A15485" t="s">
        <v>16017</v>
      </c>
    </row>
    <row r="15486" spans="1:1">
      <c r="A15486" t="s">
        <v>16018</v>
      </c>
    </row>
    <row r="15487" spans="1:1">
      <c r="A15487" t="s">
        <v>16019</v>
      </c>
    </row>
    <row r="15488" spans="1:1">
      <c r="A15488" t="s">
        <v>16020</v>
      </c>
    </row>
    <row r="15489" spans="1:1">
      <c r="A15489" t="s">
        <v>16021</v>
      </c>
    </row>
    <row r="15490" spans="1:1">
      <c r="A15490" t="s">
        <v>16022</v>
      </c>
    </row>
    <row r="15491" spans="1:1">
      <c r="A15491" t="s">
        <v>16023</v>
      </c>
    </row>
    <row r="15492" spans="1:1">
      <c r="A15492" t="s">
        <v>16024</v>
      </c>
    </row>
    <row r="15493" spans="1:1">
      <c r="A15493" t="s">
        <v>16025</v>
      </c>
    </row>
    <row r="15494" spans="1:1">
      <c r="A15494" t="s">
        <v>16026</v>
      </c>
    </row>
    <row r="15495" spans="1:1">
      <c r="A15495" t="s">
        <v>16027</v>
      </c>
    </row>
    <row r="15496" spans="1:1">
      <c r="A15496" t="s">
        <v>16028</v>
      </c>
    </row>
    <row r="15497" spans="1:1">
      <c r="A15497" t="s">
        <v>16029</v>
      </c>
    </row>
    <row r="15498" spans="1:1">
      <c r="A15498" t="s">
        <v>16030</v>
      </c>
    </row>
    <row r="15499" spans="1:1">
      <c r="A15499" t="s">
        <v>16031</v>
      </c>
    </row>
    <row r="15500" spans="1:1">
      <c r="A15500" t="s">
        <v>16032</v>
      </c>
    </row>
    <row r="15501" spans="1:1">
      <c r="A15501" t="s">
        <v>16033</v>
      </c>
    </row>
    <row r="15502" spans="1:1">
      <c r="A15502" t="s">
        <v>16034</v>
      </c>
    </row>
    <row r="15503" spans="1:1">
      <c r="A15503" t="s">
        <v>16035</v>
      </c>
    </row>
    <row r="15504" spans="1:1">
      <c r="A15504" t="s">
        <v>16036</v>
      </c>
    </row>
    <row r="15505" spans="1:1">
      <c r="A15505" t="s">
        <v>16037</v>
      </c>
    </row>
    <row r="15506" spans="1:1">
      <c r="A15506" t="s">
        <v>16038</v>
      </c>
    </row>
    <row r="15507" spans="1:1">
      <c r="A15507" t="s">
        <v>16039</v>
      </c>
    </row>
    <row r="15508" spans="1:1">
      <c r="A15508" t="s">
        <v>16040</v>
      </c>
    </row>
    <row r="15509" spans="1:1">
      <c r="A15509" t="s">
        <v>16041</v>
      </c>
    </row>
    <row r="15510" spans="1:1">
      <c r="A15510" t="s">
        <v>16042</v>
      </c>
    </row>
    <row r="15511" spans="1:1">
      <c r="A15511" t="s">
        <v>16043</v>
      </c>
    </row>
    <row r="15512" spans="1:1">
      <c r="A15512" t="s">
        <v>16044</v>
      </c>
    </row>
    <row r="15513" spans="1:1">
      <c r="A15513" t="s">
        <v>16045</v>
      </c>
    </row>
    <row r="15514" spans="1:1">
      <c r="A15514" t="s">
        <v>16046</v>
      </c>
    </row>
    <row r="15515" spans="1:1">
      <c r="A15515" t="s">
        <v>16047</v>
      </c>
    </row>
    <row r="15516" spans="1:1">
      <c r="A15516" t="s">
        <v>16048</v>
      </c>
    </row>
    <row r="15517" spans="1:1">
      <c r="A15517" t="s">
        <v>16049</v>
      </c>
    </row>
    <row r="15518" spans="1:1">
      <c r="A15518" t="s">
        <v>16050</v>
      </c>
    </row>
    <row r="15519" spans="1:1">
      <c r="A15519" t="s">
        <v>16051</v>
      </c>
    </row>
    <row r="15520" spans="1:1">
      <c r="A15520" t="s">
        <v>16052</v>
      </c>
    </row>
    <row r="15521" spans="1:1">
      <c r="A15521" t="s">
        <v>16053</v>
      </c>
    </row>
    <row r="15522" spans="1:1">
      <c r="A15522" t="s">
        <v>16054</v>
      </c>
    </row>
    <row r="15523" spans="1:1">
      <c r="A15523" t="s">
        <v>16055</v>
      </c>
    </row>
    <row r="15524" spans="1:1">
      <c r="A15524" t="s">
        <v>16056</v>
      </c>
    </row>
    <row r="15525" spans="1:1">
      <c r="A15525" t="s">
        <v>16057</v>
      </c>
    </row>
    <row r="15526" spans="1:1">
      <c r="A15526" t="s">
        <v>16058</v>
      </c>
    </row>
    <row r="15527" spans="1:1">
      <c r="A15527" t="s">
        <v>16059</v>
      </c>
    </row>
    <row r="15528" spans="1:1">
      <c r="A15528" t="s">
        <v>16060</v>
      </c>
    </row>
    <row r="15529" spans="1:1">
      <c r="A15529" t="s">
        <v>16061</v>
      </c>
    </row>
    <row r="15530" spans="1:1">
      <c r="A15530" t="s">
        <v>16062</v>
      </c>
    </row>
    <row r="15531" spans="1:1">
      <c r="A15531" t="s">
        <v>16063</v>
      </c>
    </row>
    <row r="15532" spans="1:1">
      <c r="A15532" t="s">
        <v>16064</v>
      </c>
    </row>
    <row r="15533" spans="1:1">
      <c r="A15533" t="s">
        <v>16065</v>
      </c>
    </row>
    <row r="15534" spans="1:1">
      <c r="A15534" t="s">
        <v>16066</v>
      </c>
    </row>
    <row r="15535" spans="1:1">
      <c r="A15535" t="s">
        <v>16067</v>
      </c>
    </row>
    <row r="15536" spans="1:1">
      <c r="A15536" t="s">
        <v>16068</v>
      </c>
    </row>
    <row r="15537" spans="1:1">
      <c r="A15537" t="s">
        <v>16069</v>
      </c>
    </row>
    <row r="15538" spans="1:1">
      <c r="A15538" t="s">
        <v>16070</v>
      </c>
    </row>
    <row r="15539" spans="1:1">
      <c r="A15539" t="s">
        <v>16071</v>
      </c>
    </row>
    <row r="15540" spans="1:1">
      <c r="A15540" t="s">
        <v>16072</v>
      </c>
    </row>
    <row r="15541" spans="1:1">
      <c r="A15541" t="s">
        <v>16073</v>
      </c>
    </row>
    <row r="15542" spans="1:1">
      <c r="A15542" t="s">
        <v>16074</v>
      </c>
    </row>
    <row r="15543" spans="1:1">
      <c r="A15543" t="s">
        <v>16075</v>
      </c>
    </row>
    <row r="15544" spans="1:1">
      <c r="A15544" t="s">
        <v>16076</v>
      </c>
    </row>
    <row r="15545" spans="1:1">
      <c r="A15545" t="s">
        <v>16077</v>
      </c>
    </row>
    <row r="15546" spans="1:1">
      <c r="A15546" t="s">
        <v>16078</v>
      </c>
    </row>
    <row r="15547" spans="1:1">
      <c r="A15547" t="s">
        <v>16079</v>
      </c>
    </row>
    <row r="15548" spans="1:1">
      <c r="A15548" t="s">
        <v>16080</v>
      </c>
    </row>
    <row r="15549" spans="1:1">
      <c r="A15549" t="s">
        <v>16081</v>
      </c>
    </row>
    <row r="15550" spans="1:1">
      <c r="A15550" t="s">
        <v>16082</v>
      </c>
    </row>
    <row r="15551" spans="1:1">
      <c r="A15551" t="s">
        <v>16083</v>
      </c>
    </row>
    <row r="15552" spans="1:1">
      <c r="A15552" t="s">
        <v>16084</v>
      </c>
    </row>
    <row r="15553" spans="1:1">
      <c r="A15553" t="s">
        <v>16085</v>
      </c>
    </row>
    <row r="15554" spans="1:1">
      <c r="A15554" t="s">
        <v>16086</v>
      </c>
    </row>
    <row r="15555" spans="1:1">
      <c r="A15555" t="s">
        <v>16087</v>
      </c>
    </row>
    <row r="15556" spans="1:1">
      <c r="A15556" t="s">
        <v>16088</v>
      </c>
    </row>
    <row r="15557" spans="1:1">
      <c r="A15557" t="s">
        <v>16089</v>
      </c>
    </row>
    <row r="15558" spans="1:1">
      <c r="A15558" t="s">
        <v>16090</v>
      </c>
    </row>
    <row r="15559" spans="1:1">
      <c r="A15559" t="s">
        <v>16091</v>
      </c>
    </row>
    <row r="15560" spans="1:1">
      <c r="A15560" t="s">
        <v>16092</v>
      </c>
    </row>
    <row r="15561" spans="1:1">
      <c r="A15561" t="s">
        <v>16093</v>
      </c>
    </row>
    <row r="15562" spans="1:1">
      <c r="A15562" t="s">
        <v>16094</v>
      </c>
    </row>
    <row r="15563" spans="1:1">
      <c r="A15563" t="s">
        <v>16095</v>
      </c>
    </row>
    <row r="15564" spans="1:1">
      <c r="A15564" t="s">
        <v>16096</v>
      </c>
    </row>
    <row r="15565" spans="1:1">
      <c r="A15565" t="s">
        <v>16097</v>
      </c>
    </row>
    <row r="15566" spans="1:1">
      <c r="A15566" t="s">
        <v>16098</v>
      </c>
    </row>
    <row r="15567" spans="1:1">
      <c r="A15567" t="s">
        <v>16099</v>
      </c>
    </row>
    <row r="15568" spans="1:1">
      <c r="A15568" t="s">
        <v>16100</v>
      </c>
    </row>
    <row r="15569" spans="1:1">
      <c r="A15569" t="s">
        <v>16101</v>
      </c>
    </row>
    <row r="15570" spans="1:1">
      <c r="A15570" t="s">
        <v>16102</v>
      </c>
    </row>
    <row r="15571" spans="1:1">
      <c r="A15571" t="s">
        <v>16103</v>
      </c>
    </row>
    <row r="15572" spans="1:1">
      <c r="A15572" t="s">
        <v>16104</v>
      </c>
    </row>
    <row r="15573" spans="1:1">
      <c r="A15573" t="s">
        <v>16105</v>
      </c>
    </row>
    <row r="15574" spans="1:1">
      <c r="A15574" t="s">
        <v>16106</v>
      </c>
    </row>
    <row r="15575" spans="1:1">
      <c r="A15575" t="s">
        <v>16107</v>
      </c>
    </row>
    <row r="15576" spans="1:1">
      <c r="A15576" t="s">
        <v>16108</v>
      </c>
    </row>
    <row r="15577" spans="1:1">
      <c r="A15577" t="s">
        <v>16109</v>
      </c>
    </row>
    <row r="15578" spans="1:1">
      <c r="A15578" t="s">
        <v>16110</v>
      </c>
    </row>
    <row r="15579" spans="1:1">
      <c r="A15579" t="s">
        <v>16111</v>
      </c>
    </row>
    <row r="15580" spans="1:1">
      <c r="A15580" t="s">
        <v>16112</v>
      </c>
    </row>
    <row r="15581" spans="1:1">
      <c r="A15581" t="s">
        <v>16113</v>
      </c>
    </row>
    <row r="15582" spans="1:1">
      <c r="A15582" t="s">
        <v>16114</v>
      </c>
    </row>
    <row r="15583" spans="1:1">
      <c r="A15583" t="s">
        <v>16115</v>
      </c>
    </row>
    <row r="15584" spans="1:1">
      <c r="A15584" t="s">
        <v>16116</v>
      </c>
    </row>
    <row r="15585" spans="1:1">
      <c r="A15585" t="s">
        <v>16117</v>
      </c>
    </row>
    <row r="15586" spans="1:1">
      <c r="A15586" t="s">
        <v>16118</v>
      </c>
    </row>
    <row r="15587" spans="1:1">
      <c r="A15587" t="s">
        <v>16119</v>
      </c>
    </row>
    <row r="15588" spans="1:1">
      <c r="A15588" t="s">
        <v>16120</v>
      </c>
    </row>
    <row r="15589" spans="1:1">
      <c r="A15589" t="s">
        <v>16121</v>
      </c>
    </row>
    <row r="15590" spans="1:1">
      <c r="A15590" t="s">
        <v>16122</v>
      </c>
    </row>
    <row r="15591" spans="1:1">
      <c r="A15591" t="s">
        <v>16123</v>
      </c>
    </row>
    <row r="15592" spans="1:1">
      <c r="A15592" t="s">
        <v>16124</v>
      </c>
    </row>
    <row r="15593" spans="1:1">
      <c r="A15593" t="s">
        <v>16125</v>
      </c>
    </row>
    <row r="15594" spans="1:1">
      <c r="A15594" t="s">
        <v>16126</v>
      </c>
    </row>
    <row r="15595" spans="1:1">
      <c r="A15595" t="s">
        <v>16127</v>
      </c>
    </row>
    <row r="15596" spans="1:1">
      <c r="A15596" t="s">
        <v>16128</v>
      </c>
    </row>
    <row r="15597" spans="1:1">
      <c r="A15597" t="s">
        <v>16129</v>
      </c>
    </row>
    <row r="15598" spans="1:1">
      <c r="A15598" t="s">
        <v>16130</v>
      </c>
    </row>
    <row r="15599" spans="1:1">
      <c r="A15599" t="s">
        <v>16131</v>
      </c>
    </row>
    <row r="15600" spans="1:1">
      <c r="A15600" t="s">
        <v>16132</v>
      </c>
    </row>
    <row r="15601" spans="1:1">
      <c r="A15601" t="s">
        <v>16133</v>
      </c>
    </row>
    <row r="15602" spans="1:1">
      <c r="A15602" t="s">
        <v>16134</v>
      </c>
    </row>
    <row r="15603" spans="1:1">
      <c r="A15603" t="s">
        <v>16135</v>
      </c>
    </row>
    <row r="15604" spans="1:1">
      <c r="A15604" t="s">
        <v>16136</v>
      </c>
    </row>
    <row r="15605" spans="1:1">
      <c r="A15605" t="s">
        <v>16137</v>
      </c>
    </row>
    <row r="15606" spans="1:1">
      <c r="A15606" t="s">
        <v>16138</v>
      </c>
    </row>
    <row r="15607" spans="1:1">
      <c r="A15607" t="s">
        <v>16139</v>
      </c>
    </row>
    <row r="15608" spans="1:1">
      <c r="A15608" t="s">
        <v>16140</v>
      </c>
    </row>
    <row r="15609" spans="1:1">
      <c r="A15609" t="s">
        <v>16141</v>
      </c>
    </row>
    <row r="15610" spans="1:1">
      <c r="A15610" t="s">
        <v>16142</v>
      </c>
    </row>
    <row r="15611" spans="1:1">
      <c r="A15611" t="s">
        <v>16143</v>
      </c>
    </row>
    <row r="15612" spans="1:1">
      <c r="A15612" t="s">
        <v>16144</v>
      </c>
    </row>
    <row r="15613" spans="1:1">
      <c r="A15613" t="s">
        <v>16145</v>
      </c>
    </row>
    <row r="15614" spans="1:1">
      <c r="A15614" t="s">
        <v>16146</v>
      </c>
    </row>
    <row r="15615" spans="1:1">
      <c r="A15615" t="s">
        <v>16147</v>
      </c>
    </row>
    <row r="15616" spans="1:1">
      <c r="A15616" t="s">
        <v>16148</v>
      </c>
    </row>
    <row r="15617" spans="1:1">
      <c r="A15617" t="s">
        <v>16149</v>
      </c>
    </row>
    <row r="15618" spans="1:1">
      <c r="A15618" t="s">
        <v>16150</v>
      </c>
    </row>
    <row r="15619" spans="1:1">
      <c r="A15619" t="s">
        <v>16151</v>
      </c>
    </row>
    <row r="15620" spans="1:1">
      <c r="A15620" t="s">
        <v>16152</v>
      </c>
    </row>
    <row r="15621" spans="1:1">
      <c r="A15621" t="s">
        <v>16153</v>
      </c>
    </row>
    <row r="15622" spans="1:1">
      <c r="A15622" t="s">
        <v>16154</v>
      </c>
    </row>
    <row r="15623" spans="1:1">
      <c r="A15623" t="s">
        <v>16155</v>
      </c>
    </row>
    <row r="15624" spans="1:1">
      <c r="A15624" t="s">
        <v>16156</v>
      </c>
    </row>
    <row r="15625" spans="1:1">
      <c r="A15625" t="s">
        <v>16157</v>
      </c>
    </row>
    <row r="15626" spans="1:1">
      <c r="A15626" t="s">
        <v>16158</v>
      </c>
    </row>
    <row r="15627" spans="1:1">
      <c r="A15627" t="s">
        <v>16159</v>
      </c>
    </row>
    <row r="15628" spans="1:1">
      <c r="A15628" t="s">
        <v>16160</v>
      </c>
    </row>
    <row r="15629" spans="1:1">
      <c r="A15629" t="s">
        <v>16161</v>
      </c>
    </row>
    <row r="15630" spans="1:1">
      <c r="A15630" t="s">
        <v>16162</v>
      </c>
    </row>
    <row r="15631" spans="1:1">
      <c r="A15631" t="s">
        <v>16163</v>
      </c>
    </row>
    <row r="15632" spans="1:1">
      <c r="A15632" t="s">
        <v>16164</v>
      </c>
    </row>
    <row r="15633" spans="1:1">
      <c r="A15633" t="s">
        <v>16165</v>
      </c>
    </row>
    <row r="15634" spans="1:1">
      <c r="A15634" t="s">
        <v>16166</v>
      </c>
    </row>
    <row r="15635" spans="1:1">
      <c r="A15635" t="s">
        <v>16167</v>
      </c>
    </row>
    <row r="15636" spans="1:1">
      <c r="A15636" t="s">
        <v>16168</v>
      </c>
    </row>
    <row r="15637" spans="1:1">
      <c r="A15637" t="s">
        <v>16169</v>
      </c>
    </row>
    <row r="15638" spans="1:1">
      <c r="A15638" t="s">
        <v>16170</v>
      </c>
    </row>
    <row r="15639" spans="1:1">
      <c r="A15639" t="s">
        <v>16171</v>
      </c>
    </row>
    <row r="15640" spans="1:1">
      <c r="A15640" t="s">
        <v>16172</v>
      </c>
    </row>
    <row r="15641" spans="1:1">
      <c r="A15641" t="s">
        <v>16173</v>
      </c>
    </row>
    <row r="15642" spans="1:1">
      <c r="A15642" t="s">
        <v>16174</v>
      </c>
    </row>
    <row r="15643" spans="1:1">
      <c r="A15643" t="s">
        <v>16175</v>
      </c>
    </row>
    <row r="15644" spans="1:1">
      <c r="A15644" t="s">
        <v>16176</v>
      </c>
    </row>
    <row r="15645" spans="1:1">
      <c r="A15645" t="s">
        <v>16177</v>
      </c>
    </row>
    <row r="15646" spans="1:1">
      <c r="A15646" t="s">
        <v>16178</v>
      </c>
    </row>
    <row r="15647" spans="1:1">
      <c r="A15647" t="s">
        <v>16179</v>
      </c>
    </row>
    <row r="15648" spans="1:1">
      <c r="A15648" t="s">
        <v>16180</v>
      </c>
    </row>
    <row r="15649" spans="1:1">
      <c r="A15649" t="s">
        <v>16181</v>
      </c>
    </row>
    <row r="15650" spans="1:1">
      <c r="A15650" t="s">
        <v>16182</v>
      </c>
    </row>
    <row r="15651" spans="1:1">
      <c r="A15651" t="s">
        <v>16183</v>
      </c>
    </row>
    <row r="15652" spans="1:1">
      <c r="A15652" t="s">
        <v>16184</v>
      </c>
    </row>
    <row r="15653" spans="1:1">
      <c r="A15653" t="s">
        <v>16185</v>
      </c>
    </row>
    <row r="15654" spans="1:1">
      <c r="A15654" t="s">
        <v>16186</v>
      </c>
    </row>
    <row r="15655" spans="1:1">
      <c r="A15655" t="s">
        <v>16187</v>
      </c>
    </row>
    <row r="15656" spans="1:1">
      <c r="A15656" t="s">
        <v>16188</v>
      </c>
    </row>
    <row r="15657" spans="1:1">
      <c r="A15657" t="s">
        <v>16189</v>
      </c>
    </row>
    <row r="15658" spans="1:1">
      <c r="A15658" t="s">
        <v>16190</v>
      </c>
    </row>
    <row r="15659" spans="1:1">
      <c r="A15659" t="s">
        <v>16191</v>
      </c>
    </row>
    <row r="15660" spans="1:1">
      <c r="A15660" t="s">
        <v>16192</v>
      </c>
    </row>
    <row r="15661" spans="1:1">
      <c r="A15661" t="s">
        <v>16193</v>
      </c>
    </row>
    <row r="15662" spans="1:1">
      <c r="A15662" t="s">
        <v>16194</v>
      </c>
    </row>
    <row r="15663" spans="1:1">
      <c r="A15663" t="s">
        <v>16195</v>
      </c>
    </row>
    <row r="15664" spans="1:1">
      <c r="A15664" t="s">
        <v>16196</v>
      </c>
    </row>
    <row r="15665" spans="1:1">
      <c r="A15665" t="s">
        <v>16197</v>
      </c>
    </row>
    <row r="15666" spans="1:1">
      <c r="A15666" t="s">
        <v>16198</v>
      </c>
    </row>
    <row r="15667" spans="1:1">
      <c r="A15667" t="s">
        <v>16199</v>
      </c>
    </row>
    <row r="15668" spans="1:1">
      <c r="A15668" t="s">
        <v>16200</v>
      </c>
    </row>
    <row r="15669" spans="1:1">
      <c r="A15669" t="s">
        <v>16201</v>
      </c>
    </row>
    <row r="15670" spans="1:1">
      <c r="A15670" t="s">
        <v>16202</v>
      </c>
    </row>
    <row r="15671" spans="1:1">
      <c r="A15671" t="s">
        <v>16203</v>
      </c>
    </row>
    <row r="15672" spans="1:1">
      <c r="A15672" t="s">
        <v>16204</v>
      </c>
    </row>
    <row r="15673" spans="1:1">
      <c r="A15673" t="s">
        <v>16205</v>
      </c>
    </row>
    <row r="15674" spans="1:1">
      <c r="A15674" t="s">
        <v>16206</v>
      </c>
    </row>
    <row r="15675" spans="1:1">
      <c r="A15675" t="s">
        <v>16207</v>
      </c>
    </row>
    <row r="15676" spans="1:1">
      <c r="A15676" t="s">
        <v>16208</v>
      </c>
    </row>
    <row r="15677" spans="1:1">
      <c r="A15677" t="s">
        <v>16209</v>
      </c>
    </row>
    <row r="15678" spans="1:1">
      <c r="A15678" t="s">
        <v>16210</v>
      </c>
    </row>
    <row r="15679" spans="1:1">
      <c r="A15679" t="s">
        <v>16211</v>
      </c>
    </row>
    <row r="15680" spans="1:1">
      <c r="A15680" t="s">
        <v>16212</v>
      </c>
    </row>
    <row r="15681" spans="1:1">
      <c r="A15681" t="s">
        <v>16213</v>
      </c>
    </row>
    <row r="15682" spans="1:1">
      <c r="A15682" t="s">
        <v>16214</v>
      </c>
    </row>
    <row r="15683" spans="1:1">
      <c r="A15683" t="s">
        <v>16215</v>
      </c>
    </row>
    <row r="15684" spans="1:1">
      <c r="A15684" t="s">
        <v>16216</v>
      </c>
    </row>
    <row r="15685" spans="1:1">
      <c r="A15685" t="s">
        <v>16217</v>
      </c>
    </row>
    <row r="15686" spans="1:1">
      <c r="A15686" t="s">
        <v>16218</v>
      </c>
    </row>
    <row r="15687" spans="1:1">
      <c r="A15687" t="s">
        <v>16219</v>
      </c>
    </row>
    <row r="15688" spans="1:1">
      <c r="A15688" t="s">
        <v>16220</v>
      </c>
    </row>
    <row r="15689" spans="1:1">
      <c r="A15689" t="s">
        <v>16221</v>
      </c>
    </row>
    <row r="15690" spans="1:1">
      <c r="A15690" t="s">
        <v>16222</v>
      </c>
    </row>
    <row r="15691" spans="1:1">
      <c r="A15691" t="s">
        <v>16223</v>
      </c>
    </row>
    <row r="15692" spans="1:1">
      <c r="A15692" t="s">
        <v>16224</v>
      </c>
    </row>
    <row r="15693" spans="1:1">
      <c r="A15693" t="s">
        <v>16225</v>
      </c>
    </row>
    <row r="15694" spans="1:1">
      <c r="A15694" t="s">
        <v>16226</v>
      </c>
    </row>
    <row r="15695" spans="1:1">
      <c r="A15695" t="s">
        <v>16227</v>
      </c>
    </row>
    <row r="15696" spans="1:1">
      <c r="A15696" t="s">
        <v>16228</v>
      </c>
    </row>
    <row r="15697" spans="1:1">
      <c r="A15697" t="s">
        <v>16229</v>
      </c>
    </row>
    <row r="15698" spans="1:1">
      <c r="A15698" t="s">
        <v>16230</v>
      </c>
    </row>
    <row r="15699" spans="1:1">
      <c r="A15699" t="s">
        <v>16231</v>
      </c>
    </row>
    <row r="15700" spans="1:1">
      <c r="A15700" t="s">
        <v>16232</v>
      </c>
    </row>
    <row r="15701" spans="1:1">
      <c r="A15701" t="s">
        <v>16233</v>
      </c>
    </row>
    <row r="15702" spans="1:1">
      <c r="A15702" t="s">
        <v>16234</v>
      </c>
    </row>
    <row r="15703" spans="1:1">
      <c r="A15703" t="s">
        <v>16235</v>
      </c>
    </row>
    <row r="15704" spans="1:1">
      <c r="A15704" t="s">
        <v>16236</v>
      </c>
    </row>
    <row r="15705" spans="1:1">
      <c r="A15705" t="s">
        <v>16237</v>
      </c>
    </row>
    <row r="15706" spans="1:1">
      <c r="A15706" t="s">
        <v>16238</v>
      </c>
    </row>
    <row r="15707" spans="1:1">
      <c r="A15707" t="s">
        <v>16239</v>
      </c>
    </row>
    <row r="15708" spans="1:1">
      <c r="A15708" t="s">
        <v>16240</v>
      </c>
    </row>
    <row r="15709" spans="1:1">
      <c r="A15709" t="s">
        <v>16241</v>
      </c>
    </row>
    <row r="15710" spans="1:1">
      <c r="A15710" t="s">
        <v>16242</v>
      </c>
    </row>
    <row r="15711" spans="1:1">
      <c r="A15711" t="s">
        <v>16243</v>
      </c>
    </row>
    <row r="15712" spans="1:1">
      <c r="A15712" t="s">
        <v>16244</v>
      </c>
    </row>
    <row r="15713" spans="1:1">
      <c r="A15713" t="s">
        <v>16245</v>
      </c>
    </row>
    <row r="15714" spans="1:1">
      <c r="A15714" t="s">
        <v>16246</v>
      </c>
    </row>
    <row r="15715" spans="1:1">
      <c r="A15715" t="s">
        <v>16247</v>
      </c>
    </row>
    <row r="15716" spans="1:1">
      <c r="A15716" t="s">
        <v>16248</v>
      </c>
    </row>
    <row r="15717" spans="1:1">
      <c r="A15717" t="s">
        <v>16249</v>
      </c>
    </row>
    <row r="15718" spans="1:1">
      <c r="A15718" t="s">
        <v>16250</v>
      </c>
    </row>
    <row r="15719" spans="1:1">
      <c r="A15719" t="s">
        <v>16251</v>
      </c>
    </row>
    <row r="15720" spans="1:1">
      <c r="A15720" t="s">
        <v>16252</v>
      </c>
    </row>
    <row r="15721" spans="1:1">
      <c r="A15721" t="s">
        <v>16253</v>
      </c>
    </row>
    <row r="15722" spans="1:1">
      <c r="A15722" t="s">
        <v>16254</v>
      </c>
    </row>
    <row r="15723" spans="1:1">
      <c r="A15723" t="s">
        <v>16255</v>
      </c>
    </row>
    <row r="15724" spans="1:1">
      <c r="A15724" t="s">
        <v>16256</v>
      </c>
    </row>
    <row r="15725" spans="1:1">
      <c r="A15725" t="s">
        <v>16257</v>
      </c>
    </row>
    <row r="15726" spans="1:1">
      <c r="A15726" t="s">
        <v>16258</v>
      </c>
    </row>
    <row r="15727" spans="1:1">
      <c r="A15727" t="s">
        <v>16259</v>
      </c>
    </row>
    <row r="15728" spans="1:1">
      <c r="A15728" t="s">
        <v>16260</v>
      </c>
    </row>
    <row r="15729" spans="1:1">
      <c r="A15729" t="s">
        <v>16261</v>
      </c>
    </row>
    <row r="15730" spans="1:1">
      <c r="A15730" t="s">
        <v>16262</v>
      </c>
    </row>
    <row r="15731" spans="1:1">
      <c r="A15731" t="s">
        <v>16263</v>
      </c>
    </row>
    <row r="15732" spans="1:1">
      <c r="A15732" t="s">
        <v>16264</v>
      </c>
    </row>
    <row r="15733" spans="1:1">
      <c r="A15733" t="s">
        <v>16265</v>
      </c>
    </row>
    <row r="15734" spans="1:1">
      <c r="A15734" t="s">
        <v>16266</v>
      </c>
    </row>
    <row r="15735" spans="1:1">
      <c r="A15735" t="s">
        <v>16267</v>
      </c>
    </row>
    <row r="15736" spans="1:1">
      <c r="A15736" t="s">
        <v>16268</v>
      </c>
    </row>
    <row r="15737" spans="1:1">
      <c r="A15737" t="s">
        <v>16269</v>
      </c>
    </row>
    <row r="15738" spans="1:1">
      <c r="A15738" t="s">
        <v>16270</v>
      </c>
    </row>
    <row r="15739" spans="1:1">
      <c r="A15739" t="s">
        <v>16271</v>
      </c>
    </row>
    <row r="15740" spans="1:1">
      <c r="A15740" t="s">
        <v>16272</v>
      </c>
    </row>
    <row r="15741" spans="1:1">
      <c r="A15741" t="s">
        <v>16273</v>
      </c>
    </row>
    <row r="15742" spans="1:1">
      <c r="A15742" t="s">
        <v>16274</v>
      </c>
    </row>
    <row r="15743" spans="1:1">
      <c r="A15743" t="s">
        <v>16275</v>
      </c>
    </row>
    <row r="15744" spans="1:1">
      <c r="A15744" t="s">
        <v>16276</v>
      </c>
    </row>
    <row r="15745" spans="1:1">
      <c r="A15745" t="s">
        <v>16277</v>
      </c>
    </row>
    <row r="15746" spans="1:1">
      <c r="A15746" t="s">
        <v>16278</v>
      </c>
    </row>
    <row r="15747" spans="1:1">
      <c r="A15747" t="s">
        <v>16279</v>
      </c>
    </row>
    <row r="15748" spans="1:1">
      <c r="A15748" t="s">
        <v>16280</v>
      </c>
    </row>
    <row r="15749" spans="1:1">
      <c r="A15749" t="s">
        <v>16281</v>
      </c>
    </row>
    <row r="15750" spans="1:1">
      <c r="A15750" t="s">
        <v>16282</v>
      </c>
    </row>
    <row r="15751" spans="1:1">
      <c r="A15751" t="s">
        <v>16283</v>
      </c>
    </row>
    <row r="15752" spans="1:1">
      <c r="A15752" t="s">
        <v>16284</v>
      </c>
    </row>
    <row r="15753" spans="1:1">
      <c r="A15753" t="s">
        <v>16285</v>
      </c>
    </row>
    <row r="15754" spans="1:1">
      <c r="A15754" t="s">
        <v>16286</v>
      </c>
    </row>
    <row r="15755" spans="1:1">
      <c r="A15755" t="s">
        <v>16287</v>
      </c>
    </row>
    <row r="15756" spans="1:1">
      <c r="A15756" t="s">
        <v>16288</v>
      </c>
    </row>
    <row r="15757" spans="1:1">
      <c r="A15757" t="s">
        <v>16289</v>
      </c>
    </row>
    <row r="15758" spans="1:1">
      <c r="A15758" t="s">
        <v>16290</v>
      </c>
    </row>
    <row r="15759" spans="1:1">
      <c r="A15759" t="s">
        <v>16291</v>
      </c>
    </row>
    <row r="15760" spans="1:1">
      <c r="A15760" t="s">
        <v>16292</v>
      </c>
    </row>
    <row r="15761" spans="1:1">
      <c r="A15761" t="s">
        <v>16293</v>
      </c>
    </row>
    <row r="15762" spans="1:1">
      <c r="A15762" t="s">
        <v>16294</v>
      </c>
    </row>
    <row r="15763" spans="1:1">
      <c r="A15763" t="s">
        <v>16295</v>
      </c>
    </row>
    <row r="15764" spans="1:1">
      <c r="A15764" t="s">
        <v>16296</v>
      </c>
    </row>
    <row r="15765" spans="1:1">
      <c r="A15765" t="s">
        <v>16297</v>
      </c>
    </row>
    <row r="15766" spans="1:1">
      <c r="A15766" t="s">
        <v>16298</v>
      </c>
    </row>
    <row r="15767" spans="1:1">
      <c r="A15767" t="s">
        <v>16299</v>
      </c>
    </row>
    <row r="15768" spans="1:1">
      <c r="A15768" t="s">
        <v>16300</v>
      </c>
    </row>
    <row r="15769" spans="1:1">
      <c r="A15769" t="s">
        <v>16301</v>
      </c>
    </row>
    <row r="15770" spans="1:1">
      <c r="A15770" t="s">
        <v>16302</v>
      </c>
    </row>
    <row r="15771" spans="1:1">
      <c r="A15771" t="s">
        <v>16303</v>
      </c>
    </row>
    <row r="15772" spans="1:1">
      <c r="A15772" t="s">
        <v>16304</v>
      </c>
    </row>
    <row r="15773" spans="1:1">
      <c r="A15773" t="s">
        <v>16305</v>
      </c>
    </row>
    <row r="15774" spans="1:1">
      <c r="A15774" t="s">
        <v>16306</v>
      </c>
    </row>
    <row r="15775" spans="1:1">
      <c r="A15775" t="s">
        <v>16307</v>
      </c>
    </row>
    <row r="15776" spans="1:1">
      <c r="A15776" t="s">
        <v>16308</v>
      </c>
    </row>
    <row r="15777" spans="1:1">
      <c r="A15777" t="s">
        <v>16309</v>
      </c>
    </row>
    <row r="15778" spans="1:1">
      <c r="A15778" t="s">
        <v>16310</v>
      </c>
    </row>
    <row r="15779" spans="1:1">
      <c r="A15779" t="s">
        <v>16311</v>
      </c>
    </row>
    <row r="15780" spans="1:1">
      <c r="A15780" t="s">
        <v>16312</v>
      </c>
    </row>
    <row r="15781" spans="1:1">
      <c r="A15781" t="s">
        <v>16313</v>
      </c>
    </row>
    <row r="15782" spans="1:1">
      <c r="A15782" t="s">
        <v>16314</v>
      </c>
    </row>
    <row r="15783" spans="1:1">
      <c r="A15783" t="s">
        <v>16315</v>
      </c>
    </row>
    <row r="15784" spans="1:1">
      <c r="A15784" t="s">
        <v>16316</v>
      </c>
    </row>
    <row r="15785" spans="1:1">
      <c r="A15785" t="s">
        <v>16317</v>
      </c>
    </row>
    <row r="15786" spans="1:1">
      <c r="A15786" t="s">
        <v>16318</v>
      </c>
    </row>
    <row r="15787" spans="1:1">
      <c r="A15787" t="s">
        <v>16319</v>
      </c>
    </row>
    <row r="15788" spans="1:1">
      <c r="A15788" t="s">
        <v>16320</v>
      </c>
    </row>
    <row r="15789" spans="1:1">
      <c r="A15789" t="s">
        <v>16321</v>
      </c>
    </row>
    <row r="15790" spans="1:1">
      <c r="A15790" t="s">
        <v>16322</v>
      </c>
    </row>
    <row r="15791" spans="1:1">
      <c r="A15791" t="s">
        <v>16323</v>
      </c>
    </row>
    <row r="15792" spans="1:1">
      <c r="A15792" t="s">
        <v>16324</v>
      </c>
    </row>
    <row r="15793" spans="1:1">
      <c r="A15793" t="s">
        <v>16325</v>
      </c>
    </row>
    <row r="15794" spans="1:1">
      <c r="A15794" t="s">
        <v>16326</v>
      </c>
    </row>
    <row r="15795" spans="1:1">
      <c r="A15795" t="s">
        <v>16327</v>
      </c>
    </row>
    <row r="15796" spans="1:1">
      <c r="A15796" t="s">
        <v>16328</v>
      </c>
    </row>
    <row r="15797" spans="1:1">
      <c r="A15797" t="s">
        <v>16329</v>
      </c>
    </row>
    <row r="15798" spans="1:1">
      <c r="A15798" t="s">
        <v>16330</v>
      </c>
    </row>
    <row r="15799" spans="1:1">
      <c r="A15799" t="s">
        <v>16331</v>
      </c>
    </row>
    <row r="15800" spans="1:1">
      <c r="A15800" t="s">
        <v>16332</v>
      </c>
    </row>
    <row r="15801" spans="1:1">
      <c r="A15801" t="s">
        <v>16333</v>
      </c>
    </row>
    <row r="15802" spans="1:1">
      <c r="A15802" t="s">
        <v>16334</v>
      </c>
    </row>
    <row r="15803" spans="1:1">
      <c r="A15803" t="s">
        <v>16335</v>
      </c>
    </row>
    <row r="15804" spans="1:1">
      <c r="A15804" t="s">
        <v>16336</v>
      </c>
    </row>
    <row r="15805" spans="1:1">
      <c r="A15805" t="s">
        <v>16337</v>
      </c>
    </row>
    <row r="15806" spans="1:1">
      <c r="A15806" t="s">
        <v>16338</v>
      </c>
    </row>
    <row r="15807" spans="1:1">
      <c r="A15807" t="s">
        <v>16339</v>
      </c>
    </row>
    <row r="15808" spans="1:1">
      <c r="A15808" t="s">
        <v>16340</v>
      </c>
    </row>
    <row r="15809" spans="1:1">
      <c r="A15809" t="s">
        <v>16341</v>
      </c>
    </row>
    <row r="15810" spans="1:1">
      <c r="A15810" t="s">
        <v>16342</v>
      </c>
    </row>
    <row r="15811" spans="1:1">
      <c r="A15811" t="s">
        <v>16343</v>
      </c>
    </row>
    <row r="15812" spans="1:1">
      <c r="A15812" t="s">
        <v>16344</v>
      </c>
    </row>
    <row r="15813" spans="1:1">
      <c r="A15813" t="s">
        <v>16345</v>
      </c>
    </row>
    <row r="15814" spans="1:1">
      <c r="A15814" t="s">
        <v>16346</v>
      </c>
    </row>
    <row r="15815" spans="1:1">
      <c r="A15815" t="s">
        <v>16347</v>
      </c>
    </row>
    <row r="15816" spans="1:1">
      <c r="A15816" t="s">
        <v>16348</v>
      </c>
    </row>
    <row r="15817" spans="1:1">
      <c r="A15817" t="s">
        <v>16349</v>
      </c>
    </row>
    <row r="15818" spans="1:1">
      <c r="A15818" t="s">
        <v>16350</v>
      </c>
    </row>
    <row r="15819" spans="1:1">
      <c r="A15819" t="s">
        <v>16351</v>
      </c>
    </row>
    <row r="15820" spans="1:1">
      <c r="A15820" t="s">
        <v>16352</v>
      </c>
    </row>
    <row r="15821" spans="1:1">
      <c r="A15821" t="s">
        <v>16353</v>
      </c>
    </row>
    <row r="15822" spans="1:1">
      <c r="A15822" t="s">
        <v>16354</v>
      </c>
    </row>
    <row r="15823" spans="1:1">
      <c r="A15823" t="s">
        <v>16355</v>
      </c>
    </row>
    <row r="15824" spans="1:1">
      <c r="A15824" t="s">
        <v>16356</v>
      </c>
    </row>
    <row r="15825" spans="1:1">
      <c r="A15825" t="s">
        <v>16357</v>
      </c>
    </row>
    <row r="15826" spans="1:1">
      <c r="A15826" t="s">
        <v>16358</v>
      </c>
    </row>
    <row r="15827" spans="1:1">
      <c r="A15827" t="s">
        <v>16359</v>
      </c>
    </row>
    <row r="15828" spans="1:1">
      <c r="A15828" t="s">
        <v>16360</v>
      </c>
    </row>
    <row r="15829" spans="1:1">
      <c r="A15829" t="s">
        <v>16361</v>
      </c>
    </row>
    <row r="15830" spans="1:1">
      <c r="A15830" t="s">
        <v>16362</v>
      </c>
    </row>
    <row r="15831" spans="1:1">
      <c r="A15831" t="s">
        <v>16363</v>
      </c>
    </row>
    <row r="15832" spans="1:1">
      <c r="A15832" t="s">
        <v>16364</v>
      </c>
    </row>
    <row r="15833" spans="1:1">
      <c r="A15833" t="s">
        <v>16365</v>
      </c>
    </row>
    <row r="15834" spans="1:1">
      <c r="A15834" t="s">
        <v>16366</v>
      </c>
    </row>
    <row r="15835" spans="1:1">
      <c r="A15835" t="s">
        <v>16367</v>
      </c>
    </row>
    <row r="15836" spans="1:1">
      <c r="A15836" t="s">
        <v>16368</v>
      </c>
    </row>
    <row r="15837" spans="1:1">
      <c r="A15837" t="s">
        <v>16369</v>
      </c>
    </row>
    <row r="15838" spans="1:1">
      <c r="A15838" t="s">
        <v>16370</v>
      </c>
    </row>
    <row r="15839" spans="1:1">
      <c r="A15839" t="s">
        <v>16371</v>
      </c>
    </row>
    <row r="15840" spans="1:1">
      <c r="A15840" t="s">
        <v>16372</v>
      </c>
    </row>
    <row r="15841" spans="1:1">
      <c r="A15841" t="s">
        <v>16373</v>
      </c>
    </row>
    <row r="15842" spans="1:1">
      <c r="A15842" t="s">
        <v>16374</v>
      </c>
    </row>
    <row r="15843" spans="1:1">
      <c r="A15843" t="s">
        <v>16375</v>
      </c>
    </row>
    <row r="15844" spans="1:1">
      <c r="A15844" t="s">
        <v>16376</v>
      </c>
    </row>
    <row r="15845" spans="1:1">
      <c r="A15845" t="s">
        <v>16377</v>
      </c>
    </row>
    <row r="15846" spans="1:1">
      <c r="A15846" t="s">
        <v>16378</v>
      </c>
    </row>
    <row r="15847" spans="1:1">
      <c r="A15847" t="s">
        <v>16379</v>
      </c>
    </row>
    <row r="15848" spans="1:1">
      <c r="A15848" t="s">
        <v>16380</v>
      </c>
    </row>
    <row r="15849" spans="1:1">
      <c r="A15849" t="s">
        <v>16381</v>
      </c>
    </row>
    <row r="15850" spans="1:1">
      <c r="A15850" t="s">
        <v>16382</v>
      </c>
    </row>
    <row r="15851" spans="1:1">
      <c r="A15851" t="s">
        <v>16383</v>
      </c>
    </row>
    <row r="15852" spans="1:1">
      <c r="A15852" t="s">
        <v>16384</v>
      </c>
    </row>
    <row r="15853" spans="1:1">
      <c r="A15853" t="s">
        <v>16385</v>
      </c>
    </row>
    <row r="15854" spans="1:1">
      <c r="A15854" t="s">
        <v>16386</v>
      </c>
    </row>
    <row r="15855" spans="1:1">
      <c r="A15855" t="s">
        <v>16387</v>
      </c>
    </row>
    <row r="15856" spans="1:1">
      <c r="A15856" t="s">
        <v>16388</v>
      </c>
    </row>
    <row r="15857" spans="1:1">
      <c r="A15857" t="s">
        <v>16389</v>
      </c>
    </row>
    <row r="15858" spans="1:1">
      <c r="A15858" t="s">
        <v>16390</v>
      </c>
    </row>
    <row r="15859" spans="1:1">
      <c r="A15859" t="s">
        <v>16391</v>
      </c>
    </row>
    <row r="15860" spans="1:1">
      <c r="A15860" t="s">
        <v>16392</v>
      </c>
    </row>
    <row r="15861" spans="1:1">
      <c r="A15861" t="s">
        <v>16393</v>
      </c>
    </row>
    <row r="15862" spans="1:1">
      <c r="A15862" t="s">
        <v>16394</v>
      </c>
    </row>
    <row r="15863" spans="1:1">
      <c r="A15863" t="s">
        <v>16395</v>
      </c>
    </row>
    <row r="15864" spans="1:1">
      <c r="A15864" t="s">
        <v>16396</v>
      </c>
    </row>
    <row r="15865" spans="1:1">
      <c r="A15865" t="s">
        <v>16397</v>
      </c>
    </row>
    <row r="15866" spans="1:1">
      <c r="A15866" t="s">
        <v>16398</v>
      </c>
    </row>
    <row r="15867" spans="1:1">
      <c r="A15867" t="s">
        <v>16399</v>
      </c>
    </row>
    <row r="15868" spans="1:1">
      <c r="A15868" t="s">
        <v>16400</v>
      </c>
    </row>
    <row r="15869" spans="1:1">
      <c r="A15869" t="s">
        <v>16401</v>
      </c>
    </row>
    <row r="15870" spans="1:1">
      <c r="A15870" t="s">
        <v>16402</v>
      </c>
    </row>
    <row r="15871" spans="1:1">
      <c r="A15871" t="s">
        <v>16403</v>
      </c>
    </row>
    <row r="15872" spans="1:1">
      <c r="A15872" t="s">
        <v>16404</v>
      </c>
    </row>
    <row r="15873" spans="1:1">
      <c r="A15873" t="s">
        <v>16405</v>
      </c>
    </row>
    <row r="15874" spans="1:1">
      <c r="A15874" t="s">
        <v>16406</v>
      </c>
    </row>
    <row r="15875" spans="1:1">
      <c r="A15875" t="s">
        <v>16407</v>
      </c>
    </row>
    <row r="15876" spans="1:1">
      <c r="A15876" t="s">
        <v>16408</v>
      </c>
    </row>
    <row r="15877" spans="1:1">
      <c r="A15877" t="s">
        <v>16409</v>
      </c>
    </row>
    <row r="15878" spans="1:1">
      <c r="A15878" t="s">
        <v>16410</v>
      </c>
    </row>
    <row r="15879" spans="1:1">
      <c r="A15879" t="s">
        <v>16411</v>
      </c>
    </row>
    <row r="15880" spans="1:1">
      <c r="A15880" t="s">
        <v>16412</v>
      </c>
    </row>
    <row r="15881" spans="1:1">
      <c r="A15881" t="s">
        <v>16413</v>
      </c>
    </row>
    <row r="15882" spans="1:1">
      <c r="A15882" t="s">
        <v>16414</v>
      </c>
    </row>
    <row r="15883" spans="1:1">
      <c r="A15883" t="s">
        <v>16415</v>
      </c>
    </row>
    <row r="15884" spans="1:1">
      <c r="A15884" t="s">
        <v>16416</v>
      </c>
    </row>
    <row r="15885" spans="1:1">
      <c r="A15885" t="s">
        <v>16417</v>
      </c>
    </row>
    <row r="15886" spans="1:1">
      <c r="A15886" t="s">
        <v>16418</v>
      </c>
    </row>
    <row r="15887" spans="1:1">
      <c r="A15887" t="s">
        <v>16419</v>
      </c>
    </row>
    <row r="15888" spans="1:1">
      <c r="A15888" t="s">
        <v>16420</v>
      </c>
    </row>
    <row r="15889" spans="1:1">
      <c r="A15889" t="s">
        <v>16421</v>
      </c>
    </row>
    <row r="15890" spans="1:1">
      <c r="A15890" t="s">
        <v>16422</v>
      </c>
    </row>
    <row r="15891" spans="1:1">
      <c r="A15891" t="s">
        <v>16423</v>
      </c>
    </row>
    <row r="15892" spans="1:1">
      <c r="A15892" t="s">
        <v>16424</v>
      </c>
    </row>
    <row r="15893" spans="1:1">
      <c r="A15893" t="s">
        <v>16425</v>
      </c>
    </row>
    <row r="15894" spans="1:1">
      <c r="A15894" t="s">
        <v>16426</v>
      </c>
    </row>
    <row r="15895" spans="1:1">
      <c r="A15895" t="s">
        <v>16427</v>
      </c>
    </row>
    <row r="15896" spans="1:1">
      <c r="A15896" t="s">
        <v>16428</v>
      </c>
    </row>
    <row r="15897" spans="1:1">
      <c r="A15897" t="s">
        <v>16429</v>
      </c>
    </row>
    <row r="15898" spans="1:1">
      <c r="A15898" t="s">
        <v>16430</v>
      </c>
    </row>
    <row r="15899" spans="1:1">
      <c r="A15899" t="s">
        <v>16431</v>
      </c>
    </row>
    <row r="15900" spans="1:1">
      <c r="A15900" t="s">
        <v>16432</v>
      </c>
    </row>
    <row r="15901" spans="1:1">
      <c r="A15901" t="s">
        <v>16433</v>
      </c>
    </row>
    <row r="15902" spans="1:1">
      <c r="A15902" t="s">
        <v>16434</v>
      </c>
    </row>
    <row r="15903" spans="1:1">
      <c r="A15903" t="s">
        <v>16435</v>
      </c>
    </row>
    <row r="15904" spans="1:1">
      <c r="A15904" t="s">
        <v>16436</v>
      </c>
    </row>
    <row r="15905" spans="1:1">
      <c r="A15905" t="s">
        <v>16437</v>
      </c>
    </row>
    <row r="15906" spans="1:1">
      <c r="A15906" t="s">
        <v>16438</v>
      </c>
    </row>
    <row r="15907" spans="1:1">
      <c r="A15907" t="s">
        <v>16439</v>
      </c>
    </row>
    <row r="15908" spans="1:1">
      <c r="A15908" t="s">
        <v>16440</v>
      </c>
    </row>
    <row r="15909" spans="1:1">
      <c r="A15909" t="s">
        <v>16441</v>
      </c>
    </row>
    <row r="15910" spans="1:1">
      <c r="A15910" t="s">
        <v>16442</v>
      </c>
    </row>
    <row r="15911" spans="1:1">
      <c r="A15911" t="s">
        <v>16443</v>
      </c>
    </row>
    <row r="15912" spans="1:1">
      <c r="A15912" t="s">
        <v>16444</v>
      </c>
    </row>
    <row r="15913" spans="1:1">
      <c r="A15913" t="s">
        <v>16445</v>
      </c>
    </row>
    <row r="15914" spans="1:1">
      <c r="A15914" t="s">
        <v>16446</v>
      </c>
    </row>
    <row r="15915" spans="1:1">
      <c r="A15915" t="s">
        <v>16447</v>
      </c>
    </row>
    <row r="15916" spans="1:1">
      <c r="A15916" t="s">
        <v>16448</v>
      </c>
    </row>
    <row r="15917" spans="1:1">
      <c r="A15917" t="s">
        <v>16449</v>
      </c>
    </row>
    <row r="15918" spans="1:1">
      <c r="A15918" t="s">
        <v>16450</v>
      </c>
    </row>
    <row r="15919" spans="1:1">
      <c r="A15919" t="s">
        <v>16451</v>
      </c>
    </row>
    <row r="15920" spans="1:1">
      <c r="A15920" t="s">
        <v>16452</v>
      </c>
    </row>
    <row r="15921" spans="1:1">
      <c r="A15921" t="s">
        <v>16453</v>
      </c>
    </row>
    <row r="15922" spans="1:1">
      <c r="A15922" t="s">
        <v>16454</v>
      </c>
    </row>
    <row r="15923" spans="1:1">
      <c r="A15923" t="s">
        <v>16455</v>
      </c>
    </row>
    <row r="15924" spans="1:1">
      <c r="A15924" t="s">
        <v>16456</v>
      </c>
    </row>
    <row r="15925" spans="1:1">
      <c r="A15925" t="s">
        <v>16457</v>
      </c>
    </row>
    <row r="15926" spans="1:1">
      <c r="A15926" t="s">
        <v>16458</v>
      </c>
    </row>
    <row r="15927" spans="1:1">
      <c r="A15927" t="s">
        <v>16459</v>
      </c>
    </row>
    <row r="15928" spans="1:1">
      <c r="A15928" t="s">
        <v>16460</v>
      </c>
    </row>
    <row r="15929" spans="1:1">
      <c r="A15929" t="s">
        <v>16461</v>
      </c>
    </row>
    <row r="15930" spans="1:1">
      <c r="A15930" t="s">
        <v>16462</v>
      </c>
    </row>
    <row r="15931" spans="1:1">
      <c r="A15931" t="s">
        <v>16463</v>
      </c>
    </row>
    <row r="15932" spans="1:1">
      <c r="A15932" t="s">
        <v>16464</v>
      </c>
    </row>
    <row r="15933" spans="1:1">
      <c r="A15933" t="s">
        <v>16465</v>
      </c>
    </row>
    <row r="15934" spans="1:1">
      <c r="A15934" t="s">
        <v>16466</v>
      </c>
    </row>
    <row r="15935" spans="1:1">
      <c r="A15935" t="s">
        <v>16467</v>
      </c>
    </row>
    <row r="15936" spans="1:1">
      <c r="A15936" t="s">
        <v>16468</v>
      </c>
    </row>
    <row r="15937" spans="1:1">
      <c r="A15937" t="s">
        <v>16469</v>
      </c>
    </row>
    <row r="15938" spans="1:1">
      <c r="A15938" t="s">
        <v>16470</v>
      </c>
    </row>
    <row r="15939" spans="1:1">
      <c r="A15939" t="s">
        <v>16471</v>
      </c>
    </row>
    <row r="15940" spans="1:1">
      <c r="A15940" t="s">
        <v>16472</v>
      </c>
    </row>
    <row r="15941" spans="1:1">
      <c r="A15941" t="s">
        <v>16473</v>
      </c>
    </row>
    <row r="15942" spans="1:1">
      <c r="A15942" t="s">
        <v>16474</v>
      </c>
    </row>
    <row r="15943" spans="1:1">
      <c r="A15943" t="s">
        <v>16475</v>
      </c>
    </row>
    <row r="15944" spans="1:1">
      <c r="A15944" t="s">
        <v>16476</v>
      </c>
    </row>
    <row r="15945" spans="1:1">
      <c r="A15945" t="s">
        <v>16477</v>
      </c>
    </row>
    <row r="15946" spans="1:1">
      <c r="A15946" t="s">
        <v>16478</v>
      </c>
    </row>
    <row r="15947" spans="1:1">
      <c r="A15947" t="s">
        <v>16479</v>
      </c>
    </row>
    <row r="15948" spans="1:1">
      <c r="A15948" t="s">
        <v>16480</v>
      </c>
    </row>
    <row r="15949" spans="1:1">
      <c r="A15949" t="s">
        <v>16481</v>
      </c>
    </row>
    <row r="15950" spans="1:1">
      <c r="A15950" t="s">
        <v>16482</v>
      </c>
    </row>
    <row r="15951" spans="1:1">
      <c r="A15951" t="s">
        <v>16483</v>
      </c>
    </row>
    <row r="15952" spans="1:1">
      <c r="A15952" t="s">
        <v>16484</v>
      </c>
    </row>
    <row r="15953" spans="1:1">
      <c r="A15953" t="s">
        <v>16485</v>
      </c>
    </row>
    <row r="15954" spans="1:1">
      <c r="A15954" t="s">
        <v>16486</v>
      </c>
    </row>
    <row r="15955" spans="1:1">
      <c r="A15955" t="s">
        <v>16487</v>
      </c>
    </row>
    <row r="15956" spans="1:1">
      <c r="A15956" t="s">
        <v>16488</v>
      </c>
    </row>
    <row r="15957" spans="1:1">
      <c r="A15957" t="s">
        <v>16489</v>
      </c>
    </row>
    <row r="15958" spans="1:1">
      <c r="A15958" t="s">
        <v>16490</v>
      </c>
    </row>
    <row r="15959" spans="1:1">
      <c r="A15959" t="s">
        <v>16491</v>
      </c>
    </row>
    <row r="15960" spans="1:1">
      <c r="A15960" t="s">
        <v>16492</v>
      </c>
    </row>
    <row r="15961" spans="1:1">
      <c r="A15961" t="s">
        <v>16493</v>
      </c>
    </row>
    <row r="15962" spans="1:1">
      <c r="A15962" t="s">
        <v>16494</v>
      </c>
    </row>
    <row r="15963" spans="1:1">
      <c r="A15963" t="s">
        <v>16495</v>
      </c>
    </row>
    <row r="15964" spans="1:1">
      <c r="A15964" t="s">
        <v>16496</v>
      </c>
    </row>
    <row r="15965" spans="1:1">
      <c r="A15965" t="s">
        <v>16497</v>
      </c>
    </row>
    <row r="15966" spans="1:1">
      <c r="A15966" t="s">
        <v>16498</v>
      </c>
    </row>
    <row r="15967" spans="1:1">
      <c r="A15967" t="s">
        <v>16499</v>
      </c>
    </row>
    <row r="15968" spans="1:1">
      <c r="A15968" t="s">
        <v>16500</v>
      </c>
    </row>
    <row r="15969" spans="1:1">
      <c r="A15969" t="s">
        <v>16501</v>
      </c>
    </row>
    <row r="15970" spans="1:1">
      <c r="A15970" t="s">
        <v>16502</v>
      </c>
    </row>
    <row r="15971" spans="1:1">
      <c r="A15971" t="s">
        <v>16503</v>
      </c>
    </row>
    <row r="15972" spans="1:1">
      <c r="A15972" t="s">
        <v>16504</v>
      </c>
    </row>
    <row r="15973" spans="1:1">
      <c r="A15973" t="s">
        <v>16505</v>
      </c>
    </row>
    <row r="15974" spans="1:1">
      <c r="A15974" t="s">
        <v>16506</v>
      </c>
    </row>
    <row r="15975" spans="1:1">
      <c r="A15975" t="s">
        <v>16507</v>
      </c>
    </row>
    <row r="15976" spans="1:1">
      <c r="A15976" t="s">
        <v>16508</v>
      </c>
    </row>
    <row r="15977" spans="1:1">
      <c r="A15977" t="s">
        <v>16509</v>
      </c>
    </row>
    <row r="15978" spans="1:1">
      <c r="A15978" t="s">
        <v>16510</v>
      </c>
    </row>
    <row r="15979" spans="1:1">
      <c r="A15979" t="s">
        <v>16511</v>
      </c>
    </row>
    <row r="15980" spans="1:1">
      <c r="A15980" t="s">
        <v>16512</v>
      </c>
    </row>
    <row r="15981" spans="1:1">
      <c r="A15981" t="s">
        <v>16513</v>
      </c>
    </row>
    <row r="15982" spans="1:1">
      <c r="A15982" t="s">
        <v>16514</v>
      </c>
    </row>
    <row r="15983" spans="1:1">
      <c r="A15983" t="s">
        <v>16515</v>
      </c>
    </row>
    <row r="15984" spans="1:1">
      <c r="A15984" t="s">
        <v>16516</v>
      </c>
    </row>
    <row r="15985" spans="1:1">
      <c r="A15985" t="s">
        <v>16517</v>
      </c>
    </row>
    <row r="15986" spans="1:1">
      <c r="A15986" t="s">
        <v>16518</v>
      </c>
    </row>
    <row r="15987" spans="1:1">
      <c r="A15987" t="s">
        <v>16519</v>
      </c>
    </row>
    <row r="15988" spans="1:1">
      <c r="A15988" t="s">
        <v>16520</v>
      </c>
    </row>
    <row r="15989" spans="1:1">
      <c r="A15989" t="s">
        <v>16521</v>
      </c>
    </row>
    <row r="15990" spans="1:1">
      <c r="A15990" t="s">
        <v>16522</v>
      </c>
    </row>
    <row r="15991" spans="1:1">
      <c r="A15991" t="s">
        <v>16523</v>
      </c>
    </row>
    <row r="15992" spans="1:1">
      <c r="A15992" t="s">
        <v>16524</v>
      </c>
    </row>
    <row r="15993" spans="1:1">
      <c r="A15993" t="s">
        <v>16525</v>
      </c>
    </row>
    <row r="15994" spans="1:1">
      <c r="A15994" t="s">
        <v>16526</v>
      </c>
    </row>
    <row r="15995" spans="1:1">
      <c r="A15995" t="s">
        <v>16527</v>
      </c>
    </row>
    <row r="15996" spans="1:1">
      <c r="A15996" t="s">
        <v>16528</v>
      </c>
    </row>
    <row r="15997" spans="1:1">
      <c r="A15997" t="s">
        <v>16529</v>
      </c>
    </row>
    <row r="15998" spans="1:1">
      <c r="A15998" t="s">
        <v>16530</v>
      </c>
    </row>
    <row r="15999" spans="1:1">
      <c r="A15999" t="s">
        <v>16531</v>
      </c>
    </row>
    <row r="16000" spans="1:1">
      <c r="A16000" t="s">
        <v>16532</v>
      </c>
    </row>
    <row r="16001" spans="1:1">
      <c r="A16001" t="s">
        <v>16533</v>
      </c>
    </row>
    <row r="16002" spans="1:1">
      <c r="A16002" t="s">
        <v>16534</v>
      </c>
    </row>
    <row r="16003" spans="1:1">
      <c r="A16003" t="s">
        <v>16535</v>
      </c>
    </row>
    <row r="16004" spans="1:1">
      <c r="A16004" t="s">
        <v>16536</v>
      </c>
    </row>
    <row r="16005" spans="1:1">
      <c r="A16005" t="s">
        <v>16537</v>
      </c>
    </row>
    <row r="16006" spans="1:1">
      <c r="A16006" t="s">
        <v>16538</v>
      </c>
    </row>
    <row r="16007" spans="1:1">
      <c r="A16007" t="s">
        <v>16539</v>
      </c>
    </row>
    <row r="16008" spans="1:1">
      <c r="A16008" t="s">
        <v>16540</v>
      </c>
    </row>
    <row r="16009" spans="1:1">
      <c r="A16009" t="s">
        <v>16541</v>
      </c>
    </row>
    <row r="16010" spans="1:1">
      <c r="A16010" t="s">
        <v>16542</v>
      </c>
    </row>
    <row r="16011" spans="1:1">
      <c r="A16011" t="s">
        <v>16543</v>
      </c>
    </row>
    <row r="16012" spans="1:1">
      <c r="A16012" t="s">
        <v>16544</v>
      </c>
    </row>
    <row r="16013" spans="1:1">
      <c r="A16013" t="s">
        <v>16545</v>
      </c>
    </row>
    <row r="16014" spans="1:1">
      <c r="A16014" t="s">
        <v>16546</v>
      </c>
    </row>
    <row r="16015" spans="1:1">
      <c r="A16015" t="s">
        <v>16547</v>
      </c>
    </row>
    <row r="16016" spans="1:1">
      <c r="A16016" t="s">
        <v>16548</v>
      </c>
    </row>
    <row r="16017" spans="1:1">
      <c r="A16017" t="s">
        <v>16549</v>
      </c>
    </row>
    <row r="16018" spans="1:1">
      <c r="A16018" t="s">
        <v>16550</v>
      </c>
    </row>
    <row r="16019" spans="1:1">
      <c r="A16019" t="s">
        <v>16551</v>
      </c>
    </row>
    <row r="16020" spans="1:1">
      <c r="A16020" t="s">
        <v>16552</v>
      </c>
    </row>
    <row r="16021" spans="1:1">
      <c r="A16021" t="s">
        <v>16553</v>
      </c>
    </row>
    <row r="16022" spans="1:1">
      <c r="A16022" t="s">
        <v>16554</v>
      </c>
    </row>
    <row r="16023" spans="1:1">
      <c r="A16023" t="s">
        <v>16555</v>
      </c>
    </row>
    <row r="16024" spans="1:1">
      <c r="A16024" t="s">
        <v>16556</v>
      </c>
    </row>
    <row r="16025" spans="1:1">
      <c r="A16025" t="s">
        <v>16557</v>
      </c>
    </row>
    <row r="16026" spans="1:1">
      <c r="A16026" t="s">
        <v>16558</v>
      </c>
    </row>
    <row r="16027" spans="1:1">
      <c r="A16027" t="s">
        <v>16559</v>
      </c>
    </row>
    <row r="16028" spans="1:1">
      <c r="A16028" t="s">
        <v>16560</v>
      </c>
    </row>
    <row r="16029" spans="1:1">
      <c r="A16029" t="s">
        <v>16561</v>
      </c>
    </row>
    <row r="16030" spans="1:1">
      <c r="A16030" t="s">
        <v>16562</v>
      </c>
    </row>
    <row r="16031" spans="1:1">
      <c r="A16031" t="s">
        <v>16563</v>
      </c>
    </row>
    <row r="16032" spans="1:1">
      <c r="A16032" t="s">
        <v>16564</v>
      </c>
    </row>
    <row r="16033" spans="1:1">
      <c r="A16033" t="s">
        <v>16565</v>
      </c>
    </row>
    <row r="16034" spans="1:1">
      <c r="A16034" t="s">
        <v>16566</v>
      </c>
    </row>
    <row r="16035" spans="1:1">
      <c r="A16035" t="s">
        <v>16567</v>
      </c>
    </row>
    <row r="16036" spans="1:1">
      <c r="A16036" t="s">
        <v>16568</v>
      </c>
    </row>
    <row r="16037" spans="1:1">
      <c r="A16037" t="s">
        <v>16569</v>
      </c>
    </row>
    <row r="16038" spans="1:1">
      <c r="A16038" t="s">
        <v>16570</v>
      </c>
    </row>
    <row r="16039" spans="1:1">
      <c r="A16039" t="s">
        <v>16571</v>
      </c>
    </row>
    <row r="16040" spans="1:1">
      <c r="A16040" t="s">
        <v>16572</v>
      </c>
    </row>
    <row r="16041" spans="1:1">
      <c r="A16041" t="s">
        <v>16573</v>
      </c>
    </row>
    <row r="16042" spans="1:1">
      <c r="A16042" t="s">
        <v>16574</v>
      </c>
    </row>
    <row r="16043" spans="1:1">
      <c r="A16043" t="s">
        <v>16575</v>
      </c>
    </row>
    <row r="16044" spans="1:1">
      <c r="A16044" t="s">
        <v>16576</v>
      </c>
    </row>
    <row r="16045" spans="1:1">
      <c r="A16045" t="s">
        <v>16577</v>
      </c>
    </row>
    <row r="16046" spans="1:1">
      <c r="A16046" t="s">
        <v>16578</v>
      </c>
    </row>
    <row r="16047" spans="1:1">
      <c r="A16047" t="s">
        <v>16579</v>
      </c>
    </row>
    <row r="16048" spans="1:1">
      <c r="A16048" t="s">
        <v>16580</v>
      </c>
    </row>
    <row r="16049" spans="1:1">
      <c r="A16049" t="s">
        <v>16581</v>
      </c>
    </row>
    <row r="16050" spans="1:1">
      <c r="A16050" t="s">
        <v>16582</v>
      </c>
    </row>
    <row r="16051" spans="1:1">
      <c r="A16051" t="s">
        <v>16583</v>
      </c>
    </row>
    <row r="16052" spans="1:1">
      <c r="A16052" t="s">
        <v>16584</v>
      </c>
    </row>
    <row r="16053" spans="1:1">
      <c r="A16053" t="s">
        <v>16585</v>
      </c>
    </row>
    <row r="16054" spans="1:1">
      <c r="A16054" t="s">
        <v>16586</v>
      </c>
    </row>
    <row r="16055" spans="1:1">
      <c r="A16055" t="s">
        <v>16587</v>
      </c>
    </row>
    <row r="16056" spans="1:1">
      <c r="A16056" t="s">
        <v>16588</v>
      </c>
    </row>
    <row r="16057" spans="1:1">
      <c r="A16057" t="s">
        <v>16589</v>
      </c>
    </row>
    <row r="16058" spans="1:1">
      <c r="A16058" t="s">
        <v>16590</v>
      </c>
    </row>
    <row r="16059" spans="1:1">
      <c r="A16059" t="s">
        <v>16591</v>
      </c>
    </row>
    <row r="16060" spans="1:1">
      <c r="A16060" t="s">
        <v>16592</v>
      </c>
    </row>
    <row r="16061" spans="1:1">
      <c r="A16061" t="s">
        <v>16593</v>
      </c>
    </row>
    <row r="16062" spans="1:1">
      <c r="A16062" t="s">
        <v>16594</v>
      </c>
    </row>
    <row r="16063" spans="1:1">
      <c r="A16063" t="s">
        <v>16595</v>
      </c>
    </row>
    <row r="16064" spans="1:1">
      <c r="A16064" t="s">
        <v>16596</v>
      </c>
    </row>
    <row r="16065" spans="1:1">
      <c r="A16065" t="s">
        <v>16597</v>
      </c>
    </row>
    <row r="16066" spans="1:1">
      <c r="A16066" t="s">
        <v>16598</v>
      </c>
    </row>
    <row r="16067" spans="1:1">
      <c r="A16067" t="s">
        <v>16599</v>
      </c>
    </row>
    <row r="16068" spans="1:1">
      <c r="A16068" t="s">
        <v>16600</v>
      </c>
    </row>
    <row r="16069" spans="1:1">
      <c r="A16069" t="s">
        <v>16601</v>
      </c>
    </row>
    <row r="16070" spans="1:1">
      <c r="A16070" t="s">
        <v>16602</v>
      </c>
    </row>
    <row r="16071" spans="1:1">
      <c r="A16071" t="s">
        <v>16603</v>
      </c>
    </row>
    <row r="16072" spans="1:1">
      <c r="A16072" t="s">
        <v>16604</v>
      </c>
    </row>
    <row r="16073" spans="1:1">
      <c r="A16073" t="s">
        <v>16605</v>
      </c>
    </row>
    <row r="16074" spans="1:1">
      <c r="A16074" t="s">
        <v>16606</v>
      </c>
    </row>
    <row r="16075" spans="1:1">
      <c r="A16075" t="s">
        <v>16607</v>
      </c>
    </row>
    <row r="16076" spans="1:1">
      <c r="A16076" t="s">
        <v>16608</v>
      </c>
    </row>
    <row r="16077" spans="1:1">
      <c r="A16077" t="s">
        <v>16609</v>
      </c>
    </row>
    <row r="16078" spans="1:1">
      <c r="A16078" t="s">
        <v>16610</v>
      </c>
    </row>
    <row r="16079" spans="1:1">
      <c r="A16079" t="s">
        <v>16611</v>
      </c>
    </row>
    <row r="16080" spans="1:1">
      <c r="A16080" t="s">
        <v>16612</v>
      </c>
    </row>
    <row r="16081" spans="1:1">
      <c r="A16081" t="s">
        <v>16613</v>
      </c>
    </row>
    <row r="16082" spans="1:1">
      <c r="A16082" t="s">
        <v>16614</v>
      </c>
    </row>
    <row r="16083" spans="1:1">
      <c r="A16083" t="s">
        <v>16615</v>
      </c>
    </row>
    <row r="16084" spans="1:1">
      <c r="A16084" t="s">
        <v>16616</v>
      </c>
    </row>
    <row r="16085" spans="1:1">
      <c r="A16085" t="s">
        <v>16617</v>
      </c>
    </row>
    <row r="16086" spans="1:1">
      <c r="A16086" t="s">
        <v>16618</v>
      </c>
    </row>
    <row r="16087" spans="1:1">
      <c r="A16087" t="s">
        <v>16619</v>
      </c>
    </row>
    <row r="16088" spans="1:1">
      <c r="A16088" t="s">
        <v>16620</v>
      </c>
    </row>
    <row r="16089" spans="1:1">
      <c r="A16089" t="s">
        <v>16621</v>
      </c>
    </row>
    <row r="16090" spans="1:1">
      <c r="A16090" t="s">
        <v>16622</v>
      </c>
    </row>
    <row r="16091" spans="1:1">
      <c r="A16091" t="s">
        <v>16623</v>
      </c>
    </row>
    <row r="16092" spans="1:1">
      <c r="A16092" t="s">
        <v>16624</v>
      </c>
    </row>
    <row r="16093" spans="1:1">
      <c r="A16093" t="s">
        <v>16625</v>
      </c>
    </row>
    <row r="16094" spans="1:1">
      <c r="A16094" t="s">
        <v>16626</v>
      </c>
    </row>
    <row r="16095" spans="1:1">
      <c r="A16095" t="s">
        <v>16627</v>
      </c>
    </row>
    <row r="16096" spans="1:1">
      <c r="A16096" t="s">
        <v>16628</v>
      </c>
    </row>
    <row r="16097" spans="1:1">
      <c r="A16097" t="s">
        <v>16629</v>
      </c>
    </row>
    <row r="16098" spans="1:1">
      <c r="A16098" t="s">
        <v>16630</v>
      </c>
    </row>
    <row r="16099" spans="1:1">
      <c r="A16099" t="s">
        <v>16631</v>
      </c>
    </row>
    <row r="16100" spans="1:1">
      <c r="A16100" t="s">
        <v>16632</v>
      </c>
    </row>
    <row r="16101" spans="1:1">
      <c r="A16101" t="s">
        <v>16633</v>
      </c>
    </row>
    <row r="16102" spans="1:1">
      <c r="A16102" t="s">
        <v>16634</v>
      </c>
    </row>
    <row r="16103" spans="1:1">
      <c r="A16103" t="s">
        <v>16635</v>
      </c>
    </row>
    <row r="16104" spans="1:1">
      <c r="A16104" t="s">
        <v>16636</v>
      </c>
    </row>
    <row r="16105" spans="1:1">
      <c r="A16105" t="s">
        <v>16637</v>
      </c>
    </row>
    <row r="16106" spans="1:1">
      <c r="A16106" t="s">
        <v>16638</v>
      </c>
    </row>
    <row r="16107" spans="1:1">
      <c r="A16107" t="s">
        <v>16639</v>
      </c>
    </row>
    <row r="16108" spans="1:1">
      <c r="A16108" t="s">
        <v>16640</v>
      </c>
    </row>
    <row r="16109" spans="1:1">
      <c r="A16109" t="s">
        <v>16641</v>
      </c>
    </row>
    <row r="16110" spans="1:1">
      <c r="A16110" t="s">
        <v>16642</v>
      </c>
    </row>
    <row r="16111" spans="1:1">
      <c r="A16111" t="s">
        <v>16643</v>
      </c>
    </row>
    <row r="16112" spans="1:1">
      <c r="A16112" t="s">
        <v>16644</v>
      </c>
    </row>
    <row r="16113" spans="1:1">
      <c r="A16113" t="s">
        <v>16645</v>
      </c>
    </row>
    <row r="16114" spans="1:1">
      <c r="A16114" t="s">
        <v>16646</v>
      </c>
    </row>
    <row r="16115" spans="1:1">
      <c r="A16115" t="s">
        <v>16647</v>
      </c>
    </row>
    <row r="16116" spans="1:1">
      <c r="A16116" t="s">
        <v>16648</v>
      </c>
    </row>
    <row r="16117" spans="1:1">
      <c r="A16117" t="s">
        <v>16649</v>
      </c>
    </row>
    <row r="16118" spans="1:1">
      <c r="A16118" t="s">
        <v>16650</v>
      </c>
    </row>
    <row r="16119" spans="1:1">
      <c r="A16119" t="s">
        <v>16651</v>
      </c>
    </row>
    <row r="16120" spans="1:1">
      <c r="A16120" t="s">
        <v>16652</v>
      </c>
    </row>
    <row r="16121" spans="1:1">
      <c r="A16121" t="s">
        <v>16653</v>
      </c>
    </row>
    <row r="16122" spans="1:1">
      <c r="A16122" t="s">
        <v>16654</v>
      </c>
    </row>
    <row r="16123" spans="1:1">
      <c r="A16123" t="s">
        <v>16655</v>
      </c>
    </row>
    <row r="16124" spans="1:1">
      <c r="A16124" t="s">
        <v>16656</v>
      </c>
    </row>
    <row r="16125" spans="1:1">
      <c r="A16125" t="s">
        <v>16657</v>
      </c>
    </row>
    <row r="16126" spans="1:1">
      <c r="A16126" t="s">
        <v>16658</v>
      </c>
    </row>
    <row r="16127" spans="1:1">
      <c r="A16127" t="s">
        <v>16659</v>
      </c>
    </row>
    <row r="16128" spans="1:1">
      <c r="A16128" t="s">
        <v>16660</v>
      </c>
    </row>
    <row r="16129" spans="1:1">
      <c r="A16129" t="s">
        <v>16661</v>
      </c>
    </row>
    <row r="16130" spans="1:1">
      <c r="A16130" t="s">
        <v>16662</v>
      </c>
    </row>
    <row r="16131" spans="1:1">
      <c r="A16131" t="s">
        <v>16663</v>
      </c>
    </row>
    <row r="16132" spans="1:1">
      <c r="A16132" t="s">
        <v>16664</v>
      </c>
    </row>
    <row r="16133" spans="1:1">
      <c r="A16133" t="s">
        <v>16665</v>
      </c>
    </row>
    <row r="16134" spans="1:1">
      <c r="A16134" t="s">
        <v>16666</v>
      </c>
    </row>
    <row r="16135" spans="1:1">
      <c r="A16135" t="s">
        <v>16667</v>
      </c>
    </row>
    <row r="16136" spans="1:1">
      <c r="A16136" t="s">
        <v>16668</v>
      </c>
    </row>
    <row r="16137" spans="1:1">
      <c r="A16137" t="s">
        <v>16669</v>
      </c>
    </row>
    <row r="16138" spans="1:1">
      <c r="A16138" t="s">
        <v>16670</v>
      </c>
    </row>
    <row r="16139" spans="1:1">
      <c r="A16139" t="s">
        <v>16671</v>
      </c>
    </row>
    <row r="16140" spans="1:1">
      <c r="A16140" t="s">
        <v>16672</v>
      </c>
    </row>
    <row r="16141" spans="1:1">
      <c r="A16141" t="s">
        <v>16673</v>
      </c>
    </row>
    <row r="16142" spans="1:1">
      <c r="A16142" t="s">
        <v>16674</v>
      </c>
    </row>
    <row r="16143" spans="1:1">
      <c r="A16143" t="s">
        <v>16675</v>
      </c>
    </row>
    <row r="16144" spans="1:1">
      <c r="A16144" t="s">
        <v>16676</v>
      </c>
    </row>
    <row r="16145" spans="1:1">
      <c r="A16145" t="s">
        <v>16677</v>
      </c>
    </row>
    <row r="16146" spans="1:1">
      <c r="A16146" t="s">
        <v>16678</v>
      </c>
    </row>
    <row r="16147" spans="1:1">
      <c r="A16147" t="s">
        <v>16679</v>
      </c>
    </row>
    <row r="16148" spans="1:1">
      <c r="A16148" t="s">
        <v>16680</v>
      </c>
    </row>
    <row r="16149" spans="1:1">
      <c r="A16149" t="s">
        <v>16681</v>
      </c>
    </row>
    <row r="16150" spans="1:1">
      <c r="A16150" t="s">
        <v>16682</v>
      </c>
    </row>
    <row r="16151" spans="1:1">
      <c r="A16151" t="s">
        <v>16683</v>
      </c>
    </row>
    <row r="16152" spans="1:1">
      <c r="A16152" t="s">
        <v>16684</v>
      </c>
    </row>
    <row r="16153" spans="1:1">
      <c r="A16153" t="s">
        <v>16685</v>
      </c>
    </row>
    <row r="16154" spans="1:1">
      <c r="A16154" t="s">
        <v>16686</v>
      </c>
    </row>
    <row r="16155" spans="1:1">
      <c r="A16155" t="s">
        <v>16687</v>
      </c>
    </row>
    <row r="16156" spans="1:1">
      <c r="A16156" t="s">
        <v>16688</v>
      </c>
    </row>
    <row r="16157" spans="1:1">
      <c r="A16157" t="s">
        <v>16689</v>
      </c>
    </row>
    <row r="16158" spans="1:1">
      <c r="A16158" t="s">
        <v>16690</v>
      </c>
    </row>
    <row r="16159" spans="1:1">
      <c r="A16159" t="s">
        <v>16691</v>
      </c>
    </row>
    <row r="16160" spans="1:1">
      <c r="A16160" t="s">
        <v>16692</v>
      </c>
    </row>
    <row r="16161" spans="1:1">
      <c r="A16161" t="s">
        <v>16693</v>
      </c>
    </row>
    <row r="16162" spans="1:1">
      <c r="A16162" t="s">
        <v>16694</v>
      </c>
    </row>
    <row r="16163" spans="1:1">
      <c r="A16163" t="s">
        <v>16695</v>
      </c>
    </row>
    <row r="16164" spans="1:1">
      <c r="A16164" t="s">
        <v>16696</v>
      </c>
    </row>
    <row r="16165" spans="1:1">
      <c r="A16165" t="s">
        <v>16697</v>
      </c>
    </row>
    <row r="16166" spans="1:1">
      <c r="A16166" t="s">
        <v>16698</v>
      </c>
    </row>
    <row r="16167" spans="1:1">
      <c r="A16167" t="s">
        <v>16699</v>
      </c>
    </row>
    <row r="16168" spans="1:1">
      <c r="A16168" t="s">
        <v>16700</v>
      </c>
    </row>
    <row r="16169" spans="1:1">
      <c r="A16169" t="s">
        <v>16701</v>
      </c>
    </row>
    <row r="16170" spans="1:1">
      <c r="A16170" t="s">
        <v>16702</v>
      </c>
    </row>
    <row r="16171" spans="1:1">
      <c r="A16171" t="s">
        <v>16703</v>
      </c>
    </row>
    <row r="16172" spans="1:1">
      <c r="A16172" t="s">
        <v>16704</v>
      </c>
    </row>
    <row r="16173" spans="1:1">
      <c r="A16173" t="s">
        <v>16705</v>
      </c>
    </row>
    <row r="16174" spans="1:1">
      <c r="A16174" t="s">
        <v>16706</v>
      </c>
    </row>
    <row r="16175" spans="1:1">
      <c r="A16175" t="s">
        <v>16707</v>
      </c>
    </row>
    <row r="16176" spans="1:1">
      <c r="A16176" t="s">
        <v>16708</v>
      </c>
    </row>
    <row r="16177" spans="1:1">
      <c r="A16177" t="s">
        <v>16709</v>
      </c>
    </row>
    <row r="16178" spans="1:1">
      <c r="A16178" t="s">
        <v>16710</v>
      </c>
    </row>
    <row r="16179" spans="1:1">
      <c r="A16179" t="s">
        <v>16711</v>
      </c>
    </row>
    <row r="16180" spans="1:1">
      <c r="A16180" t="s">
        <v>16712</v>
      </c>
    </row>
    <row r="16181" spans="1:1">
      <c r="A16181" t="s">
        <v>16713</v>
      </c>
    </row>
    <row r="16182" spans="1:1">
      <c r="A16182" t="s">
        <v>16714</v>
      </c>
    </row>
    <row r="16183" spans="1:1">
      <c r="A16183" t="s">
        <v>16715</v>
      </c>
    </row>
    <row r="16184" spans="1:1">
      <c r="A16184" t="s">
        <v>16716</v>
      </c>
    </row>
    <row r="16185" spans="1:1">
      <c r="A16185" t="s">
        <v>16717</v>
      </c>
    </row>
    <row r="16186" spans="1:1">
      <c r="A16186" t="s">
        <v>16718</v>
      </c>
    </row>
    <row r="16187" spans="1:1">
      <c r="A16187" t="s">
        <v>16719</v>
      </c>
    </row>
    <row r="16188" spans="1:1">
      <c r="A16188" t="s">
        <v>16720</v>
      </c>
    </row>
    <row r="16189" spans="1:1">
      <c r="A16189" t="s">
        <v>16721</v>
      </c>
    </row>
    <row r="16190" spans="1:1">
      <c r="A16190" t="s">
        <v>16722</v>
      </c>
    </row>
    <row r="16191" spans="1:1">
      <c r="A16191" t="s">
        <v>16723</v>
      </c>
    </row>
    <row r="16192" spans="1:1">
      <c r="A16192" t="s">
        <v>16724</v>
      </c>
    </row>
    <row r="16193" spans="1:1">
      <c r="A16193" t="s">
        <v>16725</v>
      </c>
    </row>
    <row r="16194" spans="1:1">
      <c r="A16194" t="s">
        <v>16726</v>
      </c>
    </row>
    <row r="16195" spans="1:1">
      <c r="A16195" t="s">
        <v>16727</v>
      </c>
    </row>
    <row r="16196" spans="1:1">
      <c r="A16196" t="s">
        <v>16728</v>
      </c>
    </row>
    <row r="16197" spans="1:1">
      <c r="A16197" t="s">
        <v>16729</v>
      </c>
    </row>
    <row r="16198" spans="1:1">
      <c r="A16198" t="s">
        <v>16730</v>
      </c>
    </row>
    <row r="16199" spans="1:1">
      <c r="A16199" t="s">
        <v>16731</v>
      </c>
    </row>
    <row r="16200" spans="1:1">
      <c r="A16200" t="s">
        <v>16732</v>
      </c>
    </row>
    <row r="16201" spans="1:1">
      <c r="A16201" t="s">
        <v>16733</v>
      </c>
    </row>
    <row r="16202" spans="1:1">
      <c r="A16202" t="s">
        <v>16734</v>
      </c>
    </row>
    <row r="16203" spans="1:1">
      <c r="A16203" t="s">
        <v>16735</v>
      </c>
    </row>
    <row r="16204" spans="1:1">
      <c r="A16204" t="s">
        <v>16736</v>
      </c>
    </row>
    <row r="16205" spans="1:1">
      <c r="A16205" t="s">
        <v>16737</v>
      </c>
    </row>
    <row r="16206" spans="1:1">
      <c r="A16206" t="s">
        <v>16738</v>
      </c>
    </row>
    <row r="16207" spans="1:1">
      <c r="A16207" t="s">
        <v>16739</v>
      </c>
    </row>
    <row r="16208" spans="1:1">
      <c r="A16208" t="s">
        <v>16740</v>
      </c>
    </row>
    <row r="16209" spans="1:1">
      <c r="A16209" t="s">
        <v>16741</v>
      </c>
    </row>
    <row r="16210" spans="1:1">
      <c r="A16210" t="s">
        <v>16742</v>
      </c>
    </row>
    <row r="16211" spans="1:1">
      <c r="A16211" t="s">
        <v>16743</v>
      </c>
    </row>
    <row r="16212" spans="1:1">
      <c r="A16212" t="s">
        <v>16744</v>
      </c>
    </row>
    <row r="16213" spans="1:1">
      <c r="A16213" t="s">
        <v>16745</v>
      </c>
    </row>
    <row r="16214" spans="1:1">
      <c r="A16214" t="s">
        <v>16746</v>
      </c>
    </row>
    <row r="16215" spans="1:1">
      <c r="A16215" t="s">
        <v>16747</v>
      </c>
    </row>
    <row r="16216" spans="1:1">
      <c r="A16216" t="s">
        <v>16748</v>
      </c>
    </row>
    <row r="16217" spans="1:1">
      <c r="A16217" t="s">
        <v>16749</v>
      </c>
    </row>
    <row r="16218" spans="1:1">
      <c r="A16218" t="s">
        <v>16750</v>
      </c>
    </row>
    <row r="16219" spans="1:1">
      <c r="A16219" t="s">
        <v>16751</v>
      </c>
    </row>
    <row r="16220" spans="1:1">
      <c r="A16220" t="s">
        <v>16752</v>
      </c>
    </row>
    <row r="16221" spans="1:1">
      <c r="A16221" t="s">
        <v>16753</v>
      </c>
    </row>
    <row r="16222" spans="1:1">
      <c r="A16222" t="s">
        <v>16754</v>
      </c>
    </row>
    <row r="16223" spans="1:1">
      <c r="A16223" t="s">
        <v>16755</v>
      </c>
    </row>
    <row r="16224" spans="1:1">
      <c r="A16224" t="s">
        <v>16756</v>
      </c>
    </row>
    <row r="16225" spans="1:1">
      <c r="A16225" t="s">
        <v>16757</v>
      </c>
    </row>
    <row r="16226" spans="1:1">
      <c r="A16226" t="s">
        <v>16758</v>
      </c>
    </row>
    <row r="16227" spans="1:1">
      <c r="A16227" t="s">
        <v>16759</v>
      </c>
    </row>
    <row r="16228" spans="1:1">
      <c r="A16228" t="s">
        <v>16760</v>
      </c>
    </row>
    <row r="16229" spans="1:1">
      <c r="A16229" t="s">
        <v>16761</v>
      </c>
    </row>
    <row r="16230" spans="1:1">
      <c r="A16230" t="s">
        <v>16762</v>
      </c>
    </row>
    <row r="16231" spans="1:1">
      <c r="A16231" t="s">
        <v>16763</v>
      </c>
    </row>
    <row r="16232" spans="1:1">
      <c r="A16232" t="s">
        <v>16764</v>
      </c>
    </row>
    <row r="16233" spans="1:1">
      <c r="A16233" t="s">
        <v>16765</v>
      </c>
    </row>
    <row r="16234" spans="1:1">
      <c r="A16234" t="s">
        <v>16766</v>
      </c>
    </row>
    <row r="16235" spans="1:1">
      <c r="A16235" t="s">
        <v>16767</v>
      </c>
    </row>
    <row r="16236" spans="1:1">
      <c r="A16236" t="s">
        <v>16768</v>
      </c>
    </row>
    <row r="16237" spans="1:1">
      <c r="A16237" t="s">
        <v>16769</v>
      </c>
    </row>
    <row r="16238" spans="1:1">
      <c r="A16238" t="s">
        <v>16770</v>
      </c>
    </row>
    <row r="16239" spans="1:1">
      <c r="A16239" t="s">
        <v>16771</v>
      </c>
    </row>
    <row r="16240" spans="1:1">
      <c r="A16240" t="s">
        <v>16772</v>
      </c>
    </row>
    <row r="16241" spans="1:1">
      <c r="A16241" t="s">
        <v>16773</v>
      </c>
    </row>
    <row r="16242" spans="1:1">
      <c r="A16242" t="s">
        <v>16774</v>
      </c>
    </row>
    <row r="16243" spans="1:1">
      <c r="A16243" t="s">
        <v>16775</v>
      </c>
    </row>
    <row r="16244" spans="1:1">
      <c r="A16244" t="s">
        <v>16776</v>
      </c>
    </row>
    <row r="16245" spans="1:1">
      <c r="A16245" t="s">
        <v>16777</v>
      </c>
    </row>
    <row r="16246" spans="1:1">
      <c r="A16246" t="s">
        <v>16778</v>
      </c>
    </row>
    <row r="16247" spans="1:1">
      <c r="A16247" t="s">
        <v>16779</v>
      </c>
    </row>
    <row r="16248" spans="1:1">
      <c r="A16248" t="s">
        <v>16780</v>
      </c>
    </row>
    <row r="16249" spans="1:1">
      <c r="A16249" t="s">
        <v>16781</v>
      </c>
    </row>
    <row r="16250" spans="1:1">
      <c r="A16250" t="s">
        <v>16782</v>
      </c>
    </row>
    <row r="16251" spans="1:1">
      <c r="A16251" t="s">
        <v>16783</v>
      </c>
    </row>
    <row r="16252" spans="1:1">
      <c r="A16252" t="s">
        <v>16784</v>
      </c>
    </row>
    <row r="16253" spans="1:1">
      <c r="A16253" t="s">
        <v>16785</v>
      </c>
    </row>
    <row r="16254" spans="1:1">
      <c r="A16254" t="s">
        <v>16786</v>
      </c>
    </row>
    <row r="16255" spans="1:1">
      <c r="A16255" t="s">
        <v>16787</v>
      </c>
    </row>
    <row r="16256" spans="1:1">
      <c r="A16256" t="s">
        <v>16788</v>
      </c>
    </row>
    <row r="16257" spans="1:1">
      <c r="A16257" t="s">
        <v>16789</v>
      </c>
    </row>
    <row r="16258" spans="1:1">
      <c r="A16258" t="s">
        <v>16790</v>
      </c>
    </row>
    <row r="16259" spans="1:1">
      <c r="A16259" t="s">
        <v>16791</v>
      </c>
    </row>
    <row r="16260" spans="1:1">
      <c r="A16260" t="s">
        <v>16792</v>
      </c>
    </row>
    <row r="16261" spans="1:1">
      <c r="A16261" t="s">
        <v>16793</v>
      </c>
    </row>
    <row r="16262" spans="1:1">
      <c r="A16262" t="s">
        <v>16794</v>
      </c>
    </row>
    <row r="16263" spans="1:1">
      <c r="A16263" t="s">
        <v>16795</v>
      </c>
    </row>
    <row r="16264" spans="1:1">
      <c r="A16264" t="s">
        <v>16796</v>
      </c>
    </row>
    <row r="16265" spans="1:1">
      <c r="A16265" t="s">
        <v>16797</v>
      </c>
    </row>
    <row r="16266" spans="1:1">
      <c r="A16266" t="s">
        <v>16798</v>
      </c>
    </row>
    <row r="16267" spans="1:1">
      <c r="A16267" t="s">
        <v>16799</v>
      </c>
    </row>
    <row r="16268" spans="1:1">
      <c r="A16268" t="s">
        <v>16800</v>
      </c>
    </row>
    <row r="16269" spans="1:1">
      <c r="A16269" t="s">
        <v>16801</v>
      </c>
    </row>
    <row r="16270" spans="1:1">
      <c r="A16270" t="s">
        <v>16802</v>
      </c>
    </row>
    <row r="16271" spans="1:1">
      <c r="A16271" t="s">
        <v>16803</v>
      </c>
    </row>
    <row r="16272" spans="1:1">
      <c r="A16272" t="s">
        <v>16804</v>
      </c>
    </row>
    <row r="16273" spans="1:1">
      <c r="A16273" t="s">
        <v>16805</v>
      </c>
    </row>
    <row r="16274" spans="1:1">
      <c r="A16274" t="s">
        <v>16806</v>
      </c>
    </row>
    <row r="16275" spans="1:1">
      <c r="A16275" t="s">
        <v>16807</v>
      </c>
    </row>
    <row r="16276" spans="1:1">
      <c r="A16276" t="s">
        <v>16808</v>
      </c>
    </row>
    <row r="16277" spans="1:1">
      <c r="A16277" t="s">
        <v>16809</v>
      </c>
    </row>
    <row r="16278" spans="1:1">
      <c r="A16278" t="s">
        <v>16810</v>
      </c>
    </row>
    <row r="16279" spans="1:1">
      <c r="A16279" t="s">
        <v>16811</v>
      </c>
    </row>
    <row r="16280" spans="1:1">
      <c r="A16280" t="s">
        <v>16812</v>
      </c>
    </row>
    <row r="16281" spans="1:1">
      <c r="A16281" t="s">
        <v>16813</v>
      </c>
    </row>
    <row r="16282" spans="1:1">
      <c r="A16282" t="s">
        <v>16814</v>
      </c>
    </row>
    <row r="16283" spans="1:1">
      <c r="A16283" t="s">
        <v>16815</v>
      </c>
    </row>
    <row r="16284" spans="1:1">
      <c r="A16284" t="s">
        <v>16816</v>
      </c>
    </row>
    <row r="16285" spans="1:1">
      <c r="A16285" t="s">
        <v>16817</v>
      </c>
    </row>
    <row r="16286" spans="1:1">
      <c r="A16286" t="s">
        <v>16818</v>
      </c>
    </row>
    <row r="16287" spans="1:1">
      <c r="A16287" t="s">
        <v>16819</v>
      </c>
    </row>
    <row r="16288" spans="1:1">
      <c r="A16288" t="s">
        <v>16820</v>
      </c>
    </row>
    <row r="16289" spans="1:1">
      <c r="A16289" t="s">
        <v>16821</v>
      </c>
    </row>
    <row r="16290" spans="1:1">
      <c r="A16290" t="s">
        <v>16822</v>
      </c>
    </row>
    <row r="16291" spans="1:1">
      <c r="A16291" t="s">
        <v>16823</v>
      </c>
    </row>
    <row r="16292" spans="1:1">
      <c r="A16292" t="s">
        <v>16824</v>
      </c>
    </row>
    <row r="16293" spans="1:1">
      <c r="A16293" t="s">
        <v>16825</v>
      </c>
    </row>
    <row r="16294" spans="1:1">
      <c r="A16294" t="s">
        <v>16826</v>
      </c>
    </row>
    <row r="16295" spans="1:1">
      <c r="A16295" t="s">
        <v>16827</v>
      </c>
    </row>
    <row r="16296" spans="1:1">
      <c r="A16296" t="s">
        <v>16828</v>
      </c>
    </row>
    <row r="16297" spans="1:1">
      <c r="A16297" t="s">
        <v>16829</v>
      </c>
    </row>
    <row r="16298" spans="1:1">
      <c r="A16298" t="s">
        <v>16830</v>
      </c>
    </row>
    <row r="16299" spans="1:1">
      <c r="A16299" t="s">
        <v>16831</v>
      </c>
    </row>
    <row r="16300" spans="1:1">
      <c r="A16300" t="s">
        <v>16832</v>
      </c>
    </row>
    <row r="16301" spans="1:1">
      <c r="A16301" t="s">
        <v>16833</v>
      </c>
    </row>
    <row r="16302" spans="1:1">
      <c r="A16302" t="s">
        <v>16834</v>
      </c>
    </row>
    <row r="16303" spans="1:1">
      <c r="A16303" t="s">
        <v>16835</v>
      </c>
    </row>
    <row r="16304" spans="1:1">
      <c r="A16304" t="s">
        <v>16836</v>
      </c>
    </row>
    <row r="16305" spans="1:1">
      <c r="A16305" t="s">
        <v>16837</v>
      </c>
    </row>
    <row r="16306" spans="1:1">
      <c r="A16306" t="s">
        <v>16838</v>
      </c>
    </row>
    <row r="16307" spans="1:1">
      <c r="A16307" t="s">
        <v>16839</v>
      </c>
    </row>
    <row r="16308" spans="1:1">
      <c r="A16308" t="s">
        <v>16840</v>
      </c>
    </row>
    <row r="16309" spans="1:1">
      <c r="A16309" t="s">
        <v>16841</v>
      </c>
    </row>
    <row r="16310" spans="1:1">
      <c r="A16310" t="s">
        <v>16842</v>
      </c>
    </row>
    <row r="16311" spans="1:1">
      <c r="A16311" t="s">
        <v>16843</v>
      </c>
    </row>
    <row r="16312" spans="1:1">
      <c r="A16312" t="s">
        <v>16844</v>
      </c>
    </row>
    <row r="16313" spans="1:1">
      <c r="A16313" t="s">
        <v>16845</v>
      </c>
    </row>
    <row r="16314" spans="1:1">
      <c r="A16314" t="s">
        <v>16846</v>
      </c>
    </row>
    <row r="16315" spans="1:1">
      <c r="A16315" t="s">
        <v>16847</v>
      </c>
    </row>
    <row r="16316" spans="1:1">
      <c r="A16316" t="s">
        <v>16848</v>
      </c>
    </row>
    <row r="16317" spans="1:1">
      <c r="A16317" t="s">
        <v>16849</v>
      </c>
    </row>
    <row r="16318" spans="1:1">
      <c r="A16318" t="s">
        <v>16850</v>
      </c>
    </row>
    <row r="16319" spans="1:1">
      <c r="A16319" t="s">
        <v>16851</v>
      </c>
    </row>
    <row r="16320" spans="1:1">
      <c r="A16320" t="s">
        <v>16852</v>
      </c>
    </row>
    <row r="16321" spans="1:1">
      <c r="A16321" t="s">
        <v>16853</v>
      </c>
    </row>
    <row r="16322" spans="1:1">
      <c r="A16322" t="s">
        <v>16854</v>
      </c>
    </row>
    <row r="16323" spans="1:1">
      <c r="A16323" t="s">
        <v>16855</v>
      </c>
    </row>
    <row r="16324" spans="1:1">
      <c r="A16324" t="s">
        <v>16856</v>
      </c>
    </row>
    <row r="16325" spans="1:1">
      <c r="A16325" t="s">
        <v>16857</v>
      </c>
    </row>
    <row r="16326" spans="1:1">
      <c r="A16326" t="s">
        <v>16858</v>
      </c>
    </row>
    <row r="16327" spans="1:1">
      <c r="A16327" t="s">
        <v>16859</v>
      </c>
    </row>
    <row r="16328" spans="1:1">
      <c r="A16328" t="s">
        <v>16860</v>
      </c>
    </row>
    <row r="16329" spans="1:1">
      <c r="A16329" t="s">
        <v>16861</v>
      </c>
    </row>
    <row r="16330" spans="1:1">
      <c r="A16330" t="s">
        <v>16862</v>
      </c>
    </row>
    <row r="16331" spans="1:1">
      <c r="A16331" t="s">
        <v>16863</v>
      </c>
    </row>
    <row r="16332" spans="1:1">
      <c r="A16332" t="s">
        <v>16864</v>
      </c>
    </row>
    <row r="16333" spans="1:1">
      <c r="A16333" t="s">
        <v>16865</v>
      </c>
    </row>
    <row r="16334" spans="1:1">
      <c r="A16334" t="s">
        <v>16866</v>
      </c>
    </row>
    <row r="16335" spans="1:1">
      <c r="A16335" t="s">
        <v>16867</v>
      </c>
    </row>
    <row r="16336" spans="1:1">
      <c r="A16336" t="s">
        <v>16868</v>
      </c>
    </row>
    <row r="16337" spans="1:1">
      <c r="A16337" t="s">
        <v>16869</v>
      </c>
    </row>
    <row r="16338" spans="1:1">
      <c r="A16338" t="s">
        <v>16870</v>
      </c>
    </row>
    <row r="16339" spans="1:1">
      <c r="A16339" t="s">
        <v>16871</v>
      </c>
    </row>
    <row r="16340" spans="1:1">
      <c r="A16340" t="s">
        <v>16872</v>
      </c>
    </row>
    <row r="16341" spans="1:1">
      <c r="A16341" t="s">
        <v>16873</v>
      </c>
    </row>
    <row r="16342" spans="1:1">
      <c r="A16342" t="s">
        <v>16874</v>
      </c>
    </row>
    <row r="16343" spans="1:1">
      <c r="A16343" t="s">
        <v>16875</v>
      </c>
    </row>
    <row r="16344" spans="1:1">
      <c r="A16344" t="s">
        <v>16876</v>
      </c>
    </row>
    <row r="16345" spans="1:1">
      <c r="A16345" t="s">
        <v>16877</v>
      </c>
    </row>
    <row r="16346" spans="1:1">
      <c r="A16346" t="s">
        <v>16878</v>
      </c>
    </row>
    <row r="16347" spans="1:1">
      <c r="A16347" t="s">
        <v>16879</v>
      </c>
    </row>
    <row r="16348" spans="1:1">
      <c r="A16348" t="s">
        <v>16880</v>
      </c>
    </row>
    <row r="16349" spans="1:1">
      <c r="A16349" t="s">
        <v>16881</v>
      </c>
    </row>
    <row r="16350" spans="1:1">
      <c r="A16350" t="s">
        <v>16882</v>
      </c>
    </row>
    <row r="16351" spans="1:1">
      <c r="A16351" t="s">
        <v>16883</v>
      </c>
    </row>
    <row r="16352" spans="1:1">
      <c r="A16352" t="s">
        <v>16884</v>
      </c>
    </row>
    <row r="16353" spans="1:1">
      <c r="A16353" t="s">
        <v>16885</v>
      </c>
    </row>
    <row r="16354" spans="1:1">
      <c r="A16354" t="s">
        <v>16886</v>
      </c>
    </row>
    <row r="16355" spans="1:1">
      <c r="A16355" t="s">
        <v>16887</v>
      </c>
    </row>
    <row r="16356" spans="1:1">
      <c r="A16356" t="s">
        <v>16888</v>
      </c>
    </row>
    <row r="16357" spans="1:1">
      <c r="A16357" t="s">
        <v>16889</v>
      </c>
    </row>
    <row r="16358" spans="1:1">
      <c r="A16358" t="s">
        <v>16890</v>
      </c>
    </row>
    <row r="16359" spans="1:1">
      <c r="A16359" t="s">
        <v>16891</v>
      </c>
    </row>
    <row r="16360" spans="1:1">
      <c r="A16360" t="s">
        <v>16892</v>
      </c>
    </row>
    <row r="16361" spans="1:1">
      <c r="A16361" t="s">
        <v>16893</v>
      </c>
    </row>
    <row r="16362" spans="1:1">
      <c r="A16362" t="s">
        <v>16894</v>
      </c>
    </row>
    <row r="16363" spans="1:1">
      <c r="A16363" t="s">
        <v>16895</v>
      </c>
    </row>
    <row r="16364" spans="1:1">
      <c r="A16364" t="s">
        <v>16896</v>
      </c>
    </row>
    <row r="16365" spans="1:1">
      <c r="A16365" t="s">
        <v>16897</v>
      </c>
    </row>
    <row r="16366" spans="1:1">
      <c r="A16366" t="s">
        <v>16898</v>
      </c>
    </row>
    <row r="16367" spans="1:1">
      <c r="A16367" t="s">
        <v>16899</v>
      </c>
    </row>
    <row r="16368" spans="1:1">
      <c r="A16368" t="s">
        <v>16900</v>
      </c>
    </row>
    <row r="16369" spans="1:1">
      <c r="A16369" t="s">
        <v>16901</v>
      </c>
    </row>
    <row r="16370" spans="1:1">
      <c r="A16370" t="s">
        <v>16902</v>
      </c>
    </row>
    <row r="16371" spans="1:1">
      <c r="A16371" t="s">
        <v>16903</v>
      </c>
    </row>
    <row r="16372" spans="1:1">
      <c r="A16372" t="s">
        <v>16904</v>
      </c>
    </row>
    <row r="16373" spans="1:1">
      <c r="A16373" t="s">
        <v>16905</v>
      </c>
    </row>
    <row r="16374" spans="1:1">
      <c r="A16374" t="s">
        <v>16906</v>
      </c>
    </row>
    <row r="16375" spans="1:1">
      <c r="A16375" t="s">
        <v>16907</v>
      </c>
    </row>
    <row r="16376" spans="1:1">
      <c r="A16376" t="s">
        <v>16908</v>
      </c>
    </row>
    <row r="16377" spans="1:1">
      <c r="A16377" t="s">
        <v>16909</v>
      </c>
    </row>
    <row r="16378" spans="1:1">
      <c r="A16378" t="s">
        <v>16910</v>
      </c>
    </row>
    <row r="16379" spans="1:1">
      <c r="A16379" t="s">
        <v>16911</v>
      </c>
    </row>
    <row r="16380" spans="1:1">
      <c r="A16380" t="s">
        <v>16912</v>
      </c>
    </row>
    <row r="16381" spans="1:1">
      <c r="A16381" t="s">
        <v>16913</v>
      </c>
    </row>
    <row r="16382" spans="1:1">
      <c r="A16382" t="s">
        <v>16914</v>
      </c>
    </row>
    <row r="16383" spans="1:1">
      <c r="A16383" t="s">
        <v>16915</v>
      </c>
    </row>
    <row r="16384" spans="1:1">
      <c r="A16384" t="s">
        <v>16916</v>
      </c>
    </row>
    <row r="16385" spans="1:1">
      <c r="A16385" t="s">
        <v>16917</v>
      </c>
    </row>
    <row r="16386" spans="1:1">
      <c r="A16386" t="s">
        <v>16918</v>
      </c>
    </row>
    <row r="16387" spans="1:1">
      <c r="A16387" t="s">
        <v>16919</v>
      </c>
    </row>
    <row r="16388" spans="1:1">
      <c r="A16388" t="s">
        <v>16920</v>
      </c>
    </row>
    <row r="16389" spans="1:1">
      <c r="A16389" t="s">
        <v>16921</v>
      </c>
    </row>
    <row r="16390" spans="1:1">
      <c r="A16390" t="s">
        <v>16922</v>
      </c>
    </row>
    <row r="16391" spans="1:1">
      <c r="A16391" t="s">
        <v>16923</v>
      </c>
    </row>
    <row r="16392" spans="1:1">
      <c r="A16392" t="s">
        <v>16924</v>
      </c>
    </row>
    <row r="16393" spans="1:1">
      <c r="A16393" t="s">
        <v>16925</v>
      </c>
    </row>
    <row r="16394" spans="1:1">
      <c r="A16394" t="s">
        <v>16926</v>
      </c>
    </row>
    <row r="16395" spans="1:1">
      <c r="A16395" t="s">
        <v>16927</v>
      </c>
    </row>
    <row r="16396" spans="1:1">
      <c r="A16396" t="s">
        <v>16928</v>
      </c>
    </row>
    <row r="16397" spans="1:1">
      <c r="A16397" t="s">
        <v>16929</v>
      </c>
    </row>
    <row r="16398" spans="1:1">
      <c r="A16398" t="s">
        <v>16930</v>
      </c>
    </row>
    <row r="16399" spans="1:1">
      <c r="A16399" t="s">
        <v>16931</v>
      </c>
    </row>
    <row r="16400" spans="1:1">
      <c r="A16400" t="s">
        <v>16932</v>
      </c>
    </row>
    <row r="16401" spans="1:1">
      <c r="A16401" t="s">
        <v>16933</v>
      </c>
    </row>
    <row r="16402" spans="1:1">
      <c r="A16402" t="s">
        <v>16934</v>
      </c>
    </row>
    <row r="16403" spans="1:1">
      <c r="A16403" t="s">
        <v>16935</v>
      </c>
    </row>
    <row r="16404" spans="1:1">
      <c r="A16404" t="s">
        <v>16936</v>
      </c>
    </row>
    <row r="16405" spans="1:1">
      <c r="A16405" t="s">
        <v>16937</v>
      </c>
    </row>
    <row r="16406" spans="1:1">
      <c r="A16406" t="s">
        <v>16938</v>
      </c>
    </row>
    <row r="16407" spans="1:1">
      <c r="A16407" t="s">
        <v>16939</v>
      </c>
    </row>
    <row r="16408" spans="1:1">
      <c r="A16408" t="s">
        <v>16940</v>
      </c>
    </row>
    <row r="16409" spans="1:1">
      <c r="A16409" t="s">
        <v>16941</v>
      </c>
    </row>
    <row r="16410" spans="1:1">
      <c r="A16410" t="s">
        <v>16942</v>
      </c>
    </row>
    <row r="16411" spans="1:1">
      <c r="A16411" t="s">
        <v>16943</v>
      </c>
    </row>
    <row r="16412" spans="1:1">
      <c r="A16412" t="s">
        <v>16944</v>
      </c>
    </row>
    <row r="16413" spans="1:1">
      <c r="A16413" t="s">
        <v>16945</v>
      </c>
    </row>
    <row r="16414" spans="1:1">
      <c r="A16414" t="s">
        <v>16946</v>
      </c>
    </row>
    <row r="16415" spans="1:1">
      <c r="A16415" t="s">
        <v>16947</v>
      </c>
    </row>
    <row r="16416" spans="1:1">
      <c r="A16416" t="s">
        <v>16948</v>
      </c>
    </row>
    <row r="16417" spans="1:1">
      <c r="A16417" t="s">
        <v>16949</v>
      </c>
    </row>
    <row r="16418" spans="1:1">
      <c r="A16418" t="s">
        <v>16950</v>
      </c>
    </row>
    <row r="16419" spans="1:1">
      <c r="A16419" t="s">
        <v>16951</v>
      </c>
    </row>
    <row r="16420" spans="1:1">
      <c r="A16420" t="s">
        <v>16952</v>
      </c>
    </row>
    <row r="16421" spans="1:1">
      <c r="A16421" t="s">
        <v>16953</v>
      </c>
    </row>
    <row r="16422" spans="1:1">
      <c r="A16422" t="s">
        <v>16954</v>
      </c>
    </row>
    <row r="16423" spans="1:1">
      <c r="A16423" t="s">
        <v>16955</v>
      </c>
    </row>
    <row r="16424" spans="1:1">
      <c r="A16424" t="s">
        <v>16956</v>
      </c>
    </row>
    <row r="16425" spans="1:1">
      <c r="A16425" t="s">
        <v>16957</v>
      </c>
    </row>
    <row r="16426" spans="1:1">
      <c r="A16426" t="s">
        <v>16958</v>
      </c>
    </row>
    <row r="16427" spans="1:1">
      <c r="A16427" t="s">
        <v>16959</v>
      </c>
    </row>
    <row r="16428" spans="1:1">
      <c r="A16428" t="s">
        <v>16960</v>
      </c>
    </row>
    <row r="16429" spans="1:1">
      <c r="A16429" t="s">
        <v>16961</v>
      </c>
    </row>
    <row r="16430" spans="1:1">
      <c r="A16430" t="s">
        <v>16962</v>
      </c>
    </row>
    <row r="16431" spans="1:1">
      <c r="A16431" t="s">
        <v>16963</v>
      </c>
    </row>
    <row r="16432" spans="1:1">
      <c r="A16432" t="s">
        <v>16964</v>
      </c>
    </row>
    <row r="16433" spans="1:1">
      <c r="A16433" t="s">
        <v>16965</v>
      </c>
    </row>
    <row r="16434" spans="1:1">
      <c r="A16434" t="s">
        <v>16966</v>
      </c>
    </row>
    <row r="16435" spans="1:1">
      <c r="A16435" t="s">
        <v>16967</v>
      </c>
    </row>
    <row r="16436" spans="1:1">
      <c r="A16436" t="s">
        <v>16968</v>
      </c>
    </row>
    <row r="16437" spans="1:1">
      <c r="A16437" t="s">
        <v>16969</v>
      </c>
    </row>
    <row r="16438" spans="1:1">
      <c r="A16438" t="s">
        <v>16970</v>
      </c>
    </row>
    <row r="16439" spans="1:1">
      <c r="A16439" t="s">
        <v>16971</v>
      </c>
    </row>
    <row r="16440" spans="1:1">
      <c r="A16440" t="s">
        <v>16972</v>
      </c>
    </row>
    <row r="16441" spans="1:1">
      <c r="A16441" t="s">
        <v>16973</v>
      </c>
    </row>
    <row r="16442" spans="1:1">
      <c r="A16442" t="s">
        <v>16974</v>
      </c>
    </row>
    <row r="16443" spans="1:1">
      <c r="A16443" t="s">
        <v>16975</v>
      </c>
    </row>
    <row r="16444" spans="1:1">
      <c r="A16444" t="s">
        <v>16976</v>
      </c>
    </row>
    <row r="16445" spans="1:1">
      <c r="A16445" t="s">
        <v>16977</v>
      </c>
    </row>
    <row r="16446" spans="1:1">
      <c r="A16446" t="s">
        <v>16978</v>
      </c>
    </row>
    <row r="16447" spans="1:1">
      <c r="A16447" t="s">
        <v>16979</v>
      </c>
    </row>
    <row r="16448" spans="1:1">
      <c r="A16448" t="s">
        <v>16980</v>
      </c>
    </row>
    <row r="16449" spans="1:1">
      <c r="A16449" t="s">
        <v>16981</v>
      </c>
    </row>
    <row r="16450" spans="1:1">
      <c r="A16450" t="s">
        <v>16982</v>
      </c>
    </row>
    <row r="16451" spans="1:1">
      <c r="A16451" t="s">
        <v>16983</v>
      </c>
    </row>
    <row r="16452" spans="1:1">
      <c r="A16452" t="s">
        <v>16984</v>
      </c>
    </row>
    <row r="16453" spans="1:1">
      <c r="A16453" t="s">
        <v>16985</v>
      </c>
    </row>
    <row r="16454" spans="1:1">
      <c r="A16454" t="s">
        <v>16986</v>
      </c>
    </row>
    <row r="16455" spans="1:1">
      <c r="A16455" t="s">
        <v>16987</v>
      </c>
    </row>
    <row r="16456" spans="1:1">
      <c r="A16456" t="s">
        <v>16988</v>
      </c>
    </row>
    <row r="16457" spans="1:1">
      <c r="A16457" t="s">
        <v>16989</v>
      </c>
    </row>
    <row r="16458" spans="1:1">
      <c r="A16458" t="s">
        <v>16990</v>
      </c>
    </row>
    <row r="16459" spans="1:1">
      <c r="A16459" t="s">
        <v>16991</v>
      </c>
    </row>
    <row r="16460" spans="1:1">
      <c r="A16460" t="s">
        <v>16992</v>
      </c>
    </row>
    <row r="16461" spans="1:1">
      <c r="A16461" t="s">
        <v>16993</v>
      </c>
    </row>
    <row r="16462" spans="1:1">
      <c r="A16462" t="s">
        <v>16994</v>
      </c>
    </row>
    <row r="16463" spans="1:1">
      <c r="A16463" t="s">
        <v>16995</v>
      </c>
    </row>
    <row r="16464" spans="1:1">
      <c r="A16464" t="s">
        <v>16996</v>
      </c>
    </row>
    <row r="16465" spans="1:1">
      <c r="A16465" t="s">
        <v>16997</v>
      </c>
    </row>
    <row r="16466" spans="1:1">
      <c r="A16466" t="s">
        <v>16998</v>
      </c>
    </row>
    <row r="16467" spans="1:1">
      <c r="A16467" t="s">
        <v>16999</v>
      </c>
    </row>
    <row r="16468" spans="1:1">
      <c r="A16468" t="s">
        <v>17000</v>
      </c>
    </row>
    <row r="16469" spans="1:1">
      <c r="A16469" t="s">
        <v>17001</v>
      </c>
    </row>
    <row r="16470" spans="1:1">
      <c r="A16470" t="s">
        <v>17002</v>
      </c>
    </row>
    <row r="16471" spans="1:1">
      <c r="A16471" t="s">
        <v>17003</v>
      </c>
    </row>
    <row r="16472" spans="1:1">
      <c r="A16472" t="s">
        <v>17004</v>
      </c>
    </row>
    <row r="16473" spans="1:1">
      <c r="A16473" t="s">
        <v>17005</v>
      </c>
    </row>
    <row r="16474" spans="1:1">
      <c r="A16474" t="s">
        <v>17006</v>
      </c>
    </row>
    <row r="16475" spans="1:1">
      <c r="A16475" t="s">
        <v>17007</v>
      </c>
    </row>
    <row r="16476" spans="1:1">
      <c r="A16476" t="s">
        <v>17008</v>
      </c>
    </row>
    <row r="16477" spans="1:1">
      <c r="A16477" t="s">
        <v>17009</v>
      </c>
    </row>
    <row r="16478" spans="1:1">
      <c r="A16478" t="s">
        <v>17010</v>
      </c>
    </row>
    <row r="16479" spans="1:1">
      <c r="A16479" t="s">
        <v>17011</v>
      </c>
    </row>
    <row r="16480" spans="1:1">
      <c r="A16480" t="s">
        <v>17012</v>
      </c>
    </row>
    <row r="16481" spans="1:1">
      <c r="A16481" t="s">
        <v>17013</v>
      </c>
    </row>
    <row r="16482" spans="1:1">
      <c r="A16482" t="s">
        <v>17014</v>
      </c>
    </row>
    <row r="16483" spans="1:1">
      <c r="A16483" t="s">
        <v>17015</v>
      </c>
    </row>
    <row r="16484" spans="1:1">
      <c r="A16484" t="s">
        <v>17016</v>
      </c>
    </row>
    <row r="16485" spans="1:1">
      <c r="A16485" t="s">
        <v>17017</v>
      </c>
    </row>
    <row r="16486" spans="1:1">
      <c r="A16486" t="s">
        <v>17018</v>
      </c>
    </row>
    <row r="16487" spans="1:1">
      <c r="A16487" t="s">
        <v>17019</v>
      </c>
    </row>
    <row r="16488" spans="1:1">
      <c r="A16488" t="s">
        <v>17020</v>
      </c>
    </row>
    <row r="16489" spans="1:1">
      <c r="A16489" t="s">
        <v>17021</v>
      </c>
    </row>
    <row r="16490" spans="1:1">
      <c r="A16490" t="s">
        <v>17022</v>
      </c>
    </row>
    <row r="16491" spans="1:1">
      <c r="A16491" t="s">
        <v>17023</v>
      </c>
    </row>
    <row r="16492" spans="1:1">
      <c r="A16492" t="s">
        <v>17024</v>
      </c>
    </row>
    <row r="16493" spans="1:1">
      <c r="A16493" t="s">
        <v>17025</v>
      </c>
    </row>
    <row r="16494" spans="1:1">
      <c r="A16494" t="s">
        <v>17026</v>
      </c>
    </row>
    <row r="16495" spans="1:1">
      <c r="A16495" t="s">
        <v>17027</v>
      </c>
    </row>
    <row r="16496" spans="1:1">
      <c r="A16496" t="s">
        <v>17028</v>
      </c>
    </row>
    <row r="16497" spans="1:1">
      <c r="A16497" t="s">
        <v>17029</v>
      </c>
    </row>
    <row r="16498" spans="1:1">
      <c r="A16498" t="s">
        <v>17030</v>
      </c>
    </row>
    <row r="16499" spans="1:1">
      <c r="A16499" t="s">
        <v>17031</v>
      </c>
    </row>
    <row r="16500" spans="1:1">
      <c r="A16500" t="s">
        <v>17032</v>
      </c>
    </row>
    <row r="16501" spans="1:1">
      <c r="A16501" t="s">
        <v>17033</v>
      </c>
    </row>
    <row r="16502" spans="1:1">
      <c r="A16502" t="s">
        <v>17034</v>
      </c>
    </row>
    <row r="16503" spans="1:1">
      <c r="A16503" t="s">
        <v>17035</v>
      </c>
    </row>
    <row r="16504" spans="1:1">
      <c r="A16504" t="s">
        <v>17036</v>
      </c>
    </row>
    <row r="16505" spans="1:1">
      <c r="A16505" t="s">
        <v>17037</v>
      </c>
    </row>
    <row r="16506" spans="1:1">
      <c r="A16506" t="s">
        <v>17038</v>
      </c>
    </row>
    <row r="16507" spans="1:1">
      <c r="A16507" t="s">
        <v>17039</v>
      </c>
    </row>
    <row r="16508" spans="1:1">
      <c r="A16508" t="s">
        <v>17040</v>
      </c>
    </row>
    <row r="16509" spans="1:1">
      <c r="A16509" t="s">
        <v>17041</v>
      </c>
    </row>
    <row r="16510" spans="1:1">
      <c r="A16510" t="s">
        <v>17042</v>
      </c>
    </row>
    <row r="16511" spans="1:1">
      <c r="A16511" t="s">
        <v>17043</v>
      </c>
    </row>
    <row r="16512" spans="1:1">
      <c r="A16512" t="s">
        <v>17044</v>
      </c>
    </row>
    <row r="16513" spans="1:1">
      <c r="A16513" t="s">
        <v>17045</v>
      </c>
    </row>
    <row r="16514" spans="1:1">
      <c r="A16514" t="s">
        <v>17046</v>
      </c>
    </row>
    <row r="16515" spans="1:1">
      <c r="A16515" t="s">
        <v>17047</v>
      </c>
    </row>
    <row r="16516" spans="1:1">
      <c r="A16516" t="s">
        <v>17048</v>
      </c>
    </row>
    <row r="16517" spans="1:1">
      <c r="A16517" t="s">
        <v>17049</v>
      </c>
    </row>
    <row r="16518" spans="1:1">
      <c r="A16518" t="s">
        <v>17050</v>
      </c>
    </row>
    <row r="16519" spans="1:1">
      <c r="A16519" t="s">
        <v>17051</v>
      </c>
    </row>
    <row r="16520" spans="1:1">
      <c r="A16520" t="s">
        <v>17052</v>
      </c>
    </row>
    <row r="16521" spans="1:1">
      <c r="A16521" t="s">
        <v>17053</v>
      </c>
    </row>
    <row r="16522" spans="1:1">
      <c r="A16522" t="s">
        <v>17054</v>
      </c>
    </row>
    <row r="16523" spans="1:1">
      <c r="A16523" t="s">
        <v>17055</v>
      </c>
    </row>
    <row r="16524" spans="1:1">
      <c r="A16524" t="s">
        <v>17056</v>
      </c>
    </row>
    <row r="16525" spans="1:1">
      <c r="A16525" t="s">
        <v>17057</v>
      </c>
    </row>
    <row r="16526" spans="1:1">
      <c r="A16526" t="s">
        <v>17058</v>
      </c>
    </row>
    <row r="16527" spans="1:1">
      <c r="A16527" t="s">
        <v>17059</v>
      </c>
    </row>
    <row r="16528" spans="1:1">
      <c r="A16528" t="s">
        <v>17060</v>
      </c>
    </row>
    <row r="16529" spans="1:1">
      <c r="A16529" t="s">
        <v>17061</v>
      </c>
    </row>
    <row r="16530" spans="1:1">
      <c r="A16530" t="s">
        <v>17062</v>
      </c>
    </row>
    <row r="16531" spans="1:1">
      <c r="A16531" t="s">
        <v>17063</v>
      </c>
    </row>
    <row r="16532" spans="1:1">
      <c r="A16532" t="s">
        <v>17064</v>
      </c>
    </row>
    <row r="16533" spans="1:1">
      <c r="A16533" t="s">
        <v>17065</v>
      </c>
    </row>
    <row r="16534" spans="1:1">
      <c r="A16534" t="s">
        <v>17066</v>
      </c>
    </row>
    <row r="16535" spans="1:1">
      <c r="A16535" t="s">
        <v>17067</v>
      </c>
    </row>
    <row r="16536" spans="1:1">
      <c r="A16536" t="s">
        <v>17068</v>
      </c>
    </row>
    <row r="16537" spans="1:1">
      <c r="A16537" t="s">
        <v>17069</v>
      </c>
    </row>
    <row r="16538" spans="1:1">
      <c r="A16538" t="s">
        <v>17070</v>
      </c>
    </row>
    <row r="16539" spans="1:1">
      <c r="A16539" t="s">
        <v>17071</v>
      </c>
    </row>
    <row r="16540" spans="1:1">
      <c r="A16540" t="s">
        <v>17072</v>
      </c>
    </row>
    <row r="16541" spans="1:1">
      <c r="A16541" t="s">
        <v>17073</v>
      </c>
    </row>
    <row r="16542" spans="1:1">
      <c r="A16542" t="s">
        <v>17074</v>
      </c>
    </row>
    <row r="16543" spans="1:1">
      <c r="A16543" t="s">
        <v>17075</v>
      </c>
    </row>
    <row r="16544" spans="1:1">
      <c r="A16544" t="s">
        <v>17076</v>
      </c>
    </row>
    <row r="16545" spans="1:1">
      <c r="A16545" t="s">
        <v>17077</v>
      </c>
    </row>
    <row r="16546" spans="1:1">
      <c r="A16546" t="s">
        <v>17078</v>
      </c>
    </row>
    <row r="16547" spans="1:1">
      <c r="A16547" t="s">
        <v>17079</v>
      </c>
    </row>
    <row r="16548" spans="1:1">
      <c r="A16548" t="s">
        <v>17080</v>
      </c>
    </row>
    <row r="16549" spans="1:1">
      <c r="A16549" t="s">
        <v>17081</v>
      </c>
    </row>
    <row r="16550" spans="1:1">
      <c r="A16550" t="s">
        <v>17082</v>
      </c>
    </row>
    <row r="16551" spans="1:1">
      <c r="A16551" t="s">
        <v>17083</v>
      </c>
    </row>
    <row r="16552" spans="1:1">
      <c r="A16552" t="s">
        <v>17084</v>
      </c>
    </row>
    <row r="16553" spans="1:1">
      <c r="A16553" t="s">
        <v>17085</v>
      </c>
    </row>
    <row r="16554" spans="1:1">
      <c r="A16554" t="s">
        <v>17086</v>
      </c>
    </row>
    <row r="16555" spans="1:1">
      <c r="A16555" t="s">
        <v>17087</v>
      </c>
    </row>
    <row r="16556" spans="1:1">
      <c r="A16556" t="s">
        <v>17088</v>
      </c>
    </row>
    <row r="16557" spans="1:1">
      <c r="A16557" t="s">
        <v>17089</v>
      </c>
    </row>
    <row r="16558" spans="1:1">
      <c r="A16558" t="s">
        <v>17090</v>
      </c>
    </row>
    <row r="16559" spans="1:1">
      <c r="A16559" t="s">
        <v>17091</v>
      </c>
    </row>
    <row r="16560" spans="1:1">
      <c r="A16560" t="s">
        <v>17092</v>
      </c>
    </row>
    <row r="16561" spans="1:1">
      <c r="A16561" t="s">
        <v>17093</v>
      </c>
    </row>
    <row r="16562" spans="1:1">
      <c r="A16562" t="s">
        <v>17094</v>
      </c>
    </row>
    <row r="16563" spans="1:1">
      <c r="A16563" t="s">
        <v>17095</v>
      </c>
    </row>
    <row r="16564" spans="1:1">
      <c r="A16564" t="s">
        <v>17096</v>
      </c>
    </row>
    <row r="16565" spans="1:1">
      <c r="A16565" t="s">
        <v>17097</v>
      </c>
    </row>
    <row r="16566" spans="1:1">
      <c r="A16566" t="s">
        <v>17098</v>
      </c>
    </row>
    <row r="16567" spans="1:1">
      <c r="A16567" t="s">
        <v>17099</v>
      </c>
    </row>
    <row r="16568" spans="1:1">
      <c r="A16568" t="s">
        <v>17100</v>
      </c>
    </row>
    <row r="16569" spans="1:1">
      <c r="A16569" t="s">
        <v>17101</v>
      </c>
    </row>
    <row r="16570" spans="1:1">
      <c r="A16570" t="s">
        <v>17102</v>
      </c>
    </row>
    <row r="16571" spans="1:1">
      <c r="A16571" t="s">
        <v>17103</v>
      </c>
    </row>
    <row r="16572" spans="1:1">
      <c r="A16572" t="s">
        <v>17104</v>
      </c>
    </row>
    <row r="16573" spans="1:1">
      <c r="A16573" t="s">
        <v>17105</v>
      </c>
    </row>
    <row r="16574" spans="1:1">
      <c r="A16574" t="s">
        <v>17106</v>
      </c>
    </row>
    <row r="16575" spans="1:1">
      <c r="A16575" t="s">
        <v>17107</v>
      </c>
    </row>
    <row r="16576" spans="1:1">
      <c r="A16576" t="s">
        <v>17108</v>
      </c>
    </row>
    <row r="16577" spans="1:1">
      <c r="A16577" t="s">
        <v>17109</v>
      </c>
    </row>
    <row r="16578" spans="1:1">
      <c r="A16578" t="s">
        <v>17110</v>
      </c>
    </row>
    <row r="16579" spans="1:1">
      <c r="A16579" t="s">
        <v>17111</v>
      </c>
    </row>
    <row r="16580" spans="1:1">
      <c r="A16580" t="s">
        <v>17112</v>
      </c>
    </row>
    <row r="16581" spans="1:1">
      <c r="A16581" t="s">
        <v>17113</v>
      </c>
    </row>
    <row r="16582" spans="1:1">
      <c r="A16582" t="s">
        <v>17114</v>
      </c>
    </row>
    <row r="16583" spans="1:1">
      <c r="A16583" t="s">
        <v>17115</v>
      </c>
    </row>
    <row r="16584" spans="1:1">
      <c r="A16584" t="s">
        <v>17116</v>
      </c>
    </row>
    <row r="16585" spans="1:1">
      <c r="A16585" t="s">
        <v>17117</v>
      </c>
    </row>
    <row r="16586" spans="1:1">
      <c r="A16586" t="s">
        <v>17118</v>
      </c>
    </row>
    <row r="16587" spans="1:1">
      <c r="A16587" t="s">
        <v>17119</v>
      </c>
    </row>
    <row r="16588" spans="1:1">
      <c r="A16588" t="s">
        <v>17120</v>
      </c>
    </row>
    <row r="16589" spans="1:1">
      <c r="A16589" t="s">
        <v>17121</v>
      </c>
    </row>
    <row r="16590" spans="1:1">
      <c r="A16590" t="s">
        <v>17122</v>
      </c>
    </row>
    <row r="16591" spans="1:1">
      <c r="A16591" t="s">
        <v>17123</v>
      </c>
    </row>
    <row r="16592" spans="1:1">
      <c r="A16592" t="s">
        <v>17124</v>
      </c>
    </row>
    <row r="16593" spans="1:1">
      <c r="A16593" t="s">
        <v>17125</v>
      </c>
    </row>
    <row r="16594" spans="1:1">
      <c r="A16594" t="s">
        <v>17126</v>
      </c>
    </row>
    <row r="16595" spans="1:1">
      <c r="A16595" t="s">
        <v>17127</v>
      </c>
    </row>
    <row r="16596" spans="1:1">
      <c r="A16596" t="s">
        <v>17128</v>
      </c>
    </row>
    <row r="16597" spans="1:1">
      <c r="A16597" t="s">
        <v>17129</v>
      </c>
    </row>
    <row r="16598" spans="1:1">
      <c r="A16598" t="s">
        <v>17130</v>
      </c>
    </row>
    <row r="16599" spans="1:1">
      <c r="A16599" t="s">
        <v>17131</v>
      </c>
    </row>
    <row r="16600" spans="1:1">
      <c r="A16600" t="s">
        <v>17132</v>
      </c>
    </row>
    <row r="16601" spans="1:1">
      <c r="A16601" t="s">
        <v>17133</v>
      </c>
    </row>
    <row r="16602" spans="1:1">
      <c r="A16602" t="s">
        <v>17134</v>
      </c>
    </row>
    <row r="16603" spans="1:1">
      <c r="A16603" t="s">
        <v>17135</v>
      </c>
    </row>
    <row r="16604" spans="1:1">
      <c r="A16604" t="s">
        <v>17136</v>
      </c>
    </row>
    <row r="16605" spans="1:1">
      <c r="A16605" t="s">
        <v>17137</v>
      </c>
    </row>
    <row r="16606" spans="1:1">
      <c r="A16606" t="s">
        <v>17138</v>
      </c>
    </row>
    <row r="16607" spans="1:1">
      <c r="A16607" t="s">
        <v>17139</v>
      </c>
    </row>
    <row r="16608" spans="1:1">
      <c r="A16608" t="s">
        <v>17140</v>
      </c>
    </row>
    <row r="16609" spans="1:1">
      <c r="A16609" t="s">
        <v>17141</v>
      </c>
    </row>
    <row r="16610" spans="1:1">
      <c r="A16610" t="s">
        <v>17142</v>
      </c>
    </row>
    <row r="16611" spans="1:1">
      <c r="A16611" t="s">
        <v>17143</v>
      </c>
    </row>
    <row r="16612" spans="1:1">
      <c r="A16612" t="s">
        <v>17144</v>
      </c>
    </row>
    <row r="16613" spans="1:1">
      <c r="A16613" t="s">
        <v>17145</v>
      </c>
    </row>
    <row r="16614" spans="1:1">
      <c r="A16614" t="s">
        <v>17146</v>
      </c>
    </row>
    <row r="16615" spans="1:1">
      <c r="A16615" t="s">
        <v>17147</v>
      </c>
    </row>
    <row r="16616" spans="1:1">
      <c r="A16616" t="s">
        <v>17148</v>
      </c>
    </row>
    <row r="16617" spans="1:1">
      <c r="A16617" t="s">
        <v>17149</v>
      </c>
    </row>
    <row r="16618" spans="1:1">
      <c r="A16618" t="s">
        <v>17150</v>
      </c>
    </row>
    <row r="16619" spans="1:1">
      <c r="A16619" t="s">
        <v>17151</v>
      </c>
    </row>
    <row r="16620" spans="1:1">
      <c r="A16620" t="s">
        <v>17152</v>
      </c>
    </row>
    <row r="16621" spans="1:1">
      <c r="A16621" t="s">
        <v>17153</v>
      </c>
    </row>
    <row r="16622" spans="1:1">
      <c r="A16622" t="s">
        <v>17154</v>
      </c>
    </row>
    <row r="16623" spans="1:1">
      <c r="A16623" t="s">
        <v>17155</v>
      </c>
    </row>
    <row r="16624" spans="1:1">
      <c r="A16624" t="s">
        <v>17156</v>
      </c>
    </row>
    <row r="16625" spans="1:1">
      <c r="A16625" t="s">
        <v>17157</v>
      </c>
    </row>
    <row r="16626" spans="1:1">
      <c r="A16626" t="s">
        <v>17158</v>
      </c>
    </row>
    <row r="16627" spans="1:1">
      <c r="A16627" t="s">
        <v>17159</v>
      </c>
    </row>
    <row r="16628" spans="1:1">
      <c r="A16628" t="s">
        <v>17160</v>
      </c>
    </row>
    <row r="16629" spans="1:1">
      <c r="A16629" t="s">
        <v>17161</v>
      </c>
    </row>
    <row r="16630" spans="1:1">
      <c r="A16630" t="s">
        <v>17162</v>
      </c>
    </row>
    <row r="16631" spans="1:1">
      <c r="A16631" t="s">
        <v>17163</v>
      </c>
    </row>
    <row r="16632" spans="1:1">
      <c r="A16632" t="s">
        <v>17164</v>
      </c>
    </row>
    <row r="16633" spans="1:1">
      <c r="A16633" t="s">
        <v>17165</v>
      </c>
    </row>
    <row r="16634" spans="1:1">
      <c r="A16634" t="s">
        <v>17166</v>
      </c>
    </row>
    <row r="16635" spans="1:1">
      <c r="A16635" t="s">
        <v>17167</v>
      </c>
    </row>
    <row r="16636" spans="1:1">
      <c r="A16636" t="s">
        <v>17168</v>
      </c>
    </row>
    <row r="16637" spans="1:1">
      <c r="A16637" t="s">
        <v>17169</v>
      </c>
    </row>
    <row r="16638" spans="1:1">
      <c r="A16638" t="s">
        <v>17170</v>
      </c>
    </row>
    <row r="16639" spans="1:1">
      <c r="A16639" t="s">
        <v>17171</v>
      </c>
    </row>
    <row r="16640" spans="1:1">
      <c r="A16640" t="s">
        <v>17172</v>
      </c>
    </row>
    <row r="16641" spans="1:1">
      <c r="A16641" t="s">
        <v>17173</v>
      </c>
    </row>
    <row r="16642" spans="1:1">
      <c r="A16642" t="s">
        <v>17174</v>
      </c>
    </row>
    <row r="16643" spans="1:1">
      <c r="A16643" t="s">
        <v>17175</v>
      </c>
    </row>
    <row r="16644" spans="1:1">
      <c r="A16644" t="s">
        <v>17176</v>
      </c>
    </row>
    <row r="16645" spans="1:1">
      <c r="A16645" t="s">
        <v>17177</v>
      </c>
    </row>
    <row r="16646" spans="1:1">
      <c r="A16646" t="s">
        <v>17178</v>
      </c>
    </row>
    <row r="16647" spans="1:1">
      <c r="A16647" t="s">
        <v>17179</v>
      </c>
    </row>
    <row r="16648" spans="1:1">
      <c r="A16648" t="s">
        <v>17180</v>
      </c>
    </row>
    <row r="16649" spans="1:1">
      <c r="A16649" t="s">
        <v>17181</v>
      </c>
    </row>
    <row r="16650" spans="1:1">
      <c r="A16650" t="s">
        <v>17182</v>
      </c>
    </row>
    <row r="16651" spans="1:1">
      <c r="A16651" t="s">
        <v>17183</v>
      </c>
    </row>
    <row r="16652" spans="1:1">
      <c r="A16652" t="s">
        <v>17184</v>
      </c>
    </row>
    <row r="16653" spans="1:1">
      <c r="A16653" t="s">
        <v>17185</v>
      </c>
    </row>
    <row r="16654" spans="1:1">
      <c r="A16654" t="s">
        <v>17186</v>
      </c>
    </row>
    <row r="16655" spans="1:1">
      <c r="A16655" t="s">
        <v>17187</v>
      </c>
    </row>
    <row r="16656" spans="1:1">
      <c r="A16656" t="s">
        <v>17188</v>
      </c>
    </row>
    <row r="16657" spans="1:1">
      <c r="A16657" t="s">
        <v>17189</v>
      </c>
    </row>
    <row r="16658" spans="1:1">
      <c r="A16658" t="s">
        <v>17190</v>
      </c>
    </row>
    <row r="16659" spans="1:1">
      <c r="A16659" t="s">
        <v>17191</v>
      </c>
    </row>
    <row r="16660" spans="1:1">
      <c r="A16660" t="s">
        <v>17192</v>
      </c>
    </row>
    <row r="16661" spans="1:1">
      <c r="A16661" t="s">
        <v>17193</v>
      </c>
    </row>
    <row r="16662" spans="1:1">
      <c r="A16662" t="s">
        <v>17194</v>
      </c>
    </row>
    <row r="16663" spans="1:1">
      <c r="A16663" t="s">
        <v>17195</v>
      </c>
    </row>
    <row r="16664" spans="1:1">
      <c r="A16664" t="s">
        <v>17196</v>
      </c>
    </row>
    <row r="16665" spans="1:1">
      <c r="A16665" t="s">
        <v>17197</v>
      </c>
    </row>
    <row r="16666" spans="1:1">
      <c r="A16666" t="s">
        <v>17198</v>
      </c>
    </row>
    <row r="16667" spans="1:1">
      <c r="A16667" t="s">
        <v>17199</v>
      </c>
    </row>
    <row r="16668" spans="1:1">
      <c r="A16668" t="s">
        <v>17200</v>
      </c>
    </row>
    <row r="16669" spans="1:1">
      <c r="A16669" t="s">
        <v>17201</v>
      </c>
    </row>
    <row r="16670" spans="1:1">
      <c r="A16670" t="s">
        <v>17202</v>
      </c>
    </row>
    <row r="16671" spans="1:1">
      <c r="A16671" t="s">
        <v>17203</v>
      </c>
    </row>
    <row r="16672" spans="1:1">
      <c r="A16672" t="s">
        <v>17204</v>
      </c>
    </row>
    <row r="16673" spans="1:1">
      <c r="A16673" t="s">
        <v>17205</v>
      </c>
    </row>
    <row r="16674" spans="1:1">
      <c r="A16674" t="s">
        <v>17206</v>
      </c>
    </row>
    <row r="16675" spans="1:1">
      <c r="A16675" t="s">
        <v>17207</v>
      </c>
    </row>
    <row r="16676" spans="1:1">
      <c r="A16676" t="s">
        <v>17208</v>
      </c>
    </row>
    <row r="16677" spans="1:1">
      <c r="A16677" t="s">
        <v>17209</v>
      </c>
    </row>
    <row r="16678" spans="1:1">
      <c r="A16678" t="s">
        <v>17210</v>
      </c>
    </row>
    <row r="16679" spans="1:1">
      <c r="A16679" t="s">
        <v>17211</v>
      </c>
    </row>
    <row r="16680" spans="1:1">
      <c r="A16680" t="s">
        <v>17212</v>
      </c>
    </row>
    <row r="16681" spans="1:1">
      <c r="A16681" t="s">
        <v>17213</v>
      </c>
    </row>
    <row r="16682" spans="1:1">
      <c r="A16682" t="s">
        <v>17214</v>
      </c>
    </row>
    <row r="16683" spans="1:1">
      <c r="A16683" t="s">
        <v>17215</v>
      </c>
    </row>
    <row r="16684" spans="1:1">
      <c r="A16684" t="s">
        <v>17216</v>
      </c>
    </row>
    <row r="16685" spans="1:1">
      <c r="A16685" t="s">
        <v>17217</v>
      </c>
    </row>
    <row r="16686" spans="1:1">
      <c r="A16686" t="s">
        <v>17218</v>
      </c>
    </row>
    <row r="16687" spans="1:1">
      <c r="A16687" t="s">
        <v>17219</v>
      </c>
    </row>
    <row r="16688" spans="1:1">
      <c r="A16688" t="s">
        <v>17220</v>
      </c>
    </row>
    <row r="16689" spans="1:1">
      <c r="A16689" t="s">
        <v>17221</v>
      </c>
    </row>
    <row r="16690" spans="1:1">
      <c r="A16690" t="s">
        <v>17222</v>
      </c>
    </row>
    <row r="16691" spans="1:1">
      <c r="A16691" t="s">
        <v>17223</v>
      </c>
    </row>
    <row r="16692" spans="1:1">
      <c r="A16692" t="s">
        <v>17224</v>
      </c>
    </row>
    <row r="16693" spans="1:1">
      <c r="A16693" t="s">
        <v>17225</v>
      </c>
    </row>
    <row r="16694" spans="1:1">
      <c r="A16694" t="s">
        <v>17226</v>
      </c>
    </row>
    <row r="16695" spans="1:1">
      <c r="A16695" t="s">
        <v>17227</v>
      </c>
    </row>
    <row r="16696" spans="1:1">
      <c r="A16696" t="s">
        <v>17228</v>
      </c>
    </row>
    <row r="16697" spans="1:1">
      <c r="A16697" t="s">
        <v>17229</v>
      </c>
    </row>
    <row r="16698" spans="1:1">
      <c r="A16698" t="s">
        <v>17230</v>
      </c>
    </row>
    <row r="16699" spans="1:1">
      <c r="A16699" t="s">
        <v>17231</v>
      </c>
    </row>
    <row r="16700" spans="1:1">
      <c r="A16700" t="s">
        <v>17232</v>
      </c>
    </row>
    <row r="16701" spans="1:1">
      <c r="A16701" t="s">
        <v>17233</v>
      </c>
    </row>
    <row r="16702" spans="1:1">
      <c r="A16702" t="s">
        <v>17234</v>
      </c>
    </row>
    <row r="16703" spans="1:1">
      <c r="A16703" t="s">
        <v>17235</v>
      </c>
    </row>
    <row r="16704" spans="1:1">
      <c r="A16704" t="s">
        <v>17236</v>
      </c>
    </row>
    <row r="16705" spans="1:1">
      <c r="A16705" t="s">
        <v>17237</v>
      </c>
    </row>
    <row r="16706" spans="1:1">
      <c r="A16706" t="s">
        <v>17238</v>
      </c>
    </row>
    <row r="16707" spans="1:1">
      <c r="A16707" t="s">
        <v>17239</v>
      </c>
    </row>
    <row r="16708" spans="1:1">
      <c r="A16708" t="s">
        <v>17240</v>
      </c>
    </row>
    <row r="16709" spans="1:1">
      <c r="A16709" t="s">
        <v>17241</v>
      </c>
    </row>
    <row r="16710" spans="1:1">
      <c r="A16710" t="s">
        <v>17242</v>
      </c>
    </row>
    <row r="16711" spans="1:1">
      <c r="A16711" t="s">
        <v>17243</v>
      </c>
    </row>
    <row r="16712" spans="1:1">
      <c r="A16712" t="s">
        <v>17244</v>
      </c>
    </row>
    <row r="16713" spans="1:1">
      <c r="A16713" t="s">
        <v>17245</v>
      </c>
    </row>
    <row r="16714" spans="1:1">
      <c r="A16714" t="s">
        <v>17246</v>
      </c>
    </row>
    <row r="16715" spans="1:1">
      <c r="A16715" t="s">
        <v>17247</v>
      </c>
    </row>
    <row r="16716" spans="1:1">
      <c r="A16716" t="s">
        <v>17248</v>
      </c>
    </row>
    <row r="16717" spans="1:1">
      <c r="A16717" t="s">
        <v>17249</v>
      </c>
    </row>
    <row r="16718" spans="1:1">
      <c r="A16718" t="s">
        <v>17250</v>
      </c>
    </row>
    <row r="16719" spans="1:1">
      <c r="A16719" t="s">
        <v>17251</v>
      </c>
    </row>
    <row r="16720" spans="1:1">
      <c r="A16720" t="s">
        <v>17252</v>
      </c>
    </row>
    <row r="16721" spans="1:1">
      <c r="A16721" t="s">
        <v>17253</v>
      </c>
    </row>
    <row r="16722" spans="1:1">
      <c r="A16722" t="s">
        <v>17254</v>
      </c>
    </row>
    <row r="16723" spans="1:1">
      <c r="A16723" t="s">
        <v>17255</v>
      </c>
    </row>
    <row r="16724" spans="1:1">
      <c r="A16724" t="s">
        <v>17256</v>
      </c>
    </row>
    <row r="16725" spans="1:1">
      <c r="A16725" t="s">
        <v>17257</v>
      </c>
    </row>
    <row r="16726" spans="1:1">
      <c r="A16726" t="s">
        <v>17258</v>
      </c>
    </row>
    <row r="16727" spans="1:1">
      <c r="A16727" t="s">
        <v>17259</v>
      </c>
    </row>
    <row r="16728" spans="1:1">
      <c r="A16728" t="s">
        <v>17260</v>
      </c>
    </row>
    <row r="16729" spans="1:1">
      <c r="A16729" t="s">
        <v>17261</v>
      </c>
    </row>
    <row r="16730" spans="1:1">
      <c r="A16730" t="s">
        <v>17262</v>
      </c>
    </row>
    <row r="16731" spans="1:1">
      <c r="A16731" t="s">
        <v>17263</v>
      </c>
    </row>
    <row r="16732" spans="1:1">
      <c r="A16732" t="s">
        <v>17264</v>
      </c>
    </row>
    <row r="16733" spans="1:1">
      <c r="A16733" t="s">
        <v>17265</v>
      </c>
    </row>
    <row r="16734" spans="1:1">
      <c r="A16734" t="s">
        <v>17266</v>
      </c>
    </row>
    <row r="16735" spans="1:1">
      <c r="A16735" t="s">
        <v>17267</v>
      </c>
    </row>
    <row r="16736" spans="1:1">
      <c r="A16736" t="s">
        <v>17268</v>
      </c>
    </row>
    <row r="16737" spans="1:1">
      <c r="A16737" t="s">
        <v>17269</v>
      </c>
    </row>
    <row r="16738" spans="1:1">
      <c r="A16738" t="s">
        <v>17270</v>
      </c>
    </row>
    <row r="16739" spans="1:1">
      <c r="A16739" t="s">
        <v>17271</v>
      </c>
    </row>
    <row r="16740" spans="1:1">
      <c r="A16740" t="s">
        <v>17272</v>
      </c>
    </row>
    <row r="16741" spans="1:1">
      <c r="A16741" t="s">
        <v>17273</v>
      </c>
    </row>
    <row r="16742" spans="1:1">
      <c r="A16742" t="s">
        <v>17274</v>
      </c>
    </row>
    <row r="16743" spans="1:1">
      <c r="A16743" t="s">
        <v>17275</v>
      </c>
    </row>
    <row r="16744" spans="1:1">
      <c r="A16744" t="s">
        <v>17276</v>
      </c>
    </row>
    <row r="16745" spans="1:1">
      <c r="A16745" t="s">
        <v>17277</v>
      </c>
    </row>
    <row r="16746" spans="1:1">
      <c r="A16746" t="s">
        <v>17278</v>
      </c>
    </row>
    <row r="16747" spans="1:1">
      <c r="A16747" t="s">
        <v>17279</v>
      </c>
    </row>
    <row r="16748" spans="1:1">
      <c r="A16748" t="s">
        <v>17280</v>
      </c>
    </row>
    <row r="16749" spans="1:1">
      <c r="A16749" t="s">
        <v>17281</v>
      </c>
    </row>
    <row r="16750" spans="1:1">
      <c r="A16750" t="s">
        <v>17282</v>
      </c>
    </row>
    <row r="16751" spans="1:1">
      <c r="A16751" t="s">
        <v>17283</v>
      </c>
    </row>
    <row r="16752" spans="1:1">
      <c r="A16752" t="s">
        <v>17284</v>
      </c>
    </row>
    <row r="16753" spans="1:1">
      <c r="A16753" t="s">
        <v>17285</v>
      </c>
    </row>
    <row r="16754" spans="1:1">
      <c r="A16754" t="s">
        <v>17286</v>
      </c>
    </row>
    <row r="16755" spans="1:1">
      <c r="A16755" t="s">
        <v>17287</v>
      </c>
    </row>
    <row r="16756" spans="1:1">
      <c r="A16756" t="s">
        <v>17288</v>
      </c>
    </row>
    <row r="16757" spans="1:1">
      <c r="A16757" t="s">
        <v>17289</v>
      </c>
    </row>
    <row r="16758" spans="1:1">
      <c r="A16758" t="s">
        <v>17290</v>
      </c>
    </row>
    <row r="16759" spans="1:1">
      <c r="A16759" t="s">
        <v>17291</v>
      </c>
    </row>
    <row r="16760" spans="1:1">
      <c r="A16760" t="s">
        <v>17292</v>
      </c>
    </row>
    <row r="16761" spans="1:1">
      <c r="A16761" t="s">
        <v>17293</v>
      </c>
    </row>
    <row r="16762" spans="1:1">
      <c r="A16762" t="s">
        <v>17294</v>
      </c>
    </row>
    <row r="16763" spans="1:1">
      <c r="A16763" t="s">
        <v>17295</v>
      </c>
    </row>
    <row r="16764" spans="1:1">
      <c r="A16764" t="s">
        <v>17296</v>
      </c>
    </row>
    <row r="16765" spans="1:1">
      <c r="A16765" t="s">
        <v>17297</v>
      </c>
    </row>
    <row r="16766" spans="1:1">
      <c r="A16766" t="s">
        <v>17298</v>
      </c>
    </row>
    <row r="16767" spans="1:1">
      <c r="A16767" t="s">
        <v>17299</v>
      </c>
    </row>
    <row r="16768" spans="1:1">
      <c r="A16768" t="s">
        <v>17300</v>
      </c>
    </row>
    <row r="16769" spans="1:1">
      <c r="A16769" t="s">
        <v>17301</v>
      </c>
    </row>
    <row r="16770" spans="1:1">
      <c r="A16770" t="s">
        <v>17302</v>
      </c>
    </row>
    <row r="16771" spans="1:1">
      <c r="A16771" t="s">
        <v>17303</v>
      </c>
    </row>
    <row r="16772" spans="1:1">
      <c r="A16772" t="s">
        <v>17304</v>
      </c>
    </row>
    <row r="16773" spans="1:1">
      <c r="A16773" t="s">
        <v>17305</v>
      </c>
    </row>
    <row r="16774" spans="1:1">
      <c r="A16774" t="s">
        <v>17306</v>
      </c>
    </row>
    <row r="16775" spans="1:1">
      <c r="A16775" t="s">
        <v>17307</v>
      </c>
    </row>
    <row r="16776" spans="1:1">
      <c r="A16776" t="s">
        <v>17308</v>
      </c>
    </row>
    <row r="16777" spans="1:1">
      <c r="A16777" t="s">
        <v>17309</v>
      </c>
    </row>
    <row r="16778" spans="1:1">
      <c r="A16778" t="s">
        <v>17310</v>
      </c>
    </row>
    <row r="16779" spans="1:1">
      <c r="A16779" t="s">
        <v>17311</v>
      </c>
    </row>
    <row r="16780" spans="1:1">
      <c r="A16780" t="s">
        <v>17312</v>
      </c>
    </row>
    <row r="16781" spans="1:1">
      <c r="A16781" t="s">
        <v>17313</v>
      </c>
    </row>
    <row r="16782" spans="1:1">
      <c r="A16782" t="s">
        <v>17314</v>
      </c>
    </row>
    <row r="16783" spans="1:1">
      <c r="A16783" t="s">
        <v>17315</v>
      </c>
    </row>
    <row r="16784" spans="1:1">
      <c r="A16784" t="s">
        <v>17316</v>
      </c>
    </row>
    <row r="16785" spans="1:1">
      <c r="A16785" t="s">
        <v>17317</v>
      </c>
    </row>
    <row r="16786" spans="1:1">
      <c r="A16786" t="s">
        <v>17318</v>
      </c>
    </row>
    <row r="16787" spans="1:1">
      <c r="A16787" t="s">
        <v>17319</v>
      </c>
    </row>
    <row r="16788" spans="1:1">
      <c r="A16788" t="s">
        <v>17320</v>
      </c>
    </row>
    <row r="16789" spans="1:1">
      <c r="A16789" t="s">
        <v>17321</v>
      </c>
    </row>
    <row r="16790" spans="1:1">
      <c r="A16790" t="s">
        <v>17322</v>
      </c>
    </row>
    <row r="16791" spans="1:1">
      <c r="A16791" t="s">
        <v>17323</v>
      </c>
    </row>
    <row r="16792" spans="1:1">
      <c r="A16792" t="s">
        <v>17324</v>
      </c>
    </row>
    <row r="16793" spans="1:1">
      <c r="A16793" t="s">
        <v>17325</v>
      </c>
    </row>
    <row r="16794" spans="1:1">
      <c r="A16794" t="s">
        <v>17326</v>
      </c>
    </row>
    <row r="16795" spans="1:1">
      <c r="A16795" t="s">
        <v>17327</v>
      </c>
    </row>
    <row r="16796" spans="1:1">
      <c r="A16796" t="s">
        <v>17328</v>
      </c>
    </row>
    <row r="16797" spans="1:1">
      <c r="A16797" t="s">
        <v>17329</v>
      </c>
    </row>
    <row r="16798" spans="1:1">
      <c r="A16798" t="s">
        <v>17330</v>
      </c>
    </row>
    <row r="16799" spans="1:1">
      <c r="A16799" t="s">
        <v>17331</v>
      </c>
    </row>
    <row r="16800" spans="1:1">
      <c r="A16800" t="s">
        <v>17332</v>
      </c>
    </row>
    <row r="16801" spans="1:1">
      <c r="A16801" t="s">
        <v>17333</v>
      </c>
    </row>
    <row r="16802" spans="1:1">
      <c r="A16802" t="s">
        <v>17334</v>
      </c>
    </row>
    <row r="16803" spans="1:1">
      <c r="A16803" t="s">
        <v>17335</v>
      </c>
    </row>
    <row r="16804" spans="1:1">
      <c r="A16804" t="s">
        <v>17336</v>
      </c>
    </row>
    <row r="16805" spans="1:1">
      <c r="A16805" t="s">
        <v>17337</v>
      </c>
    </row>
    <row r="16806" spans="1:1">
      <c r="A16806" t="s">
        <v>17338</v>
      </c>
    </row>
    <row r="16807" spans="1:1">
      <c r="A16807" t="s">
        <v>17339</v>
      </c>
    </row>
    <row r="16808" spans="1:1">
      <c r="A16808" t="s">
        <v>17340</v>
      </c>
    </row>
    <row r="16809" spans="1:1">
      <c r="A16809" t="s">
        <v>17341</v>
      </c>
    </row>
    <row r="16810" spans="1:1">
      <c r="A16810" t="s">
        <v>17342</v>
      </c>
    </row>
    <row r="16811" spans="1:1">
      <c r="A16811" t="s">
        <v>17343</v>
      </c>
    </row>
    <row r="16812" spans="1:1">
      <c r="A16812" t="s">
        <v>17344</v>
      </c>
    </row>
    <row r="16813" spans="1:1">
      <c r="A16813" t="s">
        <v>17345</v>
      </c>
    </row>
    <row r="16814" spans="1:1">
      <c r="A16814" t="s">
        <v>17346</v>
      </c>
    </row>
    <row r="16815" spans="1:1">
      <c r="A16815" t="s">
        <v>17347</v>
      </c>
    </row>
    <row r="16816" spans="1:1">
      <c r="A16816" t="s">
        <v>17348</v>
      </c>
    </row>
    <row r="16817" spans="1:1">
      <c r="A16817" t="s">
        <v>17349</v>
      </c>
    </row>
    <row r="16818" spans="1:1">
      <c r="A16818" t="s">
        <v>17350</v>
      </c>
    </row>
    <row r="16819" spans="1:1">
      <c r="A16819" t="s">
        <v>17351</v>
      </c>
    </row>
    <row r="16820" spans="1:1">
      <c r="A16820" t="s">
        <v>17352</v>
      </c>
    </row>
    <row r="16821" spans="1:1">
      <c r="A16821" t="s">
        <v>17353</v>
      </c>
    </row>
    <row r="16822" spans="1:1">
      <c r="A16822" t="s">
        <v>17354</v>
      </c>
    </row>
    <row r="16823" spans="1:1">
      <c r="A16823" t="s">
        <v>17355</v>
      </c>
    </row>
    <row r="16824" spans="1:1">
      <c r="A16824" t="s">
        <v>17356</v>
      </c>
    </row>
    <row r="16825" spans="1:1">
      <c r="A16825" t="s">
        <v>17357</v>
      </c>
    </row>
    <row r="16826" spans="1:1">
      <c r="A16826" t="s">
        <v>17358</v>
      </c>
    </row>
    <row r="16827" spans="1:1">
      <c r="A16827" t="s">
        <v>17359</v>
      </c>
    </row>
    <row r="16828" spans="1:1">
      <c r="A16828" t="s">
        <v>17360</v>
      </c>
    </row>
    <row r="16829" spans="1:1">
      <c r="A16829" t="s">
        <v>17361</v>
      </c>
    </row>
    <row r="16830" spans="1:1">
      <c r="A16830" t="s">
        <v>17362</v>
      </c>
    </row>
    <row r="16831" spans="1:1">
      <c r="A16831" t="s">
        <v>17363</v>
      </c>
    </row>
    <row r="16832" spans="1:1">
      <c r="A16832" t="s">
        <v>17364</v>
      </c>
    </row>
    <row r="16833" spans="1:1">
      <c r="A16833" t="s">
        <v>17365</v>
      </c>
    </row>
    <row r="16834" spans="1:1">
      <c r="A16834" t="s">
        <v>17366</v>
      </c>
    </row>
    <row r="16835" spans="1:1">
      <c r="A16835" t="s">
        <v>17367</v>
      </c>
    </row>
    <row r="16836" spans="1:1">
      <c r="A16836" t="s">
        <v>17368</v>
      </c>
    </row>
    <row r="16837" spans="1:1">
      <c r="A16837" t="s">
        <v>17369</v>
      </c>
    </row>
    <row r="16838" spans="1:1">
      <c r="A16838" t="s">
        <v>17370</v>
      </c>
    </row>
    <row r="16839" spans="1:1">
      <c r="A16839" t="s">
        <v>17371</v>
      </c>
    </row>
    <row r="16840" spans="1:1">
      <c r="A16840" t="s">
        <v>17372</v>
      </c>
    </row>
    <row r="16841" spans="1:1">
      <c r="A16841" t="s">
        <v>17373</v>
      </c>
    </row>
    <row r="16842" spans="1:1">
      <c r="A16842" t="s">
        <v>17374</v>
      </c>
    </row>
    <row r="16843" spans="1:1">
      <c r="A16843" t="s">
        <v>17375</v>
      </c>
    </row>
    <row r="16844" spans="1:1">
      <c r="A16844" t="s">
        <v>17376</v>
      </c>
    </row>
    <row r="16845" spans="1:1">
      <c r="A16845" t="s">
        <v>17377</v>
      </c>
    </row>
    <row r="16846" spans="1:1">
      <c r="A16846" t="s">
        <v>17378</v>
      </c>
    </row>
    <row r="16847" spans="1:1">
      <c r="A16847" t="s">
        <v>17379</v>
      </c>
    </row>
    <row r="16848" spans="1:1">
      <c r="A16848" t="s">
        <v>17380</v>
      </c>
    </row>
    <row r="16849" spans="1:1">
      <c r="A16849" t="s">
        <v>17381</v>
      </c>
    </row>
    <row r="16850" spans="1:1">
      <c r="A16850" t="s">
        <v>17382</v>
      </c>
    </row>
    <row r="16851" spans="1:1">
      <c r="A16851" t="s">
        <v>17383</v>
      </c>
    </row>
    <row r="16852" spans="1:1">
      <c r="A16852" t="s">
        <v>17384</v>
      </c>
    </row>
    <row r="16853" spans="1:1">
      <c r="A16853" t="s">
        <v>17385</v>
      </c>
    </row>
    <row r="16854" spans="1:1">
      <c r="A16854" t="s">
        <v>17386</v>
      </c>
    </row>
    <row r="16855" spans="1:1">
      <c r="A16855" t="s">
        <v>17387</v>
      </c>
    </row>
    <row r="16856" spans="1:1">
      <c r="A16856" t="s">
        <v>17388</v>
      </c>
    </row>
    <row r="16857" spans="1:1">
      <c r="A16857" t="s">
        <v>17389</v>
      </c>
    </row>
    <row r="16858" spans="1:1">
      <c r="A16858" t="s">
        <v>17390</v>
      </c>
    </row>
    <row r="16859" spans="1:1">
      <c r="A16859" t="s">
        <v>17391</v>
      </c>
    </row>
    <row r="16860" spans="1:1">
      <c r="A16860" t="s">
        <v>17392</v>
      </c>
    </row>
    <row r="16861" spans="1:1">
      <c r="A16861" t="s">
        <v>17393</v>
      </c>
    </row>
    <row r="16862" spans="1:1">
      <c r="A16862" t="s">
        <v>17394</v>
      </c>
    </row>
    <row r="16863" spans="1:1">
      <c r="A16863" t="s">
        <v>17395</v>
      </c>
    </row>
    <row r="16864" spans="1:1">
      <c r="A16864" t="s">
        <v>17396</v>
      </c>
    </row>
    <row r="16865" spans="1:1">
      <c r="A16865" t="s">
        <v>17397</v>
      </c>
    </row>
    <row r="16866" spans="1:1">
      <c r="A16866" t="s">
        <v>17398</v>
      </c>
    </row>
    <row r="16867" spans="1:1">
      <c r="A16867" t="s">
        <v>17399</v>
      </c>
    </row>
    <row r="16868" spans="1:1">
      <c r="A16868" t="s">
        <v>17400</v>
      </c>
    </row>
    <row r="16869" spans="1:1">
      <c r="A16869" t="s">
        <v>17401</v>
      </c>
    </row>
    <row r="16870" spans="1:1">
      <c r="A16870" t="s">
        <v>17402</v>
      </c>
    </row>
    <row r="16871" spans="1:1">
      <c r="A16871" t="s">
        <v>17403</v>
      </c>
    </row>
    <row r="16872" spans="1:1">
      <c r="A16872" t="s">
        <v>17404</v>
      </c>
    </row>
    <row r="16873" spans="1:1">
      <c r="A16873" t="s">
        <v>17405</v>
      </c>
    </row>
    <row r="16874" spans="1:1">
      <c r="A16874" t="s">
        <v>17406</v>
      </c>
    </row>
    <row r="16875" spans="1:1">
      <c r="A16875" t="s">
        <v>17407</v>
      </c>
    </row>
    <row r="16876" spans="1:1">
      <c r="A16876" t="s">
        <v>17408</v>
      </c>
    </row>
    <row r="16877" spans="1:1">
      <c r="A16877" t="s">
        <v>17409</v>
      </c>
    </row>
    <row r="16878" spans="1:1">
      <c r="A16878" t="s">
        <v>17410</v>
      </c>
    </row>
    <row r="16879" spans="1:1">
      <c r="A16879" t="s">
        <v>17411</v>
      </c>
    </row>
    <row r="16880" spans="1:1">
      <c r="A16880" t="s">
        <v>17412</v>
      </c>
    </row>
    <row r="16881" spans="1:1">
      <c r="A16881" t="s">
        <v>17413</v>
      </c>
    </row>
    <row r="16882" spans="1:1">
      <c r="A16882" t="s">
        <v>17414</v>
      </c>
    </row>
    <row r="16883" spans="1:1">
      <c r="A16883" t="s">
        <v>17415</v>
      </c>
    </row>
    <row r="16884" spans="1:1">
      <c r="A16884" t="s">
        <v>17416</v>
      </c>
    </row>
    <row r="16885" spans="1:1">
      <c r="A16885" t="s">
        <v>17417</v>
      </c>
    </row>
    <row r="16886" spans="1:1">
      <c r="A16886" t="s">
        <v>17418</v>
      </c>
    </row>
    <row r="16887" spans="1:1">
      <c r="A16887" t="s">
        <v>17419</v>
      </c>
    </row>
    <row r="16888" spans="1:1">
      <c r="A16888" t="s">
        <v>17420</v>
      </c>
    </row>
    <row r="16889" spans="1:1">
      <c r="A16889" t="s">
        <v>17421</v>
      </c>
    </row>
    <row r="16890" spans="1:1">
      <c r="A16890" t="s">
        <v>17422</v>
      </c>
    </row>
    <row r="16891" spans="1:1">
      <c r="A16891" t="s">
        <v>17423</v>
      </c>
    </row>
    <row r="16892" spans="1:1">
      <c r="A16892" t="s">
        <v>17424</v>
      </c>
    </row>
    <row r="16893" spans="1:1">
      <c r="A16893" t="s">
        <v>17425</v>
      </c>
    </row>
    <row r="16894" spans="1:1">
      <c r="A16894" t="s">
        <v>17426</v>
      </c>
    </row>
    <row r="16895" spans="1:1">
      <c r="A16895" t="s">
        <v>17427</v>
      </c>
    </row>
    <row r="16896" spans="1:1">
      <c r="A16896" t="s">
        <v>17428</v>
      </c>
    </row>
    <row r="16897" spans="1:1">
      <c r="A16897" t="s">
        <v>17429</v>
      </c>
    </row>
    <row r="16898" spans="1:1">
      <c r="A16898" t="s">
        <v>17430</v>
      </c>
    </row>
    <row r="16899" spans="1:1">
      <c r="A16899" t="s">
        <v>17431</v>
      </c>
    </row>
    <row r="16900" spans="1:1">
      <c r="A16900" t="s">
        <v>17432</v>
      </c>
    </row>
    <row r="16901" spans="1:1">
      <c r="A16901" t="s">
        <v>17433</v>
      </c>
    </row>
    <row r="16902" spans="1:1">
      <c r="A16902" t="s">
        <v>17434</v>
      </c>
    </row>
    <row r="16903" spans="1:1">
      <c r="A16903" t="s">
        <v>17435</v>
      </c>
    </row>
    <row r="16904" spans="1:1">
      <c r="A16904" t="s">
        <v>17436</v>
      </c>
    </row>
    <row r="16905" spans="1:1">
      <c r="A16905" t="s">
        <v>17437</v>
      </c>
    </row>
    <row r="16906" spans="1:1">
      <c r="A16906" t="s">
        <v>17438</v>
      </c>
    </row>
    <row r="16907" spans="1:1">
      <c r="A16907" t="s">
        <v>17439</v>
      </c>
    </row>
    <row r="16908" spans="1:1">
      <c r="A16908" t="s">
        <v>17440</v>
      </c>
    </row>
    <row r="16909" spans="1:1">
      <c r="A16909" t="s">
        <v>17441</v>
      </c>
    </row>
    <row r="16910" spans="1:1">
      <c r="A16910" t="s">
        <v>17442</v>
      </c>
    </row>
    <row r="16911" spans="1:1">
      <c r="A16911" t="s">
        <v>17443</v>
      </c>
    </row>
    <row r="16912" spans="1:1">
      <c r="A16912" t="s">
        <v>17444</v>
      </c>
    </row>
    <row r="16913" spans="1:1">
      <c r="A16913" t="s">
        <v>17445</v>
      </c>
    </row>
    <row r="16914" spans="1:1">
      <c r="A16914" t="s">
        <v>17446</v>
      </c>
    </row>
    <row r="16915" spans="1:1">
      <c r="A16915" t="s">
        <v>17447</v>
      </c>
    </row>
    <row r="16916" spans="1:1">
      <c r="A16916" t="s">
        <v>17448</v>
      </c>
    </row>
    <row r="16917" spans="1:1">
      <c r="A16917" t="s">
        <v>17449</v>
      </c>
    </row>
    <row r="16918" spans="1:1">
      <c r="A16918" t="s">
        <v>17450</v>
      </c>
    </row>
    <row r="16919" spans="1:1">
      <c r="A16919" t="s">
        <v>17451</v>
      </c>
    </row>
    <row r="16920" spans="1:1">
      <c r="A16920" t="s">
        <v>17452</v>
      </c>
    </row>
    <row r="16921" spans="1:1">
      <c r="A16921" t="s">
        <v>17453</v>
      </c>
    </row>
    <row r="16922" spans="1:1">
      <c r="A16922" t="s">
        <v>17454</v>
      </c>
    </row>
    <row r="16923" spans="1:1">
      <c r="A16923" t="s">
        <v>17455</v>
      </c>
    </row>
    <row r="16924" spans="1:1">
      <c r="A16924" t="s">
        <v>17456</v>
      </c>
    </row>
    <row r="16925" spans="1:1">
      <c r="A16925" t="s">
        <v>17457</v>
      </c>
    </row>
    <row r="16926" spans="1:1">
      <c r="A16926" t="s">
        <v>17458</v>
      </c>
    </row>
    <row r="16927" spans="1:1">
      <c r="A16927" t="s">
        <v>17459</v>
      </c>
    </row>
    <row r="16928" spans="1:1">
      <c r="A16928" t="s">
        <v>17460</v>
      </c>
    </row>
    <row r="16929" spans="1:1">
      <c r="A16929" t="s">
        <v>17461</v>
      </c>
    </row>
    <row r="16930" spans="1:1">
      <c r="A16930" t="s">
        <v>17462</v>
      </c>
    </row>
    <row r="16931" spans="1:1">
      <c r="A16931" t="s">
        <v>17463</v>
      </c>
    </row>
    <row r="16932" spans="1:1">
      <c r="A16932" t="s">
        <v>17464</v>
      </c>
    </row>
    <row r="16933" spans="1:1">
      <c r="A16933" t="s">
        <v>17465</v>
      </c>
    </row>
    <row r="16934" spans="1:1">
      <c r="A16934" t="s">
        <v>17466</v>
      </c>
    </row>
    <row r="16935" spans="1:1">
      <c r="A16935" t="s">
        <v>17467</v>
      </c>
    </row>
    <row r="16936" spans="1:1">
      <c r="A16936" t="s">
        <v>17468</v>
      </c>
    </row>
    <row r="16937" spans="1:1">
      <c r="A16937" t="s">
        <v>17469</v>
      </c>
    </row>
    <row r="16938" spans="1:1">
      <c r="A16938" t="s">
        <v>17470</v>
      </c>
    </row>
    <row r="16939" spans="1:1">
      <c r="A16939" t="s">
        <v>17471</v>
      </c>
    </row>
    <row r="16940" spans="1:1">
      <c r="A16940" t="s">
        <v>17472</v>
      </c>
    </row>
    <row r="16941" spans="1:1">
      <c r="A16941" t="s">
        <v>17473</v>
      </c>
    </row>
    <row r="16942" spans="1:1">
      <c r="A16942" t="s">
        <v>17474</v>
      </c>
    </row>
    <row r="16943" spans="1:1">
      <c r="A16943" t="s">
        <v>17475</v>
      </c>
    </row>
    <row r="16944" spans="1:1">
      <c r="A16944" t="s">
        <v>17476</v>
      </c>
    </row>
    <row r="16945" spans="1:1">
      <c r="A16945" t="s">
        <v>17477</v>
      </c>
    </row>
    <row r="16946" spans="1:1">
      <c r="A16946" t="s">
        <v>17478</v>
      </c>
    </row>
    <row r="16947" spans="1:1">
      <c r="A16947" t="s">
        <v>17479</v>
      </c>
    </row>
    <row r="16948" spans="1:1">
      <c r="A16948" t="s">
        <v>17480</v>
      </c>
    </row>
    <row r="16949" spans="1:1">
      <c r="A16949" t="s">
        <v>17481</v>
      </c>
    </row>
    <row r="16950" spans="1:1">
      <c r="A16950" t="s">
        <v>17482</v>
      </c>
    </row>
    <row r="16951" spans="1:1">
      <c r="A16951" t="s">
        <v>17483</v>
      </c>
    </row>
    <row r="16952" spans="1:1">
      <c r="A16952" t="s">
        <v>17484</v>
      </c>
    </row>
    <row r="16953" spans="1:1">
      <c r="A16953" t="s">
        <v>17485</v>
      </c>
    </row>
    <row r="16954" spans="1:1">
      <c r="A16954" t="s">
        <v>17486</v>
      </c>
    </row>
    <row r="16955" spans="1:1">
      <c r="A16955" t="s">
        <v>17487</v>
      </c>
    </row>
    <row r="16956" spans="1:1">
      <c r="A16956" t="s">
        <v>17488</v>
      </c>
    </row>
    <row r="16957" spans="1:1">
      <c r="A16957" t="s">
        <v>17489</v>
      </c>
    </row>
    <row r="16958" spans="1:1">
      <c r="A16958" t="s">
        <v>17490</v>
      </c>
    </row>
    <row r="16959" spans="1:1">
      <c r="A16959" t="s">
        <v>17491</v>
      </c>
    </row>
    <row r="16960" spans="1:1">
      <c r="A16960" t="s">
        <v>17492</v>
      </c>
    </row>
    <row r="16961" spans="1:1">
      <c r="A16961" t="s">
        <v>17493</v>
      </c>
    </row>
    <row r="16962" spans="1:1">
      <c r="A16962" t="s">
        <v>17494</v>
      </c>
    </row>
    <row r="16963" spans="1:1">
      <c r="A16963" t="s">
        <v>17495</v>
      </c>
    </row>
    <row r="16964" spans="1:1">
      <c r="A16964" t="s">
        <v>17496</v>
      </c>
    </row>
    <row r="16965" spans="1:1">
      <c r="A16965" t="s">
        <v>17497</v>
      </c>
    </row>
    <row r="16966" spans="1:1">
      <c r="A16966" t="s">
        <v>17498</v>
      </c>
    </row>
    <row r="16967" spans="1:1">
      <c r="A16967" t="s">
        <v>17499</v>
      </c>
    </row>
    <row r="16968" spans="1:1">
      <c r="A16968" t="s">
        <v>17500</v>
      </c>
    </row>
    <row r="16969" spans="1:1">
      <c r="A16969" t="s">
        <v>17501</v>
      </c>
    </row>
    <row r="16970" spans="1:1">
      <c r="A16970" t="s">
        <v>17502</v>
      </c>
    </row>
    <row r="16971" spans="1:1">
      <c r="A16971" t="s">
        <v>17503</v>
      </c>
    </row>
    <row r="16972" spans="1:1">
      <c r="A16972" t="s">
        <v>17504</v>
      </c>
    </row>
    <row r="16973" spans="1:1">
      <c r="A16973" t="s">
        <v>17505</v>
      </c>
    </row>
    <row r="16974" spans="1:1">
      <c r="A16974" t="s">
        <v>17506</v>
      </c>
    </row>
    <row r="16975" spans="1:1">
      <c r="A16975" t="s">
        <v>17507</v>
      </c>
    </row>
    <row r="16976" spans="1:1">
      <c r="A16976" t="s">
        <v>17508</v>
      </c>
    </row>
    <row r="16977" spans="1:1">
      <c r="A16977" t="s">
        <v>17509</v>
      </c>
    </row>
    <row r="16978" spans="1:1">
      <c r="A16978" t="s">
        <v>17510</v>
      </c>
    </row>
    <row r="16979" spans="1:1">
      <c r="A16979" t="s">
        <v>17511</v>
      </c>
    </row>
    <row r="16980" spans="1:1">
      <c r="A16980" t="s">
        <v>17512</v>
      </c>
    </row>
    <row r="16981" spans="1:1">
      <c r="A16981" t="s">
        <v>17513</v>
      </c>
    </row>
    <row r="16982" spans="1:1">
      <c r="A16982" t="s">
        <v>17514</v>
      </c>
    </row>
    <row r="16983" spans="1:1">
      <c r="A16983" t="s">
        <v>17515</v>
      </c>
    </row>
    <row r="16984" spans="1:1">
      <c r="A16984" t="s">
        <v>17516</v>
      </c>
    </row>
    <row r="16985" spans="1:1">
      <c r="A16985" t="s">
        <v>17517</v>
      </c>
    </row>
    <row r="16986" spans="1:1">
      <c r="A16986" t="s">
        <v>17518</v>
      </c>
    </row>
    <row r="16987" spans="1:1">
      <c r="A16987" t="s">
        <v>17519</v>
      </c>
    </row>
    <row r="16988" spans="1:1">
      <c r="A16988" t="s">
        <v>17520</v>
      </c>
    </row>
    <row r="16989" spans="1:1">
      <c r="A16989" t="s">
        <v>17521</v>
      </c>
    </row>
    <row r="16990" spans="1:1">
      <c r="A16990" t="s">
        <v>17522</v>
      </c>
    </row>
    <row r="16991" spans="1:1">
      <c r="A16991" t="s">
        <v>17523</v>
      </c>
    </row>
    <row r="16992" spans="1:1">
      <c r="A16992" t="s">
        <v>17524</v>
      </c>
    </row>
    <row r="16993" spans="1:1">
      <c r="A16993" t="s">
        <v>17525</v>
      </c>
    </row>
    <row r="16994" spans="1:1">
      <c r="A16994" t="s">
        <v>17526</v>
      </c>
    </row>
    <row r="16995" spans="1:1">
      <c r="A16995" t="s">
        <v>17527</v>
      </c>
    </row>
    <row r="16996" spans="1:1">
      <c r="A16996" t="s">
        <v>17528</v>
      </c>
    </row>
    <row r="16997" spans="1:1">
      <c r="A16997" t="s">
        <v>17529</v>
      </c>
    </row>
    <row r="16998" spans="1:1">
      <c r="A16998" t="s">
        <v>17530</v>
      </c>
    </row>
    <row r="16999" spans="1:1">
      <c r="A16999" t="s">
        <v>17531</v>
      </c>
    </row>
    <row r="17000" spans="1:1">
      <c r="A17000" t="s">
        <v>17532</v>
      </c>
    </row>
    <row r="17001" spans="1:1">
      <c r="A17001" t="s">
        <v>17533</v>
      </c>
    </row>
    <row r="17002" spans="1:1">
      <c r="A17002" t="s">
        <v>17534</v>
      </c>
    </row>
    <row r="17003" spans="1:1">
      <c r="A17003" t="s">
        <v>17535</v>
      </c>
    </row>
    <row r="17004" spans="1:1">
      <c r="A17004" t="s">
        <v>17536</v>
      </c>
    </row>
    <row r="17005" spans="1:1">
      <c r="A17005" t="s">
        <v>17537</v>
      </c>
    </row>
    <row r="17006" spans="1:1">
      <c r="A17006" t="s">
        <v>17538</v>
      </c>
    </row>
    <row r="17007" spans="1:1">
      <c r="A17007" t="s">
        <v>17539</v>
      </c>
    </row>
    <row r="17008" spans="1:1">
      <c r="A17008" t="s">
        <v>17540</v>
      </c>
    </row>
    <row r="17009" spans="1:1">
      <c r="A17009" t="s">
        <v>17541</v>
      </c>
    </row>
    <row r="17010" spans="1:1">
      <c r="A17010" t="s">
        <v>17542</v>
      </c>
    </row>
    <row r="17011" spans="1:1">
      <c r="A17011" t="s">
        <v>17543</v>
      </c>
    </row>
    <row r="17012" spans="1:1">
      <c r="A17012" t="s">
        <v>17544</v>
      </c>
    </row>
    <row r="17013" spans="1:1">
      <c r="A17013" t="s">
        <v>17545</v>
      </c>
    </row>
    <row r="17014" spans="1:1">
      <c r="A17014" t="s">
        <v>17546</v>
      </c>
    </row>
    <row r="17015" spans="1:1">
      <c r="A17015" t="s">
        <v>17547</v>
      </c>
    </row>
    <row r="17016" spans="1:1">
      <c r="A17016" t="s">
        <v>17548</v>
      </c>
    </row>
    <row r="17017" spans="1:1">
      <c r="A17017" t="s">
        <v>17549</v>
      </c>
    </row>
    <row r="17018" spans="1:1">
      <c r="A17018" t="s">
        <v>17550</v>
      </c>
    </row>
    <row r="17019" spans="1:1">
      <c r="A17019" t="s">
        <v>17551</v>
      </c>
    </row>
    <row r="17020" spans="1:1">
      <c r="A17020" t="s">
        <v>17552</v>
      </c>
    </row>
    <row r="17021" spans="1:1">
      <c r="A17021" t="s">
        <v>17553</v>
      </c>
    </row>
    <row r="17022" spans="1:1">
      <c r="A17022" t="s">
        <v>17554</v>
      </c>
    </row>
    <row r="17023" spans="1:1">
      <c r="A17023" t="s">
        <v>17555</v>
      </c>
    </row>
    <row r="17024" spans="1:1">
      <c r="A17024" t="s">
        <v>17556</v>
      </c>
    </row>
    <row r="17025" spans="1:1">
      <c r="A17025" t="s">
        <v>17557</v>
      </c>
    </row>
    <row r="17026" spans="1:1">
      <c r="A17026" t="s">
        <v>17558</v>
      </c>
    </row>
    <row r="17027" spans="1:1">
      <c r="A17027" t="s">
        <v>17559</v>
      </c>
    </row>
    <row r="17028" spans="1:1">
      <c r="A17028" t="s">
        <v>17560</v>
      </c>
    </row>
    <row r="17029" spans="1:1">
      <c r="A17029" t="s">
        <v>17561</v>
      </c>
    </row>
    <row r="17030" spans="1:1">
      <c r="A17030" t="s">
        <v>17562</v>
      </c>
    </row>
    <row r="17031" spans="1:1">
      <c r="A17031" t="s">
        <v>17563</v>
      </c>
    </row>
    <row r="17032" spans="1:1">
      <c r="A17032" t="s">
        <v>17564</v>
      </c>
    </row>
    <row r="17033" spans="1:1">
      <c r="A17033" t="s">
        <v>17565</v>
      </c>
    </row>
    <row r="17034" spans="1:1">
      <c r="A17034" t="s">
        <v>17566</v>
      </c>
    </row>
    <row r="17035" spans="1:1">
      <c r="A17035" t="s">
        <v>17567</v>
      </c>
    </row>
    <row r="17036" spans="1:1">
      <c r="A17036" t="s">
        <v>17568</v>
      </c>
    </row>
    <row r="17037" spans="1:1">
      <c r="A17037" t="s">
        <v>17569</v>
      </c>
    </row>
    <row r="17038" spans="1:1">
      <c r="A17038" t="s">
        <v>17570</v>
      </c>
    </row>
    <row r="17039" spans="1:1">
      <c r="A17039" t="s">
        <v>17571</v>
      </c>
    </row>
    <row r="17040" spans="1:1">
      <c r="A17040" t="s">
        <v>17572</v>
      </c>
    </row>
    <row r="17041" spans="1:1">
      <c r="A17041" t="s">
        <v>17573</v>
      </c>
    </row>
    <row r="17042" spans="1:1">
      <c r="A17042" t="s">
        <v>17574</v>
      </c>
    </row>
    <row r="17043" spans="1:1">
      <c r="A17043" t="s">
        <v>17575</v>
      </c>
    </row>
    <row r="17044" spans="1:1">
      <c r="A17044" t="s">
        <v>17576</v>
      </c>
    </row>
    <row r="17045" spans="1:1">
      <c r="A17045" t="s">
        <v>17577</v>
      </c>
    </row>
    <row r="17046" spans="1:1">
      <c r="A17046" t="s">
        <v>17578</v>
      </c>
    </row>
    <row r="17047" spans="1:1">
      <c r="A17047" t="s">
        <v>17579</v>
      </c>
    </row>
    <row r="17048" spans="1:1">
      <c r="A17048" t="s">
        <v>17580</v>
      </c>
    </row>
    <row r="17049" spans="1:1">
      <c r="A17049" t="s">
        <v>17581</v>
      </c>
    </row>
    <row r="17050" spans="1:1">
      <c r="A17050" t="s">
        <v>17582</v>
      </c>
    </row>
    <row r="17051" spans="1:1">
      <c r="A17051" t="s">
        <v>17583</v>
      </c>
    </row>
    <row r="17052" spans="1:1">
      <c r="A17052" t="s">
        <v>17584</v>
      </c>
    </row>
    <row r="17053" spans="1:1">
      <c r="A17053" t="s">
        <v>17585</v>
      </c>
    </row>
    <row r="17054" spans="1:1">
      <c r="A17054" t="s">
        <v>17586</v>
      </c>
    </row>
    <row r="17055" spans="1:1">
      <c r="A17055" t="s">
        <v>17587</v>
      </c>
    </row>
    <row r="17056" spans="1:1">
      <c r="A17056" t="s">
        <v>17588</v>
      </c>
    </row>
    <row r="17057" spans="1:1">
      <c r="A17057" t="s">
        <v>17589</v>
      </c>
    </row>
    <row r="17058" spans="1:1">
      <c r="A17058" t="s">
        <v>17590</v>
      </c>
    </row>
    <row r="17059" spans="1:1">
      <c r="A17059" t="s">
        <v>17591</v>
      </c>
    </row>
    <row r="17060" spans="1:1">
      <c r="A17060" t="s">
        <v>17592</v>
      </c>
    </row>
    <row r="17061" spans="1:1">
      <c r="A17061" t="s">
        <v>17593</v>
      </c>
    </row>
    <row r="17062" spans="1:1">
      <c r="A17062" t="s">
        <v>17594</v>
      </c>
    </row>
    <row r="17063" spans="1:1">
      <c r="A17063" t="s">
        <v>17595</v>
      </c>
    </row>
    <row r="17064" spans="1:1">
      <c r="A17064" t="s">
        <v>17596</v>
      </c>
    </row>
    <row r="17065" spans="1:1">
      <c r="A17065" t="s">
        <v>17597</v>
      </c>
    </row>
    <row r="17066" spans="1:1">
      <c r="A17066" t="s">
        <v>17598</v>
      </c>
    </row>
    <row r="17067" spans="1:1">
      <c r="A17067" t="s">
        <v>17599</v>
      </c>
    </row>
    <row r="17068" spans="1:1">
      <c r="A17068" t="s">
        <v>17600</v>
      </c>
    </row>
    <row r="17069" spans="1:1">
      <c r="A17069" t="s">
        <v>17601</v>
      </c>
    </row>
    <row r="17070" spans="1:1">
      <c r="A17070" t="s">
        <v>17602</v>
      </c>
    </row>
    <row r="17071" spans="1:1">
      <c r="A17071" t="s">
        <v>17603</v>
      </c>
    </row>
    <row r="17072" spans="1:1">
      <c r="A17072" t="s">
        <v>17604</v>
      </c>
    </row>
    <row r="17073" spans="1:1">
      <c r="A17073" t="s">
        <v>17605</v>
      </c>
    </row>
    <row r="17074" spans="1:1">
      <c r="A17074" t="s">
        <v>17606</v>
      </c>
    </row>
    <row r="17075" spans="1:1">
      <c r="A17075" t="s">
        <v>17607</v>
      </c>
    </row>
    <row r="17076" spans="1:1">
      <c r="A17076" t="s">
        <v>17608</v>
      </c>
    </row>
    <row r="17077" spans="1:1">
      <c r="A17077" t="s">
        <v>17609</v>
      </c>
    </row>
    <row r="17078" spans="1:1">
      <c r="A17078" t="s">
        <v>17610</v>
      </c>
    </row>
    <row r="17079" spans="1:1">
      <c r="A17079" t="s">
        <v>17611</v>
      </c>
    </row>
    <row r="17080" spans="1:1">
      <c r="A17080" t="s">
        <v>17612</v>
      </c>
    </row>
    <row r="17081" spans="1:1">
      <c r="A17081" t="s">
        <v>17613</v>
      </c>
    </row>
    <row r="17082" spans="1:1">
      <c r="A17082" t="s">
        <v>17614</v>
      </c>
    </row>
    <row r="17083" spans="1:1">
      <c r="A17083" t="s">
        <v>17615</v>
      </c>
    </row>
    <row r="17084" spans="1:1">
      <c r="A17084" t="s">
        <v>17616</v>
      </c>
    </row>
    <row r="17085" spans="1:1">
      <c r="A17085" t="s">
        <v>17617</v>
      </c>
    </row>
    <row r="17086" spans="1:1">
      <c r="A17086" t="s">
        <v>17618</v>
      </c>
    </row>
    <row r="17087" spans="1:1">
      <c r="A17087" t="s">
        <v>17619</v>
      </c>
    </row>
    <row r="17088" spans="1:1">
      <c r="A17088" t="s">
        <v>17620</v>
      </c>
    </row>
    <row r="17089" spans="1:1">
      <c r="A17089" t="s">
        <v>17621</v>
      </c>
    </row>
    <row r="17090" spans="1:1">
      <c r="A17090" t="s">
        <v>17622</v>
      </c>
    </row>
    <row r="17091" spans="1:1">
      <c r="A17091" t="s">
        <v>17623</v>
      </c>
    </row>
    <row r="17092" spans="1:1">
      <c r="A17092" t="s">
        <v>17624</v>
      </c>
    </row>
    <row r="17093" spans="1:1">
      <c r="A17093" t="s">
        <v>17625</v>
      </c>
    </row>
    <row r="17094" spans="1:1">
      <c r="A17094" t="s">
        <v>17626</v>
      </c>
    </row>
    <row r="17095" spans="1:1">
      <c r="A17095" t="s">
        <v>17627</v>
      </c>
    </row>
    <row r="17096" spans="1:1">
      <c r="A17096" t="s">
        <v>17628</v>
      </c>
    </row>
    <row r="17097" spans="1:1">
      <c r="A17097" t="s">
        <v>17629</v>
      </c>
    </row>
    <row r="17098" spans="1:1">
      <c r="A17098" t="s">
        <v>17630</v>
      </c>
    </row>
    <row r="17099" spans="1:1">
      <c r="A17099" t="s">
        <v>17631</v>
      </c>
    </row>
    <row r="17100" spans="1:1">
      <c r="A17100" t="s">
        <v>17632</v>
      </c>
    </row>
    <row r="17101" spans="1:1">
      <c r="A17101" t="s">
        <v>17633</v>
      </c>
    </row>
    <row r="17102" spans="1:1">
      <c r="A17102" t="s">
        <v>17634</v>
      </c>
    </row>
    <row r="17103" spans="1:1">
      <c r="A17103" t="s">
        <v>17635</v>
      </c>
    </row>
    <row r="17104" spans="1:1">
      <c r="A17104" t="s">
        <v>17636</v>
      </c>
    </row>
    <row r="17105" spans="1:1">
      <c r="A17105" t="s">
        <v>17637</v>
      </c>
    </row>
    <row r="17106" spans="1:1">
      <c r="A17106" t="s">
        <v>17638</v>
      </c>
    </row>
    <row r="17107" spans="1:1">
      <c r="A17107" t="s">
        <v>17639</v>
      </c>
    </row>
    <row r="17108" spans="1:1">
      <c r="A17108" t="s">
        <v>17640</v>
      </c>
    </row>
    <row r="17109" spans="1:1">
      <c r="A17109" t="s">
        <v>17641</v>
      </c>
    </row>
    <row r="17110" spans="1:1">
      <c r="A17110" t="s">
        <v>17642</v>
      </c>
    </row>
    <row r="17111" spans="1:1">
      <c r="A17111" t="s">
        <v>17643</v>
      </c>
    </row>
    <row r="17112" spans="1:1">
      <c r="A17112" t="s">
        <v>17644</v>
      </c>
    </row>
    <row r="17113" spans="1:1">
      <c r="A17113" t="s">
        <v>17645</v>
      </c>
    </row>
    <row r="17114" spans="1:1">
      <c r="A17114" t="s">
        <v>17646</v>
      </c>
    </row>
    <row r="17115" spans="1:1">
      <c r="A17115" t="s">
        <v>17647</v>
      </c>
    </row>
    <row r="17116" spans="1:1">
      <c r="A17116" t="s">
        <v>17648</v>
      </c>
    </row>
    <row r="17117" spans="1:1">
      <c r="A17117" t="s">
        <v>17649</v>
      </c>
    </row>
    <row r="17118" spans="1:1">
      <c r="A17118" t="s">
        <v>17650</v>
      </c>
    </row>
    <row r="17119" spans="1:1">
      <c r="A17119" t="s">
        <v>17651</v>
      </c>
    </row>
    <row r="17120" spans="1:1">
      <c r="A17120" t="s">
        <v>17652</v>
      </c>
    </row>
    <row r="17121" spans="1:1">
      <c r="A17121" t="s">
        <v>17653</v>
      </c>
    </row>
    <row r="17122" spans="1:1">
      <c r="A17122" t="s">
        <v>17654</v>
      </c>
    </row>
    <row r="17123" spans="1:1">
      <c r="A17123" t="s">
        <v>17655</v>
      </c>
    </row>
    <row r="17124" spans="1:1">
      <c r="A17124" t="s">
        <v>17656</v>
      </c>
    </row>
    <row r="17125" spans="1:1">
      <c r="A17125" t="s">
        <v>17657</v>
      </c>
    </row>
    <row r="17126" spans="1:1">
      <c r="A17126" t="s">
        <v>17658</v>
      </c>
    </row>
    <row r="17127" spans="1:1">
      <c r="A17127" t="s">
        <v>17659</v>
      </c>
    </row>
    <row r="17128" spans="1:1">
      <c r="A17128" t="s">
        <v>17660</v>
      </c>
    </row>
    <row r="17129" spans="1:1">
      <c r="A17129" t="s">
        <v>17661</v>
      </c>
    </row>
    <row r="17130" spans="1:1">
      <c r="A17130" t="s">
        <v>17662</v>
      </c>
    </row>
    <row r="17131" spans="1:1">
      <c r="A17131" t="s">
        <v>17663</v>
      </c>
    </row>
    <row r="17132" spans="1:1">
      <c r="A17132" t="s">
        <v>17664</v>
      </c>
    </row>
    <row r="17133" spans="1:1">
      <c r="A17133" t="s">
        <v>17665</v>
      </c>
    </row>
    <row r="17134" spans="1:1">
      <c r="A17134" t="s">
        <v>17666</v>
      </c>
    </row>
    <row r="17135" spans="1:1">
      <c r="A17135" t="s">
        <v>17667</v>
      </c>
    </row>
    <row r="17136" spans="1:1">
      <c r="A17136" t="s">
        <v>17668</v>
      </c>
    </row>
    <row r="17137" spans="1:1">
      <c r="A17137" t="s">
        <v>17669</v>
      </c>
    </row>
    <row r="17138" spans="1:1">
      <c r="A17138" t="s">
        <v>17670</v>
      </c>
    </row>
    <row r="17139" spans="1:1">
      <c r="A17139" t="s">
        <v>17671</v>
      </c>
    </row>
    <row r="17140" spans="1:1">
      <c r="A17140" t="s">
        <v>17672</v>
      </c>
    </row>
    <row r="17141" spans="1:1">
      <c r="A17141" t="s">
        <v>17673</v>
      </c>
    </row>
    <row r="17142" spans="1:1">
      <c r="A17142" t="s">
        <v>17674</v>
      </c>
    </row>
    <row r="17143" spans="1:1">
      <c r="A17143" t="s">
        <v>17675</v>
      </c>
    </row>
    <row r="17144" spans="1:1">
      <c r="A17144" t="s">
        <v>17676</v>
      </c>
    </row>
    <row r="17145" spans="1:1">
      <c r="A17145" t="s">
        <v>17677</v>
      </c>
    </row>
    <row r="17146" spans="1:1">
      <c r="A17146" t="s">
        <v>17678</v>
      </c>
    </row>
    <row r="17147" spans="1:1">
      <c r="A17147" t="s">
        <v>17679</v>
      </c>
    </row>
    <row r="17148" spans="1:1">
      <c r="A17148" t="s">
        <v>17680</v>
      </c>
    </row>
    <row r="17149" spans="1:1">
      <c r="A17149" t="s">
        <v>17681</v>
      </c>
    </row>
    <row r="17150" spans="1:1">
      <c r="A17150" t="s">
        <v>17682</v>
      </c>
    </row>
    <row r="17151" spans="1:1">
      <c r="A17151" t="s">
        <v>17683</v>
      </c>
    </row>
    <row r="17152" spans="1:1">
      <c r="A17152" t="s">
        <v>17684</v>
      </c>
    </row>
    <row r="17153" spans="1:1">
      <c r="A17153" t="s">
        <v>17685</v>
      </c>
    </row>
    <row r="17154" spans="1:1">
      <c r="A17154" t="s">
        <v>17686</v>
      </c>
    </row>
    <row r="17155" spans="1:1">
      <c r="A17155" t="s">
        <v>17687</v>
      </c>
    </row>
    <row r="17156" spans="1:1">
      <c r="A17156" t="s">
        <v>17688</v>
      </c>
    </row>
    <row r="17157" spans="1:1">
      <c r="A17157" t="s">
        <v>17689</v>
      </c>
    </row>
    <row r="17158" spans="1:1">
      <c r="A17158" t="s">
        <v>17690</v>
      </c>
    </row>
    <row r="17159" spans="1:1">
      <c r="A17159" t="s">
        <v>17691</v>
      </c>
    </row>
    <row r="17160" spans="1:1">
      <c r="A17160" t="s">
        <v>17692</v>
      </c>
    </row>
    <row r="17161" spans="1:1">
      <c r="A17161" t="s">
        <v>17693</v>
      </c>
    </row>
    <row r="17162" spans="1:1">
      <c r="A17162" t="s">
        <v>17694</v>
      </c>
    </row>
    <row r="17163" spans="1:1">
      <c r="A17163" t="s">
        <v>17695</v>
      </c>
    </row>
    <row r="17164" spans="1:1">
      <c r="A17164" t="s">
        <v>17696</v>
      </c>
    </row>
    <row r="17165" spans="1:1">
      <c r="A17165" t="s">
        <v>17697</v>
      </c>
    </row>
    <row r="17166" spans="1:1">
      <c r="A17166" t="s">
        <v>17698</v>
      </c>
    </row>
    <row r="17167" spans="1:1">
      <c r="A17167" t="s">
        <v>17699</v>
      </c>
    </row>
    <row r="17168" spans="1:1">
      <c r="A17168" t="s">
        <v>17700</v>
      </c>
    </row>
    <row r="17169" spans="1:1">
      <c r="A17169" t="s">
        <v>17701</v>
      </c>
    </row>
    <row r="17170" spans="1:1">
      <c r="A17170" t="s">
        <v>17702</v>
      </c>
    </row>
    <row r="17171" spans="1:1">
      <c r="A17171" t="s">
        <v>17703</v>
      </c>
    </row>
    <row r="17172" spans="1:1">
      <c r="A17172" t="s">
        <v>17704</v>
      </c>
    </row>
    <row r="17173" spans="1:1">
      <c r="A17173" t="s">
        <v>17705</v>
      </c>
    </row>
    <row r="17174" spans="1:1">
      <c r="A17174" t="s">
        <v>17706</v>
      </c>
    </row>
    <row r="17175" spans="1:1">
      <c r="A17175" t="s">
        <v>17707</v>
      </c>
    </row>
    <row r="17176" spans="1:1">
      <c r="A17176" t="s">
        <v>17708</v>
      </c>
    </row>
    <row r="17177" spans="1:1">
      <c r="A17177" t="s">
        <v>17709</v>
      </c>
    </row>
    <row r="17178" spans="1:1">
      <c r="A17178" t="s">
        <v>17710</v>
      </c>
    </row>
    <row r="17179" spans="1:1">
      <c r="A17179" t="s">
        <v>17711</v>
      </c>
    </row>
    <row r="17180" spans="1:1">
      <c r="A17180" t="s">
        <v>17712</v>
      </c>
    </row>
    <row r="17181" spans="1:1">
      <c r="A17181" t="s">
        <v>17713</v>
      </c>
    </row>
    <row r="17182" spans="1:1">
      <c r="A17182" t="s">
        <v>17714</v>
      </c>
    </row>
    <row r="17183" spans="1:1">
      <c r="A17183" t="s">
        <v>17715</v>
      </c>
    </row>
    <row r="17184" spans="1:1">
      <c r="A17184" t="s">
        <v>17716</v>
      </c>
    </row>
    <row r="17185" spans="1:1">
      <c r="A17185" t="s">
        <v>17717</v>
      </c>
    </row>
    <row r="17186" spans="1:1">
      <c r="A17186" t="s">
        <v>17718</v>
      </c>
    </row>
    <row r="17187" spans="1:1">
      <c r="A17187" t="s">
        <v>17719</v>
      </c>
    </row>
    <row r="17188" spans="1:1">
      <c r="A17188" t="s">
        <v>17720</v>
      </c>
    </row>
    <row r="17189" spans="1:1">
      <c r="A17189" t="s">
        <v>17721</v>
      </c>
    </row>
    <row r="17190" spans="1:1">
      <c r="A17190" t="s">
        <v>17722</v>
      </c>
    </row>
    <row r="17191" spans="1:1">
      <c r="A17191" t="s">
        <v>17723</v>
      </c>
    </row>
    <row r="17192" spans="1:1">
      <c r="A17192" t="s">
        <v>17724</v>
      </c>
    </row>
    <row r="17193" spans="1:1">
      <c r="A17193" t="s">
        <v>17725</v>
      </c>
    </row>
    <row r="17194" spans="1:1">
      <c r="A17194" t="s">
        <v>17726</v>
      </c>
    </row>
    <row r="17195" spans="1:1">
      <c r="A17195" t="s">
        <v>17727</v>
      </c>
    </row>
    <row r="17196" spans="1:1">
      <c r="A17196" t="s">
        <v>17728</v>
      </c>
    </row>
    <row r="17197" spans="1:1">
      <c r="A17197" t="s">
        <v>17729</v>
      </c>
    </row>
    <row r="17198" spans="1:1">
      <c r="A17198" t="s">
        <v>17730</v>
      </c>
    </row>
    <row r="17199" spans="1:1">
      <c r="A17199" t="s">
        <v>17731</v>
      </c>
    </row>
    <row r="17200" spans="1:1">
      <c r="A17200" t="s">
        <v>17732</v>
      </c>
    </row>
    <row r="17201" spans="1:1">
      <c r="A17201" t="s">
        <v>17733</v>
      </c>
    </row>
    <row r="17202" spans="1:1">
      <c r="A17202" t="s">
        <v>17734</v>
      </c>
    </row>
    <row r="17203" spans="1:1">
      <c r="A17203" t="s">
        <v>17735</v>
      </c>
    </row>
    <row r="17204" spans="1:1">
      <c r="A17204" t="s">
        <v>17736</v>
      </c>
    </row>
    <row r="17205" spans="1:1">
      <c r="A17205" t="s">
        <v>17737</v>
      </c>
    </row>
    <row r="17206" spans="1:1">
      <c r="A17206" t="s">
        <v>17738</v>
      </c>
    </row>
    <row r="17207" spans="1:1">
      <c r="A17207" t="s">
        <v>17739</v>
      </c>
    </row>
    <row r="17208" spans="1:1">
      <c r="A17208" t="s">
        <v>17740</v>
      </c>
    </row>
    <row r="17209" spans="1:1">
      <c r="A17209" t="s">
        <v>17741</v>
      </c>
    </row>
    <row r="17210" spans="1:1">
      <c r="A17210" t="s">
        <v>17742</v>
      </c>
    </row>
    <row r="17211" spans="1:1">
      <c r="A17211" t="s">
        <v>17743</v>
      </c>
    </row>
    <row r="17212" spans="1:1">
      <c r="A17212" t="s">
        <v>17744</v>
      </c>
    </row>
    <row r="17213" spans="1:1">
      <c r="A17213" t="s">
        <v>17745</v>
      </c>
    </row>
    <row r="17214" spans="1:1">
      <c r="A17214" t="s">
        <v>17746</v>
      </c>
    </row>
    <row r="17215" spans="1:1">
      <c r="A17215" t="s">
        <v>17747</v>
      </c>
    </row>
    <row r="17216" spans="1:1">
      <c r="A17216" t="s">
        <v>17748</v>
      </c>
    </row>
    <row r="17217" spans="1:1">
      <c r="A17217" t="s">
        <v>17749</v>
      </c>
    </row>
    <row r="17218" spans="1:1">
      <c r="A17218" t="s">
        <v>17750</v>
      </c>
    </row>
    <row r="17219" spans="1:1">
      <c r="A17219" t="s">
        <v>17751</v>
      </c>
    </row>
    <row r="17220" spans="1:1">
      <c r="A17220" t="s">
        <v>17752</v>
      </c>
    </row>
    <row r="17221" spans="1:1">
      <c r="A17221" t="s">
        <v>17753</v>
      </c>
    </row>
    <row r="17222" spans="1:1">
      <c r="A17222" t="s">
        <v>17754</v>
      </c>
    </row>
    <row r="17223" spans="1:1">
      <c r="A17223" t="s">
        <v>17755</v>
      </c>
    </row>
    <row r="17224" spans="1:1">
      <c r="A17224" t="s">
        <v>17756</v>
      </c>
    </row>
    <row r="17225" spans="1:1">
      <c r="A17225" t="s">
        <v>17757</v>
      </c>
    </row>
    <row r="17226" spans="1:1">
      <c r="A17226" t="s">
        <v>17758</v>
      </c>
    </row>
    <row r="17227" spans="1:1">
      <c r="A17227" t="s">
        <v>17759</v>
      </c>
    </row>
    <row r="17228" spans="1:1">
      <c r="A17228" t="s">
        <v>17760</v>
      </c>
    </row>
    <row r="17229" spans="1:1">
      <c r="A17229" t="s">
        <v>17761</v>
      </c>
    </row>
    <row r="17230" spans="1:1">
      <c r="A17230" t="s">
        <v>17762</v>
      </c>
    </row>
    <row r="17231" spans="1:1">
      <c r="A17231" t="s">
        <v>17763</v>
      </c>
    </row>
    <row r="17232" spans="1:1">
      <c r="A17232" t="s">
        <v>17764</v>
      </c>
    </row>
    <row r="17233" spans="1:1">
      <c r="A17233" t="s">
        <v>17765</v>
      </c>
    </row>
    <row r="17234" spans="1:1">
      <c r="A17234" t="s">
        <v>17766</v>
      </c>
    </row>
    <row r="17235" spans="1:1">
      <c r="A17235" t="s">
        <v>17767</v>
      </c>
    </row>
    <row r="17236" spans="1:1">
      <c r="A17236" t="s">
        <v>17768</v>
      </c>
    </row>
    <row r="17237" spans="1:1">
      <c r="A17237" t="s">
        <v>17769</v>
      </c>
    </row>
    <row r="17238" spans="1:1">
      <c r="A17238" t="s">
        <v>17770</v>
      </c>
    </row>
    <row r="17239" spans="1:1">
      <c r="A17239" t="s">
        <v>17771</v>
      </c>
    </row>
    <row r="17240" spans="1:1">
      <c r="A17240" t="s">
        <v>17772</v>
      </c>
    </row>
    <row r="17241" spans="1:1">
      <c r="A17241" t="s">
        <v>17773</v>
      </c>
    </row>
    <row r="17242" spans="1:1">
      <c r="A17242" t="s">
        <v>17774</v>
      </c>
    </row>
    <row r="17243" spans="1:1">
      <c r="A17243" t="s">
        <v>17775</v>
      </c>
    </row>
    <row r="17244" spans="1:1">
      <c r="A17244" t="s">
        <v>17776</v>
      </c>
    </row>
    <row r="17245" spans="1:1">
      <c r="A17245" t="s">
        <v>17777</v>
      </c>
    </row>
    <row r="17246" spans="1:1">
      <c r="A17246" t="s">
        <v>17778</v>
      </c>
    </row>
    <row r="17247" spans="1:1">
      <c r="A17247" t="s">
        <v>17779</v>
      </c>
    </row>
    <row r="17248" spans="1:1">
      <c r="A17248" t="s">
        <v>17780</v>
      </c>
    </row>
    <row r="17249" spans="1:1">
      <c r="A17249" t="s">
        <v>17781</v>
      </c>
    </row>
    <row r="17250" spans="1:1">
      <c r="A17250" t="s">
        <v>17782</v>
      </c>
    </row>
    <row r="17251" spans="1:1">
      <c r="A17251" t="s">
        <v>17783</v>
      </c>
    </row>
    <row r="17252" spans="1:1">
      <c r="A17252" t="s">
        <v>17784</v>
      </c>
    </row>
    <row r="17253" spans="1:1">
      <c r="A17253" t="s">
        <v>17785</v>
      </c>
    </row>
    <row r="17254" spans="1:1">
      <c r="A17254" t="s">
        <v>17786</v>
      </c>
    </row>
    <row r="17255" spans="1:1">
      <c r="A17255" t="s">
        <v>17787</v>
      </c>
    </row>
    <row r="17256" spans="1:1">
      <c r="A17256" t="s">
        <v>17788</v>
      </c>
    </row>
    <row r="17257" spans="1:1">
      <c r="A17257" t="s">
        <v>17789</v>
      </c>
    </row>
    <row r="17258" spans="1:1">
      <c r="A17258" t="s">
        <v>17790</v>
      </c>
    </row>
    <row r="17259" spans="1:1">
      <c r="A17259" t="s">
        <v>17791</v>
      </c>
    </row>
    <row r="17260" spans="1:1">
      <c r="A17260" t="s">
        <v>17792</v>
      </c>
    </row>
    <row r="17261" spans="1:1">
      <c r="A17261" t="s">
        <v>17793</v>
      </c>
    </row>
    <row r="17262" spans="1:1">
      <c r="A17262" t="s">
        <v>17794</v>
      </c>
    </row>
    <row r="17263" spans="1:1">
      <c r="A17263" t="s">
        <v>17795</v>
      </c>
    </row>
    <row r="17264" spans="1:1">
      <c r="A17264" t="s">
        <v>17796</v>
      </c>
    </row>
    <row r="17265" spans="1:1">
      <c r="A17265" t="s">
        <v>17797</v>
      </c>
    </row>
    <row r="17266" spans="1:1">
      <c r="A17266" t="s">
        <v>17798</v>
      </c>
    </row>
    <row r="17267" spans="1:1">
      <c r="A17267" t="s">
        <v>17799</v>
      </c>
    </row>
    <row r="17268" spans="1:1">
      <c r="A17268" t="s">
        <v>17800</v>
      </c>
    </row>
    <row r="17269" spans="1:1">
      <c r="A17269" t="s">
        <v>17801</v>
      </c>
    </row>
    <row r="17270" spans="1:1">
      <c r="A17270" t="s">
        <v>17802</v>
      </c>
    </row>
    <row r="17271" spans="1:1">
      <c r="A17271" t="s">
        <v>17803</v>
      </c>
    </row>
    <row r="17272" spans="1:1">
      <c r="A17272" t="s">
        <v>17804</v>
      </c>
    </row>
    <row r="17273" spans="1:1">
      <c r="A17273" t="s">
        <v>17805</v>
      </c>
    </row>
    <row r="17274" spans="1:1">
      <c r="A17274" t="s">
        <v>17806</v>
      </c>
    </row>
    <row r="17275" spans="1:1">
      <c r="A17275" t="s">
        <v>17807</v>
      </c>
    </row>
    <row r="17276" spans="1:1">
      <c r="A17276" t="s">
        <v>17808</v>
      </c>
    </row>
    <row r="17277" spans="1:1">
      <c r="A17277" t="s">
        <v>17809</v>
      </c>
    </row>
    <row r="17278" spans="1:1">
      <c r="A17278" t="s">
        <v>17810</v>
      </c>
    </row>
    <row r="17279" spans="1:1">
      <c r="A17279" t="s">
        <v>17811</v>
      </c>
    </row>
    <row r="17280" spans="1:1">
      <c r="A17280" t="s">
        <v>17812</v>
      </c>
    </row>
    <row r="17281" spans="1:1">
      <c r="A17281" t="s">
        <v>17813</v>
      </c>
    </row>
    <row r="17282" spans="1:1">
      <c r="A17282" t="s">
        <v>17814</v>
      </c>
    </row>
    <row r="17283" spans="1:1">
      <c r="A17283" t="s">
        <v>17815</v>
      </c>
    </row>
    <row r="17284" spans="1:1">
      <c r="A17284" t="s">
        <v>17816</v>
      </c>
    </row>
    <row r="17285" spans="1:1">
      <c r="A17285" t="s">
        <v>17817</v>
      </c>
    </row>
    <row r="17286" spans="1:1">
      <c r="A17286" t="s">
        <v>17818</v>
      </c>
    </row>
    <row r="17287" spans="1:1">
      <c r="A17287" t="s">
        <v>17819</v>
      </c>
    </row>
    <row r="17288" spans="1:1">
      <c r="A17288" t="s">
        <v>17820</v>
      </c>
    </row>
    <row r="17289" spans="1:1">
      <c r="A17289" t="s">
        <v>17821</v>
      </c>
    </row>
    <row r="17290" spans="1:1">
      <c r="A17290" t="s">
        <v>17822</v>
      </c>
    </row>
    <row r="17291" spans="1:1">
      <c r="A17291" t="s">
        <v>17823</v>
      </c>
    </row>
    <row r="17292" spans="1:1">
      <c r="A17292" t="s">
        <v>17824</v>
      </c>
    </row>
    <row r="17293" spans="1:1">
      <c r="A17293" t="s">
        <v>17825</v>
      </c>
    </row>
    <row r="17294" spans="1:1">
      <c r="A17294" t="s">
        <v>17826</v>
      </c>
    </row>
    <row r="17295" spans="1:1">
      <c r="A17295" t="s">
        <v>17827</v>
      </c>
    </row>
    <row r="17296" spans="1:1">
      <c r="A17296" t="s">
        <v>17828</v>
      </c>
    </row>
    <row r="17297" spans="1:1">
      <c r="A17297" t="s">
        <v>17829</v>
      </c>
    </row>
    <row r="17298" spans="1:1">
      <c r="A17298" t="s">
        <v>17830</v>
      </c>
    </row>
    <row r="17299" spans="1:1">
      <c r="A17299" t="s">
        <v>17831</v>
      </c>
    </row>
    <row r="17300" spans="1:1">
      <c r="A17300" t="s">
        <v>17832</v>
      </c>
    </row>
    <row r="17301" spans="1:1">
      <c r="A17301" t="s">
        <v>17833</v>
      </c>
    </row>
    <row r="17302" spans="1:1">
      <c r="A17302" t="s">
        <v>17834</v>
      </c>
    </row>
    <row r="17303" spans="1:1">
      <c r="A17303" t="s">
        <v>17835</v>
      </c>
    </row>
    <row r="17304" spans="1:1">
      <c r="A17304" t="s">
        <v>17836</v>
      </c>
    </row>
    <row r="17305" spans="1:1">
      <c r="A17305" t="s">
        <v>17837</v>
      </c>
    </row>
    <row r="17306" spans="1:1">
      <c r="A17306" t="s">
        <v>17838</v>
      </c>
    </row>
    <row r="17307" spans="1:1">
      <c r="A17307" t="s">
        <v>17839</v>
      </c>
    </row>
    <row r="17308" spans="1:1">
      <c r="A17308" t="s">
        <v>17840</v>
      </c>
    </row>
    <row r="17309" spans="1:1">
      <c r="A17309" t="s">
        <v>17841</v>
      </c>
    </row>
    <row r="17310" spans="1:1">
      <c r="A17310" t="s">
        <v>17842</v>
      </c>
    </row>
    <row r="17311" spans="1:1">
      <c r="A17311" t="s">
        <v>17843</v>
      </c>
    </row>
    <row r="17312" spans="1:1">
      <c r="A17312" t="s">
        <v>17844</v>
      </c>
    </row>
    <row r="17313" spans="1:1">
      <c r="A17313" t="s">
        <v>17845</v>
      </c>
    </row>
    <row r="17314" spans="1:1">
      <c r="A17314" t="s">
        <v>17846</v>
      </c>
    </row>
    <row r="17315" spans="1:1">
      <c r="A17315" t="s">
        <v>17847</v>
      </c>
    </row>
    <row r="17316" spans="1:1">
      <c r="A17316" t="s">
        <v>17848</v>
      </c>
    </row>
    <row r="17317" spans="1:1">
      <c r="A17317" t="s">
        <v>17849</v>
      </c>
    </row>
    <row r="17318" spans="1:1">
      <c r="A17318" t="s">
        <v>17850</v>
      </c>
    </row>
    <row r="17319" spans="1:1">
      <c r="A17319" t="s">
        <v>17851</v>
      </c>
    </row>
    <row r="17320" spans="1:1">
      <c r="A17320" t="s">
        <v>17852</v>
      </c>
    </row>
    <row r="17321" spans="1:1">
      <c r="A17321" t="s">
        <v>17853</v>
      </c>
    </row>
    <row r="17322" spans="1:1">
      <c r="A17322" t="s">
        <v>17854</v>
      </c>
    </row>
    <row r="17323" spans="1:1">
      <c r="A17323" t="s">
        <v>17855</v>
      </c>
    </row>
    <row r="17324" spans="1:1">
      <c r="A17324" t="s">
        <v>17856</v>
      </c>
    </row>
    <row r="17325" spans="1:1">
      <c r="A17325" t="s">
        <v>17857</v>
      </c>
    </row>
    <row r="17326" spans="1:1">
      <c r="A17326" t="s">
        <v>17858</v>
      </c>
    </row>
    <row r="17327" spans="1:1">
      <c r="A17327" t="s">
        <v>17859</v>
      </c>
    </row>
    <row r="17328" spans="1:1">
      <c r="A17328" t="s">
        <v>17860</v>
      </c>
    </row>
    <row r="17329" spans="1:1">
      <c r="A17329" t="s">
        <v>17861</v>
      </c>
    </row>
    <row r="17330" spans="1:1">
      <c r="A17330" t="s">
        <v>17862</v>
      </c>
    </row>
    <row r="17331" spans="1:1">
      <c r="A17331" t="s">
        <v>17863</v>
      </c>
    </row>
    <row r="17332" spans="1:1">
      <c r="A17332" t="s">
        <v>17864</v>
      </c>
    </row>
    <row r="17333" spans="1:1">
      <c r="A17333" t="s">
        <v>17865</v>
      </c>
    </row>
    <row r="17334" spans="1:1">
      <c r="A17334" t="s">
        <v>17866</v>
      </c>
    </row>
    <row r="17335" spans="1:1">
      <c r="A17335" t="s">
        <v>17867</v>
      </c>
    </row>
    <row r="17336" spans="1:1">
      <c r="A17336" t="s">
        <v>17868</v>
      </c>
    </row>
    <row r="17337" spans="1:1">
      <c r="A17337" t="s">
        <v>17869</v>
      </c>
    </row>
    <row r="17338" spans="1:1">
      <c r="A17338" t="s">
        <v>17870</v>
      </c>
    </row>
    <row r="17339" spans="1:1">
      <c r="A17339" t="s">
        <v>17871</v>
      </c>
    </row>
    <row r="17340" spans="1:1">
      <c r="A17340" t="s">
        <v>17872</v>
      </c>
    </row>
    <row r="17341" spans="1:1">
      <c r="A17341" t="s">
        <v>17873</v>
      </c>
    </row>
    <row r="17342" spans="1:1">
      <c r="A17342" t="s">
        <v>17874</v>
      </c>
    </row>
    <row r="17343" spans="1:1">
      <c r="A17343" t="s">
        <v>17875</v>
      </c>
    </row>
    <row r="17344" spans="1:1">
      <c r="A17344" t="s">
        <v>17876</v>
      </c>
    </row>
    <row r="17345" spans="1:1">
      <c r="A17345" t="s">
        <v>17877</v>
      </c>
    </row>
    <row r="17346" spans="1:1">
      <c r="A17346" t="s">
        <v>17878</v>
      </c>
    </row>
    <row r="17347" spans="1:1">
      <c r="A17347" t="s">
        <v>17879</v>
      </c>
    </row>
    <row r="17348" spans="1:1">
      <c r="A17348" t="s">
        <v>17880</v>
      </c>
    </row>
    <row r="17349" spans="1:1">
      <c r="A17349" t="s">
        <v>17881</v>
      </c>
    </row>
    <row r="17350" spans="1:1">
      <c r="A17350" t="s">
        <v>17882</v>
      </c>
    </row>
    <row r="17351" spans="1:1">
      <c r="A17351" t="s">
        <v>17883</v>
      </c>
    </row>
    <row r="17352" spans="1:1">
      <c r="A17352" t="s">
        <v>17884</v>
      </c>
    </row>
    <row r="17353" spans="1:1">
      <c r="A17353" t="s">
        <v>17885</v>
      </c>
    </row>
    <row r="17354" spans="1:1">
      <c r="A17354" t="s">
        <v>17886</v>
      </c>
    </row>
    <row r="17355" spans="1:1">
      <c r="A17355" t="s">
        <v>17887</v>
      </c>
    </row>
    <row r="17356" spans="1:1">
      <c r="A17356" t="s">
        <v>17888</v>
      </c>
    </row>
    <row r="17357" spans="1:1">
      <c r="A17357" t="s">
        <v>17889</v>
      </c>
    </row>
    <row r="17358" spans="1:1">
      <c r="A17358" t="s">
        <v>17890</v>
      </c>
    </row>
    <row r="17359" spans="1:1">
      <c r="A17359" t="s">
        <v>17891</v>
      </c>
    </row>
    <row r="17360" spans="1:1">
      <c r="A17360" t="s">
        <v>17892</v>
      </c>
    </row>
    <row r="17361" spans="1:1">
      <c r="A17361" t="s">
        <v>17893</v>
      </c>
    </row>
    <row r="17362" spans="1:1">
      <c r="A17362" t="s">
        <v>17894</v>
      </c>
    </row>
    <row r="17363" spans="1:1">
      <c r="A17363" t="s">
        <v>17895</v>
      </c>
    </row>
    <row r="17364" spans="1:1">
      <c r="A17364" t="s">
        <v>17896</v>
      </c>
    </row>
    <row r="17365" spans="1:1">
      <c r="A17365" t="s">
        <v>17897</v>
      </c>
    </row>
    <row r="17366" spans="1:1">
      <c r="A17366" t="s">
        <v>17898</v>
      </c>
    </row>
    <row r="17367" spans="1:1">
      <c r="A17367" t="s">
        <v>17899</v>
      </c>
    </row>
    <row r="17368" spans="1:1">
      <c r="A17368" t="s">
        <v>17900</v>
      </c>
    </row>
    <row r="17369" spans="1:1">
      <c r="A17369" t="s">
        <v>17901</v>
      </c>
    </row>
    <row r="17370" spans="1:1">
      <c r="A17370" t="s">
        <v>17902</v>
      </c>
    </row>
    <row r="17371" spans="1:1">
      <c r="A17371" t="s">
        <v>17903</v>
      </c>
    </row>
    <row r="17372" spans="1:1">
      <c r="A17372" t="s">
        <v>17904</v>
      </c>
    </row>
    <row r="17373" spans="1:1">
      <c r="A17373" t="s">
        <v>17905</v>
      </c>
    </row>
    <row r="17374" spans="1:1">
      <c r="A17374" t="s">
        <v>17906</v>
      </c>
    </row>
    <row r="17375" spans="1:1">
      <c r="A17375" t="s">
        <v>17907</v>
      </c>
    </row>
    <row r="17376" spans="1:1">
      <c r="A17376" t="s">
        <v>17908</v>
      </c>
    </row>
    <row r="17377" spans="1:1">
      <c r="A17377" t="s">
        <v>17909</v>
      </c>
    </row>
    <row r="17378" spans="1:1">
      <c r="A17378" t="s">
        <v>17910</v>
      </c>
    </row>
    <row r="17379" spans="1:1">
      <c r="A17379" t="s">
        <v>17911</v>
      </c>
    </row>
    <row r="17380" spans="1:1">
      <c r="A17380" t="s">
        <v>17912</v>
      </c>
    </row>
    <row r="17381" spans="1:1">
      <c r="A17381" t="s">
        <v>17913</v>
      </c>
    </row>
    <row r="17382" spans="1:1">
      <c r="A17382" t="s">
        <v>17914</v>
      </c>
    </row>
    <row r="17383" spans="1:1">
      <c r="A17383" t="s">
        <v>17915</v>
      </c>
    </row>
    <row r="17384" spans="1:1">
      <c r="A17384" t="s">
        <v>17916</v>
      </c>
    </row>
    <row r="17385" spans="1:1">
      <c r="A17385" t="s">
        <v>17917</v>
      </c>
    </row>
    <row r="17386" spans="1:1">
      <c r="A17386" t="s">
        <v>17918</v>
      </c>
    </row>
    <row r="17387" spans="1:1">
      <c r="A17387" t="s">
        <v>17919</v>
      </c>
    </row>
    <row r="17388" spans="1:1">
      <c r="A17388" t="s">
        <v>17920</v>
      </c>
    </row>
    <row r="17389" spans="1:1">
      <c r="A17389" t="s">
        <v>17921</v>
      </c>
    </row>
    <row r="17390" spans="1:1">
      <c r="A17390" t="s">
        <v>17922</v>
      </c>
    </row>
    <row r="17391" spans="1:1">
      <c r="A17391" t="s">
        <v>17923</v>
      </c>
    </row>
    <row r="17392" spans="1:1">
      <c r="A17392" t="s">
        <v>17924</v>
      </c>
    </row>
    <row r="17393" spans="1:1">
      <c r="A17393" t="s">
        <v>17925</v>
      </c>
    </row>
    <row r="17394" spans="1:1">
      <c r="A17394" t="s">
        <v>17926</v>
      </c>
    </row>
    <row r="17395" spans="1:1">
      <c r="A17395" t="s">
        <v>17927</v>
      </c>
    </row>
    <row r="17396" spans="1:1">
      <c r="A17396" t="s">
        <v>17928</v>
      </c>
    </row>
    <row r="17397" spans="1:1">
      <c r="A17397" t="s">
        <v>17929</v>
      </c>
    </row>
    <row r="17398" spans="1:1">
      <c r="A17398" t="s">
        <v>17930</v>
      </c>
    </row>
    <row r="17399" spans="1:1">
      <c r="A17399" t="s">
        <v>17931</v>
      </c>
    </row>
    <row r="17400" spans="1:1">
      <c r="A17400" t="s">
        <v>17932</v>
      </c>
    </row>
    <row r="17401" spans="1:1">
      <c r="A17401" t="s">
        <v>17933</v>
      </c>
    </row>
    <row r="17402" spans="1:1">
      <c r="A17402" t="s">
        <v>17934</v>
      </c>
    </row>
    <row r="17403" spans="1:1">
      <c r="A17403" t="s">
        <v>17935</v>
      </c>
    </row>
    <row r="17404" spans="1:1">
      <c r="A17404" t="s">
        <v>17936</v>
      </c>
    </row>
    <row r="17405" spans="1:1">
      <c r="A17405" t="s">
        <v>17937</v>
      </c>
    </row>
    <row r="17406" spans="1:1">
      <c r="A17406" t="s">
        <v>17938</v>
      </c>
    </row>
    <row r="17407" spans="1:1">
      <c r="A17407" t="s">
        <v>17939</v>
      </c>
    </row>
    <row r="17408" spans="1:1">
      <c r="A17408" t="s">
        <v>17940</v>
      </c>
    </row>
    <row r="17409" spans="1:1">
      <c r="A17409" t="s">
        <v>17941</v>
      </c>
    </row>
    <row r="17410" spans="1:1">
      <c r="A17410" t="s">
        <v>17942</v>
      </c>
    </row>
    <row r="17411" spans="1:1">
      <c r="A17411" t="s">
        <v>17943</v>
      </c>
    </row>
    <row r="17412" spans="1:1">
      <c r="A17412" t="s">
        <v>17944</v>
      </c>
    </row>
    <row r="17413" spans="1:1">
      <c r="A17413" t="s">
        <v>17945</v>
      </c>
    </row>
    <row r="17414" spans="1:1">
      <c r="A17414" t="s">
        <v>17946</v>
      </c>
    </row>
    <row r="17415" spans="1:1">
      <c r="A17415" t="s">
        <v>17947</v>
      </c>
    </row>
    <row r="17416" spans="1:1">
      <c r="A17416" t="s">
        <v>17948</v>
      </c>
    </row>
    <row r="17417" spans="1:1">
      <c r="A17417" t="s">
        <v>17949</v>
      </c>
    </row>
    <row r="17418" spans="1:1">
      <c r="A17418" t="s">
        <v>17950</v>
      </c>
    </row>
    <row r="17419" spans="1:1">
      <c r="A17419" t="s">
        <v>17951</v>
      </c>
    </row>
    <row r="17420" spans="1:1">
      <c r="A17420" t="s">
        <v>17952</v>
      </c>
    </row>
    <row r="17421" spans="1:1">
      <c r="A17421" t="s">
        <v>17953</v>
      </c>
    </row>
    <row r="17422" spans="1:1">
      <c r="A17422" t="s">
        <v>17954</v>
      </c>
    </row>
    <row r="17423" spans="1:1">
      <c r="A17423" t="s">
        <v>17955</v>
      </c>
    </row>
    <row r="17424" spans="1:1">
      <c r="A17424" t="s">
        <v>17956</v>
      </c>
    </row>
    <row r="17425" spans="1:1">
      <c r="A17425" t="s">
        <v>17957</v>
      </c>
    </row>
    <row r="17426" spans="1:1">
      <c r="A17426" t="s">
        <v>17958</v>
      </c>
    </row>
    <row r="17427" spans="1:1">
      <c r="A17427" t="s">
        <v>17959</v>
      </c>
    </row>
    <row r="17428" spans="1:1">
      <c r="A17428" t="s">
        <v>17960</v>
      </c>
    </row>
    <row r="17429" spans="1:1">
      <c r="A17429" t="s">
        <v>17961</v>
      </c>
    </row>
    <row r="17430" spans="1:1">
      <c r="A17430" t="s">
        <v>17962</v>
      </c>
    </row>
    <row r="17431" spans="1:1">
      <c r="A17431" t="s">
        <v>17963</v>
      </c>
    </row>
    <row r="17432" spans="1:1">
      <c r="A17432" t="s">
        <v>17964</v>
      </c>
    </row>
    <row r="17433" spans="1:1">
      <c r="A17433" t="s">
        <v>17965</v>
      </c>
    </row>
    <row r="17434" spans="1:1">
      <c r="A17434" t="s">
        <v>17966</v>
      </c>
    </row>
    <row r="17435" spans="1:1">
      <c r="A17435" t="s">
        <v>17967</v>
      </c>
    </row>
    <row r="17436" spans="1:1">
      <c r="A17436" t="s">
        <v>17968</v>
      </c>
    </row>
    <row r="17437" spans="1:1">
      <c r="A17437" t="s">
        <v>17969</v>
      </c>
    </row>
    <row r="17438" spans="1:1">
      <c r="A17438" t="s">
        <v>17970</v>
      </c>
    </row>
    <row r="17439" spans="1:1">
      <c r="A17439" t="s">
        <v>17971</v>
      </c>
    </row>
    <row r="17440" spans="1:1">
      <c r="A17440" t="s">
        <v>17972</v>
      </c>
    </row>
    <row r="17441" spans="1:1">
      <c r="A17441" t="s">
        <v>17973</v>
      </c>
    </row>
    <row r="17442" spans="1:1">
      <c r="A17442" t="s">
        <v>17974</v>
      </c>
    </row>
    <row r="17443" spans="1:1">
      <c r="A17443" t="s">
        <v>17975</v>
      </c>
    </row>
    <row r="17444" spans="1:1">
      <c r="A17444" t="s">
        <v>17976</v>
      </c>
    </row>
    <row r="17445" spans="1:1">
      <c r="A17445" t="s">
        <v>17977</v>
      </c>
    </row>
    <row r="17446" spans="1:1">
      <c r="A17446" t="s">
        <v>17978</v>
      </c>
    </row>
    <row r="17447" spans="1:1">
      <c r="A17447" t="s">
        <v>17979</v>
      </c>
    </row>
    <row r="17448" spans="1:1">
      <c r="A17448" t="s">
        <v>17980</v>
      </c>
    </row>
    <row r="17449" spans="1:1">
      <c r="A17449" t="s">
        <v>17981</v>
      </c>
    </row>
    <row r="17450" spans="1:1">
      <c r="A17450" t="s">
        <v>17982</v>
      </c>
    </row>
    <row r="17451" spans="1:1">
      <c r="A17451" t="s">
        <v>17983</v>
      </c>
    </row>
    <row r="17452" spans="1:1">
      <c r="A17452" t="s">
        <v>17984</v>
      </c>
    </row>
    <row r="17453" spans="1:1">
      <c r="A17453" t="s">
        <v>17985</v>
      </c>
    </row>
    <row r="17454" spans="1:1">
      <c r="A17454" t="s">
        <v>17986</v>
      </c>
    </row>
    <row r="17455" spans="1:1">
      <c r="A17455" t="s">
        <v>17987</v>
      </c>
    </row>
    <row r="17456" spans="1:1">
      <c r="A17456" t="s">
        <v>17988</v>
      </c>
    </row>
    <row r="17457" spans="1:1">
      <c r="A17457" t="s">
        <v>17989</v>
      </c>
    </row>
    <row r="17458" spans="1:1">
      <c r="A17458" t="s">
        <v>17990</v>
      </c>
    </row>
    <row r="17459" spans="1:1">
      <c r="A17459" t="s">
        <v>17991</v>
      </c>
    </row>
    <row r="17460" spans="1:1">
      <c r="A17460" t="s">
        <v>17992</v>
      </c>
    </row>
    <row r="17461" spans="1:1">
      <c r="A17461" t="s">
        <v>17993</v>
      </c>
    </row>
    <row r="17462" spans="1:1">
      <c r="A17462" t="s">
        <v>17994</v>
      </c>
    </row>
    <row r="17463" spans="1:1">
      <c r="A17463" t="s">
        <v>17995</v>
      </c>
    </row>
    <row r="17464" spans="1:1">
      <c r="A17464" t="s">
        <v>17996</v>
      </c>
    </row>
    <row r="17465" spans="1:1">
      <c r="A17465" t="s">
        <v>17997</v>
      </c>
    </row>
    <row r="17466" spans="1:1">
      <c r="A17466" t="s">
        <v>17998</v>
      </c>
    </row>
    <row r="17467" spans="1:1">
      <c r="A17467" t="s">
        <v>17999</v>
      </c>
    </row>
    <row r="17468" spans="1:1">
      <c r="A17468" t="s">
        <v>18000</v>
      </c>
    </row>
    <row r="17469" spans="1:1">
      <c r="A17469" t="s">
        <v>18001</v>
      </c>
    </row>
    <row r="17470" spans="1:1">
      <c r="A17470" t="s">
        <v>18002</v>
      </c>
    </row>
    <row r="17471" spans="1:1">
      <c r="A17471" t="s">
        <v>18003</v>
      </c>
    </row>
    <row r="17472" spans="1:1">
      <c r="A17472" t="s">
        <v>18004</v>
      </c>
    </row>
    <row r="17473" spans="1:1">
      <c r="A17473" t="s">
        <v>18005</v>
      </c>
    </row>
    <row r="17474" spans="1:1">
      <c r="A17474" t="s">
        <v>18006</v>
      </c>
    </row>
    <row r="17475" spans="1:1">
      <c r="A17475" t="s">
        <v>18007</v>
      </c>
    </row>
    <row r="17476" spans="1:1">
      <c r="A17476" t="s">
        <v>18008</v>
      </c>
    </row>
    <row r="17477" spans="1:1">
      <c r="A17477" t="s">
        <v>18009</v>
      </c>
    </row>
    <row r="17478" spans="1:1">
      <c r="A17478" t="s">
        <v>18010</v>
      </c>
    </row>
    <row r="17479" spans="1:1">
      <c r="A17479" t="s">
        <v>18011</v>
      </c>
    </row>
    <row r="17480" spans="1:1">
      <c r="A17480" t="s">
        <v>18012</v>
      </c>
    </row>
    <row r="17481" spans="1:1">
      <c r="A17481" t="s">
        <v>18013</v>
      </c>
    </row>
    <row r="17482" spans="1:1">
      <c r="A17482" t="s">
        <v>18014</v>
      </c>
    </row>
    <row r="17483" spans="1:1">
      <c r="A17483" t="s">
        <v>18015</v>
      </c>
    </row>
    <row r="17484" spans="1:1">
      <c r="A17484" t="s">
        <v>18016</v>
      </c>
    </row>
    <row r="17485" spans="1:1">
      <c r="A17485" t="s">
        <v>18017</v>
      </c>
    </row>
    <row r="17486" spans="1:1">
      <c r="A17486" t="s">
        <v>18018</v>
      </c>
    </row>
    <row r="17487" spans="1:1">
      <c r="A17487" t="s">
        <v>18019</v>
      </c>
    </row>
    <row r="17488" spans="1:1">
      <c r="A17488" t="s">
        <v>18020</v>
      </c>
    </row>
    <row r="17489" spans="1:1">
      <c r="A17489" t="s">
        <v>18021</v>
      </c>
    </row>
    <row r="17490" spans="1:1">
      <c r="A17490" t="s">
        <v>18022</v>
      </c>
    </row>
    <row r="17491" spans="1:1">
      <c r="A17491" t="s">
        <v>18023</v>
      </c>
    </row>
    <row r="17492" spans="1:1">
      <c r="A17492" t="s">
        <v>18024</v>
      </c>
    </row>
    <row r="17493" spans="1:1">
      <c r="A17493" t="s">
        <v>18025</v>
      </c>
    </row>
    <row r="17494" spans="1:1">
      <c r="A17494" t="s">
        <v>18026</v>
      </c>
    </row>
    <row r="17495" spans="1:1">
      <c r="A17495" t="s">
        <v>18027</v>
      </c>
    </row>
    <row r="17496" spans="1:1">
      <c r="A17496" t="s">
        <v>18028</v>
      </c>
    </row>
    <row r="17497" spans="1:1">
      <c r="A17497" t="s">
        <v>18029</v>
      </c>
    </row>
    <row r="17498" spans="1:1">
      <c r="A17498" t="s">
        <v>18030</v>
      </c>
    </row>
    <row r="17499" spans="1:1">
      <c r="A17499" t="s">
        <v>18031</v>
      </c>
    </row>
    <row r="17500" spans="1:1">
      <c r="A17500" t="s">
        <v>18032</v>
      </c>
    </row>
    <row r="17501" spans="1:1">
      <c r="A17501" t="s">
        <v>18033</v>
      </c>
    </row>
    <row r="17502" spans="1:1">
      <c r="A17502" t="s">
        <v>18034</v>
      </c>
    </row>
    <row r="17503" spans="1:1">
      <c r="A17503" t="s">
        <v>18035</v>
      </c>
    </row>
    <row r="17504" spans="1:1">
      <c r="A17504" t="s">
        <v>18036</v>
      </c>
    </row>
    <row r="17505" spans="1:1">
      <c r="A17505" t="s">
        <v>18037</v>
      </c>
    </row>
    <row r="17506" spans="1:1">
      <c r="A17506" t="s">
        <v>18038</v>
      </c>
    </row>
    <row r="17507" spans="1:1">
      <c r="A17507" t="s">
        <v>18039</v>
      </c>
    </row>
    <row r="17508" spans="1:1">
      <c r="A17508" t="s">
        <v>18040</v>
      </c>
    </row>
    <row r="17509" spans="1:1">
      <c r="A17509" t="s">
        <v>18041</v>
      </c>
    </row>
    <row r="17510" spans="1:1">
      <c r="A17510" t="s">
        <v>18042</v>
      </c>
    </row>
    <row r="17511" spans="1:1">
      <c r="A17511" t="s">
        <v>18043</v>
      </c>
    </row>
    <row r="17512" spans="1:1">
      <c r="A17512" t="s">
        <v>18044</v>
      </c>
    </row>
    <row r="17513" spans="1:1">
      <c r="A17513" t="s">
        <v>18045</v>
      </c>
    </row>
    <row r="17514" spans="1:1">
      <c r="A17514" t="s">
        <v>18046</v>
      </c>
    </row>
    <row r="17515" spans="1:1">
      <c r="A17515" t="s">
        <v>18047</v>
      </c>
    </row>
    <row r="17516" spans="1:1">
      <c r="A17516" t="s">
        <v>18048</v>
      </c>
    </row>
    <row r="17517" spans="1:1">
      <c r="A17517" t="s">
        <v>18049</v>
      </c>
    </row>
    <row r="17518" spans="1:1">
      <c r="A17518" t="s">
        <v>18050</v>
      </c>
    </row>
    <row r="17519" spans="1:1">
      <c r="A17519" t="s">
        <v>18051</v>
      </c>
    </row>
    <row r="17520" spans="1:1">
      <c r="A17520" t="s">
        <v>18052</v>
      </c>
    </row>
    <row r="17521" spans="1:1">
      <c r="A17521" t="s">
        <v>18053</v>
      </c>
    </row>
    <row r="17522" spans="1:1">
      <c r="A17522" t="s">
        <v>18054</v>
      </c>
    </row>
    <row r="17523" spans="1:1">
      <c r="A17523" t="s">
        <v>18055</v>
      </c>
    </row>
    <row r="17524" spans="1:1">
      <c r="A17524" t="s">
        <v>18056</v>
      </c>
    </row>
    <row r="17525" spans="1:1">
      <c r="A17525" t="s">
        <v>18057</v>
      </c>
    </row>
    <row r="17526" spans="1:1">
      <c r="A17526" t="s">
        <v>18058</v>
      </c>
    </row>
    <row r="17527" spans="1:1">
      <c r="A17527" t="s">
        <v>18059</v>
      </c>
    </row>
    <row r="17528" spans="1:1">
      <c r="A17528" t="s">
        <v>18060</v>
      </c>
    </row>
    <row r="17529" spans="1:1">
      <c r="A17529" t="s">
        <v>18061</v>
      </c>
    </row>
    <row r="17530" spans="1:1">
      <c r="A17530" t="s">
        <v>18062</v>
      </c>
    </row>
    <row r="17531" spans="1:1">
      <c r="A17531" t="s">
        <v>18063</v>
      </c>
    </row>
    <row r="17532" spans="1:1">
      <c r="A17532" t="s">
        <v>18064</v>
      </c>
    </row>
    <row r="17533" spans="1:1">
      <c r="A17533" t="s">
        <v>18065</v>
      </c>
    </row>
    <row r="17534" spans="1:1">
      <c r="A17534" t="s">
        <v>18066</v>
      </c>
    </row>
    <row r="17535" spans="1:1">
      <c r="A17535" t="s">
        <v>18067</v>
      </c>
    </row>
    <row r="17536" spans="1:1">
      <c r="A17536" t="s">
        <v>18068</v>
      </c>
    </row>
    <row r="17537" spans="1:1">
      <c r="A17537" t="s">
        <v>18069</v>
      </c>
    </row>
    <row r="17538" spans="1:1">
      <c r="A17538" t="s">
        <v>18070</v>
      </c>
    </row>
    <row r="17539" spans="1:1">
      <c r="A17539" t="s">
        <v>18071</v>
      </c>
    </row>
    <row r="17540" spans="1:1">
      <c r="A17540" t="s">
        <v>18072</v>
      </c>
    </row>
    <row r="17541" spans="1:1">
      <c r="A17541" t="s">
        <v>18073</v>
      </c>
    </row>
    <row r="17542" spans="1:1">
      <c r="A17542" t="s">
        <v>18074</v>
      </c>
    </row>
    <row r="17543" spans="1:1">
      <c r="A17543" t="s">
        <v>18075</v>
      </c>
    </row>
    <row r="17544" spans="1:1">
      <c r="A17544" t="s">
        <v>18076</v>
      </c>
    </row>
    <row r="17545" spans="1:1">
      <c r="A17545" t="s">
        <v>18077</v>
      </c>
    </row>
    <row r="17546" spans="1:1">
      <c r="A17546" t="s">
        <v>18078</v>
      </c>
    </row>
    <row r="17547" spans="1:1">
      <c r="A17547" t="s">
        <v>18079</v>
      </c>
    </row>
    <row r="17548" spans="1:1">
      <c r="A17548" t="s">
        <v>18080</v>
      </c>
    </row>
    <row r="17549" spans="1:1">
      <c r="A17549" t="s">
        <v>18081</v>
      </c>
    </row>
    <row r="17550" spans="1:1">
      <c r="A17550" t="s">
        <v>18082</v>
      </c>
    </row>
    <row r="17551" spans="1:1">
      <c r="A17551" t="s">
        <v>18083</v>
      </c>
    </row>
    <row r="17552" spans="1:1">
      <c r="A17552" t="s">
        <v>18084</v>
      </c>
    </row>
    <row r="17553" spans="1:1">
      <c r="A17553" t="s">
        <v>18085</v>
      </c>
    </row>
    <row r="17554" spans="1:1">
      <c r="A17554" t="s">
        <v>18086</v>
      </c>
    </row>
    <row r="17555" spans="1:1">
      <c r="A17555" t="s">
        <v>18087</v>
      </c>
    </row>
    <row r="17556" spans="1:1">
      <c r="A17556" t="s">
        <v>18088</v>
      </c>
    </row>
    <row r="17557" spans="1:1">
      <c r="A17557" t="s">
        <v>18089</v>
      </c>
    </row>
    <row r="17558" spans="1:1">
      <c r="A17558" t="s">
        <v>18090</v>
      </c>
    </row>
    <row r="17559" spans="1:1">
      <c r="A17559" t="s">
        <v>18091</v>
      </c>
    </row>
    <row r="17560" spans="1:1">
      <c r="A17560" t="s">
        <v>18092</v>
      </c>
    </row>
    <row r="17561" spans="1:1">
      <c r="A17561" t="s">
        <v>18093</v>
      </c>
    </row>
    <row r="17562" spans="1:1">
      <c r="A17562" t="s">
        <v>18094</v>
      </c>
    </row>
    <row r="17563" spans="1:1">
      <c r="A17563" t="s">
        <v>18095</v>
      </c>
    </row>
    <row r="17564" spans="1:1">
      <c r="A17564" t="s">
        <v>18096</v>
      </c>
    </row>
    <row r="17565" spans="1:1">
      <c r="A17565" t="s">
        <v>18097</v>
      </c>
    </row>
    <row r="17566" spans="1:1">
      <c r="A17566" t="s">
        <v>18098</v>
      </c>
    </row>
    <row r="17567" spans="1:1">
      <c r="A17567" t="s">
        <v>18099</v>
      </c>
    </row>
    <row r="17568" spans="1:1">
      <c r="A17568" t="s">
        <v>18100</v>
      </c>
    </row>
    <row r="17569" spans="1:1">
      <c r="A17569" t="s">
        <v>18101</v>
      </c>
    </row>
    <row r="17570" spans="1:1">
      <c r="A17570" t="s">
        <v>18102</v>
      </c>
    </row>
    <row r="17571" spans="1:1">
      <c r="A17571" t="s">
        <v>18103</v>
      </c>
    </row>
    <row r="17572" spans="1:1">
      <c r="A17572" t="s">
        <v>18104</v>
      </c>
    </row>
    <row r="17573" spans="1:1">
      <c r="A17573" t="s">
        <v>18105</v>
      </c>
    </row>
    <row r="17574" spans="1:1">
      <c r="A17574" t="s">
        <v>18106</v>
      </c>
    </row>
    <row r="17575" spans="1:1">
      <c r="A17575" t="s">
        <v>18107</v>
      </c>
    </row>
    <row r="17576" spans="1:1">
      <c r="A17576" t="s">
        <v>18108</v>
      </c>
    </row>
    <row r="17577" spans="1:1">
      <c r="A17577" t="s">
        <v>18109</v>
      </c>
    </row>
    <row r="17578" spans="1:1">
      <c r="A17578" t="s">
        <v>18110</v>
      </c>
    </row>
    <row r="17579" spans="1:1">
      <c r="A17579" t="s">
        <v>18111</v>
      </c>
    </row>
    <row r="17580" spans="1:1">
      <c r="A17580" t="s">
        <v>18112</v>
      </c>
    </row>
    <row r="17581" spans="1:1">
      <c r="A17581" t="s">
        <v>18113</v>
      </c>
    </row>
    <row r="17582" spans="1:1">
      <c r="A17582" t="s">
        <v>18114</v>
      </c>
    </row>
    <row r="17583" spans="1:1">
      <c r="A17583" t="s">
        <v>18115</v>
      </c>
    </row>
    <row r="17584" spans="1:1">
      <c r="A17584" t="s">
        <v>18116</v>
      </c>
    </row>
    <row r="17585" spans="1:1">
      <c r="A17585" t="s">
        <v>18117</v>
      </c>
    </row>
    <row r="17586" spans="1:1">
      <c r="A17586" t="s">
        <v>18118</v>
      </c>
    </row>
    <row r="17587" spans="1:1">
      <c r="A17587" t="s">
        <v>18119</v>
      </c>
    </row>
    <row r="17588" spans="1:1">
      <c r="A17588" t="s">
        <v>18120</v>
      </c>
    </row>
    <row r="17589" spans="1:1">
      <c r="A17589" t="s">
        <v>18121</v>
      </c>
    </row>
    <row r="17590" spans="1:1">
      <c r="A17590" t="s">
        <v>18122</v>
      </c>
    </row>
    <row r="17591" spans="1:1">
      <c r="A17591" t="s">
        <v>18123</v>
      </c>
    </row>
    <row r="17592" spans="1:1">
      <c r="A17592" t="s">
        <v>18124</v>
      </c>
    </row>
    <row r="17593" spans="1:1">
      <c r="A17593" t="s">
        <v>18125</v>
      </c>
    </row>
    <row r="17594" spans="1:1">
      <c r="A17594" t="s">
        <v>18126</v>
      </c>
    </row>
    <row r="17595" spans="1:1">
      <c r="A17595" t="s">
        <v>18127</v>
      </c>
    </row>
    <row r="17596" spans="1:1">
      <c r="A17596" t="s">
        <v>18128</v>
      </c>
    </row>
    <row r="17597" spans="1:1">
      <c r="A17597" t="s">
        <v>18129</v>
      </c>
    </row>
    <row r="17598" spans="1:1">
      <c r="A17598" t="s">
        <v>18130</v>
      </c>
    </row>
    <row r="17599" spans="1:1">
      <c r="A17599" t="s">
        <v>18131</v>
      </c>
    </row>
    <row r="17600" spans="1:1">
      <c r="A17600" t="s">
        <v>18132</v>
      </c>
    </row>
    <row r="17601" spans="1:1">
      <c r="A17601" t="s">
        <v>18133</v>
      </c>
    </row>
    <row r="17602" spans="1:1">
      <c r="A17602" t="s">
        <v>18134</v>
      </c>
    </row>
    <row r="17603" spans="1:1">
      <c r="A17603" t="s">
        <v>18135</v>
      </c>
    </row>
    <row r="17604" spans="1:1">
      <c r="A17604" t="s">
        <v>18136</v>
      </c>
    </row>
    <row r="17605" spans="1:1">
      <c r="A17605" t="s">
        <v>18137</v>
      </c>
    </row>
    <row r="17606" spans="1:1">
      <c r="A17606" t="s">
        <v>18138</v>
      </c>
    </row>
    <row r="17607" spans="1:1">
      <c r="A17607" t="s">
        <v>18139</v>
      </c>
    </row>
    <row r="17608" spans="1:1">
      <c r="A17608" t="s">
        <v>18140</v>
      </c>
    </row>
    <row r="17609" spans="1:1">
      <c r="A17609" t="s">
        <v>18141</v>
      </c>
    </row>
    <row r="17610" spans="1:1">
      <c r="A17610" t="s">
        <v>18142</v>
      </c>
    </row>
    <row r="17611" spans="1:1">
      <c r="A17611" t="s">
        <v>18143</v>
      </c>
    </row>
    <row r="17612" spans="1:1">
      <c r="A17612" t="s">
        <v>18144</v>
      </c>
    </row>
    <row r="17613" spans="1:1">
      <c r="A17613" t="s">
        <v>18145</v>
      </c>
    </row>
    <row r="17614" spans="1:1">
      <c r="A17614" t="s">
        <v>18146</v>
      </c>
    </row>
    <row r="17615" spans="1:1">
      <c r="A17615" t="s">
        <v>18147</v>
      </c>
    </row>
    <row r="17616" spans="1:1">
      <c r="A17616" t="s">
        <v>18148</v>
      </c>
    </row>
    <row r="17617" spans="1:1">
      <c r="A17617" t="s">
        <v>18149</v>
      </c>
    </row>
    <row r="17618" spans="1:1">
      <c r="A17618" t="s">
        <v>18150</v>
      </c>
    </row>
    <row r="17619" spans="1:1">
      <c r="A17619" t="s">
        <v>18151</v>
      </c>
    </row>
    <row r="17620" spans="1:1">
      <c r="A17620" t="s">
        <v>18152</v>
      </c>
    </row>
    <row r="17621" spans="1:1">
      <c r="A17621" t="s">
        <v>18153</v>
      </c>
    </row>
    <row r="17622" spans="1:1">
      <c r="A17622" t="s">
        <v>18154</v>
      </c>
    </row>
    <row r="17623" spans="1:1">
      <c r="A17623" t="s">
        <v>18155</v>
      </c>
    </row>
    <row r="17624" spans="1:1">
      <c r="A17624" t="s">
        <v>18156</v>
      </c>
    </row>
    <row r="17625" spans="1:1">
      <c r="A17625" t="s">
        <v>18157</v>
      </c>
    </row>
    <row r="17626" spans="1:1">
      <c r="A17626" t="s">
        <v>18158</v>
      </c>
    </row>
    <row r="17627" spans="1:1">
      <c r="A17627" t="s">
        <v>18159</v>
      </c>
    </row>
    <row r="17628" spans="1:1">
      <c r="A17628" t="s">
        <v>18160</v>
      </c>
    </row>
    <row r="17629" spans="1:1">
      <c r="A17629" t="s">
        <v>18161</v>
      </c>
    </row>
    <row r="17630" spans="1:1">
      <c r="A17630" t="s">
        <v>18162</v>
      </c>
    </row>
    <row r="17631" spans="1:1">
      <c r="A17631" t="s">
        <v>18163</v>
      </c>
    </row>
    <row r="17632" spans="1:1">
      <c r="A17632" t="s">
        <v>18164</v>
      </c>
    </row>
    <row r="17633" spans="1:1">
      <c r="A17633" t="s">
        <v>18165</v>
      </c>
    </row>
    <row r="17634" spans="1:1">
      <c r="A17634" t="s">
        <v>18166</v>
      </c>
    </row>
    <row r="17635" spans="1:1">
      <c r="A17635" t="s">
        <v>18167</v>
      </c>
    </row>
    <row r="17636" spans="1:1">
      <c r="A17636" t="s">
        <v>18168</v>
      </c>
    </row>
    <row r="17637" spans="1:1">
      <c r="A17637" t="s">
        <v>18169</v>
      </c>
    </row>
    <row r="17638" spans="1:1">
      <c r="A17638" t="s">
        <v>18170</v>
      </c>
    </row>
    <row r="17639" spans="1:1">
      <c r="A17639" t="s">
        <v>18171</v>
      </c>
    </row>
    <row r="17640" spans="1:1">
      <c r="A17640" t="s">
        <v>18172</v>
      </c>
    </row>
    <row r="17641" spans="1:1">
      <c r="A17641" t="s">
        <v>18173</v>
      </c>
    </row>
    <row r="17642" spans="1:1">
      <c r="A17642" t="s">
        <v>18174</v>
      </c>
    </row>
    <row r="17643" spans="1:1">
      <c r="A17643" t="s">
        <v>18175</v>
      </c>
    </row>
    <row r="17644" spans="1:1">
      <c r="A17644" t="s">
        <v>18176</v>
      </c>
    </row>
    <row r="17645" spans="1:1">
      <c r="A17645" t="s">
        <v>18177</v>
      </c>
    </row>
    <row r="17646" spans="1:1">
      <c r="A17646" t="s">
        <v>18178</v>
      </c>
    </row>
    <row r="17647" spans="1:1">
      <c r="A17647" t="s">
        <v>18179</v>
      </c>
    </row>
    <row r="17648" spans="1:1">
      <c r="A17648" t="s">
        <v>18180</v>
      </c>
    </row>
    <row r="17649" spans="1:1">
      <c r="A17649" t="s">
        <v>18181</v>
      </c>
    </row>
    <row r="17650" spans="1:1">
      <c r="A17650" t="s">
        <v>18182</v>
      </c>
    </row>
    <row r="17651" spans="1:1">
      <c r="A17651" t="s">
        <v>18183</v>
      </c>
    </row>
    <row r="17652" spans="1:1">
      <c r="A17652" t="s">
        <v>18184</v>
      </c>
    </row>
    <row r="17653" spans="1:1">
      <c r="A17653" t="s">
        <v>18185</v>
      </c>
    </row>
    <row r="17654" spans="1:1">
      <c r="A17654" t="s">
        <v>18186</v>
      </c>
    </row>
    <row r="17655" spans="1:1">
      <c r="A17655" t="s">
        <v>18187</v>
      </c>
    </row>
    <row r="17656" spans="1:1">
      <c r="A17656" t="s">
        <v>18188</v>
      </c>
    </row>
    <row r="17657" spans="1:1">
      <c r="A17657" t="s">
        <v>18189</v>
      </c>
    </row>
    <row r="17658" spans="1:1">
      <c r="A17658" t="s">
        <v>18190</v>
      </c>
    </row>
    <row r="17659" spans="1:1">
      <c r="A17659" t="s">
        <v>18191</v>
      </c>
    </row>
    <row r="17660" spans="1:1">
      <c r="A17660" t="s">
        <v>18192</v>
      </c>
    </row>
    <row r="17661" spans="1:1">
      <c r="A17661" t="s">
        <v>18193</v>
      </c>
    </row>
    <row r="17662" spans="1:1">
      <c r="A17662" t="s">
        <v>18194</v>
      </c>
    </row>
    <row r="17663" spans="1:1">
      <c r="A17663" t="s">
        <v>18195</v>
      </c>
    </row>
    <row r="17664" spans="1:1">
      <c r="A17664" t="s">
        <v>18196</v>
      </c>
    </row>
    <row r="17665" spans="1:1">
      <c r="A17665" t="s">
        <v>18197</v>
      </c>
    </row>
    <row r="17666" spans="1:1">
      <c r="A17666" t="s">
        <v>18198</v>
      </c>
    </row>
    <row r="17667" spans="1:1">
      <c r="A17667" t="s">
        <v>18199</v>
      </c>
    </row>
    <row r="17668" spans="1:1">
      <c r="A17668" t="s">
        <v>18200</v>
      </c>
    </row>
    <row r="17669" spans="1:1">
      <c r="A17669" t="s">
        <v>18201</v>
      </c>
    </row>
    <row r="17670" spans="1:1">
      <c r="A17670" t="s">
        <v>18202</v>
      </c>
    </row>
    <row r="17671" spans="1:1">
      <c r="A17671" t="s">
        <v>18203</v>
      </c>
    </row>
    <row r="17672" spans="1:1">
      <c r="A17672" t="s">
        <v>18204</v>
      </c>
    </row>
    <row r="17673" spans="1:1">
      <c r="A17673" t="s">
        <v>18205</v>
      </c>
    </row>
    <row r="17674" spans="1:1">
      <c r="A17674" t="s">
        <v>18206</v>
      </c>
    </row>
    <row r="17675" spans="1:1">
      <c r="A17675" t="s">
        <v>18207</v>
      </c>
    </row>
    <row r="17676" spans="1:1">
      <c r="A17676" t="s">
        <v>18208</v>
      </c>
    </row>
    <row r="17677" spans="1:1">
      <c r="A17677" t="s">
        <v>18209</v>
      </c>
    </row>
    <row r="17678" spans="1:1">
      <c r="A17678" t="s">
        <v>18210</v>
      </c>
    </row>
    <row r="17679" spans="1:1">
      <c r="A17679" t="s">
        <v>18211</v>
      </c>
    </row>
    <row r="17680" spans="1:1">
      <c r="A17680" t="s">
        <v>18212</v>
      </c>
    </row>
    <row r="17681" spans="1:1">
      <c r="A17681" t="s">
        <v>18213</v>
      </c>
    </row>
    <row r="17682" spans="1:1">
      <c r="A17682" t="s">
        <v>18214</v>
      </c>
    </row>
    <row r="17683" spans="1:1">
      <c r="A17683" t="s">
        <v>18215</v>
      </c>
    </row>
    <row r="17684" spans="1:1">
      <c r="A17684" t="s">
        <v>18216</v>
      </c>
    </row>
    <row r="17685" spans="1:1">
      <c r="A17685" t="s">
        <v>18217</v>
      </c>
    </row>
    <row r="17686" spans="1:1">
      <c r="A17686" t="s">
        <v>18218</v>
      </c>
    </row>
    <row r="17687" spans="1:1">
      <c r="A17687" t="s">
        <v>18219</v>
      </c>
    </row>
    <row r="17688" spans="1:1">
      <c r="A17688" t="s">
        <v>18220</v>
      </c>
    </row>
    <row r="17689" spans="1:1">
      <c r="A17689" t="s">
        <v>18221</v>
      </c>
    </row>
    <row r="17690" spans="1:1">
      <c r="A17690" t="s">
        <v>18222</v>
      </c>
    </row>
    <row r="17691" spans="1:1">
      <c r="A17691" t="s">
        <v>18223</v>
      </c>
    </row>
    <row r="17692" spans="1:1">
      <c r="A17692" t="s">
        <v>18224</v>
      </c>
    </row>
    <row r="17693" spans="1:1">
      <c r="A17693" t="s">
        <v>18225</v>
      </c>
    </row>
    <row r="17694" spans="1:1">
      <c r="A17694" t="s">
        <v>18226</v>
      </c>
    </row>
    <row r="17695" spans="1:1">
      <c r="A17695" t="s">
        <v>18227</v>
      </c>
    </row>
    <row r="17696" spans="1:1">
      <c r="A17696" t="s">
        <v>18228</v>
      </c>
    </row>
    <row r="17697" spans="1:1">
      <c r="A17697" t="s">
        <v>18229</v>
      </c>
    </row>
    <row r="17698" spans="1:1">
      <c r="A17698" t="s">
        <v>18230</v>
      </c>
    </row>
    <row r="17699" spans="1:1">
      <c r="A17699" t="s">
        <v>18231</v>
      </c>
    </row>
    <row r="17700" spans="1:1">
      <c r="A17700" t="s">
        <v>18232</v>
      </c>
    </row>
    <row r="17701" spans="1:1">
      <c r="A17701" t="s">
        <v>18233</v>
      </c>
    </row>
    <row r="17702" spans="1:1">
      <c r="A17702" t="s">
        <v>18234</v>
      </c>
    </row>
    <row r="17703" spans="1:1">
      <c r="A17703" t="s">
        <v>18235</v>
      </c>
    </row>
    <row r="17704" spans="1:1">
      <c r="A17704" t="s">
        <v>18236</v>
      </c>
    </row>
    <row r="17705" spans="1:1">
      <c r="A17705" t="s">
        <v>18237</v>
      </c>
    </row>
    <row r="17706" spans="1:1">
      <c r="A17706" t="s">
        <v>18238</v>
      </c>
    </row>
    <row r="17707" spans="1:1">
      <c r="A17707" t="s">
        <v>18239</v>
      </c>
    </row>
    <row r="17708" spans="1:1">
      <c r="A17708" t="s">
        <v>18240</v>
      </c>
    </row>
    <row r="17709" spans="1:1">
      <c r="A17709" t="s">
        <v>18241</v>
      </c>
    </row>
    <row r="17710" spans="1:1">
      <c r="A17710" t="s">
        <v>18242</v>
      </c>
    </row>
    <row r="17711" spans="1:1">
      <c r="A17711" t="s">
        <v>18243</v>
      </c>
    </row>
    <row r="17712" spans="1:1">
      <c r="A17712" t="s">
        <v>18244</v>
      </c>
    </row>
    <row r="17713" spans="1:1">
      <c r="A17713" t="s">
        <v>18245</v>
      </c>
    </row>
    <row r="17714" spans="1:1">
      <c r="A17714" t="s">
        <v>18246</v>
      </c>
    </row>
    <row r="17715" spans="1:1">
      <c r="A17715" t="s">
        <v>18247</v>
      </c>
    </row>
    <row r="17716" spans="1:1">
      <c r="A17716" t="s">
        <v>18248</v>
      </c>
    </row>
    <row r="17717" spans="1:1">
      <c r="A17717" t="s">
        <v>18249</v>
      </c>
    </row>
    <row r="17718" spans="1:1">
      <c r="A17718" t="s">
        <v>18250</v>
      </c>
    </row>
    <row r="17719" spans="1:1">
      <c r="A17719" t="s">
        <v>18251</v>
      </c>
    </row>
    <row r="17720" spans="1:1">
      <c r="A17720" t="s">
        <v>18252</v>
      </c>
    </row>
    <row r="17721" spans="1:1">
      <c r="A17721" t="s">
        <v>18253</v>
      </c>
    </row>
    <row r="17722" spans="1:1">
      <c r="A17722" t="s">
        <v>18254</v>
      </c>
    </row>
    <row r="17723" spans="1:1">
      <c r="A17723" t="s">
        <v>18255</v>
      </c>
    </row>
    <row r="17724" spans="1:1">
      <c r="A17724" t="s">
        <v>18256</v>
      </c>
    </row>
    <row r="17725" spans="1:1">
      <c r="A17725" t="s">
        <v>18257</v>
      </c>
    </row>
    <row r="17726" spans="1:1">
      <c r="A17726" t="s">
        <v>18258</v>
      </c>
    </row>
    <row r="17727" spans="1:1">
      <c r="A17727" t="s">
        <v>18259</v>
      </c>
    </row>
    <row r="17728" spans="1:1">
      <c r="A17728" t="s">
        <v>18260</v>
      </c>
    </row>
    <row r="17729" spans="1:1">
      <c r="A17729" t="s">
        <v>18261</v>
      </c>
    </row>
    <row r="17730" spans="1:1">
      <c r="A17730" t="s">
        <v>18262</v>
      </c>
    </row>
    <row r="17731" spans="1:1">
      <c r="A17731" t="s">
        <v>18263</v>
      </c>
    </row>
    <row r="17732" spans="1:1">
      <c r="A17732" t="s">
        <v>18264</v>
      </c>
    </row>
    <row r="17733" spans="1:1">
      <c r="A17733" t="s">
        <v>18265</v>
      </c>
    </row>
    <row r="17734" spans="1:1">
      <c r="A17734" t="s">
        <v>18266</v>
      </c>
    </row>
    <row r="17735" spans="1:1">
      <c r="A17735" t="s">
        <v>18267</v>
      </c>
    </row>
    <row r="17736" spans="1:1">
      <c r="A17736" t="s">
        <v>18268</v>
      </c>
    </row>
    <row r="17737" spans="1:1">
      <c r="A17737" t="s">
        <v>18269</v>
      </c>
    </row>
    <row r="17738" spans="1:1">
      <c r="A17738" t="s">
        <v>18270</v>
      </c>
    </row>
    <row r="17739" spans="1:1">
      <c r="A17739" t="s">
        <v>18271</v>
      </c>
    </row>
    <row r="17740" spans="1:1">
      <c r="A17740" t="s">
        <v>18272</v>
      </c>
    </row>
    <row r="17741" spans="1:1">
      <c r="A17741" t="s">
        <v>18273</v>
      </c>
    </row>
    <row r="17742" spans="1:1">
      <c r="A17742" t="s">
        <v>18274</v>
      </c>
    </row>
    <row r="17743" spans="1:1">
      <c r="A17743" t="s">
        <v>18275</v>
      </c>
    </row>
    <row r="17744" spans="1:1">
      <c r="A17744" t="s">
        <v>18276</v>
      </c>
    </row>
    <row r="17745" spans="1:1">
      <c r="A17745" t="s">
        <v>18277</v>
      </c>
    </row>
    <row r="17746" spans="1:1">
      <c r="A17746" t="s">
        <v>18278</v>
      </c>
    </row>
    <row r="17747" spans="1:1">
      <c r="A17747" t="s">
        <v>18279</v>
      </c>
    </row>
    <row r="17748" spans="1:1">
      <c r="A17748" t="s">
        <v>18280</v>
      </c>
    </row>
    <row r="17749" spans="1:1">
      <c r="A17749" t="s">
        <v>18281</v>
      </c>
    </row>
    <row r="17750" spans="1:1">
      <c r="A17750" t="s">
        <v>18282</v>
      </c>
    </row>
    <row r="17751" spans="1:1">
      <c r="A17751" t="s">
        <v>18283</v>
      </c>
    </row>
    <row r="17752" spans="1:1">
      <c r="A17752" t="s">
        <v>18284</v>
      </c>
    </row>
    <row r="17753" spans="1:1">
      <c r="A17753" t="s">
        <v>18285</v>
      </c>
    </row>
    <row r="17754" spans="1:1">
      <c r="A17754" t="s">
        <v>18286</v>
      </c>
    </row>
    <row r="17755" spans="1:1">
      <c r="A17755" t="s">
        <v>18287</v>
      </c>
    </row>
    <row r="17756" spans="1:1">
      <c r="A17756" t="s">
        <v>18288</v>
      </c>
    </row>
    <row r="17757" spans="1:1">
      <c r="A17757" t="s">
        <v>18289</v>
      </c>
    </row>
    <row r="17758" spans="1:1">
      <c r="A17758" t="s">
        <v>18290</v>
      </c>
    </row>
    <row r="17759" spans="1:1">
      <c r="A17759" t="s">
        <v>18291</v>
      </c>
    </row>
    <row r="17760" spans="1:1">
      <c r="A17760" t="s">
        <v>18292</v>
      </c>
    </row>
    <row r="17761" spans="1:1">
      <c r="A17761" t="s">
        <v>18293</v>
      </c>
    </row>
    <row r="17762" spans="1:1">
      <c r="A17762" t="s">
        <v>18294</v>
      </c>
    </row>
    <row r="17763" spans="1:1">
      <c r="A17763" t="s">
        <v>18295</v>
      </c>
    </row>
    <row r="17764" spans="1:1">
      <c r="A17764" t="s">
        <v>18296</v>
      </c>
    </row>
    <row r="17765" spans="1:1">
      <c r="A17765" t="s">
        <v>18297</v>
      </c>
    </row>
    <row r="17766" spans="1:1">
      <c r="A17766" t="s">
        <v>18298</v>
      </c>
    </row>
    <row r="17767" spans="1:1">
      <c r="A17767" t="s">
        <v>18299</v>
      </c>
    </row>
    <row r="17768" spans="1:1">
      <c r="A17768" t="s">
        <v>18300</v>
      </c>
    </row>
    <row r="17769" spans="1:1">
      <c r="A17769" t="s">
        <v>18301</v>
      </c>
    </row>
    <row r="17770" spans="1:1">
      <c r="A17770" t="s">
        <v>18302</v>
      </c>
    </row>
    <row r="17771" spans="1:1">
      <c r="A17771" t="s">
        <v>18303</v>
      </c>
    </row>
    <row r="17772" spans="1:1">
      <c r="A17772" t="s">
        <v>18304</v>
      </c>
    </row>
    <row r="17773" spans="1:1">
      <c r="A17773" t="s">
        <v>18305</v>
      </c>
    </row>
    <row r="17774" spans="1:1">
      <c r="A17774" t="s">
        <v>18306</v>
      </c>
    </row>
    <row r="17775" spans="1:1">
      <c r="A17775" t="s">
        <v>18307</v>
      </c>
    </row>
    <row r="17776" spans="1:1">
      <c r="A17776" t="s">
        <v>18308</v>
      </c>
    </row>
    <row r="17777" spans="1:1">
      <c r="A17777" t="s">
        <v>18309</v>
      </c>
    </row>
    <row r="17778" spans="1:1">
      <c r="A17778" t="s">
        <v>18310</v>
      </c>
    </row>
    <row r="17779" spans="1:1">
      <c r="A17779" t="s">
        <v>18311</v>
      </c>
    </row>
    <row r="17780" spans="1:1">
      <c r="A17780" t="s">
        <v>18312</v>
      </c>
    </row>
    <row r="17781" spans="1:1">
      <c r="A17781" t="s">
        <v>18313</v>
      </c>
    </row>
    <row r="17782" spans="1:1">
      <c r="A17782" t="s">
        <v>18314</v>
      </c>
    </row>
    <row r="17783" spans="1:1">
      <c r="A17783" t="s">
        <v>18315</v>
      </c>
    </row>
    <row r="17784" spans="1:1">
      <c r="A17784" t="s">
        <v>18316</v>
      </c>
    </row>
    <row r="17785" spans="1:1">
      <c r="A17785" t="s">
        <v>18317</v>
      </c>
    </row>
    <row r="17786" spans="1:1">
      <c r="A17786" t="s">
        <v>18318</v>
      </c>
    </row>
    <row r="17787" spans="1:1">
      <c r="A17787" t="s">
        <v>18319</v>
      </c>
    </row>
    <row r="17788" spans="1:1">
      <c r="A17788" t="s">
        <v>18320</v>
      </c>
    </row>
    <row r="17789" spans="1:1">
      <c r="A17789" t="s">
        <v>18321</v>
      </c>
    </row>
    <row r="17790" spans="1:1">
      <c r="A17790" t="s">
        <v>18322</v>
      </c>
    </row>
    <row r="17791" spans="1:1">
      <c r="A17791" t="s">
        <v>18323</v>
      </c>
    </row>
    <row r="17792" spans="1:1">
      <c r="A17792" t="s">
        <v>18324</v>
      </c>
    </row>
    <row r="17793" spans="1:1">
      <c r="A17793" t="s">
        <v>18325</v>
      </c>
    </row>
    <row r="17794" spans="1:1">
      <c r="A17794" t="s">
        <v>18326</v>
      </c>
    </row>
    <row r="17795" spans="1:1">
      <c r="A17795" t="s">
        <v>18327</v>
      </c>
    </row>
    <row r="17796" spans="1:1">
      <c r="A17796" t="s">
        <v>18328</v>
      </c>
    </row>
    <row r="17797" spans="1:1">
      <c r="A17797" t="s">
        <v>18329</v>
      </c>
    </row>
    <row r="17798" spans="1:1">
      <c r="A17798" t="s">
        <v>18330</v>
      </c>
    </row>
    <row r="17799" spans="1:1">
      <c r="A17799" t="s">
        <v>18331</v>
      </c>
    </row>
    <row r="17800" spans="1:1">
      <c r="A17800" t="s">
        <v>18332</v>
      </c>
    </row>
    <row r="17801" spans="1:1">
      <c r="A17801" t="s">
        <v>18333</v>
      </c>
    </row>
    <row r="17802" spans="1:1">
      <c r="A17802" t="s">
        <v>18334</v>
      </c>
    </row>
    <row r="17803" spans="1:1">
      <c r="A17803" t="s">
        <v>18335</v>
      </c>
    </row>
    <row r="17804" spans="1:1">
      <c r="A17804" t="s">
        <v>18336</v>
      </c>
    </row>
    <row r="17805" spans="1:1">
      <c r="A17805" t="s">
        <v>18337</v>
      </c>
    </row>
    <row r="17806" spans="1:1">
      <c r="A17806" t="s">
        <v>18338</v>
      </c>
    </row>
    <row r="17807" spans="1:1">
      <c r="A17807" t="s">
        <v>18339</v>
      </c>
    </row>
    <row r="17808" spans="1:1">
      <c r="A17808" t="s">
        <v>18340</v>
      </c>
    </row>
    <row r="17809" spans="1:1">
      <c r="A17809" t="s">
        <v>18341</v>
      </c>
    </row>
    <row r="17810" spans="1:1">
      <c r="A17810" t="s">
        <v>18342</v>
      </c>
    </row>
    <row r="17811" spans="1:1">
      <c r="A17811" t="s">
        <v>18343</v>
      </c>
    </row>
    <row r="17812" spans="1:1">
      <c r="A17812" t="s">
        <v>18344</v>
      </c>
    </row>
    <row r="17813" spans="1:1">
      <c r="A17813" t="s">
        <v>18345</v>
      </c>
    </row>
    <row r="17814" spans="1:1">
      <c r="A17814" t="s">
        <v>18346</v>
      </c>
    </row>
    <row r="17815" spans="1:1">
      <c r="A17815" t="s">
        <v>18347</v>
      </c>
    </row>
    <row r="17816" spans="1:1">
      <c r="A17816" t="s">
        <v>18348</v>
      </c>
    </row>
    <row r="17817" spans="1:1">
      <c r="A17817" t="s">
        <v>18349</v>
      </c>
    </row>
    <row r="17818" spans="1:1">
      <c r="A17818" t="s">
        <v>18350</v>
      </c>
    </row>
    <row r="17819" spans="1:1">
      <c r="A17819" t="s">
        <v>18351</v>
      </c>
    </row>
    <row r="17820" spans="1:1">
      <c r="A17820" t="s">
        <v>18352</v>
      </c>
    </row>
    <row r="17821" spans="1:1">
      <c r="A17821" t="s">
        <v>18353</v>
      </c>
    </row>
    <row r="17822" spans="1:1">
      <c r="A17822" t="s">
        <v>18354</v>
      </c>
    </row>
    <row r="17823" spans="1:1">
      <c r="A17823" t="s">
        <v>18355</v>
      </c>
    </row>
    <row r="17824" spans="1:1">
      <c r="A17824" t="s">
        <v>18356</v>
      </c>
    </row>
    <row r="17825" spans="1:1">
      <c r="A17825" t="s">
        <v>18357</v>
      </c>
    </row>
    <row r="17826" spans="1:1">
      <c r="A17826" t="s">
        <v>18358</v>
      </c>
    </row>
    <row r="17827" spans="1:1">
      <c r="A17827" t="s">
        <v>18359</v>
      </c>
    </row>
    <row r="17828" spans="1:1">
      <c r="A17828" t="s">
        <v>18360</v>
      </c>
    </row>
    <row r="17829" spans="1:1">
      <c r="A17829" t="s">
        <v>18361</v>
      </c>
    </row>
    <row r="17830" spans="1:1">
      <c r="A17830" t="s">
        <v>18362</v>
      </c>
    </row>
    <row r="17831" spans="1:1">
      <c r="A17831" t="s">
        <v>18363</v>
      </c>
    </row>
    <row r="17832" spans="1:1">
      <c r="A17832" t="s">
        <v>18364</v>
      </c>
    </row>
    <row r="17833" spans="1:1">
      <c r="A17833" t="s">
        <v>18365</v>
      </c>
    </row>
    <row r="17834" spans="1:1">
      <c r="A17834" t="s">
        <v>18366</v>
      </c>
    </row>
    <row r="17835" spans="1:1">
      <c r="A17835" t="s">
        <v>18367</v>
      </c>
    </row>
    <row r="17836" spans="1:1">
      <c r="A17836" t="s">
        <v>18368</v>
      </c>
    </row>
    <row r="17837" spans="1:1">
      <c r="A17837" t="s">
        <v>18369</v>
      </c>
    </row>
    <row r="17838" spans="1:1">
      <c r="A17838" t="s">
        <v>18370</v>
      </c>
    </row>
    <row r="17839" spans="1:1">
      <c r="A17839" t="s">
        <v>18371</v>
      </c>
    </row>
    <row r="17840" spans="1:1">
      <c r="A17840" t="s">
        <v>18372</v>
      </c>
    </row>
    <row r="17841" spans="1:1">
      <c r="A17841" t="s">
        <v>18373</v>
      </c>
    </row>
    <row r="17842" spans="1:1">
      <c r="A17842" t="s">
        <v>18374</v>
      </c>
    </row>
    <row r="17843" spans="1:1">
      <c r="A17843" t="s">
        <v>18375</v>
      </c>
    </row>
    <row r="17844" spans="1:1">
      <c r="A17844" t="s">
        <v>18376</v>
      </c>
    </row>
    <row r="17845" spans="1:1">
      <c r="A17845" t="s">
        <v>18377</v>
      </c>
    </row>
    <row r="17846" spans="1:1">
      <c r="A17846" t="s">
        <v>18378</v>
      </c>
    </row>
    <row r="17847" spans="1:1">
      <c r="A17847" t="s">
        <v>18379</v>
      </c>
    </row>
    <row r="17848" spans="1:1">
      <c r="A17848" t="s">
        <v>18380</v>
      </c>
    </row>
    <row r="17849" spans="1:1">
      <c r="A17849" t="s">
        <v>18381</v>
      </c>
    </row>
    <row r="17850" spans="1:1">
      <c r="A17850" t="s">
        <v>18382</v>
      </c>
    </row>
    <row r="17851" spans="1:1">
      <c r="A17851" t="s">
        <v>18383</v>
      </c>
    </row>
    <row r="17852" spans="1:1">
      <c r="A17852" t="s">
        <v>18384</v>
      </c>
    </row>
    <row r="17853" spans="1:1">
      <c r="A17853" t="s">
        <v>18385</v>
      </c>
    </row>
    <row r="17854" spans="1:1">
      <c r="A17854" t="s">
        <v>18386</v>
      </c>
    </row>
    <row r="17855" spans="1:1">
      <c r="A17855" t="s">
        <v>18387</v>
      </c>
    </row>
    <row r="17856" spans="1:1">
      <c r="A17856" t="s">
        <v>18388</v>
      </c>
    </row>
    <row r="17857" spans="1:1">
      <c r="A17857" t="s">
        <v>18389</v>
      </c>
    </row>
    <row r="17858" spans="1:1">
      <c r="A17858" t="s">
        <v>18390</v>
      </c>
    </row>
    <row r="17859" spans="1:1">
      <c r="A17859" t="s">
        <v>18391</v>
      </c>
    </row>
    <row r="17860" spans="1:1">
      <c r="A17860" t="s">
        <v>18392</v>
      </c>
    </row>
    <row r="17861" spans="1:1">
      <c r="A17861" t="s">
        <v>18393</v>
      </c>
    </row>
    <row r="17862" spans="1:1">
      <c r="A17862" t="s">
        <v>18394</v>
      </c>
    </row>
    <row r="17863" spans="1:1">
      <c r="A17863" t="s">
        <v>18395</v>
      </c>
    </row>
    <row r="17864" spans="1:1">
      <c r="A17864" t="s">
        <v>18396</v>
      </c>
    </row>
    <row r="17865" spans="1:1">
      <c r="A17865" t="s">
        <v>18397</v>
      </c>
    </row>
    <row r="17866" spans="1:1">
      <c r="A17866" t="s">
        <v>18398</v>
      </c>
    </row>
    <row r="17867" spans="1:1">
      <c r="A17867" t="s">
        <v>18399</v>
      </c>
    </row>
    <row r="17868" spans="1:1">
      <c r="A17868" t="s">
        <v>18400</v>
      </c>
    </row>
    <row r="17869" spans="1:1">
      <c r="A17869" t="s">
        <v>18401</v>
      </c>
    </row>
    <row r="17870" spans="1:1">
      <c r="A17870" t="s">
        <v>18402</v>
      </c>
    </row>
    <row r="17871" spans="1:1">
      <c r="A17871" t="s">
        <v>18403</v>
      </c>
    </row>
    <row r="17872" spans="1:1">
      <c r="A17872" t="s">
        <v>18404</v>
      </c>
    </row>
    <row r="17873" spans="1:1">
      <c r="A17873" t="s">
        <v>18405</v>
      </c>
    </row>
    <row r="17874" spans="1:1">
      <c r="A17874" t="s">
        <v>18406</v>
      </c>
    </row>
    <row r="17875" spans="1:1">
      <c r="A17875" t="s">
        <v>18407</v>
      </c>
    </row>
    <row r="17876" spans="1:1">
      <c r="A17876" t="s">
        <v>18408</v>
      </c>
    </row>
    <row r="17877" spans="1:1">
      <c r="A17877" t="s">
        <v>18409</v>
      </c>
    </row>
    <row r="17878" spans="1:1">
      <c r="A17878" t="s">
        <v>18410</v>
      </c>
    </row>
    <row r="17879" spans="1:1">
      <c r="A17879" t="s">
        <v>18411</v>
      </c>
    </row>
    <row r="17880" spans="1:1">
      <c r="A17880" t="s">
        <v>18412</v>
      </c>
    </row>
    <row r="17881" spans="1:1">
      <c r="A17881" t="s">
        <v>18413</v>
      </c>
    </row>
    <row r="17882" spans="1:1">
      <c r="A17882" t="s">
        <v>18414</v>
      </c>
    </row>
    <row r="17883" spans="1:1">
      <c r="A17883" t="s">
        <v>18415</v>
      </c>
    </row>
    <row r="17884" spans="1:1">
      <c r="A17884" t="s">
        <v>18416</v>
      </c>
    </row>
    <row r="17885" spans="1:1">
      <c r="A17885" t="s">
        <v>18417</v>
      </c>
    </row>
    <row r="17886" spans="1:1">
      <c r="A17886" t="s">
        <v>18418</v>
      </c>
    </row>
    <row r="17887" spans="1:1">
      <c r="A17887" t="s">
        <v>18419</v>
      </c>
    </row>
    <row r="17888" spans="1:1">
      <c r="A17888" t="s">
        <v>18420</v>
      </c>
    </row>
    <row r="17889" spans="1:1">
      <c r="A17889" t="s">
        <v>18421</v>
      </c>
    </row>
    <row r="17890" spans="1:1">
      <c r="A17890" t="s">
        <v>18422</v>
      </c>
    </row>
    <row r="17891" spans="1:1">
      <c r="A17891" t="s">
        <v>18423</v>
      </c>
    </row>
    <row r="17892" spans="1:1">
      <c r="A17892" t="s">
        <v>18424</v>
      </c>
    </row>
    <row r="17893" spans="1:1">
      <c r="A17893" t="s">
        <v>18425</v>
      </c>
    </row>
    <row r="17894" spans="1:1">
      <c r="A17894" t="s">
        <v>18426</v>
      </c>
    </row>
    <row r="17895" spans="1:1">
      <c r="A17895" t="s">
        <v>18427</v>
      </c>
    </row>
    <row r="17896" spans="1:1">
      <c r="A17896" t="s">
        <v>18428</v>
      </c>
    </row>
    <row r="17897" spans="1:1">
      <c r="A17897" t="s">
        <v>18429</v>
      </c>
    </row>
    <row r="17898" spans="1:1">
      <c r="A17898" t="s">
        <v>18430</v>
      </c>
    </row>
    <row r="17899" spans="1:1">
      <c r="A17899" t="s">
        <v>18431</v>
      </c>
    </row>
    <row r="17900" spans="1:1">
      <c r="A17900" t="s">
        <v>18432</v>
      </c>
    </row>
    <row r="17901" spans="1:1">
      <c r="A17901" t="s">
        <v>18433</v>
      </c>
    </row>
    <row r="17902" spans="1:1">
      <c r="A17902" t="s">
        <v>18434</v>
      </c>
    </row>
    <row r="17903" spans="1:1">
      <c r="A17903" t="s">
        <v>18435</v>
      </c>
    </row>
    <row r="17904" spans="1:1">
      <c r="A17904" t="s">
        <v>18436</v>
      </c>
    </row>
    <row r="17905" spans="1:1">
      <c r="A17905" t="s">
        <v>18437</v>
      </c>
    </row>
    <row r="17906" spans="1:1">
      <c r="A17906" t="s">
        <v>18438</v>
      </c>
    </row>
    <row r="17907" spans="1:1">
      <c r="A17907" t="s">
        <v>18439</v>
      </c>
    </row>
    <row r="17908" spans="1:1">
      <c r="A17908" t="s">
        <v>18440</v>
      </c>
    </row>
    <row r="17909" spans="1:1">
      <c r="A17909" t="s">
        <v>18441</v>
      </c>
    </row>
    <row r="17910" spans="1:1">
      <c r="A17910" t="s">
        <v>18442</v>
      </c>
    </row>
    <row r="17911" spans="1:1">
      <c r="A17911" t="s">
        <v>18443</v>
      </c>
    </row>
    <row r="17912" spans="1:1">
      <c r="A17912" t="s">
        <v>18444</v>
      </c>
    </row>
    <row r="17913" spans="1:1">
      <c r="A17913" t="s">
        <v>18445</v>
      </c>
    </row>
    <row r="17914" spans="1:1">
      <c r="A17914" t="s">
        <v>18446</v>
      </c>
    </row>
    <row r="17915" spans="1:1">
      <c r="A17915" t="s">
        <v>18447</v>
      </c>
    </row>
    <row r="17916" spans="1:1">
      <c r="A17916" t="s">
        <v>18448</v>
      </c>
    </row>
    <row r="17917" spans="1:1">
      <c r="A17917" t="s">
        <v>18449</v>
      </c>
    </row>
    <row r="17918" spans="1:1">
      <c r="A17918" t="s">
        <v>18450</v>
      </c>
    </row>
    <row r="17919" spans="1:1">
      <c r="A17919" t="s">
        <v>18451</v>
      </c>
    </row>
    <row r="17920" spans="1:1">
      <c r="A17920" t="s">
        <v>18452</v>
      </c>
    </row>
    <row r="17921" spans="1:1">
      <c r="A17921" t="s">
        <v>18453</v>
      </c>
    </row>
    <row r="17922" spans="1:1">
      <c r="A17922" t="s">
        <v>18454</v>
      </c>
    </row>
    <row r="17923" spans="1:1">
      <c r="A17923" t="s">
        <v>18455</v>
      </c>
    </row>
    <row r="17924" spans="1:1">
      <c r="A17924" t="s">
        <v>18456</v>
      </c>
    </row>
    <row r="17925" spans="1:1">
      <c r="A17925" t="s">
        <v>18457</v>
      </c>
    </row>
    <row r="17926" spans="1:1">
      <c r="A17926" t="s">
        <v>18458</v>
      </c>
    </row>
    <row r="17927" spans="1:1">
      <c r="A17927" t="s">
        <v>18459</v>
      </c>
    </row>
    <row r="17928" spans="1:1">
      <c r="A17928" t="s">
        <v>18460</v>
      </c>
    </row>
    <row r="17929" spans="1:1">
      <c r="A17929" t="s">
        <v>18461</v>
      </c>
    </row>
    <row r="17930" spans="1:1">
      <c r="A17930" t="s">
        <v>18462</v>
      </c>
    </row>
    <row r="17931" spans="1:1">
      <c r="A17931" t="s">
        <v>18463</v>
      </c>
    </row>
    <row r="17932" spans="1:1">
      <c r="A17932" t="s">
        <v>18464</v>
      </c>
    </row>
    <row r="17933" spans="1:1">
      <c r="A17933" t="s">
        <v>18465</v>
      </c>
    </row>
    <row r="17934" spans="1:1">
      <c r="A17934" t="s">
        <v>18466</v>
      </c>
    </row>
    <row r="17935" spans="1:1">
      <c r="A17935" t="s">
        <v>18467</v>
      </c>
    </row>
    <row r="17936" spans="1:1">
      <c r="A17936" t="s">
        <v>18468</v>
      </c>
    </row>
    <row r="17937" spans="1:1">
      <c r="A17937" t="s">
        <v>18469</v>
      </c>
    </row>
    <row r="17938" spans="1:1">
      <c r="A17938" t="s">
        <v>18470</v>
      </c>
    </row>
    <row r="17939" spans="1:1">
      <c r="A17939" t="s">
        <v>18471</v>
      </c>
    </row>
    <row r="17940" spans="1:1">
      <c r="A17940" t="s">
        <v>18472</v>
      </c>
    </row>
    <row r="17941" spans="1:1">
      <c r="A17941" t="s">
        <v>18473</v>
      </c>
    </row>
    <row r="17942" spans="1:1">
      <c r="A17942" t="s">
        <v>18474</v>
      </c>
    </row>
    <row r="17943" spans="1:1">
      <c r="A17943" t="s">
        <v>18475</v>
      </c>
    </row>
    <row r="17944" spans="1:1">
      <c r="A17944" t="s">
        <v>18476</v>
      </c>
    </row>
    <row r="17945" spans="1:1">
      <c r="A17945" t="s">
        <v>18477</v>
      </c>
    </row>
    <row r="17946" spans="1:1">
      <c r="A17946" t="s">
        <v>18478</v>
      </c>
    </row>
    <row r="17947" spans="1:1">
      <c r="A17947" t="s">
        <v>18479</v>
      </c>
    </row>
    <row r="17948" spans="1:1">
      <c r="A17948" t="s">
        <v>18480</v>
      </c>
    </row>
    <row r="17949" spans="1:1">
      <c r="A17949" t="s">
        <v>18481</v>
      </c>
    </row>
    <row r="17950" spans="1:1">
      <c r="A17950" t="s">
        <v>18482</v>
      </c>
    </row>
    <row r="17951" spans="1:1">
      <c r="A17951" t="s">
        <v>18483</v>
      </c>
    </row>
    <row r="17952" spans="1:1">
      <c r="A17952" t="s">
        <v>18484</v>
      </c>
    </row>
    <row r="17953" spans="1:1">
      <c r="A17953" t="s">
        <v>18485</v>
      </c>
    </row>
    <row r="17954" spans="1:1">
      <c r="A17954" t="s">
        <v>18486</v>
      </c>
    </row>
    <row r="17955" spans="1:1">
      <c r="A17955" t="s">
        <v>18487</v>
      </c>
    </row>
    <row r="17956" spans="1:1">
      <c r="A17956" t="s">
        <v>18488</v>
      </c>
    </row>
    <row r="17957" spans="1:1">
      <c r="A17957" t="s">
        <v>18489</v>
      </c>
    </row>
    <row r="17958" spans="1:1">
      <c r="A17958" t="s">
        <v>18490</v>
      </c>
    </row>
    <row r="17959" spans="1:1">
      <c r="A17959" t="s">
        <v>18491</v>
      </c>
    </row>
    <row r="17960" spans="1:1">
      <c r="A17960" t="s">
        <v>18492</v>
      </c>
    </row>
    <row r="17961" spans="1:1">
      <c r="A17961" t="s">
        <v>18493</v>
      </c>
    </row>
    <row r="17962" spans="1:1">
      <c r="A17962" t="s">
        <v>18494</v>
      </c>
    </row>
    <row r="17963" spans="1:1">
      <c r="A17963" t="s">
        <v>18495</v>
      </c>
    </row>
    <row r="17964" spans="1:1">
      <c r="A17964" t="s">
        <v>18496</v>
      </c>
    </row>
    <row r="17965" spans="1:1">
      <c r="A17965" t="s">
        <v>18497</v>
      </c>
    </row>
    <row r="17966" spans="1:1">
      <c r="A17966" t="s">
        <v>18498</v>
      </c>
    </row>
    <row r="17967" spans="1:1">
      <c r="A17967" t="s">
        <v>18499</v>
      </c>
    </row>
    <row r="17968" spans="1:1">
      <c r="A17968" t="s">
        <v>18500</v>
      </c>
    </row>
    <row r="17969" spans="1:1">
      <c r="A17969" t="s">
        <v>18501</v>
      </c>
    </row>
    <row r="17970" spans="1:1">
      <c r="A17970" t="s">
        <v>18502</v>
      </c>
    </row>
    <row r="17971" spans="1:1">
      <c r="A17971" t="s">
        <v>18503</v>
      </c>
    </row>
    <row r="17972" spans="1:1">
      <c r="A17972" t="s">
        <v>18504</v>
      </c>
    </row>
    <row r="17973" spans="1:1">
      <c r="A17973" t="s">
        <v>18505</v>
      </c>
    </row>
    <row r="17974" spans="1:1">
      <c r="A17974" t="s">
        <v>18506</v>
      </c>
    </row>
    <row r="17975" spans="1:1">
      <c r="A17975" t="s">
        <v>18507</v>
      </c>
    </row>
    <row r="17976" spans="1:1">
      <c r="A17976" t="s">
        <v>18508</v>
      </c>
    </row>
    <row r="17977" spans="1:1">
      <c r="A17977" t="s">
        <v>18509</v>
      </c>
    </row>
    <row r="17978" spans="1:1">
      <c r="A17978" t="s">
        <v>18510</v>
      </c>
    </row>
    <row r="17979" spans="1:1">
      <c r="A17979" t="s">
        <v>18511</v>
      </c>
    </row>
    <row r="17980" spans="1:1">
      <c r="A17980" t="s">
        <v>18512</v>
      </c>
    </row>
    <row r="17981" spans="1:1">
      <c r="A17981" t="s">
        <v>18513</v>
      </c>
    </row>
    <row r="17982" spans="1:1">
      <c r="A17982" t="s">
        <v>18514</v>
      </c>
    </row>
    <row r="17983" spans="1:1">
      <c r="A17983" t="s">
        <v>18515</v>
      </c>
    </row>
    <row r="17984" spans="1:1">
      <c r="A17984" t="s">
        <v>18516</v>
      </c>
    </row>
    <row r="17985" spans="1:1">
      <c r="A17985" t="s">
        <v>18517</v>
      </c>
    </row>
    <row r="17986" spans="1:1">
      <c r="A17986" t="s">
        <v>18518</v>
      </c>
    </row>
    <row r="17987" spans="1:1">
      <c r="A17987" t="s">
        <v>18519</v>
      </c>
    </row>
    <row r="17988" spans="1:1">
      <c r="A17988" t="s">
        <v>18520</v>
      </c>
    </row>
    <row r="17989" spans="1:1">
      <c r="A17989" t="s">
        <v>18521</v>
      </c>
    </row>
    <row r="17990" spans="1:1">
      <c r="A17990" t="s">
        <v>18522</v>
      </c>
    </row>
    <row r="17991" spans="1:1">
      <c r="A17991" t="s">
        <v>18523</v>
      </c>
    </row>
    <row r="17992" spans="1:1">
      <c r="A17992" t="s">
        <v>18524</v>
      </c>
    </row>
    <row r="17993" spans="1:1">
      <c r="A17993" t="s">
        <v>18525</v>
      </c>
    </row>
    <row r="17994" spans="1:1">
      <c r="A17994" t="s">
        <v>18526</v>
      </c>
    </row>
    <row r="17995" spans="1:1">
      <c r="A17995" t="s">
        <v>18527</v>
      </c>
    </row>
    <row r="17996" spans="1:1">
      <c r="A17996" t="s">
        <v>18528</v>
      </c>
    </row>
    <row r="17997" spans="1:1">
      <c r="A17997" t="s">
        <v>18529</v>
      </c>
    </row>
    <row r="17998" spans="1:1">
      <c r="A17998" t="s">
        <v>18530</v>
      </c>
    </row>
    <row r="17999" spans="1:1">
      <c r="A17999" t="s">
        <v>18531</v>
      </c>
    </row>
    <row r="18000" spans="1:1">
      <c r="A18000" t="s">
        <v>18532</v>
      </c>
    </row>
    <row r="18001" spans="1:1">
      <c r="A18001" t="s">
        <v>18533</v>
      </c>
    </row>
    <row r="18002" spans="1:1">
      <c r="A18002" t="s">
        <v>18534</v>
      </c>
    </row>
    <row r="18003" spans="1:1">
      <c r="A18003" t="s">
        <v>18535</v>
      </c>
    </row>
    <row r="18004" spans="1:1">
      <c r="A18004" t="s">
        <v>18536</v>
      </c>
    </row>
    <row r="18005" spans="1:1">
      <c r="A18005" t="s">
        <v>18537</v>
      </c>
    </row>
    <row r="18006" spans="1:1">
      <c r="A18006" t="s">
        <v>18538</v>
      </c>
    </row>
    <row r="18007" spans="1:1">
      <c r="A18007" t="s">
        <v>18539</v>
      </c>
    </row>
    <row r="18008" spans="1:1">
      <c r="A18008" t="s">
        <v>18540</v>
      </c>
    </row>
    <row r="18009" spans="1:1">
      <c r="A18009" t="s">
        <v>18541</v>
      </c>
    </row>
    <row r="18010" spans="1:1">
      <c r="A18010" t="s">
        <v>18542</v>
      </c>
    </row>
    <row r="18011" spans="1:1">
      <c r="A18011" t="s">
        <v>18543</v>
      </c>
    </row>
    <row r="18012" spans="1:1">
      <c r="A18012" t="s">
        <v>18544</v>
      </c>
    </row>
    <row r="18013" spans="1:1">
      <c r="A18013" t="s">
        <v>18545</v>
      </c>
    </row>
    <row r="18014" spans="1:1">
      <c r="A18014" t="s">
        <v>18546</v>
      </c>
    </row>
    <row r="18015" spans="1:1">
      <c r="A18015" t="s">
        <v>18547</v>
      </c>
    </row>
    <row r="18016" spans="1:1">
      <c r="A18016" t="s">
        <v>18548</v>
      </c>
    </row>
    <row r="18017" spans="1:1">
      <c r="A18017" t="s">
        <v>18549</v>
      </c>
    </row>
    <row r="18018" spans="1:1">
      <c r="A18018" t="s">
        <v>18550</v>
      </c>
    </row>
    <row r="18019" spans="1:1">
      <c r="A18019" t="s">
        <v>18551</v>
      </c>
    </row>
    <row r="18020" spans="1:1">
      <c r="A18020" t="s">
        <v>18552</v>
      </c>
    </row>
    <row r="18021" spans="1:1">
      <c r="A18021" t="s">
        <v>18553</v>
      </c>
    </row>
    <row r="18022" spans="1:1">
      <c r="A18022" t="s">
        <v>18554</v>
      </c>
    </row>
    <row r="18023" spans="1:1">
      <c r="A18023" t="s">
        <v>18555</v>
      </c>
    </row>
    <row r="18024" spans="1:1">
      <c r="A18024" t="s">
        <v>18556</v>
      </c>
    </row>
    <row r="18025" spans="1:1">
      <c r="A18025" t="s">
        <v>18557</v>
      </c>
    </row>
    <row r="18026" spans="1:1">
      <c r="A18026" t="s">
        <v>18558</v>
      </c>
    </row>
    <row r="18027" spans="1:1">
      <c r="A18027" t="s">
        <v>18559</v>
      </c>
    </row>
    <row r="18028" spans="1:1">
      <c r="A18028" t="s">
        <v>18560</v>
      </c>
    </row>
    <row r="18029" spans="1:1">
      <c r="A18029" t="s">
        <v>18561</v>
      </c>
    </row>
    <row r="18030" spans="1:1">
      <c r="A18030" t="s">
        <v>18562</v>
      </c>
    </row>
    <row r="18031" spans="1:1">
      <c r="A18031" t="s">
        <v>18563</v>
      </c>
    </row>
    <row r="18032" spans="1:1">
      <c r="A18032" t="s">
        <v>18564</v>
      </c>
    </row>
    <row r="18033" spans="1:1">
      <c r="A18033" t="s">
        <v>18565</v>
      </c>
    </row>
    <row r="18034" spans="1:1">
      <c r="A18034" t="s">
        <v>18566</v>
      </c>
    </row>
    <row r="18035" spans="1:1">
      <c r="A18035" t="s">
        <v>18567</v>
      </c>
    </row>
    <row r="18036" spans="1:1">
      <c r="A18036" t="s">
        <v>18568</v>
      </c>
    </row>
    <row r="18037" spans="1:1">
      <c r="A18037" t="s">
        <v>18569</v>
      </c>
    </row>
    <row r="18038" spans="1:1">
      <c r="A18038" t="s">
        <v>18570</v>
      </c>
    </row>
    <row r="18039" spans="1:1">
      <c r="A18039" t="s">
        <v>18571</v>
      </c>
    </row>
    <row r="18040" spans="1:1">
      <c r="A18040" t="s">
        <v>18572</v>
      </c>
    </row>
    <row r="18041" spans="1:1">
      <c r="A18041" t="s">
        <v>18573</v>
      </c>
    </row>
    <row r="18042" spans="1:1">
      <c r="A18042" t="s">
        <v>18574</v>
      </c>
    </row>
    <row r="18043" spans="1:1">
      <c r="A18043" t="s">
        <v>18575</v>
      </c>
    </row>
    <row r="18044" spans="1:1">
      <c r="A18044" t="s">
        <v>18576</v>
      </c>
    </row>
    <row r="18045" spans="1:1">
      <c r="A18045" t="s">
        <v>18577</v>
      </c>
    </row>
    <row r="18046" spans="1:1">
      <c r="A18046" t="s">
        <v>18578</v>
      </c>
    </row>
    <row r="18047" spans="1:1">
      <c r="A18047" t="s">
        <v>18579</v>
      </c>
    </row>
    <row r="18048" spans="1:1">
      <c r="A18048" t="s">
        <v>18580</v>
      </c>
    </row>
    <row r="18049" spans="1:1">
      <c r="A18049" t="s">
        <v>18581</v>
      </c>
    </row>
    <row r="18050" spans="1:1">
      <c r="A18050" t="s">
        <v>18582</v>
      </c>
    </row>
    <row r="18051" spans="1:1">
      <c r="A18051" t="s">
        <v>18583</v>
      </c>
    </row>
    <row r="18052" spans="1:1">
      <c r="A18052" t="s">
        <v>18584</v>
      </c>
    </row>
    <row r="18053" spans="1:1">
      <c r="A18053" t="s">
        <v>18585</v>
      </c>
    </row>
    <row r="18054" spans="1:1">
      <c r="A18054" t="s">
        <v>18586</v>
      </c>
    </row>
    <row r="18055" spans="1:1">
      <c r="A18055" t="s">
        <v>18587</v>
      </c>
    </row>
    <row r="18056" spans="1:1">
      <c r="A18056" t="s">
        <v>18588</v>
      </c>
    </row>
    <row r="18057" spans="1:1">
      <c r="A18057" t="s">
        <v>18589</v>
      </c>
    </row>
    <row r="18058" spans="1:1">
      <c r="A18058" t="s">
        <v>18590</v>
      </c>
    </row>
    <row r="18059" spans="1:1">
      <c r="A18059" t="s">
        <v>18591</v>
      </c>
    </row>
    <row r="18060" spans="1:1">
      <c r="A18060" t="s">
        <v>18592</v>
      </c>
    </row>
    <row r="18061" spans="1:1">
      <c r="A18061" t="s">
        <v>18593</v>
      </c>
    </row>
    <row r="18062" spans="1:1">
      <c r="A18062" t="s">
        <v>18594</v>
      </c>
    </row>
    <row r="18063" spans="1:1">
      <c r="A18063" t="s">
        <v>18595</v>
      </c>
    </row>
    <row r="18064" spans="1:1">
      <c r="A18064" t="s">
        <v>18596</v>
      </c>
    </row>
    <row r="18065" spans="1:1">
      <c r="A18065" t="s">
        <v>18597</v>
      </c>
    </row>
    <row r="18066" spans="1:1">
      <c r="A18066" t="s">
        <v>18598</v>
      </c>
    </row>
    <row r="18067" spans="1:1">
      <c r="A18067" t="s">
        <v>18599</v>
      </c>
    </row>
    <row r="18068" spans="1:1">
      <c r="A18068" t="s">
        <v>18600</v>
      </c>
    </row>
    <row r="18069" spans="1:1">
      <c r="A18069" t="s">
        <v>18601</v>
      </c>
    </row>
    <row r="18070" spans="1:1">
      <c r="A18070" t="s">
        <v>18602</v>
      </c>
    </row>
    <row r="18071" spans="1:1">
      <c r="A18071" t="s">
        <v>18603</v>
      </c>
    </row>
    <row r="18072" spans="1:1">
      <c r="A18072" t="s">
        <v>18604</v>
      </c>
    </row>
    <row r="18073" spans="1:1">
      <c r="A18073" t="s">
        <v>18605</v>
      </c>
    </row>
    <row r="18074" spans="1:1">
      <c r="A18074" t="s">
        <v>18606</v>
      </c>
    </row>
    <row r="18075" spans="1:1">
      <c r="A18075" t="s">
        <v>18607</v>
      </c>
    </row>
    <row r="18076" spans="1:1">
      <c r="A18076" t="s">
        <v>18608</v>
      </c>
    </row>
    <row r="18077" spans="1:1">
      <c r="A18077" t="s">
        <v>18609</v>
      </c>
    </row>
    <row r="18078" spans="1:1">
      <c r="A18078" t="s">
        <v>18610</v>
      </c>
    </row>
    <row r="18079" spans="1:1">
      <c r="A18079" t="s">
        <v>18611</v>
      </c>
    </row>
    <row r="18080" spans="1:1">
      <c r="A18080" t="s">
        <v>18612</v>
      </c>
    </row>
    <row r="18081" spans="1:1">
      <c r="A18081" t="s">
        <v>18613</v>
      </c>
    </row>
    <row r="18082" spans="1:1">
      <c r="A18082" t="s">
        <v>18614</v>
      </c>
    </row>
    <row r="18083" spans="1:1">
      <c r="A18083" t="s">
        <v>18615</v>
      </c>
    </row>
    <row r="18084" spans="1:1">
      <c r="A18084" t="s">
        <v>18616</v>
      </c>
    </row>
    <row r="18085" spans="1:1">
      <c r="A18085" t="s">
        <v>18617</v>
      </c>
    </row>
    <row r="18086" spans="1:1">
      <c r="A18086" t="s">
        <v>18618</v>
      </c>
    </row>
    <row r="18087" spans="1:1">
      <c r="A18087" t="s">
        <v>18619</v>
      </c>
    </row>
    <row r="18088" spans="1:1">
      <c r="A18088" t="s">
        <v>18620</v>
      </c>
    </row>
    <row r="18089" spans="1:1">
      <c r="A18089" t="s">
        <v>18621</v>
      </c>
    </row>
    <row r="18090" spans="1:1">
      <c r="A18090" t="s">
        <v>18622</v>
      </c>
    </row>
    <row r="18091" spans="1:1">
      <c r="A18091" t="s">
        <v>18623</v>
      </c>
    </row>
    <row r="18092" spans="1:1">
      <c r="A18092" t="s">
        <v>18624</v>
      </c>
    </row>
    <row r="18093" spans="1:1">
      <c r="A18093" t="s">
        <v>18625</v>
      </c>
    </row>
    <row r="18094" spans="1:1">
      <c r="A18094" t="s">
        <v>18626</v>
      </c>
    </row>
    <row r="18095" spans="1:1">
      <c r="A18095" t="s">
        <v>18627</v>
      </c>
    </row>
    <row r="18096" spans="1:1">
      <c r="A18096" t="s">
        <v>18628</v>
      </c>
    </row>
    <row r="18097" spans="1:1">
      <c r="A18097" t="s">
        <v>18629</v>
      </c>
    </row>
    <row r="18098" spans="1:1">
      <c r="A18098" t="s">
        <v>18630</v>
      </c>
    </row>
    <row r="18099" spans="1:1">
      <c r="A18099" t="s">
        <v>18631</v>
      </c>
    </row>
    <row r="18100" spans="1:1">
      <c r="A18100" t="s">
        <v>18632</v>
      </c>
    </row>
    <row r="18101" spans="1:1">
      <c r="A18101" t="s">
        <v>18633</v>
      </c>
    </row>
    <row r="18102" spans="1:1">
      <c r="A18102" t="s">
        <v>18634</v>
      </c>
    </row>
    <row r="18103" spans="1:1">
      <c r="A18103" t="s">
        <v>18635</v>
      </c>
    </row>
    <row r="18104" spans="1:1">
      <c r="A18104" t="s">
        <v>18636</v>
      </c>
    </row>
    <row r="18105" spans="1:1">
      <c r="A18105" t="s">
        <v>18637</v>
      </c>
    </row>
    <row r="18106" spans="1:1">
      <c r="A18106" t="s">
        <v>18638</v>
      </c>
    </row>
    <row r="18107" spans="1:1">
      <c r="A18107" t="s">
        <v>18639</v>
      </c>
    </row>
    <row r="18108" spans="1:1">
      <c r="A18108" t="s">
        <v>18640</v>
      </c>
    </row>
    <row r="18109" spans="1:1">
      <c r="A18109" t="s">
        <v>18641</v>
      </c>
    </row>
    <row r="18110" spans="1:1">
      <c r="A18110" t="s">
        <v>18642</v>
      </c>
    </row>
    <row r="18111" spans="1:1">
      <c r="A18111" t="s">
        <v>18643</v>
      </c>
    </row>
    <row r="18112" spans="1:1">
      <c r="A18112" t="s">
        <v>18644</v>
      </c>
    </row>
    <row r="18113" spans="1:1">
      <c r="A18113" t="s">
        <v>18645</v>
      </c>
    </row>
    <row r="18114" spans="1:1">
      <c r="A18114" t="s">
        <v>18646</v>
      </c>
    </row>
    <row r="18115" spans="1:1">
      <c r="A18115" t="s">
        <v>18647</v>
      </c>
    </row>
    <row r="18116" spans="1:1">
      <c r="A18116" t="s">
        <v>18648</v>
      </c>
    </row>
    <row r="18117" spans="1:1">
      <c r="A18117" t="s">
        <v>18649</v>
      </c>
    </row>
    <row r="18118" spans="1:1">
      <c r="A18118" t="s">
        <v>18650</v>
      </c>
    </row>
    <row r="18119" spans="1:1">
      <c r="A18119" t="s">
        <v>18651</v>
      </c>
    </row>
    <row r="18120" spans="1:1">
      <c r="A18120" t="s">
        <v>18652</v>
      </c>
    </row>
    <row r="18121" spans="1:1">
      <c r="A18121" t="s">
        <v>18653</v>
      </c>
    </row>
    <row r="18122" spans="1:1">
      <c r="A18122" t="s">
        <v>18654</v>
      </c>
    </row>
    <row r="18123" spans="1:1">
      <c r="A18123" t="s">
        <v>18655</v>
      </c>
    </row>
    <row r="18124" spans="1:1">
      <c r="A18124" t="s">
        <v>18656</v>
      </c>
    </row>
    <row r="18125" spans="1:1">
      <c r="A18125" t="s">
        <v>18657</v>
      </c>
    </row>
    <row r="18126" spans="1:1">
      <c r="A18126" t="s">
        <v>18658</v>
      </c>
    </row>
    <row r="18127" spans="1:1">
      <c r="A18127" t="s">
        <v>18659</v>
      </c>
    </row>
    <row r="18128" spans="1:1">
      <c r="A18128" t="s">
        <v>18660</v>
      </c>
    </row>
    <row r="18129" spans="1:1">
      <c r="A18129" t="s">
        <v>18661</v>
      </c>
    </row>
    <row r="18130" spans="1:1">
      <c r="A18130" t="s">
        <v>18662</v>
      </c>
    </row>
    <row r="18131" spans="1:1">
      <c r="A18131" t="s">
        <v>18663</v>
      </c>
    </row>
    <row r="18132" spans="1:1">
      <c r="A18132" t="s">
        <v>18664</v>
      </c>
    </row>
    <row r="18133" spans="1:1">
      <c r="A18133" t="s">
        <v>18665</v>
      </c>
    </row>
    <row r="18134" spans="1:1">
      <c r="A18134" t="s">
        <v>18666</v>
      </c>
    </row>
    <row r="18135" spans="1:1">
      <c r="A18135" t="s">
        <v>18667</v>
      </c>
    </row>
    <row r="18136" spans="1:1">
      <c r="A18136" t="s">
        <v>18668</v>
      </c>
    </row>
    <row r="18137" spans="1:1">
      <c r="A18137" t="s">
        <v>18669</v>
      </c>
    </row>
    <row r="18138" spans="1:1">
      <c r="A18138" t="s">
        <v>18670</v>
      </c>
    </row>
    <row r="18139" spans="1:1">
      <c r="A18139" t="s">
        <v>18671</v>
      </c>
    </row>
    <row r="18140" spans="1:1">
      <c r="A18140" t="s">
        <v>18672</v>
      </c>
    </row>
    <row r="18141" spans="1:1">
      <c r="A18141" t="s">
        <v>18673</v>
      </c>
    </row>
    <row r="18142" spans="1:1">
      <c r="A18142" t="s">
        <v>18674</v>
      </c>
    </row>
    <row r="18143" spans="1:1">
      <c r="A18143" t="s">
        <v>18675</v>
      </c>
    </row>
    <row r="18144" spans="1:1">
      <c r="A18144" t="s">
        <v>18676</v>
      </c>
    </row>
    <row r="18145" spans="1:1">
      <c r="A18145" t="s">
        <v>18677</v>
      </c>
    </row>
    <row r="18146" spans="1:1">
      <c r="A18146" t="s">
        <v>18678</v>
      </c>
    </row>
    <row r="18147" spans="1:1">
      <c r="A18147" t="s">
        <v>18679</v>
      </c>
    </row>
    <row r="18148" spans="1:1">
      <c r="A18148" t="s">
        <v>18680</v>
      </c>
    </row>
    <row r="18149" spans="1:1">
      <c r="A18149" t="s">
        <v>18681</v>
      </c>
    </row>
    <row r="18150" spans="1:1">
      <c r="A18150" t="s">
        <v>18682</v>
      </c>
    </row>
    <row r="18151" spans="1:1">
      <c r="A18151" t="s">
        <v>18683</v>
      </c>
    </row>
    <row r="18152" spans="1:1">
      <c r="A18152" t="s">
        <v>18684</v>
      </c>
    </row>
    <row r="18153" spans="1:1">
      <c r="A18153" t="s">
        <v>18685</v>
      </c>
    </row>
    <row r="18154" spans="1:1">
      <c r="A18154" t="s">
        <v>18686</v>
      </c>
    </row>
    <row r="18155" spans="1:1">
      <c r="A18155" t="s">
        <v>18687</v>
      </c>
    </row>
    <row r="18156" spans="1:1">
      <c r="A18156" t="s">
        <v>18688</v>
      </c>
    </row>
    <row r="18157" spans="1:1">
      <c r="A18157" t="s">
        <v>18689</v>
      </c>
    </row>
    <row r="18158" spans="1:1">
      <c r="A18158" t="s">
        <v>18690</v>
      </c>
    </row>
    <row r="18159" spans="1:1">
      <c r="A18159" t="s">
        <v>18691</v>
      </c>
    </row>
    <row r="18160" spans="1:1">
      <c r="A18160" t="s">
        <v>18692</v>
      </c>
    </row>
    <row r="18161" spans="1:1">
      <c r="A18161" t="s">
        <v>18693</v>
      </c>
    </row>
    <row r="18162" spans="1:1">
      <c r="A18162" t="s">
        <v>18694</v>
      </c>
    </row>
    <row r="18163" spans="1:1">
      <c r="A18163" t="s">
        <v>18695</v>
      </c>
    </row>
    <row r="18164" spans="1:1">
      <c r="A18164" t="s">
        <v>18696</v>
      </c>
    </row>
    <row r="18165" spans="1:1">
      <c r="A18165" t="s">
        <v>18697</v>
      </c>
    </row>
    <row r="18166" spans="1:1">
      <c r="A18166" t="s">
        <v>18698</v>
      </c>
    </row>
    <row r="18167" spans="1:1">
      <c r="A18167" t="s">
        <v>18699</v>
      </c>
    </row>
    <row r="18168" spans="1:1">
      <c r="A18168" t="s">
        <v>18700</v>
      </c>
    </row>
    <row r="18169" spans="1:1">
      <c r="A18169" t="s">
        <v>18701</v>
      </c>
    </row>
    <row r="18170" spans="1:1">
      <c r="A18170" t="s">
        <v>18702</v>
      </c>
    </row>
    <row r="18171" spans="1:1">
      <c r="A18171" t="s">
        <v>18703</v>
      </c>
    </row>
    <row r="18172" spans="1:1">
      <c r="A18172" t="s">
        <v>18704</v>
      </c>
    </row>
    <row r="18173" spans="1:1">
      <c r="A18173" t="s">
        <v>18705</v>
      </c>
    </row>
    <row r="18174" spans="1:1">
      <c r="A18174" t="s">
        <v>18706</v>
      </c>
    </row>
    <row r="18175" spans="1:1">
      <c r="A18175" t="s">
        <v>18707</v>
      </c>
    </row>
    <row r="18176" spans="1:1">
      <c r="A18176" t="s">
        <v>18708</v>
      </c>
    </row>
    <row r="18177" spans="1:1">
      <c r="A18177" t="s">
        <v>18709</v>
      </c>
    </row>
    <row r="18178" spans="1:1">
      <c r="A18178" t="s">
        <v>18710</v>
      </c>
    </row>
    <row r="18179" spans="1:1">
      <c r="A18179" t="s">
        <v>18711</v>
      </c>
    </row>
    <row r="18180" spans="1:1">
      <c r="A18180" t="s">
        <v>18712</v>
      </c>
    </row>
    <row r="18181" spans="1:1">
      <c r="A18181" t="s">
        <v>18713</v>
      </c>
    </row>
    <row r="18182" spans="1:1">
      <c r="A18182" t="s">
        <v>18714</v>
      </c>
    </row>
    <row r="18183" spans="1:1">
      <c r="A18183" t="s">
        <v>18715</v>
      </c>
    </row>
    <row r="18184" spans="1:1">
      <c r="A18184" t="s">
        <v>18716</v>
      </c>
    </row>
    <row r="18185" spans="1:1">
      <c r="A18185" t="s">
        <v>18717</v>
      </c>
    </row>
    <row r="18186" spans="1:1">
      <c r="A18186" t="s">
        <v>18718</v>
      </c>
    </row>
    <row r="18187" spans="1:1">
      <c r="A18187" t="s">
        <v>18719</v>
      </c>
    </row>
    <row r="18188" spans="1:1">
      <c r="A18188" t="s">
        <v>18720</v>
      </c>
    </row>
    <row r="18189" spans="1:1">
      <c r="A18189" t="s">
        <v>18721</v>
      </c>
    </row>
    <row r="18190" spans="1:1">
      <c r="A18190" t="s">
        <v>18722</v>
      </c>
    </row>
    <row r="18191" spans="1:1">
      <c r="A18191" t="s">
        <v>18723</v>
      </c>
    </row>
    <row r="18192" spans="1:1">
      <c r="A18192" t="s">
        <v>18724</v>
      </c>
    </row>
    <row r="18193" spans="1:1">
      <c r="A18193" t="s">
        <v>18725</v>
      </c>
    </row>
    <row r="18194" spans="1:1">
      <c r="A18194" t="s">
        <v>18726</v>
      </c>
    </row>
    <row r="18195" spans="1:1">
      <c r="A18195" t="s">
        <v>18727</v>
      </c>
    </row>
    <row r="18196" spans="1:1">
      <c r="A18196" t="s">
        <v>18728</v>
      </c>
    </row>
    <row r="18197" spans="1:1">
      <c r="A18197" t="s">
        <v>18729</v>
      </c>
    </row>
    <row r="18198" spans="1:1">
      <c r="A18198" t="s">
        <v>18730</v>
      </c>
    </row>
    <row r="18199" spans="1:1">
      <c r="A18199" t="s">
        <v>18731</v>
      </c>
    </row>
    <row r="18200" spans="1:1">
      <c r="A18200" t="s">
        <v>18732</v>
      </c>
    </row>
    <row r="18201" spans="1:1">
      <c r="A18201" t="s">
        <v>18733</v>
      </c>
    </row>
    <row r="18202" spans="1:1">
      <c r="A18202" t="s">
        <v>18734</v>
      </c>
    </row>
    <row r="18203" spans="1:1">
      <c r="A18203" t="s">
        <v>18735</v>
      </c>
    </row>
    <row r="18204" spans="1:1">
      <c r="A18204" t="s">
        <v>18736</v>
      </c>
    </row>
    <row r="18205" spans="1:1">
      <c r="A18205" t="s">
        <v>18737</v>
      </c>
    </row>
    <row r="18206" spans="1:1">
      <c r="A18206" t="s">
        <v>18738</v>
      </c>
    </row>
    <row r="18207" spans="1:1">
      <c r="A18207" t="s">
        <v>18739</v>
      </c>
    </row>
    <row r="18208" spans="1:1">
      <c r="A18208" t="s">
        <v>18740</v>
      </c>
    </row>
    <row r="18209" spans="1:1">
      <c r="A18209" t="s">
        <v>18741</v>
      </c>
    </row>
    <row r="18210" spans="1:1">
      <c r="A18210" t="s">
        <v>18742</v>
      </c>
    </row>
    <row r="18211" spans="1:1">
      <c r="A18211" t="s">
        <v>18743</v>
      </c>
    </row>
    <row r="18212" spans="1:1">
      <c r="A18212" t="s">
        <v>18744</v>
      </c>
    </row>
    <row r="18213" spans="1:1">
      <c r="A18213" t="s">
        <v>18745</v>
      </c>
    </row>
    <row r="18214" spans="1:1">
      <c r="A18214" t="s">
        <v>18746</v>
      </c>
    </row>
    <row r="18215" spans="1:1">
      <c r="A18215" t="s">
        <v>18747</v>
      </c>
    </row>
    <row r="18216" spans="1:1">
      <c r="A18216" t="s">
        <v>18748</v>
      </c>
    </row>
    <row r="18217" spans="1:1">
      <c r="A18217" t="s">
        <v>18749</v>
      </c>
    </row>
    <row r="18218" spans="1:1">
      <c r="A18218" t="s">
        <v>18750</v>
      </c>
    </row>
    <row r="18219" spans="1:1">
      <c r="A18219" t="s">
        <v>18751</v>
      </c>
    </row>
    <row r="18220" spans="1:1">
      <c r="A18220" t="s">
        <v>18752</v>
      </c>
    </row>
    <row r="18221" spans="1:1">
      <c r="A18221" t="s">
        <v>18753</v>
      </c>
    </row>
    <row r="18222" spans="1:1">
      <c r="A18222" t="s">
        <v>18754</v>
      </c>
    </row>
    <row r="18223" spans="1:1">
      <c r="A18223" t="s">
        <v>18755</v>
      </c>
    </row>
    <row r="18224" spans="1:1">
      <c r="A18224" t="s">
        <v>18756</v>
      </c>
    </row>
    <row r="18225" spans="1:1">
      <c r="A18225" t="s">
        <v>18757</v>
      </c>
    </row>
    <row r="18226" spans="1:1">
      <c r="A18226" t="s">
        <v>18758</v>
      </c>
    </row>
    <row r="18227" spans="1:1">
      <c r="A18227" t="s">
        <v>18759</v>
      </c>
    </row>
    <row r="18228" spans="1:1">
      <c r="A18228" t="s">
        <v>18760</v>
      </c>
    </row>
    <row r="18229" spans="1:1">
      <c r="A18229" t="s">
        <v>18761</v>
      </c>
    </row>
    <row r="18230" spans="1:1">
      <c r="A18230" t="s">
        <v>18762</v>
      </c>
    </row>
    <row r="18231" spans="1:1">
      <c r="A18231" t="s">
        <v>18763</v>
      </c>
    </row>
    <row r="18232" spans="1:1">
      <c r="A18232" t="s">
        <v>18764</v>
      </c>
    </row>
    <row r="18233" spans="1:1">
      <c r="A18233" t="s">
        <v>18765</v>
      </c>
    </row>
    <row r="18234" spans="1:1">
      <c r="A18234" t="s">
        <v>18766</v>
      </c>
    </row>
    <row r="18235" spans="1:1">
      <c r="A18235" t="s">
        <v>18767</v>
      </c>
    </row>
    <row r="18236" spans="1:1">
      <c r="A18236" t="s">
        <v>18768</v>
      </c>
    </row>
    <row r="18237" spans="1:1">
      <c r="A18237" t="s">
        <v>18769</v>
      </c>
    </row>
    <row r="18238" spans="1:1">
      <c r="A18238" t="s">
        <v>18770</v>
      </c>
    </row>
    <row r="18239" spans="1:1">
      <c r="A18239" t="s">
        <v>18771</v>
      </c>
    </row>
    <row r="18240" spans="1:1">
      <c r="A18240" t="s">
        <v>18772</v>
      </c>
    </row>
    <row r="18241" spans="1:1">
      <c r="A18241" t="s">
        <v>18773</v>
      </c>
    </row>
    <row r="18242" spans="1:1">
      <c r="A18242" t="s">
        <v>18774</v>
      </c>
    </row>
    <row r="18243" spans="1:1">
      <c r="A18243" t="s">
        <v>18775</v>
      </c>
    </row>
    <row r="18244" spans="1:1">
      <c r="A18244" t="s">
        <v>18776</v>
      </c>
    </row>
    <row r="18245" spans="1:1">
      <c r="A18245" t="s">
        <v>18777</v>
      </c>
    </row>
    <row r="18246" spans="1:1">
      <c r="A18246" t="s">
        <v>18778</v>
      </c>
    </row>
    <row r="18247" spans="1:1">
      <c r="A18247" t="s">
        <v>18779</v>
      </c>
    </row>
    <row r="18248" spans="1:1">
      <c r="A18248" t="s">
        <v>18780</v>
      </c>
    </row>
    <row r="18249" spans="1:1">
      <c r="A18249" t="s">
        <v>18781</v>
      </c>
    </row>
    <row r="18250" spans="1:1">
      <c r="A18250" t="s">
        <v>18782</v>
      </c>
    </row>
    <row r="18251" spans="1:1">
      <c r="A18251" t="s">
        <v>18783</v>
      </c>
    </row>
    <row r="18252" spans="1:1">
      <c r="A18252" t="s">
        <v>18784</v>
      </c>
    </row>
    <row r="18253" spans="1:1">
      <c r="A18253" t="s">
        <v>18785</v>
      </c>
    </row>
    <row r="18254" spans="1:1">
      <c r="A18254" t="s">
        <v>18786</v>
      </c>
    </row>
    <row r="18255" spans="1:1">
      <c r="A18255" t="s">
        <v>18787</v>
      </c>
    </row>
    <row r="18256" spans="1:1">
      <c r="A18256" t="s">
        <v>18788</v>
      </c>
    </row>
    <row r="18257" spans="1:1">
      <c r="A18257" t="s">
        <v>18789</v>
      </c>
    </row>
    <row r="18258" spans="1:1">
      <c r="A18258" t="s">
        <v>18790</v>
      </c>
    </row>
    <row r="18259" spans="1:1">
      <c r="A18259" t="s">
        <v>18791</v>
      </c>
    </row>
    <row r="18260" spans="1:1">
      <c r="A18260" t="s">
        <v>18792</v>
      </c>
    </row>
    <row r="18261" spans="1:1">
      <c r="A18261" t="s">
        <v>18793</v>
      </c>
    </row>
    <row r="18262" spans="1:1">
      <c r="A18262" t="s">
        <v>18794</v>
      </c>
    </row>
    <row r="18263" spans="1:1">
      <c r="A18263" t="s">
        <v>18795</v>
      </c>
    </row>
    <row r="18264" spans="1:1">
      <c r="A18264" t="s">
        <v>18796</v>
      </c>
    </row>
    <row r="18265" spans="1:1">
      <c r="A18265" t="s">
        <v>18797</v>
      </c>
    </row>
    <row r="18266" spans="1:1">
      <c r="A18266" t="s">
        <v>18798</v>
      </c>
    </row>
    <row r="18267" spans="1:1">
      <c r="A18267" t="s">
        <v>18799</v>
      </c>
    </row>
    <row r="18268" spans="1:1">
      <c r="A18268" t="s">
        <v>18800</v>
      </c>
    </row>
    <row r="18269" spans="1:1">
      <c r="A18269" t="s">
        <v>18801</v>
      </c>
    </row>
    <row r="18270" spans="1:1">
      <c r="A18270" t="s">
        <v>18802</v>
      </c>
    </row>
    <row r="18271" spans="1:1">
      <c r="A18271" t="s">
        <v>18803</v>
      </c>
    </row>
    <row r="18272" spans="1:1">
      <c r="A18272" t="s">
        <v>18804</v>
      </c>
    </row>
    <row r="18273" spans="1:1">
      <c r="A18273" t="s">
        <v>18805</v>
      </c>
    </row>
    <row r="18274" spans="1:1">
      <c r="A18274" t="s">
        <v>18806</v>
      </c>
    </row>
    <row r="18275" spans="1:1">
      <c r="A18275" t="s">
        <v>18807</v>
      </c>
    </row>
    <row r="18276" spans="1:1">
      <c r="A18276" t="s">
        <v>18808</v>
      </c>
    </row>
    <row r="18277" spans="1:1">
      <c r="A18277" t="s">
        <v>18809</v>
      </c>
    </row>
    <row r="18278" spans="1:1">
      <c r="A18278" t="s">
        <v>18810</v>
      </c>
    </row>
    <row r="18279" spans="1:1">
      <c r="A18279" t="s">
        <v>18811</v>
      </c>
    </row>
    <row r="18280" spans="1:1">
      <c r="A18280" t="s">
        <v>18812</v>
      </c>
    </row>
    <row r="18281" spans="1:1">
      <c r="A18281" t="s">
        <v>18813</v>
      </c>
    </row>
    <row r="18282" spans="1:1">
      <c r="A18282" t="s">
        <v>18814</v>
      </c>
    </row>
    <row r="18283" spans="1:1">
      <c r="A18283" t="s">
        <v>18815</v>
      </c>
    </row>
    <row r="18284" spans="1:1">
      <c r="A18284" t="s">
        <v>18816</v>
      </c>
    </row>
    <row r="18285" spans="1:1">
      <c r="A18285" t="s">
        <v>18817</v>
      </c>
    </row>
    <row r="18286" spans="1:1">
      <c r="A18286" t="s">
        <v>18818</v>
      </c>
    </row>
    <row r="18287" spans="1:1">
      <c r="A18287" t="s">
        <v>18819</v>
      </c>
    </row>
    <row r="18288" spans="1:1">
      <c r="A18288" t="s">
        <v>18820</v>
      </c>
    </row>
    <row r="18289" spans="1:1">
      <c r="A18289" t="s">
        <v>18821</v>
      </c>
    </row>
    <row r="18290" spans="1:1">
      <c r="A18290" t="s">
        <v>18822</v>
      </c>
    </row>
    <row r="18291" spans="1:1">
      <c r="A18291" t="s">
        <v>18823</v>
      </c>
    </row>
    <row r="18292" spans="1:1">
      <c r="A18292" t="s">
        <v>18824</v>
      </c>
    </row>
    <row r="18293" spans="1:1">
      <c r="A18293" t="s">
        <v>18825</v>
      </c>
    </row>
    <row r="18294" spans="1:1">
      <c r="A18294" t="s">
        <v>18826</v>
      </c>
    </row>
    <row r="18295" spans="1:1">
      <c r="A18295" t="s">
        <v>18827</v>
      </c>
    </row>
    <row r="18296" spans="1:1">
      <c r="A18296" t="s">
        <v>18828</v>
      </c>
    </row>
    <row r="18297" spans="1:1">
      <c r="A18297" t="s">
        <v>18829</v>
      </c>
    </row>
    <row r="18298" spans="1:1">
      <c r="A18298" t="s">
        <v>18830</v>
      </c>
    </row>
    <row r="18299" spans="1:1">
      <c r="A18299" t="s">
        <v>18831</v>
      </c>
    </row>
    <row r="18300" spans="1:1">
      <c r="A18300" t="s">
        <v>18832</v>
      </c>
    </row>
    <row r="18301" spans="1:1">
      <c r="A18301" t="s">
        <v>18833</v>
      </c>
    </row>
    <row r="18302" spans="1:1">
      <c r="A18302" t="s">
        <v>18834</v>
      </c>
    </row>
    <row r="18303" spans="1:1">
      <c r="A18303" t="s">
        <v>18835</v>
      </c>
    </row>
    <row r="18304" spans="1:1">
      <c r="A18304" t="s">
        <v>18836</v>
      </c>
    </row>
    <row r="18305" spans="1:1">
      <c r="A18305" t="s">
        <v>18837</v>
      </c>
    </row>
    <row r="18306" spans="1:1">
      <c r="A18306" t="s">
        <v>18838</v>
      </c>
    </row>
    <row r="18307" spans="1:1">
      <c r="A18307" t="s">
        <v>18839</v>
      </c>
    </row>
    <row r="18308" spans="1:1">
      <c r="A18308" t="s">
        <v>18840</v>
      </c>
    </row>
    <row r="18309" spans="1:1">
      <c r="A18309" t="s">
        <v>18841</v>
      </c>
    </row>
    <row r="18310" spans="1:1">
      <c r="A18310" t="s">
        <v>18842</v>
      </c>
    </row>
    <row r="18311" spans="1:1">
      <c r="A18311" t="s">
        <v>18843</v>
      </c>
    </row>
    <row r="18312" spans="1:1">
      <c r="A18312" t="s">
        <v>18844</v>
      </c>
    </row>
    <row r="18313" spans="1:1">
      <c r="A18313" t="s">
        <v>18845</v>
      </c>
    </row>
    <row r="18314" spans="1:1">
      <c r="A18314" t="s">
        <v>18846</v>
      </c>
    </row>
    <row r="18315" spans="1:1">
      <c r="A18315" t="s">
        <v>18847</v>
      </c>
    </row>
    <row r="18316" spans="1:1">
      <c r="A18316" t="s">
        <v>18848</v>
      </c>
    </row>
    <row r="18317" spans="1:1">
      <c r="A18317" t="s">
        <v>18849</v>
      </c>
    </row>
    <row r="18318" spans="1:1">
      <c r="A18318" t="s">
        <v>18850</v>
      </c>
    </row>
    <row r="18319" spans="1:1">
      <c r="A18319" t="s">
        <v>18851</v>
      </c>
    </row>
    <row r="18320" spans="1:1">
      <c r="A18320" t="s">
        <v>18852</v>
      </c>
    </row>
    <row r="18321" spans="1:1">
      <c r="A18321" t="s">
        <v>18853</v>
      </c>
    </row>
    <row r="18322" spans="1:1">
      <c r="A18322" t="s">
        <v>18854</v>
      </c>
    </row>
    <row r="18323" spans="1:1">
      <c r="A18323" t="s">
        <v>18855</v>
      </c>
    </row>
    <row r="18324" spans="1:1">
      <c r="A18324" t="s">
        <v>18856</v>
      </c>
    </row>
    <row r="18325" spans="1:1">
      <c r="A18325" t="s">
        <v>18857</v>
      </c>
    </row>
    <row r="18326" spans="1:1">
      <c r="A18326" t="s">
        <v>18858</v>
      </c>
    </row>
    <row r="18327" spans="1:1">
      <c r="A18327" t="s">
        <v>18859</v>
      </c>
    </row>
    <row r="18328" spans="1:1">
      <c r="A18328" t="s">
        <v>18860</v>
      </c>
    </row>
    <row r="18329" spans="1:1">
      <c r="A18329" t="s">
        <v>18861</v>
      </c>
    </row>
    <row r="18330" spans="1:1">
      <c r="A18330" t="s">
        <v>18862</v>
      </c>
    </row>
    <row r="18331" spans="1:1">
      <c r="A18331" t="s">
        <v>18863</v>
      </c>
    </row>
    <row r="18332" spans="1:1">
      <c r="A18332" t="s">
        <v>18864</v>
      </c>
    </row>
    <row r="18333" spans="1:1">
      <c r="A18333" t="s">
        <v>18865</v>
      </c>
    </row>
    <row r="18334" spans="1:1">
      <c r="A18334" t="s">
        <v>18866</v>
      </c>
    </row>
    <row r="18335" spans="1:1">
      <c r="A18335" t="s">
        <v>18867</v>
      </c>
    </row>
    <row r="18336" spans="1:1">
      <c r="A18336" t="s">
        <v>18868</v>
      </c>
    </row>
    <row r="18337" spans="1:1">
      <c r="A18337" t="s">
        <v>18869</v>
      </c>
    </row>
    <row r="18338" spans="1:1">
      <c r="A18338" t="s">
        <v>18870</v>
      </c>
    </row>
    <row r="18339" spans="1:1">
      <c r="A18339" t="s">
        <v>18871</v>
      </c>
    </row>
    <row r="18340" spans="1:1">
      <c r="A18340" t="s">
        <v>18872</v>
      </c>
    </row>
    <row r="18341" spans="1:1">
      <c r="A18341" t="s">
        <v>18873</v>
      </c>
    </row>
    <row r="18342" spans="1:1">
      <c r="A18342" t="s">
        <v>18874</v>
      </c>
    </row>
    <row r="18343" spans="1:1">
      <c r="A18343" t="s">
        <v>18875</v>
      </c>
    </row>
    <row r="18344" spans="1:1">
      <c r="A18344" t="s">
        <v>18876</v>
      </c>
    </row>
    <row r="18345" spans="1:1">
      <c r="A18345" t="s">
        <v>18877</v>
      </c>
    </row>
    <row r="18346" spans="1:1">
      <c r="A18346" t="s">
        <v>18878</v>
      </c>
    </row>
    <row r="18347" spans="1:1">
      <c r="A18347" t="s">
        <v>18879</v>
      </c>
    </row>
    <row r="18348" spans="1:1">
      <c r="A18348" t="s">
        <v>18880</v>
      </c>
    </row>
    <row r="18349" spans="1:1">
      <c r="A18349" t="s">
        <v>18881</v>
      </c>
    </row>
    <row r="18350" spans="1:1">
      <c r="A18350" t="s">
        <v>18882</v>
      </c>
    </row>
    <row r="18351" spans="1:1">
      <c r="A18351" t="s">
        <v>18883</v>
      </c>
    </row>
    <row r="18352" spans="1:1">
      <c r="A18352" t="s">
        <v>18884</v>
      </c>
    </row>
    <row r="18353" spans="1:1">
      <c r="A18353" t="s">
        <v>18885</v>
      </c>
    </row>
    <row r="18354" spans="1:1">
      <c r="A18354" t="s">
        <v>18886</v>
      </c>
    </row>
    <row r="18355" spans="1:1">
      <c r="A18355" t="s">
        <v>18887</v>
      </c>
    </row>
    <row r="18356" spans="1:1">
      <c r="A18356" t="s">
        <v>18888</v>
      </c>
    </row>
    <row r="18357" spans="1:1">
      <c r="A18357" t="s">
        <v>18889</v>
      </c>
    </row>
    <row r="18358" spans="1:1">
      <c r="A18358" t="s">
        <v>18890</v>
      </c>
    </row>
    <row r="18359" spans="1:1">
      <c r="A18359" t="s">
        <v>18891</v>
      </c>
    </row>
    <row r="18360" spans="1:1">
      <c r="A18360" t="s">
        <v>18892</v>
      </c>
    </row>
    <row r="18361" spans="1:1">
      <c r="A18361" t="s">
        <v>18893</v>
      </c>
    </row>
    <row r="18362" spans="1:1">
      <c r="A18362" t="s">
        <v>18894</v>
      </c>
    </row>
    <row r="18363" spans="1:1">
      <c r="A18363" t="s">
        <v>18895</v>
      </c>
    </row>
    <row r="18364" spans="1:1">
      <c r="A18364" t="s">
        <v>18896</v>
      </c>
    </row>
    <row r="18365" spans="1:1">
      <c r="A18365" t="s">
        <v>18897</v>
      </c>
    </row>
    <row r="18366" spans="1:1">
      <c r="A18366" t="s">
        <v>18898</v>
      </c>
    </row>
    <row r="18367" spans="1:1">
      <c r="A18367" t="s">
        <v>18899</v>
      </c>
    </row>
    <row r="18368" spans="1:1">
      <c r="A18368" t="s">
        <v>18900</v>
      </c>
    </row>
    <row r="18369" spans="1:1">
      <c r="A18369" t="s">
        <v>18901</v>
      </c>
    </row>
    <row r="18370" spans="1:1">
      <c r="A18370" t="s">
        <v>18902</v>
      </c>
    </row>
    <row r="18371" spans="1:1">
      <c r="A18371" t="s">
        <v>18903</v>
      </c>
    </row>
    <row r="18372" spans="1:1">
      <c r="A18372" t="s">
        <v>18904</v>
      </c>
    </row>
    <row r="18373" spans="1:1">
      <c r="A18373" t="s">
        <v>18905</v>
      </c>
    </row>
    <row r="18374" spans="1:1">
      <c r="A18374" t="s">
        <v>18906</v>
      </c>
    </row>
    <row r="18375" spans="1:1">
      <c r="A18375" t="s">
        <v>18907</v>
      </c>
    </row>
    <row r="18376" spans="1:1">
      <c r="A18376" t="s">
        <v>18908</v>
      </c>
    </row>
    <row r="18377" spans="1:1">
      <c r="A18377" t="s">
        <v>18909</v>
      </c>
    </row>
    <row r="18378" spans="1:1">
      <c r="A18378" t="s">
        <v>18910</v>
      </c>
    </row>
    <row r="18379" spans="1:1">
      <c r="A18379" t="s">
        <v>18911</v>
      </c>
    </row>
    <row r="18380" spans="1:1">
      <c r="A18380" t="s">
        <v>18912</v>
      </c>
    </row>
    <row r="18381" spans="1:1">
      <c r="A18381" t="s">
        <v>18913</v>
      </c>
    </row>
    <row r="18382" spans="1:1">
      <c r="A18382" t="s">
        <v>18914</v>
      </c>
    </row>
    <row r="18383" spans="1:1">
      <c r="A18383" t="s">
        <v>18915</v>
      </c>
    </row>
    <row r="18384" spans="1:1">
      <c r="A18384" t="s">
        <v>18916</v>
      </c>
    </row>
    <row r="18385" spans="1:1">
      <c r="A18385" t="s">
        <v>18917</v>
      </c>
    </row>
    <row r="18386" spans="1:1">
      <c r="A18386" t="s">
        <v>18918</v>
      </c>
    </row>
    <row r="18387" spans="1:1">
      <c r="A18387" t="s">
        <v>18919</v>
      </c>
    </row>
    <row r="18388" spans="1:1">
      <c r="A18388" t="s">
        <v>18920</v>
      </c>
    </row>
    <row r="18389" spans="1:1">
      <c r="A18389" t="s">
        <v>18921</v>
      </c>
    </row>
    <row r="18390" spans="1:1">
      <c r="A18390" t="s">
        <v>18922</v>
      </c>
    </row>
    <row r="18391" spans="1:1">
      <c r="A18391" t="s">
        <v>18923</v>
      </c>
    </row>
    <row r="18392" spans="1:1">
      <c r="A18392" t="s">
        <v>18924</v>
      </c>
    </row>
    <row r="18393" spans="1:1">
      <c r="A18393" t="s">
        <v>18925</v>
      </c>
    </row>
    <row r="18394" spans="1:1">
      <c r="A18394" t="s">
        <v>18926</v>
      </c>
    </row>
    <row r="18395" spans="1:1">
      <c r="A18395" t="s">
        <v>18927</v>
      </c>
    </row>
    <row r="18396" spans="1:1">
      <c r="A18396" t="s">
        <v>18928</v>
      </c>
    </row>
    <row r="18397" spans="1:1">
      <c r="A18397" t="s">
        <v>18929</v>
      </c>
    </row>
    <row r="18398" spans="1:1">
      <c r="A18398" t="s">
        <v>18930</v>
      </c>
    </row>
    <row r="18399" spans="1:1">
      <c r="A18399" t="s">
        <v>18931</v>
      </c>
    </row>
    <row r="18400" spans="1:1">
      <c r="A18400" t="s">
        <v>18932</v>
      </c>
    </row>
    <row r="18401" spans="1:1">
      <c r="A18401" t="s">
        <v>18933</v>
      </c>
    </row>
    <row r="18402" spans="1:1">
      <c r="A18402" t="s">
        <v>18934</v>
      </c>
    </row>
    <row r="18403" spans="1:1">
      <c r="A18403" t="s">
        <v>18935</v>
      </c>
    </row>
    <row r="18404" spans="1:1">
      <c r="A18404" t="s">
        <v>18936</v>
      </c>
    </row>
    <row r="18405" spans="1:1">
      <c r="A18405" t="s">
        <v>18937</v>
      </c>
    </row>
    <row r="18406" spans="1:1">
      <c r="A18406" t="s">
        <v>18938</v>
      </c>
    </row>
    <row r="18407" spans="1:1">
      <c r="A18407" t="s">
        <v>18939</v>
      </c>
    </row>
    <row r="18408" spans="1:1">
      <c r="A18408" t="s">
        <v>18940</v>
      </c>
    </row>
    <row r="18409" spans="1:1">
      <c r="A18409" t="s">
        <v>18941</v>
      </c>
    </row>
    <row r="18410" spans="1:1">
      <c r="A18410" t="s">
        <v>18942</v>
      </c>
    </row>
    <row r="18411" spans="1:1">
      <c r="A18411" t="s">
        <v>18943</v>
      </c>
    </row>
    <row r="18412" spans="1:1">
      <c r="A18412" t="s">
        <v>18944</v>
      </c>
    </row>
    <row r="18413" spans="1:1">
      <c r="A18413" t="s">
        <v>18945</v>
      </c>
    </row>
    <row r="18414" spans="1:1">
      <c r="A18414" t="s">
        <v>18946</v>
      </c>
    </row>
    <row r="18415" spans="1:1">
      <c r="A18415" t="s">
        <v>18947</v>
      </c>
    </row>
    <row r="18416" spans="1:1">
      <c r="A18416" t="s">
        <v>18948</v>
      </c>
    </row>
    <row r="18417" spans="1:1">
      <c r="A18417" t="s">
        <v>18949</v>
      </c>
    </row>
    <row r="18418" spans="1:1">
      <c r="A18418" t="s">
        <v>18950</v>
      </c>
    </row>
    <row r="18419" spans="1:1">
      <c r="A18419" t="s">
        <v>18951</v>
      </c>
    </row>
    <row r="18420" spans="1:1">
      <c r="A18420" t="s">
        <v>18952</v>
      </c>
    </row>
    <row r="18421" spans="1:1">
      <c r="A18421" t="s">
        <v>18953</v>
      </c>
    </row>
    <row r="18422" spans="1:1">
      <c r="A18422" t="s">
        <v>18954</v>
      </c>
    </row>
    <row r="18423" spans="1:1">
      <c r="A18423" t="s">
        <v>18955</v>
      </c>
    </row>
    <row r="18424" spans="1:1">
      <c r="A18424" t="s">
        <v>18956</v>
      </c>
    </row>
    <row r="18425" spans="1:1">
      <c r="A18425" t="s">
        <v>18957</v>
      </c>
    </row>
    <row r="18426" spans="1:1">
      <c r="A18426" t="s">
        <v>18958</v>
      </c>
    </row>
    <row r="18427" spans="1:1">
      <c r="A18427" t="s">
        <v>18959</v>
      </c>
    </row>
    <row r="18428" spans="1:1">
      <c r="A18428" t="s">
        <v>18960</v>
      </c>
    </row>
    <row r="18429" spans="1:1">
      <c r="A18429" t="s">
        <v>18961</v>
      </c>
    </row>
    <row r="18430" spans="1:1">
      <c r="A18430" t="s">
        <v>18962</v>
      </c>
    </row>
    <row r="18431" spans="1:1">
      <c r="A18431" t="s">
        <v>18963</v>
      </c>
    </row>
    <row r="18432" spans="1:1">
      <c r="A18432" t="s">
        <v>18964</v>
      </c>
    </row>
    <row r="18433" spans="1:1">
      <c r="A18433" t="s">
        <v>18965</v>
      </c>
    </row>
    <row r="18434" spans="1:1">
      <c r="A18434" t="s">
        <v>18966</v>
      </c>
    </row>
    <row r="18435" spans="1:1">
      <c r="A18435" t="s">
        <v>18967</v>
      </c>
    </row>
    <row r="18436" spans="1:1">
      <c r="A18436" t="s">
        <v>18968</v>
      </c>
    </row>
    <row r="18437" spans="1:1">
      <c r="A18437" t="s">
        <v>18969</v>
      </c>
    </row>
    <row r="18438" spans="1:1">
      <c r="A18438" t="s">
        <v>18970</v>
      </c>
    </row>
    <row r="18439" spans="1:1">
      <c r="A18439" t="s">
        <v>18971</v>
      </c>
    </row>
    <row r="18440" spans="1:1">
      <c r="A18440" t="s">
        <v>18972</v>
      </c>
    </row>
    <row r="18441" spans="1:1">
      <c r="A18441" t="s">
        <v>18973</v>
      </c>
    </row>
    <row r="18442" spans="1:1">
      <c r="A18442" t="s">
        <v>18974</v>
      </c>
    </row>
    <row r="18443" spans="1:1">
      <c r="A18443" t="s">
        <v>18975</v>
      </c>
    </row>
    <row r="18444" spans="1:1">
      <c r="A18444" t="s">
        <v>18976</v>
      </c>
    </row>
    <row r="18445" spans="1:1">
      <c r="A18445" t="s">
        <v>18977</v>
      </c>
    </row>
    <row r="18446" spans="1:1">
      <c r="A18446" t="s">
        <v>18978</v>
      </c>
    </row>
    <row r="18447" spans="1:1">
      <c r="A18447" t="s">
        <v>18979</v>
      </c>
    </row>
    <row r="18448" spans="1:1">
      <c r="A18448" t="s">
        <v>18980</v>
      </c>
    </row>
    <row r="18449" spans="1:1">
      <c r="A18449" t="s">
        <v>18981</v>
      </c>
    </row>
    <row r="18450" spans="1:1">
      <c r="A18450" t="s">
        <v>18982</v>
      </c>
    </row>
    <row r="18451" spans="1:1">
      <c r="A18451" t="s">
        <v>18983</v>
      </c>
    </row>
    <row r="18452" spans="1:1">
      <c r="A18452" t="s">
        <v>18984</v>
      </c>
    </row>
    <row r="18453" spans="1:1">
      <c r="A18453" t="s">
        <v>18985</v>
      </c>
    </row>
    <row r="18454" spans="1:1">
      <c r="A18454" t="s">
        <v>18986</v>
      </c>
    </row>
    <row r="18455" spans="1:1">
      <c r="A18455" t="s">
        <v>18987</v>
      </c>
    </row>
    <row r="18456" spans="1:1">
      <c r="A18456" t="s">
        <v>18988</v>
      </c>
    </row>
    <row r="18457" spans="1:1">
      <c r="A18457" t="s">
        <v>18989</v>
      </c>
    </row>
    <row r="18458" spans="1:1">
      <c r="A18458" t="s">
        <v>18990</v>
      </c>
    </row>
    <row r="18459" spans="1:1">
      <c r="A18459" t="s">
        <v>18991</v>
      </c>
    </row>
    <row r="18460" spans="1:1">
      <c r="A18460" t="s">
        <v>18992</v>
      </c>
    </row>
    <row r="18461" spans="1:1">
      <c r="A18461" t="s">
        <v>18993</v>
      </c>
    </row>
    <row r="18462" spans="1:1">
      <c r="A18462" t="s">
        <v>18994</v>
      </c>
    </row>
    <row r="18463" spans="1:1">
      <c r="A18463" t="s">
        <v>18995</v>
      </c>
    </row>
    <row r="18464" spans="1:1">
      <c r="A18464" t="s">
        <v>18996</v>
      </c>
    </row>
    <row r="18465" spans="1:1">
      <c r="A18465" t="s">
        <v>18997</v>
      </c>
    </row>
    <row r="18466" spans="1:1">
      <c r="A18466" t="s">
        <v>18998</v>
      </c>
    </row>
    <row r="18467" spans="1:1">
      <c r="A18467" t="s">
        <v>18999</v>
      </c>
    </row>
    <row r="18468" spans="1:1">
      <c r="A18468" t="s">
        <v>19000</v>
      </c>
    </row>
    <row r="18469" spans="1:1">
      <c r="A18469" t="s">
        <v>19001</v>
      </c>
    </row>
    <row r="18470" spans="1:1">
      <c r="A18470" t="s">
        <v>19002</v>
      </c>
    </row>
    <row r="18471" spans="1:1">
      <c r="A18471" t="s">
        <v>19003</v>
      </c>
    </row>
    <row r="18472" spans="1:1">
      <c r="A18472" t="s">
        <v>19004</v>
      </c>
    </row>
    <row r="18473" spans="1:1">
      <c r="A18473" t="s">
        <v>19005</v>
      </c>
    </row>
    <row r="18474" spans="1:1">
      <c r="A18474" t="s">
        <v>19006</v>
      </c>
    </row>
    <row r="18475" spans="1:1">
      <c r="A18475" t="s">
        <v>19007</v>
      </c>
    </row>
    <row r="18476" spans="1:1">
      <c r="A18476" t="s">
        <v>19008</v>
      </c>
    </row>
    <row r="18477" spans="1:1">
      <c r="A18477" t="s">
        <v>19009</v>
      </c>
    </row>
    <row r="18478" spans="1:1">
      <c r="A18478" t="s">
        <v>19010</v>
      </c>
    </row>
    <row r="18479" spans="1:1">
      <c r="A18479" t="s">
        <v>19011</v>
      </c>
    </row>
    <row r="18480" spans="1:1">
      <c r="A18480" t="s">
        <v>19012</v>
      </c>
    </row>
    <row r="18481" spans="1:1">
      <c r="A18481" t="s">
        <v>19013</v>
      </c>
    </row>
    <row r="18482" spans="1:1">
      <c r="A18482" t="s">
        <v>19014</v>
      </c>
    </row>
    <row r="18483" spans="1:1">
      <c r="A18483" t="s">
        <v>19015</v>
      </c>
    </row>
    <row r="18484" spans="1:1">
      <c r="A18484" t="s">
        <v>19016</v>
      </c>
    </row>
    <row r="18485" spans="1:1">
      <c r="A18485" t="s">
        <v>19017</v>
      </c>
    </row>
    <row r="18486" spans="1:1">
      <c r="A18486" t="s">
        <v>19018</v>
      </c>
    </row>
    <row r="18487" spans="1:1">
      <c r="A18487" t="s">
        <v>19019</v>
      </c>
    </row>
    <row r="18488" spans="1:1">
      <c r="A18488" t="s">
        <v>19020</v>
      </c>
    </row>
    <row r="18489" spans="1:1">
      <c r="A18489" t="s">
        <v>19021</v>
      </c>
    </row>
    <row r="18490" spans="1:1">
      <c r="A18490" t="s">
        <v>19022</v>
      </c>
    </row>
    <row r="18491" spans="1:1">
      <c r="A18491" t="s">
        <v>19023</v>
      </c>
    </row>
    <row r="18492" spans="1:1">
      <c r="A18492" t="s">
        <v>19024</v>
      </c>
    </row>
    <row r="18493" spans="1:1">
      <c r="A18493" t="s">
        <v>19025</v>
      </c>
    </row>
    <row r="18494" spans="1:1">
      <c r="A18494" t="s">
        <v>19026</v>
      </c>
    </row>
    <row r="18495" spans="1:1">
      <c r="A18495" t="s">
        <v>19027</v>
      </c>
    </row>
    <row r="18496" spans="1:1">
      <c r="A18496" t="s">
        <v>19028</v>
      </c>
    </row>
    <row r="18497" spans="1:1">
      <c r="A18497" t="s">
        <v>19029</v>
      </c>
    </row>
    <row r="18498" spans="1:1">
      <c r="A18498" t="s">
        <v>19030</v>
      </c>
    </row>
    <row r="18499" spans="1:1">
      <c r="A18499" t="s">
        <v>19031</v>
      </c>
    </row>
    <row r="18500" spans="1:1">
      <c r="A18500" t="s">
        <v>19032</v>
      </c>
    </row>
    <row r="18501" spans="1:1">
      <c r="A18501" t="s">
        <v>19033</v>
      </c>
    </row>
    <row r="18502" spans="1:1">
      <c r="A18502" t="s">
        <v>19034</v>
      </c>
    </row>
    <row r="18503" spans="1:1">
      <c r="A18503" t="s">
        <v>19035</v>
      </c>
    </row>
    <row r="18504" spans="1:1">
      <c r="A18504" t="s">
        <v>19036</v>
      </c>
    </row>
    <row r="18505" spans="1:1">
      <c r="A18505" t="s">
        <v>19037</v>
      </c>
    </row>
    <row r="18506" spans="1:1">
      <c r="A18506" t="s">
        <v>19038</v>
      </c>
    </row>
    <row r="18507" spans="1:1">
      <c r="A18507" t="s">
        <v>19039</v>
      </c>
    </row>
    <row r="18508" spans="1:1">
      <c r="A18508" t="s">
        <v>19040</v>
      </c>
    </row>
    <row r="18509" spans="1:1">
      <c r="A18509" t="s">
        <v>19041</v>
      </c>
    </row>
    <row r="18510" spans="1:1">
      <c r="A18510" t="s">
        <v>19042</v>
      </c>
    </row>
    <row r="18511" spans="1:1">
      <c r="A18511" t="s">
        <v>19043</v>
      </c>
    </row>
    <row r="18512" spans="1:1">
      <c r="A18512" t="s">
        <v>19044</v>
      </c>
    </row>
    <row r="18513" spans="1:1">
      <c r="A18513" t="s">
        <v>19045</v>
      </c>
    </row>
    <row r="18514" spans="1:1">
      <c r="A18514" t="s">
        <v>19046</v>
      </c>
    </row>
    <row r="18515" spans="1:1">
      <c r="A18515" t="s">
        <v>19047</v>
      </c>
    </row>
    <row r="18516" spans="1:1">
      <c r="A18516" t="s">
        <v>19048</v>
      </c>
    </row>
    <row r="18517" spans="1:1">
      <c r="A18517" t="s">
        <v>19049</v>
      </c>
    </row>
    <row r="18518" spans="1:1">
      <c r="A18518" t="s">
        <v>19050</v>
      </c>
    </row>
    <row r="18519" spans="1:1">
      <c r="A18519" t="s">
        <v>19051</v>
      </c>
    </row>
    <row r="18520" spans="1:1">
      <c r="A18520" t="s">
        <v>19052</v>
      </c>
    </row>
    <row r="18521" spans="1:1">
      <c r="A18521" t="s">
        <v>19053</v>
      </c>
    </row>
    <row r="18522" spans="1:1">
      <c r="A18522" t="s">
        <v>19054</v>
      </c>
    </row>
    <row r="18523" spans="1:1">
      <c r="A18523" t="s">
        <v>19055</v>
      </c>
    </row>
    <row r="18524" spans="1:1">
      <c r="A18524" t="s">
        <v>19056</v>
      </c>
    </row>
    <row r="18525" spans="1:1">
      <c r="A18525" t="s">
        <v>19057</v>
      </c>
    </row>
    <row r="18526" spans="1:1">
      <c r="A18526" t="s">
        <v>19058</v>
      </c>
    </row>
    <row r="18527" spans="1:1">
      <c r="A18527" t="s">
        <v>19059</v>
      </c>
    </row>
    <row r="18528" spans="1:1">
      <c r="A18528" t="s">
        <v>19060</v>
      </c>
    </row>
    <row r="18529" spans="1:1">
      <c r="A18529" t="s">
        <v>19061</v>
      </c>
    </row>
    <row r="18530" spans="1:1">
      <c r="A18530" t="s">
        <v>19062</v>
      </c>
    </row>
    <row r="18531" spans="1:1">
      <c r="A18531" t="s">
        <v>19063</v>
      </c>
    </row>
    <row r="18532" spans="1:1">
      <c r="A18532" t="s">
        <v>19064</v>
      </c>
    </row>
    <row r="18533" spans="1:1">
      <c r="A18533" t="s">
        <v>19065</v>
      </c>
    </row>
    <row r="18534" spans="1:1">
      <c r="A18534" t="s">
        <v>19066</v>
      </c>
    </row>
    <row r="18535" spans="1:1">
      <c r="A18535" t="s">
        <v>19067</v>
      </c>
    </row>
    <row r="18536" spans="1:1">
      <c r="A18536" t="s">
        <v>19068</v>
      </c>
    </row>
    <row r="18537" spans="1:1">
      <c r="A18537" t="s">
        <v>19069</v>
      </c>
    </row>
    <row r="18538" spans="1:1">
      <c r="A18538" t="s">
        <v>19070</v>
      </c>
    </row>
    <row r="18539" spans="1:1">
      <c r="A18539" t="s">
        <v>19071</v>
      </c>
    </row>
    <row r="18540" spans="1:1">
      <c r="A18540" t="s">
        <v>19072</v>
      </c>
    </row>
    <row r="18541" spans="1:1">
      <c r="A18541" t="s">
        <v>19073</v>
      </c>
    </row>
    <row r="18542" spans="1:1">
      <c r="A18542" t="s">
        <v>19074</v>
      </c>
    </row>
    <row r="18543" spans="1:1">
      <c r="A18543" t="s">
        <v>19075</v>
      </c>
    </row>
    <row r="18544" spans="1:1">
      <c r="A18544" t="s">
        <v>19076</v>
      </c>
    </row>
    <row r="18545" spans="1:1">
      <c r="A18545" t="s">
        <v>19077</v>
      </c>
    </row>
    <row r="18546" spans="1:1">
      <c r="A18546" t="s">
        <v>19078</v>
      </c>
    </row>
    <row r="18547" spans="1:1">
      <c r="A18547" t="s">
        <v>19079</v>
      </c>
    </row>
    <row r="18548" spans="1:1">
      <c r="A18548" t="s">
        <v>19080</v>
      </c>
    </row>
    <row r="18549" spans="1:1">
      <c r="A18549" t="s">
        <v>19081</v>
      </c>
    </row>
    <row r="18550" spans="1:1">
      <c r="A18550" t="s">
        <v>19082</v>
      </c>
    </row>
    <row r="18551" spans="1:1">
      <c r="A18551" t="s">
        <v>19083</v>
      </c>
    </row>
    <row r="18552" spans="1:1">
      <c r="A18552" t="s">
        <v>19084</v>
      </c>
    </row>
    <row r="18553" spans="1:1">
      <c r="A18553" t="s">
        <v>19085</v>
      </c>
    </row>
    <row r="18554" spans="1:1">
      <c r="A18554" t="s">
        <v>19086</v>
      </c>
    </row>
    <row r="18555" spans="1:1">
      <c r="A18555" t="s">
        <v>19087</v>
      </c>
    </row>
    <row r="18556" spans="1:1">
      <c r="A18556" t="s">
        <v>19088</v>
      </c>
    </row>
    <row r="18557" spans="1:1">
      <c r="A18557" t="s">
        <v>19089</v>
      </c>
    </row>
    <row r="18558" spans="1:1">
      <c r="A18558" t="s">
        <v>19090</v>
      </c>
    </row>
    <row r="18559" spans="1:1">
      <c r="A18559" t="s">
        <v>19091</v>
      </c>
    </row>
    <row r="18560" spans="1:1">
      <c r="A18560" t="s">
        <v>19092</v>
      </c>
    </row>
    <row r="18561" spans="1:1">
      <c r="A18561" t="s">
        <v>19093</v>
      </c>
    </row>
    <row r="18562" spans="1:1">
      <c r="A18562" t="s">
        <v>19094</v>
      </c>
    </row>
    <row r="18563" spans="1:1">
      <c r="A18563" t="s">
        <v>19095</v>
      </c>
    </row>
    <row r="18564" spans="1:1">
      <c r="A18564" t="s">
        <v>19096</v>
      </c>
    </row>
    <row r="18565" spans="1:1">
      <c r="A18565" t="s">
        <v>19097</v>
      </c>
    </row>
    <row r="18566" spans="1:1">
      <c r="A18566" t="s">
        <v>19098</v>
      </c>
    </row>
    <row r="18567" spans="1:1">
      <c r="A18567" t="s">
        <v>19099</v>
      </c>
    </row>
    <row r="18568" spans="1:1">
      <c r="A18568" t="s">
        <v>19100</v>
      </c>
    </row>
    <row r="18569" spans="1:1">
      <c r="A18569" t="s">
        <v>19101</v>
      </c>
    </row>
    <row r="18570" spans="1:1">
      <c r="A18570" t="s">
        <v>19102</v>
      </c>
    </row>
    <row r="18571" spans="1:1">
      <c r="A18571" t="s">
        <v>19103</v>
      </c>
    </row>
    <row r="18572" spans="1:1">
      <c r="A18572" t="s">
        <v>19104</v>
      </c>
    </row>
    <row r="18573" spans="1:1">
      <c r="A18573" t="s">
        <v>19105</v>
      </c>
    </row>
    <row r="18574" spans="1:1">
      <c r="A18574" t="s">
        <v>19106</v>
      </c>
    </row>
    <row r="18575" spans="1:1">
      <c r="A18575" t="s">
        <v>19107</v>
      </c>
    </row>
    <row r="18576" spans="1:1">
      <c r="A18576" t="s">
        <v>19108</v>
      </c>
    </row>
    <row r="18577" spans="1:1">
      <c r="A18577" t="s">
        <v>19109</v>
      </c>
    </row>
    <row r="18578" spans="1:1">
      <c r="A18578" t="s">
        <v>19110</v>
      </c>
    </row>
    <row r="18579" spans="1:1">
      <c r="A18579" t="s">
        <v>19111</v>
      </c>
    </row>
    <row r="18580" spans="1:1">
      <c r="A18580" t="s">
        <v>19112</v>
      </c>
    </row>
    <row r="18581" spans="1:1">
      <c r="A18581" t="s">
        <v>19113</v>
      </c>
    </row>
    <row r="18582" spans="1:1">
      <c r="A18582" t="s">
        <v>19114</v>
      </c>
    </row>
    <row r="18583" spans="1:1">
      <c r="A18583" t="s">
        <v>19115</v>
      </c>
    </row>
    <row r="18584" spans="1:1">
      <c r="A18584" t="s">
        <v>19116</v>
      </c>
    </row>
    <row r="18585" spans="1:1">
      <c r="A18585" t="s">
        <v>19117</v>
      </c>
    </row>
    <row r="18586" spans="1:1">
      <c r="A18586" t="s">
        <v>19118</v>
      </c>
    </row>
    <row r="18587" spans="1:1">
      <c r="A18587" t="s">
        <v>19119</v>
      </c>
    </row>
    <row r="18588" spans="1:1">
      <c r="A18588" t="s">
        <v>19120</v>
      </c>
    </row>
    <row r="18589" spans="1:1">
      <c r="A18589" t="s">
        <v>19121</v>
      </c>
    </row>
    <row r="18590" spans="1:1">
      <c r="A18590" t="s">
        <v>19122</v>
      </c>
    </row>
    <row r="18591" spans="1:1">
      <c r="A18591" t="s">
        <v>19123</v>
      </c>
    </row>
    <row r="18592" spans="1:1">
      <c r="A18592" t="s">
        <v>19124</v>
      </c>
    </row>
    <row r="18593" spans="1:1">
      <c r="A18593" t="s">
        <v>19125</v>
      </c>
    </row>
    <row r="18594" spans="1:1">
      <c r="A18594" t="s">
        <v>19126</v>
      </c>
    </row>
    <row r="18595" spans="1:1">
      <c r="A18595" t="s">
        <v>19127</v>
      </c>
    </row>
    <row r="18596" spans="1:1">
      <c r="A18596" t="s">
        <v>19128</v>
      </c>
    </row>
    <row r="18597" spans="1:1">
      <c r="A18597" t="s">
        <v>19129</v>
      </c>
    </row>
    <row r="18598" spans="1:1">
      <c r="A18598" t="s">
        <v>19130</v>
      </c>
    </row>
    <row r="18599" spans="1:1">
      <c r="A18599" t="s">
        <v>19131</v>
      </c>
    </row>
    <row r="18600" spans="1:1">
      <c r="A18600" t="s">
        <v>19132</v>
      </c>
    </row>
    <row r="18601" spans="1:1">
      <c r="A18601" t="s">
        <v>19133</v>
      </c>
    </row>
    <row r="18602" spans="1:1">
      <c r="A18602" t="s">
        <v>19134</v>
      </c>
    </row>
    <row r="18603" spans="1:1">
      <c r="A18603" t="s">
        <v>19135</v>
      </c>
    </row>
    <row r="18604" spans="1:1">
      <c r="A18604" t="s">
        <v>19136</v>
      </c>
    </row>
    <row r="18605" spans="1:1">
      <c r="A18605" t="s">
        <v>19137</v>
      </c>
    </row>
    <row r="18606" spans="1:1">
      <c r="A18606" t="s">
        <v>19138</v>
      </c>
    </row>
    <row r="18607" spans="1:1">
      <c r="A18607" t="s">
        <v>19139</v>
      </c>
    </row>
    <row r="18608" spans="1:1">
      <c r="A18608" t="s">
        <v>19140</v>
      </c>
    </row>
    <row r="18609" spans="1:1">
      <c r="A18609" t="s">
        <v>19141</v>
      </c>
    </row>
    <row r="18610" spans="1:1">
      <c r="A18610" t="s">
        <v>19142</v>
      </c>
    </row>
    <row r="18611" spans="1:1">
      <c r="A18611" t="s">
        <v>19143</v>
      </c>
    </row>
    <row r="18612" spans="1:1">
      <c r="A18612" t="s">
        <v>19144</v>
      </c>
    </row>
    <row r="18613" spans="1:1">
      <c r="A18613" t="s">
        <v>19145</v>
      </c>
    </row>
    <row r="18614" spans="1:1">
      <c r="A18614" t="s">
        <v>19146</v>
      </c>
    </row>
    <row r="18615" spans="1:1">
      <c r="A18615" t="s">
        <v>19147</v>
      </c>
    </row>
    <row r="18616" spans="1:1">
      <c r="A18616" t="s">
        <v>19148</v>
      </c>
    </row>
    <row r="18617" spans="1:1">
      <c r="A18617" t="s">
        <v>19149</v>
      </c>
    </row>
    <row r="18618" spans="1:1">
      <c r="A18618" t="s">
        <v>19150</v>
      </c>
    </row>
    <row r="18619" spans="1:1">
      <c r="A18619" t="s">
        <v>19151</v>
      </c>
    </row>
    <row r="18620" spans="1:1">
      <c r="A18620" t="s">
        <v>19152</v>
      </c>
    </row>
    <row r="18621" spans="1:1">
      <c r="A18621" t="s">
        <v>19153</v>
      </c>
    </row>
    <row r="18622" spans="1:1">
      <c r="A18622" t="s">
        <v>19154</v>
      </c>
    </row>
    <row r="18623" spans="1:1">
      <c r="A18623" t="s">
        <v>19155</v>
      </c>
    </row>
    <row r="18624" spans="1:1">
      <c r="A18624" t="s">
        <v>19156</v>
      </c>
    </row>
    <row r="18625" spans="1:1">
      <c r="A18625" t="s">
        <v>19157</v>
      </c>
    </row>
    <row r="18626" spans="1:1">
      <c r="A18626" t="s">
        <v>19158</v>
      </c>
    </row>
    <row r="18627" spans="1:1">
      <c r="A18627" t="s">
        <v>19159</v>
      </c>
    </row>
    <row r="18628" spans="1:1">
      <c r="A18628" t="s">
        <v>19160</v>
      </c>
    </row>
    <row r="18629" spans="1:1">
      <c r="A18629" t="s">
        <v>19161</v>
      </c>
    </row>
    <row r="18630" spans="1:1">
      <c r="A18630" t="s">
        <v>19162</v>
      </c>
    </row>
    <row r="18631" spans="1:1">
      <c r="A18631" t="s">
        <v>19163</v>
      </c>
    </row>
    <row r="18632" spans="1:1">
      <c r="A18632" t="s">
        <v>19164</v>
      </c>
    </row>
    <row r="18633" spans="1:1">
      <c r="A18633" t="s">
        <v>19165</v>
      </c>
    </row>
    <row r="18634" spans="1:1">
      <c r="A18634" t="s">
        <v>19166</v>
      </c>
    </row>
    <row r="18635" spans="1:1">
      <c r="A18635" t="s">
        <v>19167</v>
      </c>
    </row>
    <row r="18636" spans="1:1">
      <c r="A18636" t="s">
        <v>19168</v>
      </c>
    </row>
    <row r="18637" spans="1:1">
      <c r="A18637" t="s">
        <v>19169</v>
      </c>
    </row>
    <row r="18638" spans="1:1">
      <c r="A18638" t="s">
        <v>19170</v>
      </c>
    </row>
    <row r="18639" spans="1:1">
      <c r="A18639" t="s">
        <v>19171</v>
      </c>
    </row>
    <row r="18640" spans="1:1">
      <c r="A18640" t="s">
        <v>19172</v>
      </c>
    </row>
    <row r="18641" spans="1:1">
      <c r="A18641" t="s">
        <v>19173</v>
      </c>
    </row>
    <row r="18642" spans="1:1">
      <c r="A18642" t="s">
        <v>19174</v>
      </c>
    </row>
    <row r="18643" spans="1:1">
      <c r="A18643" t="s">
        <v>19175</v>
      </c>
    </row>
    <row r="18644" spans="1:1">
      <c r="A18644" t="s">
        <v>19176</v>
      </c>
    </row>
    <row r="18645" spans="1:1">
      <c r="A18645" t="s">
        <v>19177</v>
      </c>
    </row>
    <row r="18646" spans="1:1">
      <c r="A18646" t="s">
        <v>19178</v>
      </c>
    </row>
    <row r="18647" spans="1:1">
      <c r="A18647" t="s">
        <v>19179</v>
      </c>
    </row>
    <row r="18648" spans="1:1">
      <c r="A18648" t="s">
        <v>19180</v>
      </c>
    </row>
    <row r="18649" spans="1:1">
      <c r="A18649" t="s">
        <v>19181</v>
      </c>
    </row>
    <row r="18650" spans="1:1">
      <c r="A18650" t="s">
        <v>19182</v>
      </c>
    </row>
    <row r="18651" spans="1:1">
      <c r="A18651" t="s">
        <v>19183</v>
      </c>
    </row>
    <row r="18652" spans="1:1">
      <c r="A18652" t="s">
        <v>19184</v>
      </c>
    </row>
    <row r="18653" spans="1:1">
      <c r="A18653" t="s">
        <v>19185</v>
      </c>
    </row>
    <row r="18654" spans="1:1">
      <c r="A18654" t="s">
        <v>19186</v>
      </c>
    </row>
    <row r="18655" spans="1:1">
      <c r="A18655" t="s">
        <v>19187</v>
      </c>
    </row>
    <row r="18656" spans="1:1">
      <c r="A18656" t="s">
        <v>19188</v>
      </c>
    </row>
    <row r="18657" spans="1:1">
      <c r="A18657" t="s">
        <v>19189</v>
      </c>
    </row>
    <row r="18658" spans="1:1">
      <c r="A18658" t="s">
        <v>19190</v>
      </c>
    </row>
    <row r="18659" spans="1:1">
      <c r="A18659" t="s">
        <v>19191</v>
      </c>
    </row>
    <row r="18660" spans="1:1">
      <c r="A18660" t="s">
        <v>19192</v>
      </c>
    </row>
    <row r="18661" spans="1:1">
      <c r="A18661" t="s">
        <v>19193</v>
      </c>
    </row>
    <row r="18662" spans="1:1">
      <c r="A18662" t="s">
        <v>19194</v>
      </c>
    </row>
    <row r="18663" spans="1:1">
      <c r="A18663" t="s">
        <v>19195</v>
      </c>
    </row>
    <row r="18664" spans="1:1">
      <c r="A18664" t="s">
        <v>19196</v>
      </c>
    </row>
    <row r="18665" spans="1:1">
      <c r="A18665" t="s">
        <v>19197</v>
      </c>
    </row>
    <row r="18666" spans="1:1">
      <c r="A18666" t="s">
        <v>19198</v>
      </c>
    </row>
    <row r="18667" spans="1:1">
      <c r="A18667" t="s">
        <v>19199</v>
      </c>
    </row>
    <row r="18668" spans="1:1">
      <c r="A18668" t="s">
        <v>19200</v>
      </c>
    </row>
    <row r="18669" spans="1:1">
      <c r="A18669" t="s">
        <v>19201</v>
      </c>
    </row>
    <row r="18670" spans="1:1">
      <c r="A18670" t="s">
        <v>19202</v>
      </c>
    </row>
    <row r="18671" spans="1:1">
      <c r="A18671" t="s">
        <v>19203</v>
      </c>
    </row>
    <row r="18672" spans="1:1">
      <c r="A18672" t="s">
        <v>19204</v>
      </c>
    </row>
    <row r="18673" spans="1:1">
      <c r="A18673" t="s">
        <v>19205</v>
      </c>
    </row>
    <row r="18674" spans="1:1">
      <c r="A18674" t="s">
        <v>19206</v>
      </c>
    </row>
    <row r="18675" spans="1:1">
      <c r="A18675" t="s">
        <v>19207</v>
      </c>
    </row>
    <row r="18676" spans="1:1">
      <c r="A18676" t="s">
        <v>19208</v>
      </c>
    </row>
    <row r="18677" spans="1:1">
      <c r="A18677" t="s">
        <v>19209</v>
      </c>
    </row>
    <row r="18678" spans="1:1">
      <c r="A18678" t="s">
        <v>19210</v>
      </c>
    </row>
    <row r="18679" spans="1:1">
      <c r="A18679" t="s">
        <v>19211</v>
      </c>
    </row>
    <row r="18680" spans="1:1">
      <c r="A18680" t="s">
        <v>19212</v>
      </c>
    </row>
    <row r="18681" spans="1:1">
      <c r="A18681" t="s">
        <v>19213</v>
      </c>
    </row>
    <row r="18682" spans="1:1">
      <c r="A18682" t="s">
        <v>19214</v>
      </c>
    </row>
    <row r="18683" spans="1:1">
      <c r="A18683" t="s">
        <v>19215</v>
      </c>
    </row>
    <row r="18684" spans="1:1">
      <c r="A18684" t="s">
        <v>19216</v>
      </c>
    </row>
    <row r="18685" spans="1:1">
      <c r="A18685" t="s">
        <v>19217</v>
      </c>
    </row>
    <row r="18686" spans="1:1">
      <c r="A18686" t="s">
        <v>19218</v>
      </c>
    </row>
    <row r="18687" spans="1:1">
      <c r="A18687" t="s">
        <v>19219</v>
      </c>
    </row>
    <row r="18688" spans="1:1">
      <c r="A18688" t="s">
        <v>19220</v>
      </c>
    </row>
    <row r="18689" spans="1:1">
      <c r="A18689" t="s">
        <v>19221</v>
      </c>
    </row>
    <row r="18690" spans="1:1">
      <c r="A18690" t="s">
        <v>19222</v>
      </c>
    </row>
    <row r="18691" spans="1:1">
      <c r="A18691" t="s">
        <v>19223</v>
      </c>
    </row>
    <row r="18692" spans="1:1">
      <c r="A18692" t="s">
        <v>19224</v>
      </c>
    </row>
    <row r="18693" spans="1:1">
      <c r="A18693" t="s">
        <v>19225</v>
      </c>
    </row>
    <row r="18694" spans="1:1">
      <c r="A18694" t="s">
        <v>19226</v>
      </c>
    </row>
    <row r="18695" spans="1:1">
      <c r="A18695" t="s">
        <v>19227</v>
      </c>
    </row>
    <row r="18696" spans="1:1">
      <c r="A18696" t="s">
        <v>19228</v>
      </c>
    </row>
    <row r="18697" spans="1:1">
      <c r="A18697" t="s">
        <v>19229</v>
      </c>
    </row>
    <row r="18698" spans="1:1">
      <c r="A18698" t="s">
        <v>19230</v>
      </c>
    </row>
    <row r="18699" spans="1:1">
      <c r="A18699" t="s">
        <v>19231</v>
      </c>
    </row>
    <row r="18700" spans="1:1">
      <c r="A18700" t="s">
        <v>19232</v>
      </c>
    </row>
    <row r="18701" spans="1:1">
      <c r="A18701" t="s">
        <v>19233</v>
      </c>
    </row>
    <row r="18702" spans="1:1">
      <c r="A18702" t="s">
        <v>19234</v>
      </c>
    </row>
    <row r="18703" spans="1:1">
      <c r="A18703" t="s">
        <v>19235</v>
      </c>
    </row>
    <row r="18704" spans="1:1">
      <c r="A18704" t="s">
        <v>19236</v>
      </c>
    </row>
    <row r="18705" spans="1:1">
      <c r="A18705" t="s">
        <v>19237</v>
      </c>
    </row>
    <row r="18706" spans="1:1">
      <c r="A18706" t="s">
        <v>19238</v>
      </c>
    </row>
    <row r="18707" spans="1:1">
      <c r="A18707" t="s">
        <v>19239</v>
      </c>
    </row>
    <row r="18708" spans="1:1">
      <c r="A18708" t="s">
        <v>19240</v>
      </c>
    </row>
    <row r="18709" spans="1:1">
      <c r="A18709" t="s">
        <v>19241</v>
      </c>
    </row>
    <row r="18710" spans="1:1">
      <c r="A18710" t="s">
        <v>19242</v>
      </c>
    </row>
    <row r="18711" spans="1:1">
      <c r="A18711" t="s">
        <v>19243</v>
      </c>
    </row>
    <row r="18712" spans="1:1">
      <c r="A18712" t="s">
        <v>19244</v>
      </c>
    </row>
    <row r="18713" spans="1:1">
      <c r="A18713" t="s">
        <v>19245</v>
      </c>
    </row>
    <row r="18714" spans="1:1">
      <c r="A18714" t="s">
        <v>19246</v>
      </c>
    </row>
    <row r="18715" spans="1:1">
      <c r="A18715" t="s">
        <v>19247</v>
      </c>
    </row>
    <row r="18716" spans="1:1">
      <c r="A18716" t="s">
        <v>19248</v>
      </c>
    </row>
    <row r="18717" spans="1:1">
      <c r="A18717" t="s">
        <v>19249</v>
      </c>
    </row>
    <row r="18718" spans="1:1">
      <c r="A18718" t="s">
        <v>19250</v>
      </c>
    </row>
    <row r="18719" spans="1:1">
      <c r="A18719" t="s">
        <v>19251</v>
      </c>
    </row>
    <row r="18720" spans="1:1">
      <c r="A18720" t="s">
        <v>19252</v>
      </c>
    </row>
    <row r="18721" spans="1:1">
      <c r="A18721" t="s">
        <v>19253</v>
      </c>
    </row>
    <row r="18722" spans="1:1">
      <c r="A18722" t="s">
        <v>19254</v>
      </c>
    </row>
    <row r="18723" spans="1:1">
      <c r="A18723" t="s">
        <v>19255</v>
      </c>
    </row>
    <row r="18724" spans="1:1">
      <c r="A18724" t="s">
        <v>19256</v>
      </c>
    </row>
    <row r="18725" spans="1:1">
      <c r="A18725" t="s">
        <v>19257</v>
      </c>
    </row>
    <row r="18726" spans="1:1">
      <c r="A18726" t="s">
        <v>19258</v>
      </c>
    </row>
    <row r="18727" spans="1:1">
      <c r="A18727" t="s">
        <v>19259</v>
      </c>
    </row>
    <row r="18728" spans="1:1">
      <c r="A18728" t="s">
        <v>19260</v>
      </c>
    </row>
    <row r="18729" spans="1:1">
      <c r="A18729" t="s">
        <v>19261</v>
      </c>
    </row>
    <row r="18730" spans="1:1">
      <c r="A18730" t="s">
        <v>19262</v>
      </c>
    </row>
    <row r="18731" spans="1:1">
      <c r="A18731" t="s">
        <v>19263</v>
      </c>
    </row>
    <row r="18732" spans="1:1">
      <c r="A18732" t="s">
        <v>19264</v>
      </c>
    </row>
    <row r="18733" spans="1:1">
      <c r="A18733" t="s">
        <v>19265</v>
      </c>
    </row>
    <row r="18734" spans="1:1">
      <c r="A18734" t="s">
        <v>19266</v>
      </c>
    </row>
    <row r="18735" spans="1:1">
      <c r="A18735" t="s">
        <v>19267</v>
      </c>
    </row>
    <row r="18736" spans="1:1">
      <c r="A18736" t="s">
        <v>19268</v>
      </c>
    </row>
    <row r="18737" spans="1:1">
      <c r="A18737" t="s">
        <v>19269</v>
      </c>
    </row>
    <row r="18738" spans="1:1">
      <c r="A18738" t="s">
        <v>19270</v>
      </c>
    </row>
    <row r="18739" spans="1:1">
      <c r="A18739" t="s">
        <v>19271</v>
      </c>
    </row>
    <row r="18740" spans="1:1">
      <c r="A18740" t="s">
        <v>19272</v>
      </c>
    </row>
    <row r="18741" spans="1:1">
      <c r="A18741" t="s">
        <v>19273</v>
      </c>
    </row>
    <row r="18742" spans="1:1">
      <c r="A18742" t="s">
        <v>19274</v>
      </c>
    </row>
    <row r="18743" spans="1:1">
      <c r="A18743" t="s">
        <v>19275</v>
      </c>
    </row>
    <row r="18744" spans="1:1">
      <c r="A18744" t="s">
        <v>19276</v>
      </c>
    </row>
    <row r="18745" spans="1:1">
      <c r="A18745" t="s">
        <v>19277</v>
      </c>
    </row>
    <row r="18746" spans="1:1">
      <c r="A18746" t="s">
        <v>19278</v>
      </c>
    </row>
    <row r="18747" spans="1:1">
      <c r="A18747" t="s">
        <v>19279</v>
      </c>
    </row>
    <row r="18748" spans="1:1">
      <c r="A18748" t="s">
        <v>19280</v>
      </c>
    </row>
    <row r="18749" spans="1:1">
      <c r="A18749" t="s">
        <v>19281</v>
      </c>
    </row>
    <row r="18750" spans="1:1">
      <c r="A18750" t="s">
        <v>19282</v>
      </c>
    </row>
    <row r="18751" spans="1:1">
      <c r="A18751" t="s">
        <v>19283</v>
      </c>
    </row>
    <row r="18752" spans="1:1">
      <c r="A18752" t="s">
        <v>19284</v>
      </c>
    </row>
    <row r="18753" spans="1:1">
      <c r="A18753" t="s">
        <v>19285</v>
      </c>
    </row>
    <row r="18754" spans="1:1">
      <c r="A18754" t="s">
        <v>19286</v>
      </c>
    </row>
    <row r="18755" spans="1:1">
      <c r="A18755" t="s">
        <v>19287</v>
      </c>
    </row>
    <row r="18756" spans="1:1">
      <c r="A18756" t="s">
        <v>19288</v>
      </c>
    </row>
    <row r="18757" spans="1:1">
      <c r="A18757" t="s">
        <v>19289</v>
      </c>
    </row>
    <row r="18758" spans="1:1">
      <c r="A18758" t="s">
        <v>19290</v>
      </c>
    </row>
    <row r="18759" spans="1:1">
      <c r="A18759" t="s">
        <v>19291</v>
      </c>
    </row>
    <row r="18760" spans="1:1">
      <c r="A18760" t="s">
        <v>19292</v>
      </c>
    </row>
    <row r="18761" spans="1:1">
      <c r="A18761" t="s">
        <v>19293</v>
      </c>
    </row>
    <row r="18762" spans="1:1">
      <c r="A18762" t="s">
        <v>19294</v>
      </c>
    </row>
    <row r="18763" spans="1:1">
      <c r="A18763" t="s">
        <v>19295</v>
      </c>
    </row>
    <row r="18764" spans="1:1">
      <c r="A18764" t="s">
        <v>19296</v>
      </c>
    </row>
    <row r="18765" spans="1:1">
      <c r="A18765" t="s">
        <v>19297</v>
      </c>
    </row>
    <row r="18766" spans="1:1">
      <c r="A18766" t="s">
        <v>19298</v>
      </c>
    </row>
    <row r="18767" spans="1:1">
      <c r="A18767" t="s">
        <v>19299</v>
      </c>
    </row>
    <row r="18768" spans="1:1">
      <c r="A18768" t="s">
        <v>19300</v>
      </c>
    </row>
    <row r="18769" spans="1:1">
      <c r="A18769" t="s">
        <v>19301</v>
      </c>
    </row>
    <row r="18770" spans="1:1">
      <c r="A18770" t="s">
        <v>19302</v>
      </c>
    </row>
    <row r="18771" spans="1:1">
      <c r="A18771" t="s">
        <v>19303</v>
      </c>
    </row>
    <row r="18772" spans="1:1">
      <c r="A18772" t="s">
        <v>19304</v>
      </c>
    </row>
    <row r="18773" spans="1:1">
      <c r="A18773" t="s">
        <v>19305</v>
      </c>
    </row>
    <row r="18774" spans="1:1">
      <c r="A18774" t="s">
        <v>19306</v>
      </c>
    </row>
    <row r="18775" spans="1:1">
      <c r="A18775" t="s">
        <v>19307</v>
      </c>
    </row>
    <row r="18776" spans="1:1">
      <c r="A18776" t="s">
        <v>19308</v>
      </c>
    </row>
    <row r="18777" spans="1:1">
      <c r="A18777" t="s">
        <v>19309</v>
      </c>
    </row>
    <row r="18778" spans="1:1">
      <c r="A18778" t="s">
        <v>19310</v>
      </c>
    </row>
    <row r="18779" spans="1:1">
      <c r="A18779" t="s">
        <v>19311</v>
      </c>
    </row>
    <row r="18780" spans="1:1">
      <c r="A18780" t="s">
        <v>19312</v>
      </c>
    </row>
    <row r="18781" spans="1:1">
      <c r="A18781" t="s">
        <v>19313</v>
      </c>
    </row>
    <row r="18782" spans="1:1">
      <c r="A18782" t="s">
        <v>19314</v>
      </c>
    </row>
    <row r="18783" spans="1:1">
      <c r="A18783" t="s">
        <v>19315</v>
      </c>
    </row>
    <row r="18784" spans="1:1">
      <c r="A18784" t="s">
        <v>19316</v>
      </c>
    </row>
    <row r="18785" spans="1:1">
      <c r="A18785" t="s">
        <v>19317</v>
      </c>
    </row>
    <row r="18786" spans="1:1">
      <c r="A18786" t="s">
        <v>19318</v>
      </c>
    </row>
    <row r="18787" spans="1:1">
      <c r="A18787" t="s">
        <v>19319</v>
      </c>
    </row>
    <row r="18788" spans="1:1">
      <c r="A18788" t="s">
        <v>19320</v>
      </c>
    </row>
    <row r="18789" spans="1:1">
      <c r="A18789" t="s">
        <v>19321</v>
      </c>
    </row>
    <row r="18790" spans="1:1">
      <c r="A18790" t="s">
        <v>19322</v>
      </c>
    </row>
    <row r="18791" spans="1:1">
      <c r="A18791" t="s">
        <v>19323</v>
      </c>
    </row>
    <row r="18792" spans="1:1">
      <c r="A18792" t="s">
        <v>19324</v>
      </c>
    </row>
    <row r="18793" spans="1:1">
      <c r="A18793" t="s">
        <v>19325</v>
      </c>
    </row>
    <row r="18794" spans="1:1">
      <c r="A18794" t="s">
        <v>19326</v>
      </c>
    </row>
    <row r="18795" spans="1:1">
      <c r="A18795" t="s">
        <v>19327</v>
      </c>
    </row>
    <row r="18796" spans="1:1">
      <c r="A18796" t="s">
        <v>19328</v>
      </c>
    </row>
    <row r="18797" spans="1:1">
      <c r="A18797" t="s">
        <v>19329</v>
      </c>
    </row>
    <row r="18798" spans="1:1">
      <c r="A18798" t="s">
        <v>19330</v>
      </c>
    </row>
    <row r="18799" spans="1:1">
      <c r="A18799" t="s">
        <v>19331</v>
      </c>
    </row>
    <row r="18800" spans="1:1">
      <c r="A18800" t="s">
        <v>19332</v>
      </c>
    </row>
    <row r="18801" spans="1:1">
      <c r="A18801" t="s">
        <v>19333</v>
      </c>
    </row>
    <row r="18802" spans="1:1">
      <c r="A18802" t="s">
        <v>19334</v>
      </c>
    </row>
    <row r="18803" spans="1:1">
      <c r="A18803" t="s">
        <v>19335</v>
      </c>
    </row>
    <row r="18804" spans="1:1">
      <c r="A18804" t="s">
        <v>19336</v>
      </c>
    </row>
    <row r="18805" spans="1:1">
      <c r="A18805" t="s">
        <v>19337</v>
      </c>
    </row>
    <row r="18806" spans="1:1">
      <c r="A18806" t="s">
        <v>19338</v>
      </c>
    </row>
    <row r="18807" spans="1:1">
      <c r="A18807" t="s">
        <v>19339</v>
      </c>
    </row>
    <row r="18808" spans="1:1">
      <c r="A18808" t="s">
        <v>19340</v>
      </c>
    </row>
    <row r="18809" spans="1:1">
      <c r="A18809" t="s">
        <v>19341</v>
      </c>
    </row>
    <row r="18810" spans="1:1">
      <c r="A18810" t="s">
        <v>19342</v>
      </c>
    </row>
    <row r="18811" spans="1:1">
      <c r="A18811" t="s">
        <v>19343</v>
      </c>
    </row>
    <row r="18812" spans="1:1">
      <c r="A18812" t="s">
        <v>19344</v>
      </c>
    </row>
    <row r="18813" spans="1:1">
      <c r="A18813" t="s">
        <v>19345</v>
      </c>
    </row>
    <row r="18814" spans="1:1">
      <c r="A18814" t="s">
        <v>19346</v>
      </c>
    </row>
    <row r="18815" spans="1:1">
      <c r="A18815" t="s">
        <v>19347</v>
      </c>
    </row>
    <row r="18816" spans="1:1">
      <c r="A18816" t="s">
        <v>19348</v>
      </c>
    </row>
    <row r="18817" spans="1:1">
      <c r="A18817" t="s">
        <v>19349</v>
      </c>
    </row>
    <row r="18818" spans="1:1">
      <c r="A18818" t="s">
        <v>19350</v>
      </c>
    </row>
    <row r="18819" spans="1:1">
      <c r="A18819" t="s">
        <v>19351</v>
      </c>
    </row>
    <row r="18820" spans="1:1">
      <c r="A18820" t="s">
        <v>19352</v>
      </c>
    </row>
    <row r="18821" spans="1:1">
      <c r="A18821" t="s">
        <v>19353</v>
      </c>
    </row>
    <row r="18822" spans="1:1">
      <c r="A18822" t="s">
        <v>19354</v>
      </c>
    </row>
    <row r="18823" spans="1:1">
      <c r="A18823" t="s">
        <v>19355</v>
      </c>
    </row>
    <row r="18824" spans="1:1">
      <c r="A18824" t="s">
        <v>19356</v>
      </c>
    </row>
    <row r="18825" spans="1:1">
      <c r="A18825" t="s">
        <v>19357</v>
      </c>
    </row>
    <row r="18826" spans="1:1">
      <c r="A18826" t="s">
        <v>19358</v>
      </c>
    </row>
    <row r="18827" spans="1:1">
      <c r="A18827" t="s">
        <v>19359</v>
      </c>
    </row>
    <row r="18828" spans="1:1">
      <c r="A18828" t="s">
        <v>19360</v>
      </c>
    </row>
    <row r="18829" spans="1:1">
      <c r="A18829" t="s">
        <v>19361</v>
      </c>
    </row>
    <row r="18830" spans="1:1">
      <c r="A18830" t="s">
        <v>19362</v>
      </c>
    </row>
    <row r="18831" spans="1:1">
      <c r="A18831" t="s">
        <v>19363</v>
      </c>
    </row>
    <row r="18832" spans="1:1">
      <c r="A18832" t="s">
        <v>19364</v>
      </c>
    </row>
    <row r="18833" spans="1:1">
      <c r="A18833" t="s">
        <v>19365</v>
      </c>
    </row>
    <row r="18834" spans="1:1">
      <c r="A18834" t="s">
        <v>19366</v>
      </c>
    </row>
    <row r="18835" spans="1:1">
      <c r="A18835" t="s">
        <v>19367</v>
      </c>
    </row>
    <row r="18836" spans="1:1">
      <c r="A18836" t="s">
        <v>19368</v>
      </c>
    </row>
    <row r="18837" spans="1:1">
      <c r="A18837" t="s">
        <v>19369</v>
      </c>
    </row>
    <row r="18838" spans="1:1">
      <c r="A18838" t="s">
        <v>19370</v>
      </c>
    </row>
    <row r="18839" spans="1:1">
      <c r="A18839" t="s">
        <v>19371</v>
      </c>
    </row>
    <row r="18840" spans="1:1">
      <c r="A18840" t="s">
        <v>19372</v>
      </c>
    </row>
    <row r="18841" spans="1:1">
      <c r="A18841" t="s">
        <v>19373</v>
      </c>
    </row>
    <row r="18842" spans="1:1">
      <c r="A18842" t="s">
        <v>19374</v>
      </c>
    </row>
    <row r="18843" spans="1:1">
      <c r="A18843" t="s">
        <v>19375</v>
      </c>
    </row>
    <row r="18844" spans="1:1">
      <c r="A18844" t="s">
        <v>19376</v>
      </c>
    </row>
    <row r="18845" spans="1:1">
      <c r="A18845" t="s">
        <v>19377</v>
      </c>
    </row>
    <row r="18846" spans="1:1">
      <c r="A18846" t="s">
        <v>19378</v>
      </c>
    </row>
    <row r="18847" spans="1:1">
      <c r="A18847" t="s">
        <v>19379</v>
      </c>
    </row>
    <row r="18848" spans="1:1">
      <c r="A18848" t="s">
        <v>19380</v>
      </c>
    </row>
    <row r="18849" spans="1:1">
      <c r="A18849" t="s">
        <v>19381</v>
      </c>
    </row>
    <row r="18850" spans="1:1">
      <c r="A18850" t="s">
        <v>19382</v>
      </c>
    </row>
    <row r="18851" spans="1:1">
      <c r="A18851" t="s">
        <v>19383</v>
      </c>
    </row>
    <row r="18852" spans="1:1">
      <c r="A18852" t="s">
        <v>19384</v>
      </c>
    </row>
    <row r="18853" spans="1:1">
      <c r="A18853" t="s">
        <v>19385</v>
      </c>
    </row>
    <row r="18854" spans="1:1">
      <c r="A18854" t="s">
        <v>19386</v>
      </c>
    </row>
    <row r="18855" spans="1:1">
      <c r="A18855" t="s">
        <v>19387</v>
      </c>
    </row>
    <row r="18856" spans="1:1">
      <c r="A18856" t="s">
        <v>19388</v>
      </c>
    </row>
    <row r="18857" spans="1:1">
      <c r="A18857" t="s">
        <v>19389</v>
      </c>
    </row>
    <row r="18858" spans="1:1">
      <c r="A18858" t="s">
        <v>19390</v>
      </c>
    </row>
    <row r="18859" spans="1:1">
      <c r="A18859" t="s">
        <v>19391</v>
      </c>
    </row>
    <row r="18860" spans="1:1">
      <c r="A18860" t="s">
        <v>19392</v>
      </c>
    </row>
    <row r="18861" spans="1:1">
      <c r="A18861" t="s">
        <v>19393</v>
      </c>
    </row>
    <row r="18862" spans="1:1">
      <c r="A18862" t="s">
        <v>19394</v>
      </c>
    </row>
    <row r="18863" spans="1:1">
      <c r="A18863" t="s">
        <v>19395</v>
      </c>
    </row>
    <row r="18864" spans="1:1">
      <c r="A18864" t="s">
        <v>19396</v>
      </c>
    </row>
    <row r="18865" spans="1:1">
      <c r="A18865" t="s">
        <v>19397</v>
      </c>
    </row>
    <row r="18866" spans="1:1">
      <c r="A18866" t="s">
        <v>19398</v>
      </c>
    </row>
    <row r="18867" spans="1:1">
      <c r="A18867" t="s">
        <v>19399</v>
      </c>
    </row>
    <row r="18868" spans="1:1">
      <c r="A18868" t="s">
        <v>19400</v>
      </c>
    </row>
    <row r="18869" spans="1:1">
      <c r="A18869" t="s">
        <v>19401</v>
      </c>
    </row>
    <row r="18870" spans="1:1">
      <c r="A18870" t="s">
        <v>19402</v>
      </c>
    </row>
    <row r="18871" spans="1:1">
      <c r="A18871" t="s">
        <v>19403</v>
      </c>
    </row>
    <row r="18872" spans="1:1">
      <c r="A18872" t="s">
        <v>19404</v>
      </c>
    </row>
    <row r="18873" spans="1:1">
      <c r="A18873" t="s">
        <v>19405</v>
      </c>
    </row>
    <row r="18874" spans="1:1">
      <c r="A18874" t="s">
        <v>19406</v>
      </c>
    </row>
    <row r="18875" spans="1:1">
      <c r="A18875" t="s">
        <v>19407</v>
      </c>
    </row>
    <row r="18876" spans="1:1">
      <c r="A18876" t="s">
        <v>19408</v>
      </c>
    </row>
    <row r="18877" spans="1:1">
      <c r="A18877" t="s">
        <v>19409</v>
      </c>
    </row>
    <row r="18878" spans="1:1">
      <c r="A18878" t="s">
        <v>19410</v>
      </c>
    </row>
    <row r="18879" spans="1:1">
      <c r="A18879" t="s">
        <v>19411</v>
      </c>
    </row>
    <row r="18880" spans="1:1">
      <c r="A18880" t="s">
        <v>19412</v>
      </c>
    </row>
    <row r="18881" spans="1:1">
      <c r="A18881" t="s">
        <v>19413</v>
      </c>
    </row>
    <row r="18882" spans="1:1">
      <c r="A18882" t="s">
        <v>19414</v>
      </c>
    </row>
    <row r="18883" spans="1:1">
      <c r="A18883" t="s">
        <v>19415</v>
      </c>
    </row>
    <row r="18884" spans="1:1">
      <c r="A18884" t="s">
        <v>19416</v>
      </c>
    </row>
    <row r="18885" spans="1:1">
      <c r="A18885" t="s">
        <v>19417</v>
      </c>
    </row>
    <row r="18886" spans="1:1">
      <c r="A18886" t="s">
        <v>19418</v>
      </c>
    </row>
    <row r="18887" spans="1:1">
      <c r="A18887" t="s">
        <v>19419</v>
      </c>
    </row>
    <row r="18888" spans="1:1">
      <c r="A18888" t="s">
        <v>19420</v>
      </c>
    </row>
    <row r="18889" spans="1:1">
      <c r="A18889" t="s">
        <v>19421</v>
      </c>
    </row>
    <row r="18890" spans="1:1">
      <c r="A18890" t="s">
        <v>19422</v>
      </c>
    </row>
    <row r="18891" spans="1:1">
      <c r="A18891" t="s">
        <v>19423</v>
      </c>
    </row>
    <row r="18892" spans="1:1">
      <c r="A18892" t="s">
        <v>19424</v>
      </c>
    </row>
    <row r="18893" spans="1:1">
      <c r="A18893" t="s">
        <v>19425</v>
      </c>
    </row>
    <row r="18894" spans="1:1">
      <c r="A18894" t="s">
        <v>19426</v>
      </c>
    </row>
    <row r="18895" spans="1:1">
      <c r="A18895" t="s">
        <v>19427</v>
      </c>
    </row>
    <row r="18896" spans="1:1">
      <c r="A18896" t="s">
        <v>19428</v>
      </c>
    </row>
    <row r="18897" spans="1:1">
      <c r="A18897" t="s">
        <v>19429</v>
      </c>
    </row>
    <row r="18898" spans="1:1">
      <c r="A18898" t="s">
        <v>19430</v>
      </c>
    </row>
    <row r="18899" spans="1:1">
      <c r="A18899" t="s">
        <v>19431</v>
      </c>
    </row>
    <row r="18900" spans="1:1">
      <c r="A18900" t="s">
        <v>19432</v>
      </c>
    </row>
    <row r="18901" spans="1:1">
      <c r="A18901" t="s">
        <v>19433</v>
      </c>
    </row>
    <row r="18902" spans="1:1">
      <c r="A18902" t="s">
        <v>19434</v>
      </c>
    </row>
    <row r="18903" spans="1:1">
      <c r="A18903" t="s">
        <v>19435</v>
      </c>
    </row>
    <row r="18904" spans="1:1">
      <c r="A18904" t="s">
        <v>19436</v>
      </c>
    </row>
    <row r="18905" spans="1:1">
      <c r="A18905" t="s">
        <v>19437</v>
      </c>
    </row>
    <row r="18906" spans="1:1">
      <c r="A18906" t="s">
        <v>19438</v>
      </c>
    </row>
    <row r="18907" spans="1:1">
      <c r="A18907" t="s">
        <v>19439</v>
      </c>
    </row>
    <row r="18908" spans="1:1">
      <c r="A18908" t="s">
        <v>19440</v>
      </c>
    </row>
    <row r="18909" spans="1:1">
      <c r="A18909" t="s">
        <v>19441</v>
      </c>
    </row>
    <row r="18910" spans="1:1">
      <c r="A18910" t="s">
        <v>19442</v>
      </c>
    </row>
    <row r="18911" spans="1:1">
      <c r="A18911" t="s">
        <v>19443</v>
      </c>
    </row>
    <row r="18912" spans="1:1">
      <c r="A18912" t="s">
        <v>19444</v>
      </c>
    </row>
    <row r="18913" spans="1:1">
      <c r="A18913" t="s">
        <v>19445</v>
      </c>
    </row>
    <row r="18914" spans="1:1">
      <c r="A18914" t="s">
        <v>19446</v>
      </c>
    </row>
    <row r="18915" spans="1:1">
      <c r="A18915" t="s">
        <v>19447</v>
      </c>
    </row>
    <row r="18916" spans="1:1">
      <c r="A18916" t="s">
        <v>19448</v>
      </c>
    </row>
    <row r="18917" spans="1:1">
      <c r="A18917" t="s">
        <v>19449</v>
      </c>
    </row>
    <row r="18918" spans="1:1">
      <c r="A18918" t="s">
        <v>19450</v>
      </c>
    </row>
    <row r="18919" spans="1:1">
      <c r="A18919" t="s">
        <v>19451</v>
      </c>
    </row>
    <row r="18920" spans="1:1">
      <c r="A18920" t="s">
        <v>19452</v>
      </c>
    </row>
    <row r="18921" spans="1:1">
      <c r="A18921" t="s">
        <v>19453</v>
      </c>
    </row>
    <row r="18922" spans="1:1">
      <c r="A18922" t="s">
        <v>19454</v>
      </c>
    </row>
    <row r="18923" spans="1:1">
      <c r="A18923" t="s">
        <v>19455</v>
      </c>
    </row>
    <row r="18924" spans="1:1">
      <c r="A18924" t="s">
        <v>19456</v>
      </c>
    </row>
    <row r="18925" spans="1:1">
      <c r="A18925" t="s">
        <v>19457</v>
      </c>
    </row>
    <row r="18926" spans="1:1">
      <c r="A18926" t="s">
        <v>19458</v>
      </c>
    </row>
    <row r="18927" spans="1:1">
      <c r="A18927" t="s">
        <v>19459</v>
      </c>
    </row>
    <row r="18928" spans="1:1">
      <c r="A18928" t="s">
        <v>19460</v>
      </c>
    </row>
    <row r="18929" spans="1:1">
      <c r="A18929" t="s">
        <v>19461</v>
      </c>
    </row>
    <row r="18930" spans="1:1">
      <c r="A18930" t="s">
        <v>19462</v>
      </c>
    </row>
    <row r="18931" spans="1:1">
      <c r="A18931" t="s">
        <v>19463</v>
      </c>
    </row>
    <row r="18932" spans="1:1">
      <c r="A18932" t="s">
        <v>19464</v>
      </c>
    </row>
    <row r="18933" spans="1:1">
      <c r="A18933" t="s">
        <v>19465</v>
      </c>
    </row>
    <row r="18934" spans="1:1">
      <c r="A18934" t="s">
        <v>19466</v>
      </c>
    </row>
    <row r="18935" spans="1:1">
      <c r="A18935" t="s">
        <v>19467</v>
      </c>
    </row>
    <row r="18936" spans="1:1">
      <c r="A18936" t="s">
        <v>19468</v>
      </c>
    </row>
    <row r="18937" spans="1:1">
      <c r="A18937" t="s">
        <v>19469</v>
      </c>
    </row>
    <row r="18938" spans="1:1">
      <c r="A18938" t="s">
        <v>19470</v>
      </c>
    </row>
    <row r="18939" spans="1:1">
      <c r="A18939" t="s">
        <v>19471</v>
      </c>
    </row>
    <row r="18940" spans="1:1">
      <c r="A18940" t="s">
        <v>19472</v>
      </c>
    </row>
    <row r="18941" spans="1:1">
      <c r="A18941" t="s">
        <v>19473</v>
      </c>
    </row>
    <row r="18942" spans="1:1">
      <c r="A18942" t="s">
        <v>19474</v>
      </c>
    </row>
    <row r="18943" spans="1:1">
      <c r="A18943" t="s">
        <v>19475</v>
      </c>
    </row>
    <row r="18944" spans="1:1">
      <c r="A18944" t="s">
        <v>19476</v>
      </c>
    </row>
    <row r="18945" spans="1:1">
      <c r="A18945" t="s">
        <v>19477</v>
      </c>
    </row>
    <row r="18946" spans="1:1">
      <c r="A18946" t="s">
        <v>19478</v>
      </c>
    </row>
    <row r="18947" spans="1:1">
      <c r="A18947" t="s">
        <v>19479</v>
      </c>
    </row>
    <row r="18948" spans="1:1">
      <c r="A18948" t="s">
        <v>19480</v>
      </c>
    </row>
    <row r="18949" spans="1:1">
      <c r="A18949" t="s">
        <v>19481</v>
      </c>
    </row>
    <row r="18950" spans="1:1">
      <c r="A18950" t="s">
        <v>19482</v>
      </c>
    </row>
    <row r="18951" spans="1:1">
      <c r="A18951" t="s">
        <v>19483</v>
      </c>
    </row>
    <row r="18952" spans="1:1">
      <c r="A18952" t="s">
        <v>19484</v>
      </c>
    </row>
    <row r="18953" spans="1:1">
      <c r="A18953" t="s">
        <v>19485</v>
      </c>
    </row>
    <row r="18954" spans="1:1">
      <c r="A18954" t="s">
        <v>19486</v>
      </c>
    </row>
    <row r="18955" spans="1:1">
      <c r="A18955" t="s">
        <v>19487</v>
      </c>
    </row>
    <row r="18956" spans="1:1">
      <c r="A18956" t="s">
        <v>19488</v>
      </c>
    </row>
    <row r="18957" spans="1:1">
      <c r="A18957" t="s">
        <v>19489</v>
      </c>
    </row>
    <row r="18958" spans="1:1">
      <c r="A18958" t="s">
        <v>19490</v>
      </c>
    </row>
    <row r="18959" spans="1:1">
      <c r="A18959" t="s">
        <v>19491</v>
      </c>
    </row>
    <row r="18960" spans="1:1">
      <c r="A18960" t="s">
        <v>19492</v>
      </c>
    </row>
    <row r="18961" spans="1:1">
      <c r="A18961" t="s">
        <v>19493</v>
      </c>
    </row>
    <row r="18962" spans="1:1">
      <c r="A18962" t="s">
        <v>19494</v>
      </c>
    </row>
    <row r="18963" spans="1:1">
      <c r="A18963" t="s">
        <v>19495</v>
      </c>
    </row>
    <row r="18964" spans="1:1">
      <c r="A18964" t="s">
        <v>19496</v>
      </c>
    </row>
    <row r="18965" spans="1:1">
      <c r="A18965" t="s">
        <v>19497</v>
      </c>
    </row>
    <row r="18966" spans="1:1">
      <c r="A18966" t="s">
        <v>19498</v>
      </c>
    </row>
    <row r="18967" spans="1:1">
      <c r="A18967" t="s">
        <v>19499</v>
      </c>
    </row>
    <row r="18968" spans="1:1">
      <c r="A18968" t="s">
        <v>19500</v>
      </c>
    </row>
    <row r="18969" spans="1:1">
      <c r="A18969" t="s">
        <v>19501</v>
      </c>
    </row>
    <row r="18970" spans="1:1">
      <c r="A18970" t="s">
        <v>19502</v>
      </c>
    </row>
    <row r="18971" spans="1:1">
      <c r="A18971" t="s">
        <v>19503</v>
      </c>
    </row>
    <row r="18972" spans="1:1">
      <c r="A18972" t="s">
        <v>19504</v>
      </c>
    </row>
    <row r="18973" spans="1:1">
      <c r="A18973" t="s">
        <v>19505</v>
      </c>
    </row>
    <row r="18974" spans="1:1">
      <c r="A18974" t="s">
        <v>19506</v>
      </c>
    </row>
    <row r="18975" spans="1:1">
      <c r="A18975" t="s">
        <v>19507</v>
      </c>
    </row>
    <row r="18976" spans="1:1">
      <c r="A18976" t="s">
        <v>19508</v>
      </c>
    </row>
    <row r="18977" spans="1:1">
      <c r="A18977" t="s">
        <v>19509</v>
      </c>
    </row>
    <row r="18978" spans="1:1">
      <c r="A18978" t="s">
        <v>19510</v>
      </c>
    </row>
    <row r="18979" spans="1:1">
      <c r="A18979" t="s">
        <v>19511</v>
      </c>
    </row>
    <row r="18980" spans="1:1">
      <c r="A18980" t="s">
        <v>19512</v>
      </c>
    </row>
    <row r="18981" spans="1:1">
      <c r="A18981" t="s">
        <v>19513</v>
      </c>
    </row>
    <row r="18982" spans="1:1">
      <c r="A18982" t="s">
        <v>19514</v>
      </c>
    </row>
    <row r="18983" spans="1:1">
      <c r="A18983" t="s">
        <v>19515</v>
      </c>
    </row>
    <row r="18984" spans="1:1">
      <c r="A18984" t="s">
        <v>19516</v>
      </c>
    </row>
    <row r="18985" spans="1:1">
      <c r="A18985" t="s">
        <v>19517</v>
      </c>
    </row>
    <row r="18986" spans="1:1">
      <c r="A18986" t="s">
        <v>19518</v>
      </c>
    </row>
    <row r="18987" spans="1:1">
      <c r="A18987" t="s">
        <v>19519</v>
      </c>
    </row>
    <row r="18988" spans="1:1">
      <c r="A18988" t="s">
        <v>19520</v>
      </c>
    </row>
    <row r="18989" spans="1:1">
      <c r="A18989" t="s">
        <v>19521</v>
      </c>
    </row>
    <row r="18990" spans="1:1">
      <c r="A18990" t="s">
        <v>19522</v>
      </c>
    </row>
    <row r="18991" spans="1:1">
      <c r="A18991" t="s">
        <v>19523</v>
      </c>
    </row>
    <row r="18992" spans="1:1">
      <c r="A18992" t="s">
        <v>19524</v>
      </c>
    </row>
    <row r="18993" spans="1:1">
      <c r="A18993" t="s">
        <v>19525</v>
      </c>
    </row>
    <row r="18994" spans="1:1">
      <c r="A18994" t="s">
        <v>19526</v>
      </c>
    </row>
    <row r="18995" spans="1:1">
      <c r="A18995" t="s">
        <v>19527</v>
      </c>
    </row>
    <row r="18996" spans="1:1">
      <c r="A18996" t="s">
        <v>19528</v>
      </c>
    </row>
    <row r="18997" spans="1:1">
      <c r="A18997" t="s">
        <v>19529</v>
      </c>
    </row>
    <row r="18998" spans="1:1">
      <c r="A18998" t="s">
        <v>19530</v>
      </c>
    </row>
    <row r="18999" spans="1:1">
      <c r="A18999" t="s">
        <v>19531</v>
      </c>
    </row>
    <row r="19000" spans="1:1">
      <c r="A19000" t="s">
        <v>19532</v>
      </c>
    </row>
    <row r="19001" spans="1:1">
      <c r="A19001" t="s">
        <v>19533</v>
      </c>
    </row>
    <row r="19002" spans="1:1">
      <c r="A19002" t="s">
        <v>19534</v>
      </c>
    </row>
    <row r="19003" spans="1:1">
      <c r="A19003" t="s">
        <v>19535</v>
      </c>
    </row>
    <row r="19004" spans="1:1">
      <c r="A19004" t="s">
        <v>19536</v>
      </c>
    </row>
    <row r="19005" spans="1:1">
      <c r="A19005" t="s">
        <v>19537</v>
      </c>
    </row>
    <row r="19006" spans="1:1">
      <c r="A19006" t="s">
        <v>19538</v>
      </c>
    </row>
    <row r="19007" spans="1:1">
      <c r="A19007" t="s">
        <v>19539</v>
      </c>
    </row>
    <row r="19008" spans="1:1">
      <c r="A19008" t="s">
        <v>19540</v>
      </c>
    </row>
    <row r="19009" spans="1:1">
      <c r="A19009" t="s">
        <v>19541</v>
      </c>
    </row>
    <row r="19010" spans="1:1">
      <c r="A19010" t="s">
        <v>19542</v>
      </c>
    </row>
    <row r="19011" spans="1:1">
      <c r="A19011" t="s">
        <v>19543</v>
      </c>
    </row>
    <row r="19012" spans="1:1">
      <c r="A19012" t="s">
        <v>19544</v>
      </c>
    </row>
    <row r="19013" spans="1:1">
      <c r="A19013" t="s">
        <v>19545</v>
      </c>
    </row>
    <row r="19014" spans="1:1">
      <c r="A19014" t="s">
        <v>19546</v>
      </c>
    </row>
    <row r="19015" spans="1:1">
      <c r="A19015" t="s">
        <v>19547</v>
      </c>
    </row>
    <row r="19016" spans="1:1">
      <c r="A19016" t="s">
        <v>19548</v>
      </c>
    </row>
    <row r="19017" spans="1:1">
      <c r="A19017" t="s">
        <v>19549</v>
      </c>
    </row>
    <row r="19018" spans="1:1">
      <c r="A19018" t="s">
        <v>19550</v>
      </c>
    </row>
    <row r="19019" spans="1:1">
      <c r="A19019" t="s">
        <v>19551</v>
      </c>
    </row>
    <row r="19020" spans="1:1">
      <c r="A19020" t="s">
        <v>19552</v>
      </c>
    </row>
    <row r="19021" spans="1:1">
      <c r="A19021" t="s">
        <v>19553</v>
      </c>
    </row>
    <row r="19022" spans="1:1">
      <c r="A19022" t="s">
        <v>19554</v>
      </c>
    </row>
    <row r="19023" spans="1:1">
      <c r="A19023" t="s">
        <v>19555</v>
      </c>
    </row>
    <row r="19024" spans="1:1">
      <c r="A19024" t="s">
        <v>19556</v>
      </c>
    </row>
    <row r="19025" spans="1:1">
      <c r="A19025" t="s">
        <v>19557</v>
      </c>
    </row>
    <row r="19026" spans="1:1">
      <c r="A19026" t="s">
        <v>19558</v>
      </c>
    </row>
    <row r="19027" spans="1:1">
      <c r="A19027" t="s">
        <v>19559</v>
      </c>
    </row>
    <row r="19028" spans="1:1">
      <c r="A19028" t="s">
        <v>19560</v>
      </c>
    </row>
    <row r="19029" spans="1:1">
      <c r="A19029" t="s">
        <v>19561</v>
      </c>
    </row>
    <row r="19030" spans="1:1">
      <c r="A19030" t="s">
        <v>19562</v>
      </c>
    </row>
    <row r="19031" spans="1:1">
      <c r="A19031" t="s">
        <v>19563</v>
      </c>
    </row>
    <row r="19032" spans="1:1">
      <c r="A19032" t="s">
        <v>19564</v>
      </c>
    </row>
    <row r="19033" spans="1:1">
      <c r="A19033" t="s">
        <v>19565</v>
      </c>
    </row>
    <row r="19034" spans="1:1">
      <c r="A19034" t="s">
        <v>19566</v>
      </c>
    </row>
    <row r="19035" spans="1:1">
      <c r="A19035" t="s">
        <v>19567</v>
      </c>
    </row>
    <row r="19036" spans="1:1">
      <c r="A19036" t="s">
        <v>19568</v>
      </c>
    </row>
    <row r="19037" spans="1:1">
      <c r="A19037" t="s">
        <v>19569</v>
      </c>
    </row>
    <row r="19038" spans="1:1">
      <c r="A19038" t="s">
        <v>19570</v>
      </c>
    </row>
    <row r="19039" spans="1:1">
      <c r="A19039" t="s">
        <v>19571</v>
      </c>
    </row>
    <row r="19040" spans="1:1">
      <c r="A19040" t="s">
        <v>19572</v>
      </c>
    </row>
    <row r="19041" spans="1:1">
      <c r="A19041" t="s">
        <v>19573</v>
      </c>
    </row>
    <row r="19042" spans="1:1">
      <c r="A19042" t="s">
        <v>19574</v>
      </c>
    </row>
    <row r="19043" spans="1:1">
      <c r="A19043" t="s">
        <v>19575</v>
      </c>
    </row>
    <row r="19044" spans="1:1">
      <c r="A19044" t="s">
        <v>19576</v>
      </c>
    </row>
    <row r="19045" spans="1:1">
      <c r="A19045" t="s">
        <v>19577</v>
      </c>
    </row>
    <row r="19046" spans="1:1">
      <c r="A19046" t="s">
        <v>19578</v>
      </c>
    </row>
    <row r="19047" spans="1:1">
      <c r="A19047" t="s">
        <v>19579</v>
      </c>
    </row>
    <row r="19048" spans="1:1">
      <c r="A19048" t="s">
        <v>19580</v>
      </c>
    </row>
    <row r="19049" spans="1:1">
      <c r="A19049" t="s">
        <v>19581</v>
      </c>
    </row>
    <row r="19050" spans="1:1">
      <c r="A19050" t="s">
        <v>19582</v>
      </c>
    </row>
    <row r="19051" spans="1:1">
      <c r="A19051" t="s">
        <v>19583</v>
      </c>
    </row>
    <row r="19052" spans="1:1">
      <c r="A19052" t="s">
        <v>19584</v>
      </c>
    </row>
    <row r="19053" spans="1:1">
      <c r="A19053" t="s">
        <v>19585</v>
      </c>
    </row>
    <row r="19054" spans="1:1">
      <c r="A19054" t="s">
        <v>19586</v>
      </c>
    </row>
    <row r="19055" spans="1:1">
      <c r="A19055" t="s">
        <v>19587</v>
      </c>
    </row>
    <row r="19056" spans="1:1">
      <c r="A19056" t="s">
        <v>19588</v>
      </c>
    </row>
    <row r="19057" spans="1:1">
      <c r="A19057" t="s">
        <v>19589</v>
      </c>
    </row>
    <row r="19058" spans="1:1">
      <c r="A19058" t="s">
        <v>19590</v>
      </c>
    </row>
    <row r="19059" spans="1:1">
      <c r="A19059" t="s">
        <v>19591</v>
      </c>
    </row>
    <row r="19060" spans="1:1">
      <c r="A19060" t="s">
        <v>19592</v>
      </c>
    </row>
    <row r="19061" spans="1:1">
      <c r="A19061" t="s">
        <v>19593</v>
      </c>
    </row>
    <row r="19062" spans="1:1">
      <c r="A19062" t="s">
        <v>19594</v>
      </c>
    </row>
    <row r="19063" spans="1:1">
      <c r="A19063" t="s">
        <v>19595</v>
      </c>
    </row>
    <row r="19064" spans="1:1">
      <c r="A19064" t="s">
        <v>19596</v>
      </c>
    </row>
    <row r="19065" spans="1:1">
      <c r="A19065" t="s">
        <v>19597</v>
      </c>
    </row>
    <row r="19066" spans="1:1">
      <c r="A19066" t="s">
        <v>19598</v>
      </c>
    </row>
    <row r="19067" spans="1:1">
      <c r="A19067" t="s">
        <v>19599</v>
      </c>
    </row>
    <row r="19068" spans="1:1">
      <c r="A19068" t="s">
        <v>19600</v>
      </c>
    </row>
    <row r="19069" spans="1:1">
      <c r="A19069" t="s">
        <v>19601</v>
      </c>
    </row>
    <row r="19070" spans="1:1">
      <c r="A19070" t="s">
        <v>19602</v>
      </c>
    </row>
    <row r="19071" spans="1:1">
      <c r="A19071" t="s">
        <v>19603</v>
      </c>
    </row>
    <row r="19072" spans="1:1">
      <c r="A19072" t="s">
        <v>19604</v>
      </c>
    </row>
    <row r="19073" spans="1:1">
      <c r="A19073" t="s">
        <v>19605</v>
      </c>
    </row>
    <row r="19074" spans="1:1">
      <c r="A19074" t="s">
        <v>19606</v>
      </c>
    </row>
    <row r="19075" spans="1:1">
      <c r="A19075" t="s">
        <v>19607</v>
      </c>
    </row>
    <row r="19076" spans="1:1">
      <c r="A19076" t="s">
        <v>19608</v>
      </c>
    </row>
    <row r="19077" spans="1:1">
      <c r="A19077" t="s">
        <v>19609</v>
      </c>
    </row>
    <row r="19078" spans="1:1">
      <c r="A19078" t="s">
        <v>19610</v>
      </c>
    </row>
    <row r="19079" spans="1:1">
      <c r="A19079" t="s">
        <v>19611</v>
      </c>
    </row>
    <row r="19080" spans="1:1">
      <c r="A19080" t="s">
        <v>19612</v>
      </c>
    </row>
    <row r="19081" spans="1:1">
      <c r="A19081" t="s">
        <v>19613</v>
      </c>
    </row>
    <row r="19082" spans="1:1">
      <c r="A19082" t="s">
        <v>19614</v>
      </c>
    </row>
    <row r="19083" spans="1:1">
      <c r="A19083" t="s">
        <v>19615</v>
      </c>
    </row>
    <row r="19084" spans="1:1">
      <c r="A19084" t="s">
        <v>19616</v>
      </c>
    </row>
    <row r="19085" spans="1:1">
      <c r="A19085" t="s">
        <v>19617</v>
      </c>
    </row>
    <row r="19086" spans="1:1">
      <c r="A19086" t="s">
        <v>19618</v>
      </c>
    </row>
    <row r="19087" spans="1:1">
      <c r="A19087" t="s">
        <v>19619</v>
      </c>
    </row>
    <row r="19088" spans="1:1">
      <c r="A19088" t="s">
        <v>19620</v>
      </c>
    </row>
    <row r="19089" spans="1:1">
      <c r="A19089" t="s">
        <v>19621</v>
      </c>
    </row>
    <row r="19090" spans="1:1">
      <c r="A19090" t="s">
        <v>19622</v>
      </c>
    </row>
    <row r="19091" spans="1:1">
      <c r="A19091" t="s">
        <v>19623</v>
      </c>
    </row>
    <row r="19092" spans="1:1">
      <c r="A19092" t="s">
        <v>19624</v>
      </c>
    </row>
    <row r="19093" spans="1:1">
      <c r="A19093" t="s">
        <v>19625</v>
      </c>
    </row>
    <row r="19094" spans="1:1">
      <c r="A19094" t="s">
        <v>19626</v>
      </c>
    </row>
    <row r="19095" spans="1:1">
      <c r="A19095" t="s">
        <v>19627</v>
      </c>
    </row>
    <row r="19096" spans="1:1">
      <c r="A19096" t="s">
        <v>19628</v>
      </c>
    </row>
    <row r="19097" spans="1:1">
      <c r="A19097" t="s">
        <v>19629</v>
      </c>
    </row>
    <row r="19098" spans="1:1">
      <c r="A19098" t="s">
        <v>19630</v>
      </c>
    </row>
    <row r="19099" spans="1:1">
      <c r="A19099" t="s">
        <v>19631</v>
      </c>
    </row>
    <row r="19100" spans="1:1">
      <c r="A19100" t="s">
        <v>19632</v>
      </c>
    </row>
    <row r="19101" spans="1:1">
      <c r="A19101" t="s">
        <v>19633</v>
      </c>
    </row>
    <row r="19102" spans="1:1">
      <c r="A19102" t="s">
        <v>19634</v>
      </c>
    </row>
    <row r="19103" spans="1:1">
      <c r="A19103" t="s">
        <v>19635</v>
      </c>
    </row>
    <row r="19104" spans="1:1">
      <c r="A19104" t="s">
        <v>19636</v>
      </c>
    </row>
    <row r="19105" spans="1:1">
      <c r="A19105" t="s">
        <v>19637</v>
      </c>
    </row>
    <row r="19106" spans="1:1">
      <c r="A19106" t="s">
        <v>19638</v>
      </c>
    </row>
    <row r="19107" spans="1:1">
      <c r="A19107" t="s">
        <v>19639</v>
      </c>
    </row>
    <row r="19108" spans="1:1">
      <c r="A19108" t="s">
        <v>19640</v>
      </c>
    </row>
    <row r="19109" spans="1:1">
      <c r="A19109" t="s">
        <v>19641</v>
      </c>
    </row>
    <row r="19110" spans="1:1">
      <c r="A19110" t="s">
        <v>19642</v>
      </c>
    </row>
    <row r="19111" spans="1:1">
      <c r="A19111" t="s">
        <v>19643</v>
      </c>
    </row>
    <row r="19112" spans="1:1">
      <c r="A19112" t="s">
        <v>19644</v>
      </c>
    </row>
    <row r="19113" spans="1:1">
      <c r="A19113" t="s">
        <v>19645</v>
      </c>
    </row>
    <row r="19114" spans="1:1">
      <c r="A19114" t="s">
        <v>19646</v>
      </c>
    </row>
    <row r="19115" spans="1:1">
      <c r="A19115" t="s">
        <v>19647</v>
      </c>
    </row>
    <row r="19116" spans="1:1">
      <c r="A19116" t="s">
        <v>19648</v>
      </c>
    </row>
    <row r="19117" spans="1:1">
      <c r="A19117" t="s">
        <v>19649</v>
      </c>
    </row>
    <row r="19118" spans="1:1">
      <c r="A19118" t="s">
        <v>19650</v>
      </c>
    </row>
    <row r="19119" spans="1:1">
      <c r="A19119" t="s">
        <v>19651</v>
      </c>
    </row>
    <row r="19120" spans="1:1">
      <c r="A19120" t="s">
        <v>19652</v>
      </c>
    </row>
    <row r="19121" spans="1:1">
      <c r="A19121" t="s">
        <v>19653</v>
      </c>
    </row>
    <row r="19122" spans="1:1">
      <c r="A19122" t="s">
        <v>19654</v>
      </c>
    </row>
    <row r="19123" spans="1:1">
      <c r="A19123" t="s">
        <v>19655</v>
      </c>
    </row>
    <row r="19124" spans="1:1">
      <c r="A19124" t="s">
        <v>19656</v>
      </c>
    </row>
    <row r="19125" spans="1:1">
      <c r="A19125" t="s">
        <v>19657</v>
      </c>
    </row>
    <row r="19126" spans="1:1">
      <c r="A19126" t="s">
        <v>19658</v>
      </c>
    </row>
    <row r="19127" spans="1:1">
      <c r="A19127" t="s">
        <v>19659</v>
      </c>
    </row>
    <row r="19128" spans="1:1">
      <c r="A19128" t="s">
        <v>19660</v>
      </c>
    </row>
    <row r="19129" spans="1:1">
      <c r="A19129" t="s">
        <v>19661</v>
      </c>
    </row>
    <row r="19130" spans="1:1">
      <c r="A19130" t="s">
        <v>19662</v>
      </c>
    </row>
    <row r="19131" spans="1:1">
      <c r="A19131" t="s">
        <v>19663</v>
      </c>
    </row>
    <row r="19132" spans="1:1">
      <c r="A19132" t="s">
        <v>19664</v>
      </c>
    </row>
    <row r="19133" spans="1:1">
      <c r="A19133" t="s">
        <v>19665</v>
      </c>
    </row>
    <row r="19134" spans="1:1">
      <c r="A19134" t="s">
        <v>19666</v>
      </c>
    </row>
    <row r="19135" spans="1:1">
      <c r="A19135" t="s">
        <v>19667</v>
      </c>
    </row>
    <row r="19136" spans="1:1">
      <c r="A19136" t="s">
        <v>19668</v>
      </c>
    </row>
    <row r="19137" spans="1:1">
      <c r="A19137" t="s">
        <v>19669</v>
      </c>
    </row>
    <row r="19138" spans="1:1">
      <c r="A19138" t="s">
        <v>19670</v>
      </c>
    </row>
    <row r="19139" spans="1:1">
      <c r="A19139" t="s">
        <v>19671</v>
      </c>
    </row>
    <row r="19140" spans="1:1">
      <c r="A19140" t="s">
        <v>19672</v>
      </c>
    </row>
    <row r="19141" spans="1:1">
      <c r="A19141" t="s">
        <v>19673</v>
      </c>
    </row>
    <row r="19142" spans="1:1">
      <c r="A19142" t="s">
        <v>19674</v>
      </c>
    </row>
    <row r="19143" spans="1:1">
      <c r="A19143" t="s">
        <v>19675</v>
      </c>
    </row>
    <row r="19144" spans="1:1">
      <c r="A19144" t="s">
        <v>19676</v>
      </c>
    </row>
    <row r="19145" spans="1:1">
      <c r="A19145" t="s">
        <v>19677</v>
      </c>
    </row>
    <row r="19146" spans="1:1">
      <c r="A19146" t="s">
        <v>19678</v>
      </c>
    </row>
    <row r="19147" spans="1:1">
      <c r="A19147" t="s">
        <v>19679</v>
      </c>
    </row>
    <row r="19148" spans="1:1">
      <c r="A19148" t="s">
        <v>19680</v>
      </c>
    </row>
    <row r="19149" spans="1:1">
      <c r="A19149" t="s">
        <v>19681</v>
      </c>
    </row>
    <row r="19150" spans="1:1">
      <c r="A19150" t="s">
        <v>19682</v>
      </c>
    </row>
    <row r="19151" spans="1:1">
      <c r="A19151" t="s">
        <v>19683</v>
      </c>
    </row>
    <row r="19152" spans="1:1">
      <c r="A19152" t="s">
        <v>19684</v>
      </c>
    </row>
    <row r="19153" spans="1:1">
      <c r="A19153" t="s">
        <v>19685</v>
      </c>
    </row>
    <row r="19154" spans="1:1">
      <c r="A19154" t="s">
        <v>19686</v>
      </c>
    </row>
    <row r="19155" spans="1:1">
      <c r="A19155" t="s">
        <v>19687</v>
      </c>
    </row>
    <row r="19156" spans="1:1">
      <c r="A19156" t="s">
        <v>19688</v>
      </c>
    </row>
    <row r="19157" spans="1:1">
      <c r="A19157" t="s">
        <v>19689</v>
      </c>
    </row>
    <row r="19158" spans="1:1">
      <c r="A19158" t="s">
        <v>19690</v>
      </c>
    </row>
    <row r="19159" spans="1:1">
      <c r="A19159" t="s">
        <v>19691</v>
      </c>
    </row>
    <row r="19160" spans="1:1">
      <c r="A19160" t="s">
        <v>19692</v>
      </c>
    </row>
    <row r="19161" spans="1:1">
      <c r="A19161" t="s">
        <v>19693</v>
      </c>
    </row>
    <row r="19162" spans="1:1">
      <c r="A19162" t="s">
        <v>19694</v>
      </c>
    </row>
    <row r="19163" spans="1:1">
      <c r="A19163" t="s">
        <v>19695</v>
      </c>
    </row>
    <row r="19164" spans="1:1">
      <c r="A19164" t="s">
        <v>19696</v>
      </c>
    </row>
    <row r="19165" spans="1:1">
      <c r="A19165" t="s">
        <v>19697</v>
      </c>
    </row>
    <row r="19166" spans="1:1">
      <c r="A19166" t="s">
        <v>19698</v>
      </c>
    </row>
    <row r="19167" spans="1:1">
      <c r="A19167" t="s">
        <v>19699</v>
      </c>
    </row>
    <row r="19168" spans="1:1">
      <c r="A19168" t="s">
        <v>19700</v>
      </c>
    </row>
    <row r="19169" spans="1:1">
      <c r="A19169" t="s">
        <v>19701</v>
      </c>
    </row>
    <row r="19170" spans="1:1">
      <c r="A19170" t="s">
        <v>19702</v>
      </c>
    </row>
    <row r="19171" spans="1:1">
      <c r="A19171" t="s">
        <v>19703</v>
      </c>
    </row>
    <row r="19172" spans="1:1">
      <c r="A19172" t="s">
        <v>19704</v>
      </c>
    </row>
    <row r="19173" spans="1:1">
      <c r="A19173" t="s">
        <v>19705</v>
      </c>
    </row>
    <row r="19174" spans="1:1">
      <c r="A19174" t="s">
        <v>19706</v>
      </c>
    </row>
    <row r="19175" spans="1:1">
      <c r="A19175" t="s">
        <v>19707</v>
      </c>
    </row>
    <row r="19176" spans="1:1">
      <c r="A19176" t="s">
        <v>19708</v>
      </c>
    </row>
    <row r="19177" spans="1:1">
      <c r="A19177" t="s">
        <v>19709</v>
      </c>
    </row>
    <row r="19178" spans="1:1">
      <c r="A19178" t="s">
        <v>19710</v>
      </c>
    </row>
    <row r="19179" spans="1:1">
      <c r="A19179" t="s">
        <v>19711</v>
      </c>
    </row>
    <row r="19180" spans="1:1">
      <c r="A19180" t="s">
        <v>19712</v>
      </c>
    </row>
    <row r="19181" spans="1:1">
      <c r="A19181" t="s">
        <v>19713</v>
      </c>
    </row>
    <row r="19182" spans="1:1">
      <c r="A19182" t="s">
        <v>19714</v>
      </c>
    </row>
    <row r="19183" spans="1:1">
      <c r="A19183" t="s">
        <v>19715</v>
      </c>
    </row>
    <row r="19184" spans="1:1">
      <c r="A19184" t="s">
        <v>19716</v>
      </c>
    </row>
    <row r="19185" spans="1:1">
      <c r="A19185" t="s">
        <v>19717</v>
      </c>
    </row>
    <row r="19186" spans="1:1">
      <c r="A19186" t="s">
        <v>19718</v>
      </c>
    </row>
    <row r="19187" spans="1:1">
      <c r="A19187" t="s">
        <v>19719</v>
      </c>
    </row>
    <row r="19188" spans="1:1">
      <c r="A19188" t="s">
        <v>19720</v>
      </c>
    </row>
    <row r="19189" spans="1:1">
      <c r="A19189" t="s">
        <v>19721</v>
      </c>
    </row>
    <row r="19190" spans="1:1">
      <c r="A19190" t="s">
        <v>19722</v>
      </c>
    </row>
    <row r="19191" spans="1:1">
      <c r="A19191" t="s">
        <v>19723</v>
      </c>
    </row>
    <row r="19192" spans="1:1">
      <c r="A19192" t="s">
        <v>19724</v>
      </c>
    </row>
    <row r="19193" spans="1:1">
      <c r="A19193" t="s">
        <v>19725</v>
      </c>
    </row>
    <row r="19194" spans="1:1">
      <c r="A19194" t="s">
        <v>19726</v>
      </c>
    </row>
    <row r="19195" spans="1:1">
      <c r="A19195" t="s">
        <v>19727</v>
      </c>
    </row>
    <row r="19196" spans="1:1">
      <c r="A19196" t="s">
        <v>19728</v>
      </c>
    </row>
    <row r="19197" spans="1:1">
      <c r="A19197" t="s">
        <v>19729</v>
      </c>
    </row>
    <row r="19198" spans="1:1">
      <c r="A19198" t="s">
        <v>19730</v>
      </c>
    </row>
    <row r="19199" spans="1:1">
      <c r="A19199" t="s">
        <v>19731</v>
      </c>
    </row>
    <row r="19200" spans="1:1">
      <c r="A19200" t="s">
        <v>19732</v>
      </c>
    </row>
    <row r="19201" spans="1:1">
      <c r="A19201" t="s">
        <v>19733</v>
      </c>
    </row>
    <row r="19202" spans="1:1">
      <c r="A19202" t="s">
        <v>19734</v>
      </c>
    </row>
    <row r="19203" spans="1:1">
      <c r="A19203" t="s">
        <v>19735</v>
      </c>
    </row>
    <row r="19204" spans="1:1">
      <c r="A19204" t="s">
        <v>19736</v>
      </c>
    </row>
    <row r="19205" spans="1:1">
      <c r="A19205" t="s">
        <v>19737</v>
      </c>
    </row>
    <row r="19206" spans="1:1">
      <c r="A19206" t="s">
        <v>19738</v>
      </c>
    </row>
    <row r="19207" spans="1:1">
      <c r="A19207" t="s">
        <v>19739</v>
      </c>
    </row>
    <row r="19208" spans="1:1">
      <c r="A19208" t="s">
        <v>19740</v>
      </c>
    </row>
    <row r="19209" spans="1:1">
      <c r="A19209" t="s">
        <v>19741</v>
      </c>
    </row>
    <row r="19210" spans="1:1">
      <c r="A19210" t="s">
        <v>19742</v>
      </c>
    </row>
    <row r="19211" spans="1:1">
      <c r="A19211" t="s">
        <v>19743</v>
      </c>
    </row>
    <row r="19212" spans="1:1">
      <c r="A19212" t="s">
        <v>19744</v>
      </c>
    </row>
    <row r="19213" spans="1:1">
      <c r="A19213" t="s">
        <v>19745</v>
      </c>
    </row>
    <row r="19214" spans="1:1">
      <c r="A19214" t="s">
        <v>19746</v>
      </c>
    </row>
    <row r="19215" spans="1:1">
      <c r="A19215" t="s">
        <v>19747</v>
      </c>
    </row>
    <row r="19216" spans="1:1">
      <c r="A19216" t="s">
        <v>19748</v>
      </c>
    </row>
    <row r="19217" spans="1:1">
      <c r="A19217" t="s">
        <v>19749</v>
      </c>
    </row>
    <row r="19218" spans="1:1">
      <c r="A19218" t="s">
        <v>19750</v>
      </c>
    </row>
    <row r="19219" spans="1:1">
      <c r="A19219" t="s">
        <v>19751</v>
      </c>
    </row>
    <row r="19220" spans="1:1">
      <c r="A19220" t="s">
        <v>19752</v>
      </c>
    </row>
    <row r="19221" spans="1:1">
      <c r="A19221" t="s">
        <v>19753</v>
      </c>
    </row>
    <row r="19222" spans="1:1">
      <c r="A19222" t="s">
        <v>19754</v>
      </c>
    </row>
    <row r="19223" spans="1:1">
      <c r="A19223" t="s">
        <v>19755</v>
      </c>
    </row>
    <row r="19224" spans="1:1">
      <c r="A19224" t="s">
        <v>19756</v>
      </c>
    </row>
    <row r="19225" spans="1:1">
      <c r="A19225" t="s">
        <v>19757</v>
      </c>
    </row>
    <row r="19226" spans="1:1">
      <c r="A19226" t="s">
        <v>19758</v>
      </c>
    </row>
    <row r="19227" spans="1:1">
      <c r="A19227" t="s">
        <v>19759</v>
      </c>
    </row>
    <row r="19228" spans="1:1">
      <c r="A19228" t="s">
        <v>19760</v>
      </c>
    </row>
    <row r="19229" spans="1:1">
      <c r="A19229" t="s">
        <v>19761</v>
      </c>
    </row>
    <row r="19230" spans="1:1">
      <c r="A19230" t="s">
        <v>19762</v>
      </c>
    </row>
    <row r="19231" spans="1:1">
      <c r="A19231" t="s">
        <v>19763</v>
      </c>
    </row>
    <row r="19232" spans="1:1">
      <c r="A19232" t="s">
        <v>19764</v>
      </c>
    </row>
    <row r="19233" spans="1:1">
      <c r="A19233" t="s">
        <v>19765</v>
      </c>
    </row>
    <row r="19234" spans="1:1">
      <c r="A19234" t="s">
        <v>19766</v>
      </c>
    </row>
    <row r="19235" spans="1:1">
      <c r="A19235" t="s">
        <v>19767</v>
      </c>
    </row>
    <row r="19236" spans="1:1">
      <c r="A19236" t="s">
        <v>19768</v>
      </c>
    </row>
    <row r="19237" spans="1:1">
      <c r="A19237" t="s">
        <v>19769</v>
      </c>
    </row>
    <row r="19238" spans="1:1">
      <c r="A19238" t="s">
        <v>19770</v>
      </c>
    </row>
    <row r="19239" spans="1:1">
      <c r="A19239" t="s">
        <v>19771</v>
      </c>
    </row>
    <row r="19240" spans="1:1">
      <c r="A19240" t="s">
        <v>19772</v>
      </c>
    </row>
    <row r="19241" spans="1:1">
      <c r="A19241" t="s">
        <v>19773</v>
      </c>
    </row>
    <row r="19242" spans="1:1">
      <c r="A19242" t="s">
        <v>19774</v>
      </c>
    </row>
    <row r="19243" spans="1:1">
      <c r="A19243" t="s">
        <v>19775</v>
      </c>
    </row>
    <row r="19244" spans="1:1">
      <c r="A19244" t="s">
        <v>19776</v>
      </c>
    </row>
    <row r="19245" spans="1:1">
      <c r="A19245" t="s">
        <v>19777</v>
      </c>
    </row>
    <row r="19246" spans="1:1">
      <c r="A19246" t="s">
        <v>19778</v>
      </c>
    </row>
    <row r="19247" spans="1:1">
      <c r="A19247" t="s">
        <v>19779</v>
      </c>
    </row>
    <row r="19248" spans="1:1">
      <c r="A19248" t="s">
        <v>19780</v>
      </c>
    </row>
    <row r="19249" spans="1:1">
      <c r="A19249" t="s">
        <v>19781</v>
      </c>
    </row>
    <row r="19250" spans="1:1">
      <c r="A19250" t="s">
        <v>19782</v>
      </c>
    </row>
    <row r="19251" spans="1:1">
      <c r="A19251" t="s">
        <v>19783</v>
      </c>
    </row>
    <row r="19252" spans="1:1">
      <c r="A19252" t="s">
        <v>19784</v>
      </c>
    </row>
    <row r="19253" spans="1:1">
      <c r="A19253" t="s">
        <v>19785</v>
      </c>
    </row>
    <row r="19254" spans="1:1">
      <c r="A19254" t="s">
        <v>19786</v>
      </c>
    </row>
    <row r="19255" spans="1:1">
      <c r="A19255" t="s">
        <v>19787</v>
      </c>
    </row>
    <row r="19256" spans="1:1">
      <c r="A19256" t="s">
        <v>19788</v>
      </c>
    </row>
    <row r="19257" spans="1:1">
      <c r="A19257" t="s">
        <v>19789</v>
      </c>
    </row>
    <row r="19258" spans="1:1">
      <c r="A19258" t="s">
        <v>19790</v>
      </c>
    </row>
    <row r="19259" spans="1:1">
      <c r="A19259" t="s">
        <v>19791</v>
      </c>
    </row>
    <row r="19260" spans="1:1">
      <c r="A19260" t="s">
        <v>19792</v>
      </c>
    </row>
    <row r="19261" spans="1:1">
      <c r="A19261" t="s">
        <v>19793</v>
      </c>
    </row>
    <row r="19262" spans="1:1">
      <c r="A19262" t="s">
        <v>19794</v>
      </c>
    </row>
    <row r="19263" spans="1:1">
      <c r="A19263" t="s">
        <v>19795</v>
      </c>
    </row>
    <row r="19264" spans="1:1">
      <c r="A19264" t="s">
        <v>19796</v>
      </c>
    </row>
    <row r="19265" spans="1:1">
      <c r="A19265" t="s">
        <v>19797</v>
      </c>
    </row>
    <row r="19266" spans="1:1">
      <c r="A19266" t="s">
        <v>19798</v>
      </c>
    </row>
    <row r="19267" spans="1:1">
      <c r="A19267" t="s">
        <v>19799</v>
      </c>
    </row>
    <row r="19268" spans="1:1">
      <c r="A19268" t="s">
        <v>19800</v>
      </c>
    </row>
    <row r="19269" spans="1:1">
      <c r="A19269" t="s">
        <v>19801</v>
      </c>
    </row>
    <row r="19270" spans="1:1">
      <c r="A19270" t="s">
        <v>19802</v>
      </c>
    </row>
    <row r="19271" spans="1:1">
      <c r="A19271" t="s">
        <v>19803</v>
      </c>
    </row>
    <row r="19272" spans="1:1">
      <c r="A19272" t="s">
        <v>19804</v>
      </c>
    </row>
    <row r="19273" spans="1:1">
      <c r="A19273" t="s">
        <v>19805</v>
      </c>
    </row>
    <row r="19274" spans="1:1">
      <c r="A19274" t="s">
        <v>19806</v>
      </c>
    </row>
    <row r="19275" spans="1:1">
      <c r="A19275" t="s">
        <v>19807</v>
      </c>
    </row>
    <row r="19276" spans="1:1">
      <c r="A19276" t="s">
        <v>19808</v>
      </c>
    </row>
    <row r="19277" spans="1:1">
      <c r="A19277" t="s">
        <v>19809</v>
      </c>
    </row>
    <row r="19278" spans="1:1">
      <c r="A19278" t="s">
        <v>19810</v>
      </c>
    </row>
    <row r="19279" spans="1:1">
      <c r="A19279" t="s">
        <v>19811</v>
      </c>
    </row>
    <row r="19280" spans="1:1">
      <c r="A19280" t="s">
        <v>19812</v>
      </c>
    </row>
    <row r="19281" spans="1:1">
      <c r="A19281" t="s">
        <v>19813</v>
      </c>
    </row>
    <row r="19282" spans="1:1">
      <c r="A19282" t="s">
        <v>19814</v>
      </c>
    </row>
    <row r="19283" spans="1:1">
      <c r="A19283" t="s">
        <v>19815</v>
      </c>
    </row>
    <row r="19284" spans="1:1">
      <c r="A19284" t="s">
        <v>19816</v>
      </c>
    </row>
    <row r="19285" spans="1:1">
      <c r="A19285" t="s">
        <v>19817</v>
      </c>
    </row>
    <row r="19286" spans="1:1">
      <c r="A19286" t="s">
        <v>19818</v>
      </c>
    </row>
    <row r="19287" spans="1:1">
      <c r="A19287" t="s">
        <v>19819</v>
      </c>
    </row>
    <row r="19288" spans="1:1">
      <c r="A19288" t="s">
        <v>19820</v>
      </c>
    </row>
    <row r="19289" spans="1:1">
      <c r="A19289" t="s">
        <v>19821</v>
      </c>
    </row>
    <row r="19290" spans="1:1">
      <c r="A19290" t="s">
        <v>19822</v>
      </c>
    </row>
    <row r="19291" spans="1:1">
      <c r="A19291" t="s">
        <v>19823</v>
      </c>
    </row>
    <row r="19292" spans="1:1">
      <c r="A19292" t="s">
        <v>19824</v>
      </c>
    </row>
    <row r="19293" spans="1:1">
      <c r="A19293" t="s">
        <v>19825</v>
      </c>
    </row>
    <row r="19294" spans="1:1">
      <c r="A19294" t="s">
        <v>19826</v>
      </c>
    </row>
    <row r="19295" spans="1:1">
      <c r="A19295" t="s">
        <v>19827</v>
      </c>
    </row>
    <row r="19296" spans="1:1">
      <c r="A19296" t="s">
        <v>19828</v>
      </c>
    </row>
    <row r="19297" spans="1:1">
      <c r="A19297" t="s">
        <v>19829</v>
      </c>
    </row>
    <row r="19298" spans="1:1">
      <c r="A19298" t="s">
        <v>19830</v>
      </c>
    </row>
    <row r="19299" spans="1:1">
      <c r="A19299" t="s">
        <v>19831</v>
      </c>
    </row>
    <row r="19300" spans="1:1">
      <c r="A19300" t="s">
        <v>19832</v>
      </c>
    </row>
    <row r="19301" spans="1:1">
      <c r="A19301" t="s">
        <v>19833</v>
      </c>
    </row>
    <row r="19302" spans="1:1">
      <c r="A19302" t="s">
        <v>19834</v>
      </c>
    </row>
    <row r="19303" spans="1:1">
      <c r="A19303" t="s">
        <v>19835</v>
      </c>
    </row>
    <row r="19304" spans="1:1">
      <c r="A19304" t="s">
        <v>19836</v>
      </c>
    </row>
    <row r="19305" spans="1:1">
      <c r="A19305" t="s">
        <v>19837</v>
      </c>
    </row>
    <row r="19306" spans="1:1">
      <c r="A19306" t="s">
        <v>19838</v>
      </c>
    </row>
    <row r="19307" spans="1:1">
      <c r="A19307" t="s">
        <v>19839</v>
      </c>
    </row>
    <row r="19308" spans="1:1">
      <c r="A19308" t="s">
        <v>19840</v>
      </c>
    </row>
    <row r="19309" spans="1:1">
      <c r="A19309" t="s">
        <v>19841</v>
      </c>
    </row>
    <row r="19310" spans="1:1">
      <c r="A19310" t="s">
        <v>19842</v>
      </c>
    </row>
    <row r="19311" spans="1:1">
      <c r="A19311" t="s">
        <v>19843</v>
      </c>
    </row>
    <row r="19312" spans="1:1">
      <c r="A19312" t="s">
        <v>19844</v>
      </c>
    </row>
    <row r="19313" spans="1:1">
      <c r="A19313" t="s">
        <v>19845</v>
      </c>
    </row>
    <row r="19314" spans="1:1">
      <c r="A19314" t="s">
        <v>19846</v>
      </c>
    </row>
    <row r="19315" spans="1:1">
      <c r="A19315" t="s">
        <v>19847</v>
      </c>
    </row>
    <row r="19316" spans="1:1">
      <c r="A19316" t="s">
        <v>19848</v>
      </c>
    </row>
    <row r="19317" spans="1:1">
      <c r="A19317" t="s">
        <v>19849</v>
      </c>
    </row>
    <row r="19318" spans="1:1">
      <c r="A19318" t="s">
        <v>19850</v>
      </c>
    </row>
    <row r="19319" spans="1:1">
      <c r="A19319" t="s">
        <v>19851</v>
      </c>
    </row>
    <row r="19320" spans="1:1">
      <c r="A19320" t="s">
        <v>19852</v>
      </c>
    </row>
    <row r="19321" spans="1:1">
      <c r="A19321" t="s">
        <v>19853</v>
      </c>
    </row>
    <row r="19322" spans="1:1">
      <c r="A19322" t="s">
        <v>19854</v>
      </c>
    </row>
    <row r="19323" spans="1:1">
      <c r="A19323" t="s">
        <v>19855</v>
      </c>
    </row>
    <row r="19324" spans="1:1">
      <c r="A19324" t="s">
        <v>19856</v>
      </c>
    </row>
    <row r="19325" spans="1:1">
      <c r="A19325" t="s">
        <v>19857</v>
      </c>
    </row>
    <row r="19326" spans="1:1">
      <c r="A19326" t="s">
        <v>19858</v>
      </c>
    </row>
    <row r="19327" spans="1:1">
      <c r="A19327" t="s">
        <v>19859</v>
      </c>
    </row>
    <row r="19328" spans="1:1">
      <c r="A19328" t="s">
        <v>19860</v>
      </c>
    </row>
    <row r="19329" spans="1:1">
      <c r="A19329" t="s">
        <v>19861</v>
      </c>
    </row>
    <row r="19330" spans="1:1">
      <c r="A19330" t="s">
        <v>19862</v>
      </c>
    </row>
    <row r="19331" spans="1:1">
      <c r="A19331" t="s">
        <v>19863</v>
      </c>
    </row>
    <row r="19332" spans="1:1">
      <c r="A19332" t="s">
        <v>19864</v>
      </c>
    </row>
    <row r="19333" spans="1:1">
      <c r="A19333" t="s">
        <v>19865</v>
      </c>
    </row>
    <row r="19334" spans="1:1">
      <c r="A19334" t="s">
        <v>19866</v>
      </c>
    </row>
    <row r="19335" spans="1:1">
      <c r="A19335" t="s">
        <v>19867</v>
      </c>
    </row>
    <row r="19336" spans="1:1">
      <c r="A19336" t="s">
        <v>19868</v>
      </c>
    </row>
    <row r="19337" spans="1:1">
      <c r="A19337" t="s">
        <v>19869</v>
      </c>
    </row>
    <row r="19338" spans="1:1">
      <c r="A19338" t="s">
        <v>19870</v>
      </c>
    </row>
    <row r="19339" spans="1:1">
      <c r="A19339" t="s">
        <v>19871</v>
      </c>
    </row>
    <row r="19340" spans="1:1">
      <c r="A19340" t="s">
        <v>19872</v>
      </c>
    </row>
    <row r="19341" spans="1:1">
      <c r="A19341" t="s">
        <v>19873</v>
      </c>
    </row>
    <row r="19342" spans="1:1">
      <c r="A19342" t="s">
        <v>19874</v>
      </c>
    </row>
    <row r="19343" spans="1:1">
      <c r="A19343" t="s">
        <v>19875</v>
      </c>
    </row>
    <row r="19344" spans="1:1">
      <c r="A19344" t="s">
        <v>19876</v>
      </c>
    </row>
    <row r="19345" spans="1:1">
      <c r="A19345" t="s">
        <v>19877</v>
      </c>
    </row>
    <row r="19346" spans="1:1">
      <c r="A19346" t="s">
        <v>19878</v>
      </c>
    </row>
    <row r="19347" spans="1:1">
      <c r="A19347" t="s">
        <v>19879</v>
      </c>
    </row>
    <row r="19348" spans="1:1">
      <c r="A19348" t="s">
        <v>19880</v>
      </c>
    </row>
    <row r="19349" spans="1:1">
      <c r="A19349" t="s">
        <v>19881</v>
      </c>
    </row>
    <row r="19350" spans="1:1">
      <c r="A19350" t="s">
        <v>19882</v>
      </c>
    </row>
    <row r="19351" spans="1:1">
      <c r="A19351" t="s">
        <v>19883</v>
      </c>
    </row>
    <row r="19352" spans="1:1">
      <c r="A19352" t="s">
        <v>19884</v>
      </c>
    </row>
    <row r="19353" spans="1:1">
      <c r="A19353" t="s">
        <v>19885</v>
      </c>
    </row>
    <row r="19354" spans="1:1">
      <c r="A19354" t="s">
        <v>19886</v>
      </c>
    </row>
    <row r="19355" spans="1:1">
      <c r="A19355" t="s">
        <v>19887</v>
      </c>
    </row>
    <row r="19356" spans="1:1">
      <c r="A19356" t="s">
        <v>19888</v>
      </c>
    </row>
    <row r="19357" spans="1:1">
      <c r="A19357" t="s">
        <v>19889</v>
      </c>
    </row>
    <row r="19358" spans="1:1">
      <c r="A19358" t="s">
        <v>19890</v>
      </c>
    </row>
    <row r="19359" spans="1:1">
      <c r="A19359" t="s">
        <v>19891</v>
      </c>
    </row>
    <row r="19360" spans="1:1">
      <c r="A19360" t="s">
        <v>19892</v>
      </c>
    </row>
    <row r="19361" spans="1:1">
      <c r="A19361" t="s">
        <v>19893</v>
      </c>
    </row>
    <row r="19362" spans="1:1">
      <c r="A19362" t="s">
        <v>19894</v>
      </c>
    </row>
    <row r="19363" spans="1:1">
      <c r="A19363" t="s">
        <v>19895</v>
      </c>
    </row>
    <row r="19364" spans="1:1">
      <c r="A19364" t="s">
        <v>19896</v>
      </c>
    </row>
    <row r="19365" spans="1:1">
      <c r="A19365" t="s">
        <v>19897</v>
      </c>
    </row>
    <row r="19366" spans="1:1">
      <c r="A19366" t="s">
        <v>19898</v>
      </c>
    </row>
    <row r="19367" spans="1:1">
      <c r="A19367" t="s">
        <v>19899</v>
      </c>
    </row>
    <row r="19368" spans="1:1">
      <c r="A19368" t="s">
        <v>19900</v>
      </c>
    </row>
    <row r="19369" spans="1:1">
      <c r="A19369" t="s">
        <v>19901</v>
      </c>
    </row>
    <row r="19370" spans="1:1">
      <c r="A19370" t="s">
        <v>19902</v>
      </c>
    </row>
    <row r="19371" spans="1:1">
      <c r="A19371" t="s">
        <v>19903</v>
      </c>
    </row>
    <row r="19372" spans="1:1">
      <c r="A19372" t="s">
        <v>19904</v>
      </c>
    </row>
    <row r="19373" spans="1:1">
      <c r="A19373" t="s">
        <v>19905</v>
      </c>
    </row>
    <row r="19374" spans="1:1">
      <c r="A19374" t="s">
        <v>19906</v>
      </c>
    </row>
    <row r="19375" spans="1:1">
      <c r="A19375" t="s">
        <v>19907</v>
      </c>
    </row>
    <row r="19376" spans="1:1">
      <c r="A19376" t="s">
        <v>19908</v>
      </c>
    </row>
    <row r="19377" spans="1:1">
      <c r="A19377" t="s">
        <v>19909</v>
      </c>
    </row>
    <row r="19378" spans="1:1">
      <c r="A19378" t="s">
        <v>19910</v>
      </c>
    </row>
    <row r="19379" spans="1:1">
      <c r="A19379" t="s">
        <v>19911</v>
      </c>
    </row>
    <row r="19380" spans="1:1">
      <c r="A19380" t="s">
        <v>19912</v>
      </c>
    </row>
    <row r="19381" spans="1:1">
      <c r="A19381" t="s">
        <v>19913</v>
      </c>
    </row>
    <row r="19382" spans="1:1">
      <c r="A19382" t="s">
        <v>19914</v>
      </c>
    </row>
    <row r="19383" spans="1:1">
      <c r="A19383" t="s">
        <v>19915</v>
      </c>
    </row>
    <row r="19384" spans="1:1">
      <c r="A19384" t="s">
        <v>19916</v>
      </c>
    </row>
    <row r="19385" spans="1:1">
      <c r="A19385" t="s">
        <v>19917</v>
      </c>
    </row>
    <row r="19386" spans="1:1">
      <c r="A19386" t="s">
        <v>19918</v>
      </c>
    </row>
    <row r="19387" spans="1:1">
      <c r="A19387" t="s">
        <v>19919</v>
      </c>
    </row>
    <row r="19388" spans="1:1">
      <c r="A19388" t="s">
        <v>19920</v>
      </c>
    </row>
    <row r="19389" spans="1:1">
      <c r="A19389" t="s">
        <v>19921</v>
      </c>
    </row>
    <row r="19390" spans="1:1">
      <c r="A19390" t="s">
        <v>19922</v>
      </c>
    </row>
    <row r="19391" spans="1:1">
      <c r="A19391" t="s">
        <v>19923</v>
      </c>
    </row>
    <row r="19392" spans="1:1">
      <c r="A19392" t="s">
        <v>19924</v>
      </c>
    </row>
    <row r="19393" spans="1:1">
      <c r="A19393" t="s">
        <v>19925</v>
      </c>
    </row>
    <row r="19394" spans="1:1">
      <c r="A19394" t="s">
        <v>19926</v>
      </c>
    </row>
    <row r="19395" spans="1:1">
      <c r="A19395" t="s">
        <v>19927</v>
      </c>
    </row>
    <row r="19396" spans="1:1">
      <c r="A19396" t="s">
        <v>19928</v>
      </c>
    </row>
    <row r="19397" spans="1:1">
      <c r="A19397" t="s">
        <v>19929</v>
      </c>
    </row>
    <row r="19398" spans="1:1">
      <c r="A19398" t="s">
        <v>19930</v>
      </c>
    </row>
    <row r="19399" spans="1:1">
      <c r="A19399" t="s">
        <v>19931</v>
      </c>
    </row>
    <row r="19400" spans="1:1">
      <c r="A19400" t="s">
        <v>19932</v>
      </c>
    </row>
    <row r="19401" spans="1:1">
      <c r="A19401" t="s">
        <v>19933</v>
      </c>
    </row>
    <row r="19402" spans="1:1">
      <c r="A19402" t="s">
        <v>19934</v>
      </c>
    </row>
    <row r="19403" spans="1:1">
      <c r="A19403" t="s">
        <v>19935</v>
      </c>
    </row>
    <row r="19404" spans="1:1">
      <c r="A19404" t="s">
        <v>19936</v>
      </c>
    </row>
    <row r="19405" spans="1:1">
      <c r="A19405" t="s">
        <v>19937</v>
      </c>
    </row>
    <row r="19406" spans="1:1">
      <c r="A19406" t="s">
        <v>19938</v>
      </c>
    </row>
    <row r="19407" spans="1:1">
      <c r="A19407" t="s">
        <v>19939</v>
      </c>
    </row>
    <row r="19408" spans="1:1">
      <c r="A19408" t="s">
        <v>19940</v>
      </c>
    </row>
    <row r="19409" spans="1:1">
      <c r="A19409" t="s">
        <v>19941</v>
      </c>
    </row>
    <row r="19410" spans="1:1">
      <c r="A19410" t="s">
        <v>19942</v>
      </c>
    </row>
    <row r="19411" spans="1:1">
      <c r="A19411" t="s">
        <v>19943</v>
      </c>
    </row>
    <row r="19412" spans="1:1">
      <c r="A19412" t="s">
        <v>19944</v>
      </c>
    </row>
    <row r="19413" spans="1:1">
      <c r="A19413" t="s">
        <v>19945</v>
      </c>
    </row>
    <row r="19414" spans="1:1">
      <c r="A19414" t="s">
        <v>19946</v>
      </c>
    </row>
    <row r="19415" spans="1:1">
      <c r="A19415" t="s">
        <v>19947</v>
      </c>
    </row>
    <row r="19416" spans="1:1">
      <c r="A19416" t="s">
        <v>19948</v>
      </c>
    </row>
    <row r="19417" spans="1:1">
      <c r="A19417" t="s">
        <v>19949</v>
      </c>
    </row>
    <row r="19418" spans="1:1">
      <c r="A19418" t="s">
        <v>19950</v>
      </c>
    </row>
    <row r="19419" spans="1:1">
      <c r="A19419" t="s">
        <v>19951</v>
      </c>
    </row>
    <row r="19420" spans="1:1">
      <c r="A19420" t="s">
        <v>19952</v>
      </c>
    </row>
    <row r="19421" spans="1:1">
      <c r="A19421" t="s">
        <v>19953</v>
      </c>
    </row>
    <row r="19422" spans="1:1">
      <c r="A19422" t="s">
        <v>19954</v>
      </c>
    </row>
    <row r="19423" spans="1:1">
      <c r="A19423" t="s">
        <v>19955</v>
      </c>
    </row>
    <row r="19424" spans="1:1">
      <c r="A19424" t="s">
        <v>19956</v>
      </c>
    </row>
    <row r="19425" spans="1:1">
      <c r="A19425" t="s">
        <v>19957</v>
      </c>
    </row>
    <row r="19426" spans="1:1">
      <c r="A19426" t="s">
        <v>19958</v>
      </c>
    </row>
    <row r="19427" spans="1:1">
      <c r="A19427" t="s">
        <v>19959</v>
      </c>
    </row>
    <row r="19428" spans="1:1">
      <c r="A19428" t="s">
        <v>19960</v>
      </c>
    </row>
    <row r="19429" spans="1:1">
      <c r="A19429" t="s">
        <v>19961</v>
      </c>
    </row>
    <row r="19430" spans="1:1">
      <c r="A19430" t="s">
        <v>19962</v>
      </c>
    </row>
    <row r="19431" spans="1:1">
      <c r="A19431" t="s">
        <v>19963</v>
      </c>
    </row>
    <row r="19432" spans="1:1">
      <c r="A19432" t="s">
        <v>19964</v>
      </c>
    </row>
    <row r="19433" spans="1:1">
      <c r="A19433" t="s">
        <v>19965</v>
      </c>
    </row>
    <row r="19434" spans="1:1">
      <c r="A19434" t="s">
        <v>19966</v>
      </c>
    </row>
    <row r="19435" spans="1:1">
      <c r="A19435" t="s">
        <v>19967</v>
      </c>
    </row>
    <row r="19436" spans="1:1">
      <c r="A19436" t="s">
        <v>19968</v>
      </c>
    </row>
    <row r="19437" spans="1:1">
      <c r="A19437" t="s">
        <v>19969</v>
      </c>
    </row>
    <row r="19438" spans="1:1">
      <c r="A19438" t="s">
        <v>19970</v>
      </c>
    </row>
    <row r="19439" spans="1:1">
      <c r="A19439" t="s">
        <v>19971</v>
      </c>
    </row>
    <row r="19440" spans="1:1">
      <c r="A19440" t="s">
        <v>19972</v>
      </c>
    </row>
    <row r="19441" spans="1:1">
      <c r="A19441" t="s">
        <v>19973</v>
      </c>
    </row>
    <row r="19442" spans="1:1">
      <c r="A19442" t="s">
        <v>19974</v>
      </c>
    </row>
    <row r="19443" spans="1:1">
      <c r="A19443" t="s">
        <v>19975</v>
      </c>
    </row>
    <row r="19444" spans="1:1">
      <c r="A19444" t="s">
        <v>19976</v>
      </c>
    </row>
    <row r="19445" spans="1:1">
      <c r="A19445" t="s">
        <v>19977</v>
      </c>
    </row>
    <row r="19446" spans="1:1">
      <c r="A19446" t="s">
        <v>19978</v>
      </c>
    </row>
    <row r="19447" spans="1:1">
      <c r="A19447" t="s">
        <v>19979</v>
      </c>
    </row>
    <row r="19448" spans="1:1">
      <c r="A19448" t="s">
        <v>19980</v>
      </c>
    </row>
    <row r="19449" spans="1:1">
      <c r="A19449" t="s">
        <v>19981</v>
      </c>
    </row>
    <row r="19450" spans="1:1">
      <c r="A19450" t="s">
        <v>19982</v>
      </c>
    </row>
    <row r="19451" spans="1:1">
      <c r="A19451" t="s">
        <v>19983</v>
      </c>
    </row>
    <row r="19452" spans="1:1">
      <c r="A19452" t="s">
        <v>19984</v>
      </c>
    </row>
    <row r="19453" spans="1:1">
      <c r="A19453" t="s">
        <v>19985</v>
      </c>
    </row>
    <row r="19454" spans="1:1">
      <c r="A19454" t="s">
        <v>19986</v>
      </c>
    </row>
    <row r="19455" spans="1:1">
      <c r="A19455" t="s">
        <v>19987</v>
      </c>
    </row>
    <row r="19456" spans="1:1">
      <c r="A19456" t="s">
        <v>19988</v>
      </c>
    </row>
    <row r="19457" spans="1:1">
      <c r="A19457" t="s">
        <v>19989</v>
      </c>
    </row>
    <row r="19458" spans="1:1">
      <c r="A19458" t="s">
        <v>19990</v>
      </c>
    </row>
    <row r="19459" spans="1:1">
      <c r="A19459" t="s">
        <v>19991</v>
      </c>
    </row>
    <row r="19460" spans="1:1">
      <c r="A19460" t="s">
        <v>19992</v>
      </c>
    </row>
    <row r="19461" spans="1:1">
      <c r="A19461" t="s">
        <v>19993</v>
      </c>
    </row>
    <row r="19462" spans="1:1">
      <c r="A19462" t="s">
        <v>19994</v>
      </c>
    </row>
    <row r="19463" spans="1:1">
      <c r="A19463" t="s">
        <v>19995</v>
      </c>
    </row>
    <row r="19464" spans="1:1">
      <c r="A19464" t="s">
        <v>19996</v>
      </c>
    </row>
    <row r="19465" spans="1:1">
      <c r="A19465" t="s">
        <v>19997</v>
      </c>
    </row>
    <row r="19466" spans="1:1">
      <c r="A19466" t="s">
        <v>19998</v>
      </c>
    </row>
    <row r="19467" spans="1:1">
      <c r="A19467" t="s">
        <v>19999</v>
      </c>
    </row>
    <row r="19468" spans="1:1">
      <c r="A19468" t="s">
        <v>20000</v>
      </c>
    </row>
    <row r="19469" spans="1:1">
      <c r="A19469" t="s">
        <v>20001</v>
      </c>
    </row>
    <row r="19470" spans="1:1">
      <c r="A19470" t="s">
        <v>20002</v>
      </c>
    </row>
    <row r="19471" spans="1:1">
      <c r="A19471" t="s">
        <v>20003</v>
      </c>
    </row>
    <row r="19472" spans="1:1">
      <c r="A19472" t="s">
        <v>20004</v>
      </c>
    </row>
    <row r="19473" spans="1:1">
      <c r="A19473" t="s">
        <v>20005</v>
      </c>
    </row>
    <row r="19474" spans="1:1">
      <c r="A19474" t="s">
        <v>20006</v>
      </c>
    </row>
    <row r="19475" spans="1:1">
      <c r="A19475" t="s">
        <v>20007</v>
      </c>
    </row>
    <row r="19476" spans="1:1">
      <c r="A19476" t="s">
        <v>20008</v>
      </c>
    </row>
    <row r="19477" spans="1:1">
      <c r="A19477" t="s">
        <v>20009</v>
      </c>
    </row>
    <row r="19478" spans="1:1">
      <c r="A19478" t="s">
        <v>20010</v>
      </c>
    </row>
    <row r="19479" spans="1:1">
      <c r="A19479" t="s">
        <v>20011</v>
      </c>
    </row>
    <row r="19480" spans="1:1">
      <c r="A19480" t="s">
        <v>20012</v>
      </c>
    </row>
    <row r="19481" spans="1:1">
      <c r="A19481" t="s">
        <v>20013</v>
      </c>
    </row>
    <row r="19482" spans="1:1">
      <c r="A19482" t="s">
        <v>20014</v>
      </c>
    </row>
    <row r="19483" spans="1:1">
      <c r="A19483" t="s">
        <v>20015</v>
      </c>
    </row>
    <row r="19484" spans="1:1">
      <c r="A19484" t="s">
        <v>20016</v>
      </c>
    </row>
    <row r="19485" spans="1:1">
      <c r="A19485" t="s">
        <v>20017</v>
      </c>
    </row>
    <row r="19486" spans="1:1">
      <c r="A19486" t="s">
        <v>20018</v>
      </c>
    </row>
    <row r="19487" spans="1:1">
      <c r="A19487" t="s">
        <v>20019</v>
      </c>
    </row>
    <row r="19488" spans="1:1">
      <c r="A19488" t="s">
        <v>20020</v>
      </c>
    </row>
    <row r="19489" spans="1:1">
      <c r="A19489" t="s">
        <v>20021</v>
      </c>
    </row>
    <row r="19490" spans="1:1">
      <c r="A19490" t="s">
        <v>20022</v>
      </c>
    </row>
    <row r="19491" spans="1:1">
      <c r="A19491" t="s">
        <v>20023</v>
      </c>
    </row>
    <row r="19492" spans="1:1">
      <c r="A19492" t="s">
        <v>20024</v>
      </c>
    </row>
    <row r="19493" spans="1:1">
      <c r="A19493" t="s">
        <v>20025</v>
      </c>
    </row>
    <row r="19494" spans="1:1">
      <c r="A19494" t="s">
        <v>20026</v>
      </c>
    </row>
    <row r="19495" spans="1:1">
      <c r="A19495" t="s">
        <v>20027</v>
      </c>
    </row>
    <row r="19496" spans="1:1">
      <c r="A19496" t="s">
        <v>20028</v>
      </c>
    </row>
    <row r="19497" spans="1:1">
      <c r="A19497" t="s">
        <v>20029</v>
      </c>
    </row>
    <row r="19498" spans="1:1">
      <c r="A19498" t="s">
        <v>20030</v>
      </c>
    </row>
    <row r="19499" spans="1:1">
      <c r="A19499" t="s">
        <v>20031</v>
      </c>
    </row>
    <row r="19500" spans="1:1">
      <c r="A19500" t="s">
        <v>20032</v>
      </c>
    </row>
    <row r="19501" spans="1:1">
      <c r="A19501" t="s">
        <v>20033</v>
      </c>
    </row>
    <row r="19502" spans="1:1">
      <c r="A19502" t="s">
        <v>20034</v>
      </c>
    </row>
    <row r="19503" spans="1:1">
      <c r="A19503" t="s">
        <v>20035</v>
      </c>
    </row>
    <row r="19504" spans="1:1">
      <c r="A19504" t="s">
        <v>20036</v>
      </c>
    </row>
    <row r="19505" spans="1:1">
      <c r="A19505" t="s">
        <v>20037</v>
      </c>
    </row>
    <row r="19506" spans="1:1">
      <c r="A19506" t="s">
        <v>20038</v>
      </c>
    </row>
    <row r="19507" spans="1:1">
      <c r="A19507" t="s">
        <v>20039</v>
      </c>
    </row>
    <row r="19508" spans="1:1">
      <c r="A19508" t="s">
        <v>20040</v>
      </c>
    </row>
    <row r="19509" spans="1:1">
      <c r="A19509" t="s">
        <v>20041</v>
      </c>
    </row>
    <row r="19510" spans="1:1">
      <c r="A19510" t="s">
        <v>20042</v>
      </c>
    </row>
    <row r="19511" spans="1:1">
      <c r="A19511" t="s">
        <v>20043</v>
      </c>
    </row>
    <row r="19512" spans="1:1">
      <c r="A19512" t="s">
        <v>20044</v>
      </c>
    </row>
    <row r="19513" spans="1:1">
      <c r="A19513" t="s">
        <v>20045</v>
      </c>
    </row>
    <row r="19514" spans="1:1">
      <c r="A19514" t="s">
        <v>20046</v>
      </c>
    </row>
    <row r="19515" spans="1:1">
      <c r="A19515" t="s">
        <v>20047</v>
      </c>
    </row>
    <row r="19516" spans="1:1">
      <c r="A19516" t="s">
        <v>20048</v>
      </c>
    </row>
    <row r="19517" spans="1:1">
      <c r="A19517" t="s">
        <v>20049</v>
      </c>
    </row>
    <row r="19518" spans="1:1">
      <c r="A19518" t="s">
        <v>20050</v>
      </c>
    </row>
    <row r="19519" spans="1:1">
      <c r="A19519" t="s">
        <v>20051</v>
      </c>
    </row>
    <row r="19520" spans="1:1">
      <c r="A19520" t="s">
        <v>20052</v>
      </c>
    </row>
    <row r="19521" spans="1:1">
      <c r="A19521" t="s">
        <v>20053</v>
      </c>
    </row>
    <row r="19522" spans="1:1">
      <c r="A19522" t="s">
        <v>20054</v>
      </c>
    </row>
    <row r="19523" spans="1:1">
      <c r="A19523" t="s">
        <v>20055</v>
      </c>
    </row>
    <row r="19524" spans="1:1">
      <c r="A19524" t="s">
        <v>20056</v>
      </c>
    </row>
    <row r="19525" spans="1:1">
      <c r="A19525" t="s">
        <v>20057</v>
      </c>
    </row>
    <row r="19526" spans="1:1">
      <c r="A19526" t="s">
        <v>20058</v>
      </c>
    </row>
    <row r="19527" spans="1:1">
      <c r="A19527" t="s">
        <v>20059</v>
      </c>
    </row>
    <row r="19528" spans="1:1">
      <c r="A19528" t="s">
        <v>20060</v>
      </c>
    </row>
    <row r="19529" spans="1:1">
      <c r="A19529" t="s">
        <v>20061</v>
      </c>
    </row>
    <row r="19530" spans="1:1">
      <c r="A19530" t="s">
        <v>20062</v>
      </c>
    </row>
    <row r="19531" spans="1:1">
      <c r="A19531" t="s">
        <v>20063</v>
      </c>
    </row>
    <row r="19532" spans="1:1">
      <c r="A19532" t="s">
        <v>20064</v>
      </c>
    </row>
    <row r="19533" spans="1:1">
      <c r="A19533" t="s">
        <v>20065</v>
      </c>
    </row>
    <row r="19534" spans="1:1">
      <c r="A19534" t="s">
        <v>20066</v>
      </c>
    </row>
    <row r="19535" spans="1:1">
      <c r="A19535" t="s">
        <v>20067</v>
      </c>
    </row>
    <row r="19536" spans="1:1">
      <c r="A19536" t="s">
        <v>20068</v>
      </c>
    </row>
    <row r="19537" spans="1:1">
      <c r="A19537" t="s">
        <v>20069</v>
      </c>
    </row>
    <row r="19538" spans="1:1">
      <c r="A19538" t="s">
        <v>20070</v>
      </c>
    </row>
    <row r="19539" spans="1:1">
      <c r="A19539" t="s">
        <v>20071</v>
      </c>
    </row>
    <row r="19540" spans="1:1">
      <c r="A19540" t="s">
        <v>20072</v>
      </c>
    </row>
    <row r="19541" spans="1:1">
      <c r="A19541" t="s">
        <v>20073</v>
      </c>
    </row>
    <row r="19542" spans="1:1">
      <c r="A19542" t="s">
        <v>20074</v>
      </c>
    </row>
    <row r="19543" spans="1:1">
      <c r="A19543" t="s">
        <v>20075</v>
      </c>
    </row>
    <row r="19544" spans="1:1">
      <c r="A19544" t="s">
        <v>20076</v>
      </c>
    </row>
    <row r="19545" spans="1:1">
      <c r="A19545" t="s">
        <v>20077</v>
      </c>
    </row>
    <row r="19546" spans="1:1">
      <c r="A19546" t="s">
        <v>20078</v>
      </c>
    </row>
    <row r="19547" spans="1:1">
      <c r="A19547" t="s">
        <v>20079</v>
      </c>
    </row>
    <row r="19548" spans="1:1">
      <c r="A19548" t="s">
        <v>20080</v>
      </c>
    </row>
    <row r="19549" spans="1:1">
      <c r="A19549" t="s">
        <v>20081</v>
      </c>
    </row>
    <row r="19550" spans="1:1">
      <c r="A19550" t="s">
        <v>20082</v>
      </c>
    </row>
    <row r="19551" spans="1:1">
      <c r="A19551" t="s">
        <v>20083</v>
      </c>
    </row>
    <row r="19552" spans="1:1">
      <c r="A19552" t="s">
        <v>20084</v>
      </c>
    </row>
    <row r="19553" spans="1:1">
      <c r="A19553" t="s">
        <v>20085</v>
      </c>
    </row>
    <row r="19554" spans="1:1">
      <c r="A19554" t="s">
        <v>20086</v>
      </c>
    </row>
    <row r="19555" spans="1:1">
      <c r="A19555" t="s">
        <v>20087</v>
      </c>
    </row>
    <row r="19556" spans="1:1">
      <c r="A19556" t="s">
        <v>20088</v>
      </c>
    </row>
    <row r="19557" spans="1:1">
      <c r="A19557" t="s">
        <v>20089</v>
      </c>
    </row>
    <row r="19558" spans="1:1">
      <c r="A19558" t="s">
        <v>20090</v>
      </c>
    </row>
    <row r="19559" spans="1:1">
      <c r="A19559" t="s">
        <v>20091</v>
      </c>
    </row>
    <row r="19560" spans="1:1">
      <c r="A19560" t="s">
        <v>20092</v>
      </c>
    </row>
    <row r="19561" spans="1:1">
      <c r="A19561" t="s">
        <v>20093</v>
      </c>
    </row>
    <row r="19562" spans="1:1">
      <c r="A19562" t="s">
        <v>20094</v>
      </c>
    </row>
    <row r="19563" spans="1:1">
      <c r="A19563" t="s">
        <v>20095</v>
      </c>
    </row>
    <row r="19564" spans="1:1">
      <c r="A19564" t="s">
        <v>20096</v>
      </c>
    </row>
    <row r="19565" spans="1:1">
      <c r="A19565" t="s">
        <v>20097</v>
      </c>
    </row>
    <row r="19566" spans="1:1">
      <c r="A19566" t="s">
        <v>20098</v>
      </c>
    </row>
    <row r="19567" spans="1:1">
      <c r="A19567" t="s">
        <v>20099</v>
      </c>
    </row>
    <row r="19568" spans="1:1">
      <c r="A19568" t="s">
        <v>20100</v>
      </c>
    </row>
    <row r="19569" spans="1:1">
      <c r="A19569" t="s">
        <v>20101</v>
      </c>
    </row>
    <row r="19570" spans="1:1">
      <c r="A19570" t="s">
        <v>20102</v>
      </c>
    </row>
    <row r="19571" spans="1:1">
      <c r="A19571" t="s">
        <v>20103</v>
      </c>
    </row>
    <row r="19572" spans="1:1">
      <c r="A19572" t="s">
        <v>20104</v>
      </c>
    </row>
    <row r="19573" spans="1:1">
      <c r="A19573" t="s">
        <v>20105</v>
      </c>
    </row>
    <row r="19574" spans="1:1">
      <c r="A19574" t="s">
        <v>20106</v>
      </c>
    </row>
    <row r="19575" spans="1:1">
      <c r="A19575" t="s">
        <v>20107</v>
      </c>
    </row>
    <row r="19576" spans="1:1">
      <c r="A19576" t="s">
        <v>20108</v>
      </c>
    </row>
    <row r="19577" spans="1:1">
      <c r="A19577" t="s">
        <v>20109</v>
      </c>
    </row>
    <row r="19578" spans="1:1">
      <c r="A19578" t="s">
        <v>20110</v>
      </c>
    </row>
    <row r="19579" spans="1:1">
      <c r="A19579" t="s">
        <v>20111</v>
      </c>
    </row>
    <row r="19580" spans="1:1">
      <c r="A19580" t="s">
        <v>20112</v>
      </c>
    </row>
    <row r="19581" spans="1:1">
      <c r="A19581" t="s">
        <v>20113</v>
      </c>
    </row>
    <row r="19582" spans="1:1">
      <c r="A19582" t="s">
        <v>20114</v>
      </c>
    </row>
    <row r="19583" spans="1:1">
      <c r="A19583" t="s">
        <v>20115</v>
      </c>
    </row>
    <row r="19584" spans="1:1">
      <c r="A19584" t="s">
        <v>20116</v>
      </c>
    </row>
    <row r="19585" spans="1:1">
      <c r="A19585" t="s">
        <v>20117</v>
      </c>
    </row>
    <row r="19586" spans="1:1">
      <c r="A19586" t="s">
        <v>20118</v>
      </c>
    </row>
    <row r="19587" spans="1:1">
      <c r="A19587" t="s">
        <v>20119</v>
      </c>
    </row>
    <row r="19588" spans="1:1">
      <c r="A19588" t="s">
        <v>20120</v>
      </c>
    </row>
    <row r="19589" spans="1:1">
      <c r="A19589" t="s">
        <v>20121</v>
      </c>
    </row>
    <row r="19590" spans="1:1">
      <c r="A19590" t="s">
        <v>20122</v>
      </c>
    </row>
    <row r="19591" spans="1:1">
      <c r="A19591" t="s">
        <v>20123</v>
      </c>
    </row>
    <row r="19592" spans="1:1">
      <c r="A19592" t="s">
        <v>20124</v>
      </c>
    </row>
    <row r="19593" spans="1:1">
      <c r="A19593" t="s">
        <v>20125</v>
      </c>
    </row>
    <row r="19594" spans="1:1">
      <c r="A19594" t="s">
        <v>20126</v>
      </c>
    </row>
    <row r="19595" spans="1:1">
      <c r="A19595" t="s">
        <v>20127</v>
      </c>
    </row>
    <row r="19596" spans="1:1">
      <c r="A19596" t="s">
        <v>20128</v>
      </c>
    </row>
    <row r="19597" spans="1:1">
      <c r="A19597" t="s">
        <v>20129</v>
      </c>
    </row>
    <row r="19598" spans="1:1">
      <c r="A19598" t="s">
        <v>20130</v>
      </c>
    </row>
    <row r="19599" spans="1:1">
      <c r="A19599" t="s">
        <v>20131</v>
      </c>
    </row>
    <row r="19600" spans="1:1">
      <c r="A19600" t="s">
        <v>20132</v>
      </c>
    </row>
    <row r="19601" spans="1:1">
      <c r="A19601" t="s">
        <v>20133</v>
      </c>
    </row>
    <row r="19602" spans="1:1">
      <c r="A19602" t="s">
        <v>20134</v>
      </c>
    </row>
    <row r="19603" spans="1:1">
      <c r="A19603" t="s">
        <v>20135</v>
      </c>
    </row>
    <row r="19604" spans="1:1">
      <c r="A19604" t="s">
        <v>20136</v>
      </c>
    </row>
    <row r="19605" spans="1:1">
      <c r="A19605" t="s">
        <v>20137</v>
      </c>
    </row>
    <row r="19606" spans="1:1">
      <c r="A19606" t="s">
        <v>20138</v>
      </c>
    </row>
    <row r="19607" spans="1:1">
      <c r="A19607" t="s">
        <v>20139</v>
      </c>
    </row>
    <row r="19608" spans="1:1">
      <c r="A19608" t="s">
        <v>20140</v>
      </c>
    </row>
    <row r="19609" spans="1:1">
      <c r="A19609" t="s">
        <v>20141</v>
      </c>
    </row>
    <row r="19610" spans="1:1">
      <c r="A19610" t="s">
        <v>20142</v>
      </c>
    </row>
    <row r="19611" spans="1:1">
      <c r="A19611" t="s">
        <v>20143</v>
      </c>
    </row>
    <row r="19612" spans="1:1">
      <c r="A19612" t="s">
        <v>20144</v>
      </c>
    </row>
    <row r="19613" spans="1:1">
      <c r="A19613" t="s">
        <v>20145</v>
      </c>
    </row>
    <row r="19614" spans="1:1">
      <c r="A19614" t="s">
        <v>20146</v>
      </c>
    </row>
    <row r="19615" spans="1:1">
      <c r="A19615" t="s">
        <v>20147</v>
      </c>
    </row>
    <row r="19616" spans="1:1">
      <c r="A19616" t="s">
        <v>20148</v>
      </c>
    </row>
    <row r="19617" spans="1:1">
      <c r="A19617" t="s">
        <v>20149</v>
      </c>
    </row>
    <row r="19618" spans="1:1">
      <c r="A19618" t="s">
        <v>20150</v>
      </c>
    </row>
    <row r="19619" spans="1:1">
      <c r="A19619" t="s">
        <v>20151</v>
      </c>
    </row>
    <row r="19620" spans="1:1">
      <c r="A19620" t="s">
        <v>20152</v>
      </c>
    </row>
    <row r="19621" spans="1:1">
      <c r="A19621" t="s">
        <v>20153</v>
      </c>
    </row>
    <row r="19622" spans="1:1">
      <c r="A19622" t="s">
        <v>20154</v>
      </c>
    </row>
    <row r="19623" spans="1:1">
      <c r="A19623" t="s">
        <v>20155</v>
      </c>
    </row>
    <row r="19624" spans="1:1">
      <c r="A19624" t="s">
        <v>20156</v>
      </c>
    </row>
    <row r="19625" spans="1:1">
      <c r="A19625" t="s">
        <v>20157</v>
      </c>
    </row>
    <row r="19626" spans="1:1">
      <c r="A19626" t="s">
        <v>20158</v>
      </c>
    </row>
    <row r="19627" spans="1:1">
      <c r="A19627" t="s">
        <v>20159</v>
      </c>
    </row>
    <row r="19628" spans="1:1">
      <c r="A19628" t="s">
        <v>20160</v>
      </c>
    </row>
    <row r="19629" spans="1:1">
      <c r="A19629" t="s">
        <v>20161</v>
      </c>
    </row>
    <row r="19630" spans="1:1">
      <c r="A19630" t="s">
        <v>20162</v>
      </c>
    </row>
    <row r="19631" spans="1:1">
      <c r="A19631" t="s">
        <v>20163</v>
      </c>
    </row>
    <row r="19632" spans="1:1">
      <c r="A19632" t="s">
        <v>20164</v>
      </c>
    </row>
    <row r="19633" spans="1:1">
      <c r="A19633" t="s">
        <v>20165</v>
      </c>
    </row>
    <row r="19634" spans="1:1">
      <c r="A19634" t="s">
        <v>20166</v>
      </c>
    </row>
    <row r="19635" spans="1:1">
      <c r="A19635" t="s">
        <v>20167</v>
      </c>
    </row>
    <row r="19636" spans="1:1">
      <c r="A19636" t="s">
        <v>20168</v>
      </c>
    </row>
    <row r="19637" spans="1:1">
      <c r="A19637" t="s">
        <v>20169</v>
      </c>
    </row>
    <row r="19638" spans="1:1">
      <c r="A19638" t="s">
        <v>20170</v>
      </c>
    </row>
    <row r="19639" spans="1:1">
      <c r="A19639" t="s">
        <v>20171</v>
      </c>
    </row>
    <row r="19640" spans="1:1">
      <c r="A19640" t="s">
        <v>20172</v>
      </c>
    </row>
    <row r="19641" spans="1:1">
      <c r="A19641" t="s">
        <v>20173</v>
      </c>
    </row>
    <row r="19642" spans="1:1">
      <c r="A19642" t="s">
        <v>20174</v>
      </c>
    </row>
    <row r="19643" spans="1:1">
      <c r="A19643" t="s">
        <v>20175</v>
      </c>
    </row>
    <row r="19644" spans="1:1">
      <c r="A19644" t="s">
        <v>20176</v>
      </c>
    </row>
    <row r="19645" spans="1:1">
      <c r="A19645" t="s">
        <v>20177</v>
      </c>
    </row>
    <row r="19646" spans="1:1">
      <c r="A19646" t="s">
        <v>20178</v>
      </c>
    </row>
    <row r="19647" spans="1:1">
      <c r="A19647" t="s">
        <v>20179</v>
      </c>
    </row>
    <row r="19648" spans="1:1">
      <c r="A19648" t="s">
        <v>20180</v>
      </c>
    </row>
    <row r="19649" spans="1:1">
      <c r="A19649" t="s">
        <v>20181</v>
      </c>
    </row>
    <row r="19650" spans="1:1">
      <c r="A19650" t="s">
        <v>20182</v>
      </c>
    </row>
    <row r="19651" spans="1:1">
      <c r="A19651" t="s">
        <v>20183</v>
      </c>
    </row>
    <row r="19652" spans="1:1">
      <c r="A19652" t="s">
        <v>20184</v>
      </c>
    </row>
    <row r="19653" spans="1:1">
      <c r="A19653" t="s">
        <v>20185</v>
      </c>
    </row>
    <row r="19654" spans="1:1">
      <c r="A19654" t="s">
        <v>20186</v>
      </c>
    </row>
    <row r="19655" spans="1:1">
      <c r="A19655" t="s">
        <v>20187</v>
      </c>
    </row>
    <row r="19656" spans="1:1">
      <c r="A19656" t="s">
        <v>20188</v>
      </c>
    </row>
    <row r="19657" spans="1:1">
      <c r="A19657" t="s">
        <v>20189</v>
      </c>
    </row>
    <row r="19658" spans="1:1">
      <c r="A19658" t="s">
        <v>20190</v>
      </c>
    </row>
    <row r="19659" spans="1:1">
      <c r="A19659" t="s">
        <v>20191</v>
      </c>
    </row>
    <row r="19660" spans="1:1">
      <c r="A19660" t="s">
        <v>20192</v>
      </c>
    </row>
    <row r="19661" spans="1:1">
      <c r="A19661" t="s">
        <v>20193</v>
      </c>
    </row>
    <row r="19662" spans="1:1">
      <c r="A19662" t="s">
        <v>20194</v>
      </c>
    </row>
    <row r="19663" spans="1:1">
      <c r="A19663" t="s">
        <v>20195</v>
      </c>
    </row>
    <row r="19664" spans="1:1">
      <c r="A19664" t="s">
        <v>20196</v>
      </c>
    </row>
    <row r="19665" spans="1:1">
      <c r="A19665" t="s">
        <v>20197</v>
      </c>
    </row>
    <row r="19666" spans="1:1">
      <c r="A19666" t="s">
        <v>20198</v>
      </c>
    </row>
    <row r="19667" spans="1:1">
      <c r="A19667" t="s">
        <v>20199</v>
      </c>
    </row>
    <row r="19668" spans="1:1">
      <c r="A19668" t="s">
        <v>20200</v>
      </c>
    </row>
    <row r="19669" spans="1:1">
      <c r="A19669" t="s">
        <v>20201</v>
      </c>
    </row>
    <row r="19670" spans="1:1">
      <c r="A19670" t="s">
        <v>20202</v>
      </c>
    </row>
    <row r="19671" spans="1:1">
      <c r="A19671" t="s">
        <v>20203</v>
      </c>
    </row>
    <row r="19672" spans="1:1">
      <c r="A19672" t="s">
        <v>20204</v>
      </c>
    </row>
    <row r="19673" spans="1:1">
      <c r="A19673" t="s">
        <v>20205</v>
      </c>
    </row>
    <row r="19674" spans="1:1">
      <c r="A19674" t="s">
        <v>20206</v>
      </c>
    </row>
    <row r="19675" spans="1:1">
      <c r="A19675" t="s">
        <v>20207</v>
      </c>
    </row>
    <row r="19676" spans="1:1">
      <c r="A19676" t="s">
        <v>20208</v>
      </c>
    </row>
    <row r="19677" spans="1:1">
      <c r="A19677" t="s">
        <v>20209</v>
      </c>
    </row>
    <row r="19678" spans="1:1">
      <c r="A19678" t="s">
        <v>20210</v>
      </c>
    </row>
    <row r="19679" spans="1:1">
      <c r="A19679" t="s">
        <v>20211</v>
      </c>
    </row>
    <row r="19680" spans="1:1">
      <c r="A19680" t="s">
        <v>20212</v>
      </c>
    </row>
    <row r="19681" spans="1:1">
      <c r="A19681" t="s">
        <v>20213</v>
      </c>
    </row>
    <row r="19682" spans="1:1">
      <c r="A19682" t="s">
        <v>20214</v>
      </c>
    </row>
    <row r="19683" spans="1:1">
      <c r="A19683" t="s">
        <v>20215</v>
      </c>
    </row>
    <row r="19684" spans="1:1">
      <c r="A19684" t="s">
        <v>20216</v>
      </c>
    </row>
    <row r="19685" spans="1:1">
      <c r="A19685" t="s">
        <v>20217</v>
      </c>
    </row>
    <row r="19686" spans="1:1">
      <c r="A19686" t="s">
        <v>20218</v>
      </c>
    </row>
    <row r="19687" spans="1:1">
      <c r="A19687" t="s">
        <v>20219</v>
      </c>
    </row>
    <row r="19688" spans="1:1">
      <c r="A19688" t="s">
        <v>20220</v>
      </c>
    </row>
    <row r="19689" spans="1:1">
      <c r="A19689" t="s">
        <v>20221</v>
      </c>
    </row>
    <row r="19690" spans="1:1">
      <c r="A19690" t="s">
        <v>20222</v>
      </c>
    </row>
    <row r="19691" spans="1:1">
      <c r="A19691" t="s">
        <v>20223</v>
      </c>
    </row>
    <row r="19692" spans="1:1">
      <c r="A19692" t="s">
        <v>20224</v>
      </c>
    </row>
    <row r="19693" spans="1:1">
      <c r="A19693" t="s">
        <v>20225</v>
      </c>
    </row>
    <row r="19694" spans="1:1">
      <c r="A19694" t="s">
        <v>20226</v>
      </c>
    </row>
    <row r="19695" spans="1:1">
      <c r="A19695" t="s">
        <v>20227</v>
      </c>
    </row>
    <row r="19696" spans="1:1">
      <c r="A19696" t="s">
        <v>20228</v>
      </c>
    </row>
    <row r="19697" spans="1:1">
      <c r="A19697" t="s">
        <v>20229</v>
      </c>
    </row>
    <row r="19698" spans="1:1">
      <c r="A19698" t="s">
        <v>20230</v>
      </c>
    </row>
    <row r="19699" spans="1:1">
      <c r="A19699" t="s">
        <v>20231</v>
      </c>
    </row>
    <row r="19700" spans="1:1">
      <c r="A19700" t="s">
        <v>20232</v>
      </c>
    </row>
    <row r="19701" spans="1:1">
      <c r="A19701" t="s">
        <v>20233</v>
      </c>
    </row>
    <row r="19702" spans="1:1">
      <c r="A19702" t="s">
        <v>20234</v>
      </c>
    </row>
    <row r="19703" spans="1:1">
      <c r="A19703" t="s">
        <v>20235</v>
      </c>
    </row>
    <row r="19704" spans="1:1">
      <c r="A19704" t="s">
        <v>20236</v>
      </c>
    </row>
    <row r="19705" spans="1:1">
      <c r="A19705" t="s">
        <v>20237</v>
      </c>
    </row>
    <row r="19706" spans="1:1">
      <c r="A19706" t="s">
        <v>20238</v>
      </c>
    </row>
    <row r="19707" spans="1:1">
      <c r="A19707" t="s">
        <v>20239</v>
      </c>
    </row>
    <row r="19708" spans="1:1">
      <c r="A19708" t="s">
        <v>20240</v>
      </c>
    </row>
    <row r="19709" spans="1:1">
      <c r="A19709" t="s">
        <v>20241</v>
      </c>
    </row>
    <row r="19710" spans="1:1">
      <c r="A19710" t="s">
        <v>20242</v>
      </c>
    </row>
    <row r="19711" spans="1:1">
      <c r="A19711" t="s">
        <v>20243</v>
      </c>
    </row>
    <row r="19712" spans="1:1">
      <c r="A19712" t="s">
        <v>20244</v>
      </c>
    </row>
    <row r="19713" spans="1:1">
      <c r="A19713" t="s">
        <v>20245</v>
      </c>
    </row>
    <row r="19714" spans="1:1">
      <c r="A19714" t="s">
        <v>20246</v>
      </c>
    </row>
    <row r="19715" spans="1:1">
      <c r="A19715" t="s">
        <v>20247</v>
      </c>
    </row>
    <row r="19716" spans="1:1">
      <c r="A19716" t="s">
        <v>20248</v>
      </c>
    </row>
    <row r="19717" spans="1:1">
      <c r="A19717" t="s">
        <v>20249</v>
      </c>
    </row>
    <row r="19718" spans="1:1">
      <c r="A19718" t="s">
        <v>20250</v>
      </c>
    </row>
    <row r="19719" spans="1:1">
      <c r="A19719" t="s">
        <v>20251</v>
      </c>
    </row>
    <row r="19720" spans="1:1">
      <c r="A19720" t="s">
        <v>20252</v>
      </c>
    </row>
    <row r="19721" spans="1:1">
      <c r="A19721" t="s">
        <v>20253</v>
      </c>
    </row>
    <row r="19722" spans="1:1">
      <c r="A19722" t="s">
        <v>20254</v>
      </c>
    </row>
    <row r="19723" spans="1:1">
      <c r="A19723" t="s">
        <v>20255</v>
      </c>
    </row>
    <row r="19724" spans="1:1">
      <c r="A19724" t="s">
        <v>20256</v>
      </c>
    </row>
    <row r="19725" spans="1:1">
      <c r="A19725" t="s">
        <v>20257</v>
      </c>
    </row>
    <row r="19726" spans="1:1">
      <c r="A19726" t="s">
        <v>20258</v>
      </c>
    </row>
    <row r="19727" spans="1:1">
      <c r="A19727" t="s">
        <v>20259</v>
      </c>
    </row>
    <row r="19728" spans="1:1">
      <c r="A19728" t="s">
        <v>20260</v>
      </c>
    </row>
    <row r="19729" spans="1:1">
      <c r="A19729" t="s">
        <v>20261</v>
      </c>
    </row>
    <row r="19730" spans="1:1">
      <c r="A19730" t="s">
        <v>20262</v>
      </c>
    </row>
    <row r="19731" spans="1:1">
      <c r="A19731" t="s">
        <v>20263</v>
      </c>
    </row>
    <row r="19732" spans="1:1">
      <c r="A19732" t="s">
        <v>20264</v>
      </c>
    </row>
    <row r="19733" spans="1:1">
      <c r="A19733" t="s">
        <v>20265</v>
      </c>
    </row>
    <row r="19734" spans="1:1">
      <c r="A19734" t="s">
        <v>20266</v>
      </c>
    </row>
    <row r="19735" spans="1:1">
      <c r="A19735" t="s">
        <v>20267</v>
      </c>
    </row>
    <row r="19736" spans="1:1">
      <c r="A19736" t="s">
        <v>20268</v>
      </c>
    </row>
    <row r="19737" spans="1:1">
      <c r="A19737" t="s">
        <v>20269</v>
      </c>
    </row>
    <row r="19738" spans="1:1">
      <c r="A19738" t="s">
        <v>20270</v>
      </c>
    </row>
    <row r="19739" spans="1:1">
      <c r="A19739" t="s">
        <v>20271</v>
      </c>
    </row>
    <row r="19740" spans="1:1">
      <c r="A19740" t="s">
        <v>20272</v>
      </c>
    </row>
    <row r="19741" spans="1:1">
      <c r="A19741" t="s">
        <v>20273</v>
      </c>
    </row>
    <row r="19742" spans="1:1">
      <c r="A19742" t="s">
        <v>20274</v>
      </c>
    </row>
    <row r="19743" spans="1:1">
      <c r="A19743" t="s">
        <v>20275</v>
      </c>
    </row>
    <row r="19744" spans="1:1">
      <c r="A19744" t="s">
        <v>20276</v>
      </c>
    </row>
    <row r="19745" spans="1:1">
      <c r="A19745" t="s">
        <v>20277</v>
      </c>
    </row>
    <row r="19746" spans="1:1">
      <c r="A19746" t="s">
        <v>20278</v>
      </c>
    </row>
    <row r="19747" spans="1:1">
      <c r="A19747" t="s">
        <v>20279</v>
      </c>
    </row>
    <row r="19748" spans="1:1">
      <c r="A19748" t="s">
        <v>20280</v>
      </c>
    </row>
    <row r="19749" spans="1:1">
      <c r="A19749" t="s">
        <v>20281</v>
      </c>
    </row>
    <row r="19750" spans="1:1">
      <c r="A19750" t="s">
        <v>20282</v>
      </c>
    </row>
    <row r="19751" spans="1:1">
      <c r="A19751" t="s">
        <v>20283</v>
      </c>
    </row>
    <row r="19752" spans="1:1">
      <c r="A19752" t="s">
        <v>20284</v>
      </c>
    </row>
    <row r="19753" spans="1:1">
      <c r="A19753" t="s">
        <v>20285</v>
      </c>
    </row>
    <row r="19754" spans="1:1">
      <c r="A19754" t="s">
        <v>20286</v>
      </c>
    </row>
    <row r="19755" spans="1:1">
      <c r="A19755" t="s">
        <v>20287</v>
      </c>
    </row>
    <row r="19756" spans="1:1">
      <c r="A19756" t="s">
        <v>20288</v>
      </c>
    </row>
    <row r="19757" spans="1:1">
      <c r="A19757" t="s">
        <v>20289</v>
      </c>
    </row>
    <row r="19758" spans="1:1">
      <c r="A19758" t="s">
        <v>20290</v>
      </c>
    </row>
    <row r="19759" spans="1:1">
      <c r="A19759" t="s">
        <v>20291</v>
      </c>
    </row>
    <row r="19760" spans="1:1">
      <c r="A19760" t="s">
        <v>20292</v>
      </c>
    </row>
    <row r="19761" spans="1:1">
      <c r="A19761" t="s">
        <v>20293</v>
      </c>
    </row>
    <row r="19762" spans="1:1">
      <c r="A19762" t="s">
        <v>20294</v>
      </c>
    </row>
    <row r="19763" spans="1:1">
      <c r="A19763" t="s">
        <v>20295</v>
      </c>
    </row>
    <row r="19764" spans="1:1">
      <c r="A19764" t="s">
        <v>20296</v>
      </c>
    </row>
    <row r="19765" spans="1:1">
      <c r="A19765" t="s">
        <v>20297</v>
      </c>
    </row>
    <row r="19766" spans="1:1">
      <c r="A19766" t="s">
        <v>20298</v>
      </c>
    </row>
    <row r="19767" spans="1:1">
      <c r="A19767" t="s">
        <v>20299</v>
      </c>
    </row>
    <row r="19768" spans="1:1">
      <c r="A19768" t="s">
        <v>20300</v>
      </c>
    </row>
    <row r="19769" spans="1:1">
      <c r="A19769" t="s">
        <v>20301</v>
      </c>
    </row>
    <row r="19770" spans="1:1">
      <c r="A19770" t="s">
        <v>20302</v>
      </c>
    </row>
    <row r="19771" spans="1:1">
      <c r="A19771" t="s">
        <v>20303</v>
      </c>
    </row>
    <row r="19772" spans="1:1">
      <c r="A19772" t="s">
        <v>20304</v>
      </c>
    </row>
    <row r="19773" spans="1:1">
      <c r="A19773" t="s">
        <v>20305</v>
      </c>
    </row>
    <row r="19774" spans="1:1">
      <c r="A19774" t="s">
        <v>20306</v>
      </c>
    </row>
    <row r="19775" spans="1:1">
      <c r="A19775" t="s">
        <v>20307</v>
      </c>
    </row>
    <row r="19776" spans="1:1">
      <c r="A19776" t="s">
        <v>20308</v>
      </c>
    </row>
    <row r="19777" spans="1:1">
      <c r="A19777" t="s">
        <v>20309</v>
      </c>
    </row>
    <row r="19778" spans="1:1">
      <c r="A19778" t="s">
        <v>20310</v>
      </c>
    </row>
    <row r="19779" spans="1:1">
      <c r="A19779" t="s">
        <v>20311</v>
      </c>
    </row>
    <row r="19780" spans="1:1">
      <c r="A19780" t="s">
        <v>20312</v>
      </c>
    </row>
    <row r="19781" spans="1:1">
      <c r="A19781" t="s">
        <v>20313</v>
      </c>
    </row>
    <row r="19782" spans="1:1">
      <c r="A19782" t="s">
        <v>20314</v>
      </c>
    </row>
    <row r="19783" spans="1:1">
      <c r="A19783" t="s">
        <v>20315</v>
      </c>
    </row>
    <row r="19784" spans="1:1">
      <c r="A19784" t="s">
        <v>20316</v>
      </c>
    </row>
    <row r="19785" spans="1:1">
      <c r="A19785" t="s">
        <v>20317</v>
      </c>
    </row>
    <row r="19786" spans="1:1">
      <c r="A19786" t="s">
        <v>20318</v>
      </c>
    </row>
    <row r="19787" spans="1:1">
      <c r="A19787" t="s">
        <v>20319</v>
      </c>
    </row>
    <row r="19788" spans="1:1">
      <c r="A19788" t="s">
        <v>20320</v>
      </c>
    </row>
    <row r="19789" spans="1:1">
      <c r="A19789" t="s">
        <v>20321</v>
      </c>
    </row>
    <row r="19790" spans="1:1">
      <c r="A19790" t="s">
        <v>20322</v>
      </c>
    </row>
    <row r="19791" spans="1:1">
      <c r="A19791" t="s">
        <v>20323</v>
      </c>
    </row>
    <row r="19792" spans="1:1">
      <c r="A19792" t="s">
        <v>20324</v>
      </c>
    </row>
    <row r="19793" spans="1:1">
      <c r="A19793" t="s">
        <v>20325</v>
      </c>
    </row>
    <row r="19794" spans="1:1">
      <c r="A19794" t="s">
        <v>20326</v>
      </c>
    </row>
    <row r="19795" spans="1:1">
      <c r="A19795" t="s">
        <v>20327</v>
      </c>
    </row>
    <row r="19796" spans="1:1">
      <c r="A19796" t="s">
        <v>20328</v>
      </c>
    </row>
    <row r="19797" spans="1:1">
      <c r="A19797" t="s">
        <v>20329</v>
      </c>
    </row>
    <row r="19798" spans="1:1">
      <c r="A19798" t="s">
        <v>20330</v>
      </c>
    </row>
    <row r="19799" spans="1:1">
      <c r="A19799" t="s">
        <v>20331</v>
      </c>
    </row>
    <row r="19800" spans="1:1">
      <c r="A19800" t="s">
        <v>20332</v>
      </c>
    </row>
    <row r="19801" spans="1:1">
      <c r="A19801" t="s">
        <v>20333</v>
      </c>
    </row>
    <row r="19802" spans="1:1">
      <c r="A19802" t="s">
        <v>20334</v>
      </c>
    </row>
    <row r="19803" spans="1:1">
      <c r="A19803" t="s">
        <v>20335</v>
      </c>
    </row>
    <row r="19804" spans="1:1">
      <c r="A19804" t="s">
        <v>20336</v>
      </c>
    </row>
    <row r="19805" spans="1:1">
      <c r="A19805" t="s">
        <v>20337</v>
      </c>
    </row>
    <row r="19806" spans="1:1">
      <c r="A19806" t="s">
        <v>20338</v>
      </c>
    </row>
    <row r="19807" spans="1:1">
      <c r="A19807" t="s">
        <v>20339</v>
      </c>
    </row>
    <row r="19808" spans="1:1">
      <c r="A19808" t="s">
        <v>20340</v>
      </c>
    </row>
    <row r="19809" spans="1:1">
      <c r="A19809" t="s">
        <v>20341</v>
      </c>
    </row>
    <row r="19810" spans="1:1">
      <c r="A19810" t="s">
        <v>20342</v>
      </c>
    </row>
    <row r="19811" spans="1:1">
      <c r="A19811" t="s">
        <v>20343</v>
      </c>
    </row>
    <row r="19812" spans="1:1">
      <c r="A19812" t="s">
        <v>20344</v>
      </c>
    </row>
    <row r="19813" spans="1:1">
      <c r="A19813" t="s">
        <v>20345</v>
      </c>
    </row>
    <row r="19814" spans="1:1">
      <c r="A19814" t="s">
        <v>20346</v>
      </c>
    </row>
    <row r="19815" spans="1:1">
      <c r="A19815" t="s">
        <v>20347</v>
      </c>
    </row>
    <row r="19816" spans="1:1">
      <c r="A19816" t="s">
        <v>20348</v>
      </c>
    </row>
    <row r="19817" spans="1:1">
      <c r="A19817" t="s">
        <v>20349</v>
      </c>
    </row>
    <row r="19818" spans="1:1">
      <c r="A19818" t="s">
        <v>20350</v>
      </c>
    </row>
    <row r="19819" spans="1:1">
      <c r="A19819" t="s">
        <v>20351</v>
      </c>
    </row>
    <row r="19820" spans="1:1">
      <c r="A19820" t="s">
        <v>20352</v>
      </c>
    </row>
    <row r="19821" spans="1:1">
      <c r="A19821" t="s">
        <v>20353</v>
      </c>
    </row>
    <row r="19822" spans="1:1">
      <c r="A19822" t="s">
        <v>20354</v>
      </c>
    </row>
    <row r="19823" spans="1:1">
      <c r="A19823" t="s">
        <v>20355</v>
      </c>
    </row>
    <row r="19824" spans="1:1">
      <c r="A19824" t="s">
        <v>20356</v>
      </c>
    </row>
    <row r="19825" spans="1:1">
      <c r="A19825" t="s">
        <v>20357</v>
      </c>
    </row>
    <row r="19826" spans="1:1">
      <c r="A19826" t="s">
        <v>20358</v>
      </c>
    </row>
    <row r="19827" spans="1:1">
      <c r="A19827" t="s">
        <v>20359</v>
      </c>
    </row>
    <row r="19828" spans="1:1">
      <c r="A19828" t="s">
        <v>20360</v>
      </c>
    </row>
    <row r="19829" spans="1:1">
      <c r="A19829" t="s">
        <v>20361</v>
      </c>
    </row>
    <row r="19830" spans="1:1">
      <c r="A19830" t="s">
        <v>20362</v>
      </c>
    </row>
    <row r="19831" spans="1:1">
      <c r="A19831" t="s">
        <v>20363</v>
      </c>
    </row>
    <row r="19832" spans="1:1">
      <c r="A19832" t="s">
        <v>20364</v>
      </c>
    </row>
    <row r="19833" spans="1:1">
      <c r="A19833" t="s">
        <v>20365</v>
      </c>
    </row>
    <row r="19834" spans="1:1">
      <c r="A19834" t="s">
        <v>20366</v>
      </c>
    </row>
    <row r="19835" spans="1:1">
      <c r="A19835" t="s">
        <v>20367</v>
      </c>
    </row>
    <row r="19836" spans="1:1">
      <c r="A19836" t="s">
        <v>20368</v>
      </c>
    </row>
    <row r="19837" spans="1:1">
      <c r="A19837" t="s">
        <v>20369</v>
      </c>
    </row>
    <row r="19838" spans="1:1">
      <c r="A19838" t="s">
        <v>20370</v>
      </c>
    </row>
    <row r="19839" spans="1:1">
      <c r="A19839" t="s">
        <v>20371</v>
      </c>
    </row>
    <row r="19840" spans="1:1">
      <c r="A19840" t="s">
        <v>20372</v>
      </c>
    </row>
    <row r="19841" spans="1:1">
      <c r="A19841" t="s">
        <v>20373</v>
      </c>
    </row>
    <row r="19842" spans="1:1">
      <c r="A19842" t="s">
        <v>20374</v>
      </c>
    </row>
    <row r="19843" spans="1:1">
      <c r="A19843" t="s">
        <v>20375</v>
      </c>
    </row>
    <row r="19844" spans="1:1">
      <c r="A19844" t="s">
        <v>20376</v>
      </c>
    </row>
    <row r="19845" spans="1:1">
      <c r="A19845" t="s">
        <v>20377</v>
      </c>
    </row>
    <row r="19846" spans="1:1">
      <c r="A19846" t="s">
        <v>20378</v>
      </c>
    </row>
    <row r="19847" spans="1:1">
      <c r="A19847" t="s">
        <v>20379</v>
      </c>
    </row>
    <row r="19848" spans="1:1">
      <c r="A19848" t="s">
        <v>20380</v>
      </c>
    </row>
    <row r="19849" spans="1:1">
      <c r="A19849" t="s">
        <v>20381</v>
      </c>
    </row>
    <row r="19850" spans="1:1">
      <c r="A19850" t="s">
        <v>20382</v>
      </c>
    </row>
    <row r="19851" spans="1:1">
      <c r="A19851" t="s">
        <v>20383</v>
      </c>
    </row>
    <row r="19852" spans="1:1">
      <c r="A19852" t="s">
        <v>20384</v>
      </c>
    </row>
    <row r="19853" spans="1:1">
      <c r="A19853" t="s">
        <v>20385</v>
      </c>
    </row>
    <row r="19854" spans="1:1">
      <c r="A19854" t="s">
        <v>20386</v>
      </c>
    </row>
    <row r="19855" spans="1:1">
      <c r="A19855" t="s">
        <v>20387</v>
      </c>
    </row>
    <row r="19856" spans="1:1">
      <c r="A19856" t="s">
        <v>20388</v>
      </c>
    </row>
    <row r="19857" spans="1:1">
      <c r="A19857" t="s">
        <v>20389</v>
      </c>
    </row>
    <row r="19858" spans="1:1">
      <c r="A19858" t="s">
        <v>20390</v>
      </c>
    </row>
    <row r="19859" spans="1:1">
      <c r="A19859" t="s">
        <v>20391</v>
      </c>
    </row>
    <row r="19860" spans="1:1">
      <c r="A19860" t="s">
        <v>20392</v>
      </c>
    </row>
    <row r="19861" spans="1:1">
      <c r="A19861" t="s">
        <v>20393</v>
      </c>
    </row>
    <row r="19862" spans="1:1">
      <c r="A19862" t="s">
        <v>20394</v>
      </c>
    </row>
    <row r="19863" spans="1:1">
      <c r="A19863" t="s">
        <v>20395</v>
      </c>
    </row>
    <row r="19864" spans="1:1">
      <c r="A19864" t="s">
        <v>20396</v>
      </c>
    </row>
    <row r="19865" spans="1:1">
      <c r="A19865" t="s">
        <v>20397</v>
      </c>
    </row>
    <row r="19866" spans="1:1">
      <c r="A19866" t="s">
        <v>20398</v>
      </c>
    </row>
    <row r="19867" spans="1:1">
      <c r="A19867" t="s">
        <v>20399</v>
      </c>
    </row>
    <row r="19868" spans="1:1">
      <c r="A19868" t="s">
        <v>20400</v>
      </c>
    </row>
    <row r="19869" spans="1:1">
      <c r="A19869" t="s">
        <v>20401</v>
      </c>
    </row>
    <row r="19870" spans="1:1">
      <c r="A19870" t="s">
        <v>20402</v>
      </c>
    </row>
    <row r="19871" spans="1:1">
      <c r="A19871" t="s">
        <v>20403</v>
      </c>
    </row>
    <row r="19872" spans="1:1">
      <c r="A19872" t="s">
        <v>20404</v>
      </c>
    </row>
    <row r="19873" spans="1:1">
      <c r="A19873" t="s">
        <v>20405</v>
      </c>
    </row>
    <row r="19874" spans="1:1">
      <c r="A19874" t="s">
        <v>20406</v>
      </c>
    </row>
    <row r="19875" spans="1:1">
      <c r="A19875" t="s">
        <v>20407</v>
      </c>
    </row>
    <row r="19876" spans="1:1">
      <c r="A19876" t="s">
        <v>20408</v>
      </c>
    </row>
    <row r="19877" spans="1:1">
      <c r="A19877" t="s">
        <v>20409</v>
      </c>
    </row>
    <row r="19878" spans="1:1">
      <c r="A19878" t="s">
        <v>20410</v>
      </c>
    </row>
    <row r="19879" spans="1:1">
      <c r="A19879" t="s">
        <v>20411</v>
      </c>
    </row>
    <row r="19880" spans="1:1">
      <c r="A19880" t="s">
        <v>20412</v>
      </c>
    </row>
    <row r="19881" spans="1:1">
      <c r="A19881" t="s">
        <v>20413</v>
      </c>
    </row>
    <row r="19882" spans="1:1">
      <c r="A19882" t="s">
        <v>20414</v>
      </c>
    </row>
    <row r="19883" spans="1:1">
      <c r="A19883" t="s">
        <v>20415</v>
      </c>
    </row>
    <row r="19884" spans="1:1">
      <c r="A19884" t="s">
        <v>20416</v>
      </c>
    </row>
    <row r="19885" spans="1:1">
      <c r="A19885" t="s">
        <v>20417</v>
      </c>
    </row>
    <row r="19886" spans="1:1">
      <c r="A19886" t="s">
        <v>20418</v>
      </c>
    </row>
    <row r="19887" spans="1:1">
      <c r="A19887" t="s">
        <v>20419</v>
      </c>
    </row>
    <row r="19888" spans="1:1">
      <c r="A19888" t="s">
        <v>20420</v>
      </c>
    </row>
    <row r="19889" spans="1:1">
      <c r="A19889" t="s">
        <v>20421</v>
      </c>
    </row>
    <row r="19890" spans="1:1">
      <c r="A19890" t="s">
        <v>20422</v>
      </c>
    </row>
    <row r="19891" spans="1:1">
      <c r="A19891" t="s">
        <v>20423</v>
      </c>
    </row>
    <row r="19892" spans="1:1">
      <c r="A19892" t="s">
        <v>20424</v>
      </c>
    </row>
    <row r="19893" spans="1:1">
      <c r="A19893" t="s">
        <v>20425</v>
      </c>
    </row>
    <row r="19894" spans="1:1">
      <c r="A19894" t="s">
        <v>20426</v>
      </c>
    </row>
    <row r="19895" spans="1:1">
      <c r="A19895" t="s">
        <v>20427</v>
      </c>
    </row>
    <row r="19896" spans="1:1">
      <c r="A19896" t="s">
        <v>20428</v>
      </c>
    </row>
    <row r="19897" spans="1:1">
      <c r="A19897" t="s">
        <v>20429</v>
      </c>
    </row>
    <row r="19898" spans="1:1">
      <c r="A19898" t="s">
        <v>20430</v>
      </c>
    </row>
    <row r="19899" spans="1:1">
      <c r="A19899" t="s">
        <v>20431</v>
      </c>
    </row>
    <row r="19900" spans="1:1">
      <c r="A19900" t="s">
        <v>20432</v>
      </c>
    </row>
    <row r="19901" spans="1:1">
      <c r="A19901" t="s">
        <v>20433</v>
      </c>
    </row>
    <row r="19902" spans="1:1">
      <c r="A19902" t="s">
        <v>20434</v>
      </c>
    </row>
    <row r="19903" spans="1:1">
      <c r="A19903" t="s">
        <v>20435</v>
      </c>
    </row>
    <row r="19904" spans="1:1">
      <c r="A19904" t="s">
        <v>20436</v>
      </c>
    </row>
    <row r="19905" spans="1:1">
      <c r="A19905" t="s">
        <v>20437</v>
      </c>
    </row>
    <row r="19906" spans="1:1">
      <c r="A19906" t="s">
        <v>20438</v>
      </c>
    </row>
    <row r="19907" spans="1:1">
      <c r="A19907" t="s">
        <v>20439</v>
      </c>
    </row>
    <row r="19908" spans="1:1">
      <c r="A19908" t="s">
        <v>20440</v>
      </c>
    </row>
    <row r="19909" spans="1:1">
      <c r="A19909" t="s">
        <v>20441</v>
      </c>
    </row>
    <row r="19910" spans="1:1">
      <c r="A19910" t="s">
        <v>20442</v>
      </c>
    </row>
    <row r="19911" spans="1:1">
      <c r="A19911" t="s">
        <v>20443</v>
      </c>
    </row>
    <row r="19912" spans="1:1">
      <c r="A19912" t="s">
        <v>20444</v>
      </c>
    </row>
    <row r="19913" spans="1:1">
      <c r="A19913" t="s">
        <v>20445</v>
      </c>
    </row>
    <row r="19914" spans="1:1">
      <c r="A19914" t="s">
        <v>20446</v>
      </c>
    </row>
    <row r="19915" spans="1:1">
      <c r="A19915" t="s">
        <v>20447</v>
      </c>
    </row>
    <row r="19916" spans="1:1">
      <c r="A19916" t="s">
        <v>20448</v>
      </c>
    </row>
    <row r="19917" spans="1:1">
      <c r="A19917" t="s">
        <v>20449</v>
      </c>
    </row>
    <row r="19918" spans="1:1">
      <c r="A19918" t="s">
        <v>20450</v>
      </c>
    </row>
    <row r="19919" spans="1:1">
      <c r="A19919" t="s">
        <v>20451</v>
      </c>
    </row>
    <row r="19920" spans="1:1">
      <c r="A19920" t="s">
        <v>20452</v>
      </c>
    </row>
    <row r="19921" spans="1:1">
      <c r="A19921" t="s">
        <v>20453</v>
      </c>
    </row>
    <row r="19922" spans="1:1">
      <c r="A19922" t="s">
        <v>20454</v>
      </c>
    </row>
    <row r="19923" spans="1:1">
      <c r="A19923" t="s">
        <v>20455</v>
      </c>
    </row>
    <row r="19924" spans="1:1">
      <c r="A19924" t="s">
        <v>20456</v>
      </c>
    </row>
    <row r="19925" spans="1:1">
      <c r="A19925" t="s">
        <v>20457</v>
      </c>
    </row>
    <row r="19926" spans="1:1">
      <c r="A19926" t="s">
        <v>20458</v>
      </c>
    </row>
    <row r="19927" spans="1:1">
      <c r="A19927" t="s">
        <v>20459</v>
      </c>
    </row>
    <row r="19928" spans="1:1">
      <c r="A19928" t="s">
        <v>20460</v>
      </c>
    </row>
    <row r="19929" spans="1:1">
      <c r="A19929" t="s">
        <v>20461</v>
      </c>
    </row>
    <row r="19930" spans="1:1">
      <c r="A19930" t="s">
        <v>20462</v>
      </c>
    </row>
    <row r="19931" spans="1:1">
      <c r="A19931" t="s">
        <v>20463</v>
      </c>
    </row>
    <row r="19932" spans="1:1">
      <c r="A19932" t="s">
        <v>20464</v>
      </c>
    </row>
    <row r="19933" spans="1:1">
      <c r="A19933" t="s">
        <v>20465</v>
      </c>
    </row>
    <row r="19934" spans="1:1">
      <c r="A19934" t="s">
        <v>20466</v>
      </c>
    </row>
    <row r="19935" spans="1:1">
      <c r="A19935" t="s">
        <v>20467</v>
      </c>
    </row>
    <row r="19936" spans="1:1">
      <c r="A19936" t="s">
        <v>20468</v>
      </c>
    </row>
    <row r="19937" spans="1:1">
      <c r="A19937" t="s">
        <v>20469</v>
      </c>
    </row>
    <row r="19938" spans="1:1">
      <c r="A19938" t="s">
        <v>20470</v>
      </c>
    </row>
    <row r="19939" spans="1:1">
      <c r="A19939" t="s">
        <v>20471</v>
      </c>
    </row>
    <row r="19940" spans="1:1">
      <c r="A19940" t="s">
        <v>20472</v>
      </c>
    </row>
    <row r="19941" spans="1:1">
      <c r="A19941" t="s">
        <v>20473</v>
      </c>
    </row>
    <row r="19942" spans="1:1">
      <c r="A19942" t="s">
        <v>20474</v>
      </c>
    </row>
    <row r="19943" spans="1:1">
      <c r="A19943" t="s">
        <v>20475</v>
      </c>
    </row>
    <row r="19944" spans="1:1">
      <c r="A19944" t="s">
        <v>20476</v>
      </c>
    </row>
    <row r="19945" spans="1:1">
      <c r="A19945" t="s">
        <v>20477</v>
      </c>
    </row>
    <row r="19946" spans="1:1">
      <c r="A19946" t="s">
        <v>20478</v>
      </c>
    </row>
    <row r="19947" spans="1:1">
      <c r="A19947" t="s">
        <v>20479</v>
      </c>
    </row>
    <row r="19948" spans="1:1">
      <c r="A19948" t="s">
        <v>20480</v>
      </c>
    </row>
    <row r="19949" spans="1:1">
      <c r="A19949" t="s">
        <v>20481</v>
      </c>
    </row>
    <row r="19950" spans="1:1">
      <c r="A19950" t="s">
        <v>20482</v>
      </c>
    </row>
    <row r="19951" spans="1:1">
      <c r="A19951" t="s">
        <v>20483</v>
      </c>
    </row>
    <row r="19952" spans="1:1">
      <c r="A19952" t="s">
        <v>20484</v>
      </c>
    </row>
    <row r="19953" spans="1:1">
      <c r="A19953" t="s">
        <v>20485</v>
      </c>
    </row>
    <row r="19954" spans="1:1">
      <c r="A19954" t="s">
        <v>20486</v>
      </c>
    </row>
    <row r="19955" spans="1:1">
      <c r="A19955" t="s">
        <v>20487</v>
      </c>
    </row>
    <row r="19956" spans="1:1">
      <c r="A19956" t="s">
        <v>20488</v>
      </c>
    </row>
    <row r="19957" spans="1:1">
      <c r="A19957" t="s">
        <v>20489</v>
      </c>
    </row>
    <row r="19958" spans="1:1">
      <c r="A19958" t="s">
        <v>20490</v>
      </c>
    </row>
    <row r="19959" spans="1:1">
      <c r="A19959" t="s">
        <v>20491</v>
      </c>
    </row>
    <row r="19960" spans="1:1">
      <c r="A19960" t="s">
        <v>20492</v>
      </c>
    </row>
    <row r="19961" spans="1:1">
      <c r="A19961" t="s">
        <v>20493</v>
      </c>
    </row>
    <row r="19962" spans="1:1">
      <c r="A19962" t="s">
        <v>20494</v>
      </c>
    </row>
    <row r="19963" spans="1:1">
      <c r="A19963" t="s">
        <v>20495</v>
      </c>
    </row>
    <row r="19964" spans="1:1">
      <c r="A19964" t="s">
        <v>20496</v>
      </c>
    </row>
    <row r="19965" spans="1:1">
      <c r="A19965" t="s">
        <v>20497</v>
      </c>
    </row>
    <row r="19966" spans="1:1">
      <c r="A19966" t="s">
        <v>20498</v>
      </c>
    </row>
    <row r="19967" spans="1:1">
      <c r="A19967" t="s">
        <v>20499</v>
      </c>
    </row>
    <row r="19968" spans="1:1">
      <c r="A19968" t="s">
        <v>20500</v>
      </c>
    </row>
    <row r="19969" spans="1:1">
      <c r="A19969" t="s">
        <v>20501</v>
      </c>
    </row>
    <row r="19970" spans="1:1">
      <c r="A19970" t="s">
        <v>20502</v>
      </c>
    </row>
    <row r="19971" spans="1:1">
      <c r="A19971" t="s">
        <v>20503</v>
      </c>
    </row>
    <row r="19972" spans="1:1">
      <c r="A19972" t="s">
        <v>20504</v>
      </c>
    </row>
    <row r="19973" spans="1:1">
      <c r="A19973" t="s">
        <v>20505</v>
      </c>
    </row>
    <row r="19974" spans="1:1">
      <c r="A19974" t="s">
        <v>20506</v>
      </c>
    </row>
    <row r="19975" spans="1:1">
      <c r="A19975" t="s">
        <v>20507</v>
      </c>
    </row>
    <row r="19976" spans="1:1">
      <c r="A19976" t="s">
        <v>20508</v>
      </c>
    </row>
    <row r="19977" spans="1:1">
      <c r="A19977" t="s">
        <v>20509</v>
      </c>
    </row>
    <row r="19978" spans="1:1">
      <c r="A19978" t="s">
        <v>20510</v>
      </c>
    </row>
    <row r="19979" spans="1:1">
      <c r="A19979" t="s">
        <v>20511</v>
      </c>
    </row>
    <row r="19980" spans="1:1">
      <c r="A19980" t="s">
        <v>20512</v>
      </c>
    </row>
    <row r="19981" spans="1:1">
      <c r="A19981" t="s">
        <v>20513</v>
      </c>
    </row>
    <row r="19982" spans="1:1">
      <c r="A19982" t="s">
        <v>20514</v>
      </c>
    </row>
    <row r="19983" spans="1:1">
      <c r="A19983" t="s">
        <v>20515</v>
      </c>
    </row>
    <row r="19984" spans="1:1">
      <c r="A19984" t="s">
        <v>20516</v>
      </c>
    </row>
    <row r="19985" spans="1:1">
      <c r="A19985" t="s">
        <v>20517</v>
      </c>
    </row>
    <row r="19986" spans="1:1">
      <c r="A19986" t="s">
        <v>20518</v>
      </c>
    </row>
    <row r="19987" spans="1:1">
      <c r="A19987" t="s">
        <v>20519</v>
      </c>
    </row>
    <row r="19988" spans="1:1">
      <c r="A19988" t="s">
        <v>20520</v>
      </c>
    </row>
    <row r="19989" spans="1:1">
      <c r="A19989" t="s">
        <v>20521</v>
      </c>
    </row>
    <row r="19990" spans="1:1">
      <c r="A19990" t="s">
        <v>20522</v>
      </c>
    </row>
    <row r="19991" spans="1:1">
      <c r="A19991" t="s">
        <v>20523</v>
      </c>
    </row>
    <row r="19992" spans="1:1">
      <c r="A19992" t="s">
        <v>20524</v>
      </c>
    </row>
    <row r="19993" spans="1:1">
      <c r="A19993" t="s">
        <v>20525</v>
      </c>
    </row>
    <row r="19994" spans="1:1">
      <c r="A19994" t="s">
        <v>20526</v>
      </c>
    </row>
    <row r="19995" spans="1:1">
      <c r="A19995" t="s">
        <v>20527</v>
      </c>
    </row>
    <row r="19996" spans="1:1">
      <c r="A19996" t="s">
        <v>20528</v>
      </c>
    </row>
    <row r="19997" spans="1:1">
      <c r="A19997" t="s">
        <v>20529</v>
      </c>
    </row>
    <row r="19998" spans="1:1">
      <c r="A19998" t="s">
        <v>20530</v>
      </c>
    </row>
    <row r="19999" spans="1:1">
      <c r="A19999" t="s">
        <v>20531</v>
      </c>
    </row>
    <row r="20000" spans="1:1">
      <c r="A20000" t="s">
        <v>20532</v>
      </c>
    </row>
    <row r="20001" spans="1:1">
      <c r="A20001" t="s">
        <v>20533</v>
      </c>
    </row>
    <row r="20002" spans="1:1">
      <c r="A20002" t="s">
        <v>20534</v>
      </c>
    </row>
    <row r="20003" spans="1:1">
      <c r="A20003" t="s">
        <v>20535</v>
      </c>
    </row>
    <row r="20004" spans="1:1">
      <c r="A20004" t="s">
        <v>20536</v>
      </c>
    </row>
    <row r="20005" spans="1:1">
      <c r="A20005" t="s">
        <v>20537</v>
      </c>
    </row>
    <row r="20006" spans="1:1">
      <c r="A20006" t="s">
        <v>20538</v>
      </c>
    </row>
    <row r="20007" spans="1:1">
      <c r="A20007" t="s">
        <v>20539</v>
      </c>
    </row>
    <row r="20008" spans="1:1">
      <c r="A20008" t="s">
        <v>20540</v>
      </c>
    </row>
    <row r="20009" spans="1:1">
      <c r="A20009" t="s">
        <v>20541</v>
      </c>
    </row>
    <row r="20010" spans="1:1">
      <c r="A20010" t="s">
        <v>20542</v>
      </c>
    </row>
    <row r="20011" spans="1:1">
      <c r="A20011" t="s">
        <v>20543</v>
      </c>
    </row>
    <row r="20012" spans="1:1">
      <c r="A20012" t="s">
        <v>20544</v>
      </c>
    </row>
    <row r="20013" spans="1:1">
      <c r="A20013" t="s">
        <v>20545</v>
      </c>
    </row>
    <row r="20014" spans="1:1">
      <c r="A20014" t="s">
        <v>20546</v>
      </c>
    </row>
    <row r="20015" spans="1:1">
      <c r="A20015" t="s">
        <v>20547</v>
      </c>
    </row>
    <row r="20016" spans="1:1">
      <c r="A20016" t="s">
        <v>20548</v>
      </c>
    </row>
    <row r="20017" spans="1:1">
      <c r="A20017" t="s">
        <v>20549</v>
      </c>
    </row>
    <row r="20018" spans="1:1">
      <c r="A20018" t="s">
        <v>20550</v>
      </c>
    </row>
    <row r="20019" spans="1:1">
      <c r="A20019" t="s">
        <v>20551</v>
      </c>
    </row>
    <row r="20020" spans="1:1">
      <c r="A20020" t="s">
        <v>20552</v>
      </c>
    </row>
    <row r="20021" spans="1:1">
      <c r="A20021" t="s">
        <v>20553</v>
      </c>
    </row>
    <row r="20022" spans="1:1">
      <c r="A20022" t="s">
        <v>20554</v>
      </c>
    </row>
    <row r="20023" spans="1:1">
      <c r="A20023" t="s">
        <v>20555</v>
      </c>
    </row>
    <row r="20024" spans="1:1">
      <c r="A20024" t="s">
        <v>20556</v>
      </c>
    </row>
    <row r="20025" spans="1:1">
      <c r="A20025" t="s">
        <v>20557</v>
      </c>
    </row>
    <row r="20026" spans="1:1">
      <c r="A20026" t="s">
        <v>20558</v>
      </c>
    </row>
    <row r="20027" spans="1:1">
      <c r="A20027" t="s">
        <v>20559</v>
      </c>
    </row>
    <row r="20028" spans="1:1">
      <c r="A20028" t="s">
        <v>20560</v>
      </c>
    </row>
    <row r="20029" spans="1:1">
      <c r="A20029" t="s">
        <v>20561</v>
      </c>
    </row>
    <row r="20030" spans="1:1">
      <c r="A20030" t="s">
        <v>20562</v>
      </c>
    </row>
    <row r="20031" spans="1:1">
      <c r="A20031" t="s">
        <v>20563</v>
      </c>
    </row>
    <row r="20032" spans="1:1">
      <c r="A20032" t="s">
        <v>20564</v>
      </c>
    </row>
    <row r="20033" spans="1:1">
      <c r="A20033" t="s">
        <v>20565</v>
      </c>
    </row>
    <row r="20034" spans="1:1">
      <c r="A20034" t="s">
        <v>20566</v>
      </c>
    </row>
    <row r="20035" spans="1:1">
      <c r="A20035" t="s">
        <v>20567</v>
      </c>
    </row>
    <row r="20036" spans="1:1">
      <c r="A20036" t="s">
        <v>20568</v>
      </c>
    </row>
    <row r="20037" spans="1:1">
      <c r="A20037" t="s">
        <v>20569</v>
      </c>
    </row>
    <row r="20038" spans="1:1">
      <c r="A20038" t="s">
        <v>20570</v>
      </c>
    </row>
    <row r="20039" spans="1:1">
      <c r="A20039" t="s">
        <v>20571</v>
      </c>
    </row>
    <row r="20040" spans="1:1">
      <c r="A20040" t="s">
        <v>20572</v>
      </c>
    </row>
    <row r="20041" spans="1:1">
      <c r="A20041" t="s">
        <v>20573</v>
      </c>
    </row>
    <row r="20042" spans="1:1">
      <c r="A20042" t="s">
        <v>20574</v>
      </c>
    </row>
    <row r="20043" spans="1:1">
      <c r="A20043" t="s">
        <v>20575</v>
      </c>
    </row>
    <row r="20044" spans="1:1">
      <c r="A20044" t="s">
        <v>20576</v>
      </c>
    </row>
    <row r="20045" spans="1:1">
      <c r="A20045" t="s">
        <v>20577</v>
      </c>
    </row>
    <row r="20046" spans="1:1">
      <c r="A20046" t="s">
        <v>20578</v>
      </c>
    </row>
    <row r="20047" spans="1:1">
      <c r="A20047" t="s">
        <v>20579</v>
      </c>
    </row>
    <row r="20048" spans="1:1">
      <c r="A20048" t="s">
        <v>20580</v>
      </c>
    </row>
    <row r="20049" spans="1:1">
      <c r="A20049" t="s">
        <v>20581</v>
      </c>
    </row>
    <row r="20050" spans="1:1">
      <c r="A20050" t="s">
        <v>20582</v>
      </c>
    </row>
    <row r="20051" spans="1:1">
      <c r="A20051" t="s">
        <v>20583</v>
      </c>
    </row>
    <row r="20052" spans="1:1">
      <c r="A20052" t="s">
        <v>20584</v>
      </c>
    </row>
    <row r="20053" spans="1:1">
      <c r="A20053" t="s">
        <v>20585</v>
      </c>
    </row>
    <row r="20054" spans="1:1">
      <c r="A20054" t="s">
        <v>20586</v>
      </c>
    </row>
    <row r="20055" spans="1:1">
      <c r="A20055" t="s">
        <v>20587</v>
      </c>
    </row>
    <row r="20056" spans="1:1">
      <c r="A20056" t="s">
        <v>20588</v>
      </c>
    </row>
    <row r="20057" spans="1:1">
      <c r="A20057" t="s">
        <v>20589</v>
      </c>
    </row>
    <row r="20058" spans="1:1">
      <c r="A20058" t="s">
        <v>20590</v>
      </c>
    </row>
    <row r="20059" spans="1:1">
      <c r="A20059" t="s">
        <v>20591</v>
      </c>
    </row>
    <row r="20060" spans="1:1">
      <c r="A20060" t="s">
        <v>20592</v>
      </c>
    </row>
    <row r="20061" spans="1:1">
      <c r="A20061" t="s">
        <v>20593</v>
      </c>
    </row>
    <row r="20062" spans="1:1">
      <c r="A20062" t="s">
        <v>20594</v>
      </c>
    </row>
    <row r="20063" spans="1:1">
      <c r="A20063" t="s">
        <v>20595</v>
      </c>
    </row>
    <row r="20064" spans="1:1">
      <c r="A20064" t="s">
        <v>20596</v>
      </c>
    </row>
    <row r="20065" spans="1:1">
      <c r="A20065" t="s">
        <v>20597</v>
      </c>
    </row>
    <row r="20066" spans="1:1">
      <c r="A20066" t="s">
        <v>20598</v>
      </c>
    </row>
    <row r="20067" spans="1:1">
      <c r="A20067" t="s">
        <v>20599</v>
      </c>
    </row>
    <row r="20068" spans="1:1">
      <c r="A20068" t="s">
        <v>20600</v>
      </c>
    </row>
    <row r="20069" spans="1:1">
      <c r="A20069" t="s">
        <v>20601</v>
      </c>
    </row>
    <row r="20070" spans="1:1">
      <c r="A20070" t="s">
        <v>20602</v>
      </c>
    </row>
    <row r="20071" spans="1:1">
      <c r="A20071" t="s">
        <v>20603</v>
      </c>
    </row>
    <row r="20072" spans="1:1">
      <c r="A20072" t="s">
        <v>20604</v>
      </c>
    </row>
    <row r="20073" spans="1:1">
      <c r="A20073" t="s">
        <v>20605</v>
      </c>
    </row>
    <row r="20074" spans="1:1">
      <c r="A20074" t="s">
        <v>20606</v>
      </c>
    </row>
    <row r="20075" spans="1:1">
      <c r="A20075" t="s">
        <v>20607</v>
      </c>
    </row>
    <row r="20076" spans="1:1">
      <c r="A20076" t="s">
        <v>20608</v>
      </c>
    </row>
    <row r="20077" spans="1:1">
      <c r="A20077" t="s">
        <v>20609</v>
      </c>
    </row>
    <row r="20078" spans="1:1">
      <c r="A20078" t="s">
        <v>20610</v>
      </c>
    </row>
    <row r="20079" spans="1:1">
      <c r="A20079" t="s">
        <v>20611</v>
      </c>
    </row>
    <row r="20080" spans="1:1">
      <c r="A20080" t="s">
        <v>20612</v>
      </c>
    </row>
    <row r="20081" spans="1:1">
      <c r="A20081" t="s">
        <v>20613</v>
      </c>
    </row>
    <row r="20082" spans="1:1">
      <c r="A20082" t="s">
        <v>20614</v>
      </c>
    </row>
    <row r="20083" spans="1:1">
      <c r="A20083" t="s">
        <v>20615</v>
      </c>
    </row>
    <row r="20084" spans="1:1">
      <c r="A20084" t="s">
        <v>20616</v>
      </c>
    </row>
    <row r="20085" spans="1:1">
      <c r="A20085" t="s">
        <v>20617</v>
      </c>
    </row>
    <row r="20086" spans="1:1">
      <c r="A20086" t="s">
        <v>20618</v>
      </c>
    </row>
    <row r="20087" spans="1:1">
      <c r="A20087" t="s">
        <v>20619</v>
      </c>
    </row>
    <row r="20088" spans="1:1">
      <c r="A20088" t="s">
        <v>20620</v>
      </c>
    </row>
    <row r="20089" spans="1:1">
      <c r="A20089" t="s">
        <v>20621</v>
      </c>
    </row>
    <row r="20090" spans="1:1">
      <c r="A20090" t="s">
        <v>20622</v>
      </c>
    </row>
    <row r="20091" spans="1:1">
      <c r="A20091" t="s">
        <v>20623</v>
      </c>
    </row>
    <row r="20092" spans="1:1">
      <c r="A20092" t="s">
        <v>20624</v>
      </c>
    </row>
    <row r="20093" spans="1:1">
      <c r="A20093" t="s">
        <v>20625</v>
      </c>
    </row>
    <row r="20094" spans="1:1">
      <c r="A20094" t="s">
        <v>20626</v>
      </c>
    </row>
    <row r="20095" spans="1:1">
      <c r="A20095" t="s">
        <v>20627</v>
      </c>
    </row>
    <row r="20096" spans="1:1">
      <c r="A20096" t="s">
        <v>20628</v>
      </c>
    </row>
    <row r="20097" spans="1:1">
      <c r="A20097" t="s">
        <v>20629</v>
      </c>
    </row>
    <row r="20098" spans="1:1">
      <c r="A20098" t="s">
        <v>20630</v>
      </c>
    </row>
    <row r="20099" spans="1:1">
      <c r="A20099" t="s">
        <v>20631</v>
      </c>
    </row>
    <row r="20100" spans="1:1">
      <c r="A20100" t="s">
        <v>20632</v>
      </c>
    </row>
    <row r="20101" spans="1:1">
      <c r="A20101" t="s">
        <v>20633</v>
      </c>
    </row>
    <row r="20102" spans="1:1">
      <c r="A20102" t="s">
        <v>20634</v>
      </c>
    </row>
    <row r="20103" spans="1:1">
      <c r="A20103" t="s">
        <v>20635</v>
      </c>
    </row>
    <row r="20104" spans="1:1">
      <c r="A20104" t="s">
        <v>20636</v>
      </c>
    </row>
    <row r="20105" spans="1:1">
      <c r="A20105" t="s">
        <v>20637</v>
      </c>
    </row>
    <row r="20106" spans="1:1">
      <c r="A20106" t="s">
        <v>20638</v>
      </c>
    </row>
    <row r="20107" spans="1:1">
      <c r="A20107" t="s">
        <v>20639</v>
      </c>
    </row>
    <row r="20108" spans="1:1">
      <c r="A20108" t="s">
        <v>20640</v>
      </c>
    </row>
    <row r="20109" spans="1:1">
      <c r="A20109" t="s">
        <v>20641</v>
      </c>
    </row>
    <row r="20110" spans="1:1">
      <c r="A20110" t="s">
        <v>20642</v>
      </c>
    </row>
    <row r="20111" spans="1:1">
      <c r="A20111" t="s">
        <v>20643</v>
      </c>
    </row>
    <row r="20112" spans="1:1">
      <c r="A20112" t="s">
        <v>20644</v>
      </c>
    </row>
    <row r="20113" spans="1:1">
      <c r="A20113" t="s">
        <v>20645</v>
      </c>
    </row>
    <row r="20114" spans="1:1">
      <c r="A20114" t="s">
        <v>20646</v>
      </c>
    </row>
    <row r="20115" spans="1:1">
      <c r="A20115" t="s">
        <v>20647</v>
      </c>
    </row>
    <row r="20116" spans="1:1">
      <c r="A20116" t="s">
        <v>20648</v>
      </c>
    </row>
    <row r="20117" spans="1:1">
      <c r="A20117" t="s">
        <v>20649</v>
      </c>
    </row>
    <row r="20118" spans="1:1">
      <c r="A20118" t="s">
        <v>20650</v>
      </c>
    </row>
    <row r="20119" spans="1:1">
      <c r="A20119" t="s">
        <v>20651</v>
      </c>
    </row>
    <row r="20120" spans="1:1">
      <c r="A20120" t="s">
        <v>20652</v>
      </c>
    </row>
    <row r="20121" spans="1:1">
      <c r="A20121" t="s">
        <v>20653</v>
      </c>
    </row>
    <row r="20122" spans="1:1">
      <c r="A20122" t="s">
        <v>20654</v>
      </c>
    </row>
    <row r="20123" spans="1:1">
      <c r="A20123" t="s">
        <v>20655</v>
      </c>
    </row>
    <row r="20124" spans="1:1">
      <c r="A20124" t="s">
        <v>20656</v>
      </c>
    </row>
    <row r="20125" spans="1:1">
      <c r="A20125" t="s">
        <v>20657</v>
      </c>
    </row>
    <row r="20126" spans="1:1">
      <c r="A20126" t="s">
        <v>20658</v>
      </c>
    </row>
    <row r="20127" spans="1:1">
      <c r="A20127" t="s">
        <v>20659</v>
      </c>
    </row>
    <row r="20128" spans="1:1">
      <c r="A20128" t="s">
        <v>20660</v>
      </c>
    </row>
    <row r="20129" spans="1:1">
      <c r="A20129" t="s">
        <v>20661</v>
      </c>
    </row>
    <row r="20130" spans="1:1">
      <c r="A20130" t="s">
        <v>20662</v>
      </c>
    </row>
    <row r="20131" spans="1:1">
      <c r="A20131" t="s">
        <v>20663</v>
      </c>
    </row>
    <row r="20132" spans="1:1">
      <c r="A20132" t="s">
        <v>20664</v>
      </c>
    </row>
    <row r="20133" spans="1:1">
      <c r="A20133" t="s">
        <v>20665</v>
      </c>
    </row>
    <row r="20134" spans="1:1">
      <c r="A20134" t="s">
        <v>20666</v>
      </c>
    </row>
    <row r="20135" spans="1:1">
      <c r="A20135" t="s">
        <v>20667</v>
      </c>
    </row>
    <row r="20136" spans="1:1">
      <c r="A20136" t="s">
        <v>20668</v>
      </c>
    </row>
    <row r="20137" spans="1:1">
      <c r="A20137" t="s">
        <v>20669</v>
      </c>
    </row>
    <row r="20138" spans="1:1">
      <c r="A20138" t="s">
        <v>20670</v>
      </c>
    </row>
    <row r="20139" spans="1:1">
      <c r="A20139" t="s">
        <v>20671</v>
      </c>
    </row>
    <row r="20140" spans="1:1">
      <c r="A20140" t="s">
        <v>20672</v>
      </c>
    </row>
    <row r="20141" spans="1:1">
      <c r="A20141" t="s">
        <v>20673</v>
      </c>
    </row>
    <row r="20142" spans="1:1">
      <c r="A20142" t="s">
        <v>20674</v>
      </c>
    </row>
    <row r="20143" spans="1:1">
      <c r="A20143" t="s">
        <v>20675</v>
      </c>
    </row>
    <row r="20144" spans="1:1">
      <c r="A20144" t="s">
        <v>20676</v>
      </c>
    </row>
    <row r="20145" spans="1:1">
      <c r="A20145" t="s">
        <v>20677</v>
      </c>
    </row>
    <row r="20146" spans="1:1">
      <c r="A20146" t="s">
        <v>20678</v>
      </c>
    </row>
    <row r="20147" spans="1:1">
      <c r="A20147" t="s">
        <v>20679</v>
      </c>
    </row>
    <row r="20148" spans="1:1">
      <c r="A20148" t="s">
        <v>20680</v>
      </c>
    </row>
    <row r="20149" spans="1:1">
      <c r="A20149" t="s">
        <v>20681</v>
      </c>
    </row>
    <row r="20150" spans="1:1">
      <c r="A20150" t="s">
        <v>20682</v>
      </c>
    </row>
    <row r="20151" spans="1:1">
      <c r="A20151" t="s">
        <v>20683</v>
      </c>
    </row>
    <row r="20152" spans="1:1">
      <c r="A20152" t="s">
        <v>20684</v>
      </c>
    </row>
    <row r="20153" spans="1:1">
      <c r="A20153" t="s">
        <v>20685</v>
      </c>
    </row>
    <row r="20154" spans="1:1">
      <c r="A20154" t="s">
        <v>20686</v>
      </c>
    </row>
    <row r="20155" spans="1:1">
      <c r="A20155" t="s">
        <v>20687</v>
      </c>
    </row>
    <row r="20156" spans="1:1">
      <c r="A20156" t="s">
        <v>20688</v>
      </c>
    </row>
    <row r="20157" spans="1:1">
      <c r="A20157" t="s">
        <v>20689</v>
      </c>
    </row>
    <row r="20158" spans="1:1">
      <c r="A20158" t="s">
        <v>20690</v>
      </c>
    </row>
    <row r="20159" spans="1:1">
      <c r="A20159" t="s">
        <v>20691</v>
      </c>
    </row>
    <row r="20160" spans="1:1">
      <c r="A20160" t="s">
        <v>20692</v>
      </c>
    </row>
    <row r="20161" spans="1:1">
      <c r="A20161" t="s">
        <v>20693</v>
      </c>
    </row>
    <row r="20162" spans="1:1">
      <c r="A20162" t="s">
        <v>20694</v>
      </c>
    </row>
    <row r="20163" spans="1:1">
      <c r="A20163" t="s">
        <v>20695</v>
      </c>
    </row>
    <row r="20164" spans="1:1">
      <c r="A20164" t="s">
        <v>20696</v>
      </c>
    </row>
    <row r="20165" spans="1:1">
      <c r="A20165" t="s">
        <v>20697</v>
      </c>
    </row>
    <row r="20166" spans="1:1">
      <c r="A20166" t="s">
        <v>20698</v>
      </c>
    </row>
    <row r="20167" spans="1:1">
      <c r="A20167" t="s">
        <v>20699</v>
      </c>
    </row>
    <row r="20168" spans="1:1">
      <c r="A20168" t="s">
        <v>20700</v>
      </c>
    </row>
    <row r="20169" spans="1:1">
      <c r="A20169" t="s">
        <v>20701</v>
      </c>
    </row>
    <row r="20170" spans="1:1">
      <c r="A20170" t="s">
        <v>20702</v>
      </c>
    </row>
    <row r="20171" spans="1:1">
      <c r="A20171" t="s">
        <v>20703</v>
      </c>
    </row>
    <row r="20172" spans="1:1">
      <c r="A20172" t="s">
        <v>20704</v>
      </c>
    </row>
    <row r="20173" spans="1:1">
      <c r="A20173" t="s">
        <v>20705</v>
      </c>
    </row>
    <row r="20174" spans="1:1">
      <c r="A20174" t="s">
        <v>20706</v>
      </c>
    </row>
    <row r="20175" spans="1:1">
      <c r="A20175" t="s">
        <v>20707</v>
      </c>
    </row>
    <row r="20176" spans="1:1">
      <c r="A20176" t="s">
        <v>20708</v>
      </c>
    </row>
    <row r="20177" spans="1:1">
      <c r="A20177" t="s">
        <v>20709</v>
      </c>
    </row>
    <row r="20178" spans="1:1">
      <c r="A20178" t="s">
        <v>20710</v>
      </c>
    </row>
    <row r="20179" spans="1:1">
      <c r="A20179" t="s">
        <v>20711</v>
      </c>
    </row>
    <row r="20180" spans="1:1">
      <c r="A20180" t="s">
        <v>20712</v>
      </c>
    </row>
    <row r="20181" spans="1:1">
      <c r="A20181" t="s">
        <v>20713</v>
      </c>
    </row>
    <row r="20182" spans="1:1">
      <c r="A20182" t="s">
        <v>20714</v>
      </c>
    </row>
    <row r="20183" spans="1:1">
      <c r="A20183" t="s">
        <v>20715</v>
      </c>
    </row>
    <row r="20184" spans="1:1">
      <c r="A20184" t="s">
        <v>20716</v>
      </c>
    </row>
    <row r="20185" spans="1:1">
      <c r="A20185" t="s">
        <v>20717</v>
      </c>
    </row>
    <row r="20186" spans="1:1">
      <c r="A20186" t="s">
        <v>20718</v>
      </c>
    </row>
    <row r="20187" spans="1:1">
      <c r="A20187" t="s">
        <v>20719</v>
      </c>
    </row>
    <row r="20188" spans="1:1">
      <c r="A20188" t="s">
        <v>20720</v>
      </c>
    </row>
    <row r="20189" spans="1:1">
      <c r="A20189" t="s">
        <v>20721</v>
      </c>
    </row>
    <row r="20190" spans="1:1">
      <c r="A20190" t="s">
        <v>20722</v>
      </c>
    </row>
    <row r="20191" spans="1:1">
      <c r="A20191" t="s">
        <v>20723</v>
      </c>
    </row>
    <row r="20192" spans="1:1">
      <c r="A20192" t="s">
        <v>20724</v>
      </c>
    </row>
    <row r="20193" spans="1:1">
      <c r="A20193" t="s">
        <v>20725</v>
      </c>
    </row>
    <row r="20194" spans="1:1">
      <c r="A20194" t="s">
        <v>20726</v>
      </c>
    </row>
    <row r="20195" spans="1:1">
      <c r="A20195" t="s">
        <v>20727</v>
      </c>
    </row>
    <row r="20196" spans="1:1">
      <c r="A20196" t="s">
        <v>20728</v>
      </c>
    </row>
    <row r="20197" spans="1:1">
      <c r="A20197" t="s">
        <v>20729</v>
      </c>
    </row>
    <row r="20198" spans="1:1">
      <c r="A20198" t="s">
        <v>20730</v>
      </c>
    </row>
    <row r="20199" spans="1:1">
      <c r="A20199" t="s">
        <v>20731</v>
      </c>
    </row>
    <row r="20200" spans="1:1">
      <c r="A20200" t="s">
        <v>20732</v>
      </c>
    </row>
    <row r="20201" spans="1:1">
      <c r="A20201" t="s">
        <v>20733</v>
      </c>
    </row>
    <row r="20202" spans="1:1">
      <c r="A20202" t="s">
        <v>20734</v>
      </c>
    </row>
    <row r="20203" spans="1:1">
      <c r="A20203" t="s">
        <v>20735</v>
      </c>
    </row>
    <row r="20204" spans="1:1">
      <c r="A20204" t="s">
        <v>20736</v>
      </c>
    </row>
    <row r="20205" spans="1:1">
      <c r="A20205" t="s">
        <v>20737</v>
      </c>
    </row>
    <row r="20206" spans="1:1">
      <c r="A20206" t="s">
        <v>20738</v>
      </c>
    </row>
    <row r="20207" spans="1:1">
      <c r="A20207" t="s">
        <v>20739</v>
      </c>
    </row>
    <row r="20208" spans="1:1">
      <c r="A20208" t="s">
        <v>20740</v>
      </c>
    </row>
    <row r="20209" spans="1:1">
      <c r="A20209" t="s">
        <v>20741</v>
      </c>
    </row>
    <row r="20210" spans="1:1">
      <c r="A20210" t="s">
        <v>20742</v>
      </c>
    </row>
    <row r="20211" spans="1:1">
      <c r="A20211" t="s">
        <v>20743</v>
      </c>
    </row>
    <row r="20212" spans="1:1">
      <c r="A20212" t="s">
        <v>20744</v>
      </c>
    </row>
    <row r="20213" spans="1:1">
      <c r="A20213" t="s">
        <v>20745</v>
      </c>
    </row>
    <row r="20214" spans="1:1">
      <c r="A20214" t="s">
        <v>20746</v>
      </c>
    </row>
    <row r="20215" spans="1:1">
      <c r="A20215" t="s">
        <v>20747</v>
      </c>
    </row>
    <row r="20216" spans="1:1">
      <c r="A20216" t="s">
        <v>20748</v>
      </c>
    </row>
    <row r="20217" spans="1:1">
      <c r="A20217" t="s">
        <v>20749</v>
      </c>
    </row>
    <row r="20218" spans="1:1">
      <c r="A20218" t="s">
        <v>20750</v>
      </c>
    </row>
    <row r="20219" spans="1:1">
      <c r="A20219" t="s">
        <v>20751</v>
      </c>
    </row>
    <row r="20220" spans="1:1">
      <c r="A20220" t="s">
        <v>20752</v>
      </c>
    </row>
    <row r="20221" spans="1:1">
      <c r="A20221" t="s">
        <v>20753</v>
      </c>
    </row>
    <row r="20222" spans="1:1">
      <c r="A20222" t="s">
        <v>20754</v>
      </c>
    </row>
    <row r="20223" spans="1:1">
      <c r="A20223" t="s">
        <v>20755</v>
      </c>
    </row>
    <row r="20224" spans="1:1">
      <c r="A20224" t="s">
        <v>20756</v>
      </c>
    </row>
    <row r="20225" spans="1:1">
      <c r="A20225" t="s">
        <v>20757</v>
      </c>
    </row>
    <row r="20226" spans="1:1">
      <c r="A20226" t="s">
        <v>20758</v>
      </c>
    </row>
    <row r="20227" spans="1:1">
      <c r="A20227" t="s">
        <v>20759</v>
      </c>
    </row>
    <row r="20228" spans="1:1">
      <c r="A20228" t="s">
        <v>20760</v>
      </c>
    </row>
    <row r="20229" spans="1:1">
      <c r="A20229" t="s">
        <v>20761</v>
      </c>
    </row>
    <row r="20230" spans="1:1">
      <c r="A20230" t="s">
        <v>20762</v>
      </c>
    </row>
    <row r="20231" spans="1:1">
      <c r="A20231" t="s">
        <v>20763</v>
      </c>
    </row>
    <row r="20232" spans="1:1">
      <c r="A20232" t="s">
        <v>20764</v>
      </c>
    </row>
    <row r="20233" spans="1:1">
      <c r="A20233" t="s">
        <v>20765</v>
      </c>
    </row>
    <row r="20234" spans="1:1">
      <c r="A20234" t="s">
        <v>20766</v>
      </c>
    </row>
    <row r="20235" spans="1:1">
      <c r="A20235" t="s">
        <v>20767</v>
      </c>
    </row>
    <row r="20236" spans="1:1">
      <c r="A20236" t="s">
        <v>20768</v>
      </c>
    </row>
    <row r="20237" spans="1:1">
      <c r="A20237" t="s">
        <v>20769</v>
      </c>
    </row>
    <row r="20238" spans="1:1">
      <c r="A20238" t="s">
        <v>20770</v>
      </c>
    </row>
    <row r="20239" spans="1:1">
      <c r="A20239" t="s">
        <v>20771</v>
      </c>
    </row>
    <row r="20240" spans="1:1">
      <c r="A20240" t="s">
        <v>20772</v>
      </c>
    </row>
    <row r="20241" spans="1:1">
      <c r="A20241" t="s">
        <v>20773</v>
      </c>
    </row>
    <row r="20242" spans="1:1">
      <c r="A20242" t="s">
        <v>20774</v>
      </c>
    </row>
    <row r="20243" spans="1:1">
      <c r="A20243" t="s">
        <v>20775</v>
      </c>
    </row>
    <row r="20244" spans="1:1">
      <c r="A20244" t="s">
        <v>20776</v>
      </c>
    </row>
    <row r="20245" spans="1:1">
      <c r="A20245" t="s">
        <v>20777</v>
      </c>
    </row>
    <row r="20246" spans="1:1">
      <c r="A20246" t="s">
        <v>20778</v>
      </c>
    </row>
    <row r="20247" spans="1:1">
      <c r="A20247" t="s">
        <v>20779</v>
      </c>
    </row>
    <row r="20248" spans="1:1">
      <c r="A20248" t="s">
        <v>20780</v>
      </c>
    </row>
    <row r="20249" spans="1:1">
      <c r="A20249" t="s">
        <v>20781</v>
      </c>
    </row>
    <row r="20250" spans="1:1">
      <c r="A20250" t="s">
        <v>20782</v>
      </c>
    </row>
    <row r="20251" spans="1:1">
      <c r="A20251" t="s">
        <v>20783</v>
      </c>
    </row>
    <row r="20252" spans="1:1">
      <c r="A20252" t="s">
        <v>20784</v>
      </c>
    </row>
    <row r="20253" spans="1:1">
      <c r="A20253" t="s">
        <v>20785</v>
      </c>
    </row>
    <row r="20254" spans="1:1">
      <c r="A20254" t="s">
        <v>20786</v>
      </c>
    </row>
    <row r="20255" spans="1:1">
      <c r="A20255" t="s">
        <v>20787</v>
      </c>
    </row>
    <row r="20256" spans="1:1">
      <c r="A20256" t="s">
        <v>20788</v>
      </c>
    </row>
    <row r="20257" spans="1:1">
      <c r="A20257" t="s">
        <v>20789</v>
      </c>
    </row>
    <row r="20258" spans="1:1">
      <c r="A20258" t="s">
        <v>20790</v>
      </c>
    </row>
    <row r="20259" spans="1:1">
      <c r="A20259" t="s">
        <v>20791</v>
      </c>
    </row>
    <row r="20260" spans="1:1">
      <c r="A20260" t="s">
        <v>20792</v>
      </c>
    </row>
    <row r="20261" spans="1:1">
      <c r="A20261" t="s">
        <v>20793</v>
      </c>
    </row>
    <row r="20262" spans="1:1">
      <c r="A20262" t="s">
        <v>20794</v>
      </c>
    </row>
    <row r="20263" spans="1:1">
      <c r="A20263" t="s">
        <v>20795</v>
      </c>
    </row>
    <row r="20264" spans="1:1">
      <c r="A20264" t="s">
        <v>20796</v>
      </c>
    </row>
    <row r="20265" spans="1:1">
      <c r="A20265" t="s">
        <v>20797</v>
      </c>
    </row>
    <row r="20266" spans="1:1">
      <c r="A20266" t="s">
        <v>20798</v>
      </c>
    </row>
    <row r="20267" spans="1:1">
      <c r="A20267" t="s">
        <v>20799</v>
      </c>
    </row>
    <row r="20268" spans="1:1">
      <c r="A20268" t="s">
        <v>20800</v>
      </c>
    </row>
    <row r="20269" spans="1:1">
      <c r="A20269" t="s">
        <v>20801</v>
      </c>
    </row>
    <row r="20270" spans="1:1">
      <c r="A20270" t="s">
        <v>20802</v>
      </c>
    </row>
    <row r="20271" spans="1:1">
      <c r="A20271" t="s">
        <v>20803</v>
      </c>
    </row>
    <row r="20272" spans="1:1">
      <c r="A20272" t="s">
        <v>20804</v>
      </c>
    </row>
    <row r="20273" spans="1:1">
      <c r="A20273" t="s">
        <v>20805</v>
      </c>
    </row>
    <row r="20274" spans="1:1">
      <c r="A20274" t="s">
        <v>20806</v>
      </c>
    </row>
    <row r="20275" spans="1:1">
      <c r="A20275" t="s">
        <v>20807</v>
      </c>
    </row>
    <row r="20276" spans="1:1">
      <c r="A20276" t="s">
        <v>20808</v>
      </c>
    </row>
    <row r="20277" spans="1:1">
      <c r="A20277" t="s">
        <v>20809</v>
      </c>
    </row>
    <row r="20278" spans="1:1">
      <c r="A20278" t="s">
        <v>20810</v>
      </c>
    </row>
    <row r="20279" spans="1:1">
      <c r="A20279" t="s">
        <v>20811</v>
      </c>
    </row>
    <row r="20280" spans="1:1">
      <c r="A20280" t="s">
        <v>20812</v>
      </c>
    </row>
    <row r="20281" spans="1:1">
      <c r="A20281" t="s">
        <v>20813</v>
      </c>
    </row>
    <row r="20282" spans="1:1">
      <c r="A20282" t="s">
        <v>20814</v>
      </c>
    </row>
    <row r="20283" spans="1:1">
      <c r="A20283" t="s">
        <v>20815</v>
      </c>
    </row>
    <row r="20284" spans="1:1">
      <c r="A20284" t="s">
        <v>20816</v>
      </c>
    </row>
    <row r="20285" spans="1:1">
      <c r="A20285" t="s">
        <v>20817</v>
      </c>
    </row>
    <row r="20286" spans="1:1">
      <c r="A20286" t="s">
        <v>20818</v>
      </c>
    </row>
    <row r="20287" spans="1:1">
      <c r="A20287" t="s">
        <v>20819</v>
      </c>
    </row>
    <row r="20288" spans="1:1">
      <c r="A20288" t="s">
        <v>20820</v>
      </c>
    </row>
    <row r="20289" spans="1:1">
      <c r="A20289" t="s">
        <v>20821</v>
      </c>
    </row>
    <row r="20290" spans="1:1">
      <c r="A20290" t="s">
        <v>20822</v>
      </c>
    </row>
    <row r="20291" spans="1:1">
      <c r="A20291" t="s">
        <v>20823</v>
      </c>
    </row>
    <row r="20292" spans="1:1">
      <c r="A20292" t="s">
        <v>20824</v>
      </c>
    </row>
    <row r="20293" spans="1:1">
      <c r="A20293" t="s">
        <v>20825</v>
      </c>
    </row>
    <row r="20294" spans="1:1">
      <c r="A20294" t="s">
        <v>20826</v>
      </c>
    </row>
    <row r="20295" spans="1:1">
      <c r="A20295" t="s">
        <v>20827</v>
      </c>
    </row>
    <row r="20296" spans="1:1">
      <c r="A20296" t="s">
        <v>20828</v>
      </c>
    </row>
    <row r="20297" spans="1:1">
      <c r="A20297" t="s">
        <v>20829</v>
      </c>
    </row>
    <row r="20298" spans="1:1">
      <c r="A20298" t="s">
        <v>20830</v>
      </c>
    </row>
    <row r="20299" spans="1:1">
      <c r="A20299" t="s">
        <v>20831</v>
      </c>
    </row>
    <row r="20300" spans="1:1">
      <c r="A20300" t="s">
        <v>20832</v>
      </c>
    </row>
    <row r="20301" spans="1:1">
      <c r="A20301" t="s">
        <v>20833</v>
      </c>
    </row>
    <row r="20302" spans="1:1">
      <c r="A20302" t="s">
        <v>20834</v>
      </c>
    </row>
    <row r="20303" spans="1:1">
      <c r="A20303" t="s">
        <v>20835</v>
      </c>
    </row>
    <row r="20304" spans="1:1">
      <c r="A20304" t="s">
        <v>20836</v>
      </c>
    </row>
    <row r="20305" spans="1:1">
      <c r="A20305" t="s">
        <v>20837</v>
      </c>
    </row>
    <row r="20306" spans="1:1">
      <c r="A20306" t="s">
        <v>20838</v>
      </c>
    </row>
    <row r="20307" spans="1:1">
      <c r="A20307" t="s">
        <v>20839</v>
      </c>
    </row>
    <row r="20308" spans="1:1">
      <c r="A20308" t="s">
        <v>20840</v>
      </c>
    </row>
    <row r="20309" spans="1:1">
      <c r="A20309" t="s">
        <v>20841</v>
      </c>
    </row>
    <row r="20310" spans="1:1">
      <c r="A20310" t="s">
        <v>20842</v>
      </c>
    </row>
    <row r="20311" spans="1:1">
      <c r="A20311" t="s">
        <v>20843</v>
      </c>
    </row>
    <row r="20312" spans="1:1">
      <c r="A20312" t="s">
        <v>20844</v>
      </c>
    </row>
    <row r="20313" spans="1:1">
      <c r="A20313" t="s">
        <v>20845</v>
      </c>
    </row>
    <row r="20314" spans="1:1">
      <c r="A20314" t="s">
        <v>20846</v>
      </c>
    </row>
    <row r="20315" spans="1:1">
      <c r="A20315" t="s">
        <v>20847</v>
      </c>
    </row>
    <row r="20316" spans="1:1">
      <c r="A20316" t="s">
        <v>20848</v>
      </c>
    </row>
    <row r="20317" spans="1:1">
      <c r="A20317" t="s">
        <v>20849</v>
      </c>
    </row>
    <row r="20318" spans="1:1">
      <c r="A20318" t="s">
        <v>20850</v>
      </c>
    </row>
    <row r="20319" spans="1:1">
      <c r="A20319" t="s">
        <v>20851</v>
      </c>
    </row>
    <row r="20320" spans="1:1">
      <c r="A20320" t="s">
        <v>20852</v>
      </c>
    </row>
    <row r="20321" spans="1:1">
      <c r="A20321" t="s">
        <v>20853</v>
      </c>
    </row>
    <row r="20322" spans="1:1">
      <c r="A20322" t="s">
        <v>20854</v>
      </c>
    </row>
    <row r="20323" spans="1:1">
      <c r="A20323" t="s">
        <v>20855</v>
      </c>
    </row>
    <row r="20324" spans="1:1">
      <c r="A20324" t="s">
        <v>20856</v>
      </c>
    </row>
    <row r="20325" spans="1:1">
      <c r="A20325" t="s">
        <v>20857</v>
      </c>
    </row>
    <row r="20326" spans="1:1">
      <c r="A20326" t="s">
        <v>20858</v>
      </c>
    </row>
    <row r="20327" spans="1:1">
      <c r="A20327" t="s">
        <v>20859</v>
      </c>
    </row>
    <row r="20328" spans="1:1">
      <c r="A20328" t="s">
        <v>20860</v>
      </c>
    </row>
    <row r="20329" spans="1:1">
      <c r="A20329" t="s">
        <v>20861</v>
      </c>
    </row>
    <row r="20330" spans="1:1">
      <c r="A20330" t="s">
        <v>20862</v>
      </c>
    </row>
    <row r="20331" spans="1:1">
      <c r="A20331" t="s">
        <v>20863</v>
      </c>
    </row>
    <row r="20332" spans="1:1">
      <c r="A20332" t="s">
        <v>20864</v>
      </c>
    </row>
    <row r="20333" spans="1:1">
      <c r="A20333" t="s">
        <v>20865</v>
      </c>
    </row>
    <row r="20334" spans="1:1">
      <c r="A20334" t="s">
        <v>20866</v>
      </c>
    </row>
    <row r="20335" spans="1:1">
      <c r="A20335" t="s">
        <v>20867</v>
      </c>
    </row>
    <row r="20336" spans="1:1">
      <c r="A20336" t="s">
        <v>20868</v>
      </c>
    </row>
    <row r="20337" spans="1:1">
      <c r="A20337" t="s">
        <v>20869</v>
      </c>
    </row>
    <row r="20338" spans="1:1">
      <c r="A20338" t="s">
        <v>20870</v>
      </c>
    </row>
    <row r="20339" spans="1:1">
      <c r="A20339" t="s">
        <v>20871</v>
      </c>
    </row>
    <row r="20340" spans="1:1">
      <c r="A20340" t="s">
        <v>20872</v>
      </c>
    </row>
    <row r="20341" spans="1:1">
      <c r="A20341" t="s">
        <v>20873</v>
      </c>
    </row>
    <row r="20342" spans="1:1">
      <c r="A20342" t="s">
        <v>20874</v>
      </c>
    </row>
    <row r="20343" spans="1:1">
      <c r="A20343" t="s">
        <v>20875</v>
      </c>
    </row>
    <row r="20344" spans="1:1">
      <c r="A20344" t="s">
        <v>20876</v>
      </c>
    </row>
    <row r="20345" spans="1:1">
      <c r="A20345" t="s">
        <v>20877</v>
      </c>
    </row>
    <row r="20346" spans="1:1">
      <c r="A20346" t="s">
        <v>20878</v>
      </c>
    </row>
    <row r="20347" spans="1:1">
      <c r="A20347" t="s">
        <v>20879</v>
      </c>
    </row>
    <row r="20348" spans="1:1">
      <c r="A20348" t="s">
        <v>20880</v>
      </c>
    </row>
    <row r="20349" spans="1:1">
      <c r="A20349" t="s">
        <v>20881</v>
      </c>
    </row>
    <row r="20350" spans="1:1">
      <c r="A20350" t="s">
        <v>20882</v>
      </c>
    </row>
    <row r="20351" spans="1:1">
      <c r="A20351" t="s">
        <v>20883</v>
      </c>
    </row>
    <row r="20352" spans="1:1">
      <c r="A20352" t="s">
        <v>20884</v>
      </c>
    </row>
    <row r="20353" spans="1:1">
      <c r="A20353" t="s">
        <v>20885</v>
      </c>
    </row>
    <row r="20354" spans="1:1">
      <c r="A20354" t="s">
        <v>20886</v>
      </c>
    </row>
    <row r="20355" spans="1:1">
      <c r="A20355" t="s">
        <v>20887</v>
      </c>
    </row>
    <row r="20356" spans="1:1">
      <c r="A20356" t="s">
        <v>20888</v>
      </c>
    </row>
    <row r="20357" spans="1:1">
      <c r="A20357" t="s">
        <v>20889</v>
      </c>
    </row>
    <row r="20358" spans="1:1">
      <c r="A20358" t="s">
        <v>20890</v>
      </c>
    </row>
    <row r="20359" spans="1:1">
      <c r="A20359" t="s">
        <v>20891</v>
      </c>
    </row>
    <row r="20360" spans="1:1">
      <c r="A20360" t="s">
        <v>20892</v>
      </c>
    </row>
    <row r="20361" spans="1:1">
      <c r="A20361" t="s">
        <v>20893</v>
      </c>
    </row>
    <row r="20362" spans="1:1">
      <c r="A20362" t="s">
        <v>20894</v>
      </c>
    </row>
    <row r="20363" spans="1:1">
      <c r="A20363" t="s">
        <v>20895</v>
      </c>
    </row>
    <row r="20364" spans="1:1">
      <c r="A20364" t="s">
        <v>20896</v>
      </c>
    </row>
    <row r="20365" spans="1:1">
      <c r="A20365" t="s">
        <v>20897</v>
      </c>
    </row>
    <row r="20366" spans="1:1">
      <c r="A20366" t="s">
        <v>20898</v>
      </c>
    </row>
    <row r="20367" spans="1:1">
      <c r="A20367" t="s">
        <v>20899</v>
      </c>
    </row>
    <row r="20368" spans="1:1">
      <c r="A20368" t="s">
        <v>20900</v>
      </c>
    </row>
    <row r="20369" spans="1:1">
      <c r="A20369" t="s">
        <v>20901</v>
      </c>
    </row>
    <row r="20370" spans="1:1">
      <c r="A20370" t="s">
        <v>20902</v>
      </c>
    </row>
    <row r="20371" spans="1:1">
      <c r="A20371" t="s">
        <v>20903</v>
      </c>
    </row>
    <row r="20372" spans="1:1">
      <c r="A20372" t="s">
        <v>20904</v>
      </c>
    </row>
    <row r="20373" spans="1:1">
      <c r="A20373" t="s">
        <v>20905</v>
      </c>
    </row>
    <row r="20374" spans="1:1">
      <c r="A20374" t="s">
        <v>20906</v>
      </c>
    </row>
    <row r="20375" spans="1:1">
      <c r="A20375" t="s">
        <v>20907</v>
      </c>
    </row>
    <row r="20376" spans="1:1">
      <c r="A20376" t="s">
        <v>20908</v>
      </c>
    </row>
    <row r="20377" spans="1:1">
      <c r="A20377" t="s">
        <v>20909</v>
      </c>
    </row>
    <row r="20378" spans="1:1">
      <c r="A20378" t="s">
        <v>20910</v>
      </c>
    </row>
    <row r="20379" spans="1:1">
      <c r="A20379" t="s">
        <v>20911</v>
      </c>
    </row>
    <row r="20380" spans="1:1">
      <c r="A20380" t="s">
        <v>20912</v>
      </c>
    </row>
    <row r="20381" spans="1:1">
      <c r="A20381" t="s">
        <v>20913</v>
      </c>
    </row>
    <row r="20382" spans="1:1">
      <c r="A20382" t="s">
        <v>20914</v>
      </c>
    </row>
    <row r="20383" spans="1:1">
      <c r="A20383" t="s">
        <v>20915</v>
      </c>
    </row>
    <row r="20384" spans="1:1">
      <c r="A20384" t="s">
        <v>20916</v>
      </c>
    </row>
    <row r="20385" spans="1:1">
      <c r="A20385" t="s">
        <v>20917</v>
      </c>
    </row>
    <row r="20386" spans="1:1">
      <c r="A20386" t="s">
        <v>20918</v>
      </c>
    </row>
    <row r="20387" spans="1:1">
      <c r="A20387" t="s">
        <v>20919</v>
      </c>
    </row>
    <row r="20388" spans="1:1">
      <c r="A20388" t="s">
        <v>20920</v>
      </c>
    </row>
    <row r="20389" spans="1:1">
      <c r="A20389" t="s">
        <v>20921</v>
      </c>
    </row>
    <row r="20390" spans="1:1">
      <c r="A20390" t="s">
        <v>20922</v>
      </c>
    </row>
    <row r="20391" spans="1:1">
      <c r="A20391" t="s">
        <v>20923</v>
      </c>
    </row>
    <row r="20392" spans="1:1">
      <c r="A20392" t="s">
        <v>20924</v>
      </c>
    </row>
    <row r="20393" spans="1:1">
      <c r="A20393" t="s">
        <v>20925</v>
      </c>
    </row>
    <row r="20394" spans="1:1">
      <c r="A20394" t="s">
        <v>20926</v>
      </c>
    </row>
    <row r="20395" spans="1:1">
      <c r="A20395" t="s">
        <v>20927</v>
      </c>
    </row>
    <row r="20396" spans="1:1">
      <c r="A20396" t="s">
        <v>20928</v>
      </c>
    </row>
    <row r="20397" spans="1:1">
      <c r="A20397" t="s">
        <v>20929</v>
      </c>
    </row>
    <row r="20398" spans="1:1">
      <c r="A20398" t="s">
        <v>20930</v>
      </c>
    </row>
    <row r="20399" spans="1:1">
      <c r="A20399" t="s">
        <v>20931</v>
      </c>
    </row>
    <row r="20400" spans="1:1">
      <c r="A20400" t="s">
        <v>20932</v>
      </c>
    </row>
    <row r="20401" spans="1:1">
      <c r="A20401" t="s">
        <v>20933</v>
      </c>
    </row>
    <row r="20402" spans="1:1">
      <c r="A20402" t="s">
        <v>20934</v>
      </c>
    </row>
    <row r="20403" spans="1:1">
      <c r="A20403" t="s">
        <v>20935</v>
      </c>
    </row>
    <row r="20404" spans="1:1">
      <c r="A20404" t="s">
        <v>20936</v>
      </c>
    </row>
    <row r="20405" spans="1:1">
      <c r="A20405" t="s">
        <v>20937</v>
      </c>
    </row>
    <row r="20406" spans="1:1">
      <c r="A20406" t="s">
        <v>20938</v>
      </c>
    </row>
    <row r="20407" spans="1:1">
      <c r="A20407" t="s">
        <v>20939</v>
      </c>
    </row>
    <row r="20408" spans="1:1">
      <c r="A20408" t="s">
        <v>20940</v>
      </c>
    </row>
    <row r="20409" spans="1:1">
      <c r="A20409" t="s">
        <v>20941</v>
      </c>
    </row>
    <row r="20410" spans="1:1">
      <c r="A20410" t="s">
        <v>20942</v>
      </c>
    </row>
    <row r="20411" spans="1:1">
      <c r="A20411" t="s">
        <v>20943</v>
      </c>
    </row>
    <row r="20412" spans="1:1">
      <c r="A20412" t="s">
        <v>20944</v>
      </c>
    </row>
    <row r="20413" spans="1:1">
      <c r="A20413" t="s">
        <v>20945</v>
      </c>
    </row>
    <row r="20414" spans="1:1">
      <c r="A20414" t="s">
        <v>20946</v>
      </c>
    </row>
    <row r="20415" spans="1:1">
      <c r="A20415" t="s">
        <v>20947</v>
      </c>
    </row>
    <row r="20416" spans="1:1">
      <c r="A20416" t="s">
        <v>20948</v>
      </c>
    </row>
    <row r="20417" spans="1:1">
      <c r="A20417" t="s">
        <v>20949</v>
      </c>
    </row>
    <row r="20418" spans="1:1">
      <c r="A20418" t="s">
        <v>20950</v>
      </c>
    </row>
    <row r="20419" spans="1:1">
      <c r="A20419" t="s">
        <v>20951</v>
      </c>
    </row>
    <row r="20420" spans="1:1">
      <c r="A20420" t="s">
        <v>20952</v>
      </c>
    </row>
    <row r="20421" spans="1:1">
      <c r="A20421" t="s">
        <v>20953</v>
      </c>
    </row>
    <row r="20422" spans="1:1">
      <c r="A20422" t="s">
        <v>20954</v>
      </c>
    </row>
    <row r="20423" spans="1:1">
      <c r="A20423" t="s">
        <v>20955</v>
      </c>
    </row>
    <row r="20424" spans="1:1">
      <c r="A20424" t="s">
        <v>20956</v>
      </c>
    </row>
    <row r="20425" spans="1:1">
      <c r="A20425" t="s">
        <v>20957</v>
      </c>
    </row>
    <row r="20426" spans="1:1">
      <c r="A20426" t="s">
        <v>20958</v>
      </c>
    </row>
    <row r="20427" spans="1:1">
      <c r="A20427" t="s">
        <v>20959</v>
      </c>
    </row>
    <row r="20428" spans="1:1">
      <c r="A20428" t="s">
        <v>20960</v>
      </c>
    </row>
    <row r="20429" spans="1:1">
      <c r="A20429" t="s">
        <v>20961</v>
      </c>
    </row>
    <row r="20430" spans="1:1">
      <c r="A20430" t="s">
        <v>20962</v>
      </c>
    </row>
    <row r="20431" spans="1:1">
      <c r="A20431" t="s">
        <v>20963</v>
      </c>
    </row>
    <row r="20432" spans="1:1">
      <c r="A20432" t="s">
        <v>20964</v>
      </c>
    </row>
    <row r="20433" spans="1:1">
      <c r="A20433" t="s">
        <v>20965</v>
      </c>
    </row>
    <row r="20434" spans="1:1">
      <c r="A20434" t="s">
        <v>20966</v>
      </c>
    </row>
    <row r="20435" spans="1:1">
      <c r="A20435" t="s">
        <v>20967</v>
      </c>
    </row>
    <row r="20436" spans="1:1">
      <c r="A20436" t="s">
        <v>20968</v>
      </c>
    </row>
    <row r="20437" spans="1:1">
      <c r="A20437" t="s">
        <v>20969</v>
      </c>
    </row>
    <row r="20438" spans="1:1">
      <c r="A20438" t="s">
        <v>20970</v>
      </c>
    </row>
    <row r="20439" spans="1:1">
      <c r="A20439" t="s">
        <v>20971</v>
      </c>
    </row>
    <row r="20440" spans="1:1">
      <c r="A20440" t="s">
        <v>20972</v>
      </c>
    </row>
    <row r="20441" spans="1:1">
      <c r="A20441" t="s">
        <v>20973</v>
      </c>
    </row>
    <row r="20442" spans="1:1">
      <c r="A20442" t="s">
        <v>20974</v>
      </c>
    </row>
    <row r="20443" spans="1:1">
      <c r="A20443" t="s">
        <v>20975</v>
      </c>
    </row>
    <row r="20444" spans="1:1">
      <c r="A20444" t="s">
        <v>20976</v>
      </c>
    </row>
    <row r="20445" spans="1:1">
      <c r="A20445" t="s">
        <v>20977</v>
      </c>
    </row>
    <row r="20446" spans="1:1">
      <c r="A20446" t="s">
        <v>20978</v>
      </c>
    </row>
    <row r="20447" spans="1:1">
      <c r="A20447" t="s">
        <v>20979</v>
      </c>
    </row>
    <row r="20448" spans="1:1">
      <c r="A20448" t="s">
        <v>20980</v>
      </c>
    </row>
    <row r="20449" spans="1:1">
      <c r="A20449" t="s">
        <v>20981</v>
      </c>
    </row>
    <row r="20450" spans="1:1">
      <c r="A20450" t="s">
        <v>20982</v>
      </c>
    </row>
    <row r="20451" spans="1:1">
      <c r="A20451" t="s">
        <v>20983</v>
      </c>
    </row>
    <row r="20452" spans="1:1">
      <c r="A20452" t="s">
        <v>20984</v>
      </c>
    </row>
    <row r="20453" spans="1:1">
      <c r="A20453" t="s">
        <v>20985</v>
      </c>
    </row>
    <row r="20454" spans="1:1">
      <c r="A20454" t="s">
        <v>20986</v>
      </c>
    </row>
    <row r="20455" spans="1:1">
      <c r="A20455" t="s">
        <v>20987</v>
      </c>
    </row>
    <row r="20456" spans="1:1">
      <c r="A20456" t="s">
        <v>20988</v>
      </c>
    </row>
    <row r="20457" spans="1:1">
      <c r="A20457" t="s">
        <v>20989</v>
      </c>
    </row>
    <row r="20458" spans="1:1">
      <c r="A20458" t="s">
        <v>20990</v>
      </c>
    </row>
    <row r="20459" spans="1:1">
      <c r="A20459" t="s">
        <v>20991</v>
      </c>
    </row>
    <row r="20460" spans="1:1">
      <c r="A20460" t="s">
        <v>20992</v>
      </c>
    </row>
    <row r="20461" spans="1:1">
      <c r="A20461" t="s">
        <v>20993</v>
      </c>
    </row>
    <row r="20462" spans="1:1">
      <c r="A20462" t="s">
        <v>20994</v>
      </c>
    </row>
    <row r="20463" spans="1:1">
      <c r="A20463" t="s">
        <v>20995</v>
      </c>
    </row>
    <row r="20464" spans="1:1">
      <c r="A20464" t="s">
        <v>20996</v>
      </c>
    </row>
    <row r="20465" spans="1:1">
      <c r="A20465" t="s">
        <v>20997</v>
      </c>
    </row>
    <row r="20466" spans="1:1">
      <c r="A20466" t="s">
        <v>20998</v>
      </c>
    </row>
    <row r="20467" spans="1:1">
      <c r="A20467" t="s">
        <v>20999</v>
      </c>
    </row>
    <row r="20468" spans="1:1">
      <c r="A20468" t="s">
        <v>21000</v>
      </c>
    </row>
    <row r="20469" spans="1:1">
      <c r="A20469" t="s">
        <v>21001</v>
      </c>
    </row>
    <row r="20470" spans="1:1">
      <c r="A20470" t="s">
        <v>21002</v>
      </c>
    </row>
    <row r="20471" spans="1:1">
      <c r="A20471" t="s">
        <v>21003</v>
      </c>
    </row>
    <row r="20472" spans="1:1">
      <c r="A20472" t="s">
        <v>21004</v>
      </c>
    </row>
    <row r="20473" spans="1:1">
      <c r="A20473" t="s">
        <v>21005</v>
      </c>
    </row>
    <row r="20474" spans="1:1">
      <c r="A20474" t="s">
        <v>21006</v>
      </c>
    </row>
    <row r="20475" spans="1:1">
      <c r="A20475" t="s">
        <v>21007</v>
      </c>
    </row>
    <row r="20476" spans="1:1">
      <c r="A20476" t="s">
        <v>21008</v>
      </c>
    </row>
    <row r="20477" spans="1:1">
      <c r="A20477" t="s">
        <v>21009</v>
      </c>
    </row>
    <row r="20478" spans="1:1">
      <c r="A20478" t="s">
        <v>21010</v>
      </c>
    </row>
    <row r="20479" spans="1:1">
      <c r="A20479" t="s">
        <v>21011</v>
      </c>
    </row>
    <row r="20480" spans="1:1">
      <c r="A20480" t="s">
        <v>21012</v>
      </c>
    </row>
    <row r="20481" spans="1:1">
      <c r="A20481" t="s">
        <v>21013</v>
      </c>
    </row>
    <row r="20482" spans="1:1">
      <c r="A20482" t="s">
        <v>21014</v>
      </c>
    </row>
    <row r="20483" spans="1:1">
      <c r="A20483" t="s">
        <v>21015</v>
      </c>
    </row>
    <row r="20484" spans="1:1">
      <c r="A20484" t="s">
        <v>21016</v>
      </c>
    </row>
    <row r="20485" spans="1:1">
      <c r="A20485" t="s">
        <v>21017</v>
      </c>
    </row>
    <row r="20486" spans="1:1">
      <c r="A20486" t="s">
        <v>21018</v>
      </c>
    </row>
    <row r="20487" spans="1:1">
      <c r="A20487" t="s">
        <v>21019</v>
      </c>
    </row>
    <row r="20488" spans="1:1">
      <c r="A20488" t="s">
        <v>21020</v>
      </c>
    </row>
    <row r="20489" spans="1:1">
      <c r="A20489" t="s">
        <v>21021</v>
      </c>
    </row>
    <row r="20490" spans="1:1">
      <c r="A20490" t="s">
        <v>21022</v>
      </c>
    </row>
    <row r="20491" spans="1:1">
      <c r="A20491" t="s">
        <v>21023</v>
      </c>
    </row>
    <row r="20492" spans="1:1">
      <c r="A20492" t="s">
        <v>21024</v>
      </c>
    </row>
    <row r="20493" spans="1:1">
      <c r="A20493" t="s">
        <v>21025</v>
      </c>
    </row>
    <row r="20494" spans="1:1">
      <c r="A20494" t="s">
        <v>21026</v>
      </c>
    </row>
    <row r="20495" spans="1:1">
      <c r="A20495" t="s">
        <v>21027</v>
      </c>
    </row>
    <row r="20496" spans="1:1">
      <c r="A20496" t="s">
        <v>21028</v>
      </c>
    </row>
    <row r="20497" spans="1:1">
      <c r="A20497" t="s">
        <v>21029</v>
      </c>
    </row>
    <row r="20498" spans="1:1">
      <c r="A20498" t="s">
        <v>21030</v>
      </c>
    </row>
    <row r="20499" spans="1:1">
      <c r="A20499" t="s">
        <v>21031</v>
      </c>
    </row>
    <row r="20500" spans="1:1">
      <c r="A20500" t="s">
        <v>21032</v>
      </c>
    </row>
    <row r="20501" spans="1:1">
      <c r="A20501" t="s">
        <v>21033</v>
      </c>
    </row>
    <row r="20502" spans="1:1">
      <c r="A20502" t="s">
        <v>21034</v>
      </c>
    </row>
    <row r="20503" spans="1:1">
      <c r="A20503" t="s">
        <v>21035</v>
      </c>
    </row>
    <row r="20504" spans="1:1">
      <c r="A20504" t="s">
        <v>21036</v>
      </c>
    </row>
    <row r="20505" spans="1:1">
      <c r="A20505" t="s">
        <v>21037</v>
      </c>
    </row>
    <row r="20506" spans="1:1">
      <c r="A20506" t="s">
        <v>21038</v>
      </c>
    </row>
    <row r="20507" spans="1:1">
      <c r="A20507" t="s">
        <v>21039</v>
      </c>
    </row>
    <row r="20508" spans="1:1">
      <c r="A20508" t="s">
        <v>21040</v>
      </c>
    </row>
    <row r="20509" spans="1:1">
      <c r="A20509" t="s">
        <v>21041</v>
      </c>
    </row>
    <row r="20510" spans="1:1">
      <c r="A20510" t="s">
        <v>21042</v>
      </c>
    </row>
    <row r="20511" spans="1:1">
      <c r="A20511" t="s">
        <v>21043</v>
      </c>
    </row>
    <row r="20512" spans="1:1">
      <c r="A20512" t="s">
        <v>21044</v>
      </c>
    </row>
    <row r="20513" spans="1:1">
      <c r="A20513" t="s">
        <v>21045</v>
      </c>
    </row>
    <row r="20514" spans="1:1">
      <c r="A20514" t="s">
        <v>21046</v>
      </c>
    </row>
    <row r="20515" spans="1:1">
      <c r="A20515" t="s">
        <v>21047</v>
      </c>
    </row>
    <row r="20516" spans="1:1">
      <c r="A20516" t="s">
        <v>21048</v>
      </c>
    </row>
    <row r="20517" spans="1:1">
      <c r="A20517" t="s">
        <v>21049</v>
      </c>
    </row>
    <row r="20518" spans="1:1">
      <c r="A20518" t="s">
        <v>21050</v>
      </c>
    </row>
    <row r="20519" spans="1:1">
      <c r="A20519" t="s">
        <v>21051</v>
      </c>
    </row>
    <row r="20520" spans="1:1">
      <c r="A20520" t="s">
        <v>21052</v>
      </c>
    </row>
    <row r="20521" spans="1:1">
      <c r="A20521" t="s">
        <v>21053</v>
      </c>
    </row>
    <row r="20522" spans="1:1">
      <c r="A20522" t="s">
        <v>21054</v>
      </c>
    </row>
    <row r="20523" spans="1:1">
      <c r="A20523" t="s">
        <v>21055</v>
      </c>
    </row>
    <row r="20524" spans="1:1">
      <c r="A20524" t="s">
        <v>21056</v>
      </c>
    </row>
    <row r="20525" spans="1:1">
      <c r="A20525" t="s">
        <v>21057</v>
      </c>
    </row>
    <row r="20526" spans="1:1">
      <c r="A20526" t="s">
        <v>21058</v>
      </c>
    </row>
    <row r="20527" spans="1:1">
      <c r="A20527" t="s">
        <v>21059</v>
      </c>
    </row>
    <row r="20528" spans="1:1">
      <c r="A20528" t="s">
        <v>21060</v>
      </c>
    </row>
    <row r="20529" spans="1:1">
      <c r="A20529" t="s">
        <v>21061</v>
      </c>
    </row>
    <row r="20530" spans="1:1">
      <c r="A20530" t="s">
        <v>21062</v>
      </c>
    </row>
    <row r="20531" spans="1:1">
      <c r="A20531" t="s">
        <v>21063</v>
      </c>
    </row>
    <row r="20532" spans="1:1">
      <c r="A20532" t="s">
        <v>21064</v>
      </c>
    </row>
    <row r="20533" spans="1:1">
      <c r="A20533" t="s">
        <v>21065</v>
      </c>
    </row>
    <row r="20534" spans="1:1">
      <c r="A20534" t="s">
        <v>21066</v>
      </c>
    </row>
    <row r="20535" spans="1:1">
      <c r="A20535" t="s">
        <v>21067</v>
      </c>
    </row>
    <row r="20536" spans="1:1">
      <c r="A20536" t="s">
        <v>21068</v>
      </c>
    </row>
    <row r="20537" spans="1:1">
      <c r="A20537" t="s">
        <v>21069</v>
      </c>
    </row>
    <row r="20538" spans="1:1">
      <c r="A20538" t="s">
        <v>21070</v>
      </c>
    </row>
    <row r="20539" spans="1:1">
      <c r="A20539" t="s">
        <v>21071</v>
      </c>
    </row>
    <row r="20540" spans="1:1">
      <c r="A20540" t="s">
        <v>21072</v>
      </c>
    </row>
    <row r="20541" spans="1:1">
      <c r="A20541" t="s">
        <v>21073</v>
      </c>
    </row>
    <row r="20542" spans="1:1">
      <c r="A20542" t="s">
        <v>21074</v>
      </c>
    </row>
    <row r="20543" spans="1:1">
      <c r="A20543" t="s">
        <v>21075</v>
      </c>
    </row>
    <row r="20544" spans="1:1">
      <c r="A20544" t="s">
        <v>21076</v>
      </c>
    </row>
    <row r="20545" spans="1:1">
      <c r="A20545" t="s">
        <v>21077</v>
      </c>
    </row>
    <row r="20546" spans="1:1">
      <c r="A20546" t="s">
        <v>21078</v>
      </c>
    </row>
    <row r="20547" spans="1:1">
      <c r="A20547" t="s">
        <v>21079</v>
      </c>
    </row>
    <row r="20548" spans="1:1">
      <c r="A20548" t="s">
        <v>21080</v>
      </c>
    </row>
    <row r="20549" spans="1:1">
      <c r="A20549" t="s">
        <v>21081</v>
      </c>
    </row>
    <row r="20550" spans="1:1">
      <c r="A20550" t="s">
        <v>21082</v>
      </c>
    </row>
    <row r="20551" spans="1:1">
      <c r="A20551" t="s">
        <v>21083</v>
      </c>
    </row>
    <row r="20552" spans="1:1">
      <c r="A20552" t="s">
        <v>21084</v>
      </c>
    </row>
    <row r="20553" spans="1:1">
      <c r="A20553" t="s">
        <v>21085</v>
      </c>
    </row>
    <row r="20554" spans="1:1">
      <c r="A20554" t="s">
        <v>21086</v>
      </c>
    </row>
    <row r="20555" spans="1:1">
      <c r="A20555" t="s">
        <v>21087</v>
      </c>
    </row>
    <row r="20556" spans="1:1">
      <c r="A20556" t="s">
        <v>21088</v>
      </c>
    </row>
    <row r="20557" spans="1:1">
      <c r="A20557" t="s">
        <v>21089</v>
      </c>
    </row>
    <row r="20558" spans="1:1">
      <c r="A20558" t="s">
        <v>21090</v>
      </c>
    </row>
    <row r="20559" spans="1:1">
      <c r="A20559" t="s">
        <v>21091</v>
      </c>
    </row>
    <row r="20560" spans="1:1">
      <c r="A20560" t="s">
        <v>21092</v>
      </c>
    </row>
    <row r="20561" spans="1:1">
      <c r="A20561" t="s">
        <v>21093</v>
      </c>
    </row>
    <row r="20562" spans="1:1">
      <c r="A20562" t="s">
        <v>21094</v>
      </c>
    </row>
    <row r="20563" spans="1:1">
      <c r="A20563" t="s">
        <v>21095</v>
      </c>
    </row>
    <row r="20564" spans="1:1">
      <c r="A20564" t="s">
        <v>21096</v>
      </c>
    </row>
    <row r="20565" spans="1:1">
      <c r="A20565" t="s">
        <v>21097</v>
      </c>
    </row>
    <row r="20566" spans="1:1">
      <c r="A20566" t="s">
        <v>21098</v>
      </c>
    </row>
    <row r="20567" spans="1:1">
      <c r="A20567" t="s">
        <v>21099</v>
      </c>
    </row>
    <row r="20568" spans="1:1">
      <c r="A20568" t="s">
        <v>21100</v>
      </c>
    </row>
    <row r="20569" spans="1:1">
      <c r="A20569" t="s">
        <v>21101</v>
      </c>
    </row>
    <row r="20570" spans="1:1">
      <c r="A20570" t="s">
        <v>21102</v>
      </c>
    </row>
    <row r="20571" spans="1:1">
      <c r="A20571" t="s">
        <v>21103</v>
      </c>
    </row>
    <row r="20572" spans="1:1">
      <c r="A20572" t="s">
        <v>21104</v>
      </c>
    </row>
    <row r="20573" spans="1:1">
      <c r="A20573" t="s">
        <v>21105</v>
      </c>
    </row>
    <row r="20574" spans="1:1">
      <c r="A20574" t="s">
        <v>21106</v>
      </c>
    </row>
    <row r="20575" spans="1:1">
      <c r="A20575" t="s">
        <v>21107</v>
      </c>
    </row>
    <row r="20576" spans="1:1">
      <c r="A20576" t="s">
        <v>21108</v>
      </c>
    </row>
    <row r="20577" spans="1:1">
      <c r="A20577" t="s">
        <v>21109</v>
      </c>
    </row>
    <row r="20578" spans="1:1">
      <c r="A20578" t="s">
        <v>21110</v>
      </c>
    </row>
    <row r="20579" spans="1:1">
      <c r="A20579" t="s">
        <v>21111</v>
      </c>
    </row>
    <row r="20580" spans="1:1">
      <c r="A20580" t="s">
        <v>21112</v>
      </c>
    </row>
    <row r="20581" spans="1:1">
      <c r="A20581" t="s">
        <v>21113</v>
      </c>
    </row>
    <row r="20582" spans="1:1">
      <c r="A20582" t="s">
        <v>21114</v>
      </c>
    </row>
    <row r="20583" spans="1:1">
      <c r="A20583" t="s">
        <v>21115</v>
      </c>
    </row>
    <row r="20584" spans="1:1">
      <c r="A20584" t="s">
        <v>21116</v>
      </c>
    </row>
    <row r="20585" spans="1:1">
      <c r="A20585" t="s">
        <v>21117</v>
      </c>
    </row>
    <row r="20586" spans="1:1">
      <c r="A20586" t="s">
        <v>21118</v>
      </c>
    </row>
    <row r="20587" spans="1:1">
      <c r="A20587" t="s">
        <v>21119</v>
      </c>
    </row>
    <row r="20588" spans="1:1">
      <c r="A20588" t="s">
        <v>21120</v>
      </c>
    </row>
    <row r="20589" spans="1:1">
      <c r="A20589" t="s">
        <v>21121</v>
      </c>
    </row>
    <row r="20590" spans="1:1">
      <c r="A20590" t="s">
        <v>21122</v>
      </c>
    </row>
    <row r="20591" spans="1:1">
      <c r="A20591" t="s">
        <v>21123</v>
      </c>
    </row>
    <row r="20592" spans="1:1">
      <c r="A20592" t="s">
        <v>21124</v>
      </c>
    </row>
    <row r="20593" spans="1:1">
      <c r="A20593" t="s">
        <v>21125</v>
      </c>
    </row>
    <row r="20594" spans="1:1">
      <c r="A20594" t="s">
        <v>21126</v>
      </c>
    </row>
    <row r="20595" spans="1:1">
      <c r="A20595" t="s">
        <v>21127</v>
      </c>
    </row>
    <row r="20596" spans="1:1">
      <c r="A20596" t="s">
        <v>21128</v>
      </c>
    </row>
    <row r="20597" spans="1:1">
      <c r="A20597" t="s">
        <v>21129</v>
      </c>
    </row>
    <row r="20598" spans="1:1">
      <c r="A20598" t="s">
        <v>21130</v>
      </c>
    </row>
    <row r="20599" spans="1:1">
      <c r="A20599" t="s">
        <v>21131</v>
      </c>
    </row>
    <row r="20600" spans="1:1">
      <c r="A20600" t="s">
        <v>21132</v>
      </c>
    </row>
    <row r="20601" spans="1:1">
      <c r="A20601" t="s">
        <v>21133</v>
      </c>
    </row>
    <row r="20602" spans="1:1">
      <c r="A20602" t="s">
        <v>21134</v>
      </c>
    </row>
    <row r="20603" spans="1:1">
      <c r="A20603" t="s">
        <v>21135</v>
      </c>
    </row>
    <row r="20604" spans="1:1">
      <c r="A20604" t="s">
        <v>21136</v>
      </c>
    </row>
    <row r="20605" spans="1:1">
      <c r="A20605" t="s">
        <v>21137</v>
      </c>
    </row>
    <row r="20606" spans="1:1">
      <c r="A20606" t="s">
        <v>21138</v>
      </c>
    </row>
    <row r="20607" spans="1:1">
      <c r="A20607" t="s">
        <v>21139</v>
      </c>
    </row>
    <row r="20608" spans="1:1">
      <c r="A20608" t="s">
        <v>21140</v>
      </c>
    </row>
    <row r="20609" spans="1:1">
      <c r="A20609" t="s">
        <v>21141</v>
      </c>
    </row>
    <row r="20610" spans="1:1">
      <c r="A20610" t="s">
        <v>21142</v>
      </c>
    </row>
    <row r="20611" spans="1:1">
      <c r="A20611" t="s">
        <v>21143</v>
      </c>
    </row>
    <row r="20612" spans="1:1">
      <c r="A20612" t="s">
        <v>21144</v>
      </c>
    </row>
    <row r="20613" spans="1:1">
      <c r="A20613" t="s">
        <v>21145</v>
      </c>
    </row>
    <row r="20614" spans="1:1">
      <c r="A20614" t="s">
        <v>21146</v>
      </c>
    </row>
    <row r="20615" spans="1:1">
      <c r="A20615" t="s">
        <v>21147</v>
      </c>
    </row>
    <row r="20616" spans="1:1">
      <c r="A20616" t="s">
        <v>21148</v>
      </c>
    </row>
    <row r="20617" spans="1:1">
      <c r="A20617" t="s">
        <v>21149</v>
      </c>
    </row>
    <row r="20618" spans="1:1">
      <c r="A20618" t="s">
        <v>21150</v>
      </c>
    </row>
    <row r="20619" spans="1:1">
      <c r="A20619" t="s">
        <v>21151</v>
      </c>
    </row>
    <row r="20620" spans="1:1">
      <c r="A20620" t="s">
        <v>21152</v>
      </c>
    </row>
    <row r="20621" spans="1:1">
      <c r="A20621" t="s">
        <v>21153</v>
      </c>
    </row>
    <row r="20622" spans="1:1">
      <c r="A20622" t="s">
        <v>21154</v>
      </c>
    </row>
    <row r="20623" spans="1:1">
      <c r="A20623" t="s">
        <v>21155</v>
      </c>
    </row>
    <row r="20624" spans="1:1">
      <c r="A20624" t="s">
        <v>21156</v>
      </c>
    </row>
    <row r="20625" spans="1:1">
      <c r="A20625" t="s">
        <v>21157</v>
      </c>
    </row>
    <row r="20626" spans="1:1">
      <c r="A20626" t="s">
        <v>21158</v>
      </c>
    </row>
    <row r="20627" spans="1:1">
      <c r="A20627" t="s">
        <v>21159</v>
      </c>
    </row>
    <row r="20628" spans="1:1">
      <c r="A20628" t="s">
        <v>21160</v>
      </c>
    </row>
    <row r="20629" spans="1:1">
      <c r="A20629" t="s">
        <v>21161</v>
      </c>
    </row>
    <row r="20630" spans="1:1">
      <c r="A20630" t="s">
        <v>21162</v>
      </c>
    </row>
    <row r="20631" spans="1:1">
      <c r="A20631" t="s">
        <v>21163</v>
      </c>
    </row>
    <row r="20632" spans="1:1">
      <c r="A20632" t="s">
        <v>21164</v>
      </c>
    </row>
    <row r="20633" spans="1:1">
      <c r="A20633" t="s">
        <v>21165</v>
      </c>
    </row>
    <row r="20634" spans="1:1">
      <c r="A20634" t="s">
        <v>21166</v>
      </c>
    </row>
    <row r="20635" spans="1:1">
      <c r="A20635" t="s">
        <v>21167</v>
      </c>
    </row>
    <row r="20636" spans="1:1">
      <c r="A20636" t="s">
        <v>21168</v>
      </c>
    </row>
    <row r="20637" spans="1:1">
      <c r="A20637" t="s">
        <v>21169</v>
      </c>
    </row>
    <row r="20638" spans="1:1">
      <c r="A20638" t="s">
        <v>21170</v>
      </c>
    </row>
    <row r="20639" spans="1:1">
      <c r="A20639" t="s">
        <v>21171</v>
      </c>
    </row>
    <row r="20640" spans="1:1">
      <c r="A20640" t="s">
        <v>21172</v>
      </c>
    </row>
    <row r="20641" spans="1:1">
      <c r="A20641" t="s">
        <v>21173</v>
      </c>
    </row>
    <row r="20642" spans="1:1">
      <c r="A20642" t="s">
        <v>21174</v>
      </c>
    </row>
    <row r="20643" spans="1:1">
      <c r="A20643" t="s">
        <v>21175</v>
      </c>
    </row>
    <row r="20644" spans="1:1">
      <c r="A20644" t="s">
        <v>21176</v>
      </c>
    </row>
    <row r="20645" spans="1:1">
      <c r="A20645" t="s">
        <v>21177</v>
      </c>
    </row>
    <row r="20646" spans="1:1">
      <c r="A20646" t="s">
        <v>21178</v>
      </c>
    </row>
    <row r="20647" spans="1:1">
      <c r="A20647" t="s">
        <v>21179</v>
      </c>
    </row>
    <row r="20648" spans="1:1">
      <c r="A20648" t="s">
        <v>21180</v>
      </c>
    </row>
    <row r="20649" spans="1:1">
      <c r="A20649" t="s">
        <v>21181</v>
      </c>
    </row>
    <row r="20650" spans="1:1">
      <c r="A20650" t="s">
        <v>21182</v>
      </c>
    </row>
    <row r="20651" spans="1:1">
      <c r="A20651" t="s">
        <v>21183</v>
      </c>
    </row>
    <row r="20652" spans="1:1">
      <c r="A20652" t="s">
        <v>21184</v>
      </c>
    </row>
    <row r="20653" spans="1:1">
      <c r="A20653" t="s">
        <v>21185</v>
      </c>
    </row>
    <row r="20654" spans="1:1">
      <c r="A20654" t="s">
        <v>21186</v>
      </c>
    </row>
    <row r="20655" spans="1:1">
      <c r="A20655" t="s">
        <v>21187</v>
      </c>
    </row>
    <row r="20656" spans="1:1">
      <c r="A20656" t="s">
        <v>21188</v>
      </c>
    </row>
    <row r="20657" spans="1:1">
      <c r="A20657" t="s">
        <v>21189</v>
      </c>
    </row>
    <row r="20658" spans="1:1">
      <c r="A20658" t="s">
        <v>21190</v>
      </c>
    </row>
    <row r="20659" spans="1:1">
      <c r="A20659" t="s">
        <v>21191</v>
      </c>
    </row>
    <row r="20660" spans="1:1">
      <c r="A20660" t="s">
        <v>21192</v>
      </c>
    </row>
    <row r="20661" spans="1:1">
      <c r="A20661" t="s">
        <v>21193</v>
      </c>
    </row>
    <row r="20662" spans="1:1">
      <c r="A20662" t="s">
        <v>21194</v>
      </c>
    </row>
    <row r="20663" spans="1:1">
      <c r="A20663" t="s">
        <v>21195</v>
      </c>
    </row>
    <row r="20664" spans="1:1">
      <c r="A20664" t="s">
        <v>21196</v>
      </c>
    </row>
    <row r="20665" spans="1:1">
      <c r="A20665" t="s">
        <v>21197</v>
      </c>
    </row>
    <row r="20666" spans="1:1">
      <c r="A20666" t="s">
        <v>21198</v>
      </c>
    </row>
    <row r="20667" spans="1:1">
      <c r="A20667" t="s">
        <v>21199</v>
      </c>
    </row>
    <row r="20668" spans="1:1">
      <c r="A20668" t="s">
        <v>21200</v>
      </c>
    </row>
    <row r="20669" spans="1:1">
      <c r="A20669" t="s">
        <v>21201</v>
      </c>
    </row>
    <row r="20670" spans="1:1">
      <c r="A20670" t="s">
        <v>21202</v>
      </c>
    </row>
    <row r="20671" spans="1:1">
      <c r="A20671" t="s">
        <v>21203</v>
      </c>
    </row>
    <row r="20672" spans="1:1">
      <c r="A20672" t="s">
        <v>21204</v>
      </c>
    </row>
    <row r="20673" spans="1:1">
      <c r="A20673" t="s">
        <v>21205</v>
      </c>
    </row>
    <row r="20674" spans="1:1">
      <c r="A20674" t="s">
        <v>21206</v>
      </c>
    </row>
    <row r="20675" spans="1:1">
      <c r="A20675" t="s">
        <v>21207</v>
      </c>
    </row>
    <row r="20676" spans="1:1">
      <c r="A20676" t="s">
        <v>21208</v>
      </c>
    </row>
    <row r="20677" spans="1:1">
      <c r="A20677" t="s">
        <v>21209</v>
      </c>
    </row>
    <row r="20678" spans="1:1">
      <c r="A20678" t="s">
        <v>21210</v>
      </c>
    </row>
    <row r="20679" spans="1:1">
      <c r="A20679" t="s">
        <v>21211</v>
      </c>
    </row>
    <row r="20680" spans="1:1">
      <c r="A20680" t="s">
        <v>21212</v>
      </c>
    </row>
    <row r="20681" spans="1:1">
      <c r="A20681" t="s">
        <v>21213</v>
      </c>
    </row>
    <row r="20682" spans="1:1">
      <c r="A20682" t="s">
        <v>21214</v>
      </c>
    </row>
    <row r="20683" spans="1:1">
      <c r="A20683" t="s">
        <v>21215</v>
      </c>
    </row>
    <row r="20684" spans="1:1">
      <c r="A20684" t="s">
        <v>21216</v>
      </c>
    </row>
    <row r="20685" spans="1:1">
      <c r="A20685" t="s">
        <v>21217</v>
      </c>
    </row>
    <row r="20686" spans="1:1">
      <c r="A20686" t="s">
        <v>21218</v>
      </c>
    </row>
    <row r="20687" spans="1:1">
      <c r="A20687" t="s">
        <v>21219</v>
      </c>
    </row>
    <row r="20688" spans="1:1">
      <c r="A20688" t="s">
        <v>21220</v>
      </c>
    </row>
    <row r="20689" spans="1:1">
      <c r="A20689" t="s">
        <v>21221</v>
      </c>
    </row>
    <row r="20690" spans="1:1">
      <c r="A20690" t="s">
        <v>21222</v>
      </c>
    </row>
    <row r="20691" spans="1:1">
      <c r="A20691" t="s">
        <v>21223</v>
      </c>
    </row>
    <row r="20692" spans="1:1">
      <c r="A20692" t="s">
        <v>21224</v>
      </c>
    </row>
    <row r="20693" spans="1:1">
      <c r="A20693" t="s">
        <v>21225</v>
      </c>
    </row>
    <row r="20694" spans="1:1">
      <c r="A20694" t="s">
        <v>21226</v>
      </c>
    </row>
    <row r="20695" spans="1:1">
      <c r="A20695" t="s">
        <v>21227</v>
      </c>
    </row>
    <row r="20696" spans="1:1">
      <c r="A20696" t="s">
        <v>21228</v>
      </c>
    </row>
    <row r="20697" spans="1:1">
      <c r="A20697" t="s">
        <v>21229</v>
      </c>
    </row>
    <row r="20698" spans="1:1">
      <c r="A20698" t="s">
        <v>21230</v>
      </c>
    </row>
    <row r="20699" spans="1:1">
      <c r="A20699" t="s">
        <v>21231</v>
      </c>
    </row>
    <row r="20700" spans="1:1">
      <c r="A20700" t="s">
        <v>21232</v>
      </c>
    </row>
    <row r="20701" spans="1:1">
      <c r="A20701" t="s">
        <v>21233</v>
      </c>
    </row>
    <row r="20702" spans="1:1">
      <c r="A20702" t="s">
        <v>21234</v>
      </c>
    </row>
    <row r="20703" spans="1:1">
      <c r="A20703" t="s">
        <v>21235</v>
      </c>
    </row>
    <row r="20704" spans="1:1">
      <c r="A20704" t="s">
        <v>21236</v>
      </c>
    </row>
    <row r="20705" spans="1:1">
      <c r="A20705" t="s">
        <v>21237</v>
      </c>
    </row>
    <row r="20706" spans="1:1">
      <c r="A20706" t="s">
        <v>21238</v>
      </c>
    </row>
    <row r="20707" spans="1:1">
      <c r="A20707" t="s">
        <v>21239</v>
      </c>
    </row>
    <row r="20708" spans="1:1">
      <c r="A20708" t="s">
        <v>21240</v>
      </c>
    </row>
    <row r="20709" spans="1:1">
      <c r="A20709" t="s">
        <v>21241</v>
      </c>
    </row>
    <row r="20710" spans="1:1">
      <c r="A20710" t="s">
        <v>21242</v>
      </c>
    </row>
    <row r="20711" spans="1:1">
      <c r="A20711" t="s">
        <v>21243</v>
      </c>
    </row>
    <row r="20712" spans="1:1">
      <c r="A20712" t="s">
        <v>21244</v>
      </c>
    </row>
    <row r="20713" spans="1:1">
      <c r="A20713" t="s">
        <v>21245</v>
      </c>
    </row>
    <row r="20714" spans="1:1">
      <c r="A20714" t="s">
        <v>21246</v>
      </c>
    </row>
    <row r="20715" spans="1:1">
      <c r="A20715" t="s">
        <v>21247</v>
      </c>
    </row>
    <row r="20716" spans="1:1">
      <c r="A20716" t="s">
        <v>21248</v>
      </c>
    </row>
    <row r="20717" spans="1:1">
      <c r="A20717" t="s">
        <v>21249</v>
      </c>
    </row>
    <row r="20718" spans="1:1">
      <c r="A20718" t="s">
        <v>21250</v>
      </c>
    </row>
    <row r="20719" spans="1:1">
      <c r="A20719" t="s">
        <v>21251</v>
      </c>
    </row>
    <row r="20720" spans="1:1">
      <c r="A20720" t="s">
        <v>21252</v>
      </c>
    </row>
    <row r="20721" spans="1:1">
      <c r="A20721" t="s">
        <v>21253</v>
      </c>
    </row>
    <row r="20722" spans="1:1">
      <c r="A20722" t="s">
        <v>21254</v>
      </c>
    </row>
    <row r="20723" spans="1:1">
      <c r="A20723" t="s">
        <v>21255</v>
      </c>
    </row>
    <row r="20724" spans="1:1">
      <c r="A20724" t="s">
        <v>21256</v>
      </c>
    </row>
    <row r="20725" spans="1:1">
      <c r="A20725" t="s">
        <v>21257</v>
      </c>
    </row>
    <row r="20726" spans="1:1">
      <c r="A20726" t="s">
        <v>21258</v>
      </c>
    </row>
    <row r="20727" spans="1:1">
      <c r="A20727" t="s">
        <v>21259</v>
      </c>
    </row>
    <row r="20728" spans="1:1">
      <c r="A20728" t="s">
        <v>21260</v>
      </c>
    </row>
    <row r="20729" spans="1:1">
      <c r="A20729" t="s">
        <v>21261</v>
      </c>
    </row>
    <row r="20730" spans="1:1">
      <c r="A20730" t="s">
        <v>21262</v>
      </c>
    </row>
    <row r="20731" spans="1:1">
      <c r="A20731" t="s">
        <v>21263</v>
      </c>
    </row>
    <row r="20732" spans="1:1">
      <c r="A20732" t="s">
        <v>21264</v>
      </c>
    </row>
    <row r="20733" spans="1:1">
      <c r="A20733" t="s">
        <v>21265</v>
      </c>
    </row>
    <row r="20734" spans="1:1">
      <c r="A20734" t="s">
        <v>21266</v>
      </c>
    </row>
    <row r="20735" spans="1:1">
      <c r="A20735" t="s">
        <v>21267</v>
      </c>
    </row>
    <row r="20736" spans="1:1">
      <c r="A20736" t="s">
        <v>21268</v>
      </c>
    </row>
    <row r="20737" spans="1:1">
      <c r="A20737" t="s">
        <v>21269</v>
      </c>
    </row>
    <row r="20738" spans="1:1">
      <c r="A20738" t="s">
        <v>21270</v>
      </c>
    </row>
    <row r="20739" spans="1:1">
      <c r="A20739" t="s">
        <v>21271</v>
      </c>
    </row>
    <row r="20740" spans="1:1">
      <c r="A20740" t="s">
        <v>21272</v>
      </c>
    </row>
    <row r="20741" spans="1:1">
      <c r="A20741" t="s">
        <v>21273</v>
      </c>
    </row>
    <row r="20742" spans="1:1">
      <c r="A20742" t="s">
        <v>21274</v>
      </c>
    </row>
    <row r="20743" spans="1:1">
      <c r="A20743" t="s">
        <v>21275</v>
      </c>
    </row>
    <row r="20744" spans="1:1">
      <c r="A20744" t="s">
        <v>21276</v>
      </c>
    </row>
    <row r="20745" spans="1:1">
      <c r="A20745" t="s">
        <v>21277</v>
      </c>
    </row>
    <row r="20746" spans="1:1">
      <c r="A20746" t="s">
        <v>21278</v>
      </c>
    </row>
    <row r="20747" spans="1:1">
      <c r="A20747" t="s">
        <v>21279</v>
      </c>
    </row>
    <row r="20748" spans="1:1">
      <c r="A20748" t="s">
        <v>21280</v>
      </c>
    </row>
    <row r="20749" spans="1:1">
      <c r="A20749" t="s">
        <v>21281</v>
      </c>
    </row>
    <row r="20750" spans="1:1">
      <c r="A20750" t="s">
        <v>21282</v>
      </c>
    </row>
    <row r="20751" spans="1:1">
      <c r="A20751" t="s">
        <v>21283</v>
      </c>
    </row>
    <row r="20752" spans="1:1">
      <c r="A20752" t="s">
        <v>21284</v>
      </c>
    </row>
    <row r="20753" spans="1:1">
      <c r="A20753" t="s">
        <v>21285</v>
      </c>
    </row>
    <row r="20754" spans="1:1">
      <c r="A20754" t="s">
        <v>21286</v>
      </c>
    </row>
    <row r="20755" spans="1:1">
      <c r="A20755" t="s">
        <v>21287</v>
      </c>
    </row>
    <row r="20756" spans="1:1">
      <c r="A20756" t="s">
        <v>21288</v>
      </c>
    </row>
    <row r="20757" spans="1:1">
      <c r="A20757" t="s">
        <v>21289</v>
      </c>
    </row>
    <row r="20758" spans="1:1">
      <c r="A20758" t="s">
        <v>21290</v>
      </c>
    </row>
    <row r="20759" spans="1:1">
      <c r="A20759" t="s">
        <v>21291</v>
      </c>
    </row>
    <row r="20760" spans="1:1">
      <c r="A20760" t="s">
        <v>21292</v>
      </c>
    </row>
    <row r="20761" spans="1:1">
      <c r="A20761" t="s">
        <v>21293</v>
      </c>
    </row>
    <row r="20762" spans="1:1">
      <c r="A20762" t="s">
        <v>21294</v>
      </c>
    </row>
    <row r="20763" spans="1:1">
      <c r="A20763" t="s">
        <v>21295</v>
      </c>
    </row>
    <row r="20764" spans="1:1">
      <c r="A20764" t="s">
        <v>21296</v>
      </c>
    </row>
    <row r="20765" spans="1:1">
      <c r="A20765" t="s">
        <v>21297</v>
      </c>
    </row>
    <row r="20766" spans="1:1">
      <c r="A20766" t="s">
        <v>21298</v>
      </c>
    </row>
    <row r="20767" spans="1:1">
      <c r="A20767" t="s">
        <v>21299</v>
      </c>
    </row>
    <row r="20768" spans="1:1">
      <c r="A20768" t="s">
        <v>21300</v>
      </c>
    </row>
    <row r="20769" spans="1:1">
      <c r="A20769" t="s">
        <v>21301</v>
      </c>
    </row>
    <row r="20770" spans="1:1">
      <c r="A20770" t="s">
        <v>21302</v>
      </c>
    </row>
    <row r="20771" spans="1:1">
      <c r="A20771" t="s">
        <v>21303</v>
      </c>
    </row>
    <row r="20772" spans="1:1">
      <c r="A20772" t="s">
        <v>21304</v>
      </c>
    </row>
    <row r="20773" spans="1:1">
      <c r="A20773" t="s">
        <v>21305</v>
      </c>
    </row>
    <row r="20774" spans="1:1">
      <c r="A20774" t="s">
        <v>21306</v>
      </c>
    </row>
    <row r="20775" spans="1:1">
      <c r="A20775" t="s">
        <v>21307</v>
      </c>
    </row>
    <row r="20776" spans="1:1">
      <c r="A20776" t="s">
        <v>21308</v>
      </c>
    </row>
    <row r="20777" spans="1:1">
      <c r="A20777" t="s">
        <v>21309</v>
      </c>
    </row>
    <row r="20778" spans="1:1">
      <c r="A20778" t="s">
        <v>21310</v>
      </c>
    </row>
    <row r="20779" spans="1:1">
      <c r="A20779" t="s">
        <v>21311</v>
      </c>
    </row>
    <row r="20780" spans="1:1">
      <c r="A20780" t="s">
        <v>21312</v>
      </c>
    </row>
    <row r="20781" spans="1:1">
      <c r="A20781" t="s">
        <v>21313</v>
      </c>
    </row>
    <row r="20782" spans="1:1">
      <c r="A20782" t="s">
        <v>21314</v>
      </c>
    </row>
    <row r="20783" spans="1:1">
      <c r="A20783" t="s">
        <v>21315</v>
      </c>
    </row>
    <row r="20784" spans="1:1">
      <c r="A20784" t="s">
        <v>21316</v>
      </c>
    </row>
    <row r="20785" spans="1:1">
      <c r="A20785" t="s">
        <v>21317</v>
      </c>
    </row>
    <row r="20786" spans="1:1">
      <c r="A20786" t="s">
        <v>21318</v>
      </c>
    </row>
    <row r="20787" spans="1:1">
      <c r="A20787" t="s">
        <v>21319</v>
      </c>
    </row>
    <row r="20788" spans="1:1">
      <c r="A20788" t="s">
        <v>21320</v>
      </c>
    </row>
    <row r="20789" spans="1:1">
      <c r="A20789" t="s">
        <v>21321</v>
      </c>
    </row>
    <row r="20790" spans="1:1">
      <c r="A20790" t="s">
        <v>21322</v>
      </c>
    </row>
    <row r="20791" spans="1:1">
      <c r="A20791" t="s">
        <v>21323</v>
      </c>
    </row>
    <row r="20792" spans="1:1">
      <c r="A20792" t="s">
        <v>21324</v>
      </c>
    </row>
    <row r="20793" spans="1:1">
      <c r="A20793" t="s">
        <v>21325</v>
      </c>
    </row>
    <row r="20794" spans="1:1">
      <c r="A20794" t="s">
        <v>21326</v>
      </c>
    </row>
    <row r="20795" spans="1:1">
      <c r="A20795" t="s">
        <v>21327</v>
      </c>
    </row>
    <row r="20796" spans="1:1">
      <c r="A20796" t="s">
        <v>21328</v>
      </c>
    </row>
    <row r="20797" spans="1:1">
      <c r="A20797" t="s">
        <v>21329</v>
      </c>
    </row>
    <row r="20798" spans="1:1">
      <c r="A20798" t="s">
        <v>21330</v>
      </c>
    </row>
    <row r="20799" spans="1:1">
      <c r="A20799" t="s">
        <v>21331</v>
      </c>
    </row>
    <row r="20800" spans="1:1">
      <c r="A20800" t="s">
        <v>21332</v>
      </c>
    </row>
    <row r="20801" spans="1:1">
      <c r="A20801" t="s">
        <v>21333</v>
      </c>
    </row>
    <row r="20802" spans="1:1">
      <c r="A20802" t="s">
        <v>21334</v>
      </c>
    </row>
    <row r="20803" spans="1:1">
      <c r="A20803" t="s">
        <v>21335</v>
      </c>
    </row>
    <row r="20804" spans="1:1">
      <c r="A20804" t="s">
        <v>21336</v>
      </c>
    </row>
    <row r="20805" spans="1:1">
      <c r="A20805" t="s">
        <v>21337</v>
      </c>
    </row>
    <row r="20806" spans="1:1">
      <c r="A20806" t="s">
        <v>21338</v>
      </c>
    </row>
    <row r="20807" spans="1:1">
      <c r="A20807" t="s">
        <v>21339</v>
      </c>
    </row>
    <row r="20808" spans="1:1">
      <c r="A20808" t="s">
        <v>21340</v>
      </c>
    </row>
    <row r="20809" spans="1:1">
      <c r="A20809" t="s">
        <v>21341</v>
      </c>
    </row>
    <row r="20810" spans="1:1">
      <c r="A20810" t="s">
        <v>21342</v>
      </c>
    </row>
    <row r="20811" spans="1:1">
      <c r="A20811" t="s">
        <v>21343</v>
      </c>
    </row>
    <row r="20812" spans="1:1">
      <c r="A20812" t="s">
        <v>21344</v>
      </c>
    </row>
    <row r="20813" spans="1:1">
      <c r="A20813" t="s">
        <v>21345</v>
      </c>
    </row>
    <row r="20814" spans="1:1">
      <c r="A20814" t="s">
        <v>21346</v>
      </c>
    </row>
    <row r="20815" spans="1:1">
      <c r="A20815" t="s">
        <v>21347</v>
      </c>
    </row>
    <row r="20816" spans="1:1">
      <c r="A20816" t="s">
        <v>21348</v>
      </c>
    </row>
    <row r="20817" spans="1:1">
      <c r="A20817" t="s">
        <v>21349</v>
      </c>
    </row>
    <row r="20818" spans="1:1">
      <c r="A20818" t="s">
        <v>21350</v>
      </c>
    </row>
    <row r="20819" spans="1:1">
      <c r="A20819" t="s">
        <v>21351</v>
      </c>
    </row>
    <row r="20820" spans="1:1">
      <c r="A20820" t="s">
        <v>21352</v>
      </c>
    </row>
    <row r="20821" spans="1:1">
      <c r="A20821" t="s">
        <v>21353</v>
      </c>
    </row>
    <row r="20822" spans="1:1">
      <c r="A20822" t="s">
        <v>21354</v>
      </c>
    </row>
    <row r="20823" spans="1:1">
      <c r="A20823" t="s">
        <v>21355</v>
      </c>
    </row>
    <row r="20824" spans="1:1">
      <c r="A20824" t="s">
        <v>21356</v>
      </c>
    </row>
    <row r="20825" spans="1:1">
      <c r="A20825" t="s">
        <v>21357</v>
      </c>
    </row>
    <row r="20826" spans="1:1">
      <c r="A20826" t="s">
        <v>21358</v>
      </c>
    </row>
    <row r="20827" spans="1:1">
      <c r="A20827" t="s">
        <v>21359</v>
      </c>
    </row>
    <row r="20828" spans="1:1">
      <c r="A20828" t="s">
        <v>21360</v>
      </c>
    </row>
    <row r="20829" spans="1:1">
      <c r="A20829" t="s">
        <v>21361</v>
      </c>
    </row>
    <row r="20830" spans="1:1">
      <c r="A20830" t="s">
        <v>21362</v>
      </c>
    </row>
    <row r="20831" spans="1:1">
      <c r="A20831" t="s">
        <v>21363</v>
      </c>
    </row>
    <row r="20832" spans="1:1">
      <c r="A20832" t="s">
        <v>21364</v>
      </c>
    </row>
    <row r="20833" spans="1:1">
      <c r="A20833" t="s">
        <v>21365</v>
      </c>
    </row>
    <row r="20834" spans="1:1">
      <c r="A20834" t="s">
        <v>21366</v>
      </c>
    </row>
    <row r="20835" spans="1:1">
      <c r="A20835" t="s">
        <v>21367</v>
      </c>
    </row>
    <row r="20836" spans="1:1">
      <c r="A20836" t="s">
        <v>21368</v>
      </c>
    </row>
    <row r="20837" spans="1:1">
      <c r="A20837" t="s">
        <v>21369</v>
      </c>
    </row>
    <row r="20838" spans="1:1">
      <c r="A20838" t="s">
        <v>21370</v>
      </c>
    </row>
    <row r="20839" spans="1:1">
      <c r="A20839" t="s">
        <v>21371</v>
      </c>
    </row>
    <row r="20840" spans="1:1">
      <c r="A20840" t="s">
        <v>21372</v>
      </c>
    </row>
    <row r="20841" spans="1:1">
      <c r="A20841" t="s">
        <v>21373</v>
      </c>
    </row>
    <row r="20842" spans="1:1">
      <c r="A20842" t="s">
        <v>21374</v>
      </c>
    </row>
    <row r="20843" spans="1:1">
      <c r="A20843" t="s">
        <v>21375</v>
      </c>
    </row>
    <row r="20844" spans="1:1">
      <c r="A20844" t="s">
        <v>21376</v>
      </c>
    </row>
    <row r="20845" spans="1:1">
      <c r="A20845" t="s">
        <v>21377</v>
      </c>
    </row>
    <row r="20846" spans="1:1">
      <c r="A20846" t="s">
        <v>21378</v>
      </c>
    </row>
    <row r="20847" spans="1:1">
      <c r="A20847" t="s">
        <v>21379</v>
      </c>
    </row>
    <row r="20848" spans="1:1">
      <c r="A20848" t="s">
        <v>21380</v>
      </c>
    </row>
    <row r="20849" spans="1:1">
      <c r="A20849" t="s">
        <v>21381</v>
      </c>
    </row>
    <row r="20850" spans="1:1">
      <c r="A20850" t="s">
        <v>21382</v>
      </c>
    </row>
    <row r="20851" spans="1:1">
      <c r="A20851" t="s">
        <v>21383</v>
      </c>
    </row>
    <row r="20852" spans="1:1">
      <c r="A20852" t="s">
        <v>21384</v>
      </c>
    </row>
    <row r="20853" spans="1:1">
      <c r="A20853" t="s">
        <v>21385</v>
      </c>
    </row>
    <row r="20854" spans="1:1">
      <c r="A20854" t="s">
        <v>21386</v>
      </c>
    </row>
    <row r="20855" spans="1:1">
      <c r="A20855" t="s">
        <v>21387</v>
      </c>
    </row>
    <row r="20856" spans="1:1">
      <c r="A20856" t="s">
        <v>21388</v>
      </c>
    </row>
    <row r="20857" spans="1:1">
      <c r="A20857" t="s">
        <v>21389</v>
      </c>
    </row>
    <row r="20858" spans="1:1">
      <c r="A20858" t="s">
        <v>21390</v>
      </c>
    </row>
    <row r="20859" spans="1:1">
      <c r="A20859" t="s">
        <v>21391</v>
      </c>
    </row>
    <row r="20860" spans="1:1">
      <c r="A20860" t="s">
        <v>21392</v>
      </c>
    </row>
    <row r="20861" spans="1:1">
      <c r="A20861" t="s">
        <v>21393</v>
      </c>
    </row>
    <row r="20862" spans="1:1">
      <c r="A20862" t="s">
        <v>21394</v>
      </c>
    </row>
    <row r="20863" spans="1:1">
      <c r="A20863" t="s">
        <v>21395</v>
      </c>
    </row>
    <row r="20864" spans="1:1">
      <c r="A20864" t="s">
        <v>21396</v>
      </c>
    </row>
    <row r="20865" spans="1:1">
      <c r="A20865" t="s">
        <v>21397</v>
      </c>
    </row>
    <row r="20866" spans="1:1">
      <c r="A20866" t="s">
        <v>21398</v>
      </c>
    </row>
    <row r="20867" spans="1:1">
      <c r="A20867" t="s">
        <v>21399</v>
      </c>
    </row>
    <row r="20868" spans="1:1">
      <c r="A20868" t="s">
        <v>21400</v>
      </c>
    </row>
    <row r="20869" spans="1:1">
      <c r="A20869" t="s">
        <v>21401</v>
      </c>
    </row>
    <row r="20870" spans="1:1">
      <c r="A20870" t="s">
        <v>21402</v>
      </c>
    </row>
    <row r="20871" spans="1:1">
      <c r="A20871" t="s">
        <v>21403</v>
      </c>
    </row>
    <row r="20872" spans="1:1">
      <c r="A20872" t="s">
        <v>21404</v>
      </c>
    </row>
    <row r="20873" spans="1:1">
      <c r="A20873" t="s">
        <v>21405</v>
      </c>
    </row>
    <row r="20874" spans="1:1">
      <c r="A20874" t="s">
        <v>21406</v>
      </c>
    </row>
    <row r="20875" spans="1:1">
      <c r="A20875" t="s">
        <v>21407</v>
      </c>
    </row>
    <row r="20876" spans="1:1">
      <c r="A20876" t="s">
        <v>21408</v>
      </c>
    </row>
    <row r="20877" spans="1:1">
      <c r="A20877" t="s">
        <v>21409</v>
      </c>
    </row>
    <row r="20878" spans="1:1">
      <c r="A20878" t="s">
        <v>21410</v>
      </c>
    </row>
    <row r="20879" spans="1:1">
      <c r="A20879" t="s">
        <v>21411</v>
      </c>
    </row>
    <row r="20880" spans="1:1">
      <c r="A20880" t="s">
        <v>21412</v>
      </c>
    </row>
    <row r="20881" spans="1:1">
      <c r="A20881" t="s">
        <v>21413</v>
      </c>
    </row>
    <row r="20882" spans="1:1">
      <c r="A20882" t="s">
        <v>21414</v>
      </c>
    </row>
    <row r="20883" spans="1:1">
      <c r="A20883" t="s">
        <v>21415</v>
      </c>
    </row>
    <row r="20884" spans="1:1">
      <c r="A20884" t="s">
        <v>21416</v>
      </c>
    </row>
    <row r="20885" spans="1:1">
      <c r="A20885" t="s">
        <v>21417</v>
      </c>
    </row>
    <row r="20886" spans="1:1">
      <c r="A20886" t="s">
        <v>21418</v>
      </c>
    </row>
    <row r="20887" spans="1:1">
      <c r="A20887" t="s">
        <v>21419</v>
      </c>
    </row>
    <row r="20888" spans="1:1">
      <c r="A20888" t="s">
        <v>21420</v>
      </c>
    </row>
    <row r="20889" spans="1:1">
      <c r="A20889" t="s">
        <v>21421</v>
      </c>
    </row>
    <row r="20890" spans="1:1">
      <c r="A20890" t="s">
        <v>21422</v>
      </c>
    </row>
    <row r="20891" spans="1:1">
      <c r="A20891" t="s">
        <v>21423</v>
      </c>
    </row>
    <row r="20892" spans="1:1">
      <c r="A20892" t="s">
        <v>21424</v>
      </c>
    </row>
    <row r="20893" spans="1:1">
      <c r="A20893" t="s">
        <v>21425</v>
      </c>
    </row>
    <row r="20894" spans="1:1">
      <c r="A20894" t="s">
        <v>21426</v>
      </c>
    </row>
    <row r="20895" spans="1:1">
      <c r="A20895" t="s">
        <v>21427</v>
      </c>
    </row>
    <row r="20896" spans="1:1">
      <c r="A20896" t="s">
        <v>21428</v>
      </c>
    </row>
    <row r="20897" spans="1:1">
      <c r="A20897" t="s">
        <v>21429</v>
      </c>
    </row>
    <row r="20898" spans="1:1">
      <c r="A20898" t="s">
        <v>21430</v>
      </c>
    </row>
    <row r="20899" spans="1:1">
      <c r="A20899" t="s">
        <v>21431</v>
      </c>
    </row>
    <row r="20900" spans="1:1">
      <c r="A20900" t="s">
        <v>21432</v>
      </c>
    </row>
    <row r="20901" spans="1:1">
      <c r="A20901" t="s">
        <v>21433</v>
      </c>
    </row>
    <row r="20902" spans="1:1">
      <c r="A20902" t="s">
        <v>21434</v>
      </c>
    </row>
    <row r="20903" spans="1:1">
      <c r="A20903" t="s">
        <v>21435</v>
      </c>
    </row>
    <row r="20904" spans="1:1">
      <c r="A20904" t="s">
        <v>21436</v>
      </c>
    </row>
    <row r="20905" spans="1:1">
      <c r="A20905" t="s">
        <v>21437</v>
      </c>
    </row>
    <row r="20906" spans="1:1">
      <c r="A20906" t="s">
        <v>21438</v>
      </c>
    </row>
    <row r="20907" spans="1:1">
      <c r="A20907" t="s">
        <v>21439</v>
      </c>
    </row>
    <row r="20908" spans="1:1">
      <c r="A20908" t="s">
        <v>21440</v>
      </c>
    </row>
    <row r="20909" spans="1:1">
      <c r="A20909" t="s">
        <v>21441</v>
      </c>
    </row>
    <row r="20910" spans="1:1">
      <c r="A20910" t="s">
        <v>21442</v>
      </c>
    </row>
    <row r="20911" spans="1:1">
      <c r="A20911" t="s">
        <v>21443</v>
      </c>
    </row>
    <row r="20912" spans="1:1">
      <c r="A20912" t="s">
        <v>21444</v>
      </c>
    </row>
    <row r="20913" spans="1:1">
      <c r="A20913" t="s">
        <v>21445</v>
      </c>
    </row>
    <row r="20914" spans="1:1">
      <c r="A20914" t="s">
        <v>21446</v>
      </c>
    </row>
    <row r="20915" spans="1:1">
      <c r="A20915" t="s">
        <v>21447</v>
      </c>
    </row>
    <row r="20916" spans="1:1">
      <c r="A20916" t="s">
        <v>21448</v>
      </c>
    </row>
    <row r="20917" spans="1:1">
      <c r="A20917" t="s">
        <v>21449</v>
      </c>
    </row>
    <row r="20918" spans="1:1">
      <c r="A20918" t="s">
        <v>21450</v>
      </c>
    </row>
    <row r="20919" spans="1:1">
      <c r="A20919" t="s">
        <v>21451</v>
      </c>
    </row>
    <row r="20920" spans="1:1">
      <c r="A20920" t="s">
        <v>21452</v>
      </c>
    </row>
    <row r="20921" spans="1:1">
      <c r="A20921" t="s">
        <v>21453</v>
      </c>
    </row>
    <row r="20922" spans="1:1">
      <c r="A20922" t="s">
        <v>21454</v>
      </c>
    </row>
    <row r="20923" spans="1:1">
      <c r="A20923" t="s">
        <v>21455</v>
      </c>
    </row>
    <row r="20924" spans="1:1">
      <c r="A20924" t="s">
        <v>21456</v>
      </c>
    </row>
    <row r="20925" spans="1:1">
      <c r="A20925" t="s">
        <v>21457</v>
      </c>
    </row>
    <row r="20926" spans="1:1">
      <c r="A20926" t="s">
        <v>21458</v>
      </c>
    </row>
    <row r="20927" spans="1:1">
      <c r="A20927" t="s">
        <v>21459</v>
      </c>
    </row>
    <row r="20928" spans="1:1">
      <c r="A20928" t="s">
        <v>21460</v>
      </c>
    </row>
    <row r="20929" spans="1:1">
      <c r="A20929" t="s">
        <v>21461</v>
      </c>
    </row>
    <row r="20930" spans="1:1">
      <c r="A20930" t="s">
        <v>21462</v>
      </c>
    </row>
    <row r="20931" spans="1:1">
      <c r="A20931" t="s">
        <v>21463</v>
      </c>
    </row>
    <row r="20932" spans="1:1">
      <c r="A20932" t="s">
        <v>21464</v>
      </c>
    </row>
    <row r="20933" spans="1:1">
      <c r="A20933" t="s">
        <v>21465</v>
      </c>
    </row>
    <row r="20934" spans="1:1">
      <c r="A20934" t="s">
        <v>21466</v>
      </c>
    </row>
    <row r="20935" spans="1:1">
      <c r="A20935" t="s">
        <v>21467</v>
      </c>
    </row>
    <row r="20936" spans="1:1">
      <c r="A20936" t="s">
        <v>21468</v>
      </c>
    </row>
    <row r="20937" spans="1:1">
      <c r="A20937" t="s">
        <v>21469</v>
      </c>
    </row>
    <row r="20938" spans="1:1">
      <c r="A20938" t="s">
        <v>21470</v>
      </c>
    </row>
    <row r="20939" spans="1:1">
      <c r="A20939" t="s">
        <v>21471</v>
      </c>
    </row>
    <row r="20940" spans="1:1">
      <c r="A20940" t="s">
        <v>21472</v>
      </c>
    </row>
    <row r="20941" spans="1:1">
      <c r="A20941" t="s">
        <v>21473</v>
      </c>
    </row>
    <row r="20942" spans="1:1">
      <c r="A20942" t="s">
        <v>21474</v>
      </c>
    </row>
    <row r="20943" spans="1:1">
      <c r="A20943" t="s">
        <v>21475</v>
      </c>
    </row>
    <row r="20944" spans="1:1">
      <c r="A20944" t="s">
        <v>21476</v>
      </c>
    </row>
    <row r="20945" spans="1:1">
      <c r="A20945" t="s">
        <v>21477</v>
      </c>
    </row>
    <row r="20946" spans="1:1">
      <c r="A20946" t="s">
        <v>21478</v>
      </c>
    </row>
    <row r="20947" spans="1:1">
      <c r="A20947" t="s">
        <v>21479</v>
      </c>
    </row>
    <row r="20948" spans="1:1">
      <c r="A20948" t="s">
        <v>21480</v>
      </c>
    </row>
    <row r="20949" spans="1:1">
      <c r="A20949" t="s">
        <v>21481</v>
      </c>
    </row>
    <row r="20950" spans="1:1">
      <c r="A20950" t="s">
        <v>21482</v>
      </c>
    </row>
    <row r="20951" spans="1:1">
      <c r="A20951" t="s">
        <v>21483</v>
      </c>
    </row>
    <row r="20952" spans="1:1">
      <c r="A20952" t="s">
        <v>21484</v>
      </c>
    </row>
    <row r="20953" spans="1:1">
      <c r="A20953" t="s">
        <v>21485</v>
      </c>
    </row>
    <row r="20954" spans="1:1">
      <c r="A20954" t="s">
        <v>21486</v>
      </c>
    </row>
    <row r="20955" spans="1:1">
      <c r="A20955" t="s">
        <v>21487</v>
      </c>
    </row>
    <row r="20956" spans="1:1">
      <c r="A20956" t="s">
        <v>21488</v>
      </c>
    </row>
    <row r="20957" spans="1:1">
      <c r="A20957" t="s">
        <v>21489</v>
      </c>
    </row>
    <row r="20958" spans="1:1">
      <c r="A20958" t="s">
        <v>21490</v>
      </c>
    </row>
    <row r="20959" spans="1:1">
      <c r="A20959" t="s">
        <v>21491</v>
      </c>
    </row>
    <row r="20960" spans="1:1">
      <c r="A20960" t="s">
        <v>21492</v>
      </c>
    </row>
    <row r="20961" spans="1:1">
      <c r="A20961" t="s">
        <v>21493</v>
      </c>
    </row>
    <row r="20962" spans="1:1">
      <c r="A20962" t="s">
        <v>21494</v>
      </c>
    </row>
    <row r="20963" spans="1:1">
      <c r="A20963" t="s">
        <v>21495</v>
      </c>
    </row>
    <row r="20964" spans="1:1">
      <c r="A20964" t="s">
        <v>21496</v>
      </c>
    </row>
    <row r="20965" spans="1:1">
      <c r="A20965" t="s">
        <v>21497</v>
      </c>
    </row>
    <row r="20966" spans="1:1">
      <c r="A20966" t="s">
        <v>21498</v>
      </c>
    </row>
    <row r="20967" spans="1:1">
      <c r="A20967" t="s">
        <v>21499</v>
      </c>
    </row>
    <row r="20968" spans="1:1">
      <c r="A20968" t="s">
        <v>21500</v>
      </c>
    </row>
    <row r="20969" spans="1:1">
      <c r="A20969" t="s">
        <v>21501</v>
      </c>
    </row>
    <row r="20970" spans="1:1">
      <c r="A20970" t="s">
        <v>21502</v>
      </c>
    </row>
    <row r="20971" spans="1:1">
      <c r="A20971" t="s">
        <v>21503</v>
      </c>
    </row>
    <row r="20972" spans="1:1">
      <c r="A20972" t="s">
        <v>21504</v>
      </c>
    </row>
    <row r="20973" spans="1:1">
      <c r="A20973" t="s">
        <v>21505</v>
      </c>
    </row>
    <row r="20974" spans="1:1">
      <c r="A20974" t="s">
        <v>21506</v>
      </c>
    </row>
    <row r="20975" spans="1:1">
      <c r="A20975" t="s">
        <v>21507</v>
      </c>
    </row>
    <row r="20976" spans="1:1">
      <c r="A20976" t="s">
        <v>21508</v>
      </c>
    </row>
    <row r="20977" spans="1:1">
      <c r="A20977" t="s">
        <v>21509</v>
      </c>
    </row>
    <row r="20978" spans="1:1">
      <c r="A20978" t="s">
        <v>21510</v>
      </c>
    </row>
    <row r="20979" spans="1:1">
      <c r="A20979" t="s">
        <v>21511</v>
      </c>
    </row>
    <row r="20980" spans="1:1">
      <c r="A20980" t="s">
        <v>21512</v>
      </c>
    </row>
    <row r="20981" spans="1:1">
      <c r="A20981" t="s">
        <v>21513</v>
      </c>
    </row>
    <row r="20982" spans="1:1">
      <c r="A20982" t="s">
        <v>21514</v>
      </c>
    </row>
    <row r="20983" spans="1:1">
      <c r="A20983" t="s">
        <v>21515</v>
      </c>
    </row>
    <row r="20984" spans="1:1">
      <c r="A20984" t="s">
        <v>21516</v>
      </c>
    </row>
    <row r="20985" spans="1:1">
      <c r="A20985" t="s">
        <v>21517</v>
      </c>
    </row>
    <row r="20986" spans="1:1">
      <c r="A20986" t="s">
        <v>21518</v>
      </c>
    </row>
    <row r="20987" spans="1:1">
      <c r="A20987" t="s">
        <v>21519</v>
      </c>
    </row>
    <row r="20988" spans="1:1">
      <c r="A20988" t="s">
        <v>21520</v>
      </c>
    </row>
    <row r="20989" spans="1:1">
      <c r="A20989" t="s">
        <v>21521</v>
      </c>
    </row>
    <row r="20990" spans="1:1">
      <c r="A20990" t="s">
        <v>21522</v>
      </c>
    </row>
    <row r="20991" spans="1:1">
      <c r="A20991" t="s">
        <v>21523</v>
      </c>
    </row>
    <row r="20992" spans="1:1">
      <c r="A20992" t="s">
        <v>21524</v>
      </c>
    </row>
    <row r="20993" spans="1:1">
      <c r="A20993" t="s">
        <v>21525</v>
      </c>
    </row>
    <row r="20994" spans="1:1">
      <c r="A20994" t="s">
        <v>21526</v>
      </c>
    </row>
    <row r="20995" spans="1:1">
      <c r="A20995" t="s">
        <v>21527</v>
      </c>
    </row>
    <row r="20996" spans="1:1">
      <c r="A20996" t="s">
        <v>21528</v>
      </c>
    </row>
    <row r="20997" spans="1:1">
      <c r="A20997" t="s">
        <v>21529</v>
      </c>
    </row>
    <row r="20998" spans="1:1">
      <c r="A20998" t="s">
        <v>21530</v>
      </c>
    </row>
    <row r="20999" spans="1:1">
      <c r="A20999" t="s">
        <v>21531</v>
      </c>
    </row>
    <row r="21000" spans="1:1">
      <c r="A21000" t="s">
        <v>21532</v>
      </c>
    </row>
    <row r="21001" spans="1:1">
      <c r="A21001" t="s">
        <v>21533</v>
      </c>
    </row>
    <row r="21002" spans="1:1">
      <c r="A21002" t="s">
        <v>21534</v>
      </c>
    </row>
    <row r="21003" spans="1:1">
      <c r="A21003" t="s">
        <v>21535</v>
      </c>
    </row>
    <row r="21004" spans="1:1">
      <c r="A21004" t="s">
        <v>21536</v>
      </c>
    </row>
    <row r="21005" spans="1:1">
      <c r="A21005" t="s">
        <v>21537</v>
      </c>
    </row>
    <row r="21006" spans="1:1">
      <c r="A21006" t="s">
        <v>21538</v>
      </c>
    </row>
    <row r="21007" spans="1:1">
      <c r="A21007" t="s">
        <v>21539</v>
      </c>
    </row>
    <row r="21008" spans="1:1">
      <c r="A21008" t="s">
        <v>21540</v>
      </c>
    </row>
    <row r="21009" spans="1:1">
      <c r="A21009" t="s">
        <v>21541</v>
      </c>
    </row>
    <row r="21010" spans="1:1">
      <c r="A21010" t="s">
        <v>21542</v>
      </c>
    </row>
    <row r="21011" spans="1:1">
      <c r="A21011" t="s">
        <v>21543</v>
      </c>
    </row>
    <row r="21012" spans="1:1">
      <c r="A21012" t="s">
        <v>21544</v>
      </c>
    </row>
    <row r="21013" spans="1:1">
      <c r="A21013" t="s">
        <v>21545</v>
      </c>
    </row>
    <row r="21014" spans="1:1">
      <c r="A21014" t="s">
        <v>21546</v>
      </c>
    </row>
    <row r="21015" spans="1:1">
      <c r="A21015" t="s">
        <v>21547</v>
      </c>
    </row>
    <row r="21016" spans="1:1">
      <c r="A21016" t="s">
        <v>21548</v>
      </c>
    </row>
    <row r="21017" spans="1:1">
      <c r="A21017" t="s">
        <v>21549</v>
      </c>
    </row>
    <row r="21018" spans="1:1">
      <c r="A21018" t="s">
        <v>21550</v>
      </c>
    </row>
    <row r="21019" spans="1:1">
      <c r="A21019" t="s">
        <v>21551</v>
      </c>
    </row>
    <row r="21020" spans="1:1">
      <c r="A21020" t="s">
        <v>21552</v>
      </c>
    </row>
    <row r="21021" spans="1:1">
      <c r="A21021" t="s">
        <v>21553</v>
      </c>
    </row>
    <row r="21022" spans="1:1">
      <c r="A21022" t="s">
        <v>21554</v>
      </c>
    </row>
    <row r="21023" spans="1:1">
      <c r="A21023" t="s">
        <v>21555</v>
      </c>
    </row>
    <row r="21024" spans="1:1">
      <c r="A21024" t="s">
        <v>21556</v>
      </c>
    </row>
    <row r="21025" spans="1:1">
      <c r="A21025" t="s">
        <v>21557</v>
      </c>
    </row>
    <row r="21026" spans="1:1">
      <c r="A21026" t="s">
        <v>21558</v>
      </c>
    </row>
    <row r="21027" spans="1:1">
      <c r="A21027" t="s">
        <v>21559</v>
      </c>
    </row>
    <row r="21028" spans="1:1">
      <c r="A21028" t="s">
        <v>21560</v>
      </c>
    </row>
    <row r="21029" spans="1:1">
      <c r="A21029" t="s">
        <v>21561</v>
      </c>
    </row>
    <row r="21030" spans="1:1">
      <c r="A21030" t="s">
        <v>21562</v>
      </c>
    </row>
    <row r="21031" spans="1:1">
      <c r="A21031" t="s">
        <v>21563</v>
      </c>
    </row>
    <row r="21032" spans="1:1">
      <c r="A21032" t="s">
        <v>21564</v>
      </c>
    </row>
    <row r="21033" spans="1:1">
      <c r="A21033" t="s">
        <v>21565</v>
      </c>
    </row>
    <row r="21034" spans="1:1">
      <c r="A21034" t="s">
        <v>21566</v>
      </c>
    </row>
    <row r="21035" spans="1:1">
      <c r="A21035" t="s">
        <v>21567</v>
      </c>
    </row>
    <row r="21036" spans="1:1">
      <c r="A21036" t="s">
        <v>21568</v>
      </c>
    </row>
    <row r="21037" spans="1:1">
      <c r="A21037" t="s">
        <v>21569</v>
      </c>
    </row>
    <row r="21038" spans="1:1">
      <c r="A21038" t="s">
        <v>21570</v>
      </c>
    </row>
    <row r="21039" spans="1:1">
      <c r="A21039" t="s">
        <v>21571</v>
      </c>
    </row>
    <row r="21040" spans="1:1">
      <c r="A21040" t="s">
        <v>21572</v>
      </c>
    </row>
    <row r="21041" spans="1:1">
      <c r="A21041" t="s">
        <v>21573</v>
      </c>
    </row>
    <row r="21042" spans="1:1">
      <c r="A21042" t="s">
        <v>21574</v>
      </c>
    </row>
    <row r="21043" spans="1:1">
      <c r="A21043" t="s">
        <v>21575</v>
      </c>
    </row>
    <row r="21044" spans="1:1">
      <c r="A21044" t="s">
        <v>21576</v>
      </c>
    </row>
    <row r="21045" spans="1:1">
      <c r="A21045" t="s">
        <v>21577</v>
      </c>
    </row>
    <row r="21046" spans="1:1">
      <c r="A21046" t="s">
        <v>21578</v>
      </c>
    </row>
    <row r="21047" spans="1:1">
      <c r="A21047" t="s">
        <v>21579</v>
      </c>
    </row>
    <row r="21048" spans="1:1">
      <c r="A21048" t="s">
        <v>21580</v>
      </c>
    </row>
    <row r="21049" spans="1:1">
      <c r="A21049" t="s">
        <v>21581</v>
      </c>
    </row>
    <row r="21050" spans="1:1">
      <c r="A21050" t="s">
        <v>21582</v>
      </c>
    </row>
    <row r="21051" spans="1:1">
      <c r="A21051" t="s">
        <v>21583</v>
      </c>
    </row>
    <row r="21052" spans="1:1">
      <c r="A21052" t="s">
        <v>21584</v>
      </c>
    </row>
    <row r="21053" spans="1:1">
      <c r="A21053" t="s">
        <v>21585</v>
      </c>
    </row>
    <row r="21054" spans="1:1">
      <c r="A21054" t="s">
        <v>21586</v>
      </c>
    </row>
    <row r="21055" spans="1:1">
      <c r="A21055" t="s">
        <v>21587</v>
      </c>
    </row>
    <row r="21056" spans="1:1">
      <c r="A21056" t="s">
        <v>21588</v>
      </c>
    </row>
    <row r="21057" spans="1:1">
      <c r="A21057" t="s">
        <v>21589</v>
      </c>
    </row>
    <row r="21058" spans="1:1">
      <c r="A21058" t="s">
        <v>21590</v>
      </c>
    </row>
    <row r="21059" spans="1:1">
      <c r="A21059" t="s">
        <v>21591</v>
      </c>
    </row>
    <row r="21060" spans="1:1">
      <c r="A21060" t="s">
        <v>21592</v>
      </c>
    </row>
    <row r="21061" spans="1:1">
      <c r="A21061" t="s">
        <v>21593</v>
      </c>
    </row>
    <row r="21062" spans="1:1">
      <c r="A21062" t="s">
        <v>21594</v>
      </c>
    </row>
    <row r="21063" spans="1:1">
      <c r="A21063" t="s">
        <v>21595</v>
      </c>
    </row>
    <row r="21064" spans="1:1">
      <c r="A21064" t="s">
        <v>21596</v>
      </c>
    </row>
    <row r="21065" spans="1:1">
      <c r="A21065" t="s">
        <v>21597</v>
      </c>
    </row>
    <row r="21066" spans="1:1">
      <c r="A21066" t="s">
        <v>21598</v>
      </c>
    </row>
    <row r="21067" spans="1:1">
      <c r="A21067" t="s">
        <v>21599</v>
      </c>
    </row>
    <row r="21068" spans="1:1">
      <c r="A21068" t="s">
        <v>21600</v>
      </c>
    </row>
    <row r="21069" spans="1:1">
      <c r="A21069" t="s">
        <v>21601</v>
      </c>
    </row>
    <row r="21070" spans="1:1">
      <c r="A21070" t="s">
        <v>21602</v>
      </c>
    </row>
    <row r="21071" spans="1:1">
      <c r="A21071" t="s">
        <v>21603</v>
      </c>
    </row>
    <row r="21072" spans="1:1">
      <c r="A21072" t="s">
        <v>21604</v>
      </c>
    </row>
    <row r="21073" spans="1:1">
      <c r="A21073" t="s">
        <v>21605</v>
      </c>
    </row>
    <row r="21074" spans="1:1">
      <c r="A21074" t="s">
        <v>21606</v>
      </c>
    </row>
    <row r="21075" spans="1:1">
      <c r="A21075" t="s">
        <v>21607</v>
      </c>
    </row>
    <row r="21076" spans="1:1">
      <c r="A21076" t="s">
        <v>21608</v>
      </c>
    </row>
    <row r="21077" spans="1:1">
      <c r="A21077" t="s">
        <v>21609</v>
      </c>
    </row>
    <row r="21078" spans="1:1">
      <c r="A21078" t="s">
        <v>21610</v>
      </c>
    </row>
    <row r="21079" spans="1:1">
      <c r="A21079" t="s">
        <v>21611</v>
      </c>
    </row>
    <row r="21080" spans="1:1">
      <c r="A21080" t="s">
        <v>21612</v>
      </c>
    </row>
    <row r="21081" spans="1:1">
      <c r="A21081" t="s">
        <v>21613</v>
      </c>
    </row>
    <row r="21082" spans="1:1">
      <c r="A21082" t="s">
        <v>21614</v>
      </c>
    </row>
    <row r="21083" spans="1:1">
      <c r="A21083" t="s">
        <v>21615</v>
      </c>
    </row>
    <row r="21084" spans="1:1">
      <c r="A21084" t="s">
        <v>21616</v>
      </c>
    </row>
    <row r="21085" spans="1:1">
      <c r="A21085" t="s">
        <v>21617</v>
      </c>
    </row>
    <row r="21086" spans="1:1">
      <c r="A21086" t="s">
        <v>21618</v>
      </c>
    </row>
    <row r="21087" spans="1:1">
      <c r="A21087" t="s">
        <v>21619</v>
      </c>
    </row>
    <row r="21088" spans="1:1">
      <c r="A21088" t="s">
        <v>21620</v>
      </c>
    </row>
    <row r="21089" spans="1:1">
      <c r="A21089" t="s">
        <v>21621</v>
      </c>
    </row>
    <row r="21090" spans="1:1">
      <c r="A21090" t="s">
        <v>21622</v>
      </c>
    </row>
    <row r="21091" spans="1:1">
      <c r="A21091" t="s">
        <v>21623</v>
      </c>
    </row>
    <row r="21092" spans="1:1">
      <c r="A21092" t="s">
        <v>21624</v>
      </c>
    </row>
    <row r="21093" spans="1:1">
      <c r="A21093" t="s">
        <v>21625</v>
      </c>
    </row>
    <row r="21094" spans="1:1">
      <c r="A21094" t="s">
        <v>21626</v>
      </c>
    </row>
    <row r="21095" spans="1:1">
      <c r="A21095" t="s">
        <v>21627</v>
      </c>
    </row>
    <row r="21096" spans="1:1">
      <c r="A21096" t="s">
        <v>21628</v>
      </c>
    </row>
    <row r="21097" spans="1:1">
      <c r="A21097" t="s">
        <v>21629</v>
      </c>
    </row>
    <row r="21098" spans="1:1">
      <c r="A21098" t="s">
        <v>21630</v>
      </c>
    </row>
    <row r="21099" spans="1:1">
      <c r="A21099" t="s">
        <v>21631</v>
      </c>
    </row>
    <row r="21100" spans="1:1">
      <c r="A21100" t="s">
        <v>21632</v>
      </c>
    </row>
    <row r="21101" spans="1:1">
      <c r="A21101" t="s">
        <v>21633</v>
      </c>
    </row>
    <row r="21102" spans="1:1">
      <c r="A21102" t="s">
        <v>21634</v>
      </c>
    </row>
    <row r="21103" spans="1:1">
      <c r="A21103" t="s">
        <v>21635</v>
      </c>
    </row>
    <row r="21104" spans="1:1">
      <c r="A21104" t="s">
        <v>21636</v>
      </c>
    </row>
    <row r="21105" spans="1:1">
      <c r="A21105" t="s">
        <v>21637</v>
      </c>
    </row>
    <row r="21106" spans="1:1">
      <c r="A21106" t="s">
        <v>21638</v>
      </c>
    </row>
    <row r="21107" spans="1:1">
      <c r="A21107" t="s">
        <v>21639</v>
      </c>
    </row>
    <row r="21108" spans="1:1">
      <c r="A21108" t="s">
        <v>21640</v>
      </c>
    </row>
    <row r="21109" spans="1:1">
      <c r="A21109" t="s">
        <v>21641</v>
      </c>
    </row>
    <row r="21110" spans="1:1">
      <c r="A21110" t="s">
        <v>21642</v>
      </c>
    </row>
    <row r="21111" spans="1:1">
      <c r="A21111" t="s">
        <v>21643</v>
      </c>
    </row>
    <row r="21112" spans="1:1">
      <c r="A21112" t="s">
        <v>21644</v>
      </c>
    </row>
    <row r="21113" spans="1:1">
      <c r="A21113" t="s">
        <v>21645</v>
      </c>
    </row>
    <row r="21114" spans="1:1">
      <c r="A21114" t="s">
        <v>21646</v>
      </c>
    </row>
    <row r="21115" spans="1:1">
      <c r="A21115" t="s">
        <v>21647</v>
      </c>
    </row>
    <row r="21116" spans="1:1">
      <c r="A21116" t="s">
        <v>21648</v>
      </c>
    </row>
    <row r="21117" spans="1:1">
      <c r="A21117" t="s">
        <v>21649</v>
      </c>
    </row>
    <row r="21118" spans="1:1">
      <c r="A21118" t="s">
        <v>21650</v>
      </c>
    </row>
    <row r="21119" spans="1:1">
      <c r="A21119" t="s">
        <v>21651</v>
      </c>
    </row>
    <row r="21120" spans="1:1">
      <c r="A21120" t="s">
        <v>21652</v>
      </c>
    </row>
    <row r="21121" spans="1:1">
      <c r="A21121" t="s">
        <v>21653</v>
      </c>
    </row>
    <row r="21122" spans="1:1">
      <c r="A21122" t="s">
        <v>21654</v>
      </c>
    </row>
    <row r="21123" spans="1:1">
      <c r="A21123" t="s">
        <v>21655</v>
      </c>
    </row>
    <row r="21124" spans="1:1">
      <c r="A21124" t="s">
        <v>21656</v>
      </c>
    </row>
    <row r="21125" spans="1:1">
      <c r="A21125" t="s">
        <v>21657</v>
      </c>
    </row>
    <row r="21126" spans="1:1">
      <c r="A21126" t="s">
        <v>21658</v>
      </c>
    </row>
    <row r="21127" spans="1:1">
      <c r="A21127" t="s">
        <v>21659</v>
      </c>
    </row>
    <row r="21128" spans="1:1">
      <c r="A21128" t="s">
        <v>21660</v>
      </c>
    </row>
    <row r="21129" spans="1:1">
      <c r="A21129" t="s">
        <v>21661</v>
      </c>
    </row>
    <row r="21130" spans="1:1">
      <c r="A21130" t="s">
        <v>21662</v>
      </c>
    </row>
    <row r="21131" spans="1:1">
      <c r="A21131" t="s">
        <v>21663</v>
      </c>
    </row>
    <row r="21132" spans="1:1">
      <c r="A21132" t="s">
        <v>21664</v>
      </c>
    </row>
    <row r="21133" spans="1:1">
      <c r="A21133" t="s">
        <v>21665</v>
      </c>
    </row>
    <row r="21134" spans="1:1">
      <c r="A21134" t="s">
        <v>21666</v>
      </c>
    </row>
    <row r="21135" spans="1:1">
      <c r="A21135" t="s">
        <v>21667</v>
      </c>
    </row>
    <row r="21136" spans="1:1">
      <c r="A21136" t="s">
        <v>21668</v>
      </c>
    </row>
    <row r="21137" spans="1:1">
      <c r="A21137" t="s">
        <v>21669</v>
      </c>
    </row>
    <row r="21138" spans="1:1">
      <c r="A21138" t="s">
        <v>21670</v>
      </c>
    </row>
    <row r="21139" spans="1:1">
      <c r="A21139" t="s">
        <v>21671</v>
      </c>
    </row>
    <row r="21140" spans="1:1">
      <c r="A21140" t="s">
        <v>21672</v>
      </c>
    </row>
    <row r="21141" spans="1:1">
      <c r="A21141" t="s">
        <v>21673</v>
      </c>
    </row>
    <row r="21142" spans="1:1">
      <c r="A21142" t="s">
        <v>21674</v>
      </c>
    </row>
    <row r="21143" spans="1:1">
      <c r="A21143" t="s">
        <v>21675</v>
      </c>
    </row>
    <row r="21144" spans="1:1">
      <c r="A21144" t="s">
        <v>21676</v>
      </c>
    </row>
    <row r="21145" spans="1:1">
      <c r="A21145" t="s">
        <v>21677</v>
      </c>
    </row>
    <row r="21146" spans="1:1">
      <c r="A21146" t="s">
        <v>21678</v>
      </c>
    </row>
    <row r="21147" spans="1:1">
      <c r="A21147" t="s">
        <v>21679</v>
      </c>
    </row>
    <row r="21148" spans="1:1">
      <c r="A21148" t="s">
        <v>21680</v>
      </c>
    </row>
    <row r="21149" spans="1:1">
      <c r="A21149" t="s">
        <v>21681</v>
      </c>
    </row>
    <row r="21150" spans="1:1">
      <c r="A21150" t="s">
        <v>21682</v>
      </c>
    </row>
    <row r="21151" spans="1:1">
      <c r="A21151" t="s">
        <v>21683</v>
      </c>
    </row>
    <row r="21152" spans="1:1">
      <c r="A21152" t="s">
        <v>21684</v>
      </c>
    </row>
    <row r="21153" spans="1:1">
      <c r="A21153" t="s">
        <v>21685</v>
      </c>
    </row>
    <row r="21154" spans="1:1">
      <c r="A21154" t="s">
        <v>21686</v>
      </c>
    </row>
    <row r="21155" spans="1:1">
      <c r="A21155" t="s">
        <v>21687</v>
      </c>
    </row>
    <row r="21156" spans="1:1">
      <c r="A21156" t="s">
        <v>21688</v>
      </c>
    </row>
    <row r="21157" spans="1:1">
      <c r="A21157" t="s">
        <v>21689</v>
      </c>
    </row>
    <row r="21158" spans="1:1">
      <c r="A21158" t="s">
        <v>21690</v>
      </c>
    </row>
    <row r="21159" spans="1:1">
      <c r="A21159" t="s">
        <v>21691</v>
      </c>
    </row>
    <row r="21160" spans="1:1">
      <c r="A21160" t="s">
        <v>21692</v>
      </c>
    </row>
    <row r="21161" spans="1:1">
      <c r="A21161" t="s">
        <v>21693</v>
      </c>
    </row>
    <row r="21162" spans="1:1">
      <c r="A21162" t="s">
        <v>21694</v>
      </c>
    </row>
    <row r="21163" spans="1:1">
      <c r="A21163" t="s">
        <v>21695</v>
      </c>
    </row>
    <row r="21164" spans="1:1">
      <c r="A21164" t="s">
        <v>21696</v>
      </c>
    </row>
    <row r="21165" spans="1:1">
      <c r="A21165" t="s">
        <v>21697</v>
      </c>
    </row>
    <row r="21166" spans="1:1">
      <c r="A21166" t="s">
        <v>21698</v>
      </c>
    </row>
    <row r="21167" spans="1:1">
      <c r="A21167" t="s">
        <v>21699</v>
      </c>
    </row>
    <row r="21168" spans="1:1">
      <c r="A21168" t="s">
        <v>21700</v>
      </c>
    </row>
    <row r="21169" spans="1:1">
      <c r="A21169" t="s">
        <v>21701</v>
      </c>
    </row>
    <row r="21170" spans="1:1">
      <c r="A21170" t="s">
        <v>21702</v>
      </c>
    </row>
    <row r="21171" spans="1:1">
      <c r="A21171" t="s">
        <v>21703</v>
      </c>
    </row>
    <row r="21172" spans="1:1">
      <c r="A21172" t="s">
        <v>21704</v>
      </c>
    </row>
    <row r="21173" spans="1:1">
      <c r="A21173" t="s">
        <v>21705</v>
      </c>
    </row>
    <row r="21174" spans="1:1">
      <c r="A21174" t="s">
        <v>21706</v>
      </c>
    </row>
    <row r="21175" spans="1:1">
      <c r="A21175" t="s">
        <v>21707</v>
      </c>
    </row>
    <row r="21176" spans="1:1">
      <c r="A21176" t="s">
        <v>21708</v>
      </c>
    </row>
    <row r="21177" spans="1:1">
      <c r="A21177" t="s">
        <v>21709</v>
      </c>
    </row>
    <row r="21178" spans="1:1">
      <c r="A21178" t="s">
        <v>21710</v>
      </c>
    </row>
    <row r="21179" spans="1:1">
      <c r="A21179" t="s">
        <v>21711</v>
      </c>
    </row>
    <row r="21180" spans="1:1">
      <c r="A21180" t="s">
        <v>21712</v>
      </c>
    </row>
    <row r="21181" spans="1:1">
      <c r="A21181" t="s">
        <v>21713</v>
      </c>
    </row>
    <row r="21182" spans="1:1">
      <c r="A21182" t="s">
        <v>21714</v>
      </c>
    </row>
    <row r="21183" spans="1:1">
      <c r="A21183" t="s">
        <v>21715</v>
      </c>
    </row>
    <row r="21184" spans="1:1">
      <c r="A21184" t="s">
        <v>21716</v>
      </c>
    </row>
    <row r="21185" spans="1:1">
      <c r="A21185" t="s">
        <v>21717</v>
      </c>
    </row>
    <row r="21186" spans="1:1">
      <c r="A21186" t="s">
        <v>21718</v>
      </c>
    </row>
    <row r="21187" spans="1:1">
      <c r="A21187" t="s">
        <v>21719</v>
      </c>
    </row>
    <row r="21188" spans="1:1">
      <c r="A21188" t="s">
        <v>21720</v>
      </c>
    </row>
    <row r="21189" spans="1:1">
      <c r="A21189" t="s">
        <v>21721</v>
      </c>
    </row>
    <row r="21190" spans="1:1">
      <c r="A21190" t="s">
        <v>21722</v>
      </c>
    </row>
    <row r="21191" spans="1:1">
      <c r="A21191" t="s">
        <v>21723</v>
      </c>
    </row>
    <row r="21192" spans="1:1">
      <c r="A21192" t="s">
        <v>21724</v>
      </c>
    </row>
    <row r="21193" spans="1:1">
      <c r="A21193" t="s">
        <v>21725</v>
      </c>
    </row>
    <row r="21194" spans="1:1">
      <c r="A21194" t="s">
        <v>21726</v>
      </c>
    </row>
    <row r="21195" spans="1:1">
      <c r="A21195" t="s">
        <v>21727</v>
      </c>
    </row>
    <row r="21196" spans="1:1">
      <c r="A21196" t="s">
        <v>21728</v>
      </c>
    </row>
    <row r="21197" spans="1:1">
      <c r="A21197" t="s">
        <v>21729</v>
      </c>
    </row>
    <row r="21198" spans="1:1">
      <c r="A21198" t="s">
        <v>21730</v>
      </c>
    </row>
    <row r="21199" spans="1:1">
      <c r="A21199" t="s">
        <v>21731</v>
      </c>
    </row>
    <row r="21200" spans="1:1">
      <c r="A21200" t="s">
        <v>21732</v>
      </c>
    </row>
    <row r="21201" spans="1:1">
      <c r="A21201" t="s">
        <v>21733</v>
      </c>
    </row>
    <row r="21202" spans="1:1">
      <c r="A21202" t="s">
        <v>21734</v>
      </c>
    </row>
    <row r="21203" spans="1:1">
      <c r="A21203" t="s">
        <v>21735</v>
      </c>
    </row>
    <row r="21204" spans="1:1">
      <c r="A21204" t="s">
        <v>21736</v>
      </c>
    </row>
    <row r="21205" spans="1:1">
      <c r="A21205" t="s">
        <v>21737</v>
      </c>
    </row>
    <row r="21206" spans="1:1">
      <c r="A21206" t="s">
        <v>21738</v>
      </c>
    </row>
    <row r="21207" spans="1:1">
      <c r="A21207" t="s">
        <v>21739</v>
      </c>
    </row>
    <row r="21208" spans="1:1">
      <c r="A21208" t="s">
        <v>21740</v>
      </c>
    </row>
    <row r="21209" spans="1:1">
      <c r="A21209" t="s">
        <v>21741</v>
      </c>
    </row>
    <row r="21210" spans="1:1">
      <c r="A21210" t="s">
        <v>21742</v>
      </c>
    </row>
    <row r="21211" spans="1:1">
      <c r="A21211" t="s">
        <v>21743</v>
      </c>
    </row>
    <row r="21212" spans="1:1">
      <c r="A21212" t="s">
        <v>21744</v>
      </c>
    </row>
    <row r="21213" spans="1:1">
      <c r="A21213" t="s">
        <v>21745</v>
      </c>
    </row>
    <row r="21214" spans="1:1">
      <c r="A21214" t="s">
        <v>21746</v>
      </c>
    </row>
    <row r="21215" spans="1:1">
      <c r="A21215" t="s">
        <v>21747</v>
      </c>
    </row>
    <row r="21216" spans="1:1">
      <c r="A21216" t="s">
        <v>21748</v>
      </c>
    </row>
    <row r="21217" spans="1:1">
      <c r="A21217" t="s">
        <v>21749</v>
      </c>
    </row>
    <row r="21218" spans="1:1">
      <c r="A21218" t="s">
        <v>21750</v>
      </c>
    </row>
    <row r="21219" spans="1:1">
      <c r="A21219" t="s">
        <v>21751</v>
      </c>
    </row>
    <row r="21220" spans="1:1">
      <c r="A21220" t="s">
        <v>21752</v>
      </c>
    </row>
    <row r="21221" spans="1:1">
      <c r="A21221" t="s">
        <v>21753</v>
      </c>
    </row>
    <row r="21222" spans="1:1">
      <c r="A21222" t="s">
        <v>21754</v>
      </c>
    </row>
    <row r="21223" spans="1:1">
      <c r="A21223" t="s">
        <v>21755</v>
      </c>
    </row>
    <row r="21224" spans="1:1">
      <c r="A21224" t="s">
        <v>21756</v>
      </c>
    </row>
    <row r="21225" spans="1:1">
      <c r="A21225" t="s">
        <v>21757</v>
      </c>
    </row>
    <row r="21226" spans="1:1">
      <c r="A21226" t="s">
        <v>21758</v>
      </c>
    </row>
    <row r="21227" spans="1:1">
      <c r="A21227" t="s">
        <v>21759</v>
      </c>
    </row>
    <row r="21228" spans="1:1">
      <c r="A21228" t="s">
        <v>21760</v>
      </c>
    </row>
    <row r="21229" spans="1:1">
      <c r="A21229" t="s">
        <v>21761</v>
      </c>
    </row>
    <row r="21230" spans="1:1">
      <c r="A21230" t="s">
        <v>21762</v>
      </c>
    </row>
    <row r="21231" spans="1:1">
      <c r="A21231" t="s">
        <v>21763</v>
      </c>
    </row>
    <row r="21232" spans="1:1">
      <c r="A21232" t="s">
        <v>21764</v>
      </c>
    </row>
    <row r="21233" spans="1:1">
      <c r="A21233" t="s">
        <v>21765</v>
      </c>
    </row>
    <row r="21234" spans="1:1">
      <c r="A21234" t="s">
        <v>21766</v>
      </c>
    </row>
    <row r="21235" spans="1:1">
      <c r="A21235" t="s">
        <v>21767</v>
      </c>
    </row>
    <row r="21236" spans="1:1">
      <c r="A21236" t="s">
        <v>21768</v>
      </c>
    </row>
    <row r="21237" spans="1:1">
      <c r="A21237" t="s">
        <v>21769</v>
      </c>
    </row>
    <row r="21238" spans="1:1">
      <c r="A21238" t="s">
        <v>21770</v>
      </c>
    </row>
    <row r="21239" spans="1:1">
      <c r="A21239" t="s">
        <v>21771</v>
      </c>
    </row>
    <row r="21240" spans="1:1">
      <c r="A21240" t="s">
        <v>21772</v>
      </c>
    </row>
    <row r="21241" spans="1:1">
      <c r="A21241" t="s">
        <v>21773</v>
      </c>
    </row>
    <row r="21242" spans="1:1">
      <c r="A21242" t="s">
        <v>21774</v>
      </c>
    </row>
    <row r="21243" spans="1:1">
      <c r="A21243" t="s">
        <v>21775</v>
      </c>
    </row>
    <row r="21244" spans="1:1">
      <c r="A21244" t="s">
        <v>21776</v>
      </c>
    </row>
    <row r="21245" spans="1:1">
      <c r="A21245" t="s">
        <v>21777</v>
      </c>
    </row>
    <row r="21246" spans="1:1">
      <c r="A21246" t="s">
        <v>21778</v>
      </c>
    </row>
    <row r="21247" spans="1:1">
      <c r="A21247" t="s">
        <v>21779</v>
      </c>
    </row>
    <row r="21248" spans="1:1">
      <c r="A21248" t="s">
        <v>21780</v>
      </c>
    </row>
    <row r="21249" spans="1:1">
      <c r="A21249" t="s">
        <v>21781</v>
      </c>
    </row>
    <row r="21250" spans="1:1">
      <c r="A21250" t="s">
        <v>21782</v>
      </c>
    </row>
    <row r="21251" spans="1:1">
      <c r="A21251" t="s">
        <v>21783</v>
      </c>
    </row>
    <row r="21252" spans="1:1">
      <c r="A21252" t="s">
        <v>21784</v>
      </c>
    </row>
    <row r="21253" spans="1:1">
      <c r="A21253" t="s">
        <v>21785</v>
      </c>
    </row>
    <row r="21254" spans="1:1">
      <c r="A21254" t="s">
        <v>21786</v>
      </c>
    </row>
    <row r="21255" spans="1:1">
      <c r="A21255" t="s">
        <v>21787</v>
      </c>
    </row>
    <row r="21256" spans="1:1">
      <c r="A21256" t="s">
        <v>21788</v>
      </c>
    </row>
    <row r="21257" spans="1:1">
      <c r="A21257" t="s">
        <v>21789</v>
      </c>
    </row>
    <row r="21258" spans="1:1">
      <c r="A21258" t="s">
        <v>21790</v>
      </c>
    </row>
    <row r="21259" spans="1:1">
      <c r="A21259" t="s">
        <v>21791</v>
      </c>
    </row>
    <row r="21260" spans="1:1">
      <c r="A21260" t="s">
        <v>21792</v>
      </c>
    </row>
    <row r="21261" spans="1:1">
      <c r="A21261" t="s">
        <v>21793</v>
      </c>
    </row>
    <row r="21262" spans="1:1">
      <c r="A21262" t="s">
        <v>21794</v>
      </c>
    </row>
    <row r="21263" spans="1:1">
      <c r="A21263" t="s">
        <v>21795</v>
      </c>
    </row>
    <row r="21264" spans="1:1">
      <c r="A21264" t="s">
        <v>21796</v>
      </c>
    </row>
    <row r="21265" spans="1:1">
      <c r="A21265" t="s">
        <v>21797</v>
      </c>
    </row>
    <row r="21266" spans="1:1">
      <c r="A21266" t="s">
        <v>21798</v>
      </c>
    </row>
    <row r="21267" spans="1:1">
      <c r="A21267" t="s">
        <v>21799</v>
      </c>
    </row>
    <row r="21268" spans="1:1">
      <c r="A21268" t="s">
        <v>21800</v>
      </c>
    </row>
    <row r="21269" spans="1:1">
      <c r="A21269" t="s">
        <v>21801</v>
      </c>
    </row>
    <row r="21270" spans="1:1">
      <c r="A21270" t="s">
        <v>21802</v>
      </c>
    </row>
    <row r="21271" spans="1:1">
      <c r="A21271" t="s">
        <v>21803</v>
      </c>
    </row>
    <row r="21272" spans="1:1">
      <c r="A21272" t="s">
        <v>21804</v>
      </c>
    </row>
    <row r="21273" spans="1:1">
      <c r="A21273" t="s">
        <v>21805</v>
      </c>
    </row>
    <row r="21274" spans="1:1">
      <c r="A21274" t="s">
        <v>21806</v>
      </c>
    </row>
    <row r="21275" spans="1:1">
      <c r="A21275" t="s">
        <v>21807</v>
      </c>
    </row>
    <row r="21276" spans="1:1">
      <c r="A21276" t="s">
        <v>21808</v>
      </c>
    </row>
    <row r="21277" spans="1:1">
      <c r="A21277" t="s">
        <v>21809</v>
      </c>
    </row>
    <row r="21278" spans="1:1">
      <c r="A21278" t="s">
        <v>21810</v>
      </c>
    </row>
    <row r="21279" spans="1:1">
      <c r="A21279" t="s">
        <v>21811</v>
      </c>
    </row>
    <row r="21280" spans="1:1">
      <c r="A21280" t="s">
        <v>21812</v>
      </c>
    </row>
    <row r="21281" spans="1:1">
      <c r="A21281" t="s">
        <v>21813</v>
      </c>
    </row>
    <row r="21282" spans="1:1">
      <c r="A21282" t="s">
        <v>21814</v>
      </c>
    </row>
    <row r="21283" spans="1:1">
      <c r="A21283" t="s">
        <v>21815</v>
      </c>
    </row>
    <row r="21284" spans="1:1">
      <c r="A21284" t="s">
        <v>21816</v>
      </c>
    </row>
    <row r="21285" spans="1:1">
      <c r="A21285" t="s">
        <v>21817</v>
      </c>
    </row>
    <row r="21286" spans="1:1">
      <c r="A21286" t="s">
        <v>21818</v>
      </c>
    </row>
    <row r="21287" spans="1:1">
      <c r="A21287" t="s">
        <v>21819</v>
      </c>
    </row>
    <row r="21288" spans="1:1">
      <c r="A21288" t="s">
        <v>21820</v>
      </c>
    </row>
    <row r="21289" spans="1:1">
      <c r="A21289" t="s">
        <v>21821</v>
      </c>
    </row>
    <row r="21290" spans="1:1">
      <c r="A21290" t="s">
        <v>21822</v>
      </c>
    </row>
    <row r="21291" spans="1:1">
      <c r="A21291" t="s">
        <v>21823</v>
      </c>
    </row>
    <row r="21292" spans="1:1">
      <c r="A21292" t="s">
        <v>21824</v>
      </c>
    </row>
    <row r="21293" spans="1:1">
      <c r="A21293" t="s">
        <v>21825</v>
      </c>
    </row>
    <row r="21294" spans="1:1">
      <c r="A21294" t="s">
        <v>21826</v>
      </c>
    </row>
    <row r="21295" spans="1:1">
      <c r="A21295" t="s">
        <v>21827</v>
      </c>
    </row>
    <row r="21296" spans="1:1">
      <c r="A21296" t="s">
        <v>21828</v>
      </c>
    </row>
    <row r="21297" spans="1:1">
      <c r="A21297" t="s">
        <v>21829</v>
      </c>
    </row>
    <row r="21298" spans="1:1">
      <c r="A21298" t="s">
        <v>21830</v>
      </c>
    </row>
    <row r="21299" spans="1:1">
      <c r="A21299" t="s">
        <v>21831</v>
      </c>
    </row>
    <row r="21300" spans="1:1">
      <c r="A21300" t="s">
        <v>21832</v>
      </c>
    </row>
    <row r="21301" spans="1:1">
      <c r="A21301" t="s">
        <v>21833</v>
      </c>
    </row>
    <row r="21302" spans="1:1">
      <c r="A21302" t="s">
        <v>21834</v>
      </c>
    </row>
    <row r="21303" spans="1:1">
      <c r="A21303" t="s">
        <v>21835</v>
      </c>
    </row>
    <row r="21304" spans="1:1">
      <c r="A21304" t="s">
        <v>21836</v>
      </c>
    </row>
    <row r="21305" spans="1:1">
      <c r="A21305" t="s">
        <v>21837</v>
      </c>
    </row>
    <row r="21306" spans="1:1">
      <c r="A21306" t="s">
        <v>21838</v>
      </c>
    </row>
    <row r="21307" spans="1:1">
      <c r="A21307" t="s">
        <v>21839</v>
      </c>
    </row>
    <row r="21308" spans="1:1">
      <c r="A21308" t="s">
        <v>21840</v>
      </c>
    </row>
    <row r="21309" spans="1:1">
      <c r="A21309" t="s">
        <v>21841</v>
      </c>
    </row>
    <row r="21310" spans="1:1">
      <c r="A21310" t="s">
        <v>21842</v>
      </c>
    </row>
    <row r="21311" spans="1:1">
      <c r="A21311" t="s">
        <v>21843</v>
      </c>
    </row>
    <row r="21312" spans="1:1">
      <c r="A21312" t="s">
        <v>21844</v>
      </c>
    </row>
    <row r="21313" spans="1:1">
      <c r="A21313" t="s">
        <v>21845</v>
      </c>
    </row>
    <row r="21314" spans="1:1">
      <c r="A21314" t="s">
        <v>21846</v>
      </c>
    </row>
    <row r="21315" spans="1:1">
      <c r="A21315" t="s">
        <v>21847</v>
      </c>
    </row>
    <row r="21316" spans="1:1">
      <c r="A21316" t="s">
        <v>21848</v>
      </c>
    </row>
    <row r="21317" spans="1:1">
      <c r="A21317" t="s">
        <v>21849</v>
      </c>
    </row>
    <row r="21318" spans="1:1">
      <c r="A21318" t="s">
        <v>21850</v>
      </c>
    </row>
    <row r="21319" spans="1:1">
      <c r="A21319" t="s">
        <v>21851</v>
      </c>
    </row>
    <row r="21320" spans="1:1">
      <c r="A21320" t="s">
        <v>21852</v>
      </c>
    </row>
    <row r="21321" spans="1:1">
      <c r="A21321" t="s">
        <v>21853</v>
      </c>
    </row>
    <row r="21322" spans="1:1">
      <c r="A21322" t="s">
        <v>21854</v>
      </c>
    </row>
    <row r="21323" spans="1:1">
      <c r="A21323" t="s">
        <v>21855</v>
      </c>
    </row>
    <row r="21324" spans="1:1">
      <c r="A21324" t="s">
        <v>21856</v>
      </c>
    </row>
    <row r="21325" spans="1:1">
      <c r="A21325" t="s">
        <v>21857</v>
      </c>
    </row>
    <row r="21326" spans="1:1">
      <c r="A21326" t="s">
        <v>21858</v>
      </c>
    </row>
    <row r="21327" spans="1:1">
      <c r="A21327" t="s">
        <v>21859</v>
      </c>
    </row>
    <row r="21328" spans="1:1">
      <c r="A21328" t="s">
        <v>21860</v>
      </c>
    </row>
    <row r="21329" spans="1:1">
      <c r="A21329" t="s">
        <v>21861</v>
      </c>
    </row>
    <row r="21330" spans="1:1">
      <c r="A21330" t="s">
        <v>21862</v>
      </c>
    </row>
    <row r="21331" spans="1:1">
      <c r="A21331" t="s">
        <v>21863</v>
      </c>
    </row>
    <row r="21332" spans="1:1">
      <c r="A21332" t="s">
        <v>21864</v>
      </c>
    </row>
    <row r="21333" spans="1:1">
      <c r="A21333" t="s">
        <v>21865</v>
      </c>
    </row>
    <row r="21334" spans="1:1">
      <c r="A21334" t="s">
        <v>21866</v>
      </c>
    </row>
    <row r="21335" spans="1:1">
      <c r="A21335" t="s">
        <v>21867</v>
      </c>
    </row>
    <row r="21336" spans="1:1">
      <c r="A21336" t="s">
        <v>21868</v>
      </c>
    </row>
    <row r="21337" spans="1:1">
      <c r="A21337" t="s">
        <v>21869</v>
      </c>
    </row>
    <row r="21338" spans="1:1">
      <c r="A21338" t="s">
        <v>21870</v>
      </c>
    </row>
    <row r="21339" spans="1:1">
      <c r="A21339" t="s">
        <v>21871</v>
      </c>
    </row>
    <row r="21340" spans="1:1">
      <c r="A21340" t="s">
        <v>21872</v>
      </c>
    </row>
    <row r="21341" spans="1:1">
      <c r="A21341" t="s">
        <v>21873</v>
      </c>
    </row>
    <row r="21342" spans="1:1">
      <c r="A21342" t="s">
        <v>21874</v>
      </c>
    </row>
    <row r="21343" spans="1:1">
      <c r="A21343" t="s">
        <v>21875</v>
      </c>
    </row>
    <row r="21344" spans="1:1">
      <c r="A21344" t="s">
        <v>21876</v>
      </c>
    </row>
    <row r="21345" spans="1:1">
      <c r="A21345" t="s">
        <v>21877</v>
      </c>
    </row>
    <row r="21346" spans="1:1">
      <c r="A21346" t="s">
        <v>21878</v>
      </c>
    </row>
    <row r="21347" spans="1:1">
      <c r="A21347" t="s">
        <v>21879</v>
      </c>
    </row>
    <row r="21348" spans="1:1">
      <c r="A21348" t="s">
        <v>21880</v>
      </c>
    </row>
    <row r="21349" spans="1:1">
      <c r="A21349" t="s">
        <v>21881</v>
      </c>
    </row>
    <row r="21350" spans="1:1">
      <c r="A21350" t="s">
        <v>21882</v>
      </c>
    </row>
    <row r="21351" spans="1:1">
      <c r="A21351" t="s">
        <v>21883</v>
      </c>
    </row>
    <row r="21352" spans="1:1">
      <c r="A21352" t="s">
        <v>21884</v>
      </c>
    </row>
    <row r="21353" spans="1:1">
      <c r="A21353" t="s">
        <v>21885</v>
      </c>
    </row>
    <row r="21354" spans="1:1">
      <c r="A21354" t="s">
        <v>21886</v>
      </c>
    </row>
    <row r="21355" spans="1:1">
      <c r="A21355" t="s">
        <v>21887</v>
      </c>
    </row>
    <row r="21356" spans="1:1">
      <c r="A21356" t="s">
        <v>21888</v>
      </c>
    </row>
    <row r="21357" spans="1:1">
      <c r="A21357" t="s">
        <v>21889</v>
      </c>
    </row>
    <row r="21358" spans="1:1">
      <c r="A21358" t="s">
        <v>21890</v>
      </c>
    </row>
    <row r="21359" spans="1:1">
      <c r="A21359" t="s">
        <v>21891</v>
      </c>
    </row>
    <row r="21360" spans="1:1">
      <c r="A21360" t="s">
        <v>21892</v>
      </c>
    </row>
    <row r="21361" spans="1:1">
      <c r="A21361" t="s">
        <v>21893</v>
      </c>
    </row>
    <row r="21362" spans="1:1">
      <c r="A21362" t="s">
        <v>21894</v>
      </c>
    </row>
    <row r="21363" spans="1:1">
      <c r="A21363" t="s">
        <v>21895</v>
      </c>
    </row>
    <row r="21364" spans="1:1">
      <c r="A21364" t="s">
        <v>21896</v>
      </c>
    </row>
    <row r="21365" spans="1:1">
      <c r="A21365" t="s">
        <v>21897</v>
      </c>
    </row>
    <row r="21366" spans="1:1">
      <c r="A21366" t="s">
        <v>21898</v>
      </c>
    </row>
    <row r="21367" spans="1:1">
      <c r="A21367" t="s">
        <v>21899</v>
      </c>
    </row>
    <row r="21368" spans="1:1">
      <c r="A21368" t="s">
        <v>21900</v>
      </c>
    </row>
    <row r="21369" spans="1:1">
      <c r="A21369" t="s">
        <v>21901</v>
      </c>
    </row>
    <row r="21370" spans="1:1">
      <c r="A21370" t="s">
        <v>21902</v>
      </c>
    </row>
    <row r="21371" spans="1:1">
      <c r="A21371" t="s">
        <v>21903</v>
      </c>
    </row>
    <row r="21372" spans="1:1">
      <c r="A21372" t="s">
        <v>21904</v>
      </c>
    </row>
    <row r="21373" spans="1:1">
      <c r="A21373" t="s">
        <v>21905</v>
      </c>
    </row>
    <row r="21374" spans="1:1">
      <c r="A21374" t="s">
        <v>21906</v>
      </c>
    </row>
    <row r="21375" spans="1:1">
      <c r="A21375" t="s">
        <v>21907</v>
      </c>
    </row>
    <row r="21376" spans="1:1">
      <c r="A21376" t="s">
        <v>21908</v>
      </c>
    </row>
    <row r="21377" spans="1:1">
      <c r="A21377" t="s">
        <v>21909</v>
      </c>
    </row>
    <row r="21378" spans="1:1">
      <c r="A21378" t="s">
        <v>21910</v>
      </c>
    </row>
    <row r="21379" spans="1:1">
      <c r="A21379" t="s">
        <v>21911</v>
      </c>
    </row>
    <row r="21380" spans="1:1">
      <c r="A21380" t="s">
        <v>21912</v>
      </c>
    </row>
    <row r="21381" spans="1:1">
      <c r="A21381" t="s">
        <v>21913</v>
      </c>
    </row>
    <row r="21382" spans="1:1">
      <c r="A21382" t="s">
        <v>21914</v>
      </c>
    </row>
    <row r="21383" spans="1:1">
      <c r="A21383" t="s">
        <v>21915</v>
      </c>
    </row>
    <row r="21384" spans="1:1">
      <c r="A21384" t="s">
        <v>21916</v>
      </c>
    </row>
    <row r="21385" spans="1:1">
      <c r="A21385" t="s">
        <v>21917</v>
      </c>
    </row>
    <row r="21386" spans="1:1">
      <c r="A21386" t="s">
        <v>21918</v>
      </c>
    </row>
    <row r="21387" spans="1:1">
      <c r="A21387" t="s">
        <v>21919</v>
      </c>
    </row>
    <row r="21388" spans="1:1">
      <c r="A21388" t="s">
        <v>21920</v>
      </c>
    </row>
    <row r="21389" spans="1:1">
      <c r="A21389" t="s">
        <v>21921</v>
      </c>
    </row>
    <row r="21390" spans="1:1">
      <c r="A21390" t="s">
        <v>21922</v>
      </c>
    </row>
    <row r="21391" spans="1:1">
      <c r="A21391" t="s">
        <v>21923</v>
      </c>
    </row>
    <row r="21392" spans="1:1">
      <c r="A21392" t="s">
        <v>21924</v>
      </c>
    </row>
    <row r="21393" spans="1:1">
      <c r="A21393" t="s">
        <v>21925</v>
      </c>
    </row>
    <row r="21394" spans="1:1">
      <c r="A21394" t="s">
        <v>21926</v>
      </c>
    </row>
    <row r="21395" spans="1:1">
      <c r="A21395" t="s">
        <v>21927</v>
      </c>
    </row>
    <row r="21396" spans="1:1">
      <c r="A21396" t="s">
        <v>21928</v>
      </c>
    </row>
    <row r="21397" spans="1:1">
      <c r="A21397" t="s">
        <v>21929</v>
      </c>
    </row>
    <row r="21398" spans="1:1">
      <c r="A21398" t="s">
        <v>21930</v>
      </c>
    </row>
    <row r="21399" spans="1:1">
      <c r="A21399" t="s">
        <v>21931</v>
      </c>
    </row>
    <row r="21400" spans="1:1">
      <c r="A21400" t="s">
        <v>21932</v>
      </c>
    </row>
    <row r="21401" spans="1:1">
      <c r="A21401" t="s">
        <v>21933</v>
      </c>
    </row>
    <row r="21402" spans="1:1">
      <c r="A21402" t="s">
        <v>21934</v>
      </c>
    </row>
    <row r="21403" spans="1:1">
      <c r="A21403" t="s">
        <v>21935</v>
      </c>
    </row>
    <row r="21404" spans="1:1">
      <c r="A21404" t="s">
        <v>21936</v>
      </c>
    </row>
    <row r="21405" spans="1:1">
      <c r="A21405" t="s">
        <v>21937</v>
      </c>
    </row>
    <row r="21406" spans="1:1">
      <c r="A21406" t="s">
        <v>21938</v>
      </c>
    </row>
    <row r="21407" spans="1:1">
      <c r="A21407" t="s">
        <v>21939</v>
      </c>
    </row>
    <row r="21408" spans="1:1">
      <c r="A21408" t="s">
        <v>21940</v>
      </c>
    </row>
    <row r="21409" spans="1:1">
      <c r="A21409" t="s">
        <v>21941</v>
      </c>
    </row>
    <row r="21410" spans="1:1">
      <c r="A21410" t="s">
        <v>21942</v>
      </c>
    </row>
    <row r="21411" spans="1:1">
      <c r="A21411" t="s">
        <v>21943</v>
      </c>
    </row>
    <row r="21412" spans="1:1">
      <c r="A21412" t="s">
        <v>21944</v>
      </c>
    </row>
    <row r="21413" spans="1:1">
      <c r="A21413" t="s">
        <v>21945</v>
      </c>
    </row>
    <row r="21414" spans="1:1">
      <c r="A21414" t="s">
        <v>21946</v>
      </c>
    </row>
    <row r="21415" spans="1:1">
      <c r="A21415" t="s">
        <v>21947</v>
      </c>
    </row>
    <row r="21416" spans="1:1">
      <c r="A21416" t="s">
        <v>21948</v>
      </c>
    </row>
    <row r="21417" spans="1:1">
      <c r="A21417" t="s">
        <v>21949</v>
      </c>
    </row>
    <row r="21418" spans="1:1">
      <c r="A21418" t="s">
        <v>21950</v>
      </c>
    </row>
    <row r="21419" spans="1:1">
      <c r="A21419" t="s">
        <v>21951</v>
      </c>
    </row>
    <row r="21420" spans="1:1">
      <c r="A21420" t="s">
        <v>21952</v>
      </c>
    </row>
    <row r="21421" spans="1:1">
      <c r="A21421" t="s">
        <v>21953</v>
      </c>
    </row>
    <row r="21422" spans="1:1">
      <c r="A21422" t="s">
        <v>21954</v>
      </c>
    </row>
    <row r="21423" spans="1:1">
      <c r="A21423" t="s">
        <v>21955</v>
      </c>
    </row>
    <row r="21424" spans="1:1">
      <c r="A21424" t="s">
        <v>21956</v>
      </c>
    </row>
    <row r="21425" spans="1:1">
      <c r="A21425" t="s">
        <v>21957</v>
      </c>
    </row>
    <row r="21426" spans="1:1">
      <c r="A21426" t="s">
        <v>21958</v>
      </c>
    </row>
    <row r="21427" spans="1:1">
      <c r="A21427" t="s">
        <v>21959</v>
      </c>
    </row>
    <row r="21428" spans="1:1">
      <c r="A21428" t="s">
        <v>21960</v>
      </c>
    </row>
    <row r="21429" spans="1:1">
      <c r="A21429" t="s">
        <v>21961</v>
      </c>
    </row>
    <row r="21430" spans="1:1">
      <c r="A21430" t="s">
        <v>21962</v>
      </c>
    </row>
    <row r="21431" spans="1:1">
      <c r="A21431" t="s">
        <v>21963</v>
      </c>
    </row>
    <row r="21432" spans="1:1">
      <c r="A21432" t="s">
        <v>21964</v>
      </c>
    </row>
    <row r="21433" spans="1:1">
      <c r="A21433" t="s">
        <v>21965</v>
      </c>
    </row>
    <row r="21434" spans="1:1">
      <c r="A21434" t="s">
        <v>21966</v>
      </c>
    </row>
    <row r="21435" spans="1:1">
      <c r="A21435" t="s">
        <v>21967</v>
      </c>
    </row>
    <row r="21436" spans="1:1">
      <c r="A21436" t="s">
        <v>21968</v>
      </c>
    </row>
    <row r="21437" spans="1:1">
      <c r="A21437" t="s">
        <v>21969</v>
      </c>
    </row>
    <row r="21438" spans="1:1">
      <c r="A21438" t="s">
        <v>21970</v>
      </c>
    </row>
    <row r="21439" spans="1:1">
      <c r="A21439" t="s">
        <v>21971</v>
      </c>
    </row>
    <row r="21440" spans="1:1">
      <c r="A21440" t="s">
        <v>21972</v>
      </c>
    </row>
    <row r="21441" spans="1:1">
      <c r="A21441" t="s">
        <v>21973</v>
      </c>
    </row>
    <row r="21442" spans="1:1">
      <c r="A21442" t="s">
        <v>21974</v>
      </c>
    </row>
    <row r="21443" spans="1:1">
      <c r="A21443" t="s">
        <v>21975</v>
      </c>
    </row>
    <row r="21444" spans="1:1">
      <c r="A21444" t="s">
        <v>21976</v>
      </c>
    </row>
    <row r="21445" spans="1:1">
      <c r="A21445" t="s">
        <v>21977</v>
      </c>
    </row>
    <row r="21446" spans="1:1">
      <c r="A21446" t="s">
        <v>21978</v>
      </c>
    </row>
    <row r="21447" spans="1:1">
      <c r="A21447" t="s">
        <v>21979</v>
      </c>
    </row>
    <row r="21448" spans="1:1">
      <c r="A21448" t="s">
        <v>21980</v>
      </c>
    </row>
    <row r="21449" spans="1:1">
      <c r="A21449" t="s">
        <v>21981</v>
      </c>
    </row>
    <row r="21450" spans="1:1">
      <c r="A21450" t="s">
        <v>21982</v>
      </c>
    </row>
    <row r="21451" spans="1:1">
      <c r="A21451" t="s">
        <v>21983</v>
      </c>
    </row>
    <row r="21452" spans="1:1">
      <c r="A21452" t="s">
        <v>21984</v>
      </c>
    </row>
    <row r="21453" spans="1:1">
      <c r="A21453" t="s">
        <v>21985</v>
      </c>
    </row>
    <row r="21454" spans="1:1">
      <c r="A21454" t="s">
        <v>21986</v>
      </c>
    </row>
    <row r="21455" spans="1:1">
      <c r="A21455" t="s">
        <v>21987</v>
      </c>
    </row>
    <row r="21456" spans="1:1">
      <c r="A21456" t="s">
        <v>21988</v>
      </c>
    </row>
    <row r="21457" spans="1:1">
      <c r="A21457" t="s">
        <v>21989</v>
      </c>
    </row>
    <row r="21458" spans="1:1">
      <c r="A21458" t="s">
        <v>21990</v>
      </c>
    </row>
    <row r="21459" spans="1:1">
      <c r="A21459" t="s">
        <v>21991</v>
      </c>
    </row>
    <row r="21460" spans="1:1">
      <c r="A21460" t="s">
        <v>21992</v>
      </c>
    </row>
    <row r="21461" spans="1:1">
      <c r="A21461" t="s">
        <v>21993</v>
      </c>
    </row>
    <row r="21462" spans="1:1">
      <c r="A21462" t="s">
        <v>21994</v>
      </c>
    </row>
    <row r="21463" spans="1:1">
      <c r="A21463" t="s">
        <v>21995</v>
      </c>
    </row>
    <row r="21464" spans="1:1">
      <c r="A21464" t="s">
        <v>21996</v>
      </c>
    </row>
    <row r="21465" spans="1:1">
      <c r="A21465" t="s">
        <v>21997</v>
      </c>
    </row>
    <row r="21466" spans="1:1">
      <c r="A21466" t="s">
        <v>21998</v>
      </c>
    </row>
    <row r="21467" spans="1:1">
      <c r="A21467" t="s">
        <v>21999</v>
      </c>
    </row>
    <row r="21468" spans="1:1">
      <c r="A21468" t="s">
        <v>22000</v>
      </c>
    </row>
    <row r="21469" spans="1:1">
      <c r="A21469" t="s">
        <v>22001</v>
      </c>
    </row>
    <row r="21470" spans="1:1">
      <c r="A21470" t="s">
        <v>22002</v>
      </c>
    </row>
    <row r="21471" spans="1:1">
      <c r="A21471" t="s">
        <v>22003</v>
      </c>
    </row>
    <row r="21472" spans="1:1">
      <c r="A21472" t="s">
        <v>22004</v>
      </c>
    </row>
    <row r="21473" spans="1:1">
      <c r="A21473" t="s">
        <v>22005</v>
      </c>
    </row>
    <row r="21474" spans="1:1">
      <c r="A21474" t="s">
        <v>22006</v>
      </c>
    </row>
    <row r="21475" spans="1:1">
      <c r="A21475" t="s">
        <v>22007</v>
      </c>
    </row>
    <row r="21476" spans="1:1">
      <c r="A21476" t="s">
        <v>22008</v>
      </c>
    </row>
    <row r="21477" spans="1:1">
      <c r="A21477" t="s">
        <v>22009</v>
      </c>
    </row>
    <row r="21478" spans="1:1">
      <c r="A21478" t="s">
        <v>22010</v>
      </c>
    </row>
    <row r="21479" spans="1:1">
      <c r="A21479" t="s">
        <v>22011</v>
      </c>
    </row>
    <row r="21480" spans="1:1">
      <c r="A21480" t="s">
        <v>22012</v>
      </c>
    </row>
    <row r="21481" spans="1:1">
      <c r="A21481" t="s">
        <v>22013</v>
      </c>
    </row>
    <row r="21482" spans="1:1">
      <c r="A21482" t="s">
        <v>22014</v>
      </c>
    </row>
    <row r="21483" spans="1:1">
      <c r="A21483" t="s">
        <v>22015</v>
      </c>
    </row>
    <row r="21484" spans="1:1">
      <c r="A21484" t="s">
        <v>22016</v>
      </c>
    </row>
    <row r="21485" spans="1:1">
      <c r="A21485" t="s">
        <v>22017</v>
      </c>
    </row>
    <row r="21486" spans="1:1">
      <c r="A21486" t="s">
        <v>22018</v>
      </c>
    </row>
    <row r="21487" spans="1:1">
      <c r="A21487" t="s">
        <v>22019</v>
      </c>
    </row>
    <row r="21488" spans="1:1">
      <c r="A21488" t="s">
        <v>22020</v>
      </c>
    </row>
    <row r="21489" spans="1:1">
      <c r="A21489" t="s">
        <v>22021</v>
      </c>
    </row>
    <row r="21490" spans="1:1">
      <c r="A21490" t="s">
        <v>22022</v>
      </c>
    </row>
    <row r="21491" spans="1:1">
      <c r="A21491" t="s">
        <v>22023</v>
      </c>
    </row>
    <row r="21492" spans="1:1">
      <c r="A21492" t="s">
        <v>22024</v>
      </c>
    </row>
    <row r="21493" spans="1:1">
      <c r="A21493" t="s">
        <v>22025</v>
      </c>
    </row>
    <row r="21494" spans="1:1">
      <c r="A21494" t="s">
        <v>22026</v>
      </c>
    </row>
    <row r="21495" spans="1:1">
      <c r="A21495" t="s">
        <v>22027</v>
      </c>
    </row>
    <row r="21496" spans="1:1">
      <c r="A21496" t="s">
        <v>22028</v>
      </c>
    </row>
    <row r="21497" spans="1:1">
      <c r="A21497" t="s">
        <v>22029</v>
      </c>
    </row>
    <row r="21498" spans="1:1">
      <c r="A21498" t="s">
        <v>22030</v>
      </c>
    </row>
    <row r="21499" spans="1:1">
      <c r="A21499" t="s">
        <v>22031</v>
      </c>
    </row>
    <row r="21500" spans="1:1">
      <c r="A21500" t="s">
        <v>22032</v>
      </c>
    </row>
    <row r="21501" spans="1:1">
      <c r="A21501" t="s">
        <v>22033</v>
      </c>
    </row>
    <row r="21502" spans="1:1">
      <c r="A21502" t="s">
        <v>22034</v>
      </c>
    </row>
    <row r="21503" spans="1:1">
      <c r="A21503" t="s">
        <v>22035</v>
      </c>
    </row>
    <row r="21504" spans="1:1">
      <c r="A21504" t="s">
        <v>22036</v>
      </c>
    </row>
    <row r="21505" spans="1:1">
      <c r="A21505" t="s">
        <v>22037</v>
      </c>
    </row>
    <row r="21506" spans="1:1">
      <c r="A21506" t="s">
        <v>22038</v>
      </c>
    </row>
    <row r="21507" spans="1:1">
      <c r="A21507" t="s">
        <v>22039</v>
      </c>
    </row>
    <row r="21508" spans="1:1">
      <c r="A21508" t="s">
        <v>22040</v>
      </c>
    </row>
    <row r="21509" spans="1:1">
      <c r="A21509" t="s">
        <v>22041</v>
      </c>
    </row>
    <row r="21510" spans="1:1">
      <c r="A21510" t="s">
        <v>22042</v>
      </c>
    </row>
    <row r="21511" spans="1:1">
      <c r="A21511" t="s">
        <v>22043</v>
      </c>
    </row>
    <row r="21512" spans="1:1">
      <c r="A21512" t="s">
        <v>22044</v>
      </c>
    </row>
    <row r="21513" spans="1:1">
      <c r="A21513" t="s">
        <v>22045</v>
      </c>
    </row>
    <row r="21514" spans="1:1">
      <c r="A21514" t="s">
        <v>22046</v>
      </c>
    </row>
    <row r="21515" spans="1:1">
      <c r="A21515" t="s">
        <v>22047</v>
      </c>
    </row>
    <row r="21516" spans="1:1">
      <c r="A21516" t="s">
        <v>22048</v>
      </c>
    </row>
    <row r="21517" spans="1:1">
      <c r="A21517" t="s">
        <v>22049</v>
      </c>
    </row>
    <row r="21518" spans="1:1">
      <c r="A21518" t="s">
        <v>22050</v>
      </c>
    </row>
    <row r="21519" spans="1:1">
      <c r="A21519" t="s">
        <v>22051</v>
      </c>
    </row>
    <row r="21520" spans="1:1">
      <c r="A21520" t="s">
        <v>22052</v>
      </c>
    </row>
    <row r="21521" spans="1:1">
      <c r="A21521" t="s">
        <v>22053</v>
      </c>
    </row>
    <row r="21522" spans="1:1">
      <c r="A21522" t="s">
        <v>22054</v>
      </c>
    </row>
    <row r="21523" spans="1:1">
      <c r="A21523" t="s">
        <v>22055</v>
      </c>
    </row>
    <row r="21524" spans="1:1">
      <c r="A21524" t="s">
        <v>22056</v>
      </c>
    </row>
    <row r="21525" spans="1:1">
      <c r="A21525" t="s">
        <v>22057</v>
      </c>
    </row>
    <row r="21526" spans="1:1">
      <c r="A21526" t="s">
        <v>22058</v>
      </c>
    </row>
    <row r="21527" spans="1:1">
      <c r="A21527" t="s">
        <v>22059</v>
      </c>
    </row>
    <row r="21528" spans="1:1">
      <c r="A21528" t="s">
        <v>22060</v>
      </c>
    </row>
    <row r="21529" spans="1:1">
      <c r="A21529" t="s">
        <v>22061</v>
      </c>
    </row>
    <row r="21530" spans="1:1">
      <c r="A21530" t="s">
        <v>22062</v>
      </c>
    </row>
    <row r="21531" spans="1:1">
      <c r="A21531" t="s">
        <v>22063</v>
      </c>
    </row>
    <row r="21532" spans="1:1">
      <c r="A21532" t="s">
        <v>22064</v>
      </c>
    </row>
    <row r="21533" spans="1:1">
      <c r="A21533" t="s">
        <v>22065</v>
      </c>
    </row>
    <row r="21534" spans="1:1">
      <c r="A21534" t="s">
        <v>22066</v>
      </c>
    </row>
    <row r="21535" spans="1:1">
      <c r="A21535" t="s">
        <v>22067</v>
      </c>
    </row>
    <row r="21536" spans="1:1">
      <c r="A21536" t="s">
        <v>22068</v>
      </c>
    </row>
    <row r="21537" spans="1:1">
      <c r="A21537" t="s">
        <v>22069</v>
      </c>
    </row>
    <row r="21538" spans="1:1">
      <c r="A21538" t="s">
        <v>22070</v>
      </c>
    </row>
    <row r="21539" spans="1:1">
      <c r="A21539" t="s">
        <v>22071</v>
      </c>
    </row>
    <row r="21540" spans="1:1">
      <c r="A21540" t="s">
        <v>22072</v>
      </c>
    </row>
    <row r="21541" spans="1:1">
      <c r="A21541" t="s">
        <v>22073</v>
      </c>
    </row>
    <row r="21542" spans="1:1">
      <c r="A21542" t="s">
        <v>22074</v>
      </c>
    </row>
    <row r="21543" spans="1:1">
      <c r="A21543" t="s">
        <v>22075</v>
      </c>
    </row>
    <row r="21544" spans="1:1">
      <c r="A21544" t="s">
        <v>22076</v>
      </c>
    </row>
    <row r="21545" spans="1:1">
      <c r="A21545" t="s">
        <v>22077</v>
      </c>
    </row>
    <row r="21546" spans="1:1">
      <c r="A21546" t="s">
        <v>22078</v>
      </c>
    </row>
    <row r="21547" spans="1:1">
      <c r="A21547" t="s">
        <v>22079</v>
      </c>
    </row>
    <row r="21548" spans="1:1">
      <c r="A21548" t="s">
        <v>22080</v>
      </c>
    </row>
    <row r="21549" spans="1:1">
      <c r="A21549" t="s">
        <v>22081</v>
      </c>
    </row>
    <row r="21550" spans="1:1">
      <c r="A21550" t="s">
        <v>22082</v>
      </c>
    </row>
    <row r="21551" spans="1:1">
      <c r="A21551" t="s">
        <v>22083</v>
      </c>
    </row>
    <row r="21552" spans="1:1">
      <c r="A21552" t="s">
        <v>22084</v>
      </c>
    </row>
    <row r="21553" spans="1:1">
      <c r="A21553" t="s">
        <v>22085</v>
      </c>
    </row>
    <row r="21554" spans="1:1">
      <c r="A21554" t="s">
        <v>22086</v>
      </c>
    </row>
    <row r="21555" spans="1:1">
      <c r="A21555" t="s">
        <v>22087</v>
      </c>
    </row>
    <row r="21556" spans="1:1">
      <c r="A21556" t="s">
        <v>22088</v>
      </c>
    </row>
    <row r="21557" spans="1:1">
      <c r="A21557" t="s">
        <v>22089</v>
      </c>
    </row>
    <row r="21558" spans="1:1">
      <c r="A21558" t="s">
        <v>22090</v>
      </c>
    </row>
    <row r="21559" spans="1:1">
      <c r="A21559" t="s">
        <v>22091</v>
      </c>
    </row>
    <row r="21560" spans="1:1">
      <c r="A21560" t="s">
        <v>22092</v>
      </c>
    </row>
    <row r="21561" spans="1:1">
      <c r="A21561" t="s">
        <v>22093</v>
      </c>
    </row>
    <row r="21562" spans="1:1">
      <c r="A21562" t="s">
        <v>22094</v>
      </c>
    </row>
    <row r="21563" spans="1:1">
      <c r="A21563" t="s">
        <v>22095</v>
      </c>
    </row>
    <row r="21564" spans="1:1">
      <c r="A21564" t="s">
        <v>22096</v>
      </c>
    </row>
    <row r="21565" spans="1:1">
      <c r="A21565" t="s">
        <v>22097</v>
      </c>
    </row>
    <row r="21566" spans="1:1">
      <c r="A21566" t="s">
        <v>22098</v>
      </c>
    </row>
    <row r="21567" spans="1:1">
      <c r="A21567" t="s">
        <v>22099</v>
      </c>
    </row>
    <row r="21568" spans="1:1">
      <c r="A21568" t="s">
        <v>22100</v>
      </c>
    </row>
    <row r="21569" spans="1:1">
      <c r="A21569" t="s">
        <v>22101</v>
      </c>
    </row>
    <row r="21570" spans="1:1">
      <c r="A21570" t="s">
        <v>22102</v>
      </c>
    </row>
    <row r="21571" spans="1:1">
      <c r="A21571" t="s">
        <v>22103</v>
      </c>
    </row>
    <row r="21572" spans="1:1">
      <c r="A21572" t="s">
        <v>22104</v>
      </c>
    </row>
    <row r="21573" spans="1:1">
      <c r="A21573" t="s">
        <v>22105</v>
      </c>
    </row>
    <row r="21574" spans="1:1">
      <c r="A21574" t="s">
        <v>22106</v>
      </c>
    </row>
    <row r="21575" spans="1:1">
      <c r="A21575" t="s">
        <v>22107</v>
      </c>
    </row>
    <row r="21576" spans="1:1">
      <c r="A21576" t="s">
        <v>22108</v>
      </c>
    </row>
    <row r="21577" spans="1:1">
      <c r="A21577" t="s">
        <v>22109</v>
      </c>
    </row>
    <row r="21578" spans="1:1">
      <c r="A21578" t="s">
        <v>22110</v>
      </c>
    </row>
    <row r="21579" spans="1:1">
      <c r="A21579" t="s">
        <v>22111</v>
      </c>
    </row>
    <row r="21580" spans="1:1">
      <c r="A21580" t="s">
        <v>22112</v>
      </c>
    </row>
    <row r="21581" spans="1:1">
      <c r="A21581" t="s">
        <v>22113</v>
      </c>
    </row>
    <row r="21582" spans="1:1">
      <c r="A21582" t="s">
        <v>22114</v>
      </c>
    </row>
    <row r="21583" spans="1:1">
      <c r="A21583" t="s">
        <v>22115</v>
      </c>
    </row>
    <row r="21584" spans="1:1">
      <c r="A21584" t="s">
        <v>22116</v>
      </c>
    </row>
    <row r="21585" spans="1:1">
      <c r="A21585" t="s">
        <v>22117</v>
      </c>
    </row>
    <row r="21586" spans="1:1">
      <c r="A21586" t="s">
        <v>22118</v>
      </c>
    </row>
    <row r="21587" spans="1:1">
      <c r="A21587" t="s">
        <v>22119</v>
      </c>
    </row>
    <row r="21588" spans="1:1">
      <c r="A21588" t="s">
        <v>22120</v>
      </c>
    </row>
    <row r="21589" spans="1:1">
      <c r="A21589" t="s">
        <v>22121</v>
      </c>
    </row>
    <row r="21590" spans="1:1">
      <c r="A21590" t="s">
        <v>22122</v>
      </c>
    </row>
    <row r="21591" spans="1:1">
      <c r="A21591" t="s">
        <v>22123</v>
      </c>
    </row>
    <row r="21592" spans="1:1">
      <c r="A21592" t="s">
        <v>22124</v>
      </c>
    </row>
    <row r="21593" spans="1:1">
      <c r="A21593" t="s">
        <v>22125</v>
      </c>
    </row>
    <row r="21594" spans="1:1">
      <c r="A21594" t="s">
        <v>22126</v>
      </c>
    </row>
    <row r="21595" spans="1:1">
      <c r="A21595" t="s">
        <v>22127</v>
      </c>
    </row>
    <row r="21596" spans="1:1">
      <c r="A21596" t="s">
        <v>22128</v>
      </c>
    </row>
    <row r="21597" spans="1:1">
      <c r="A21597" t="s">
        <v>22129</v>
      </c>
    </row>
    <row r="21598" spans="1:1">
      <c r="A21598" t="s">
        <v>22130</v>
      </c>
    </row>
    <row r="21599" spans="1:1">
      <c r="A21599" t="s">
        <v>22131</v>
      </c>
    </row>
    <row r="21600" spans="1:1">
      <c r="A21600" t="s">
        <v>22132</v>
      </c>
    </row>
    <row r="21601" spans="1:1">
      <c r="A21601" t="s">
        <v>22133</v>
      </c>
    </row>
    <row r="21602" spans="1:1">
      <c r="A21602" t="s">
        <v>22134</v>
      </c>
    </row>
    <row r="21603" spans="1:1">
      <c r="A21603" t="s">
        <v>22135</v>
      </c>
    </row>
    <row r="21604" spans="1:1">
      <c r="A21604" t="s">
        <v>22136</v>
      </c>
    </row>
    <row r="21605" spans="1:1">
      <c r="A21605" t="s">
        <v>22137</v>
      </c>
    </row>
    <row r="21606" spans="1:1">
      <c r="A21606" t="s">
        <v>22138</v>
      </c>
    </row>
    <row r="21607" spans="1:1">
      <c r="A21607" t="s">
        <v>22139</v>
      </c>
    </row>
    <row r="21608" spans="1:1">
      <c r="A21608" t="s">
        <v>22140</v>
      </c>
    </row>
    <row r="21609" spans="1:1">
      <c r="A21609" t="s">
        <v>22141</v>
      </c>
    </row>
    <row r="21610" spans="1:1">
      <c r="A21610" t="s">
        <v>22142</v>
      </c>
    </row>
    <row r="21611" spans="1:1">
      <c r="A21611" t="s">
        <v>22143</v>
      </c>
    </row>
    <row r="21612" spans="1:1">
      <c r="A21612" t="s">
        <v>22144</v>
      </c>
    </row>
    <row r="21613" spans="1:1">
      <c r="A21613" t="s">
        <v>22145</v>
      </c>
    </row>
    <row r="21614" spans="1:1">
      <c r="A21614" t="s">
        <v>22146</v>
      </c>
    </row>
    <row r="21615" spans="1:1">
      <c r="A21615" t="s">
        <v>22147</v>
      </c>
    </row>
    <row r="21616" spans="1:1">
      <c r="A21616" t="s">
        <v>22148</v>
      </c>
    </row>
    <row r="21617" spans="1:1">
      <c r="A21617" t="s">
        <v>22149</v>
      </c>
    </row>
    <row r="21618" spans="1:1">
      <c r="A21618" t="s">
        <v>22150</v>
      </c>
    </row>
    <row r="21619" spans="1:1">
      <c r="A21619" t="s">
        <v>22151</v>
      </c>
    </row>
    <row r="21620" spans="1:1">
      <c r="A21620" t="s">
        <v>22152</v>
      </c>
    </row>
    <row r="21621" spans="1:1">
      <c r="A21621" t="s">
        <v>22153</v>
      </c>
    </row>
    <row r="21622" spans="1:1">
      <c r="A21622" t="s">
        <v>22154</v>
      </c>
    </row>
    <row r="21623" spans="1:1">
      <c r="A21623" t="s">
        <v>22155</v>
      </c>
    </row>
    <row r="21624" spans="1:1">
      <c r="A21624" t="s">
        <v>22156</v>
      </c>
    </row>
    <row r="21625" spans="1:1">
      <c r="A21625" t="s">
        <v>22157</v>
      </c>
    </row>
    <row r="21626" spans="1:1">
      <c r="A21626" t="s">
        <v>22158</v>
      </c>
    </row>
    <row r="21627" spans="1:1">
      <c r="A21627" t="s">
        <v>22159</v>
      </c>
    </row>
    <row r="21628" spans="1:1">
      <c r="A21628" t="s">
        <v>22160</v>
      </c>
    </row>
    <row r="21629" spans="1:1">
      <c r="A21629" t="s">
        <v>22161</v>
      </c>
    </row>
    <row r="21630" spans="1:1">
      <c r="A21630" t="s">
        <v>22162</v>
      </c>
    </row>
    <row r="21631" spans="1:1">
      <c r="A21631" t="s">
        <v>22163</v>
      </c>
    </row>
    <row r="21632" spans="1:1">
      <c r="A21632" t="s">
        <v>22164</v>
      </c>
    </row>
    <row r="21633" spans="1:1">
      <c r="A21633" t="s">
        <v>22165</v>
      </c>
    </row>
    <row r="21634" spans="1:1">
      <c r="A21634" t="s">
        <v>22166</v>
      </c>
    </row>
    <row r="21635" spans="1:1">
      <c r="A21635" t="s">
        <v>22167</v>
      </c>
    </row>
    <row r="21636" spans="1:1">
      <c r="A21636" t="s">
        <v>22168</v>
      </c>
    </row>
    <row r="21637" spans="1:1">
      <c r="A21637" t="s">
        <v>22169</v>
      </c>
    </row>
    <row r="21638" spans="1:1">
      <c r="A21638" t="s">
        <v>22170</v>
      </c>
    </row>
    <row r="21639" spans="1:1">
      <c r="A21639" t="s">
        <v>22171</v>
      </c>
    </row>
    <row r="21640" spans="1:1">
      <c r="A21640" t="s">
        <v>22172</v>
      </c>
    </row>
    <row r="21641" spans="1:1">
      <c r="A21641" t="s">
        <v>22173</v>
      </c>
    </row>
    <row r="21642" spans="1:1">
      <c r="A21642" t="s">
        <v>22174</v>
      </c>
    </row>
    <row r="21643" spans="1:1">
      <c r="A21643" t="s">
        <v>22175</v>
      </c>
    </row>
    <row r="21644" spans="1:1">
      <c r="A21644" t="s">
        <v>22176</v>
      </c>
    </row>
    <row r="21645" spans="1:1">
      <c r="A21645" t="s">
        <v>22177</v>
      </c>
    </row>
    <row r="21646" spans="1:1">
      <c r="A21646" t="s">
        <v>22178</v>
      </c>
    </row>
    <row r="21647" spans="1:1">
      <c r="A21647" t="s">
        <v>22179</v>
      </c>
    </row>
    <row r="21648" spans="1:1">
      <c r="A21648" t="s">
        <v>22180</v>
      </c>
    </row>
    <row r="21649" spans="1:1">
      <c r="A21649" t="s">
        <v>22181</v>
      </c>
    </row>
    <row r="21650" spans="1:1">
      <c r="A21650" t="s">
        <v>22182</v>
      </c>
    </row>
    <row r="21651" spans="1:1">
      <c r="A21651" t="s">
        <v>22183</v>
      </c>
    </row>
    <row r="21652" spans="1:1">
      <c r="A21652" t="s">
        <v>22184</v>
      </c>
    </row>
    <row r="21653" spans="1:1">
      <c r="A21653" t="s">
        <v>22185</v>
      </c>
    </row>
    <row r="21654" spans="1:1">
      <c r="A21654" t="s">
        <v>22186</v>
      </c>
    </row>
    <row r="21655" spans="1:1">
      <c r="A21655" t="s">
        <v>22187</v>
      </c>
    </row>
    <row r="21656" spans="1:1">
      <c r="A21656" t="s">
        <v>22188</v>
      </c>
    </row>
    <row r="21657" spans="1:1">
      <c r="A21657" t="s">
        <v>22189</v>
      </c>
    </row>
    <row r="21658" spans="1:1">
      <c r="A21658" t="s">
        <v>22190</v>
      </c>
    </row>
    <row r="21659" spans="1:1">
      <c r="A21659" t="s">
        <v>22191</v>
      </c>
    </row>
    <row r="21660" spans="1:1">
      <c r="A21660" t="s">
        <v>22192</v>
      </c>
    </row>
    <row r="21661" spans="1:1">
      <c r="A21661" t="s">
        <v>22193</v>
      </c>
    </row>
    <row r="21662" spans="1:1">
      <c r="A21662" t="s">
        <v>22194</v>
      </c>
    </row>
    <row r="21663" spans="1:1">
      <c r="A21663" t="s">
        <v>22195</v>
      </c>
    </row>
    <row r="21664" spans="1:1">
      <c r="A21664" t="s">
        <v>22196</v>
      </c>
    </row>
    <row r="21665" spans="1:1">
      <c r="A21665" t="s">
        <v>22197</v>
      </c>
    </row>
    <row r="21666" spans="1:1">
      <c r="A21666" t="s">
        <v>22198</v>
      </c>
    </row>
    <row r="21667" spans="1:1">
      <c r="A21667" t="s">
        <v>22199</v>
      </c>
    </row>
    <row r="21668" spans="1:1">
      <c r="A21668" t="s">
        <v>22200</v>
      </c>
    </row>
    <row r="21669" spans="1:1">
      <c r="A21669" t="s">
        <v>22201</v>
      </c>
    </row>
    <row r="21670" spans="1:1">
      <c r="A21670" t="s">
        <v>22202</v>
      </c>
    </row>
    <row r="21671" spans="1:1">
      <c r="A21671" t="s">
        <v>22203</v>
      </c>
    </row>
    <row r="21672" spans="1:1">
      <c r="A21672" t="s">
        <v>22204</v>
      </c>
    </row>
    <row r="21673" spans="1:1">
      <c r="A21673" t="s">
        <v>22205</v>
      </c>
    </row>
    <row r="21674" spans="1:1">
      <c r="A21674" t="s">
        <v>22206</v>
      </c>
    </row>
    <row r="21675" spans="1:1">
      <c r="A21675" t="s">
        <v>22207</v>
      </c>
    </row>
    <row r="21676" spans="1:1">
      <c r="A21676" t="s">
        <v>22208</v>
      </c>
    </row>
    <row r="21677" spans="1:1">
      <c r="A21677" t="s">
        <v>22209</v>
      </c>
    </row>
    <row r="21678" spans="1:1">
      <c r="A21678" t="s">
        <v>22210</v>
      </c>
    </row>
    <row r="21679" spans="1:1">
      <c r="A21679" t="s">
        <v>22211</v>
      </c>
    </row>
    <row r="21680" spans="1:1">
      <c r="A21680" t="s">
        <v>22212</v>
      </c>
    </row>
    <row r="21681" spans="1:1">
      <c r="A21681" t="s">
        <v>22213</v>
      </c>
    </row>
    <row r="21682" spans="1:1">
      <c r="A21682" t="s">
        <v>22214</v>
      </c>
    </row>
    <row r="21683" spans="1:1">
      <c r="A21683" t="s">
        <v>22215</v>
      </c>
    </row>
    <row r="21684" spans="1:1">
      <c r="A21684" t="s">
        <v>22216</v>
      </c>
    </row>
    <row r="21685" spans="1:1">
      <c r="A21685" t="s">
        <v>22217</v>
      </c>
    </row>
    <row r="21686" spans="1:1">
      <c r="A21686" t="s">
        <v>22218</v>
      </c>
    </row>
    <row r="21687" spans="1:1">
      <c r="A21687" t="s">
        <v>22219</v>
      </c>
    </row>
    <row r="21688" spans="1:1">
      <c r="A21688" t="s">
        <v>22220</v>
      </c>
    </row>
    <row r="21689" spans="1:1">
      <c r="A21689" t="s">
        <v>22221</v>
      </c>
    </row>
    <row r="21690" spans="1:1">
      <c r="A21690" t="s">
        <v>22222</v>
      </c>
    </row>
    <row r="21691" spans="1:1">
      <c r="A21691" t="s">
        <v>22223</v>
      </c>
    </row>
    <row r="21692" spans="1:1">
      <c r="A21692" t="s">
        <v>22224</v>
      </c>
    </row>
    <row r="21693" spans="1:1">
      <c r="A21693" t="s">
        <v>22225</v>
      </c>
    </row>
    <row r="21694" spans="1:1">
      <c r="A21694" t="s">
        <v>22226</v>
      </c>
    </row>
    <row r="21695" spans="1:1">
      <c r="A21695" t="s">
        <v>22227</v>
      </c>
    </row>
    <row r="21696" spans="1:1">
      <c r="A21696" t="s">
        <v>22228</v>
      </c>
    </row>
    <row r="21697" spans="1:1">
      <c r="A21697" t="s">
        <v>22229</v>
      </c>
    </row>
    <row r="21698" spans="1:1">
      <c r="A21698" t="s">
        <v>22230</v>
      </c>
    </row>
    <row r="21699" spans="1:1">
      <c r="A21699" t="s">
        <v>22231</v>
      </c>
    </row>
    <row r="21700" spans="1:1">
      <c r="A21700" t="s">
        <v>22232</v>
      </c>
    </row>
    <row r="21701" spans="1:1">
      <c r="A21701" t="s">
        <v>22233</v>
      </c>
    </row>
    <row r="21702" spans="1:1">
      <c r="A21702" t="s">
        <v>22234</v>
      </c>
    </row>
    <row r="21703" spans="1:1">
      <c r="A21703" t="s">
        <v>22235</v>
      </c>
    </row>
    <row r="21704" spans="1:1">
      <c r="A21704" t="s">
        <v>22236</v>
      </c>
    </row>
    <row r="21705" spans="1:1">
      <c r="A21705" t="s">
        <v>22237</v>
      </c>
    </row>
    <row r="21706" spans="1:1">
      <c r="A21706" t="s">
        <v>22238</v>
      </c>
    </row>
    <row r="21707" spans="1:1">
      <c r="A21707" t="s">
        <v>22239</v>
      </c>
    </row>
    <row r="21708" spans="1:1">
      <c r="A21708" t="s">
        <v>22240</v>
      </c>
    </row>
    <row r="21709" spans="1:1">
      <c r="A21709" t="s">
        <v>22241</v>
      </c>
    </row>
    <row r="21710" spans="1:1">
      <c r="A21710" t="s">
        <v>22242</v>
      </c>
    </row>
    <row r="21711" spans="1:1">
      <c r="A21711" t="s">
        <v>22243</v>
      </c>
    </row>
    <row r="21712" spans="1:1">
      <c r="A21712" t="s">
        <v>22244</v>
      </c>
    </row>
    <row r="21713" spans="1:1">
      <c r="A21713" t="s">
        <v>22245</v>
      </c>
    </row>
    <row r="21714" spans="1:1">
      <c r="A21714" t="s">
        <v>22246</v>
      </c>
    </row>
    <row r="21715" spans="1:1">
      <c r="A21715" t="s">
        <v>22247</v>
      </c>
    </row>
    <row r="21716" spans="1:1">
      <c r="A21716" t="s">
        <v>22248</v>
      </c>
    </row>
    <row r="21717" spans="1:1">
      <c r="A21717" t="s">
        <v>22249</v>
      </c>
    </row>
    <row r="21718" spans="1:1">
      <c r="A21718" t="s">
        <v>22250</v>
      </c>
    </row>
    <row r="21719" spans="1:1">
      <c r="A21719" t="s">
        <v>22251</v>
      </c>
    </row>
    <row r="21720" spans="1:1">
      <c r="A21720" t="s">
        <v>22252</v>
      </c>
    </row>
    <row r="21721" spans="1:1">
      <c r="A21721" t="s">
        <v>22253</v>
      </c>
    </row>
    <row r="21722" spans="1:1">
      <c r="A21722" t="s">
        <v>22254</v>
      </c>
    </row>
    <row r="21723" spans="1:1">
      <c r="A21723" t="s">
        <v>22255</v>
      </c>
    </row>
    <row r="21724" spans="1:1">
      <c r="A21724" t="s">
        <v>22256</v>
      </c>
    </row>
    <row r="21725" spans="1:1">
      <c r="A21725" t="s">
        <v>22257</v>
      </c>
    </row>
    <row r="21726" spans="1:1">
      <c r="A21726" t="s">
        <v>22258</v>
      </c>
    </row>
    <row r="21727" spans="1:1">
      <c r="A21727" t="s">
        <v>22259</v>
      </c>
    </row>
    <row r="21728" spans="1:1">
      <c r="A21728" t="s">
        <v>22260</v>
      </c>
    </row>
    <row r="21729" spans="1:1">
      <c r="A21729" t="s">
        <v>22261</v>
      </c>
    </row>
    <row r="21730" spans="1:1">
      <c r="A21730" t="s">
        <v>22262</v>
      </c>
    </row>
    <row r="21731" spans="1:1">
      <c r="A21731" t="s">
        <v>22263</v>
      </c>
    </row>
    <row r="21732" spans="1:1">
      <c r="A21732" t="s">
        <v>22264</v>
      </c>
    </row>
    <row r="21733" spans="1:1">
      <c r="A21733" t="s">
        <v>22265</v>
      </c>
    </row>
    <row r="21734" spans="1:1">
      <c r="A21734" t="s">
        <v>22266</v>
      </c>
    </row>
    <row r="21735" spans="1:1">
      <c r="A21735" t="s">
        <v>22267</v>
      </c>
    </row>
    <row r="21736" spans="1:1">
      <c r="A21736" t="s">
        <v>22268</v>
      </c>
    </row>
    <row r="21737" spans="1:1">
      <c r="A21737" t="s">
        <v>22269</v>
      </c>
    </row>
    <row r="21738" spans="1:1">
      <c r="A21738" t="s">
        <v>22270</v>
      </c>
    </row>
    <row r="21739" spans="1:1">
      <c r="A21739" t="s">
        <v>22271</v>
      </c>
    </row>
    <row r="21740" spans="1:1">
      <c r="A21740" t="s">
        <v>22272</v>
      </c>
    </row>
    <row r="21741" spans="1:1">
      <c r="A21741" t="s">
        <v>22273</v>
      </c>
    </row>
    <row r="21742" spans="1:1">
      <c r="A21742" t="s">
        <v>22274</v>
      </c>
    </row>
    <row r="21743" spans="1:1">
      <c r="A21743" t="s">
        <v>22275</v>
      </c>
    </row>
    <row r="21744" spans="1:1">
      <c r="A21744" t="s">
        <v>22276</v>
      </c>
    </row>
    <row r="21745" spans="1:1">
      <c r="A21745" t="s">
        <v>22277</v>
      </c>
    </row>
    <row r="21746" spans="1:1">
      <c r="A21746" t="s">
        <v>22278</v>
      </c>
    </row>
    <row r="21747" spans="1:1">
      <c r="A21747" t="s">
        <v>22279</v>
      </c>
    </row>
    <row r="21748" spans="1:1">
      <c r="A21748" t="s">
        <v>22280</v>
      </c>
    </row>
    <row r="21749" spans="1:1">
      <c r="A21749" t="s">
        <v>22281</v>
      </c>
    </row>
    <row r="21750" spans="1:1">
      <c r="A21750" t="s">
        <v>22282</v>
      </c>
    </row>
    <row r="21751" spans="1:1">
      <c r="A21751" t="s">
        <v>22283</v>
      </c>
    </row>
    <row r="21752" spans="1:1">
      <c r="A21752" t="s">
        <v>22284</v>
      </c>
    </row>
    <row r="21753" spans="1:1">
      <c r="A21753" t="s">
        <v>22285</v>
      </c>
    </row>
    <row r="21754" spans="1:1">
      <c r="A21754" t="s">
        <v>22286</v>
      </c>
    </row>
    <row r="21755" spans="1:1">
      <c r="A21755" t="s">
        <v>22287</v>
      </c>
    </row>
    <row r="21756" spans="1:1">
      <c r="A21756" t="s">
        <v>22288</v>
      </c>
    </row>
    <row r="21757" spans="1:1">
      <c r="A21757" t="s">
        <v>22289</v>
      </c>
    </row>
    <row r="21758" spans="1:1">
      <c r="A21758" t="s">
        <v>22290</v>
      </c>
    </row>
    <row r="21759" spans="1:1">
      <c r="A21759" t="s">
        <v>22291</v>
      </c>
    </row>
    <row r="21760" spans="1:1">
      <c r="A21760" t="s">
        <v>22292</v>
      </c>
    </row>
    <row r="21761" spans="1:1">
      <c r="A21761" t="s">
        <v>22293</v>
      </c>
    </row>
    <row r="21762" spans="1:1">
      <c r="A21762" t="s">
        <v>22294</v>
      </c>
    </row>
    <row r="21763" spans="1:1">
      <c r="A21763" t="s">
        <v>22295</v>
      </c>
    </row>
    <row r="21764" spans="1:1">
      <c r="A21764" t="s">
        <v>22296</v>
      </c>
    </row>
    <row r="21765" spans="1:1">
      <c r="A21765" t="s">
        <v>22297</v>
      </c>
    </row>
    <row r="21766" spans="1:1">
      <c r="A21766" t="s">
        <v>22298</v>
      </c>
    </row>
    <row r="21767" spans="1:1">
      <c r="A21767" t="s">
        <v>22299</v>
      </c>
    </row>
    <row r="21768" spans="1:1">
      <c r="A21768" t="s">
        <v>22300</v>
      </c>
    </row>
    <row r="21769" spans="1:1">
      <c r="A21769" t="s">
        <v>22301</v>
      </c>
    </row>
    <row r="21770" spans="1:1">
      <c r="A21770" t="s">
        <v>22302</v>
      </c>
    </row>
    <row r="21771" spans="1:1">
      <c r="A21771" t="s">
        <v>22303</v>
      </c>
    </row>
    <row r="21772" spans="1:1">
      <c r="A21772" t="s">
        <v>22304</v>
      </c>
    </row>
    <row r="21773" spans="1:1">
      <c r="A21773" t="s">
        <v>22305</v>
      </c>
    </row>
    <row r="21774" spans="1:1">
      <c r="A21774" t="s">
        <v>22306</v>
      </c>
    </row>
    <row r="21775" spans="1:1">
      <c r="A21775" t="s">
        <v>22307</v>
      </c>
    </row>
    <row r="21776" spans="1:1">
      <c r="A21776" t="s">
        <v>22308</v>
      </c>
    </row>
    <row r="21777" spans="1:1">
      <c r="A21777" t="s">
        <v>22309</v>
      </c>
    </row>
    <row r="21778" spans="1:1">
      <c r="A21778" t="s">
        <v>22310</v>
      </c>
    </row>
    <row r="21779" spans="1:1">
      <c r="A21779" t="s">
        <v>22311</v>
      </c>
    </row>
    <row r="21780" spans="1:1">
      <c r="A21780" t="s">
        <v>22312</v>
      </c>
    </row>
    <row r="21781" spans="1:1">
      <c r="A21781" t="s">
        <v>22313</v>
      </c>
    </row>
    <row r="21782" spans="1:1">
      <c r="A21782" t="s">
        <v>22314</v>
      </c>
    </row>
    <row r="21783" spans="1:1">
      <c r="A21783" t="s">
        <v>22315</v>
      </c>
    </row>
    <row r="21784" spans="1:1">
      <c r="A21784" t="s">
        <v>22316</v>
      </c>
    </row>
    <row r="21785" spans="1:1">
      <c r="A21785" t="s">
        <v>22317</v>
      </c>
    </row>
    <row r="21786" spans="1:1">
      <c r="A21786" t="s">
        <v>22318</v>
      </c>
    </row>
    <row r="21787" spans="1:1">
      <c r="A21787" t="s">
        <v>22319</v>
      </c>
    </row>
    <row r="21788" spans="1:1">
      <c r="A21788" t="s">
        <v>22320</v>
      </c>
    </row>
    <row r="21789" spans="1:1">
      <c r="A21789" t="s">
        <v>22321</v>
      </c>
    </row>
    <row r="21790" spans="1:1">
      <c r="A21790" t="s">
        <v>22322</v>
      </c>
    </row>
    <row r="21791" spans="1:1">
      <c r="A21791" t="s">
        <v>22323</v>
      </c>
    </row>
    <row r="21792" spans="1:1">
      <c r="A21792" t="s">
        <v>22324</v>
      </c>
    </row>
    <row r="21793" spans="1:1">
      <c r="A21793" t="s">
        <v>22325</v>
      </c>
    </row>
    <row r="21794" spans="1:1">
      <c r="A21794" t="s">
        <v>22326</v>
      </c>
    </row>
    <row r="21795" spans="1:1">
      <c r="A21795" t="s">
        <v>22327</v>
      </c>
    </row>
    <row r="21796" spans="1:1">
      <c r="A21796" t="s">
        <v>22328</v>
      </c>
    </row>
    <row r="21797" spans="1:1">
      <c r="A21797" t="s">
        <v>22329</v>
      </c>
    </row>
    <row r="21798" spans="1:1">
      <c r="A21798" t="s">
        <v>22330</v>
      </c>
    </row>
    <row r="21799" spans="1:1">
      <c r="A21799" t="s">
        <v>22331</v>
      </c>
    </row>
    <row r="21800" spans="1:1">
      <c r="A21800" t="s">
        <v>22332</v>
      </c>
    </row>
    <row r="21801" spans="1:1">
      <c r="A21801" t="s">
        <v>22333</v>
      </c>
    </row>
    <row r="21802" spans="1:1">
      <c r="A21802" t="s">
        <v>22334</v>
      </c>
    </row>
    <row r="21803" spans="1:1">
      <c r="A21803" t="s">
        <v>22335</v>
      </c>
    </row>
    <row r="21804" spans="1:1">
      <c r="A21804" t="s">
        <v>22336</v>
      </c>
    </row>
    <row r="21805" spans="1:1">
      <c r="A21805" t="s">
        <v>22337</v>
      </c>
    </row>
    <row r="21806" spans="1:1">
      <c r="A21806" t="s">
        <v>22338</v>
      </c>
    </row>
    <row r="21807" spans="1:1">
      <c r="A21807" t="s">
        <v>22339</v>
      </c>
    </row>
    <row r="21808" spans="1:1">
      <c r="A21808" t="s">
        <v>22340</v>
      </c>
    </row>
    <row r="21809" spans="1:1">
      <c r="A21809" t="s">
        <v>22341</v>
      </c>
    </row>
    <row r="21810" spans="1:1">
      <c r="A21810" t="s">
        <v>22342</v>
      </c>
    </row>
    <row r="21811" spans="1:1">
      <c r="A21811" t="s">
        <v>22343</v>
      </c>
    </row>
    <row r="21812" spans="1:1">
      <c r="A21812" t="s">
        <v>22344</v>
      </c>
    </row>
    <row r="21813" spans="1:1">
      <c r="A21813" t="s">
        <v>22345</v>
      </c>
    </row>
    <row r="21814" spans="1:1">
      <c r="A21814" t="s">
        <v>22346</v>
      </c>
    </row>
    <row r="21815" spans="1:1">
      <c r="A21815" t="s">
        <v>22347</v>
      </c>
    </row>
    <row r="21816" spans="1:1">
      <c r="A21816" t="s">
        <v>22348</v>
      </c>
    </row>
    <row r="21817" spans="1:1">
      <c r="A21817" t="s">
        <v>22349</v>
      </c>
    </row>
    <row r="21818" spans="1:1">
      <c r="A21818" t="s">
        <v>22350</v>
      </c>
    </row>
    <row r="21819" spans="1:1">
      <c r="A21819" t="s">
        <v>22351</v>
      </c>
    </row>
    <row r="21820" spans="1:1">
      <c r="A21820" t="s">
        <v>22352</v>
      </c>
    </row>
    <row r="21821" spans="1:1">
      <c r="A21821" t="s">
        <v>22353</v>
      </c>
    </row>
    <row r="21822" spans="1:1">
      <c r="A21822" t="s">
        <v>22354</v>
      </c>
    </row>
    <row r="21823" spans="1:1">
      <c r="A21823" t="s">
        <v>22355</v>
      </c>
    </row>
    <row r="21824" spans="1:1">
      <c r="A21824" t="s">
        <v>22356</v>
      </c>
    </row>
    <row r="21825" spans="1:1">
      <c r="A21825" t="s">
        <v>22357</v>
      </c>
    </row>
    <row r="21826" spans="1:1">
      <c r="A21826" t="s">
        <v>22358</v>
      </c>
    </row>
    <row r="21827" spans="1:1">
      <c r="A21827" t="s">
        <v>22359</v>
      </c>
    </row>
    <row r="21828" spans="1:1">
      <c r="A21828" t="s">
        <v>22360</v>
      </c>
    </row>
    <row r="21829" spans="1:1">
      <c r="A21829" t="s">
        <v>22361</v>
      </c>
    </row>
    <row r="21830" spans="1:1">
      <c r="A21830" t="s">
        <v>22362</v>
      </c>
    </row>
    <row r="21831" spans="1:1">
      <c r="A21831" t="s">
        <v>22363</v>
      </c>
    </row>
    <row r="21832" spans="1:1">
      <c r="A21832" t="s">
        <v>22364</v>
      </c>
    </row>
    <row r="21833" spans="1:1">
      <c r="A21833" t="s">
        <v>22365</v>
      </c>
    </row>
    <row r="21834" spans="1:1">
      <c r="A21834" t="s">
        <v>22366</v>
      </c>
    </row>
    <row r="21835" spans="1:1">
      <c r="A21835" t="s">
        <v>22367</v>
      </c>
    </row>
    <row r="21836" spans="1:1">
      <c r="A21836" t="s">
        <v>22368</v>
      </c>
    </row>
    <row r="21837" spans="1:1">
      <c r="A21837" t="s">
        <v>22369</v>
      </c>
    </row>
    <row r="21838" spans="1:1">
      <c r="A21838" t="s">
        <v>22370</v>
      </c>
    </row>
    <row r="21839" spans="1:1">
      <c r="A21839" t="s">
        <v>22371</v>
      </c>
    </row>
    <row r="21840" spans="1:1">
      <c r="A21840" t="s">
        <v>22372</v>
      </c>
    </row>
    <row r="21841" spans="1:1">
      <c r="A21841" t="s">
        <v>22373</v>
      </c>
    </row>
    <row r="21842" spans="1:1">
      <c r="A21842" t="s">
        <v>22374</v>
      </c>
    </row>
    <row r="21843" spans="1:1">
      <c r="A21843" t="s">
        <v>22375</v>
      </c>
    </row>
    <row r="21844" spans="1:1">
      <c r="A21844" t="s">
        <v>22376</v>
      </c>
    </row>
    <row r="21845" spans="1:1">
      <c r="A21845" t="s">
        <v>22377</v>
      </c>
    </row>
    <row r="21846" spans="1:1">
      <c r="A21846" t="s">
        <v>22378</v>
      </c>
    </row>
    <row r="21847" spans="1:1">
      <c r="A21847" t="s">
        <v>22379</v>
      </c>
    </row>
    <row r="21848" spans="1:1">
      <c r="A21848" t="s">
        <v>22380</v>
      </c>
    </row>
    <row r="21849" spans="1:1">
      <c r="A21849" t="s">
        <v>22381</v>
      </c>
    </row>
    <row r="21850" spans="1:1">
      <c r="A21850" t="s">
        <v>22382</v>
      </c>
    </row>
    <row r="21851" spans="1:1">
      <c r="A21851" t="s">
        <v>22383</v>
      </c>
    </row>
    <row r="21852" spans="1:1">
      <c r="A21852" t="s">
        <v>22384</v>
      </c>
    </row>
    <row r="21853" spans="1:1">
      <c r="A21853" t="s">
        <v>22385</v>
      </c>
    </row>
    <row r="21854" spans="1:1">
      <c r="A21854" t="s">
        <v>22386</v>
      </c>
    </row>
    <row r="21855" spans="1:1">
      <c r="A21855" t="s">
        <v>22387</v>
      </c>
    </row>
    <row r="21856" spans="1:1">
      <c r="A21856" t="s">
        <v>22388</v>
      </c>
    </row>
    <row r="21857" spans="1:1">
      <c r="A21857" t="s">
        <v>22389</v>
      </c>
    </row>
    <row r="21858" spans="1:1">
      <c r="A21858" t="s">
        <v>22390</v>
      </c>
    </row>
    <row r="21859" spans="1:1">
      <c r="A21859" t="s">
        <v>22391</v>
      </c>
    </row>
    <row r="21860" spans="1:1">
      <c r="A21860" t="s">
        <v>22392</v>
      </c>
    </row>
    <row r="21861" spans="1:1">
      <c r="A21861" t="s">
        <v>22393</v>
      </c>
    </row>
    <row r="21862" spans="1:1">
      <c r="A21862" t="s">
        <v>22394</v>
      </c>
    </row>
    <row r="21863" spans="1:1">
      <c r="A21863" t="s">
        <v>22395</v>
      </c>
    </row>
    <row r="21864" spans="1:1">
      <c r="A21864" t="s">
        <v>22396</v>
      </c>
    </row>
    <row r="21865" spans="1:1">
      <c r="A21865" t="s">
        <v>22397</v>
      </c>
    </row>
    <row r="21866" spans="1:1">
      <c r="A21866" t="s">
        <v>22398</v>
      </c>
    </row>
    <row r="21867" spans="1:1">
      <c r="A21867" t="s">
        <v>22399</v>
      </c>
    </row>
    <row r="21868" spans="1:1">
      <c r="A21868" t="s">
        <v>22400</v>
      </c>
    </row>
    <row r="21869" spans="1:1">
      <c r="A21869" t="s">
        <v>22401</v>
      </c>
    </row>
    <row r="21870" spans="1:1">
      <c r="A21870" t="s">
        <v>22402</v>
      </c>
    </row>
    <row r="21871" spans="1:1">
      <c r="A21871" t="s">
        <v>22403</v>
      </c>
    </row>
    <row r="21872" spans="1:1">
      <c r="A21872" t="s">
        <v>22404</v>
      </c>
    </row>
    <row r="21873" spans="1:1">
      <c r="A21873" t="s">
        <v>22405</v>
      </c>
    </row>
    <row r="21874" spans="1:1">
      <c r="A21874" t="s">
        <v>22406</v>
      </c>
    </row>
    <row r="21875" spans="1:1">
      <c r="A21875" t="s">
        <v>22407</v>
      </c>
    </row>
    <row r="21876" spans="1:1">
      <c r="A21876" t="s">
        <v>22408</v>
      </c>
    </row>
    <row r="21877" spans="1:1">
      <c r="A21877" t="s">
        <v>22409</v>
      </c>
    </row>
    <row r="21878" spans="1:1">
      <c r="A21878" t="s">
        <v>22410</v>
      </c>
    </row>
    <row r="21879" spans="1:1">
      <c r="A21879" t="s">
        <v>22411</v>
      </c>
    </row>
    <row r="21880" spans="1:1">
      <c r="A21880" t="s">
        <v>22412</v>
      </c>
    </row>
    <row r="21881" spans="1:1">
      <c r="A21881" t="s">
        <v>22413</v>
      </c>
    </row>
    <row r="21882" spans="1:1">
      <c r="A21882" t="s">
        <v>22414</v>
      </c>
    </row>
    <row r="21883" spans="1:1">
      <c r="A21883" t="s">
        <v>22415</v>
      </c>
    </row>
    <row r="21884" spans="1:1">
      <c r="A21884" t="s">
        <v>22416</v>
      </c>
    </row>
    <row r="21885" spans="1:1">
      <c r="A21885" t="s">
        <v>22417</v>
      </c>
    </row>
    <row r="21886" spans="1:1">
      <c r="A21886" t="s">
        <v>22418</v>
      </c>
    </row>
    <row r="21887" spans="1:1">
      <c r="A21887" t="s">
        <v>22419</v>
      </c>
    </row>
    <row r="21888" spans="1:1">
      <c r="A21888" t="s">
        <v>22420</v>
      </c>
    </row>
    <row r="21889" spans="1:1">
      <c r="A21889" t="s">
        <v>22421</v>
      </c>
    </row>
    <row r="21890" spans="1:1">
      <c r="A21890" t="s">
        <v>22422</v>
      </c>
    </row>
    <row r="21891" spans="1:1">
      <c r="A21891" t="s">
        <v>22423</v>
      </c>
    </row>
    <row r="21892" spans="1:1">
      <c r="A21892" t="s">
        <v>22424</v>
      </c>
    </row>
    <row r="21893" spans="1:1">
      <c r="A21893" t="s">
        <v>22425</v>
      </c>
    </row>
    <row r="21894" spans="1:1">
      <c r="A21894" t="s">
        <v>22426</v>
      </c>
    </row>
    <row r="21895" spans="1:1">
      <c r="A21895" t="s">
        <v>22427</v>
      </c>
    </row>
    <row r="21896" spans="1:1">
      <c r="A21896" t="s">
        <v>22428</v>
      </c>
    </row>
    <row r="21897" spans="1:1">
      <c r="A21897" t="s">
        <v>22429</v>
      </c>
    </row>
    <row r="21898" spans="1:1">
      <c r="A21898" t="s">
        <v>22430</v>
      </c>
    </row>
    <row r="21899" spans="1:1">
      <c r="A21899" t="s">
        <v>22431</v>
      </c>
    </row>
    <row r="21900" spans="1:1">
      <c r="A21900" t="s">
        <v>22432</v>
      </c>
    </row>
    <row r="21901" spans="1:1">
      <c r="A21901" t="s">
        <v>22433</v>
      </c>
    </row>
    <row r="21902" spans="1:1">
      <c r="A21902" t="s">
        <v>22434</v>
      </c>
    </row>
    <row r="21903" spans="1:1">
      <c r="A21903" t="s">
        <v>22435</v>
      </c>
    </row>
    <row r="21904" spans="1:1">
      <c r="A21904" t="s">
        <v>22436</v>
      </c>
    </row>
    <row r="21905" spans="1:1">
      <c r="A21905" t="s">
        <v>22437</v>
      </c>
    </row>
    <row r="21906" spans="1:1">
      <c r="A21906" t="s">
        <v>22438</v>
      </c>
    </row>
    <row r="21907" spans="1:1">
      <c r="A21907" t="s">
        <v>22439</v>
      </c>
    </row>
    <row r="21908" spans="1:1">
      <c r="A21908" t="s">
        <v>22440</v>
      </c>
    </row>
    <row r="21909" spans="1:1">
      <c r="A21909" t="s">
        <v>22441</v>
      </c>
    </row>
    <row r="21910" spans="1:1">
      <c r="A21910" t="s">
        <v>22442</v>
      </c>
    </row>
    <row r="21911" spans="1:1">
      <c r="A21911" t="s">
        <v>22443</v>
      </c>
    </row>
    <row r="21912" spans="1:1">
      <c r="A21912" t="s">
        <v>22444</v>
      </c>
    </row>
    <row r="21913" spans="1:1">
      <c r="A21913" t="s">
        <v>22445</v>
      </c>
    </row>
    <row r="21914" spans="1:1">
      <c r="A21914" t="s">
        <v>22446</v>
      </c>
    </row>
    <row r="21915" spans="1:1">
      <c r="A21915" t="s">
        <v>22447</v>
      </c>
    </row>
    <row r="21916" spans="1:1">
      <c r="A21916" t="s">
        <v>22448</v>
      </c>
    </row>
    <row r="21917" spans="1:1">
      <c r="A21917" t="s">
        <v>22449</v>
      </c>
    </row>
    <row r="21918" spans="1:1">
      <c r="A21918" t="s">
        <v>22450</v>
      </c>
    </row>
    <row r="21919" spans="1:1">
      <c r="A21919" t="s">
        <v>22451</v>
      </c>
    </row>
    <row r="21920" spans="1:1">
      <c r="A21920" t="s">
        <v>22452</v>
      </c>
    </row>
    <row r="21921" spans="1:1">
      <c r="A21921" t="s">
        <v>22453</v>
      </c>
    </row>
    <row r="21922" spans="1:1">
      <c r="A21922" t="s">
        <v>22454</v>
      </c>
    </row>
    <row r="21923" spans="1:1">
      <c r="A21923" t="s">
        <v>22455</v>
      </c>
    </row>
    <row r="21924" spans="1:1">
      <c r="A21924" t="s">
        <v>22456</v>
      </c>
    </row>
    <row r="21925" spans="1:1">
      <c r="A21925" t="s">
        <v>22457</v>
      </c>
    </row>
    <row r="21926" spans="1:1">
      <c r="A21926" t="s">
        <v>22458</v>
      </c>
    </row>
    <row r="21927" spans="1:1">
      <c r="A21927" t="s">
        <v>22459</v>
      </c>
    </row>
    <row r="21928" spans="1:1">
      <c r="A21928" t="s">
        <v>22460</v>
      </c>
    </row>
    <row r="21929" spans="1:1">
      <c r="A21929" t="s">
        <v>22461</v>
      </c>
    </row>
    <row r="21930" spans="1:1">
      <c r="A21930" t="s">
        <v>22462</v>
      </c>
    </row>
    <row r="21931" spans="1:1">
      <c r="A21931" t="s">
        <v>22463</v>
      </c>
    </row>
    <row r="21932" spans="1:1">
      <c r="A21932" t="s">
        <v>22464</v>
      </c>
    </row>
    <row r="21933" spans="1:1">
      <c r="A21933" t="s">
        <v>22465</v>
      </c>
    </row>
    <row r="21934" spans="1:1">
      <c r="A21934" t="s">
        <v>22466</v>
      </c>
    </row>
    <row r="21935" spans="1:1">
      <c r="A21935" t="s">
        <v>22467</v>
      </c>
    </row>
    <row r="21936" spans="1:1">
      <c r="A21936" t="s">
        <v>22468</v>
      </c>
    </row>
    <row r="21937" spans="1:1">
      <c r="A21937" t="s">
        <v>22469</v>
      </c>
    </row>
    <row r="21938" spans="1:1">
      <c r="A21938" t="s">
        <v>22470</v>
      </c>
    </row>
    <row r="21939" spans="1:1">
      <c r="A21939" t="s">
        <v>22471</v>
      </c>
    </row>
    <row r="21940" spans="1:1">
      <c r="A21940" t="s">
        <v>22472</v>
      </c>
    </row>
    <row r="21941" spans="1:1">
      <c r="A21941" t="s">
        <v>22473</v>
      </c>
    </row>
    <row r="21942" spans="1:1">
      <c r="A21942" t="s">
        <v>22474</v>
      </c>
    </row>
    <row r="21943" spans="1:1">
      <c r="A21943" t="s">
        <v>22475</v>
      </c>
    </row>
    <row r="21944" spans="1:1">
      <c r="A21944" t="s">
        <v>22476</v>
      </c>
    </row>
    <row r="21945" spans="1:1">
      <c r="A21945" t="s">
        <v>22477</v>
      </c>
    </row>
    <row r="21946" spans="1:1">
      <c r="A21946" t="s">
        <v>22478</v>
      </c>
    </row>
    <row r="21947" spans="1:1">
      <c r="A21947" t="s">
        <v>22479</v>
      </c>
    </row>
    <row r="21948" spans="1:1">
      <c r="A21948" t="s">
        <v>22480</v>
      </c>
    </row>
    <row r="21949" spans="1:1">
      <c r="A21949" t="s">
        <v>22481</v>
      </c>
    </row>
    <row r="21950" spans="1:1">
      <c r="A21950" t="s">
        <v>22482</v>
      </c>
    </row>
    <row r="21951" spans="1:1">
      <c r="A21951" t="s">
        <v>22483</v>
      </c>
    </row>
    <row r="21952" spans="1:1">
      <c r="A21952" t="s">
        <v>22484</v>
      </c>
    </row>
    <row r="21953" spans="1:1">
      <c r="A21953" t="s">
        <v>22485</v>
      </c>
    </row>
    <row r="21954" spans="1:1">
      <c r="A21954" t="s">
        <v>22486</v>
      </c>
    </row>
    <row r="21955" spans="1:1">
      <c r="A21955" t="s">
        <v>22487</v>
      </c>
    </row>
    <row r="21956" spans="1:1">
      <c r="A21956" t="s">
        <v>22488</v>
      </c>
    </row>
    <row r="21957" spans="1:1">
      <c r="A21957" t="s">
        <v>22489</v>
      </c>
    </row>
    <row r="21958" spans="1:1">
      <c r="A21958" t="s">
        <v>22490</v>
      </c>
    </row>
    <row r="21959" spans="1:1">
      <c r="A21959" t="s">
        <v>22491</v>
      </c>
    </row>
    <row r="21960" spans="1:1">
      <c r="A21960" t="s">
        <v>22492</v>
      </c>
    </row>
    <row r="21961" spans="1:1">
      <c r="A21961" t="s">
        <v>22493</v>
      </c>
    </row>
    <row r="21962" spans="1:1">
      <c r="A21962" t="s">
        <v>22494</v>
      </c>
    </row>
    <row r="21963" spans="1:1">
      <c r="A21963" t="s">
        <v>22495</v>
      </c>
    </row>
    <row r="21964" spans="1:1">
      <c r="A21964" t="s">
        <v>22496</v>
      </c>
    </row>
    <row r="21965" spans="1:1">
      <c r="A21965" t="s">
        <v>22497</v>
      </c>
    </row>
    <row r="21966" spans="1:1">
      <c r="A21966" t="s">
        <v>22498</v>
      </c>
    </row>
    <row r="21967" spans="1:1">
      <c r="A21967" t="s">
        <v>22499</v>
      </c>
    </row>
    <row r="21968" spans="1:1">
      <c r="A21968" t="s">
        <v>22500</v>
      </c>
    </row>
    <row r="21969" spans="1:1">
      <c r="A21969" t="s">
        <v>22501</v>
      </c>
    </row>
    <row r="21970" spans="1:1">
      <c r="A21970" t="s">
        <v>22502</v>
      </c>
    </row>
    <row r="21971" spans="1:1">
      <c r="A21971" t="s">
        <v>22503</v>
      </c>
    </row>
    <row r="21972" spans="1:1">
      <c r="A21972" t="s">
        <v>22504</v>
      </c>
    </row>
    <row r="21973" spans="1:1">
      <c r="A21973" t="s">
        <v>22505</v>
      </c>
    </row>
    <row r="21974" spans="1:1">
      <c r="A21974" t="s">
        <v>22506</v>
      </c>
    </row>
    <row r="21975" spans="1:1">
      <c r="A21975" t="s">
        <v>22507</v>
      </c>
    </row>
    <row r="21976" spans="1:1">
      <c r="A21976" t="s">
        <v>22508</v>
      </c>
    </row>
    <row r="21977" spans="1:1">
      <c r="A21977" t="s">
        <v>22509</v>
      </c>
    </row>
    <row r="21978" spans="1:1">
      <c r="A21978" t="s">
        <v>22510</v>
      </c>
    </row>
    <row r="21979" spans="1:1">
      <c r="A21979" t="s">
        <v>22511</v>
      </c>
    </row>
    <row r="21980" spans="1:1">
      <c r="A21980" t="s">
        <v>22512</v>
      </c>
    </row>
    <row r="21981" spans="1:1">
      <c r="A21981" t="s">
        <v>22513</v>
      </c>
    </row>
    <row r="21982" spans="1:1">
      <c r="A21982" t="s">
        <v>22514</v>
      </c>
    </row>
    <row r="21983" spans="1:1">
      <c r="A21983" t="s">
        <v>22515</v>
      </c>
    </row>
    <row r="21984" spans="1:1">
      <c r="A21984" t="s">
        <v>22516</v>
      </c>
    </row>
    <row r="21985" spans="1:1">
      <c r="A21985" t="s">
        <v>22517</v>
      </c>
    </row>
    <row r="21986" spans="1:1">
      <c r="A21986" t="s">
        <v>22518</v>
      </c>
    </row>
    <row r="21987" spans="1:1">
      <c r="A21987" t="s">
        <v>22519</v>
      </c>
    </row>
    <row r="21988" spans="1:1">
      <c r="A21988" t="s">
        <v>22520</v>
      </c>
    </row>
    <row r="21989" spans="1:1">
      <c r="A21989" t="s">
        <v>22521</v>
      </c>
    </row>
    <row r="21990" spans="1:1">
      <c r="A21990" t="s">
        <v>22522</v>
      </c>
    </row>
    <row r="21991" spans="1:1">
      <c r="A21991" t="s">
        <v>22523</v>
      </c>
    </row>
    <row r="21992" spans="1:1">
      <c r="A21992" t="s">
        <v>22524</v>
      </c>
    </row>
    <row r="21993" spans="1:1">
      <c r="A21993" t="s">
        <v>22525</v>
      </c>
    </row>
    <row r="21994" spans="1:1">
      <c r="A21994" t="s">
        <v>22526</v>
      </c>
    </row>
    <row r="21995" spans="1:1">
      <c r="A21995" t="s">
        <v>22527</v>
      </c>
    </row>
    <row r="21996" spans="1:1">
      <c r="A21996" t="s">
        <v>22528</v>
      </c>
    </row>
    <row r="21997" spans="1:1">
      <c r="A21997" t="s">
        <v>22529</v>
      </c>
    </row>
    <row r="21998" spans="1:1">
      <c r="A21998" t="s">
        <v>22530</v>
      </c>
    </row>
    <row r="21999" spans="1:1">
      <c r="A21999" t="s">
        <v>22531</v>
      </c>
    </row>
    <row r="22000" spans="1:1">
      <c r="A22000" t="s">
        <v>22532</v>
      </c>
    </row>
    <row r="22001" spans="1:1">
      <c r="A22001" t="s">
        <v>22533</v>
      </c>
    </row>
    <row r="22002" spans="1:1">
      <c r="A22002" t="s">
        <v>22534</v>
      </c>
    </row>
    <row r="22003" spans="1:1">
      <c r="A22003" t="s">
        <v>22535</v>
      </c>
    </row>
    <row r="22004" spans="1:1">
      <c r="A22004" t="s">
        <v>22536</v>
      </c>
    </row>
    <row r="22005" spans="1:1">
      <c r="A22005" t="s">
        <v>22537</v>
      </c>
    </row>
    <row r="22006" spans="1:1">
      <c r="A22006" t="s">
        <v>22538</v>
      </c>
    </row>
    <row r="22007" spans="1:1">
      <c r="A22007" t="s">
        <v>22539</v>
      </c>
    </row>
    <row r="22008" spans="1:1">
      <c r="A22008" t="s">
        <v>22540</v>
      </c>
    </row>
    <row r="22009" spans="1:1">
      <c r="A22009" t="s">
        <v>22541</v>
      </c>
    </row>
    <row r="22010" spans="1:1">
      <c r="A22010" t="s">
        <v>22542</v>
      </c>
    </row>
    <row r="22011" spans="1:1">
      <c r="A22011" t="s">
        <v>22543</v>
      </c>
    </row>
    <row r="22012" spans="1:1">
      <c r="A22012" t="s">
        <v>22544</v>
      </c>
    </row>
    <row r="22013" spans="1:1">
      <c r="A22013" t="s">
        <v>22545</v>
      </c>
    </row>
    <row r="22014" spans="1:1">
      <c r="A22014" t="s">
        <v>22546</v>
      </c>
    </row>
    <row r="22015" spans="1:1">
      <c r="A22015" t="s">
        <v>22547</v>
      </c>
    </row>
    <row r="22016" spans="1:1">
      <c r="A22016" t="s">
        <v>22548</v>
      </c>
    </row>
    <row r="22017" spans="1:1">
      <c r="A22017" t="s">
        <v>22549</v>
      </c>
    </row>
    <row r="22018" spans="1:1">
      <c r="A22018" t="s">
        <v>22550</v>
      </c>
    </row>
    <row r="22019" spans="1:1">
      <c r="A22019" t="s">
        <v>22551</v>
      </c>
    </row>
    <row r="22020" spans="1:1">
      <c r="A22020" t="s">
        <v>22552</v>
      </c>
    </row>
    <row r="22021" spans="1:1">
      <c r="A22021" t="s">
        <v>22553</v>
      </c>
    </row>
    <row r="22022" spans="1:1">
      <c r="A22022" t="s">
        <v>22554</v>
      </c>
    </row>
    <row r="22023" spans="1:1">
      <c r="A22023" t="s">
        <v>22555</v>
      </c>
    </row>
    <row r="22024" spans="1:1">
      <c r="A22024" t="s">
        <v>22556</v>
      </c>
    </row>
    <row r="22025" spans="1:1">
      <c r="A22025" t="s">
        <v>22557</v>
      </c>
    </row>
    <row r="22026" spans="1:1">
      <c r="A22026" t="s">
        <v>22558</v>
      </c>
    </row>
    <row r="22027" spans="1:1">
      <c r="A22027" t="s">
        <v>22559</v>
      </c>
    </row>
    <row r="22028" spans="1:1">
      <c r="A22028" t="s">
        <v>22560</v>
      </c>
    </row>
    <row r="22029" spans="1:1">
      <c r="A22029" t="s">
        <v>22561</v>
      </c>
    </row>
    <row r="22030" spans="1:1">
      <c r="A22030" t="s">
        <v>22562</v>
      </c>
    </row>
    <row r="22031" spans="1:1">
      <c r="A22031" t="s">
        <v>22563</v>
      </c>
    </row>
    <row r="22032" spans="1:1">
      <c r="A22032" t="s">
        <v>22564</v>
      </c>
    </row>
    <row r="22033" spans="1:1">
      <c r="A22033" t="s">
        <v>22565</v>
      </c>
    </row>
    <row r="22034" spans="1:1">
      <c r="A22034" t="s">
        <v>22566</v>
      </c>
    </row>
    <row r="22035" spans="1:1">
      <c r="A22035" t="s">
        <v>22567</v>
      </c>
    </row>
    <row r="22036" spans="1:1">
      <c r="A22036" t="s">
        <v>22568</v>
      </c>
    </row>
    <row r="22037" spans="1:1">
      <c r="A22037" t="s">
        <v>22569</v>
      </c>
    </row>
    <row r="22038" spans="1:1">
      <c r="A22038" t="s">
        <v>22570</v>
      </c>
    </row>
    <row r="22039" spans="1:1">
      <c r="A22039" t="s">
        <v>22571</v>
      </c>
    </row>
    <row r="22040" spans="1:1">
      <c r="A22040" t="s">
        <v>22572</v>
      </c>
    </row>
    <row r="22041" spans="1:1">
      <c r="A22041" t="s">
        <v>22573</v>
      </c>
    </row>
    <row r="22042" spans="1:1">
      <c r="A22042" t="s">
        <v>22574</v>
      </c>
    </row>
    <row r="22043" spans="1:1">
      <c r="A22043" t="s">
        <v>22575</v>
      </c>
    </row>
    <row r="22044" spans="1:1">
      <c r="A22044" t="s">
        <v>22576</v>
      </c>
    </row>
    <row r="22045" spans="1:1">
      <c r="A22045" t="s">
        <v>22577</v>
      </c>
    </row>
    <row r="22046" spans="1:1">
      <c r="A22046" t="s">
        <v>22578</v>
      </c>
    </row>
    <row r="22047" spans="1:1">
      <c r="A22047" t="s">
        <v>22579</v>
      </c>
    </row>
    <row r="22048" spans="1:1">
      <c r="A22048" t="s">
        <v>22580</v>
      </c>
    </row>
    <row r="22049" spans="1:1">
      <c r="A22049" t="s">
        <v>22581</v>
      </c>
    </row>
    <row r="22050" spans="1:1">
      <c r="A22050" t="s">
        <v>22582</v>
      </c>
    </row>
    <row r="22051" spans="1:1">
      <c r="A22051" t="s">
        <v>22583</v>
      </c>
    </row>
    <row r="22052" spans="1:1">
      <c r="A22052" t="s">
        <v>22584</v>
      </c>
    </row>
    <row r="22053" spans="1:1">
      <c r="A22053" t="s">
        <v>22585</v>
      </c>
    </row>
    <row r="22054" spans="1:1">
      <c r="A22054" t="s">
        <v>22586</v>
      </c>
    </row>
    <row r="22055" spans="1:1">
      <c r="A22055" t="s">
        <v>22587</v>
      </c>
    </row>
    <row r="22056" spans="1:1">
      <c r="A22056" t="s">
        <v>22588</v>
      </c>
    </row>
    <row r="22057" spans="1:1">
      <c r="A22057" t="s">
        <v>22589</v>
      </c>
    </row>
    <row r="22058" spans="1:1">
      <c r="A22058" t="s">
        <v>22590</v>
      </c>
    </row>
    <row r="22059" spans="1:1">
      <c r="A22059" t="s">
        <v>22591</v>
      </c>
    </row>
    <row r="22060" spans="1:1">
      <c r="A22060" t="s">
        <v>22592</v>
      </c>
    </row>
    <row r="22061" spans="1:1">
      <c r="A22061" t="s">
        <v>22593</v>
      </c>
    </row>
    <row r="22062" spans="1:1">
      <c r="A22062" t="s">
        <v>22594</v>
      </c>
    </row>
    <row r="22063" spans="1:1">
      <c r="A22063" t="s">
        <v>22595</v>
      </c>
    </row>
    <row r="22064" spans="1:1">
      <c r="A22064" t="s">
        <v>22596</v>
      </c>
    </row>
    <row r="22065" spans="1:1">
      <c r="A22065" t="s">
        <v>22597</v>
      </c>
    </row>
    <row r="22066" spans="1:1">
      <c r="A22066" t="s">
        <v>22598</v>
      </c>
    </row>
    <row r="22067" spans="1:1">
      <c r="A22067" t="s">
        <v>22599</v>
      </c>
    </row>
    <row r="22068" spans="1:1">
      <c r="A22068" t="s">
        <v>22600</v>
      </c>
    </row>
    <row r="22069" spans="1:1">
      <c r="A22069" t="s">
        <v>22601</v>
      </c>
    </row>
    <row r="22070" spans="1:1">
      <c r="A22070" t="s">
        <v>22602</v>
      </c>
    </row>
    <row r="22071" spans="1:1">
      <c r="A22071" t="s">
        <v>22603</v>
      </c>
    </row>
    <row r="22072" spans="1:1">
      <c r="A22072" t="s">
        <v>22604</v>
      </c>
    </row>
    <row r="22073" spans="1:1">
      <c r="A22073" t="s">
        <v>22605</v>
      </c>
    </row>
    <row r="22074" spans="1:1">
      <c r="A22074" t="s">
        <v>22606</v>
      </c>
    </row>
    <row r="22075" spans="1:1">
      <c r="A22075" t="s">
        <v>22607</v>
      </c>
    </row>
    <row r="22076" spans="1:1">
      <c r="A22076" t="s">
        <v>22608</v>
      </c>
    </row>
    <row r="22077" spans="1:1">
      <c r="A22077" t="s">
        <v>22609</v>
      </c>
    </row>
    <row r="22078" spans="1:1">
      <c r="A22078" t="s">
        <v>22610</v>
      </c>
    </row>
    <row r="22079" spans="1:1">
      <c r="A22079" t="s">
        <v>22611</v>
      </c>
    </row>
    <row r="22080" spans="1:1">
      <c r="A22080" t="s">
        <v>22612</v>
      </c>
    </row>
    <row r="22081" spans="1:1">
      <c r="A22081" t="s">
        <v>22613</v>
      </c>
    </row>
    <row r="22082" spans="1:1">
      <c r="A22082" t="s">
        <v>22614</v>
      </c>
    </row>
    <row r="22083" spans="1:1">
      <c r="A22083" t="s">
        <v>22615</v>
      </c>
    </row>
    <row r="22084" spans="1:1">
      <c r="A22084" t="s">
        <v>22616</v>
      </c>
    </row>
    <row r="22085" spans="1:1">
      <c r="A22085" t="s">
        <v>22617</v>
      </c>
    </row>
    <row r="22086" spans="1:1">
      <c r="A22086" t="s">
        <v>22618</v>
      </c>
    </row>
    <row r="22087" spans="1:1">
      <c r="A22087" t="s">
        <v>22619</v>
      </c>
    </row>
    <row r="22088" spans="1:1">
      <c r="A22088" t="s">
        <v>22620</v>
      </c>
    </row>
    <row r="22089" spans="1:1">
      <c r="A22089" t="s">
        <v>22621</v>
      </c>
    </row>
    <row r="22090" spans="1:1">
      <c r="A22090" t="s">
        <v>22622</v>
      </c>
    </row>
    <row r="22091" spans="1:1">
      <c r="A22091" t="s">
        <v>22623</v>
      </c>
    </row>
    <row r="22092" spans="1:1">
      <c r="A22092" t="s">
        <v>22624</v>
      </c>
    </row>
    <row r="22093" spans="1:1">
      <c r="A22093" t="s">
        <v>22625</v>
      </c>
    </row>
    <row r="22094" spans="1:1">
      <c r="A22094" t="s">
        <v>22626</v>
      </c>
    </row>
    <row r="22095" spans="1:1">
      <c r="A22095" t="s">
        <v>22627</v>
      </c>
    </row>
    <row r="22096" spans="1:1">
      <c r="A22096" t="s">
        <v>22628</v>
      </c>
    </row>
    <row r="22097" spans="1:1">
      <c r="A22097" t="s">
        <v>22629</v>
      </c>
    </row>
    <row r="22098" spans="1:1">
      <c r="A22098" t="s">
        <v>22630</v>
      </c>
    </row>
    <row r="22099" spans="1:1">
      <c r="A22099" t="s">
        <v>22631</v>
      </c>
    </row>
    <row r="22100" spans="1:1">
      <c r="A22100" t="s">
        <v>22632</v>
      </c>
    </row>
    <row r="22101" spans="1:1">
      <c r="A22101" t="s">
        <v>22633</v>
      </c>
    </row>
    <row r="22102" spans="1:1">
      <c r="A22102" t="s">
        <v>22634</v>
      </c>
    </row>
    <row r="22103" spans="1:1">
      <c r="A22103" t="s">
        <v>22635</v>
      </c>
    </row>
    <row r="22104" spans="1:1">
      <c r="A22104" t="s">
        <v>22636</v>
      </c>
    </row>
    <row r="22105" spans="1:1">
      <c r="A22105" t="s">
        <v>22637</v>
      </c>
    </row>
    <row r="22106" spans="1:1">
      <c r="A22106" t="s">
        <v>22638</v>
      </c>
    </row>
    <row r="22107" spans="1:1">
      <c r="A22107" t="s">
        <v>22639</v>
      </c>
    </row>
    <row r="22108" spans="1:1">
      <c r="A22108" t="s">
        <v>22640</v>
      </c>
    </row>
    <row r="22109" spans="1:1">
      <c r="A22109" t="s">
        <v>22641</v>
      </c>
    </row>
    <row r="22110" spans="1:1">
      <c r="A22110" t="s">
        <v>22642</v>
      </c>
    </row>
    <row r="22111" spans="1:1">
      <c r="A22111" t="s">
        <v>22643</v>
      </c>
    </row>
    <row r="22112" spans="1:1">
      <c r="A22112" t="s">
        <v>22644</v>
      </c>
    </row>
    <row r="22113" spans="1:1">
      <c r="A22113" t="s">
        <v>22645</v>
      </c>
    </row>
    <row r="22114" spans="1:1">
      <c r="A22114" t="s">
        <v>22646</v>
      </c>
    </row>
    <row r="22115" spans="1:1">
      <c r="A22115" t="s">
        <v>22647</v>
      </c>
    </row>
    <row r="22116" spans="1:1">
      <c r="A22116" t="s">
        <v>22648</v>
      </c>
    </row>
    <row r="22117" spans="1:1">
      <c r="A22117" t="s">
        <v>22649</v>
      </c>
    </row>
    <row r="22118" spans="1:1">
      <c r="A22118" t="s">
        <v>22650</v>
      </c>
    </row>
    <row r="22119" spans="1:1">
      <c r="A22119" t="s">
        <v>22651</v>
      </c>
    </row>
    <row r="22120" spans="1:1">
      <c r="A22120" t="s">
        <v>22652</v>
      </c>
    </row>
    <row r="22121" spans="1:1">
      <c r="A22121" t="s">
        <v>22653</v>
      </c>
    </row>
    <row r="22122" spans="1:1">
      <c r="A22122" t="s">
        <v>22654</v>
      </c>
    </row>
    <row r="22123" spans="1:1">
      <c r="A22123" t="s">
        <v>22655</v>
      </c>
    </row>
    <row r="22124" spans="1:1">
      <c r="A22124" t="s">
        <v>22656</v>
      </c>
    </row>
    <row r="22125" spans="1:1">
      <c r="A22125" t="s">
        <v>22657</v>
      </c>
    </row>
    <row r="22126" spans="1:1">
      <c r="A22126" t="s">
        <v>22658</v>
      </c>
    </row>
    <row r="22127" spans="1:1">
      <c r="A22127" t="s">
        <v>22659</v>
      </c>
    </row>
    <row r="22128" spans="1:1">
      <c r="A22128" t="s">
        <v>22660</v>
      </c>
    </row>
    <row r="22129" spans="1:1">
      <c r="A22129" t="s">
        <v>22661</v>
      </c>
    </row>
    <row r="22130" spans="1:1">
      <c r="A22130" t="s">
        <v>22662</v>
      </c>
    </row>
    <row r="22131" spans="1:1">
      <c r="A22131" t="s">
        <v>22663</v>
      </c>
    </row>
    <row r="22132" spans="1:1">
      <c r="A22132" t="s">
        <v>22664</v>
      </c>
    </row>
    <row r="22133" spans="1:1">
      <c r="A22133" t="s">
        <v>22665</v>
      </c>
    </row>
    <row r="22134" spans="1:1">
      <c r="A22134" t="s">
        <v>22666</v>
      </c>
    </row>
    <row r="22135" spans="1:1">
      <c r="A22135" t="s">
        <v>22667</v>
      </c>
    </row>
    <row r="22136" spans="1:1">
      <c r="A22136" t="s">
        <v>22668</v>
      </c>
    </row>
    <row r="22137" spans="1:1">
      <c r="A22137" t="s">
        <v>22669</v>
      </c>
    </row>
    <row r="22138" spans="1:1">
      <c r="A22138" t="s">
        <v>22670</v>
      </c>
    </row>
    <row r="22139" spans="1:1">
      <c r="A22139" t="s">
        <v>22671</v>
      </c>
    </row>
    <row r="22140" spans="1:1">
      <c r="A22140" t="s">
        <v>22672</v>
      </c>
    </row>
    <row r="22141" spans="1:1">
      <c r="A22141" t="s">
        <v>22673</v>
      </c>
    </row>
    <row r="22142" spans="1:1">
      <c r="A22142" t="s">
        <v>22674</v>
      </c>
    </row>
    <row r="22143" spans="1:1">
      <c r="A22143" t="s">
        <v>22675</v>
      </c>
    </row>
    <row r="22144" spans="1:1">
      <c r="A22144" t="s">
        <v>22676</v>
      </c>
    </row>
    <row r="22145" spans="1:1">
      <c r="A22145" t="s">
        <v>22677</v>
      </c>
    </row>
    <row r="22146" spans="1:1">
      <c r="A22146" t="s">
        <v>22678</v>
      </c>
    </row>
    <row r="22147" spans="1:1">
      <c r="A22147" t="s">
        <v>22679</v>
      </c>
    </row>
    <row r="22148" spans="1:1">
      <c r="A22148" t="s">
        <v>22680</v>
      </c>
    </row>
    <row r="22149" spans="1:1">
      <c r="A22149" t="s">
        <v>22681</v>
      </c>
    </row>
    <row r="22150" spans="1:1">
      <c r="A22150" t="s">
        <v>22682</v>
      </c>
    </row>
    <row r="22151" spans="1:1">
      <c r="A22151" t="s">
        <v>22683</v>
      </c>
    </row>
    <row r="22152" spans="1:1">
      <c r="A22152" t="s">
        <v>22684</v>
      </c>
    </row>
    <row r="22153" spans="1:1">
      <c r="A22153" t="s">
        <v>22685</v>
      </c>
    </row>
    <row r="22154" spans="1:1">
      <c r="A22154" t="s">
        <v>22686</v>
      </c>
    </row>
    <row r="22155" spans="1:1">
      <c r="A22155" t="s">
        <v>22687</v>
      </c>
    </row>
    <row r="22156" spans="1:1">
      <c r="A22156" t="s">
        <v>22688</v>
      </c>
    </row>
    <row r="22157" spans="1:1">
      <c r="A22157" t="s">
        <v>22689</v>
      </c>
    </row>
    <row r="22158" spans="1:1">
      <c r="A22158" t="s">
        <v>22690</v>
      </c>
    </row>
    <row r="22159" spans="1:1">
      <c r="A22159" t="s">
        <v>22691</v>
      </c>
    </row>
    <row r="22160" spans="1:1">
      <c r="A22160" t="s">
        <v>22692</v>
      </c>
    </row>
    <row r="22161" spans="1:1">
      <c r="A22161" t="s">
        <v>22693</v>
      </c>
    </row>
    <row r="22162" spans="1:1">
      <c r="A22162" t="s">
        <v>22694</v>
      </c>
    </row>
    <row r="22163" spans="1:1">
      <c r="A22163" t="s">
        <v>22695</v>
      </c>
    </row>
    <row r="22164" spans="1:1">
      <c r="A22164" t="s">
        <v>22696</v>
      </c>
    </row>
    <row r="22165" spans="1:1">
      <c r="A22165" t="s">
        <v>22697</v>
      </c>
    </row>
    <row r="22166" spans="1:1">
      <c r="A22166" t="s">
        <v>22698</v>
      </c>
    </row>
    <row r="22167" spans="1:1">
      <c r="A22167" t="s">
        <v>22699</v>
      </c>
    </row>
    <row r="22168" spans="1:1">
      <c r="A22168" t="s">
        <v>22700</v>
      </c>
    </row>
    <row r="22169" spans="1:1">
      <c r="A22169" t="s">
        <v>22701</v>
      </c>
    </row>
    <row r="22170" spans="1:1">
      <c r="A22170" t="s">
        <v>22702</v>
      </c>
    </row>
    <row r="22171" spans="1:1">
      <c r="A22171" t="s">
        <v>22703</v>
      </c>
    </row>
    <row r="22172" spans="1:1">
      <c r="A22172" t="s">
        <v>22704</v>
      </c>
    </row>
    <row r="22173" spans="1:1">
      <c r="A22173" t="s">
        <v>22705</v>
      </c>
    </row>
    <row r="22174" spans="1:1">
      <c r="A22174" t="s">
        <v>22706</v>
      </c>
    </row>
    <row r="22175" spans="1:1">
      <c r="A22175" t="s">
        <v>22707</v>
      </c>
    </row>
    <row r="22176" spans="1:1">
      <c r="A22176" t="s">
        <v>22708</v>
      </c>
    </row>
    <row r="22177" spans="1:1">
      <c r="A22177" t="s">
        <v>22709</v>
      </c>
    </row>
    <row r="22178" spans="1:1">
      <c r="A22178" t="s">
        <v>22710</v>
      </c>
    </row>
    <row r="22179" spans="1:1">
      <c r="A22179" t="s">
        <v>22711</v>
      </c>
    </row>
    <row r="22180" spans="1:1">
      <c r="A22180" t="s">
        <v>22712</v>
      </c>
    </row>
    <row r="22181" spans="1:1">
      <c r="A22181" t="s">
        <v>22713</v>
      </c>
    </row>
    <row r="22182" spans="1:1">
      <c r="A22182" t="s">
        <v>22714</v>
      </c>
    </row>
    <row r="22183" spans="1:1">
      <c r="A22183" t="s">
        <v>22715</v>
      </c>
    </row>
    <row r="22184" spans="1:1">
      <c r="A22184" t="s">
        <v>22716</v>
      </c>
    </row>
    <row r="22185" spans="1:1">
      <c r="A22185" t="s">
        <v>22717</v>
      </c>
    </row>
    <row r="22186" spans="1:1">
      <c r="A22186" t="s">
        <v>22718</v>
      </c>
    </row>
    <row r="22187" spans="1:1">
      <c r="A22187" t="s">
        <v>22719</v>
      </c>
    </row>
    <row r="22188" spans="1:1">
      <c r="A22188" t="s">
        <v>22720</v>
      </c>
    </row>
    <row r="22189" spans="1:1">
      <c r="A22189" t="s">
        <v>22721</v>
      </c>
    </row>
    <row r="22190" spans="1:1">
      <c r="A22190" t="s">
        <v>22722</v>
      </c>
    </row>
    <row r="22191" spans="1:1">
      <c r="A22191" t="s">
        <v>22723</v>
      </c>
    </row>
    <row r="22192" spans="1:1">
      <c r="A22192" t="s">
        <v>22724</v>
      </c>
    </row>
    <row r="22193" spans="1:1">
      <c r="A22193" t="s">
        <v>22725</v>
      </c>
    </row>
    <row r="22194" spans="1:1">
      <c r="A22194" t="s">
        <v>22726</v>
      </c>
    </row>
    <row r="22195" spans="1:1">
      <c r="A22195" t="s">
        <v>22727</v>
      </c>
    </row>
    <row r="22196" spans="1:1">
      <c r="A22196" t="s">
        <v>22728</v>
      </c>
    </row>
    <row r="22197" spans="1:1">
      <c r="A22197" t="s">
        <v>22729</v>
      </c>
    </row>
    <row r="22198" spans="1:1">
      <c r="A22198" t="s">
        <v>22730</v>
      </c>
    </row>
    <row r="22199" spans="1:1">
      <c r="A22199" t="s">
        <v>22731</v>
      </c>
    </row>
    <row r="22200" spans="1:1">
      <c r="A22200" t="s">
        <v>22732</v>
      </c>
    </row>
    <row r="22201" spans="1:1">
      <c r="A22201" t="s">
        <v>22733</v>
      </c>
    </row>
    <row r="22202" spans="1:1">
      <c r="A22202" t="s">
        <v>22734</v>
      </c>
    </row>
    <row r="22203" spans="1:1">
      <c r="A22203" t="s">
        <v>22735</v>
      </c>
    </row>
    <row r="22204" spans="1:1">
      <c r="A22204" t="s">
        <v>22736</v>
      </c>
    </row>
    <row r="22205" spans="1:1">
      <c r="A22205" t="s">
        <v>22737</v>
      </c>
    </row>
    <row r="22206" spans="1:1">
      <c r="A22206" t="s">
        <v>22738</v>
      </c>
    </row>
    <row r="22207" spans="1:1">
      <c r="A22207" t="s">
        <v>22739</v>
      </c>
    </row>
    <row r="22208" spans="1:1">
      <c r="A22208" t="s">
        <v>22740</v>
      </c>
    </row>
    <row r="22209" spans="1:1">
      <c r="A22209" t="s">
        <v>22741</v>
      </c>
    </row>
    <row r="22210" spans="1:1">
      <c r="A22210" t="s">
        <v>22742</v>
      </c>
    </row>
    <row r="22211" spans="1:1">
      <c r="A22211" t="s">
        <v>22743</v>
      </c>
    </row>
    <row r="22212" spans="1:1">
      <c r="A22212" t="s">
        <v>22744</v>
      </c>
    </row>
    <row r="22213" spans="1:1">
      <c r="A22213" t="s">
        <v>22745</v>
      </c>
    </row>
    <row r="22214" spans="1:1">
      <c r="A22214" t="s">
        <v>22746</v>
      </c>
    </row>
    <row r="22215" spans="1:1">
      <c r="A22215" t="s">
        <v>22747</v>
      </c>
    </row>
    <row r="22216" spans="1:1">
      <c r="A22216" t="s">
        <v>22748</v>
      </c>
    </row>
    <row r="22217" spans="1:1">
      <c r="A22217" t="s">
        <v>22749</v>
      </c>
    </row>
    <row r="22218" spans="1:1">
      <c r="A22218" t="s">
        <v>22750</v>
      </c>
    </row>
    <row r="22219" spans="1:1">
      <c r="A22219" t="s">
        <v>22751</v>
      </c>
    </row>
    <row r="22220" spans="1:1">
      <c r="A22220" t="s">
        <v>22752</v>
      </c>
    </row>
    <row r="22221" spans="1:1">
      <c r="A22221" t="s">
        <v>22753</v>
      </c>
    </row>
    <row r="22222" spans="1:1">
      <c r="A22222" t="s">
        <v>22754</v>
      </c>
    </row>
    <row r="22223" spans="1:1">
      <c r="A22223" t="s">
        <v>22755</v>
      </c>
    </row>
    <row r="22224" spans="1:1">
      <c r="A22224" t="s">
        <v>22756</v>
      </c>
    </row>
    <row r="22225" spans="1:1">
      <c r="A22225" t="s">
        <v>22757</v>
      </c>
    </row>
    <row r="22226" spans="1:1">
      <c r="A22226" t="s">
        <v>22758</v>
      </c>
    </row>
    <row r="22227" spans="1:1">
      <c r="A22227" t="s">
        <v>22759</v>
      </c>
    </row>
    <row r="22228" spans="1:1">
      <c r="A22228" t="s">
        <v>22760</v>
      </c>
    </row>
    <row r="22229" spans="1:1">
      <c r="A22229" t="s">
        <v>22761</v>
      </c>
    </row>
    <row r="22230" spans="1:1">
      <c r="A22230" t="s">
        <v>22762</v>
      </c>
    </row>
    <row r="22231" spans="1:1">
      <c r="A22231" t="s">
        <v>22763</v>
      </c>
    </row>
    <row r="22232" spans="1:1">
      <c r="A22232" t="s">
        <v>22764</v>
      </c>
    </row>
    <row r="22233" spans="1:1">
      <c r="A22233" t="s">
        <v>22765</v>
      </c>
    </row>
    <row r="22234" spans="1:1">
      <c r="A22234" t="s">
        <v>22766</v>
      </c>
    </row>
    <row r="22235" spans="1:1">
      <c r="A22235" t="s">
        <v>22767</v>
      </c>
    </row>
    <row r="22236" spans="1:1">
      <c r="A22236" t="s">
        <v>22768</v>
      </c>
    </row>
    <row r="22237" spans="1:1">
      <c r="A22237" t="s">
        <v>22769</v>
      </c>
    </row>
    <row r="22238" spans="1:1">
      <c r="A22238" t="s">
        <v>22770</v>
      </c>
    </row>
    <row r="22239" spans="1:1">
      <c r="A22239" t="s">
        <v>22771</v>
      </c>
    </row>
    <row r="22240" spans="1:1">
      <c r="A22240" t="s">
        <v>22772</v>
      </c>
    </row>
    <row r="22241" spans="1:1">
      <c r="A22241" t="s">
        <v>22773</v>
      </c>
    </row>
    <row r="22242" spans="1:1">
      <c r="A22242" t="s">
        <v>22774</v>
      </c>
    </row>
    <row r="22243" spans="1:1">
      <c r="A22243" t="s">
        <v>22775</v>
      </c>
    </row>
    <row r="22244" spans="1:1">
      <c r="A22244" t="s">
        <v>22776</v>
      </c>
    </row>
    <row r="22245" spans="1:1">
      <c r="A22245" t="s">
        <v>22777</v>
      </c>
    </row>
    <row r="22246" spans="1:1">
      <c r="A22246" t="s">
        <v>22778</v>
      </c>
    </row>
    <row r="22247" spans="1:1">
      <c r="A22247" t="s">
        <v>22779</v>
      </c>
    </row>
    <row r="22248" spans="1:1">
      <c r="A22248" t="s">
        <v>22780</v>
      </c>
    </row>
    <row r="22249" spans="1:1">
      <c r="A22249" t="s">
        <v>22781</v>
      </c>
    </row>
    <row r="22250" spans="1:1">
      <c r="A22250" t="s">
        <v>22782</v>
      </c>
    </row>
    <row r="22251" spans="1:1">
      <c r="A22251" t="s">
        <v>22783</v>
      </c>
    </row>
    <row r="22252" spans="1:1">
      <c r="A22252" t="s">
        <v>22784</v>
      </c>
    </row>
    <row r="22253" spans="1:1">
      <c r="A22253" t="s">
        <v>22785</v>
      </c>
    </row>
    <row r="22254" spans="1:1">
      <c r="A22254" t="s">
        <v>22786</v>
      </c>
    </row>
    <row r="22255" spans="1:1">
      <c r="A22255" t="s">
        <v>22787</v>
      </c>
    </row>
    <row r="22256" spans="1:1">
      <c r="A22256" t="s">
        <v>22788</v>
      </c>
    </row>
    <row r="22257" spans="1:1">
      <c r="A22257" t="s">
        <v>22789</v>
      </c>
    </row>
    <row r="22258" spans="1:1">
      <c r="A22258" t="s">
        <v>22790</v>
      </c>
    </row>
    <row r="22259" spans="1:1">
      <c r="A22259" t="s">
        <v>22791</v>
      </c>
    </row>
    <row r="22260" spans="1:1">
      <c r="A22260" t="s">
        <v>22792</v>
      </c>
    </row>
    <row r="22261" spans="1:1">
      <c r="A22261" t="s">
        <v>22793</v>
      </c>
    </row>
    <row r="22262" spans="1:1">
      <c r="A22262" t="s">
        <v>22794</v>
      </c>
    </row>
    <row r="22263" spans="1:1">
      <c r="A22263" t="s">
        <v>22795</v>
      </c>
    </row>
    <row r="22264" spans="1:1">
      <c r="A22264" t="s">
        <v>22796</v>
      </c>
    </row>
    <row r="22265" spans="1:1">
      <c r="A22265" t="s">
        <v>22797</v>
      </c>
    </row>
    <row r="22266" spans="1:1">
      <c r="A22266" t="s">
        <v>22798</v>
      </c>
    </row>
    <row r="22267" spans="1:1">
      <c r="A22267" t="s">
        <v>22799</v>
      </c>
    </row>
    <row r="22268" spans="1:1">
      <c r="A22268" t="s">
        <v>22800</v>
      </c>
    </row>
    <row r="22269" spans="1:1">
      <c r="A22269" t="s">
        <v>22801</v>
      </c>
    </row>
    <row r="22270" spans="1:1">
      <c r="A22270" t="s">
        <v>22802</v>
      </c>
    </row>
    <row r="22271" spans="1:1">
      <c r="A22271" t="s">
        <v>22803</v>
      </c>
    </row>
    <row r="22272" spans="1:1">
      <c r="A22272" t="s">
        <v>22804</v>
      </c>
    </row>
    <row r="22273" spans="1:1">
      <c r="A22273" t="s">
        <v>22805</v>
      </c>
    </row>
    <row r="22274" spans="1:1">
      <c r="A22274" t="s">
        <v>22806</v>
      </c>
    </row>
    <row r="22275" spans="1:1">
      <c r="A22275" t="s">
        <v>22807</v>
      </c>
    </row>
    <row r="22276" spans="1:1">
      <c r="A22276" t="s">
        <v>22808</v>
      </c>
    </row>
    <row r="22277" spans="1:1">
      <c r="A22277" t="s">
        <v>22809</v>
      </c>
    </row>
    <row r="22278" spans="1:1">
      <c r="A22278" t="s">
        <v>22810</v>
      </c>
    </row>
    <row r="22279" spans="1:1">
      <c r="A22279" t="s">
        <v>22811</v>
      </c>
    </row>
    <row r="22280" spans="1:1">
      <c r="A22280" t="s">
        <v>22812</v>
      </c>
    </row>
    <row r="22281" spans="1:1">
      <c r="A22281" t="s">
        <v>22813</v>
      </c>
    </row>
    <row r="22282" spans="1:1">
      <c r="A22282" t="s">
        <v>22814</v>
      </c>
    </row>
    <row r="22283" spans="1:1">
      <c r="A22283" t="s">
        <v>22815</v>
      </c>
    </row>
    <row r="22284" spans="1:1">
      <c r="A22284" t="s">
        <v>22816</v>
      </c>
    </row>
    <row r="22285" spans="1:1">
      <c r="A22285" t="s">
        <v>22817</v>
      </c>
    </row>
    <row r="22286" spans="1:1">
      <c r="A22286" t="s">
        <v>22818</v>
      </c>
    </row>
    <row r="22287" spans="1:1">
      <c r="A22287" t="s">
        <v>22819</v>
      </c>
    </row>
    <row r="22288" spans="1:1">
      <c r="A22288" t="s">
        <v>22820</v>
      </c>
    </row>
    <row r="22289" spans="1:1">
      <c r="A22289" t="s">
        <v>22821</v>
      </c>
    </row>
    <row r="22290" spans="1:1">
      <c r="A22290" t="s">
        <v>22822</v>
      </c>
    </row>
    <row r="22291" spans="1:1">
      <c r="A22291" t="s">
        <v>22823</v>
      </c>
    </row>
    <row r="22292" spans="1:1">
      <c r="A22292" t="s">
        <v>22824</v>
      </c>
    </row>
    <row r="22293" spans="1:1">
      <c r="A22293" t="s">
        <v>22825</v>
      </c>
    </row>
    <row r="22294" spans="1:1">
      <c r="A22294" t="s">
        <v>22826</v>
      </c>
    </row>
    <row r="22295" spans="1:1">
      <c r="A22295" t="s">
        <v>22827</v>
      </c>
    </row>
    <row r="22296" spans="1:1">
      <c r="A22296" t="s">
        <v>22828</v>
      </c>
    </row>
    <row r="22297" spans="1:1">
      <c r="A22297" t="s">
        <v>22829</v>
      </c>
    </row>
    <row r="22298" spans="1:1">
      <c r="A22298" t="s">
        <v>22830</v>
      </c>
    </row>
    <row r="22299" spans="1:1">
      <c r="A22299" t="s">
        <v>22831</v>
      </c>
    </row>
    <row r="22300" spans="1:1">
      <c r="A22300" t="s">
        <v>22832</v>
      </c>
    </row>
    <row r="22301" spans="1:1">
      <c r="A22301" t="s">
        <v>22833</v>
      </c>
    </row>
    <row r="22302" spans="1:1">
      <c r="A22302" t="s">
        <v>22834</v>
      </c>
    </row>
    <row r="22303" spans="1:1">
      <c r="A22303" t="s">
        <v>22835</v>
      </c>
    </row>
    <row r="22304" spans="1:1">
      <c r="A22304" t="s">
        <v>22836</v>
      </c>
    </row>
    <row r="22305" spans="1:1">
      <c r="A22305" t="s">
        <v>22837</v>
      </c>
    </row>
    <row r="22306" spans="1:1">
      <c r="A22306" t="s">
        <v>22838</v>
      </c>
    </row>
    <row r="22307" spans="1:1">
      <c r="A22307" t="s">
        <v>22839</v>
      </c>
    </row>
    <row r="22308" spans="1:1">
      <c r="A22308" t="s">
        <v>22840</v>
      </c>
    </row>
    <row r="22309" spans="1:1">
      <c r="A22309" t="s">
        <v>22841</v>
      </c>
    </row>
    <row r="22310" spans="1:1">
      <c r="A22310" t="s">
        <v>22842</v>
      </c>
    </row>
    <row r="22311" spans="1:1">
      <c r="A22311" t="s">
        <v>22843</v>
      </c>
    </row>
    <row r="22312" spans="1:1">
      <c r="A22312" t="s">
        <v>22844</v>
      </c>
    </row>
    <row r="22313" spans="1:1">
      <c r="A22313" t="s">
        <v>22845</v>
      </c>
    </row>
    <row r="22314" spans="1:1">
      <c r="A22314" t="s">
        <v>22846</v>
      </c>
    </row>
    <row r="22315" spans="1:1">
      <c r="A22315" t="s">
        <v>22847</v>
      </c>
    </row>
    <row r="22316" spans="1:1">
      <c r="A22316" t="s">
        <v>22848</v>
      </c>
    </row>
    <row r="22317" spans="1:1">
      <c r="A22317" t="s">
        <v>22849</v>
      </c>
    </row>
    <row r="22318" spans="1:1">
      <c r="A22318" t="s">
        <v>22850</v>
      </c>
    </row>
    <row r="22319" spans="1:1">
      <c r="A22319" t="s">
        <v>22851</v>
      </c>
    </row>
    <row r="22320" spans="1:1">
      <c r="A22320" t="s">
        <v>22852</v>
      </c>
    </row>
    <row r="22321" spans="1:1">
      <c r="A22321" t="s">
        <v>22853</v>
      </c>
    </row>
    <row r="22322" spans="1:1">
      <c r="A22322" t="s">
        <v>22854</v>
      </c>
    </row>
    <row r="22323" spans="1:1">
      <c r="A22323" t="s">
        <v>22855</v>
      </c>
    </row>
    <row r="22324" spans="1:1">
      <c r="A22324" t="s">
        <v>22856</v>
      </c>
    </row>
    <row r="22325" spans="1:1">
      <c r="A22325" t="s">
        <v>22857</v>
      </c>
    </row>
    <row r="22326" spans="1:1">
      <c r="A22326" t="s">
        <v>22858</v>
      </c>
    </row>
    <row r="22327" spans="1:1">
      <c r="A22327" t="s">
        <v>22859</v>
      </c>
    </row>
    <row r="22328" spans="1:1">
      <c r="A22328" t="s">
        <v>22860</v>
      </c>
    </row>
    <row r="22329" spans="1:1">
      <c r="A22329" t="s">
        <v>22861</v>
      </c>
    </row>
    <row r="22330" spans="1:1">
      <c r="A22330" t="s">
        <v>22862</v>
      </c>
    </row>
    <row r="22331" spans="1:1">
      <c r="A22331" t="s">
        <v>22863</v>
      </c>
    </row>
    <row r="22332" spans="1:1">
      <c r="A22332" t="s">
        <v>22864</v>
      </c>
    </row>
    <row r="22333" spans="1:1">
      <c r="A22333" t="s">
        <v>22865</v>
      </c>
    </row>
    <row r="22334" spans="1:1">
      <c r="A22334" t="s">
        <v>22866</v>
      </c>
    </row>
    <row r="22335" spans="1:1">
      <c r="A22335" t="s">
        <v>22867</v>
      </c>
    </row>
    <row r="22336" spans="1:1">
      <c r="A22336" t="s">
        <v>22868</v>
      </c>
    </row>
    <row r="22337" spans="1:1">
      <c r="A22337" t="s">
        <v>22869</v>
      </c>
    </row>
    <row r="22338" spans="1:1">
      <c r="A22338" t="s">
        <v>22870</v>
      </c>
    </row>
    <row r="22339" spans="1:1">
      <c r="A22339" t="s">
        <v>22871</v>
      </c>
    </row>
    <row r="22340" spans="1:1">
      <c r="A22340" t="s">
        <v>22872</v>
      </c>
    </row>
    <row r="22341" spans="1:1">
      <c r="A22341" t="s">
        <v>22873</v>
      </c>
    </row>
    <row r="22342" spans="1:1">
      <c r="A22342" t="s">
        <v>22874</v>
      </c>
    </row>
    <row r="22343" spans="1:1">
      <c r="A22343" t="s">
        <v>22875</v>
      </c>
    </row>
    <row r="22344" spans="1:1">
      <c r="A22344" t="s">
        <v>22876</v>
      </c>
    </row>
    <row r="22345" spans="1:1">
      <c r="A22345" t="s">
        <v>22877</v>
      </c>
    </row>
    <row r="22346" spans="1:1">
      <c r="A22346" t="s">
        <v>22878</v>
      </c>
    </row>
    <row r="22347" spans="1:1">
      <c r="A22347" t="s">
        <v>22879</v>
      </c>
    </row>
    <row r="22348" spans="1:1">
      <c r="A22348" t="s">
        <v>22880</v>
      </c>
    </row>
    <row r="22349" spans="1:1">
      <c r="A22349" t="s">
        <v>22881</v>
      </c>
    </row>
    <row r="22350" spans="1:1">
      <c r="A22350" t="s">
        <v>22882</v>
      </c>
    </row>
    <row r="22351" spans="1:1">
      <c r="A22351" t="s">
        <v>22883</v>
      </c>
    </row>
    <row r="22352" spans="1:1">
      <c r="A22352" t="s">
        <v>22884</v>
      </c>
    </row>
    <row r="22353" spans="1:1">
      <c r="A22353" t="s">
        <v>22885</v>
      </c>
    </row>
    <row r="22354" spans="1:1">
      <c r="A22354" t="s">
        <v>22886</v>
      </c>
    </row>
    <row r="22355" spans="1:1">
      <c r="A22355" t="s">
        <v>22887</v>
      </c>
    </row>
    <row r="22356" spans="1:1">
      <c r="A22356" t="s">
        <v>22888</v>
      </c>
    </row>
    <row r="22357" spans="1:1">
      <c r="A22357" t="s">
        <v>22889</v>
      </c>
    </row>
    <row r="22358" spans="1:1">
      <c r="A22358" t="s">
        <v>22890</v>
      </c>
    </row>
    <row r="22359" spans="1:1">
      <c r="A22359" t="s">
        <v>22891</v>
      </c>
    </row>
    <row r="22360" spans="1:1">
      <c r="A22360" t="s">
        <v>22892</v>
      </c>
    </row>
    <row r="22361" spans="1:1">
      <c r="A22361" t="s">
        <v>22893</v>
      </c>
    </row>
    <row r="22362" spans="1:1">
      <c r="A22362" t="s">
        <v>22894</v>
      </c>
    </row>
    <row r="22363" spans="1:1">
      <c r="A22363" t="s">
        <v>22895</v>
      </c>
    </row>
    <row r="22364" spans="1:1">
      <c r="A22364" t="s">
        <v>22896</v>
      </c>
    </row>
    <row r="22365" spans="1:1">
      <c r="A22365" t="s">
        <v>22897</v>
      </c>
    </row>
    <row r="22366" spans="1:1">
      <c r="A22366" t="s">
        <v>22898</v>
      </c>
    </row>
    <row r="22367" spans="1:1">
      <c r="A22367" t="s">
        <v>22899</v>
      </c>
    </row>
    <row r="22368" spans="1:1">
      <c r="A22368" t="s">
        <v>22900</v>
      </c>
    </row>
    <row r="22369" spans="1:1">
      <c r="A22369" t="s">
        <v>22901</v>
      </c>
    </row>
    <row r="22370" spans="1:1">
      <c r="A22370" t="s">
        <v>22902</v>
      </c>
    </row>
    <row r="22371" spans="1:1">
      <c r="A22371" t="s">
        <v>22903</v>
      </c>
    </row>
    <row r="22372" spans="1:1">
      <c r="A22372" t="s">
        <v>22904</v>
      </c>
    </row>
    <row r="22373" spans="1:1">
      <c r="A22373" t="s">
        <v>22905</v>
      </c>
    </row>
    <row r="22374" spans="1:1">
      <c r="A22374" t="s">
        <v>22906</v>
      </c>
    </row>
    <row r="22375" spans="1:1">
      <c r="A22375" t="s">
        <v>22907</v>
      </c>
    </row>
    <row r="22376" spans="1:1">
      <c r="A22376" t="s">
        <v>22908</v>
      </c>
    </row>
    <row r="22377" spans="1:1">
      <c r="A22377" t="s">
        <v>22909</v>
      </c>
    </row>
    <row r="22378" spans="1:1">
      <c r="A22378" t="s">
        <v>22910</v>
      </c>
    </row>
    <row r="22379" spans="1:1">
      <c r="A22379" t="s">
        <v>22911</v>
      </c>
    </row>
    <row r="22380" spans="1:1">
      <c r="A22380" t="s">
        <v>22912</v>
      </c>
    </row>
    <row r="22381" spans="1:1">
      <c r="A22381" t="s">
        <v>22913</v>
      </c>
    </row>
    <row r="22382" spans="1:1">
      <c r="A22382" t="s">
        <v>22914</v>
      </c>
    </row>
    <row r="22383" spans="1:1">
      <c r="A22383" t="s">
        <v>22915</v>
      </c>
    </row>
    <row r="22384" spans="1:1">
      <c r="A22384" t="s">
        <v>22916</v>
      </c>
    </row>
    <row r="22385" spans="1:1">
      <c r="A22385" t="s">
        <v>22917</v>
      </c>
    </row>
    <row r="22386" spans="1:1">
      <c r="A22386" t="s">
        <v>22918</v>
      </c>
    </row>
    <row r="22387" spans="1:1">
      <c r="A22387" t="s">
        <v>22919</v>
      </c>
    </row>
    <row r="22388" spans="1:1">
      <c r="A22388" t="s">
        <v>22920</v>
      </c>
    </row>
    <row r="22389" spans="1:1">
      <c r="A22389" t="s">
        <v>22921</v>
      </c>
    </row>
    <row r="22390" spans="1:1">
      <c r="A22390" t="s">
        <v>22922</v>
      </c>
    </row>
    <row r="22391" spans="1:1">
      <c r="A22391" t="s">
        <v>22923</v>
      </c>
    </row>
    <row r="22392" spans="1:1">
      <c r="A22392" t="s">
        <v>22924</v>
      </c>
    </row>
    <row r="22393" spans="1:1">
      <c r="A22393" t="s">
        <v>22925</v>
      </c>
    </row>
    <row r="22394" spans="1:1">
      <c r="A22394" t="s">
        <v>22926</v>
      </c>
    </row>
    <row r="22395" spans="1:1">
      <c r="A22395" t="s">
        <v>22927</v>
      </c>
    </row>
    <row r="22396" spans="1:1">
      <c r="A22396" t="s">
        <v>22928</v>
      </c>
    </row>
    <row r="22397" spans="1:1">
      <c r="A22397" t="s">
        <v>22929</v>
      </c>
    </row>
    <row r="22398" spans="1:1">
      <c r="A22398" t="s">
        <v>22930</v>
      </c>
    </row>
    <row r="22399" spans="1:1">
      <c r="A22399" t="s">
        <v>22931</v>
      </c>
    </row>
    <row r="22400" spans="1:1">
      <c r="A22400" t="s">
        <v>22932</v>
      </c>
    </row>
    <row r="22401" spans="1:1">
      <c r="A22401" t="s">
        <v>22933</v>
      </c>
    </row>
    <row r="22402" spans="1:1">
      <c r="A22402" t="s">
        <v>22934</v>
      </c>
    </row>
    <row r="22403" spans="1:1">
      <c r="A22403" t="s">
        <v>22935</v>
      </c>
    </row>
    <row r="22404" spans="1:1">
      <c r="A22404" t="s">
        <v>22936</v>
      </c>
    </row>
    <row r="22405" spans="1:1">
      <c r="A22405" t="s">
        <v>22937</v>
      </c>
    </row>
    <row r="22406" spans="1:1">
      <c r="A22406" t="s">
        <v>22938</v>
      </c>
    </row>
    <row r="22407" spans="1:1">
      <c r="A22407" t="s">
        <v>22939</v>
      </c>
    </row>
    <row r="22408" spans="1:1">
      <c r="A22408" t="s">
        <v>22940</v>
      </c>
    </row>
    <row r="22409" spans="1:1">
      <c r="A22409" t="s">
        <v>22941</v>
      </c>
    </row>
    <row r="22410" spans="1:1">
      <c r="A22410" t="s">
        <v>22942</v>
      </c>
    </row>
    <row r="22411" spans="1:1">
      <c r="A22411" t="s">
        <v>22943</v>
      </c>
    </row>
    <row r="22412" spans="1:1">
      <c r="A22412" t="s">
        <v>22944</v>
      </c>
    </row>
    <row r="22413" spans="1:1">
      <c r="A22413" t="s">
        <v>22945</v>
      </c>
    </row>
    <row r="22414" spans="1:1">
      <c r="A22414" t="s">
        <v>22946</v>
      </c>
    </row>
    <row r="22415" spans="1:1">
      <c r="A22415" t="s">
        <v>22947</v>
      </c>
    </row>
    <row r="22416" spans="1:1">
      <c r="A22416" t="s">
        <v>22948</v>
      </c>
    </row>
    <row r="22417" spans="1:1">
      <c r="A22417" t="s">
        <v>22949</v>
      </c>
    </row>
    <row r="22418" spans="1:1">
      <c r="A22418" t="s">
        <v>22950</v>
      </c>
    </row>
    <row r="22419" spans="1:1">
      <c r="A22419" t="s">
        <v>22951</v>
      </c>
    </row>
    <row r="22420" spans="1:1">
      <c r="A22420" t="s">
        <v>22952</v>
      </c>
    </row>
    <row r="22421" spans="1:1">
      <c r="A22421" t="s">
        <v>22953</v>
      </c>
    </row>
    <row r="22422" spans="1:1">
      <c r="A22422" t="s">
        <v>22954</v>
      </c>
    </row>
    <row r="22423" spans="1:1">
      <c r="A22423" t="s">
        <v>22955</v>
      </c>
    </row>
    <row r="22424" spans="1:1">
      <c r="A22424" t="s">
        <v>22956</v>
      </c>
    </row>
    <row r="22425" spans="1:1">
      <c r="A22425" t="s">
        <v>22957</v>
      </c>
    </row>
    <row r="22426" spans="1:1">
      <c r="A22426" t="s">
        <v>22958</v>
      </c>
    </row>
    <row r="22427" spans="1:1">
      <c r="A22427" t="s">
        <v>22959</v>
      </c>
    </row>
    <row r="22428" spans="1:1">
      <c r="A22428" t="s">
        <v>22960</v>
      </c>
    </row>
    <row r="22429" spans="1:1">
      <c r="A22429" t="s">
        <v>22961</v>
      </c>
    </row>
    <row r="22430" spans="1:1">
      <c r="A22430" t="s">
        <v>22962</v>
      </c>
    </row>
    <row r="22431" spans="1:1">
      <c r="A22431" t="s">
        <v>22963</v>
      </c>
    </row>
    <row r="22432" spans="1:1">
      <c r="A22432" t="s">
        <v>22964</v>
      </c>
    </row>
    <row r="22433" spans="1:1">
      <c r="A22433" t="s">
        <v>22965</v>
      </c>
    </row>
    <row r="22434" spans="1:1">
      <c r="A22434" t="s">
        <v>22966</v>
      </c>
    </row>
    <row r="22435" spans="1:1">
      <c r="A22435" t="s">
        <v>22967</v>
      </c>
    </row>
    <row r="22436" spans="1:1">
      <c r="A22436" t="s">
        <v>22968</v>
      </c>
    </row>
    <row r="22437" spans="1:1">
      <c r="A22437" t="s">
        <v>22969</v>
      </c>
    </row>
    <row r="22438" spans="1:1">
      <c r="A22438" t="s">
        <v>22970</v>
      </c>
    </row>
    <row r="22439" spans="1:1">
      <c r="A22439" t="s">
        <v>22971</v>
      </c>
    </row>
    <row r="22440" spans="1:1">
      <c r="A22440" t="s">
        <v>22972</v>
      </c>
    </row>
    <row r="22441" spans="1:1">
      <c r="A22441" t="s">
        <v>22973</v>
      </c>
    </row>
    <row r="22442" spans="1:1">
      <c r="A22442" t="s">
        <v>22974</v>
      </c>
    </row>
    <row r="22443" spans="1:1">
      <c r="A22443" t="s">
        <v>22975</v>
      </c>
    </row>
    <row r="22444" spans="1:1">
      <c r="A22444" t="s">
        <v>22976</v>
      </c>
    </row>
    <row r="22445" spans="1:1">
      <c r="A22445" t="s">
        <v>22977</v>
      </c>
    </row>
    <row r="22446" spans="1:1">
      <c r="A22446" t="s">
        <v>22978</v>
      </c>
    </row>
    <row r="22447" spans="1:1">
      <c r="A22447" t="s">
        <v>22979</v>
      </c>
    </row>
    <row r="22448" spans="1:1">
      <c r="A22448" t="s">
        <v>22980</v>
      </c>
    </row>
    <row r="22449" spans="1:1">
      <c r="A22449" t="s">
        <v>22981</v>
      </c>
    </row>
    <row r="22450" spans="1:1">
      <c r="A22450" t="s">
        <v>22982</v>
      </c>
    </row>
    <row r="22451" spans="1:1">
      <c r="A22451" t="s">
        <v>22983</v>
      </c>
    </row>
    <row r="22452" spans="1:1">
      <c r="A22452" t="s">
        <v>22984</v>
      </c>
    </row>
    <row r="22453" spans="1:1">
      <c r="A22453" t="s">
        <v>22985</v>
      </c>
    </row>
    <row r="22454" spans="1:1">
      <c r="A22454" t="s">
        <v>22986</v>
      </c>
    </row>
    <row r="22455" spans="1:1">
      <c r="A22455" t="s">
        <v>22987</v>
      </c>
    </row>
    <row r="22456" spans="1:1">
      <c r="A22456" t="s">
        <v>22988</v>
      </c>
    </row>
    <row r="22457" spans="1:1">
      <c r="A22457" t="s">
        <v>22989</v>
      </c>
    </row>
    <row r="22458" spans="1:1">
      <c r="A22458" t="s">
        <v>22990</v>
      </c>
    </row>
    <row r="22459" spans="1:1">
      <c r="A22459" t="s">
        <v>22991</v>
      </c>
    </row>
    <row r="22460" spans="1:1">
      <c r="A22460" t="s">
        <v>22992</v>
      </c>
    </row>
    <row r="22461" spans="1:1">
      <c r="A22461" t="s">
        <v>22993</v>
      </c>
    </row>
    <row r="22462" spans="1:1">
      <c r="A22462" t="s">
        <v>22994</v>
      </c>
    </row>
    <row r="22463" spans="1:1">
      <c r="A22463" t="s">
        <v>22995</v>
      </c>
    </row>
    <row r="22464" spans="1:1">
      <c r="A22464" t="s">
        <v>22996</v>
      </c>
    </row>
    <row r="22465" spans="1:1">
      <c r="A22465" t="s">
        <v>22997</v>
      </c>
    </row>
    <row r="22466" spans="1:1">
      <c r="A22466" t="s">
        <v>22998</v>
      </c>
    </row>
    <row r="22467" spans="1:1">
      <c r="A22467" t="s">
        <v>22999</v>
      </c>
    </row>
    <row r="22468" spans="1:1">
      <c r="A22468" t="s">
        <v>23000</v>
      </c>
    </row>
    <row r="22469" spans="1:1">
      <c r="A22469" t="s">
        <v>23001</v>
      </c>
    </row>
    <row r="22470" spans="1:1">
      <c r="A22470" t="s">
        <v>23002</v>
      </c>
    </row>
    <row r="22471" spans="1:1">
      <c r="A22471" t="s">
        <v>23003</v>
      </c>
    </row>
    <row r="22472" spans="1:1">
      <c r="A22472" t="s">
        <v>23004</v>
      </c>
    </row>
    <row r="22473" spans="1:1">
      <c r="A22473" t="s">
        <v>23005</v>
      </c>
    </row>
    <row r="22474" spans="1:1">
      <c r="A22474" t="s">
        <v>23006</v>
      </c>
    </row>
    <row r="22475" spans="1:1">
      <c r="A22475" t="s">
        <v>23007</v>
      </c>
    </row>
    <row r="22476" spans="1:1">
      <c r="A22476" t="s">
        <v>23008</v>
      </c>
    </row>
    <row r="22477" spans="1:1">
      <c r="A22477" t="s">
        <v>23009</v>
      </c>
    </row>
    <row r="22478" spans="1:1">
      <c r="A22478" t="s">
        <v>23010</v>
      </c>
    </row>
    <row r="22479" spans="1:1">
      <c r="A22479" t="s">
        <v>23011</v>
      </c>
    </row>
    <row r="22480" spans="1:1">
      <c r="A22480" t="s">
        <v>23012</v>
      </c>
    </row>
    <row r="22481" spans="1:1">
      <c r="A22481" t="s">
        <v>23013</v>
      </c>
    </row>
    <row r="22482" spans="1:1">
      <c r="A22482" t="s">
        <v>23014</v>
      </c>
    </row>
    <row r="22483" spans="1:1">
      <c r="A22483" t="s">
        <v>23015</v>
      </c>
    </row>
    <row r="22484" spans="1:1">
      <c r="A22484" t="s">
        <v>23016</v>
      </c>
    </row>
    <row r="22485" spans="1:1">
      <c r="A22485" t="s">
        <v>23017</v>
      </c>
    </row>
    <row r="22486" spans="1:1">
      <c r="A22486" t="s">
        <v>23018</v>
      </c>
    </row>
    <row r="22487" spans="1:1">
      <c r="A22487" t="s">
        <v>23019</v>
      </c>
    </row>
    <row r="22488" spans="1:1">
      <c r="A22488" t="s">
        <v>23020</v>
      </c>
    </row>
    <row r="22489" spans="1:1">
      <c r="A22489" t="s">
        <v>23021</v>
      </c>
    </row>
    <row r="22490" spans="1:1">
      <c r="A22490" t="s">
        <v>23022</v>
      </c>
    </row>
    <row r="22491" spans="1:1">
      <c r="A22491" t="s">
        <v>23023</v>
      </c>
    </row>
    <row r="22492" spans="1:1">
      <c r="A22492" t="s">
        <v>23024</v>
      </c>
    </row>
    <row r="22493" spans="1:1">
      <c r="A22493" t="s">
        <v>23025</v>
      </c>
    </row>
    <row r="22494" spans="1:1">
      <c r="A22494" t="s">
        <v>23026</v>
      </c>
    </row>
    <row r="22495" spans="1:1">
      <c r="A22495" t="s">
        <v>23027</v>
      </c>
    </row>
    <row r="22496" spans="1:1">
      <c r="A22496" t="s">
        <v>23028</v>
      </c>
    </row>
    <row r="22497" spans="1:1">
      <c r="A22497" t="s">
        <v>23029</v>
      </c>
    </row>
    <row r="22498" spans="1:1">
      <c r="A22498" t="s">
        <v>23030</v>
      </c>
    </row>
    <row r="22499" spans="1:1">
      <c r="A22499" t="s">
        <v>23031</v>
      </c>
    </row>
    <row r="22500" spans="1:1">
      <c r="A22500" t="s">
        <v>23032</v>
      </c>
    </row>
    <row r="22501" spans="1:1">
      <c r="A22501" t="s">
        <v>23033</v>
      </c>
    </row>
    <row r="22502" spans="1:1">
      <c r="A22502" t="s">
        <v>23034</v>
      </c>
    </row>
    <row r="22503" spans="1:1">
      <c r="A22503" t="s">
        <v>23035</v>
      </c>
    </row>
    <row r="22504" spans="1:1">
      <c r="A22504" t="s">
        <v>23036</v>
      </c>
    </row>
    <row r="22505" spans="1:1">
      <c r="A22505" t="s">
        <v>23037</v>
      </c>
    </row>
    <row r="22506" spans="1:1">
      <c r="A22506" t="s">
        <v>23038</v>
      </c>
    </row>
    <row r="22507" spans="1:1">
      <c r="A22507" t="s">
        <v>23039</v>
      </c>
    </row>
    <row r="22508" spans="1:1">
      <c r="A22508" t="s">
        <v>23040</v>
      </c>
    </row>
    <row r="22509" spans="1:1">
      <c r="A22509" t="s">
        <v>23041</v>
      </c>
    </row>
    <row r="22510" spans="1:1">
      <c r="A22510" t="s">
        <v>23042</v>
      </c>
    </row>
    <row r="22511" spans="1:1">
      <c r="A22511" t="s">
        <v>23043</v>
      </c>
    </row>
    <row r="22512" spans="1:1">
      <c r="A22512" t="s">
        <v>23044</v>
      </c>
    </row>
    <row r="22513" spans="1:1">
      <c r="A22513" t="s">
        <v>23045</v>
      </c>
    </row>
    <row r="22514" spans="1:1">
      <c r="A22514" t="s">
        <v>23046</v>
      </c>
    </row>
    <row r="22515" spans="1:1">
      <c r="A22515" t="s">
        <v>23047</v>
      </c>
    </row>
    <row r="22516" spans="1:1">
      <c r="A22516" t="s">
        <v>23048</v>
      </c>
    </row>
    <row r="22517" spans="1:1">
      <c r="A22517" t="s">
        <v>23049</v>
      </c>
    </row>
    <row r="22518" spans="1:1">
      <c r="A22518" t="s">
        <v>23050</v>
      </c>
    </row>
    <row r="22519" spans="1:1">
      <c r="A22519" t="s">
        <v>23051</v>
      </c>
    </row>
    <row r="22520" spans="1:1">
      <c r="A22520" t="s">
        <v>23052</v>
      </c>
    </row>
    <row r="22521" spans="1:1">
      <c r="A22521" t="s">
        <v>23053</v>
      </c>
    </row>
    <row r="22522" spans="1:1">
      <c r="A22522" t="s">
        <v>23054</v>
      </c>
    </row>
    <row r="22523" spans="1:1">
      <c r="A22523" t="s">
        <v>23055</v>
      </c>
    </row>
    <row r="22524" spans="1:1">
      <c r="A22524" t="s">
        <v>23056</v>
      </c>
    </row>
    <row r="22525" spans="1:1">
      <c r="A22525" t="s">
        <v>23057</v>
      </c>
    </row>
    <row r="22526" spans="1:1">
      <c r="A22526" t="s">
        <v>23058</v>
      </c>
    </row>
    <row r="22527" spans="1:1">
      <c r="A22527" t="s">
        <v>23059</v>
      </c>
    </row>
    <row r="22528" spans="1:1">
      <c r="A22528" t="s">
        <v>23060</v>
      </c>
    </row>
    <row r="22529" spans="1:1">
      <c r="A22529" t="s">
        <v>23061</v>
      </c>
    </row>
    <row r="22530" spans="1:1">
      <c r="A22530" t="s">
        <v>23062</v>
      </c>
    </row>
    <row r="22531" spans="1:1">
      <c r="A22531" t="s">
        <v>23063</v>
      </c>
    </row>
    <row r="22532" spans="1:1">
      <c r="A22532" t="s">
        <v>23064</v>
      </c>
    </row>
    <row r="22533" spans="1:1">
      <c r="A22533" t="s">
        <v>23065</v>
      </c>
    </row>
    <row r="22534" spans="1:1">
      <c r="A22534" t="s">
        <v>23066</v>
      </c>
    </row>
    <row r="22535" spans="1:1">
      <c r="A22535" t="s">
        <v>23067</v>
      </c>
    </row>
    <row r="22536" spans="1:1">
      <c r="A22536" t="s">
        <v>23068</v>
      </c>
    </row>
    <row r="22537" spans="1:1">
      <c r="A22537" t="s">
        <v>23069</v>
      </c>
    </row>
    <row r="22538" spans="1:1">
      <c r="A22538" t="s">
        <v>23070</v>
      </c>
    </row>
    <row r="22539" spans="1:1">
      <c r="A22539" t="s">
        <v>23071</v>
      </c>
    </row>
    <row r="22540" spans="1:1">
      <c r="A22540" t="s">
        <v>23072</v>
      </c>
    </row>
    <row r="22541" spans="1:1">
      <c r="A22541" t="s">
        <v>23073</v>
      </c>
    </row>
    <row r="22542" spans="1:1">
      <c r="A22542" t="s">
        <v>23074</v>
      </c>
    </row>
    <row r="22543" spans="1:1">
      <c r="A22543" t="s">
        <v>23075</v>
      </c>
    </row>
    <row r="22544" spans="1:1">
      <c r="A22544" t="s">
        <v>23076</v>
      </c>
    </row>
    <row r="22545" spans="1:1">
      <c r="A22545" t="s">
        <v>23077</v>
      </c>
    </row>
    <row r="22546" spans="1:1">
      <c r="A22546" t="s">
        <v>23078</v>
      </c>
    </row>
    <row r="22547" spans="1:1">
      <c r="A22547" t="s">
        <v>23079</v>
      </c>
    </row>
    <row r="22548" spans="1:1">
      <c r="A22548" t="s">
        <v>23080</v>
      </c>
    </row>
    <row r="22549" spans="1:1">
      <c r="A22549" t="s">
        <v>23081</v>
      </c>
    </row>
    <row r="22550" spans="1:1">
      <c r="A22550" t="s">
        <v>23082</v>
      </c>
    </row>
    <row r="22551" spans="1:1">
      <c r="A22551" t="s">
        <v>23083</v>
      </c>
    </row>
    <row r="22552" spans="1:1">
      <c r="A22552" t="s">
        <v>23084</v>
      </c>
    </row>
    <row r="22553" spans="1:1">
      <c r="A22553" t="s">
        <v>23085</v>
      </c>
    </row>
    <row r="22554" spans="1:1">
      <c r="A22554" t="s">
        <v>23086</v>
      </c>
    </row>
    <row r="22555" spans="1:1">
      <c r="A22555" t="s">
        <v>23087</v>
      </c>
    </row>
    <row r="22556" spans="1:1">
      <c r="A22556" t="s">
        <v>23088</v>
      </c>
    </row>
    <row r="22557" spans="1:1">
      <c r="A22557" t="s">
        <v>23089</v>
      </c>
    </row>
    <row r="22558" spans="1:1">
      <c r="A22558" t="s">
        <v>23090</v>
      </c>
    </row>
    <row r="22559" spans="1:1">
      <c r="A22559" t="s">
        <v>23091</v>
      </c>
    </row>
    <row r="22560" spans="1:1">
      <c r="A22560" t="s">
        <v>23092</v>
      </c>
    </row>
    <row r="22561" spans="1:1">
      <c r="A22561" t="s">
        <v>23093</v>
      </c>
    </row>
    <row r="22562" spans="1:1">
      <c r="A22562" t="s">
        <v>23094</v>
      </c>
    </row>
    <row r="22563" spans="1:1">
      <c r="A22563" t="s">
        <v>23095</v>
      </c>
    </row>
    <row r="22564" spans="1:1">
      <c r="A22564" t="s">
        <v>23096</v>
      </c>
    </row>
    <row r="22565" spans="1:1">
      <c r="A22565" t="s">
        <v>23097</v>
      </c>
    </row>
    <row r="22566" spans="1:1">
      <c r="A22566" t="s">
        <v>23098</v>
      </c>
    </row>
    <row r="22567" spans="1:1">
      <c r="A22567" t="s">
        <v>23099</v>
      </c>
    </row>
    <row r="22568" spans="1:1">
      <c r="A22568" t="s">
        <v>23100</v>
      </c>
    </row>
    <row r="22569" spans="1:1">
      <c r="A22569" t="s">
        <v>23101</v>
      </c>
    </row>
    <row r="22570" spans="1:1">
      <c r="A22570" t="s">
        <v>23102</v>
      </c>
    </row>
    <row r="22571" spans="1:1">
      <c r="A22571" t="s">
        <v>23103</v>
      </c>
    </row>
    <row r="22572" spans="1:1">
      <c r="A22572" t="s">
        <v>23104</v>
      </c>
    </row>
    <row r="22573" spans="1:1">
      <c r="A22573" t="s">
        <v>23105</v>
      </c>
    </row>
    <row r="22574" spans="1:1">
      <c r="A22574" t="s">
        <v>23106</v>
      </c>
    </row>
    <row r="22575" spans="1:1">
      <c r="A22575" t="s">
        <v>23107</v>
      </c>
    </row>
    <row r="22576" spans="1:1">
      <c r="A22576" t="s">
        <v>23108</v>
      </c>
    </row>
    <row r="22577" spans="1:1">
      <c r="A22577" t="s">
        <v>23109</v>
      </c>
    </row>
    <row r="22578" spans="1:1">
      <c r="A22578" t="s">
        <v>23110</v>
      </c>
    </row>
    <row r="22579" spans="1:1">
      <c r="A22579" t="s">
        <v>23111</v>
      </c>
    </row>
    <row r="22580" spans="1:1">
      <c r="A22580" t="s">
        <v>23112</v>
      </c>
    </row>
    <row r="22581" spans="1:1">
      <c r="A22581" t="s">
        <v>23113</v>
      </c>
    </row>
    <row r="22582" spans="1:1">
      <c r="A22582" t="s">
        <v>23114</v>
      </c>
    </row>
    <row r="22583" spans="1:1">
      <c r="A22583" t="s">
        <v>23115</v>
      </c>
    </row>
    <row r="22584" spans="1:1">
      <c r="A22584" t="s">
        <v>23116</v>
      </c>
    </row>
    <row r="22585" spans="1:1">
      <c r="A22585" t="s">
        <v>23117</v>
      </c>
    </row>
    <row r="22586" spans="1:1">
      <c r="A22586" t="s">
        <v>23118</v>
      </c>
    </row>
    <row r="22587" spans="1:1">
      <c r="A22587" t="s">
        <v>23119</v>
      </c>
    </row>
    <row r="22588" spans="1:1">
      <c r="A22588" t="s">
        <v>23120</v>
      </c>
    </row>
    <row r="22589" spans="1:1">
      <c r="A22589" t="s">
        <v>23121</v>
      </c>
    </row>
    <row r="22590" spans="1:1">
      <c r="A22590" t="s">
        <v>23122</v>
      </c>
    </row>
    <row r="22591" spans="1:1">
      <c r="A22591" t="s">
        <v>23123</v>
      </c>
    </row>
    <row r="22592" spans="1:1">
      <c r="A22592" t="s">
        <v>23124</v>
      </c>
    </row>
    <row r="22593" spans="1:1">
      <c r="A22593" t="s">
        <v>23125</v>
      </c>
    </row>
    <row r="22594" spans="1:1">
      <c r="A22594" t="s">
        <v>23126</v>
      </c>
    </row>
    <row r="22595" spans="1:1">
      <c r="A22595" t="s">
        <v>23127</v>
      </c>
    </row>
    <row r="22596" spans="1:1">
      <c r="A22596" t="s">
        <v>23128</v>
      </c>
    </row>
    <row r="22597" spans="1:1">
      <c r="A22597" t="s">
        <v>23129</v>
      </c>
    </row>
    <row r="22598" spans="1:1">
      <c r="A22598" t="s">
        <v>23130</v>
      </c>
    </row>
    <row r="22599" spans="1:1">
      <c r="A22599" t="s">
        <v>23131</v>
      </c>
    </row>
    <row r="22600" spans="1:1">
      <c r="A22600" t="s">
        <v>23132</v>
      </c>
    </row>
    <row r="22601" spans="1:1">
      <c r="A22601" t="s">
        <v>23133</v>
      </c>
    </row>
    <row r="22602" spans="1:1">
      <c r="A22602" t="s">
        <v>23134</v>
      </c>
    </row>
    <row r="22603" spans="1:1">
      <c r="A22603" t="s">
        <v>23135</v>
      </c>
    </row>
    <row r="22604" spans="1:1">
      <c r="A22604" t="s">
        <v>23136</v>
      </c>
    </row>
    <row r="22605" spans="1:1">
      <c r="A22605" t="s">
        <v>23137</v>
      </c>
    </row>
    <row r="22606" spans="1:1">
      <c r="A22606" t="s">
        <v>23138</v>
      </c>
    </row>
    <row r="22607" spans="1:1">
      <c r="A22607" t="s">
        <v>23139</v>
      </c>
    </row>
    <row r="22608" spans="1:1">
      <c r="A22608" t="s">
        <v>23140</v>
      </c>
    </row>
    <row r="22609" spans="1:1">
      <c r="A22609" t="s">
        <v>23141</v>
      </c>
    </row>
    <row r="22610" spans="1:1">
      <c r="A22610" t="s">
        <v>23142</v>
      </c>
    </row>
    <row r="22611" spans="1:1">
      <c r="A22611" t="s">
        <v>23143</v>
      </c>
    </row>
    <row r="22612" spans="1:1">
      <c r="A22612" t="s">
        <v>23144</v>
      </c>
    </row>
    <row r="22613" spans="1:1">
      <c r="A22613" t="s">
        <v>23145</v>
      </c>
    </row>
    <row r="22614" spans="1:1">
      <c r="A22614" t="s">
        <v>23146</v>
      </c>
    </row>
    <row r="22615" spans="1:1">
      <c r="A22615" t="s">
        <v>23147</v>
      </c>
    </row>
    <row r="22616" spans="1:1">
      <c r="A22616" t="s">
        <v>23148</v>
      </c>
    </row>
    <row r="22617" spans="1:1">
      <c r="A22617" t="s">
        <v>23149</v>
      </c>
    </row>
    <row r="22618" spans="1:1">
      <c r="A22618" t="s">
        <v>23150</v>
      </c>
    </row>
    <row r="22619" spans="1:1">
      <c r="A22619" t="s">
        <v>23151</v>
      </c>
    </row>
    <row r="22620" spans="1:1">
      <c r="A22620" t="s">
        <v>23152</v>
      </c>
    </row>
    <row r="22621" spans="1:1">
      <c r="A22621" t="s">
        <v>23153</v>
      </c>
    </row>
    <row r="22622" spans="1:1">
      <c r="A22622" t="s">
        <v>23154</v>
      </c>
    </row>
    <row r="22623" spans="1:1">
      <c r="A22623" t="s">
        <v>23155</v>
      </c>
    </row>
    <row r="22624" spans="1:1">
      <c r="A22624" t="s">
        <v>23156</v>
      </c>
    </row>
    <row r="22625" spans="1:1">
      <c r="A22625" t="s">
        <v>23157</v>
      </c>
    </row>
    <row r="22626" spans="1:1">
      <c r="A22626" t="s">
        <v>23158</v>
      </c>
    </row>
    <row r="22627" spans="1:1">
      <c r="A22627" t="s">
        <v>23159</v>
      </c>
    </row>
    <row r="22628" spans="1:1">
      <c r="A22628" t="s">
        <v>23160</v>
      </c>
    </row>
    <row r="22629" spans="1:1">
      <c r="A22629" t="s">
        <v>23161</v>
      </c>
    </row>
    <row r="22630" spans="1:1">
      <c r="A22630" t="s">
        <v>23162</v>
      </c>
    </row>
    <row r="22631" spans="1:1">
      <c r="A22631" t="s">
        <v>23163</v>
      </c>
    </row>
    <row r="22632" spans="1:1">
      <c r="A22632" t="s">
        <v>23164</v>
      </c>
    </row>
    <row r="22633" spans="1:1">
      <c r="A22633" t="s">
        <v>23165</v>
      </c>
    </row>
    <row r="22634" spans="1:1">
      <c r="A22634" t="s">
        <v>23166</v>
      </c>
    </row>
    <row r="22635" spans="1:1">
      <c r="A22635" t="s">
        <v>23167</v>
      </c>
    </row>
    <row r="22636" spans="1:1">
      <c r="A22636" t="s">
        <v>23168</v>
      </c>
    </row>
    <row r="22637" spans="1:1">
      <c r="A22637" t="s">
        <v>23169</v>
      </c>
    </row>
    <row r="22638" spans="1:1">
      <c r="A22638" t="s">
        <v>23170</v>
      </c>
    </row>
    <row r="22639" spans="1:1">
      <c r="A22639" t="s">
        <v>23171</v>
      </c>
    </row>
    <row r="22640" spans="1:1">
      <c r="A22640" t="s">
        <v>23172</v>
      </c>
    </row>
    <row r="22641" spans="1:1">
      <c r="A22641" t="s">
        <v>23173</v>
      </c>
    </row>
    <row r="22642" spans="1:1">
      <c r="A22642" t="s">
        <v>23174</v>
      </c>
    </row>
    <row r="22643" spans="1:1">
      <c r="A22643" t="s">
        <v>23175</v>
      </c>
    </row>
    <row r="22644" spans="1:1">
      <c r="A22644" t="s">
        <v>23176</v>
      </c>
    </row>
    <row r="22645" spans="1:1">
      <c r="A22645" t="s">
        <v>23177</v>
      </c>
    </row>
    <row r="22646" spans="1:1">
      <c r="A22646" t="s">
        <v>23178</v>
      </c>
    </row>
    <row r="22647" spans="1:1">
      <c r="A22647" t="s">
        <v>23179</v>
      </c>
    </row>
    <row r="22648" spans="1:1">
      <c r="A22648" t="s">
        <v>23180</v>
      </c>
    </row>
    <row r="22649" spans="1:1">
      <c r="A22649" t="s">
        <v>23181</v>
      </c>
    </row>
    <row r="22650" spans="1:1">
      <c r="A22650" t="s">
        <v>23182</v>
      </c>
    </row>
    <row r="22651" spans="1:1">
      <c r="A22651" t="s">
        <v>23183</v>
      </c>
    </row>
    <row r="22652" spans="1:1">
      <c r="A22652" t="s">
        <v>23184</v>
      </c>
    </row>
    <row r="22653" spans="1:1">
      <c r="A22653" t="s">
        <v>23185</v>
      </c>
    </row>
    <row r="22654" spans="1:1">
      <c r="A22654" t="s">
        <v>23186</v>
      </c>
    </row>
    <row r="22655" spans="1:1">
      <c r="A22655" t="s">
        <v>23187</v>
      </c>
    </row>
    <row r="22656" spans="1:1">
      <c r="A22656" t="s">
        <v>23188</v>
      </c>
    </row>
    <row r="22657" spans="1:1">
      <c r="A22657" t="s">
        <v>23189</v>
      </c>
    </row>
    <row r="22658" spans="1:1">
      <c r="A22658" t="s">
        <v>23190</v>
      </c>
    </row>
    <row r="22659" spans="1:1">
      <c r="A22659" t="s">
        <v>23191</v>
      </c>
    </row>
    <row r="22660" spans="1:1">
      <c r="A22660" t="s">
        <v>23192</v>
      </c>
    </row>
    <row r="22661" spans="1:1">
      <c r="A22661" t="s">
        <v>23193</v>
      </c>
    </row>
    <row r="22662" spans="1:1">
      <c r="A22662" t="s">
        <v>23194</v>
      </c>
    </row>
    <row r="22663" spans="1:1">
      <c r="A22663" t="s">
        <v>23195</v>
      </c>
    </row>
    <row r="22664" spans="1:1">
      <c r="A22664" t="s">
        <v>23196</v>
      </c>
    </row>
    <row r="22665" spans="1:1">
      <c r="A22665" t="s">
        <v>23197</v>
      </c>
    </row>
    <row r="22666" spans="1:1">
      <c r="A22666" t="s">
        <v>23198</v>
      </c>
    </row>
    <row r="22667" spans="1:1">
      <c r="A22667" t="s">
        <v>23199</v>
      </c>
    </row>
    <row r="22668" spans="1:1">
      <c r="A22668" t="s">
        <v>23200</v>
      </c>
    </row>
    <row r="22669" spans="1:1">
      <c r="A22669" t="s">
        <v>23201</v>
      </c>
    </row>
    <row r="22670" spans="1:1">
      <c r="A22670" t="s">
        <v>23202</v>
      </c>
    </row>
    <row r="22671" spans="1:1">
      <c r="A22671" t="s">
        <v>23203</v>
      </c>
    </row>
    <row r="22672" spans="1:1">
      <c r="A22672" t="s">
        <v>23204</v>
      </c>
    </row>
    <row r="22673" spans="1:1">
      <c r="A22673" t="s">
        <v>23205</v>
      </c>
    </row>
    <row r="22674" spans="1:1">
      <c r="A22674" t="s">
        <v>23206</v>
      </c>
    </row>
    <row r="22675" spans="1:1">
      <c r="A22675" t="s">
        <v>23207</v>
      </c>
    </row>
    <row r="22676" spans="1:1">
      <c r="A22676" t="s">
        <v>23208</v>
      </c>
    </row>
    <row r="22677" spans="1:1">
      <c r="A22677" t="s">
        <v>23209</v>
      </c>
    </row>
    <row r="22678" spans="1:1">
      <c r="A22678" t="s">
        <v>23210</v>
      </c>
    </row>
    <row r="22679" spans="1:1">
      <c r="A22679" t="s">
        <v>23211</v>
      </c>
    </row>
    <row r="22680" spans="1:1">
      <c r="A22680" t="s">
        <v>23212</v>
      </c>
    </row>
    <row r="22681" spans="1:1">
      <c r="A22681" t="s">
        <v>23213</v>
      </c>
    </row>
    <row r="22682" spans="1:1">
      <c r="A22682" t="s">
        <v>23214</v>
      </c>
    </row>
    <row r="22683" spans="1:1">
      <c r="A22683" t="s">
        <v>23215</v>
      </c>
    </row>
    <row r="22684" spans="1:1">
      <c r="A22684" t="s">
        <v>23216</v>
      </c>
    </row>
    <row r="22685" spans="1:1">
      <c r="A22685" t="s">
        <v>23217</v>
      </c>
    </row>
    <row r="22686" spans="1:1">
      <c r="A22686" t="s">
        <v>23218</v>
      </c>
    </row>
    <row r="22687" spans="1:1">
      <c r="A22687" t="s">
        <v>23219</v>
      </c>
    </row>
    <row r="22688" spans="1:1">
      <c r="A22688" t="s">
        <v>23220</v>
      </c>
    </row>
    <row r="22689" spans="1:1">
      <c r="A22689" t="s">
        <v>23221</v>
      </c>
    </row>
    <row r="22690" spans="1:1">
      <c r="A22690" t="s">
        <v>23222</v>
      </c>
    </row>
    <row r="22691" spans="1:1">
      <c r="A22691" t="s">
        <v>23223</v>
      </c>
    </row>
    <row r="22692" spans="1:1">
      <c r="A22692" t="s">
        <v>23224</v>
      </c>
    </row>
    <row r="22693" spans="1:1">
      <c r="A22693" t="s">
        <v>23225</v>
      </c>
    </row>
    <row r="22694" spans="1:1">
      <c r="A22694" t="s">
        <v>23226</v>
      </c>
    </row>
    <row r="22695" spans="1:1">
      <c r="A22695" t="s">
        <v>23227</v>
      </c>
    </row>
    <row r="22696" spans="1:1">
      <c r="A22696" t="s">
        <v>23228</v>
      </c>
    </row>
    <row r="22697" spans="1:1">
      <c r="A22697" t="s">
        <v>23229</v>
      </c>
    </row>
    <row r="22698" spans="1:1">
      <c r="A22698" t="s">
        <v>23230</v>
      </c>
    </row>
    <row r="22699" spans="1:1">
      <c r="A22699" t="s">
        <v>23231</v>
      </c>
    </row>
    <row r="22700" spans="1:1">
      <c r="A22700" t="s">
        <v>23232</v>
      </c>
    </row>
    <row r="22701" spans="1:1">
      <c r="A22701" t="s">
        <v>23233</v>
      </c>
    </row>
    <row r="22702" spans="1:1">
      <c r="A22702" t="s">
        <v>23234</v>
      </c>
    </row>
    <row r="22703" spans="1:1">
      <c r="A22703" t="s">
        <v>23235</v>
      </c>
    </row>
    <row r="22704" spans="1:1">
      <c r="A22704" t="s">
        <v>23236</v>
      </c>
    </row>
    <row r="22705" spans="1:1">
      <c r="A22705" t="s">
        <v>23237</v>
      </c>
    </row>
    <row r="22706" spans="1:1">
      <c r="A22706" t="s">
        <v>23238</v>
      </c>
    </row>
    <row r="22707" spans="1:1">
      <c r="A22707" t="s">
        <v>23239</v>
      </c>
    </row>
    <row r="22708" spans="1:1">
      <c r="A22708" t="s">
        <v>23240</v>
      </c>
    </row>
    <row r="22709" spans="1:1">
      <c r="A22709" t="s">
        <v>23241</v>
      </c>
    </row>
    <row r="22710" spans="1:1">
      <c r="A22710" t="s">
        <v>23242</v>
      </c>
    </row>
    <row r="22711" spans="1:1">
      <c r="A22711" t="s">
        <v>23243</v>
      </c>
    </row>
    <row r="22712" spans="1:1">
      <c r="A22712" t="s">
        <v>23244</v>
      </c>
    </row>
    <row r="22713" spans="1:1">
      <c r="A22713" t="s">
        <v>23245</v>
      </c>
    </row>
    <row r="22714" spans="1:1">
      <c r="A22714" t="s">
        <v>23246</v>
      </c>
    </row>
    <row r="22715" spans="1:1">
      <c r="A22715" t="s">
        <v>23247</v>
      </c>
    </row>
    <row r="22716" spans="1:1">
      <c r="A22716" t="s">
        <v>23248</v>
      </c>
    </row>
    <row r="22717" spans="1:1">
      <c r="A22717" t="s">
        <v>23249</v>
      </c>
    </row>
    <row r="22718" spans="1:1">
      <c r="A22718" t="s">
        <v>23250</v>
      </c>
    </row>
    <row r="22719" spans="1:1">
      <c r="A22719" t="s">
        <v>23251</v>
      </c>
    </row>
    <row r="22720" spans="1:1">
      <c r="A22720" t="s">
        <v>23252</v>
      </c>
    </row>
    <row r="22721" spans="1:1">
      <c r="A22721" t="s">
        <v>23253</v>
      </c>
    </row>
    <row r="22722" spans="1:1">
      <c r="A22722" t="s">
        <v>23254</v>
      </c>
    </row>
    <row r="22723" spans="1:1">
      <c r="A22723" t="s">
        <v>23255</v>
      </c>
    </row>
    <row r="22724" spans="1:1">
      <c r="A22724" t="s">
        <v>23256</v>
      </c>
    </row>
    <row r="22725" spans="1:1">
      <c r="A22725" t="s">
        <v>23257</v>
      </c>
    </row>
    <row r="22726" spans="1:1">
      <c r="A22726" t="s">
        <v>23258</v>
      </c>
    </row>
    <row r="22727" spans="1:1">
      <c r="A22727" t="s">
        <v>23259</v>
      </c>
    </row>
    <row r="22728" spans="1:1">
      <c r="A22728" t="s">
        <v>23260</v>
      </c>
    </row>
    <row r="22729" spans="1:1">
      <c r="A22729" t="s">
        <v>23261</v>
      </c>
    </row>
    <row r="22730" spans="1:1">
      <c r="A22730" t="s">
        <v>23262</v>
      </c>
    </row>
    <row r="22731" spans="1:1">
      <c r="A22731" t="s">
        <v>23263</v>
      </c>
    </row>
    <row r="22732" spans="1:1">
      <c r="A22732" t="s">
        <v>23264</v>
      </c>
    </row>
    <row r="22733" spans="1:1">
      <c r="A22733" t="s">
        <v>23265</v>
      </c>
    </row>
    <row r="22734" spans="1:1">
      <c r="A22734" t="s">
        <v>23266</v>
      </c>
    </row>
    <row r="22735" spans="1:1">
      <c r="A22735" t="s">
        <v>23267</v>
      </c>
    </row>
    <row r="22736" spans="1:1">
      <c r="A22736" t="s">
        <v>23268</v>
      </c>
    </row>
    <row r="22737" spans="1:1">
      <c r="A22737" t="s">
        <v>23269</v>
      </c>
    </row>
    <row r="22738" spans="1:1">
      <c r="A22738" t="s">
        <v>23270</v>
      </c>
    </row>
    <row r="22739" spans="1:1">
      <c r="A22739" t="s">
        <v>23271</v>
      </c>
    </row>
    <row r="22740" spans="1:1">
      <c r="A22740" t="s">
        <v>23272</v>
      </c>
    </row>
    <row r="22741" spans="1:1">
      <c r="A22741" t="s">
        <v>23273</v>
      </c>
    </row>
    <row r="22742" spans="1:1">
      <c r="A22742" t="s">
        <v>23274</v>
      </c>
    </row>
    <row r="22743" spans="1:1">
      <c r="A22743" t="s">
        <v>23275</v>
      </c>
    </row>
    <row r="22744" spans="1:1">
      <c r="A22744" t="s">
        <v>23276</v>
      </c>
    </row>
    <row r="22745" spans="1:1">
      <c r="A22745" t="s">
        <v>23277</v>
      </c>
    </row>
    <row r="22746" spans="1:1">
      <c r="A22746" t="s">
        <v>23278</v>
      </c>
    </row>
    <row r="22747" spans="1:1">
      <c r="A22747" t="s">
        <v>23279</v>
      </c>
    </row>
    <row r="22748" spans="1:1">
      <c r="A22748" t="s">
        <v>23280</v>
      </c>
    </row>
    <row r="22749" spans="1:1">
      <c r="A22749" t="s">
        <v>23281</v>
      </c>
    </row>
    <row r="22750" spans="1:1">
      <c r="A22750" t="s">
        <v>23282</v>
      </c>
    </row>
    <row r="22751" spans="1:1">
      <c r="A22751" t="s">
        <v>23283</v>
      </c>
    </row>
    <row r="22752" spans="1:1">
      <c r="A22752" t="s">
        <v>23284</v>
      </c>
    </row>
    <row r="22753" spans="1:1">
      <c r="A22753" t="s">
        <v>23285</v>
      </c>
    </row>
    <row r="22754" spans="1:1">
      <c r="A22754" t="s">
        <v>23286</v>
      </c>
    </row>
    <row r="22755" spans="1:1">
      <c r="A22755" t="s">
        <v>23287</v>
      </c>
    </row>
    <row r="22756" spans="1:1">
      <c r="A22756" t="s">
        <v>23288</v>
      </c>
    </row>
    <row r="22757" spans="1:1">
      <c r="A22757" t="s">
        <v>23289</v>
      </c>
    </row>
    <row r="22758" spans="1:1">
      <c r="A22758" t="s">
        <v>23290</v>
      </c>
    </row>
    <row r="22759" spans="1:1">
      <c r="A22759" t="s">
        <v>23291</v>
      </c>
    </row>
    <row r="22760" spans="1:1">
      <c r="A22760" t="s">
        <v>23292</v>
      </c>
    </row>
    <row r="22761" spans="1:1">
      <c r="A22761" t="s">
        <v>23293</v>
      </c>
    </row>
    <row r="22762" spans="1:1">
      <c r="A22762" t="s">
        <v>23294</v>
      </c>
    </row>
    <row r="22763" spans="1:1">
      <c r="A22763" t="s">
        <v>23295</v>
      </c>
    </row>
    <row r="22764" spans="1:1">
      <c r="A22764" t="s">
        <v>23296</v>
      </c>
    </row>
    <row r="22765" spans="1:1">
      <c r="A22765" t="s">
        <v>23297</v>
      </c>
    </row>
    <row r="22766" spans="1:1">
      <c r="A22766" t="s">
        <v>23298</v>
      </c>
    </row>
    <row r="22767" spans="1:1">
      <c r="A22767" t="s">
        <v>23299</v>
      </c>
    </row>
    <row r="22768" spans="1:1">
      <c r="A22768" t="s">
        <v>23300</v>
      </c>
    </row>
    <row r="22769" spans="1:1">
      <c r="A22769" t="s">
        <v>23301</v>
      </c>
    </row>
    <row r="22770" spans="1:1">
      <c r="A22770" t="s">
        <v>23302</v>
      </c>
    </row>
    <row r="22771" spans="1:1">
      <c r="A22771" t="s">
        <v>23303</v>
      </c>
    </row>
    <row r="22772" spans="1:1">
      <c r="A22772" t="s">
        <v>23304</v>
      </c>
    </row>
    <row r="22773" spans="1:1">
      <c r="A22773" t="s">
        <v>23305</v>
      </c>
    </row>
    <row r="22774" spans="1:1">
      <c r="A22774" t="s">
        <v>23306</v>
      </c>
    </row>
    <row r="22775" spans="1:1">
      <c r="A22775" t="s">
        <v>23307</v>
      </c>
    </row>
    <row r="22776" spans="1:1">
      <c r="A22776" t="s">
        <v>23308</v>
      </c>
    </row>
    <row r="22777" spans="1:1">
      <c r="A22777" t="s">
        <v>23309</v>
      </c>
    </row>
    <row r="22778" spans="1:1">
      <c r="A22778" t="s">
        <v>23310</v>
      </c>
    </row>
    <row r="22779" spans="1:1">
      <c r="A22779" t="s">
        <v>23311</v>
      </c>
    </row>
    <row r="22780" spans="1:1">
      <c r="A22780" t="s">
        <v>23312</v>
      </c>
    </row>
    <row r="22781" spans="1:1">
      <c r="A22781" t="s">
        <v>23313</v>
      </c>
    </row>
    <row r="22782" spans="1:1">
      <c r="A22782" t="s">
        <v>23314</v>
      </c>
    </row>
    <row r="22783" spans="1:1">
      <c r="A22783" t="s">
        <v>23315</v>
      </c>
    </row>
    <row r="22784" spans="1:1">
      <c r="A22784" t="s">
        <v>23316</v>
      </c>
    </row>
    <row r="22785" spans="1:1">
      <c r="A22785" t="s">
        <v>23317</v>
      </c>
    </row>
    <row r="22786" spans="1:1">
      <c r="A22786" t="s">
        <v>23318</v>
      </c>
    </row>
    <row r="22787" spans="1:1">
      <c r="A22787" t="s">
        <v>23319</v>
      </c>
    </row>
    <row r="22788" spans="1:1">
      <c r="A22788" t="s">
        <v>23320</v>
      </c>
    </row>
    <row r="22789" spans="1:1">
      <c r="A22789" t="s">
        <v>23321</v>
      </c>
    </row>
    <row r="22790" spans="1:1">
      <c r="A22790" t="s">
        <v>23322</v>
      </c>
    </row>
    <row r="22791" spans="1:1">
      <c r="A22791" t="s">
        <v>23323</v>
      </c>
    </row>
    <row r="22792" spans="1:1">
      <c r="A22792" t="s">
        <v>23324</v>
      </c>
    </row>
    <row r="22793" spans="1:1">
      <c r="A22793" t="s">
        <v>23325</v>
      </c>
    </row>
    <row r="22794" spans="1:1">
      <c r="A22794" t="s">
        <v>23326</v>
      </c>
    </row>
    <row r="22795" spans="1:1">
      <c r="A22795" t="s">
        <v>23327</v>
      </c>
    </row>
    <row r="22796" spans="1:1">
      <c r="A22796" t="s">
        <v>23328</v>
      </c>
    </row>
    <row r="22797" spans="1:1">
      <c r="A22797" t="s">
        <v>23329</v>
      </c>
    </row>
    <row r="22798" spans="1:1">
      <c r="A22798" t="s">
        <v>23330</v>
      </c>
    </row>
    <row r="22799" spans="1:1">
      <c r="A22799" t="s">
        <v>23331</v>
      </c>
    </row>
    <row r="22800" spans="1:1">
      <c r="A22800" t="s">
        <v>23332</v>
      </c>
    </row>
    <row r="22801" spans="1:1">
      <c r="A22801" t="s">
        <v>23333</v>
      </c>
    </row>
    <row r="22802" spans="1:1">
      <c r="A22802" t="s">
        <v>23334</v>
      </c>
    </row>
    <row r="22803" spans="1:1">
      <c r="A22803" t="s">
        <v>23335</v>
      </c>
    </row>
    <row r="22804" spans="1:1">
      <c r="A22804" t="s">
        <v>23336</v>
      </c>
    </row>
    <row r="22805" spans="1:1">
      <c r="A22805" t="s">
        <v>23337</v>
      </c>
    </row>
    <row r="22806" spans="1:1">
      <c r="A22806" t="s">
        <v>23338</v>
      </c>
    </row>
    <row r="22807" spans="1:1">
      <c r="A22807" t="s">
        <v>23339</v>
      </c>
    </row>
    <row r="22808" spans="1:1">
      <c r="A22808" t="s">
        <v>23340</v>
      </c>
    </row>
    <row r="22809" spans="1:1">
      <c r="A22809" t="s">
        <v>23341</v>
      </c>
    </row>
    <row r="22810" spans="1:1">
      <c r="A22810" t="s">
        <v>23342</v>
      </c>
    </row>
    <row r="22811" spans="1:1">
      <c r="A22811" t="s">
        <v>23343</v>
      </c>
    </row>
    <row r="22812" spans="1:1">
      <c r="A22812" t="s">
        <v>23344</v>
      </c>
    </row>
    <row r="22813" spans="1:1">
      <c r="A22813" t="s">
        <v>23345</v>
      </c>
    </row>
    <row r="22814" spans="1:1">
      <c r="A22814" t="s">
        <v>23346</v>
      </c>
    </row>
    <row r="22815" spans="1:1">
      <c r="A22815" t="s">
        <v>23347</v>
      </c>
    </row>
    <row r="22816" spans="1:1">
      <c r="A22816" t="s">
        <v>23348</v>
      </c>
    </row>
    <row r="22817" spans="1:1">
      <c r="A22817" t="s">
        <v>23349</v>
      </c>
    </row>
    <row r="22818" spans="1:1">
      <c r="A22818" t="s">
        <v>23350</v>
      </c>
    </row>
    <row r="22819" spans="1:1">
      <c r="A22819" t="s">
        <v>23351</v>
      </c>
    </row>
    <row r="22820" spans="1:1">
      <c r="A22820" t="s">
        <v>23352</v>
      </c>
    </row>
    <row r="22821" spans="1:1">
      <c r="A22821" t="s">
        <v>23353</v>
      </c>
    </row>
    <row r="22822" spans="1:1">
      <c r="A22822" t="s">
        <v>23354</v>
      </c>
    </row>
    <row r="22823" spans="1:1">
      <c r="A22823" t="s">
        <v>23355</v>
      </c>
    </row>
    <row r="22824" spans="1:1">
      <c r="A22824" t="s">
        <v>23356</v>
      </c>
    </row>
    <row r="22825" spans="1:1">
      <c r="A22825" t="s">
        <v>23357</v>
      </c>
    </row>
    <row r="22826" spans="1:1">
      <c r="A22826" t="s">
        <v>23358</v>
      </c>
    </row>
    <row r="22827" spans="1:1">
      <c r="A22827" t="s">
        <v>23359</v>
      </c>
    </row>
    <row r="22828" spans="1:1">
      <c r="A22828" t="s">
        <v>23360</v>
      </c>
    </row>
    <row r="22829" spans="1:1">
      <c r="A22829" t="s">
        <v>23361</v>
      </c>
    </row>
    <row r="22830" spans="1:1">
      <c r="A22830" t="s">
        <v>23362</v>
      </c>
    </row>
    <row r="22831" spans="1:1">
      <c r="A22831" t="s">
        <v>23363</v>
      </c>
    </row>
    <row r="22832" spans="1:1">
      <c r="A22832" t="s">
        <v>23364</v>
      </c>
    </row>
    <row r="22833" spans="1:1">
      <c r="A22833" t="s">
        <v>23365</v>
      </c>
    </row>
    <row r="22834" spans="1:1">
      <c r="A22834" t="s">
        <v>23366</v>
      </c>
    </row>
    <row r="22835" spans="1:1">
      <c r="A22835" t="s">
        <v>23367</v>
      </c>
    </row>
    <row r="22836" spans="1:1">
      <c r="A22836" t="s">
        <v>23368</v>
      </c>
    </row>
    <row r="22837" spans="1:1">
      <c r="A22837" t="s">
        <v>23369</v>
      </c>
    </row>
    <row r="22838" spans="1:1">
      <c r="A22838" t="s">
        <v>23370</v>
      </c>
    </row>
    <row r="22839" spans="1:1">
      <c r="A22839" t="s">
        <v>23371</v>
      </c>
    </row>
    <row r="22840" spans="1:1">
      <c r="A22840" t="s">
        <v>23372</v>
      </c>
    </row>
    <row r="22841" spans="1:1">
      <c r="A22841" t="s">
        <v>23373</v>
      </c>
    </row>
    <row r="22842" spans="1:1">
      <c r="A22842" t="s">
        <v>23374</v>
      </c>
    </row>
    <row r="22843" spans="1:1">
      <c r="A22843" t="s">
        <v>23375</v>
      </c>
    </row>
    <row r="22844" spans="1:1">
      <c r="A22844" t="s">
        <v>23376</v>
      </c>
    </row>
    <row r="22845" spans="1:1">
      <c r="A22845" t="s">
        <v>23377</v>
      </c>
    </row>
    <row r="22846" spans="1:1">
      <c r="A22846" t="s">
        <v>23378</v>
      </c>
    </row>
    <row r="22847" spans="1:1">
      <c r="A22847" t="s">
        <v>23379</v>
      </c>
    </row>
    <row r="22848" spans="1:1">
      <c r="A22848" t="s">
        <v>23380</v>
      </c>
    </row>
    <row r="22849" spans="1:1">
      <c r="A22849" t="s">
        <v>23381</v>
      </c>
    </row>
    <row r="22850" spans="1:1">
      <c r="A22850" t="s">
        <v>23382</v>
      </c>
    </row>
    <row r="22851" spans="1:1">
      <c r="A22851" t="s">
        <v>23383</v>
      </c>
    </row>
    <row r="22852" spans="1:1">
      <c r="A22852" t="s">
        <v>23384</v>
      </c>
    </row>
    <row r="22853" spans="1:1">
      <c r="A22853" t="s">
        <v>23385</v>
      </c>
    </row>
    <row r="22854" spans="1:1">
      <c r="A22854" t="s">
        <v>23386</v>
      </c>
    </row>
    <row r="22855" spans="1:1">
      <c r="A22855" t="s">
        <v>23387</v>
      </c>
    </row>
    <row r="22856" spans="1:1">
      <c r="A22856" t="s">
        <v>23388</v>
      </c>
    </row>
    <row r="22857" spans="1:1">
      <c r="A22857" t="s">
        <v>23389</v>
      </c>
    </row>
    <row r="22858" spans="1:1">
      <c r="A22858" t="s">
        <v>23390</v>
      </c>
    </row>
    <row r="22859" spans="1:1">
      <c r="A22859" t="s">
        <v>23391</v>
      </c>
    </row>
    <row r="22860" spans="1:1">
      <c r="A22860" t="s">
        <v>23392</v>
      </c>
    </row>
    <row r="22861" spans="1:1">
      <c r="A22861" t="s">
        <v>23393</v>
      </c>
    </row>
    <row r="22862" spans="1:1">
      <c r="A22862" t="s">
        <v>23394</v>
      </c>
    </row>
    <row r="22863" spans="1:1">
      <c r="A22863" t="s">
        <v>23395</v>
      </c>
    </row>
    <row r="22864" spans="1:1">
      <c r="A22864" t="s">
        <v>23396</v>
      </c>
    </row>
    <row r="22865" spans="1:1">
      <c r="A22865" t="s">
        <v>23397</v>
      </c>
    </row>
    <row r="22866" spans="1:1">
      <c r="A22866" t="s">
        <v>23398</v>
      </c>
    </row>
    <row r="22867" spans="1:1">
      <c r="A22867" t="s">
        <v>23399</v>
      </c>
    </row>
    <row r="22868" spans="1:1">
      <c r="A22868" t="s">
        <v>23400</v>
      </c>
    </row>
    <row r="22869" spans="1:1">
      <c r="A22869" t="s">
        <v>23401</v>
      </c>
    </row>
    <row r="22870" spans="1:1">
      <c r="A22870" t="s">
        <v>23402</v>
      </c>
    </row>
    <row r="22871" spans="1:1">
      <c r="A22871" t="s">
        <v>23403</v>
      </c>
    </row>
    <row r="22872" spans="1:1">
      <c r="A22872" t="s">
        <v>23404</v>
      </c>
    </row>
    <row r="22873" spans="1:1">
      <c r="A22873" t="s">
        <v>23405</v>
      </c>
    </row>
    <row r="22874" spans="1:1">
      <c r="A22874" t="s">
        <v>23406</v>
      </c>
    </row>
    <row r="22875" spans="1:1">
      <c r="A22875" t="s">
        <v>23407</v>
      </c>
    </row>
    <row r="22876" spans="1:1">
      <c r="A22876" t="s">
        <v>23408</v>
      </c>
    </row>
    <row r="22877" spans="1:1">
      <c r="A22877" t="s">
        <v>23409</v>
      </c>
    </row>
    <row r="22878" spans="1:1">
      <c r="A22878" t="s">
        <v>23410</v>
      </c>
    </row>
    <row r="22879" spans="1:1">
      <c r="A22879" t="s">
        <v>23411</v>
      </c>
    </row>
    <row r="22880" spans="1:1">
      <c r="A22880" t="s">
        <v>23412</v>
      </c>
    </row>
    <row r="22881" spans="1:1">
      <c r="A22881" t="s">
        <v>23413</v>
      </c>
    </row>
    <row r="22882" spans="1:1">
      <c r="A22882" t="s">
        <v>23414</v>
      </c>
    </row>
    <row r="22883" spans="1:1">
      <c r="A22883" t="s">
        <v>23415</v>
      </c>
    </row>
    <row r="22884" spans="1:1">
      <c r="A22884" t="s">
        <v>23416</v>
      </c>
    </row>
    <row r="22885" spans="1:1">
      <c r="A22885" t="s">
        <v>23417</v>
      </c>
    </row>
    <row r="22886" spans="1:1">
      <c r="A22886" t="s">
        <v>23418</v>
      </c>
    </row>
    <row r="22887" spans="1:1">
      <c r="A22887" t="s">
        <v>23419</v>
      </c>
    </row>
    <row r="22888" spans="1:1">
      <c r="A22888" t="s">
        <v>23420</v>
      </c>
    </row>
    <row r="22889" spans="1:1">
      <c r="A22889" t="s">
        <v>23421</v>
      </c>
    </row>
    <row r="22890" spans="1:1">
      <c r="A22890" t="s">
        <v>23422</v>
      </c>
    </row>
    <row r="22891" spans="1:1">
      <c r="A22891" t="s">
        <v>23423</v>
      </c>
    </row>
    <row r="22892" spans="1:1">
      <c r="A22892" t="s">
        <v>23424</v>
      </c>
    </row>
    <row r="22893" spans="1:1">
      <c r="A22893" t="s">
        <v>23425</v>
      </c>
    </row>
    <row r="22894" spans="1:1">
      <c r="A22894" t="s">
        <v>23426</v>
      </c>
    </row>
    <row r="22895" spans="1:1">
      <c r="A22895" t="s">
        <v>23427</v>
      </c>
    </row>
    <row r="22896" spans="1:1">
      <c r="A22896" t="s">
        <v>23428</v>
      </c>
    </row>
    <row r="22897" spans="1:1">
      <c r="A22897" t="s">
        <v>23429</v>
      </c>
    </row>
    <row r="22898" spans="1:1">
      <c r="A22898" t="s">
        <v>23430</v>
      </c>
    </row>
    <row r="22899" spans="1:1">
      <c r="A22899" t="s">
        <v>23431</v>
      </c>
    </row>
    <row r="22900" spans="1:1">
      <c r="A22900" t="s">
        <v>23432</v>
      </c>
    </row>
    <row r="22901" spans="1:1">
      <c r="A22901" t="s">
        <v>23433</v>
      </c>
    </row>
    <row r="22902" spans="1:1">
      <c r="A22902" t="s">
        <v>23434</v>
      </c>
    </row>
    <row r="22903" spans="1:1">
      <c r="A22903" t="s">
        <v>23435</v>
      </c>
    </row>
    <row r="22904" spans="1:1">
      <c r="A22904" t="s">
        <v>23436</v>
      </c>
    </row>
    <row r="22905" spans="1:1">
      <c r="A22905" t="s">
        <v>23437</v>
      </c>
    </row>
    <row r="22906" spans="1:1">
      <c r="A22906" t="s">
        <v>23438</v>
      </c>
    </row>
    <row r="22907" spans="1:1">
      <c r="A22907" t="s">
        <v>23439</v>
      </c>
    </row>
    <row r="22908" spans="1:1">
      <c r="A22908" t="s">
        <v>23440</v>
      </c>
    </row>
    <row r="22909" spans="1:1">
      <c r="A22909" t="s">
        <v>23441</v>
      </c>
    </row>
    <row r="22910" spans="1:1">
      <c r="A22910" t="s">
        <v>23442</v>
      </c>
    </row>
    <row r="22911" spans="1:1">
      <c r="A22911" t="s">
        <v>23443</v>
      </c>
    </row>
    <row r="22912" spans="1:1">
      <c r="A22912" t="s">
        <v>23444</v>
      </c>
    </row>
    <row r="22913" spans="1:1">
      <c r="A22913" t="s">
        <v>23445</v>
      </c>
    </row>
    <row r="22914" spans="1:1">
      <c r="A22914" t="s">
        <v>23446</v>
      </c>
    </row>
    <row r="22915" spans="1:1">
      <c r="A22915" t="s">
        <v>23447</v>
      </c>
    </row>
    <row r="22916" spans="1:1">
      <c r="A22916" t="s">
        <v>23448</v>
      </c>
    </row>
    <row r="22917" spans="1:1">
      <c r="A22917" t="s">
        <v>23449</v>
      </c>
    </row>
    <row r="22918" spans="1:1">
      <c r="A22918" t="s">
        <v>23450</v>
      </c>
    </row>
    <row r="22919" spans="1:1">
      <c r="A22919" t="s">
        <v>23451</v>
      </c>
    </row>
    <row r="22920" spans="1:1">
      <c r="A22920" t="s">
        <v>23452</v>
      </c>
    </row>
    <row r="22921" spans="1:1">
      <c r="A22921" t="s">
        <v>23453</v>
      </c>
    </row>
    <row r="22922" spans="1:1">
      <c r="A22922" t="s">
        <v>23454</v>
      </c>
    </row>
    <row r="22923" spans="1:1">
      <c r="A22923" t="s">
        <v>23455</v>
      </c>
    </row>
    <row r="22924" spans="1:1">
      <c r="A22924" t="s">
        <v>23456</v>
      </c>
    </row>
    <row r="22925" spans="1:1">
      <c r="A22925" t="s">
        <v>23457</v>
      </c>
    </row>
    <row r="22926" spans="1:1">
      <c r="A22926" t="s">
        <v>23458</v>
      </c>
    </row>
    <row r="22927" spans="1:1">
      <c r="A22927" t="s">
        <v>23459</v>
      </c>
    </row>
    <row r="22928" spans="1:1">
      <c r="A22928" t="s">
        <v>23460</v>
      </c>
    </row>
    <row r="22929" spans="1:1">
      <c r="A22929" t="s">
        <v>23461</v>
      </c>
    </row>
    <row r="22930" spans="1:1">
      <c r="A22930" t="s">
        <v>23462</v>
      </c>
    </row>
    <row r="22931" spans="1:1">
      <c r="A22931" t="s">
        <v>23463</v>
      </c>
    </row>
    <row r="22932" spans="1:1">
      <c r="A22932" t="s">
        <v>23464</v>
      </c>
    </row>
    <row r="22933" spans="1:1">
      <c r="A22933" t="s">
        <v>23465</v>
      </c>
    </row>
    <row r="22934" spans="1:1">
      <c r="A22934" t="s">
        <v>23466</v>
      </c>
    </row>
    <row r="22935" spans="1:1">
      <c r="A22935" t="s">
        <v>23467</v>
      </c>
    </row>
    <row r="22936" spans="1:1">
      <c r="A22936" t="s">
        <v>23468</v>
      </c>
    </row>
    <row r="22937" spans="1:1">
      <c r="A22937" t="s">
        <v>23469</v>
      </c>
    </row>
    <row r="22938" spans="1:1">
      <c r="A22938" t="s">
        <v>23470</v>
      </c>
    </row>
    <row r="22939" spans="1:1">
      <c r="A22939" t="s">
        <v>23471</v>
      </c>
    </row>
    <row r="22940" spans="1:1">
      <c r="A22940" t="s">
        <v>23472</v>
      </c>
    </row>
    <row r="22941" spans="1:1">
      <c r="A22941" t="s">
        <v>23473</v>
      </c>
    </row>
    <row r="22942" spans="1:1">
      <c r="A22942" t="s">
        <v>23474</v>
      </c>
    </row>
    <row r="22943" spans="1:1">
      <c r="A22943" t="s">
        <v>23475</v>
      </c>
    </row>
    <row r="22944" spans="1:1">
      <c r="A22944" t="s">
        <v>23476</v>
      </c>
    </row>
    <row r="22945" spans="1:1">
      <c r="A22945" t="s">
        <v>23477</v>
      </c>
    </row>
    <row r="22946" spans="1:1">
      <c r="A22946" t="s">
        <v>23478</v>
      </c>
    </row>
    <row r="22947" spans="1:1">
      <c r="A22947" t="s">
        <v>23479</v>
      </c>
    </row>
    <row r="22948" spans="1:1">
      <c r="A22948" t="s">
        <v>23480</v>
      </c>
    </row>
    <row r="22949" spans="1:1">
      <c r="A22949" t="s">
        <v>23481</v>
      </c>
    </row>
    <row r="22950" spans="1:1">
      <c r="A22950" t="s">
        <v>23482</v>
      </c>
    </row>
    <row r="22951" spans="1:1">
      <c r="A22951" t="s">
        <v>23483</v>
      </c>
    </row>
    <row r="22952" spans="1:1">
      <c r="A22952" t="s">
        <v>23484</v>
      </c>
    </row>
    <row r="22953" spans="1:1">
      <c r="A22953" t="s">
        <v>23485</v>
      </c>
    </row>
    <row r="22954" spans="1:1">
      <c r="A22954" t="s">
        <v>23486</v>
      </c>
    </row>
    <row r="22955" spans="1:1">
      <c r="A22955" t="s">
        <v>23487</v>
      </c>
    </row>
    <row r="22956" spans="1:1">
      <c r="A22956" t="s">
        <v>23488</v>
      </c>
    </row>
    <row r="22957" spans="1:1">
      <c r="A22957" t="s">
        <v>23489</v>
      </c>
    </row>
    <row r="22958" spans="1:1">
      <c r="A22958" t="s">
        <v>23490</v>
      </c>
    </row>
    <row r="22959" spans="1:1">
      <c r="A22959" t="s">
        <v>23491</v>
      </c>
    </row>
    <row r="22960" spans="1:1">
      <c r="A22960" t="s">
        <v>23492</v>
      </c>
    </row>
    <row r="22961" spans="1:1">
      <c r="A22961" t="s">
        <v>23493</v>
      </c>
    </row>
    <row r="22962" spans="1:1">
      <c r="A22962" t="s">
        <v>23494</v>
      </c>
    </row>
    <row r="22963" spans="1:1">
      <c r="A22963" t="s">
        <v>23495</v>
      </c>
    </row>
    <row r="22964" spans="1:1">
      <c r="A22964" t="s">
        <v>23496</v>
      </c>
    </row>
    <row r="22965" spans="1:1">
      <c r="A22965" t="s">
        <v>23497</v>
      </c>
    </row>
    <row r="22966" spans="1:1">
      <c r="A22966" t="s">
        <v>23498</v>
      </c>
    </row>
    <row r="22967" spans="1:1">
      <c r="A22967" t="s">
        <v>23499</v>
      </c>
    </row>
    <row r="22968" spans="1:1">
      <c r="A22968" t="s">
        <v>23500</v>
      </c>
    </row>
    <row r="22969" spans="1:1">
      <c r="A22969" t="s">
        <v>23501</v>
      </c>
    </row>
    <row r="22970" spans="1:1">
      <c r="A22970" t="s">
        <v>23502</v>
      </c>
    </row>
    <row r="22971" spans="1:1">
      <c r="A22971" t="s">
        <v>23503</v>
      </c>
    </row>
    <row r="22972" spans="1:1">
      <c r="A22972" t="s">
        <v>23504</v>
      </c>
    </row>
    <row r="22973" spans="1:1">
      <c r="A22973" t="s">
        <v>23505</v>
      </c>
    </row>
    <row r="22974" spans="1:1">
      <c r="A22974" t="s">
        <v>23506</v>
      </c>
    </row>
    <row r="22975" spans="1:1">
      <c r="A22975" t="s">
        <v>23507</v>
      </c>
    </row>
    <row r="22976" spans="1:1">
      <c r="A22976" t="s">
        <v>23508</v>
      </c>
    </row>
    <row r="22977" spans="1:1">
      <c r="A22977" t="s">
        <v>23509</v>
      </c>
    </row>
    <row r="22978" spans="1:1">
      <c r="A22978" t="s">
        <v>23510</v>
      </c>
    </row>
    <row r="22979" spans="1:1">
      <c r="A22979" t="s">
        <v>23511</v>
      </c>
    </row>
    <row r="22980" spans="1:1">
      <c r="A22980" t="s">
        <v>23512</v>
      </c>
    </row>
    <row r="22981" spans="1:1">
      <c r="A22981" t="s">
        <v>23513</v>
      </c>
    </row>
    <row r="22982" spans="1:1">
      <c r="A22982" t="s">
        <v>23514</v>
      </c>
    </row>
    <row r="22983" spans="1:1">
      <c r="A22983" t="s">
        <v>23515</v>
      </c>
    </row>
    <row r="22984" spans="1:1">
      <c r="A22984" t="s">
        <v>23516</v>
      </c>
    </row>
    <row r="22985" spans="1:1">
      <c r="A22985" t="s">
        <v>23517</v>
      </c>
    </row>
    <row r="22986" spans="1:1">
      <c r="A22986" t="s">
        <v>23518</v>
      </c>
    </row>
    <row r="22987" spans="1:1">
      <c r="A22987" t="s">
        <v>23519</v>
      </c>
    </row>
    <row r="22988" spans="1:1">
      <c r="A22988" t="s">
        <v>23520</v>
      </c>
    </row>
    <row r="22989" spans="1:1">
      <c r="A22989" t="s">
        <v>23521</v>
      </c>
    </row>
    <row r="22990" spans="1:1">
      <c r="A22990" t="s">
        <v>23522</v>
      </c>
    </row>
    <row r="22991" spans="1:1">
      <c r="A22991" t="s">
        <v>23523</v>
      </c>
    </row>
    <row r="22992" spans="1:1">
      <c r="A22992" t="s">
        <v>23524</v>
      </c>
    </row>
    <row r="22993" spans="1:1">
      <c r="A22993" t="s">
        <v>23525</v>
      </c>
    </row>
    <row r="22994" spans="1:1">
      <c r="A22994" t="s">
        <v>23526</v>
      </c>
    </row>
    <row r="22995" spans="1:1">
      <c r="A22995" t="s">
        <v>23527</v>
      </c>
    </row>
    <row r="22996" spans="1:1">
      <c r="A22996" t="s">
        <v>23528</v>
      </c>
    </row>
    <row r="22997" spans="1:1">
      <c r="A22997" t="s">
        <v>23529</v>
      </c>
    </row>
    <row r="22998" spans="1:1">
      <c r="A22998" t="s">
        <v>23530</v>
      </c>
    </row>
    <row r="22999" spans="1:1">
      <c r="A22999" t="s">
        <v>23531</v>
      </c>
    </row>
    <row r="23000" spans="1:1">
      <c r="A23000" t="s">
        <v>23532</v>
      </c>
    </row>
    <row r="23001" spans="1:1">
      <c r="A23001" t="s">
        <v>23533</v>
      </c>
    </row>
    <row r="23002" spans="1:1">
      <c r="A23002" t="s">
        <v>23534</v>
      </c>
    </row>
    <row r="23003" spans="1:1">
      <c r="A23003" t="s">
        <v>23535</v>
      </c>
    </row>
    <row r="23004" spans="1:1">
      <c r="A23004" t="s">
        <v>23536</v>
      </c>
    </row>
    <row r="23005" spans="1:1">
      <c r="A23005" t="s">
        <v>23537</v>
      </c>
    </row>
    <row r="23006" spans="1:1">
      <c r="A23006" t="s">
        <v>23538</v>
      </c>
    </row>
    <row r="23007" spans="1:1">
      <c r="A23007" t="s">
        <v>23539</v>
      </c>
    </row>
    <row r="23008" spans="1:1">
      <c r="A23008" t="s">
        <v>23540</v>
      </c>
    </row>
    <row r="23009" spans="1:1">
      <c r="A23009" t="s">
        <v>23541</v>
      </c>
    </row>
    <row r="23010" spans="1:1">
      <c r="A23010" t="s">
        <v>23542</v>
      </c>
    </row>
    <row r="23011" spans="1:1">
      <c r="A23011" t="s">
        <v>23543</v>
      </c>
    </row>
    <row r="23012" spans="1:1">
      <c r="A23012" t="s">
        <v>23544</v>
      </c>
    </row>
    <row r="23013" spans="1:1">
      <c r="A23013" t="s">
        <v>23545</v>
      </c>
    </row>
    <row r="23014" spans="1:1">
      <c r="A23014" t="s">
        <v>23546</v>
      </c>
    </row>
    <row r="23015" spans="1:1">
      <c r="A23015" t="s">
        <v>23547</v>
      </c>
    </row>
    <row r="23016" spans="1:1">
      <c r="A23016" t="s">
        <v>23548</v>
      </c>
    </row>
    <row r="23017" spans="1:1">
      <c r="A23017" t="s">
        <v>23549</v>
      </c>
    </row>
    <row r="23018" spans="1:1">
      <c r="A23018" t="s">
        <v>23550</v>
      </c>
    </row>
    <row r="23019" spans="1:1">
      <c r="A23019" t="s">
        <v>23551</v>
      </c>
    </row>
    <row r="23020" spans="1:1">
      <c r="A23020" t="s">
        <v>23552</v>
      </c>
    </row>
    <row r="23021" spans="1:1">
      <c r="A23021" t="s">
        <v>23553</v>
      </c>
    </row>
    <row r="23022" spans="1:1">
      <c r="A23022" t="s">
        <v>23554</v>
      </c>
    </row>
    <row r="23023" spans="1:1">
      <c r="A23023" t="s">
        <v>23555</v>
      </c>
    </row>
    <row r="23024" spans="1:1">
      <c r="A23024" t="s">
        <v>23556</v>
      </c>
    </row>
    <row r="23025" spans="1:1">
      <c r="A23025" t="s">
        <v>23557</v>
      </c>
    </row>
    <row r="23026" spans="1:1">
      <c r="A23026" t="s">
        <v>23558</v>
      </c>
    </row>
    <row r="23027" spans="1:1">
      <c r="A23027" t="s">
        <v>23559</v>
      </c>
    </row>
    <row r="23028" spans="1:1">
      <c r="A23028" t="s">
        <v>23560</v>
      </c>
    </row>
    <row r="23029" spans="1:1">
      <c r="A23029" t="s">
        <v>23561</v>
      </c>
    </row>
    <row r="23030" spans="1:1">
      <c r="A23030" t="s">
        <v>23562</v>
      </c>
    </row>
    <row r="23031" spans="1:1">
      <c r="A23031" t="s">
        <v>23563</v>
      </c>
    </row>
    <row r="23032" spans="1:1">
      <c r="A23032" t="s">
        <v>23564</v>
      </c>
    </row>
    <row r="23033" spans="1:1">
      <c r="A23033" t="s">
        <v>23565</v>
      </c>
    </row>
    <row r="23034" spans="1:1">
      <c r="A23034" t="s">
        <v>23566</v>
      </c>
    </row>
    <row r="23035" spans="1:1">
      <c r="A23035" t="s">
        <v>23567</v>
      </c>
    </row>
    <row r="23036" spans="1:1">
      <c r="A23036" t="s">
        <v>23568</v>
      </c>
    </row>
    <row r="23037" spans="1:1">
      <c r="A23037" t="s">
        <v>23569</v>
      </c>
    </row>
    <row r="23038" spans="1:1">
      <c r="A23038" t="s">
        <v>23570</v>
      </c>
    </row>
    <row r="23039" spans="1:1">
      <c r="A23039" t="s">
        <v>23571</v>
      </c>
    </row>
    <row r="23040" spans="1:1">
      <c r="A23040" t="s">
        <v>23572</v>
      </c>
    </row>
    <row r="23041" spans="1:1">
      <c r="A23041" t="s">
        <v>23573</v>
      </c>
    </row>
    <row r="23042" spans="1:1">
      <c r="A23042" t="s">
        <v>23574</v>
      </c>
    </row>
    <row r="23043" spans="1:1">
      <c r="A23043" t="s">
        <v>23575</v>
      </c>
    </row>
    <row r="23044" spans="1:1">
      <c r="A23044" t="s">
        <v>23576</v>
      </c>
    </row>
    <row r="23045" spans="1:1">
      <c r="A23045" t="s">
        <v>23577</v>
      </c>
    </row>
    <row r="23046" spans="1:1">
      <c r="A23046" t="s">
        <v>23578</v>
      </c>
    </row>
    <row r="23047" spans="1:1">
      <c r="A23047" t="s">
        <v>23579</v>
      </c>
    </row>
    <row r="23048" spans="1:1">
      <c r="A23048" t="s">
        <v>23580</v>
      </c>
    </row>
    <row r="23049" spans="1:1">
      <c r="A23049" t="s">
        <v>23581</v>
      </c>
    </row>
    <row r="23050" spans="1:1">
      <c r="A23050" t="s">
        <v>23582</v>
      </c>
    </row>
    <row r="23051" spans="1:1">
      <c r="A23051" t="s">
        <v>23583</v>
      </c>
    </row>
    <row r="23052" spans="1:1">
      <c r="A23052" t="s">
        <v>23584</v>
      </c>
    </row>
    <row r="23053" spans="1:1">
      <c r="A23053" t="s">
        <v>23585</v>
      </c>
    </row>
    <row r="23054" spans="1:1">
      <c r="A23054" t="s">
        <v>23586</v>
      </c>
    </row>
    <row r="23055" spans="1:1">
      <c r="A23055" t="s">
        <v>23587</v>
      </c>
    </row>
    <row r="23056" spans="1:1">
      <c r="A23056" t="s">
        <v>23588</v>
      </c>
    </row>
    <row r="23057" spans="1:1">
      <c r="A23057" t="s">
        <v>23589</v>
      </c>
    </row>
    <row r="23058" spans="1:1">
      <c r="A23058" t="s">
        <v>23590</v>
      </c>
    </row>
    <row r="23059" spans="1:1">
      <c r="A23059" t="s">
        <v>23591</v>
      </c>
    </row>
    <row r="23060" spans="1:1">
      <c r="A23060" t="s">
        <v>23592</v>
      </c>
    </row>
    <row r="23061" spans="1:1">
      <c r="A23061" t="s">
        <v>23593</v>
      </c>
    </row>
    <row r="23062" spans="1:1">
      <c r="A23062" t="s">
        <v>23594</v>
      </c>
    </row>
    <row r="23063" spans="1:1">
      <c r="A23063" t="s">
        <v>23595</v>
      </c>
    </row>
    <row r="23064" spans="1:1">
      <c r="A23064" t="s">
        <v>23596</v>
      </c>
    </row>
    <row r="23065" spans="1:1">
      <c r="A23065" t="s">
        <v>23597</v>
      </c>
    </row>
    <row r="23066" spans="1:1">
      <c r="A23066" t="s">
        <v>23598</v>
      </c>
    </row>
    <row r="23067" spans="1:1">
      <c r="A23067" t="s">
        <v>23599</v>
      </c>
    </row>
    <row r="23068" spans="1:1">
      <c r="A23068" t="s">
        <v>23600</v>
      </c>
    </row>
    <row r="23069" spans="1:1">
      <c r="A23069" t="s">
        <v>23601</v>
      </c>
    </row>
    <row r="23070" spans="1:1">
      <c r="A23070" t="s">
        <v>23602</v>
      </c>
    </row>
    <row r="23071" spans="1:1">
      <c r="A23071" t="s">
        <v>23603</v>
      </c>
    </row>
    <row r="23072" spans="1:1">
      <c r="A23072" t="s">
        <v>23604</v>
      </c>
    </row>
    <row r="23073" spans="1:1">
      <c r="A23073" t="s">
        <v>23605</v>
      </c>
    </row>
    <row r="23074" spans="1:1">
      <c r="A23074" t="s">
        <v>23606</v>
      </c>
    </row>
    <row r="23075" spans="1:1">
      <c r="A23075" t="s">
        <v>23607</v>
      </c>
    </row>
    <row r="23076" spans="1:1">
      <c r="A23076" t="s">
        <v>23608</v>
      </c>
    </row>
    <row r="23077" spans="1:1">
      <c r="A23077" t="s">
        <v>23609</v>
      </c>
    </row>
    <row r="23078" spans="1:1">
      <c r="A23078" t="s">
        <v>23610</v>
      </c>
    </row>
    <row r="23079" spans="1:1">
      <c r="A23079" t="s">
        <v>23611</v>
      </c>
    </row>
    <row r="23080" spans="1:1">
      <c r="A23080" t="s">
        <v>23612</v>
      </c>
    </row>
    <row r="23081" spans="1:1">
      <c r="A23081" t="s">
        <v>23613</v>
      </c>
    </row>
    <row r="23082" spans="1:1">
      <c r="A23082" t="s">
        <v>23614</v>
      </c>
    </row>
    <row r="23083" spans="1:1">
      <c r="A23083" t="s">
        <v>23615</v>
      </c>
    </row>
    <row r="23084" spans="1:1">
      <c r="A23084" t="s">
        <v>23616</v>
      </c>
    </row>
    <row r="23085" spans="1:1">
      <c r="A23085" t="s">
        <v>23617</v>
      </c>
    </row>
    <row r="23086" spans="1:1">
      <c r="A23086" t="s">
        <v>23618</v>
      </c>
    </row>
    <row r="23087" spans="1:1">
      <c r="A23087" t="s">
        <v>23619</v>
      </c>
    </row>
    <row r="23088" spans="1:1">
      <c r="A23088" t="s">
        <v>23620</v>
      </c>
    </row>
    <row r="23089" spans="1:1">
      <c r="A23089" t="s">
        <v>23621</v>
      </c>
    </row>
    <row r="23090" spans="1:1">
      <c r="A23090" t="s">
        <v>23622</v>
      </c>
    </row>
    <row r="23091" spans="1:1">
      <c r="A23091" t="s">
        <v>23623</v>
      </c>
    </row>
    <row r="23092" spans="1:1">
      <c r="A23092" t="s">
        <v>23624</v>
      </c>
    </row>
    <row r="23093" spans="1:1">
      <c r="A23093" t="s">
        <v>23625</v>
      </c>
    </row>
    <row r="23094" spans="1:1">
      <c r="A23094" t="s">
        <v>23626</v>
      </c>
    </row>
    <row r="23095" spans="1:1">
      <c r="A23095" t="s">
        <v>23627</v>
      </c>
    </row>
    <row r="23096" spans="1:1">
      <c r="A23096" t="s">
        <v>23628</v>
      </c>
    </row>
    <row r="23097" spans="1:1">
      <c r="A23097" t="s">
        <v>23629</v>
      </c>
    </row>
    <row r="23098" spans="1:1">
      <c r="A23098" t="s">
        <v>23630</v>
      </c>
    </row>
    <row r="23099" spans="1:1">
      <c r="A23099" t="s">
        <v>23631</v>
      </c>
    </row>
    <row r="23100" spans="1:1">
      <c r="A23100" t="s">
        <v>23632</v>
      </c>
    </row>
    <row r="23101" spans="1:1">
      <c r="A23101" t="s">
        <v>23633</v>
      </c>
    </row>
    <row r="23102" spans="1:1">
      <c r="A23102" t="s">
        <v>23634</v>
      </c>
    </row>
    <row r="23103" spans="1:1">
      <c r="A23103" t="s">
        <v>23635</v>
      </c>
    </row>
    <row r="23104" spans="1:1">
      <c r="A23104" t="s">
        <v>23636</v>
      </c>
    </row>
    <row r="23105" spans="1:1">
      <c r="A23105" t="s">
        <v>23637</v>
      </c>
    </row>
    <row r="23106" spans="1:1">
      <c r="A23106" t="s">
        <v>23638</v>
      </c>
    </row>
    <row r="23107" spans="1:1">
      <c r="A23107" t="s">
        <v>23639</v>
      </c>
    </row>
    <row r="23108" spans="1:1">
      <c r="A23108" t="s">
        <v>23640</v>
      </c>
    </row>
    <row r="23109" spans="1:1">
      <c r="A23109" t="s">
        <v>23641</v>
      </c>
    </row>
    <row r="23110" spans="1:1">
      <c r="A23110" t="s">
        <v>23642</v>
      </c>
    </row>
    <row r="23111" spans="1:1">
      <c r="A23111" t="s">
        <v>23643</v>
      </c>
    </row>
    <row r="23112" spans="1:1">
      <c r="A23112" t="s">
        <v>23644</v>
      </c>
    </row>
    <row r="23113" spans="1:1">
      <c r="A23113" t="s">
        <v>23645</v>
      </c>
    </row>
    <row r="23114" spans="1:1">
      <c r="A23114" t="s">
        <v>23646</v>
      </c>
    </row>
    <row r="23115" spans="1:1">
      <c r="A23115" t="s">
        <v>23647</v>
      </c>
    </row>
    <row r="23116" spans="1:1">
      <c r="A23116" t="s">
        <v>23648</v>
      </c>
    </row>
    <row r="23117" spans="1:1">
      <c r="A23117" t="s">
        <v>23649</v>
      </c>
    </row>
    <row r="23118" spans="1:1">
      <c r="A23118" t="s">
        <v>23650</v>
      </c>
    </row>
    <row r="23119" spans="1:1">
      <c r="A23119" t="s">
        <v>23651</v>
      </c>
    </row>
    <row r="23120" spans="1:1">
      <c r="A23120" t="s">
        <v>23652</v>
      </c>
    </row>
    <row r="23121" spans="1:1">
      <c r="A23121" t="s">
        <v>23653</v>
      </c>
    </row>
    <row r="23122" spans="1:1">
      <c r="A23122" t="s">
        <v>23654</v>
      </c>
    </row>
    <row r="23123" spans="1:1">
      <c r="A23123" t="s">
        <v>23655</v>
      </c>
    </row>
    <row r="23124" spans="1:1">
      <c r="A23124" t="s">
        <v>23656</v>
      </c>
    </row>
    <row r="23125" spans="1:1">
      <c r="A23125" t="s">
        <v>23657</v>
      </c>
    </row>
    <row r="23126" spans="1:1">
      <c r="A23126" t="s">
        <v>23658</v>
      </c>
    </row>
    <row r="23127" spans="1:1">
      <c r="A23127" t="s">
        <v>23659</v>
      </c>
    </row>
    <row r="23128" spans="1:1">
      <c r="A23128" t="s">
        <v>23660</v>
      </c>
    </row>
    <row r="23129" spans="1:1">
      <c r="A23129" t="s">
        <v>23661</v>
      </c>
    </row>
    <row r="23130" spans="1:1">
      <c r="A23130" t="s">
        <v>23662</v>
      </c>
    </row>
    <row r="23131" spans="1:1">
      <c r="A23131" t="s">
        <v>23663</v>
      </c>
    </row>
    <row r="23132" spans="1:1">
      <c r="A23132" t="s">
        <v>23664</v>
      </c>
    </row>
    <row r="23133" spans="1:1">
      <c r="A23133" t="s">
        <v>23665</v>
      </c>
    </row>
    <row r="23134" spans="1:1">
      <c r="A23134" t="s">
        <v>23666</v>
      </c>
    </row>
    <row r="23135" spans="1:1">
      <c r="A23135" t="s">
        <v>23667</v>
      </c>
    </row>
    <row r="23136" spans="1:1">
      <c r="A23136" t="s">
        <v>23668</v>
      </c>
    </row>
    <row r="23137" spans="1:1">
      <c r="A23137" t="s">
        <v>23669</v>
      </c>
    </row>
    <row r="23138" spans="1:1">
      <c r="A23138" t="s">
        <v>23670</v>
      </c>
    </row>
    <row r="23139" spans="1:1">
      <c r="A23139" t="s">
        <v>23671</v>
      </c>
    </row>
    <row r="23140" spans="1:1">
      <c r="A23140" t="s">
        <v>23672</v>
      </c>
    </row>
    <row r="23141" spans="1:1">
      <c r="A23141" t="s">
        <v>23673</v>
      </c>
    </row>
    <row r="23142" spans="1:1">
      <c r="A23142" t="s">
        <v>23674</v>
      </c>
    </row>
    <row r="23143" spans="1:1">
      <c r="A23143" t="s">
        <v>23675</v>
      </c>
    </row>
    <row r="23144" spans="1:1">
      <c r="A23144" t="s">
        <v>23676</v>
      </c>
    </row>
    <row r="23145" spans="1:1">
      <c r="A23145" t="s">
        <v>23677</v>
      </c>
    </row>
    <row r="23146" spans="1:1">
      <c r="A23146" t="s">
        <v>23678</v>
      </c>
    </row>
    <row r="23147" spans="1:1">
      <c r="A23147" t="s">
        <v>23679</v>
      </c>
    </row>
    <row r="23148" spans="1:1">
      <c r="A23148" t="s">
        <v>23680</v>
      </c>
    </row>
    <row r="23149" spans="1:1">
      <c r="A23149" t="s">
        <v>23681</v>
      </c>
    </row>
    <row r="23150" spans="1:1">
      <c r="A23150" t="s">
        <v>23682</v>
      </c>
    </row>
    <row r="23151" spans="1:1">
      <c r="A23151" t="s">
        <v>23683</v>
      </c>
    </row>
    <row r="23152" spans="1:1">
      <c r="A23152" t="s">
        <v>23684</v>
      </c>
    </row>
    <row r="23153" spans="1:1">
      <c r="A23153" t="s">
        <v>23685</v>
      </c>
    </row>
    <row r="23154" spans="1:1">
      <c r="A23154" t="s">
        <v>23686</v>
      </c>
    </row>
    <row r="23155" spans="1:1">
      <c r="A23155" t="s">
        <v>23687</v>
      </c>
    </row>
    <row r="23156" spans="1:1">
      <c r="A23156" t="s">
        <v>23688</v>
      </c>
    </row>
    <row r="23157" spans="1:1">
      <c r="A23157" t="s">
        <v>23689</v>
      </c>
    </row>
    <row r="23158" spans="1:1">
      <c r="A23158" t="s">
        <v>23690</v>
      </c>
    </row>
    <row r="23159" spans="1:1">
      <c r="A23159" t="s">
        <v>23691</v>
      </c>
    </row>
    <row r="23160" spans="1:1">
      <c r="A23160" t="s">
        <v>23692</v>
      </c>
    </row>
    <row r="23161" spans="1:1">
      <c r="A23161" t="s">
        <v>23693</v>
      </c>
    </row>
    <row r="23162" spans="1:1">
      <c r="A23162" t="s">
        <v>23694</v>
      </c>
    </row>
    <row r="23163" spans="1:1">
      <c r="A23163" t="s">
        <v>23695</v>
      </c>
    </row>
    <row r="23164" spans="1:1">
      <c r="A23164" t="s">
        <v>23696</v>
      </c>
    </row>
    <row r="23165" spans="1:1">
      <c r="A23165" t="s">
        <v>23697</v>
      </c>
    </row>
    <row r="23166" spans="1:1">
      <c r="A23166" t="s">
        <v>23698</v>
      </c>
    </row>
    <row r="23167" spans="1:1">
      <c r="A23167" t="s">
        <v>23699</v>
      </c>
    </row>
    <row r="23168" spans="1:1">
      <c r="A23168" t="s">
        <v>23700</v>
      </c>
    </row>
    <row r="23169" spans="1:1">
      <c r="A23169" t="s">
        <v>23701</v>
      </c>
    </row>
    <row r="23170" spans="1:1">
      <c r="A23170" t="s">
        <v>23702</v>
      </c>
    </row>
    <row r="23171" spans="1:1">
      <c r="A23171" t="s">
        <v>23703</v>
      </c>
    </row>
    <row r="23172" spans="1:1">
      <c r="A23172" t="s">
        <v>23704</v>
      </c>
    </row>
    <row r="23173" spans="1:1">
      <c r="A23173" t="s">
        <v>23705</v>
      </c>
    </row>
    <row r="23174" spans="1:1">
      <c r="A23174" t="s">
        <v>23706</v>
      </c>
    </row>
    <row r="23175" spans="1:1">
      <c r="A23175" t="s">
        <v>23707</v>
      </c>
    </row>
    <row r="23176" spans="1:1">
      <c r="A23176" t="s">
        <v>23708</v>
      </c>
    </row>
    <row r="23177" spans="1:1">
      <c r="A23177" t="s">
        <v>23709</v>
      </c>
    </row>
    <row r="23178" spans="1:1">
      <c r="A23178" t="s">
        <v>23710</v>
      </c>
    </row>
    <row r="23179" spans="1:1">
      <c r="A23179" t="s">
        <v>23711</v>
      </c>
    </row>
    <row r="23180" spans="1:1">
      <c r="A23180" t="s">
        <v>23712</v>
      </c>
    </row>
    <row r="23181" spans="1:1">
      <c r="A23181" t="s">
        <v>23713</v>
      </c>
    </row>
    <row r="23182" spans="1:1">
      <c r="A23182" t="s">
        <v>23714</v>
      </c>
    </row>
    <row r="23183" spans="1:1">
      <c r="A23183" t="s">
        <v>23715</v>
      </c>
    </row>
    <row r="23184" spans="1:1">
      <c r="A23184" t="s">
        <v>23716</v>
      </c>
    </row>
    <row r="23185" spans="1:1">
      <c r="A23185" t="s">
        <v>23717</v>
      </c>
    </row>
    <row r="23186" spans="1:1">
      <c r="A23186" t="s">
        <v>23718</v>
      </c>
    </row>
    <row r="23187" spans="1:1">
      <c r="A23187" t="s">
        <v>23719</v>
      </c>
    </row>
    <row r="23188" spans="1:1">
      <c r="A23188" t="s">
        <v>23720</v>
      </c>
    </row>
    <row r="23189" spans="1:1">
      <c r="A23189" t="s">
        <v>23721</v>
      </c>
    </row>
    <row r="23190" spans="1:1">
      <c r="A23190" t="s">
        <v>23722</v>
      </c>
    </row>
    <row r="23191" spans="1:1">
      <c r="A23191" t="s">
        <v>23723</v>
      </c>
    </row>
    <row r="23192" spans="1:1">
      <c r="A23192" t="s">
        <v>23724</v>
      </c>
    </row>
    <row r="23193" spans="1:1">
      <c r="A23193" t="s">
        <v>23725</v>
      </c>
    </row>
    <row r="23194" spans="1:1">
      <c r="A23194" t="s">
        <v>23726</v>
      </c>
    </row>
    <row r="23195" spans="1:1">
      <c r="A23195" t="s">
        <v>23727</v>
      </c>
    </row>
    <row r="23196" spans="1:1">
      <c r="A23196" t="s">
        <v>23728</v>
      </c>
    </row>
    <row r="23197" spans="1:1">
      <c r="A23197" t="s">
        <v>23729</v>
      </c>
    </row>
    <row r="23198" spans="1:1">
      <c r="A23198" t="s">
        <v>23730</v>
      </c>
    </row>
    <row r="23199" spans="1:1">
      <c r="A23199" t="s">
        <v>23731</v>
      </c>
    </row>
    <row r="23200" spans="1:1">
      <c r="A23200" t="s">
        <v>23732</v>
      </c>
    </row>
    <row r="23201" spans="1:1">
      <c r="A23201" t="s">
        <v>23733</v>
      </c>
    </row>
    <row r="23202" spans="1:1">
      <c r="A23202" t="s">
        <v>23734</v>
      </c>
    </row>
    <row r="23203" spans="1:1">
      <c r="A23203" t="s">
        <v>23735</v>
      </c>
    </row>
    <row r="23204" spans="1:1">
      <c r="A23204" t="s">
        <v>23736</v>
      </c>
    </row>
    <row r="23205" spans="1:1">
      <c r="A23205" t="s">
        <v>23737</v>
      </c>
    </row>
    <row r="23206" spans="1:1">
      <c r="A23206" t="s">
        <v>23738</v>
      </c>
    </row>
    <row r="23207" spans="1:1">
      <c r="A23207" t="s">
        <v>23739</v>
      </c>
    </row>
    <row r="23208" spans="1:1">
      <c r="A23208" t="s">
        <v>23740</v>
      </c>
    </row>
    <row r="23209" spans="1:1">
      <c r="A23209" t="s">
        <v>23741</v>
      </c>
    </row>
    <row r="23210" spans="1:1">
      <c r="A23210" t="s">
        <v>23742</v>
      </c>
    </row>
    <row r="23211" spans="1:1">
      <c r="A23211" t="s">
        <v>23743</v>
      </c>
    </row>
    <row r="23212" spans="1:1">
      <c r="A23212" t="s">
        <v>23744</v>
      </c>
    </row>
    <row r="23213" spans="1:1">
      <c r="A23213" t="s">
        <v>23745</v>
      </c>
    </row>
    <row r="23214" spans="1:1">
      <c r="A23214" t="s">
        <v>23746</v>
      </c>
    </row>
    <row r="23215" spans="1:1">
      <c r="A23215" t="s">
        <v>23747</v>
      </c>
    </row>
    <row r="23216" spans="1:1">
      <c r="A23216" t="s">
        <v>23748</v>
      </c>
    </row>
    <row r="23217" spans="1:1">
      <c r="A23217" t="s">
        <v>23749</v>
      </c>
    </row>
    <row r="23218" spans="1:1">
      <c r="A23218" t="s">
        <v>23750</v>
      </c>
    </row>
    <row r="23219" spans="1:1">
      <c r="A23219" t="s">
        <v>23751</v>
      </c>
    </row>
    <row r="23220" spans="1:1">
      <c r="A23220" t="s">
        <v>23752</v>
      </c>
    </row>
    <row r="23221" spans="1:1">
      <c r="A23221" t="s">
        <v>23753</v>
      </c>
    </row>
    <row r="23222" spans="1:1">
      <c r="A23222" t="s">
        <v>23754</v>
      </c>
    </row>
    <row r="23223" spans="1:1">
      <c r="A23223" t="s">
        <v>23755</v>
      </c>
    </row>
    <row r="23224" spans="1:1">
      <c r="A23224" t="s">
        <v>23756</v>
      </c>
    </row>
    <row r="23225" spans="1:1">
      <c r="A23225" t="s">
        <v>23757</v>
      </c>
    </row>
    <row r="23226" spans="1:1">
      <c r="A23226" t="s">
        <v>23758</v>
      </c>
    </row>
    <row r="23227" spans="1:1">
      <c r="A23227" t="s">
        <v>23759</v>
      </c>
    </row>
    <row r="23228" spans="1:1">
      <c r="A23228" t="s">
        <v>23760</v>
      </c>
    </row>
    <row r="23229" spans="1:1">
      <c r="A23229" t="s">
        <v>23761</v>
      </c>
    </row>
    <row r="23230" spans="1:1">
      <c r="A23230" t="s">
        <v>23762</v>
      </c>
    </row>
    <row r="23231" spans="1:1">
      <c r="A23231" t="s">
        <v>23763</v>
      </c>
    </row>
    <row r="23232" spans="1:1">
      <c r="A23232" t="s">
        <v>23764</v>
      </c>
    </row>
    <row r="23233" spans="1:1">
      <c r="A23233" t="s">
        <v>23765</v>
      </c>
    </row>
    <row r="23234" spans="1:1">
      <c r="A23234" t="s">
        <v>23766</v>
      </c>
    </row>
    <row r="23235" spans="1:1">
      <c r="A23235" t="s">
        <v>23767</v>
      </c>
    </row>
    <row r="23236" spans="1:1">
      <c r="A23236" t="s">
        <v>23768</v>
      </c>
    </row>
    <row r="23237" spans="1:1">
      <c r="A23237" t="s">
        <v>23769</v>
      </c>
    </row>
    <row r="23238" spans="1:1">
      <c r="A23238" t="s">
        <v>23770</v>
      </c>
    </row>
    <row r="23239" spans="1:1">
      <c r="A23239" t="s">
        <v>23771</v>
      </c>
    </row>
    <row r="23240" spans="1:1">
      <c r="A23240" t="s">
        <v>23772</v>
      </c>
    </row>
    <row r="23241" spans="1:1">
      <c r="A23241" t="s">
        <v>23773</v>
      </c>
    </row>
    <row r="23242" spans="1:1">
      <c r="A23242" t="s">
        <v>23774</v>
      </c>
    </row>
    <row r="23243" spans="1:1">
      <c r="A23243" t="s">
        <v>23775</v>
      </c>
    </row>
    <row r="23244" spans="1:1">
      <c r="A23244" t="s">
        <v>23776</v>
      </c>
    </row>
    <row r="23245" spans="1:1">
      <c r="A23245" t="s">
        <v>23777</v>
      </c>
    </row>
    <row r="23246" spans="1:1">
      <c r="A23246" t="s">
        <v>23778</v>
      </c>
    </row>
    <row r="23247" spans="1:1">
      <c r="A23247" t="s">
        <v>23779</v>
      </c>
    </row>
    <row r="23248" spans="1:1">
      <c r="A23248" t="s">
        <v>23780</v>
      </c>
    </row>
    <row r="23249" spans="1:1">
      <c r="A23249" t="s">
        <v>23781</v>
      </c>
    </row>
    <row r="23250" spans="1:1">
      <c r="A23250" t="s">
        <v>23782</v>
      </c>
    </row>
    <row r="23251" spans="1:1">
      <c r="A23251" t="s">
        <v>23783</v>
      </c>
    </row>
    <row r="23252" spans="1:1">
      <c r="A23252" t="s">
        <v>23784</v>
      </c>
    </row>
    <row r="23253" spans="1:1">
      <c r="A23253" t="s">
        <v>23785</v>
      </c>
    </row>
    <row r="23254" spans="1:1">
      <c r="A23254" t="s">
        <v>23786</v>
      </c>
    </row>
    <row r="23255" spans="1:1">
      <c r="A23255" t="s">
        <v>23787</v>
      </c>
    </row>
    <row r="23256" spans="1:1">
      <c r="A23256" t="s">
        <v>23788</v>
      </c>
    </row>
    <row r="23257" spans="1:1">
      <c r="A23257" t="s">
        <v>23789</v>
      </c>
    </row>
    <row r="23258" spans="1:1">
      <c r="A23258" t="s">
        <v>23790</v>
      </c>
    </row>
    <row r="23259" spans="1:1">
      <c r="A23259" t="s">
        <v>23791</v>
      </c>
    </row>
    <row r="23260" spans="1:1">
      <c r="A23260" t="s">
        <v>23792</v>
      </c>
    </row>
    <row r="23261" spans="1:1">
      <c r="A23261" t="s">
        <v>23793</v>
      </c>
    </row>
    <row r="23262" spans="1:1">
      <c r="A23262" t="s">
        <v>23794</v>
      </c>
    </row>
    <row r="23263" spans="1:1">
      <c r="A23263" t="s">
        <v>23795</v>
      </c>
    </row>
    <row r="23264" spans="1:1">
      <c r="A23264" t="s">
        <v>23796</v>
      </c>
    </row>
    <row r="23265" spans="1:1">
      <c r="A23265" t="s">
        <v>23797</v>
      </c>
    </row>
    <row r="23266" spans="1:1">
      <c r="A23266" t="s">
        <v>23798</v>
      </c>
    </row>
    <row r="23267" spans="1:1">
      <c r="A23267" t="s">
        <v>23799</v>
      </c>
    </row>
    <row r="23268" spans="1:1">
      <c r="A23268" t="s">
        <v>23800</v>
      </c>
    </row>
    <row r="23269" spans="1:1">
      <c r="A23269" t="s">
        <v>23801</v>
      </c>
    </row>
    <row r="23270" spans="1:1">
      <c r="A23270" t="s">
        <v>23802</v>
      </c>
    </row>
    <row r="23271" spans="1:1">
      <c r="A23271" t="s">
        <v>23803</v>
      </c>
    </row>
    <row r="23272" spans="1:1">
      <c r="A23272" t="s">
        <v>23804</v>
      </c>
    </row>
    <row r="23273" spans="1:1">
      <c r="A23273" t="s">
        <v>23805</v>
      </c>
    </row>
    <row r="23274" spans="1:1">
      <c r="A23274" t="s">
        <v>23806</v>
      </c>
    </row>
    <row r="23275" spans="1:1">
      <c r="A23275" t="s">
        <v>23807</v>
      </c>
    </row>
    <row r="23276" spans="1:1">
      <c r="A23276" t="s">
        <v>23808</v>
      </c>
    </row>
    <row r="23277" spans="1:1">
      <c r="A23277" t="s">
        <v>23809</v>
      </c>
    </row>
    <row r="23278" spans="1:1">
      <c r="A23278" t="s">
        <v>23810</v>
      </c>
    </row>
    <row r="23279" spans="1:1">
      <c r="A23279" t="s">
        <v>23811</v>
      </c>
    </row>
    <row r="23280" spans="1:1">
      <c r="A23280" t="s">
        <v>23812</v>
      </c>
    </row>
    <row r="23281" spans="1:1">
      <c r="A23281" t="s">
        <v>23813</v>
      </c>
    </row>
    <row r="23282" spans="1:1">
      <c r="A23282" t="s">
        <v>23814</v>
      </c>
    </row>
    <row r="23283" spans="1:1">
      <c r="A23283" t="s">
        <v>23815</v>
      </c>
    </row>
    <row r="23284" spans="1:1">
      <c r="A23284" t="s">
        <v>23816</v>
      </c>
    </row>
    <row r="23285" spans="1:1">
      <c r="A23285" t="s">
        <v>23817</v>
      </c>
    </row>
    <row r="23286" spans="1:1">
      <c r="A23286" t="s">
        <v>23818</v>
      </c>
    </row>
    <row r="23287" spans="1:1">
      <c r="A23287" t="s">
        <v>23819</v>
      </c>
    </row>
    <row r="23288" spans="1:1">
      <c r="A23288" t="s">
        <v>23820</v>
      </c>
    </row>
    <row r="23289" spans="1:1">
      <c r="A23289" t="s">
        <v>23821</v>
      </c>
    </row>
    <row r="23290" spans="1:1">
      <c r="A23290" t="s">
        <v>23822</v>
      </c>
    </row>
    <row r="23291" spans="1:1">
      <c r="A23291" t="s">
        <v>23823</v>
      </c>
    </row>
    <row r="23292" spans="1:1">
      <c r="A23292" t="s">
        <v>23824</v>
      </c>
    </row>
    <row r="23293" spans="1:1">
      <c r="A23293" t="s">
        <v>23825</v>
      </c>
    </row>
    <row r="23294" spans="1:1">
      <c r="A23294" t="s">
        <v>23826</v>
      </c>
    </row>
    <row r="23295" spans="1:1">
      <c r="A23295" t="s">
        <v>23827</v>
      </c>
    </row>
    <row r="23296" spans="1:1">
      <c r="A23296" t="s">
        <v>23828</v>
      </c>
    </row>
    <row r="23297" spans="1:1">
      <c r="A23297" t="s">
        <v>23829</v>
      </c>
    </row>
    <row r="23298" spans="1:1">
      <c r="A23298" t="s">
        <v>23830</v>
      </c>
    </row>
    <row r="23299" spans="1:1">
      <c r="A23299" t="s">
        <v>23831</v>
      </c>
    </row>
    <row r="23300" spans="1:1">
      <c r="A23300" t="s">
        <v>23832</v>
      </c>
    </row>
    <row r="23301" spans="1:1">
      <c r="A23301" t="s">
        <v>23833</v>
      </c>
    </row>
    <row r="23302" spans="1:1">
      <c r="A23302" t="s">
        <v>23834</v>
      </c>
    </row>
    <row r="23303" spans="1:1">
      <c r="A23303" t="s">
        <v>23835</v>
      </c>
    </row>
    <row r="23304" spans="1:1">
      <c r="A23304" t="s">
        <v>23836</v>
      </c>
    </row>
    <row r="23305" spans="1:1">
      <c r="A23305" t="s">
        <v>23837</v>
      </c>
    </row>
    <row r="23306" spans="1:1">
      <c r="A23306" t="s">
        <v>23838</v>
      </c>
    </row>
    <row r="23307" spans="1:1">
      <c r="A23307" t="s">
        <v>23839</v>
      </c>
    </row>
    <row r="23308" spans="1:1">
      <c r="A23308" t="s">
        <v>23840</v>
      </c>
    </row>
    <row r="23309" spans="1:1">
      <c r="A23309" t="s">
        <v>23841</v>
      </c>
    </row>
    <row r="23310" spans="1:1">
      <c r="A23310" t="s">
        <v>23842</v>
      </c>
    </row>
    <row r="23311" spans="1:1">
      <c r="A23311" t="s">
        <v>23843</v>
      </c>
    </row>
    <row r="23312" spans="1:1">
      <c r="A23312" t="s">
        <v>23844</v>
      </c>
    </row>
    <row r="23313" spans="1:1">
      <c r="A23313" t="s">
        <v>23845</v>
      </c>
    </row>
    <row r="23314" spans="1:1">
      <c r="A23314" t="s">
        <v>23846</v>
      </c>
    </row>
    <row r="23315" spans="1:1">
      <c r="A23315" t="s">
        <v>23847</v>
      </c>
    </row>
    <row r="23316" spans="1:1">
      <c r="A23316" t="s">
        <v>23848</v>
      </c>
    </row>
    <row r="23317" spans="1:1">
      <c r="A23317" t="s">
        <v>23849</v>
      </c>
    </row>
    <row r="23318" spans="1:1">
      <c r="A23318" t="s">
        <v>23850</v>
      </c>
    </row>
    <row r="23319" spans="1:1">
      <c r="A23319" t="s">
        <v>23851</v>
      </c>
    </row>
    <row r="23320" spans="1:1">
      <c r="A23320" t="s">
        <v>23852</v>
      </c>
    </row>
    <row r="23321" spans="1:1">
      <c r="A23321" t="s">
        <v>23853</v>
      </c>
    </row>
    <row r="23322" spans="1:1">
      <c r="A23322" t="s">
        <v>23854</v>
      </c>
    </row>
    <row r="23323" spans="1:1">
      <c r="A23323" t="s">
        <v>23855</v>
      </c>
    </row>
    <row r="23324" spans="1:1">
      <c r="A23324" t="s">
        <v>23856</v>
      </c>
    </row>
    <row r="23325" spans="1:1">
      <c r="A23325" t="s">
        <v>23857</v>
      </c>
    </row>
    <row r="23326" spans="1:1">
      <c r="A23326" t="s">
        <v>23858</v>
      </c>
    </row>
    <row r="23327" spans="1:1">
      <c r="A23327" t="s">
        <v>23859</v>
      </c>
    </row>
    <row r="23328" spans="1:1">
      <c r="A23328" t="s">
        <v>23860</v>
      </c>
    </row>
    <row r="23329" spans="1:1">
      <c r="A23329" t="s">
        <v>23861</v>
      </c>
    </row>
    <row r="23330" spans="1:1">
      <c r="A23330" t="s">
        <v>23862</v>
      </c>
    </row>
    <row r="23331" spans="1:1">
      <c r="A23331" t="s">
        <v>23863</v>
      </c>
    </row>
    <row r="23332" spans="1:1">
      <c r="A23332" t="s">
        <v>23864</v>
      </c>
    </row>
    <row r="23333" spans="1:1">
      <c r="A23333" t="s">
        <v>23865</v>
      </c>
    </row>
    <row r="23334" spans="1:1">
      <c r="A23334" t="s">
        <v>23866</v>
      </c>
    </row>
    <row r="23335" spans="1:1">
      <c r="A23335" t="s">
        <v>23867</v>
      </c>
    </row>
    <row r="23336" spans="1:1">
      <c r="A23336" t="s">
        <v>23868</v>
      </c>
    </row>
    <row r="23337" spans="1:1">
      <c r="A23337" t="s">
        <v>23869</v>
      </c>
    </row>
    <row r="23338" spans="1:1">
      <c r="A23338" t="s">
        <v>23870</v>
      </c>
    </row>
    <row r="23339" spans="1:1">
      <c r="A23339" t="s">
        <v>23871</v>
      </c>
    </row>
    <row r="23340" spans="1:1">
      <c r="A23340" t="s">
        <v>23872</v>
      </c>
    </row>
    <row r="23341" spans="1:1">
      <c r="A23341" t="s">
        <v>23873</v>
      </c>
    </row>
    <row r="23342" spans="1:1">
      <c r="A23342" t="s">
        <v>23874</v>
      </c>
    </row>
    <row r="23343" spans="1:1">
      <c r="A23343" t="s">
        <v>23875</v>
      </c>
    </row>
    <row r="23344" spans="1:1">
      <c r="A23344" t="s">
        <v>23876</v>
      </c>
    </row>
    <row r="23345" spans="1:1">
      <c r="A23345" t="s">
        <v>23877</v>
      </c>
    </row>
    <row r="23346" spans="1:1">
      <c r="A23346" t="s">
        <v>23878</v>
      </c>
    </row>
    <row r="23347" spans="1:1">
      <c r="A23347" t="s">
        <v>23879</v>
      </c>
    </row>
    <row r="23348" spans="1:1">
      <c r="A23348" t="s">
        <v>23880</v>
      </c>
    </row>
    <row r="23349" spans="1:1">
      <c r="A23349" t="s">
        <v>23881</v>
      </c>
    </row>
    <row r="23350" spans="1:1">
      <c r="A23350" t="s">
        <v>23882</v>
      </c>
    </row>
    <row r="23351" spans="1:1">
      <c r="A23351" t="s">
        <v>23883</v>
      </c>
    </row>
    <row r="23352" spans="1:1">
      <c r="A23352" t="s">
        <v>23884</v>
      </c>
    </row>
    <row r="23353" spans="1:1">
      <c r="A23353" t="s">
        <v>23885</v>
      </c>
    </row>
    <row r="23354" spans="1:1">
      <c r="A23354" t="s">
        <v>23886</v>
      </c>
    </row>
    <row r="23355" spans="1:1">
      <c r="A23355" t="s">
        <v>23887</v>
      </c>
    </row>
    <row r="23356" spans="1:1">
      <c r="A23356" t="s">
        <v>23888</v>
      </c>
    </row>
    <row r="23357" spans="1:1">
      <c r="A23357" t="s">
        <v>23889</v>
      </c>
    </row>
    <row r="23358" spans="1:1">
      <c r="A23358" t="s">
        <v>23890</v>
      </c>
    </row>
    <row r="23359" spans="1:1">
      <c r="A23359" t="s">
        <v>23891</v>
      </c>
    </row>
    <row r="23360" spans="1:1">
      <c r="A23360" t="s">
        <v>23892</v>
      </c>
    </row>
    <row r="23361" spans="1:1">
      <c r="A23361" t="s">
        <v>23893</v>
      </c>
    </row>
    <row r="23362" spans="1:1">
      <c r="A23362" t="s">
        <v>23894</v>
      </c>
    </row>
    <row r="23363" spans="1:1">
      <c r="A23363" t="s">
        <v>23895</v>
      </c>
    </row>
    <row r="23364" spans="1:1">
      <c r="A23364" t="s">
        <v>23896</v>
      </c>
    </row>
    <row r="23365" spans="1:1">
      <c r="A23365" t="s">
        <v>23897</v>
      </c>
    </row>
    <row r="23366" spans="1:1">
      <c r="A23366" t="s">
        <v>23898</v>
      </c>
    </row>
    <row r="23367" spans="1:1">
      <c r="A23367" t="s">
        <v>23899</v>
      </c>
    </row>
    <row r="23368" spans="1:1">
      <c r="A23368" t="s">
        <v>23900</v>
      </c>
    </row>
    <row r="23369" spans="1:1">
      <c r="A23369" t="s">
        <v>23901</v>
      </c>
    </row>
    <row r="23370" spans="1:1">
      <c r="A23370" t="s">
        <v>23902</v>
      </c>
    </row>
    <row r="23371" spans="1:1">
      <c r="A23371" t="s">
        <v>23903</v>
      </c>
    </row>
    <row r="23372" spans="1:1">
      <c r="A23372" t="s">
        <v>23904</v>
      </c>
    </row>
    <row r="23373" spans="1:1">
      <c r="A23373" t="s">
        <v>23905</v>
      </c>
    </row>
    <row r="23374" spans="1:1">
      <c r="A23374" t="s">
        <v>23906</v>
      </c>
    </row>
    <row r="23375" spans="1:1">
      <c r="A23375" t="s">
        <v>23907</v>
      </c>
    </row>
    <row r="23376" spans="1:1">
      <c r="A23376" t="s">
        <v>23908</v>
      </c>
    </row>
    <row r="23377" spans="1:1">
      <c r="A23377" t="s">
        <v>23909</v>
      </c>
    </row>
    <row r="23378" spans="1:1">
      <c r="A23378" t="s">
        <v>23910</v>
      </c>
    </row>
    <row r="23379" spans="1:1">
      <c r="A23379" t="s">
        <v>23911</v>
      </c>
    </row>
    <row r="23380" spans="1:1">
      <c r="A23380" t="s">
        <v>23912</v>
      </c>
    </row>
    <row r="23381" spans="1:1">
      <c r="A23381" t="s">
        <v>23913</v>
      </c>
    </row>
    <row r="23382" spans="1:1">
      <c r="A23382" t="s">
        <v>23914</v>
      </c>
    </row>
    <row r="23383" spans="1:1">
      <c r="A23383" t="s">
        <v>23915</v>
      </c>
    </row>
    <row r="23384" spans="1:1">
      <c r="A23384" t="s">
        <v>23916</v>
      </c>
    </row>
    <row r="23385" spans="1:1">
      <c r="A23385" t="s">
        <v>23917</v>
      </c>
    </row>
    <row r="23386" spans="1:1">
      <c r="A23386" t="s">
        <v>23918</v>
      </c>
    </row>
    <row r="23387" spans="1:1">
      <c r="A23387" t="s">
        <v>23919</v>
      </c>
    </row>
    <row r="23388" spans="1:1">
      <c r="A23388" t="s">
        <v>23920</v>
      </c>
    </row>
    <row r="23389" spans="1:1">
      <c r="A23389" t="s">
        <v>23921</v>
      </c>
    </row>
    <row r="23390" spans="1:1">
      <c r="A23390" t="s">
        <v>23922</v>
      </c>
    </row>
    <row r="23391" spans="1:1">
      <c r="A23391" t="s">
        <v>23923</v>
      </c>
    </row>
    <row r="23392" spans="1:1">
      <c r="A23392" t="s">
        <v>23924</v>
      </c>
    </row>
    <row r="23393" spans="1:1">
      <c r="A23393" t="s">
        <v>23925</v>
      </c>
    </row>
    <row r="23394" spans="1:1">
      <c r="A23394" t="s">
        <v>23926</v>
      </c>
    </row>
    <row r="23395" spans="1:1">
      <c r="A23395" t="s">
        <v>23927</v>
      </c>
    </row>
    <row r="23396" spans="1:1">
      <c r="A23396" t="s">
        <v>23928</v>
      </c>
    </row>
    <row r="23397" spans="1:1">
      <c r="A23397" t="s">
        <v>23929</v>
      </c>
    </row>
    <row r="23398" spans="1:1">
      <c r="A23398" t="s">
        <v>23930</v>
      </c>
    </row>
    <row r="23399" spans="1:1">
      <c r="A23399" t="s">
        <v>23931</v>
      </c>
    </row>
    <row r="23400" spans="1:1">
      <c r="A23400" t="s">
        <v>23932</v>
      </c>
    </row>
    <row r="23401" spans="1:1">
      <c r="A23401" t="s">
        <v>23933</v>
      </c>
    </row>
    <row r="23402" spans="1:1">
      <c r="A23402" t="s">
        <v>23934</v>
      </c>
    </row>
    <row r="23403" spans="1:1">
      <c r="A23403" t="s">
        <v>23935</v>
      </c>
    </row>
    <row r="23404" spans="1:1">
      <c r="A23404" t="s">
        <v>23936</v>
      </c>
    </row>
    <row r="23405" spans="1:1">
      <c r="A23405" t="s">
        <v>23937</v>
      </c>
    </row>
    <row r="23406" spans="1:1">
      <c r="A23406" t="s">
        <v>23938</v>
      </c>
    </row>
    <row r="23407" spans="1:1">
      <c r="A23407" t="s">
        <v>23939</v>
      </c>
    </row>
    <row r="23408" spans="1:1">
      <c r="A23408" t="s">
        <v>23940</v>
      </c>
    </row>
    <row r="23409" spans="1:1">
      <c r="A23409" t="s">
        <v>23941</v>
      </c>
    </row>
    <row r="23410" spans="1:1">
      <c r="A23410" t="s">
        <v>23942</v>
      </c>
    </row>
    <row r="23411" spans="1:1">
      <c r="A23411" t="s">
        <v>23943</v>
      </c>
    </row>
    <row r="23412" spans="1:1">
      <c r="A23412" t="s">
        <v>23944</v>
      </c>
    </row>
    <row r="23413" spans="1:1">
      <c r="A23413" t="s">
        <v>23945</v>
      </c>
    </row>
    <row r="23414" spans="1:1">
      <c r="A23414" t="s">
        <v>23946</v>
      </c>
    </row>
    <row r="23415" spans="1:1">
      <c r="A23415" t="s">
        <v>23947</v>
      </c>
    </row>
    <row r="23416" spans="1:1">
      <c r="A23416" t="s">
        <v>23948</v>
      </c>
    </row>
    <row r="23417" spans="1:1">
      <c r="A23417" t="s">
        <v>23949</v>
      </c>
    </row>
    <row r="23418" spans="1:1">
      <c r="A23418" t="s">
        <v>23950</v>
      </c>
    </row>
    <row r="23419" spans="1:1">
      <c r="A23419" t="s">
        <v>23951</v>
      </c>
    </row>
    <row r="23420" spans="1:1">
      <c r="A23420" t="s">
        <v>23952</v>
      </c>
    </row>
    <row r="23421" spans="1:1">
      <c r="A23421" t="s">
        <v>23953</v>
      </c>
    </row>
    <row r="23422" spans="1:1">
      <c r="A23422" t="s">
        <v>23954</v>
      </c>
    </row>
    <row r="23423" spans="1:1">
      <c r="A23423" t="s">
        <v>23955</v>
      </c>
    </row>
    <row r="23424" spans="1:1">
      <c r="A23424" t="s">
        <v>23956</v>
      </c>
    </row>
    <row r="23425" spans="1:1">
      <c r="A23425" t="s">
        <v>23957</v>
      </c>
    </row>
    <row r="23426" spans="1:1">
      <c r="A23426" t="s">
        <v>23958</v>
      </c>
    </row>
    <row r="23427" spans="1:1">
      <c r="A23427" t="s">
        <v>23959</v>
      </c>
    </row>
    <row r="23428" spans="1:1">
      <c r="A23428" t="s">
        <v>23960</v>
      </c>
    </row>
    <row r="23429" spans="1:1">
      <c r="A23429" t="s">
        <v>23961</v>
      </c>
    </row>
    <row r="23430" spans="1:1">
      <c r="A23430" t="s">
        <v>23962</v>
      </c>
    </row>
    <row r="23431" spans="1:1">
      <c r="A23431" t="s">
        <v>23963</v>
      </c>
    </row>
    <row r="23432" spans="1:1">
      <c r="A23432" t="s">
        <v>23964</v>
      </c>
    </row>
    <row r="23433" spans="1:1">
      <c r="A23433" t="s">
        <v>23965</v>
      </c>
    </row>
    <row r="23434" spans="1:1">
      <c r="A23434" t="s">
        <v>23966</v>
      </c>
    </row>
    <row r="23435" spans="1:1">
      <c r="A23435" t="s">
        <v>23967</v>
      </c>
    </row>
    <row r="23436" spans="1:1">
      <c r="A23436" t="s">
        <v>23968</v>
      </c>
    </row>
    <row r="23437" spans="1:1">
      <c r="A23437" t="s">
        <v>23969</v>
      </c>
    </row>
    <row r="23438" spans="1:1">
      <c r="A23438" t="s">
        <v>23970</v>
      </c>
    </row>
    <row r="23439" spans="1:1">
      <c r="A23439" t="s">
        <v>23971</v>
      </c>
    </row>
    <row r="23440" spans="1:1">
      <c r="A23440" t="s">
        <v>23972</v>
      </c>
    </row>
    <row r="23441" spans="1:1">
      <c r="A23441" t="s">
        <v>23973</v>
      </c>
    </row>
    <row r="23442" spans="1:1">
      <c r="A23442" t="s">
        <v>23974</v>
      </c>
    </row>
    <row r="23443" spans="1:1">
      <c r="A23443" t="s">
        <v>23975</v>
      </c>
    </row>
    <row r="23444" spans="1:1">
      <c r="A23444" t="s">
        <v>23976</v>
      </c>
    </row>
    <row r="23445" spans="1:1">
      <c r="A23445" t="s">
        <v>23977</v>
      </c>
    </row>
    <row r="23446" spans="1:1">
      <c r="A23446" t="s">
        <v>23978</v>
      </c>
    </row>
    <row r="23447" spans="1:1">
      <c r="A23447" t="s">
        <v>23979</v>
      </c>
    </row>
    <row r="23448" spans="1:1">
      <c r="A23448" t="s">
        <v>23980</v>
      </c>
    </row>
    <row r="23449" spans="1:1">
      <c r="A23449" t="s">
        <v>23981</v>
      </c>
    </row>
    <row r="23450" spans="1:1">
      <c r="A23450" t="s">
        <v>23982</v>
      </c>
    </row>
    <row r="23451" spans="1:1">
      <c r="A23451" t="s">
        <v>23983</v>
      </c>
    </row>
    <row r="23452" spans="1:1">
      <c r="A23452" t="s">
        <v>23984</v>
      </c>
    </row>
    <row r="23453" spans="1:1">
      <c r="A23453" t="s">
        <v>23985</v>
      </c>
    </row>
    <row r="23454" spans="1:1">
      <c r="A23454" t="s">
        <v>23986</v>
      </c>
    </row>
    <row r="23455" spans="1:1">
      <c r="A23455" t="s">
        <v>23987</v>
      </c>
    </row>
    <row r="23456" spans="1:1">
      <c r="A23456" t="s">
        <v>23988</v>
      </c>
    </row>
    <row r="23457" spans="1:1">
      <c r="A23457" t="s">
        <v>23989</v>
      </c>
    </row>
    <row r="23458" spans="1:1">
      <c r="A23458" t="s">
        <v>23990</v>
      </c>
    </row>
    <row r="23459" spans="1:1">
      <c r="A23459" t="s">
        <v>23991</v>
      </c>
    </row>
    <row r="23460" spans="1:1">
      <c r="A23460" t="s">
        <v>23992</v>
      </c>
    </row>
    <row r="23461" spans="1:1">
      <c r="A23461" t="s">
        <v>23993</v>
      </c>
    </row>
    <row r="23462" spans="1:1">
      <c r="A23462" t="s">
        <v>23994</v>
      </c>
    </row>
    <row r="23463" spans="1:1">
      <c r="A23463" t="s">
        <v>23995</v>
      </c>
    </row>
    <row r="23464" spans="1:1">
      <c r="A23464" t="s">
        <v>23996</v>
      </c>
    </row>
    <row r="23465" spans="1:1">
      <c r="A23465" t="s">
        <v>23997</v>
      </c>
    </row>
    <row r="23466" spans="1:1">
      <c r="A23466" t="s">
        <v>23998</v>
      </c>
    </row>
    <row r="23467" spans="1:1">
      <c r="A23467" t="s">
        <v>23999</v>
      </c>
    </row>
    <row r="23468" spans="1:1">
      <c r="A23468" t="s">
        <v>24000</v>
      </c>
    </row>
    <row r="23469" spans="1:1">
      <c r="A23469" t="s">
        <v>24001</v>
      </c>
    </row>
    <row r="23470" spans="1:1">
      <c r="A23470" t="s">
        <v>24002</v>
      </c>
    </row>
    <row r="23471" spans="1:1">
      <c r="A23471" t="s">
        <v>24003</v>
      </c>
    </row>
    <row r="23472" spans="1:1">
      <c r="A23472" t="s">
        <v>24004</v>
      </c>
    </row>
    <row r="23473" spans="1:1">
      <c r="A23473" t="s">
        <v>24005</v>
      </c>
    </row>
    <row r="23474" spans="1:1">
      <c r="A23474" t="s">
        <v>24006</v>
      </c>
    </row>
    <row r="23475" spans="1:1">
      <c r="A23475" t="s">
        <v>24007</v>
      </c>
    </row>
    <row r="23476" spans="1:1">
      <c r="A23476" t="s">
        <v>24008</v>
      </c>
    </row>
    <row r="23477" spans="1:1">
      <c r="A23477" t="s">
        <v>24009</v>
      </c>
    </row>
    <row r="23478" spans="1:1">
      <c r="A23478" t="s">
        <v>24010</v>
      </c>
    </row>
    <row r="23479" spans="1:1">
      <c r="A23479" t="s">
        <v>24011</v>
      </c>
    </row>
    <row r="23480" spans="1:1">
      <c r="A23480" t="s">
        <v>24012</v>
      </c>
    </row>
    <row r="23481" spans="1:1">
      <c r="A23481" t="s">
        <v>24013</v>
      </c>
    </row>
    <row r="23482" spans="1:1">
      <c r="A23482" t="s">
        <v>24014</v>
      </c>
    </row>
    <row r="23483" spans="1:1">
      <c r="A23483" t="s">
        <v>24015</v>
      </c>
    </row>
    <row r="23484" spans="1:1">
      <c r="A23484" t="s">
        <v>24016</v>
      </c>
    </row>
    <row r="23485" spans="1:1">
      <c r="A23485" t="s">
        <v>24017</v>
      </c>
    </row>
    <row r="23486" spans="1:1">
      <c r="A23486" t="s">
        <v>24018</v>
      </c>
    </row>
    <row r="23487" spans="1:1">
      <c r="A23487" t="s">
        <v>24019</v>
      </c>
    </row>
    <row r="23488" spans="1:1">
      <c r="A23488" t="s">
        <v>24020</v>
      </c>
    </row>
    <row r="23489" spans="1:1">
      <c r="A23489" t="s">
        <v>24021</v>
      </c>
    </row>
    <row r="23490" spans="1:1">
      <c r="A23490" t="s">
        <v>24022</v>
      </c>
    </row>
    <row r="23491" spans="1:1">
      <c r="A23491" t="s">
        <v>24023</v>
      </c>
    </row>
    <row r="23492" spans="1:1">
      <c r="A23492" t="s">
        <v>24024</v>
      </c>
    </row>
    <row r="23493" spans="1:1">
      <c r="A23493" t="s">
        <v>24025</v>
      </c>
    </row>
    <row r="23494" spans="1:1">
      <c r="A23494" t="s">
        <v>24026</v>
      </c>
    </row>
    <row r="23495" spans="1:1">
      <c r="A23495" t="s">
        <v>24027</v>
      </c>
    </row>
    <row r="23496" spans="1:1">
      <c r="A23496" t="s">
        <v>24028</v>
      </c>
    </row>
    <row r="23497" spans="1:1">
      <c r="A23497" t="s">
        <v>24029</v>
      </c>
    </row>
    <row r="23498" spans="1:1">
      <c r="A23498" t="s">
        <v>24030</v>
      </c>
    </row>
    <row r="23499" spans="1:1">
      <c r="A23499" t="s">
        <v>24031</v>
      </c>
    </row>
    <row r="23500" spans="1:1">
      <c r="A23500" t="s">
        <v>24032</v>
      </c>
    </row>
    <row r="23501" spans="1:1">
      <c r="A23501" t="s">
        <v>24033</v>
      </c>
    </row>
    <row r="23502" spans="1:1">
      <c r="A23502" t="s">
        <v>24034</v>
      </c>
    </row>
    <row r="23503" spans="1:1">
      <c r="A23503" t="s">
        <v>24035</v>
      </c>
    </row>
    <row r="23504" spans="1:1">
      <c r="A23504" t="s">
        <v>24036</v>
      </c>
    </row>
    <row r="23505" spans="1:1">
      <c r="A23505" t="s">
        <v>24037</v>
      </c>
    </row>
    <row r="23506" spans="1:1">
      <c r="A23506" t="s">
        <v>24038</v>
      </c>
    </row>
    <row r="23507" spans="1:1">
      <c r="A23507" t="s">
        <v>24039</v>
      </c>
    </row>
    <row r="23508" spans="1:1">
      <c r="A23508" t="s">
        <v>24040</v>
      </c>
    </row>
    <row r="23509" spans="1:1">
      <c r="A23509" t="s">
        <v>24041</v>
      </c>
    </row>
    <row r="23510" spans="1:1">
      <c r="A23510" t="s">
        <v>24042</v>
      </c>
    </row>
    <row r="23511" spans="1:1">
      <c r="A23511" t="s">
        <v>24043</v>
      </c>
    </row>
    <row r="23512" spans="1:1">
      <c r="A23512" t="s">
        <v>24044</v>
      </c>
    </row>
    <row r="23513" spans="1:1">
      <c r="A23513" t="s">
        <v>24045</v>
      </c>
    </row>
    <row r="23514" spans="1:1">
      <c r="A23514" t="s">
        <v>24046</v>
      </c>
    </row>
    <row r="23515" spans="1:1">
      <c r="A23515" t="s">
        <v>24047</v>
      </c>
    </row>
    <row r="23516" spans="1:1">
      <c r="A23516" t="s">
        <v>24048</v>
      </c>
    </row>
    <row r="23517" spans="1:1">
      <c r="A23517" t="s">
        <v>24049</v>
      </c>
    </row>
    <row r="23518" spans="1:1">
      <c r="A23518" t="s">
        <v>24050</v>
      </c>
    </row>
    <row r="23519" spans="1:1">
      <c r="A23519" t="s">
        <v>24051</v>
      </c>
    </row>
    <row r="23520" spans="1:1">
      <c r="A23520" t="s">
        <v>24052</v>
      </c>
    </row>
    <row r="23521" spans="1:1">
      <c r="A23521" t="s">
        <v>24053</v>
      </c>
    </row>
    <row r="23522" spans="1:1">
      <c r="A23522" t="s">
        <v>24054</v>
      </c>
    </row>
    <row r="23523" spans="1:1">
      <c r="A23523" t="s">
        <v>24055</v>
      </c>
    </row>
    <row r="23524" spans="1:1">
      <c r="A23524" t="s">
        <v>24056</v>
      </c>
    </row>
    <row r="23525" spans="1:1">
      <c r="A23525" t="s">
        <v>24057</v>
      </c>
    </row>
    <row r="23526" spans="1:1">
      <c r="A23526" t="s">
        <v>24058</v>
      </c>
    </row>
    <row r="23527" spans="1:1">
      <c r="A23527" t="s">
        <v>24059</v>
      </c>
    </row>
    <row r="23528" spans="1:1">
      <c r="A23528" t="s">
        <v>24060</v>
      </c>
    </row>
    <row r="23529" spans="1:1">
      <c r="A23529" t="s">
        <v>24061</v>
      </c>
    </row>
    <row r="23530" spans="1:1">
      <c r="A23530" t="s">
        <v>24062</v>
      </c>
    </row>
    <row r="23531" spans="1:1">
      <c r="A23531" t="s">
        <v>24063</v>
      </c>
    </row>
    <row r="23532" spans="1:1">
      <c r="A23532" t="s">
        <v>24064</v>
      </c>
    </row>
    <row r="23533" spans="1:1">
      <c r="A23533" t="s">
        <v>24065</v>
      </c>
    </row>
    <row r="23534" spans="1:1">
      <c r="A23534" t="s">
        <v>24066</v>
      </c>
    </row>
    <row r="23535" spans="1:1">
      <c r="A23535" t="s">
        <v>24067</v>
      </c>
    </row>
    <row r="23536" spans="1:1">
      <c r="A23536" t="s">
        <v>24068</v>
      </c>
    </row>
    <row r="23537" spans="1:1">
      <c r="A23537" t="s">
        <v>24069</v>
      </c>
    </row>
    <row r="23538" spans="1:1">
      <c r="A23538" t="s">
        <v>24070</v>
      </c>
    </row>
    <row r="23539" spans="1:1">
      <c r="A23539" t="s">
        <v>24071</v>
      </c>
    </row>
    <row r="23540" spans="1:1">
      <c r="A23540" t="s">
        <v>24072</v>
      </c>
    </row>
    <row r="23541" spans="1:1">
      <c r="A23541" t="s">
        <v>24073</v>
      </c>
    </row>
    <row r="23542" spans="1:1">
      <c r="A23542" t="s">
        <v>24074</v>
      </c>
    </row>
    <row r="23543" spans="1:1">
      <c r="A23543" t="s">
        <v>24075</v>
      </c>
    </row>
    <row r="23544" spans="1:1">
      <c r="A23544" t="s">
        <v>24076</v>
      </c>
    </row>
    <row r="23545" spans="1:1">
      <c r="A23545" t="s">
        <v>24077</v>
      </c>
    </row>
    <row r="23546" spans="1:1">
      <c r="A23546" t="s">
        <v>24078</v>
      </c>
    </row>
    <row r="23547" spans="1:1">
      <c r="A23547" t="s">
        <v>24079</v>
      </c>
    </row>
    <row r="23548" spans="1:1">
      <c r="A23548" t="s">
        <v>24080</v>
      </c>
    </row>
    <row r="23549" spans="1:1">
      <c r="A23549" t="s">
        <v>24081</v>
      </c>
    </row>
    <row r="23550" spans="1:1">
      <c r="A23550" t="s">
        <v>24082</v>
      </c>
    </row>
    <row r="23551" spans="1:1">
      <c r="A23551" t="s">
        <v>24083</v>
      </c>
    </row>
    <row r="23552" spans="1:1">
      <c r="A23552" t="s">
        <v>24084</v>
      </c>
    </row>
    <row r="23553" spans="1:1">
      <c r="A23553" t="s">
        <v>24085</v>
      </c>
    </row>
    <row r="23554" spans="1:1">
      <c r="A23554" t="s">
        <v>24086</v>
      </c>
    </row>
    <row r="23555" spans="1:1">
      <c r="A23555" t="s">
        <v>24087</v>
      </c>
    </row>
    <row r="23556" spans="1:1">
      <c r="A23556" t="s">
        <v>24088</v>
      </c>
    </row>
    <row r="23557" spans="1:1">
      <c r="A23557" t="s">
        <v>24089</v>
      </c>
    </row>
    <row r="23558" spans="1:1">
      <c r="A23558" t="s">
        <v>24090</v>
      </c>
    </row>
    <row r="23559" spans="1:1">
      <c r="A23559" t="s">
        <v>24091</v>
      </c>
    </row>
    <row r="23560" spans="1:1">
      <c r="A23560" t="s">
        <v>24092</v>
      </c>
    </row>
    <row r="23561" spans="1:1">
      <c r="A23561" t="s">
        <v>24093</v>
      </c>
    </row>
    <row r="23562" spans="1:1">
      <c r="A23562" t="s">
        <v>24094</v>
      </c>
    </row>
    <row r="23563" spans="1:1">
      <c r="A23563" t="s">
        <v>24095</v>
      </c>
    </row>
    <row r="23564" spans="1:1">
      <c r="A23564" t="s">
        <v>24096</v>
      </c>
    </row>
    <row r="23565" spans="1:1">
      <c r="A23565" t="s">
        <v>24097</v>
      </c>
    </row>
    <row r="23566" spans="1:1">
      <c r="A23566" t="s">
        <v>24098</v>
      </c>
    </row>
    <row r="23567" spans="1:1">
      <c r="A23567" t="s">
        <v>24099</v>
      </c>
    </row>
    <row r="23568" spans="1:1">
      <c r="A23568" t="s">
        <v>24100</v>
      </c>
    </row>
    <row r="23569" spans="1:1">
      <c r="A23569" t="s">
        <v>24101</v>
      </c>
    </row>
    <row r="23570" spans="1:1">
      <c r="A23570" t="s">
        <v>24102</v>
      </c>
    </row>
    <row r="23571" spans="1:1">
      <c r="A23571" t="s">
        <v>24103</v>
      </c>
    </row>
    <row r="23572" spans="1:1">
      <c r="A23572" t="s">
        <v>24104</v>
      </c>
    </row>
    <row r="23573" spans="1:1">
      <c r="A23573" t="s">
        <v>24105</v>
      </c>
    </row>
    <row r="23574" spans="1:1">
      <c r="A23574" t="s">
        <v>24106</v>
      </c>
    </row>
    <row r="23575" spans="1:1">
      <c r="A23575" t="s">
        <v>24107</v>
      </c>
    </row>
    <row r="23576" spans="1:1">
      <c r="A23576" t="s">
        <v>24108</v>
      </c>
    </row>
    <row r="23577" spans="1:1">
      <c r="A23577" t="s">
        <v>24109</v>
      </c>
    </row>
    <row r="23578" spans="1:1">
      <c r="A23578" t="s">
        <v>24110</v>
      </c>
    </row>
    <row r="23579" spans="1:1">
      <c r="A23579" t="s">
        <v>24111</v>
      </c>
    </row>
    <row r="23580" spans="1:1">
      <c r="A23580" t="s">
        <v>24112</v>
      </c>
    </row>
    <row r="23581" spans="1:1">
      <c r="A23581" t="s">
        <v>24113</v>
      </c>
    </row>
    <row r="23582" spans="1:1">
      <c r="A23582" t="s">
        <v>24114</v>
      </c>
    </row>
    <row r="23583" spans="1:1">
      <c r="A23583" t="s">
        <v>24115</v>
      </c>
    </row>
    <row r="23584" spans="1:1">
      <c r="A23584" t="s">
        <v>24116</v>
      </c>
    </row>
    <row r="23585" spans="1:1">
      <c r="A23585" t="s">
        <v>24117</v>
      </c>
    </row>
    <row r="23586" spans="1:1">
      <c r="A23586" t="s">
        <v>24118</v>
      </c>
    </row>
    <row r="23587" spans="1:1">
      <c r="A23587" t="s">
        <v>24119</v>
      </c>
    </row>
    <row r="23588" spans="1:1">
      <c r="A23588" t="s">
        <v>24120</v>
      </c>
    </row>
    <row r="23589" spans="1:1">
      <c r="A23589" t="s">
        <v>24121</v>
      </c>
    </row>
    <row r="23590" spans="1:1">
      <c r="A23590" t="s">
        <v>24122</v>
      </c>
    </row>
    <row r="23591" spans="1:1">
      <c r="A23591" t="s">
        <v>24123</v>
      </c>
    </row>
    <row r="23592" spans="1:1">
      <c r="A23592" t="s">
        <v>24124</v>
      </c>
    </row>
    <row r="23593" spans="1:1">
      <c r="A23593" t="s">
        <v>24125</v>
      </c>
    </row>
    <row r="23594" spans="1:1">
      <c r="A23594" t="s">
        <v>24126</v>
      </c>
    </row>
    <row r="23595" spans="1:1">
      <c r="A23595" t="s">
        <v>24127</v>
      </c>
    </row>
    <row r="23596" spans="1:1">
      <c r="A23596" t="s">
        <v>24128</v>
      </c>
    </row>
    <row r="23597" spans="1:1">
      <c r="A23597" t="s">
        <v>24129</v>
      </c>
    </row>
    <row r="23598" spans="1:1">
      <c r="A23598" t="s">
        <v>24130</v>
      </c>
    </row>
    <row r="23599" spans="1:1">
      <c r="A23599" t="s">
        <v>24131</v>
      </c>
    </row>
    <row r="23600" spans="1:1">
      <c r="A23600" t="s">
        <v>24132</v>
      </c>
    </row>
    <row r="23601" spans="1:1">
      <c r="A23601" t="s">
        <v>24133</v>
      </c>
    </row>
    <row r="23602" spans="1:1">
      <c r="A23602" t="s">
        <v>24134</v>
      </c>
    </row>
    <row r="23603" spans="1:1">
      <c r="A23603" t="s">
        <v>24135</v>
      </c>
    </row>
    <row r="23604" spans="1:1">
      <c r="A23604" t="s">
        <v>24136</v>
      </c>
    </row>
    <row r="23605" spans="1:1">
      <c r="A23605" t="s">
        <v>24137</v>
      </c>
    </row>
    <row r="23606" spans="1:1">
      <c r="A23606" t="s">
        <v>24138</v>
      </c>
    </row>
    <row r="23607" spans="1:1">
      <c r="A23607" t="s">
        <v>24139</v>
      </c>
    </row>
    <row r="23608" spans="1:1">
      <c r="A23608" t="s">
        <v>24140</v>
      </c>
    </row>
    <row r="23609" spans="1:1">
      <c r="A23609" t="s">
        <v>24141</v>
      </c>
    </row>
    <row r="23610" spans="1:1">
      <c r="A23610" t="s">
        <v>24142</v>
      </c>
    </row>
    <row r="23611" spans="1:1">
      <c r="A23611" t="s">
        <v>24143</v>
      </c>
    </row>
    <row r="23612" spans="1:1">
      <c r="A23612" t="s">
        <v>24144</v>
      </c>
    </row>
    <row r="23613" spans="1:1">
      <c r="A23613" t="s">
        <v>24145</v>
      </c>
    </row>
    <row r="23614" spans="1:1">
      <c r="A23614" t="s">
        <v>24146</v>
      </c>
    </row>
    <row r="23615" spans="1:1">
      <c r="A23615" t="s">
        <v>24147</v>
      </c>
    </row>
    <row r="23616" spans="1:1">
      <c r="A23616" t="s">
        <v>24148</v>
      </c>
    </row>
    <row r="23617" spans="1:1">
      <c r="A23617" t="s">
        <v>24149</v>
      </c>
    </row>
    <row r="23618" spans="1:1">
      <c r="A23618" t="s">
        <v>24150</v>
      </c>
    </row>
    <row r="23619" spans="1:1">
      <c r="A23619" t="s">
        <v>24151</v>
      </c>
    </row>
    <row r="23620" spans="1:1">
      <c r="A23620" t="s">
        <v>24152</v>
      </c>
    </row>
    <row r="23621" spans="1:1">
      <c r="A23621" t="s">
        <v>24153</v>
      </c>
    </row>
    <row r="23622" spans="1:1">
      <c r="A23622" t="s">
        <v>24154</v>
      </c>
    </row>
    <row r="23623" spans="1:1">
      <c r="A23623" t="s">
        <v>24155</v>
      </c>
    </row>
    <row r="23624" spans="1:1">
      <c r="A23624" t="s">
        <v>24156</v>
      </c>
    </row>
    <row r="23625" spans="1:1">
      <c r="A23625" t="s">
        <v>24157</v>
      </c>
    </row>
    <row r="23626" spans="1:1">
      <c r="A23626" t="s">
        <v>24158</v>
      </c>
    </row>
    <row r="23627" spans="1:1">
      <c r="A23627" t="s">
        <v>24159</v>
      </c>
    </row>
    <row r="23628" spans="1:1">
      <c r="A23628" t="s">
        <v>24160</v>
      </c>
    </row>
    <row r="23629" spans="1:1">
      <c r="A23629" t="s">
        <v>24161</v>
      </c>
    </row>
    <row r="23630" spans="1:1">
      <c r="A23630" t="s">
        <v>24162</v>
      </c>
    </row>
    <row r="23631" spans="1:1">
      <c r="A23631" t="s">
        <v>24163</v>
      </c>
    </row>
    <row r="23632" spans="1:1">
      <c r="A23632" t="s">
        <v>24164</v>
      </c>
    </row>
    <row r="23633" spans="1:1">
      <c r="A23633" t="s">
        <v>24165</v>
      </c>
    </row>
    <row r="23634" spans="1:1">
      <c r="A23634" t="s">
        <v>24166</v>
      </c>
    </row>
    <row r="23635" spans="1:1">
      <c r="A23635" t="s">
        <v>24167</v>
      </c>
    </row>
    <row r="23636" spans="1:1">
      <c r="A23636" t="s">
        <v>24168</v>
      </c>
    </row>
    <row r="23637" spans="1:1">
      <c r="A23637" t="s">
        <v>24169</v>
      </c>
    </row>
    <row r="23638" spans="1:1">
      <c r="A23638" t="s">
        <v>24170</v>
      </c>
    </row>
    <row r="23639" spans="1:1">
      <c r="A23639" t="s">
        <v>24171</v>
      </c>
    </row>
    <row r="23640" spans="1:1">
      <c r="A23640" t="s">
        <v>24172</v>
      </c>
    </row>
    <row r="23641" spans="1:1">
      <c r="A23641" t="s">
        <v>24173</v>
      </c>
    </row>
    <row r="23642" spans="1:1">
      <c r="A23642" t="s">
        <v>24174</v>
      </c>
    </row>
    <row r="23643" spans="1:1">
      <c r="A23643" t="s">
        <v>24175</v>
      </c>
    </row>
    <row r="23644" spans="1:1">
      <c r="A23644" t="s">
        <v>24176</v>
      </c>
    </row>
    <row r="23645" spans="1:1">
      <c r="A23645" t="s">
        <v>24177</v>
      </c>
    </row>
    <row r="23646" spans="1:1">
      <c r="A23646" t="s">
        <v>24178</v>
      </c>
    </row>
    <row r="23647" spans="1:1">
      <c r="A23647" t="s">
        <v>24179</v>
      </c>
    </row>
    <row r="23648" spans="1:1">
      <c r="A23648" t="s">
        <v>24180</v>
      </c>
    </row>
    <row r="23649" spans="1:1">
      <c r="A23649" t="s">
        <v>24181</v>
      </c>
    </row>
    <row r="23650" spans="1:1">
      <c r="A23650" t="s">
        <v>24182</v>
      </c>
    </row>
    <row r="23651" spans="1:1">
      <c r="A23651" t="s">
        <v>24183</v>
      </c>
    </row>
    <row r="23652" spans="1:1">
      <c r="A23652" t="s">
        <v>24184</v>
      </c>
    </row>
    <row r="23653" spans="1:1">
      <c r="A23653" t="s">
        <v>24185</v>
      </c>
    </row>
    <row r="23654" spans="1:1">
      <c r="A23654" t="s">
        <v>24186</v>
      </c>
    </row>
    <row r="23655" spans="1:1">
      <c r="A23655" t="s">
        <v>24187</v>
      </c>
    </row>
    <row r="23656" spans="1:1">
      <c r="A23656" t="s">
        <v>24188</v>
      </c>
    </row>
    <row r="23657" spans="1:1">
      <c r="A23657" t="s">
        <v>24189</v>
      </c>
    </row>
    <row r="23658" spans="1:1">
      <c r="A23658" t="s">
        <v>24190</v>
      </c>
    </row>
    <row r="23659" spans="1:1">
      <c r="A23659" t="s">
        <v>24191</v>
      </c>
    </row>
    <row r="23660" spans="1:1">
      <c r="A23660" t="s">
        <v>24192</v>
      </c>
    </row>
    <row r="23661" spans="1:1">
      <c r="A23661" t="s">
        <v>24193</v>
      </c>
    </row>
    <row r="23662" spans="1:1">
      <c r="A23662" t="s">
        <v>24194</v>
      </c>
    </row>
    <row r="23663" spans="1:1">
      <c r="A23663" t="s">
        <v>24195</v>
      </c>
    </row>
    <row r="23664" spans="1:1">
      <c r="A23664" t="s">
        <v>24196</v>
      </c>
    </row>
    <row r="23665" spans="1:1">
      <c r="A23665" t="s">
        <v>24197</v>
      </c>
    </row>
    <row r="23666" spans="1:1">
      <c r="A23666" t="s">
        <v>24198</v>
      </c>
    </row>
    <row r="23667" spans="1:1">
      <c r="A23667" t="s">
        <v>24199</v>
      </c>
    </row>
    <row r="23668" spans="1:1">
      <c r="A23668" t="s">
        <v>24200</v>
      </c>
    </row>
    <row r="23669" spans="1:1">
      <c r="A23669" t="s">
        <v>24201</v>
      </c>
    </row>
    <row r="23670" spans="1:1">
      <c r="A23670" t="s">
        <v>24202</v>
      </c>
    </row>
    <row r="23671" spans="1:1">
      <c r="A23671" t="s">
        <v>24203</v>
      </c>
    </row>
    <row r="23672" spans="1:1">
      <c r="A23672" t="s">
        <v>24204</v>
      </c>
    </row>
    <row r="23673" spans="1:1">
      <c r="A23673" t="s">
        <v>24205</v>
      </c>
    </row>
    <row r="23674" spans="1:1">
      <c r="A23674" t="s">
        <v>24206</v>
      </c>
    </row>
    <row r="23675" spans="1:1">
      <c r="A23675" t="s">
        <v>24207</v>
      </c>
    </row>
    <row r="23676" spans="1:1">
      <c r="A23676" t="s">
        <v>24208</v>
      </c>
    </row>
    <row r="23677" spans="1:1">
      <c r="A23677" t="s">
        <v>24209</v>
      </c>
    </row>
    <row r="23678" spans="1:1">
      <c r="A23678" t="s">
        <v>24210</v>
      </c>
    </row>
    <row r="23679" spans="1:1">
      <c r="A23679" t="s">
        <v>24211</v>
      </c>
    </row>
    <row r="23680" spans="1:1">
      <c r="A23680" t="s">
        <v>24212</v>
      </c>
    </row>
    <row r="23681" spans="1:1">
      <c r="A23681" t="s">
        <v>24213</v>
      </c>
    </row>
    <row r="23682" spans="1:1">
      <c r="A23682" t="s">
        <v>24214</v>
      </c>
    </row>
    <row r="23683" spans="1:1">
      <c r="A23683" t="s">
        <v>24215</v>
      </c>
    </row>
    <row r="23684" spans="1:1">
      <c r="A23684" t="s">
        <v>24216</v>
      </c>
    </row>
    <row r="23685" spans="1:1">
      <c r="A23685" t="s">
        <v>24217</v>
      </c>
    </row>
    <row r="23686" spans="1:1">
      <c r="A23686" t="s">
        <v>24218</v>
      </c>
    </row>
    <row r="23687" spans="1:1">
      <c r="A23687" t="s">
        <v>24219</v>
      </c>
    </row>
    <row r="23688" spans="1:1">
      <c r="A23688" t="s">
        <v>24220</v>
      </c>
    </row>
    <row r="23689" spans="1:1">
      <c r="A23689" t="s">
        <v>24221</v>
      </c>
    </row>
    <row r="23690" spans="1:1">
      <c r="A23690" t="s">
        <v>24222</v>
      </c>
    </row>
    <row r="23691" spans="1:1">
      <c r="A23691" t="s">
        <v>24223</v>
      </c>
    </row>
    <row r="23692" spans="1:1">
      <c r="A23692" t="s">
        <v>24224</v>
      </c>
    </row>
    <row r="23693" spans="1:1">
      <c r="A23693" t="s">
        <v>24225</v>
      </c>
    </row>
    <row r="23694" spans="1:1">
      <c r="A23694" t="s">
        <v>24226</v>
      </c>
    </row>
    <row r="23695" spans="1:1">
      <c r="A23695" t="s">
        <v>24227</v>
      </c>
    </row>
    <row r="23696" spans="1:1">
      <c r="A23696" t="s">
        <v>24228</v>
      </c>
    </row>
    <row r="23697" spans="1:1">
      <c r="A23697" t="s">
        <v>24229</v>
      </c>
    </row>
    <row r="23698" spans="1:1">
      <c r="A23698" t="s">
        <v>24230</v>
      </c>
    </row>
    <row r="23699" spans="1:1">
      <c r="A23699" t="s">
        <v>24231</v>
      </c>
    </row>
    <row r="23700" spans="1:1">
      <c r="A23700" t="s">
        <v>24232</v>
      </c>
    </row>
    <row r="23701" spans="1:1">
      <c r="A23701" t="s">
        <v>24233</v>
      </c>
    </row>
    <row r="23702" spans="1:1">
      <c r="A23702" t="s">
        <v>24234</v>
      </c>
    </row>
    <row r="23703" spans="1:1">
      <c r="A23703" t="s">
        <v>24235</v>
      </c>
    </row>
    <row r="23704" spans="1:1">
      <c r="A23704" t="s">
        <v>24236</v>
      </c>
    </row>
    <row r="23705" spans="1:1">
      <c r="A23705" t="s">
        <v>24237</v>
      </c>
    </row>
    <row r="23706" spans="1:1">
      <c r="A23706" t="s">
        <v>24238</v>
      </c>
    </row>
    <row r="23707" spans="1:1">
      <c r="A23707" t="s">
        <v>24239</v>
      </c>
    </row>
    <row r="23708" spans="1:1">
      <c r="A23708" t="s">
        <v>24240</v>
      </c>
    </row>
    <row r="23709" spans="1:1">
      <c r="A23709" t="s">
        <v>24241</v>
      </c>
    </row>
    <row r="23710" spans="1:1">
      <c r="A23710" t="s">
        <v>24242</v>
      </c>
    </row>
    <row r="23711" spans="1:1">
      <c r="A23711" t="s">
        <v>24243</v>
      </c>
    </row>
    <row r="23712" spans="1:1">
      <c r="A23712" t="s">
        <v>24244</v>
      </c>
    </row>
    <row r="23713" spans="1:1">
      <c r="A23713" t="s">
        <v>24245</v>
      </c>
    </row>
    <row r="23714" spans="1:1">
      <c r="A23714" t="s">
        <v>24246</v>
      </c>
    </row>
    <row r="23715" spans="1:1">
      <c r="A23715" t="s">
        <v>24247</v>
      </c>
    </row>
    <row r="23716" spans="1:1">
      <c r="A23716" t="s">
        <v>24248</v>
      </c>
    </row>
    <row r="23717" spans="1:1">
      <c r="A23717" t="s">
        <v>24249</v>
      </c>
    </row>
    <row r="23718" spans="1:1">
      <c r="A23718" t="s">
        <v>24250</v>
      </c>
    </row>
    <row r="23719" spans="1:1">
      <c r="A23719" t="s">
        <v>24251</v>
      </c>
    </row>
    <row r="23720" spans="1:1">
      <c r="A23720" t="s">
        <v>24252</v>
      </c>
    </row>
    <row r="23721" spans="1:1">
      <c r="A23721" t="s">
        <v>24253</v>
      </c>
    </row>
    <row r="23722" spans="1:1">
      <c r="A23722" t="s">
        <v>24254</v>
      </c>
    </row>
    <row r="23723" spans="1:1">
      <c r="A23723" t="s">
        <v>24255</v>
      </c>
    </row>
    <row r="23724" spans="1:1">
      <c r="A23724" t="s">
        <v>24256</v>
      </c>
    </row>
    <row r="23725" spans="1:1">
      <c r="A23725" t="s">
        <v>24257</v>
      </c>
    </row>
    <row r="23726" spans="1:1">
      <c r="A23726" t="s">
        <v>24258</v>
      </c>
    </row>
    <row r="23727" spans="1:1">
      <c r="A23727" t="s">
        <v>24259</v>
      </c>
    </row>
    <row r="23728" spans="1:1">
      <c r="A23728" t="s">
        <v>24260</v>
      </c>
    </row>
    <row r="23729" spans="1:1">
      <c r="A23729" t="s">
        <v>24261</v>
      </c>
    </row>
    <row r="23730" spans="1:1">
      <c r="A23730" t="s">
        <v>24262</v>
      </c>
    </row>
    <row r="23731" spans="1:1">
      <c r="A23731" t="s">
        <v>24263</v>
      </c>
    </row>
    <row r="23732" spans="1:1">
      <c r="A23732" t="s">
        <v>24264</v>
      </c>
    </row>
    <row r="23733" spans="1:1">
      <c r="A23733" t="s">
        <v>24265</v>
      </c>
    </row>
    <row r="23734" spans="1:1">
      <c r="A23734" t="s">
        <v>24266</v>
      </c>
    </row>
    <row r="23735" spans="1:1">
      <c r="A23735" t="s">
        <v>24267</v>
      </c>
    </row>
    <row r="23736" spans="1:1">
      <c r="A23736" t="s">
        <v>24268</v>
      </c>
    </row>
    <row r="23737" spans="1:1">
      <c r="A23737" t="s">
        <v>24269</v>
      </c>
    </row>
    <row r="23738" spans="1:1">
      <c r="A23738" t="s">
        <v>24270</v>
      </c>
    </row>
    <row r="23739" spans="1:1">
      <c r="A23739" t="s">
        <v>24271</v>
      </c>
    </row>
    <row r="23740" spans="1:1">
      <c r="A23740" t="s">
        <v>24272</v>
      </c>
    </row>
    <row r="23741" spans="1:1">
      <c r="A23741" t="s">
        <v>24273</v>
      </c>
    </row>
    <row r="23742" spans="1:1">
      <c r="A23742" t="s">
        <v>24274</v>
      </c>
    </row>
    <row r="23743" spans="1:1">
      <c r="A23743" t="s">
        <v>24275</v>
      </c>
    </row>
    <row r="23744" spans="1:1">
      <c r="A23744" t="s">
        <v>24276</v>
      </c>
    </row>
    <row r="23745" spans="1:1">
      <c r="A23745" t="s">
        <v>24277</v>
      </c>
    </row>
    <row r="23746" spans="1:1">
      <c r="A23746" t="s">
        <v>24278</v>
      </c>
    </row>
    <row r="23747" spans="1:1">
      <c r="A23747" t="s">
        <v>24279</v>
      </c>
    </row>
    <row r="23748" spans="1:1">
      <c r="A23748" t="s">
        <v>24280</v>
      </c>
    </row>
    <row r="23749" spans="1:1">
      <c r="A23749" t="s">
        <v>24281</v>
      </c>
    </row>
    <row r="23750" spans="1:1">
      <c r="A23750" t="s">
        <v>24282</v>
      </c>
    </row>
    <row r="23751" spans="1:1">
      <c r="A23751" t="s">
        <v>24283</v>
      </c>
    </row>
    <row r="23752" spans="1:1">
      <c r="A23752" t="s">
        <v>24284</v>
      </c>
    </row>
    <row r="23753" spans="1:1">
      <c r="A23753" t="s">
        <v>24285</v>
      </c>
    </row>
    <row r="23754" spans="1:1">
      <c r="A23754" t="s">
        <v>24286</v>
      </c>
    </row>
    <row r="23755" spans="1:1">
      <c r="A23755" t="s">
        <v>24287</v>
      </c>
    </row>
    <row r="23756" spans="1:1">
      <c r="A23756" t="s">
        <v>24288</v>
      </c>
    </row>
    <row r="23757" spans="1:1">
      <c r="A23757" t="s">
        <v>24289</v>
      </c>
    </row>
    <row r="23758" spans="1:1">
      <c r="A23758" t="s">
        <v>24290</v>
      </c>
    </row>
    <row r="23759" spans="1:1">
      <c r="A23759" t="s">
        <v>24291</v>
      </c>
    </row>
    <row r="23760" spans="1:1">
      <c r="A23760" t="s">
        <v>24292</v>
      </c>
    </row>
    <row r="23761" spans="1:1">
      <c r="A23761" t="s">
        <v>24293</v>
      </c>
    </row>
    <row r="23762" spans="1:1">
      <c r="A23762" t="s">
        <v>24294</v>
      </c>
    </row>
    <row r="23763" spans="1:1">
      <c r="A23763" t="s">
        <v>24295</v>
      </c>
    </row>
    <row r="23764" spans="1:1">
      <c r="A23764" t="s">
        <v>24296</v>
      </c>
    </row>
    <row r="23765" spans="1:1">
      <c r="A23765" t="s">
        <v>24297</v>
      </c>
    </row>
    <row r="23766" spans="1:1">
      <c r="A23766" t="s">
        <v>24298</v>
      </c>
    </row>
    <row r="23767" spans="1:1">
      <c r="A23767" t="s">
        <v>24299</v>
      </c>
    </row>
    <row r="23768" spans="1:1">
      <c r="A23768" t="s">
        <v>24300</v>
      </c>
    </row>
    <row r="23769" spans="1:1">
      <c r="A23769" t="s">
        <v>24301</v>
      </c>
    </row>
    <row r="23770" spans="1:1">
      <c r="A23770" t="s">
        <v>24302</v>
      </c>
    </row>
    <row r="23771" spans="1:1">
      <c r="A23771" t="s">
        <v>24303</v>
      </c>
    </row>
    <row r="23772" spans="1:1">
      <c r="A23772" t="s">
        <v>24304</v>
      </c>
    </row>
    <row r="23773" spans="1:1">
      <c r="A23773" t="s">
        <v>24305</v>
      </c>
    </row>
    <row r="23774" spans="1:1">
      <c r="A23774" t="s">
        <v>24306</v>
      </c>
    </row>
    <row r="23775" spans="1:1">
      <c r="A23775" t="s">
        <v>24307</v>
      </c>
    </row>
    <row r="23776" spans="1:1">
      <c r="A23776" t="s">
        <v>24308</v>
      </c>
    </row>
    <row r="23777" spans="1:1">
      <c r="A23777" t="s">
        <v>24309</v>
      </c>
    </row>
    <row r="23778" spans="1:1">
      <c r="A23778" t="s">
        <v>24310</v>
      </c>
    </row>
    <row r="23779" spans="1:1">
      <c r="A23779" t="s">
        <v>24311</v>
      </c>
    </row>
    <row r="23780" spans="1:1">
      <c r="A23780" t="s">
        <v>24312</v>
      </c>
    </row>
    <row r="23781" spans="1:1">
      <c r="A23781" t="s">
        <v>24313</v>
      </c>
    </row>
    <row r="23782" spans="1:1">
      <c r="A23782" t="s">
        <v>24314</v>
      </c>
    </row>
    <row r="23783" spans="1:1">
      <c r="A23783" t="s">
        <v>24315</v>
      </c>
    </row>
    <row r="23784" spans="1:1">
      <c r="A23784" t="s">
        <v>24316</v>
      </c>
    </row>
    <row r="23785" spans="1:1">
      <c r="A23785" t="s">
        <v>24317</v>
      </c>
    </row>
    <row r="23786" spans="1:1">
      <c r="A23786" t="s">
        <v>24318</v>
      </c>
    </row>
    <row r="23787" spans="1:1">
      <c r="A23787" t="s">
        <v>24319</v>
      </c>
    </row>
    <row r="23788" spans="1:1">
      <c r="A23788" t="s">
        <v>24320</v>
      </c>
    </row>
    <row r="23789" spans="1:1">
      <c r="A23789" t="s">
        <v>24321</v>
      </c>
    </row>
    <row r="23790" spans="1:1">
      <c r="A23790" t="s">
        <v>24322</v>
      </c>
    </row>
    <row r="23791" spans="1:1">
      <c r="A23791" t="s">
        <v>24323</v>
      </c>
    </row>
    <row r="23792" spans="1:1">
      <c r="A23792" t="s">
        <v>24324</v>
      </c>
    </row>
    <row r="23793" spans="1:1">
      <c r="A23793" t="s">
        <v>24325</v>
      </c>
    </row>
    <row r="23794" spans="1:1">
      <c r="A23794" t="s">
        <v>24326</v>
      </c>
    </row>
    <row r="23795" spans="1:1">
      <c r="A23795" t="s">
        <v>24327</v>
      </c>
    </row>
    <row r="23796" spans="1:1">
      <c r="A23796" t="s">
        <v>24328</v>
      </c>
    </row>
    <row r="23797" spans="1:1">
      <c r="A23797" t="s">
        <v>24329</v>
      </c>
    </row>
    <row r="23798" spans="1:1">
      <c r="A23798" t="s">
        <v>24330</v>
      </c>
    </row>
    <row r="23799" spans="1:1">
      <c r="A23799" t="s">
        <v>24331</v>
      </c>
    </row>
    <row r="23800" spans="1:1">
      <c r="A23800" t="s">
        <v>24332</v>
      </c>
    </row>
    <row r="23801" spans="1:1">
      <c r="A23801" t="s">
        <v>24333</v>
      </c>
    </row>
    <row r="23802" spans="1:1">
      <c r="A23802" t="s">
        <v>24334</v>
      </c>
    </row>
    <row r="23803" spans="1:1">
      <c r="A23803" t="s">
        <v>24335</v>
      </c>
    </row>
    <row r="23804" spans="1:1">
      <c r="A23804" t="s">
        <v>24336</v>
      </c>
    </row>
    <row r="23805" spans="1:1">
      <c r="A23805" t="s">
        <v>24337</v>
      </c>
    </row>
    <row r="23806" spans="1:1">
      <c r="A23806" t="s">
        <v>24338</v>
      </c>
    </row>
    <row r="23807" spans="1:1">
      <c r="A23807" t="s">
        <v>24339</v>
      </c>
    </row>
    <row r="23808" spans="1:1">
      <c r="A23808" t="s">
        <v>24340</v>
      </c>
    </row>
    <row r="23809" spans="1:1">
      <c r="A23809" t="s">
        <v>24341</v>
      </c>
    </row>
    <row r="23810" spans="1:1">
      <c r="A23810" t="s">
        <v>24342</v>
      </c>
    </row>
    <row r="23811" spans="1:1">
      <c r="A23811" t="s">
        <v>24343</v>
      </c>
    </row>
    <row r="23812" spans="1:1">
      <c r="A23812" t="s">
        <v>24344</v>
      </c>
    </row>
    <row r="23813" spans="1:1">
      <c r="A23813" t="s">
        <v>24345</v>
      </c>
    </row>
    <row r="23814" spans="1:1">
      <c r="A23814" t="s">
        <v>24346</v>
      </c>
    </row>
    <row r="23815" spans="1:1">
      <c r="A23815" t="s">
        <v>24347</v>
      </c>
    </row>
    <row r="23816" spans="1:1">
      <c r="A23816" t="s">
        <v>24348</v>
      </c>
    </row>
    <row r="23817" spans="1:1">
      <c r="A23817" t="s">
        <v>24349</v>
      </c>
    </row>
    <row r="23818" spans="1:1">
      <c r="A23818" t="s">
        <v>24350</v>
      </c>
    </row>
    <row r="23819" spans="1:1">
      <c r="A23819" t="s">
        <v>24351</v>
      </c>
    </row>
    <row r="23820" spans="1:1">
      <c r="A23820" t="s">
        <v>24352</v>
      </c>
    </row>
    <row r="23821" spans="1:1">
      <c r="A23821" t="s">
        <v>24353</v>
      </c>
    </row>
    <row r="23822" spans="1:1">
      <c r="A23822" t="s">
        <v>24354</v>
      </c>
    </row>
    <row r="23823" spans="1:1">
      <c r="A23823" t="s">
        <v>24355</v>
      </c>
    </row>
    <row r="23824" spans="1:1">
      <c r="A23824" t="s">
        <v>24356</v>
      </c>
    </row>
    <row r="23825" spans="1:1">
      <c r="A23825" t="s">
        <v>24357</v>
      </c>
    </row>
    <row r="23826" spans="1:1">
      <c r="A23826" t="s">
        <v>24358</v>
      </c>
    </row>
    <row r="23827" spans="1:1">
      <c r="A23827" t="s">
        <v>24359</v>
      </c>
    </row>
    <row r="23828" spans="1:1">
      <c r="A23828" t="s">
        <v>24360</v>
      </c>
    </row>
    <row r="23829" spans="1:1">
      <c r="A23829" t="s">
        <v>24361</v>
      </c>
    </row>
    <row r="23830" spans="1:1">
      <c r="A23830" t="s">
        <v>24362</v>
      </c>
    </row>
    <row r="23831" spans="1:1">
      <c r="A23831" t="s">
        <v>24363</v>
      </c>
    </row>
    <row r="23832" spans="1:1">
      <c r="A23832" t="s">
        <v>24364</v>
      </c>
    </row>
    <row r="23833" spans="1:1">
      <c r="A23833" t="s">
        <v>24365</v>
      </c>
    </row>
    <row r="23834" spans="1:1">
      <c r="A23834" t="s">
        <v>24366</v>
      </c>
    </row>
    <row r="23835" spans="1:1">
      <c r="A23835" t="s">
        <v>24367</v>
      </c>
    </row>
    <row r="23836" spans="1:1">
      <c r="A23836" t="s">
        <v>24368</v>
      </c>
    </row>
    <row r="23837" spans="1:1">
      <c r="A23837" t="s">
        <v>24369</v>
      </c>
    </row>
    <row r="23838" spans="1:1">
      <c r="A23838" t="s">
        <v>24370</v>
      </c>
    </row>
    <row r="23839" spans="1:1">
      <c r="A23839" t="s">
        <v>24371</v>
      </c>
    </row>
    <row r="23840" spans="1:1">
      <c r="A23840" t="s">
        <v>24372</v>
      </c>
    </row>
    <row r="23841" spans="1:1">
      <c r="A23841" t="s">
        <v>24373</v>
      </c>
    </row>
    <row r="23842" spans="1:1">
      <c r="A23842" t="s">
        <v>24374</v>
      </c>
    </row>
    <row r="23843" spans="1:1">
      <c r="A23843" t="s">
        <v>24375</v>
      </c>
    </row>
    <row r="23844" spans="1:1">
      <c r="A23844" t="s">
        <v>24376</v>
      </c>
    </row>
    <row r="23845" spans="1:1">
      <c r="A23845" t="s">
        <v>24377</v>
      </c>
    </row>
    <row r="23846" spans="1:1">
      <c r="A23846" t="s">
        <v>24378</v>
      </c>
    </row>
    <row r="23847" spans="1:1">
      <c r="A23847" t="s">
        <v>24379</v>
      </c>
    </row>
    <row r="23848" spans="1:1">
      <c r="A23848" t="s">
        <v>24380</v>
      </c>
    </row>
    <row r="23849" spans="1:1">
      <c r="A23849" t="s">
        <v>24381</v>
      </c>
    </row>
    <row r="23850" spans="1:1">
      <c r="A23850" t="s">
        <v>24382</v>
      </c>
    </row>
    <row r="23851" spans="1:1">
      <c r="A23851" t="s">
        <v>24383</v>
      </c>
    </row>
    <row r="23852" spans="1:1">
      <c r="A23852" t="s">
        <v>24384</v>
      </c>
    </row>
    <row r="23853" spans="1:1">
      <c r="A23853" t="s">
        <v>24385</v>
      </c>
    </row>
    <row r="23854" spans="1:1">
      <c r="A23854" t="s">
        <v>24386</v>
      </c>
    </row>
    <row r="23855" spans="1:1">
      <c r="A23855" t="s">
        <v>24387</v>
      </c>
    </row>
    <row r="23856" spans="1:1">
      <c r="A23856" t="s">
        <v>24388</v>
      </c>
    </row>
    <row r="23857" spans="1:1">
      <c r="A23857" t="s">
        <v>24389</v>
      </c>
    </row>
    <row r="23858" spans="1:1">
      <c r="A23858" t="s">
        <v>24390</v>
      </c>
    </row>
    <row r="23859" spans="1:1">
      <c r="A23859" t="s">
        <v>24391</v>
      </c>
    </row>
    <row r="23860" spans="1:1">
      <c r="A23860" t="s">
        <v>24392</v>
      </c>
    </row>
    <row r="23861" spans="1:1">
      <c r="A23861" t="s">
        <v>24393</v>
      </c>
    </row>
    <row r="23862" spans="1:1">
      <c r="A23862" t="s">
        <v>24394</v>
      </c>
    </row>
    <row r="23863" spans="1:1">
      <c r="A23863" t="s">
        <v>24395</v>
      </c>
    </row>
    <row r="23864" spans="1:1">
      <c r="A23864" t="s">
        <v>24396</v>
      </c>
    </row>
    <row r="23865" spans="1:1">
      <c r="A23865" t="s">
        <v>24397</v>
      </c>
    </row>
    <row r="23866" spans="1:1">
      <c r="A23866" t="s">
        <v>24398</v>
      </c>
    </row>
    <row r="23867" spans="1:1">
      <c r="A23867" t="s">
        <v>24399</v>
      </c>
    </row>
    <row r="23868" spans="1:1">
      <c r="A23868" t="s">
        <v>24400</v>
      </c>
    </row>
    <row r="23869" spans="1:1">
      <c r="A23869" t="s">
        <v>24401</v>
      </c>
    </row>
    <row r="23870" spans="1:1">
      <c r="A23870" t="s">
        <v>24402</v>
      </c>
    </row>
    <row r="23871" spans="1:1">
      <c r="A23871" t="s">
        <v>24403</v>
      </c>
    </row>
    <row r="23872" spans="1:1">
      <c r="A23872" t="s">
        <v>24404</v>
      </c>
    </row>
    <row r="23873" spans="1:1">
      <c r="A23873" t="s">
        <v>24405</v>
      </c>
    </row>
    <row r="23874" spans="1:1">
      <c r="A23874" t="s">
        <v>24406</v>
      </c>
    </row>
    <row r="23875" spans="1:1">
      <c r="A23875" t="s">
        <v>24407</v>
      </c>
    </row>
    <row r="23876" spans="1:1">
      <c r="A23876" t="s">
        <v>24408</v>
      </c>
    </row>
    <row r="23877" spans="1:1">
      <c r="A23877" t="s">
        <v>24409</v>
      </c>
    </row>
    <row r="23878" spans="1:1">
      <c r="A23878" t="s">
        <v>24410</v>
      </c>
    </row>
    <row r="23879" spans="1:1">
      <c r="A23879" t="s">
        <v>24411</v>
      </c>
    </row>
    <row r="23880" spans="1:1">
      <c r="A23880" t="s">
        <v>24412</v>
      </c>
    </row>
    <row r="23881" spans="1:1">
      <c r="A23881" t="s">
        <v>24413</v>
      </c>
    </row>
    <row r="23882" spans="1:1">
      <c r="A23882" t="s">
        <v>24414</v>
      </c>
    </row>
    <row r="23883" spans="1:1">
      <c r="A23883" t="s">
        <v>24415</v>
      </c>
    </row>
    <row r="23884" spans="1:1">
      <c r="A23884" t="s">
        <v>24416</v>
      </c>
    </row>
    <row r="23885" spans="1:1">
      <c r="A23885" t="s">
        <v>24417</v>
      </c>
    </row>
    <row r="23886" spans="1:1">
      <c r="A23886" t="s">
        <v>24418</v>
      </c>
    </row>
    <row r="23887" spans="1:1">
      <c r="A23887" t="s">
        <v>24419</v>
      </c>
    </row>
    <row r="23888" spans="1:1">
      <c r="A23888" t="s">
        <v>24420</v>
      </c>
    </row>
    <row r="23889" spans="1:1">
      <c r="A23889" t="s">
        <v>24421</v>
      </c>
    </row>
    <row r="23890" spans="1:1">
      <c r="A23890" t="s">
        <v>24422</v>
      </c>
    </row>
    <row r="23891" spans="1:1">
      <c r="A23891" t="s">
        <v>24423</v>
      </c>
    </row>
    <row r="23892" spans="1:1">
      <c r="A23892" t="s">
        <v>24424</v>
      </c>
    </row>
    <row r="23893" spans="1:1">
      <c r="A23893" t="s">
        <v>24425</v>
      </c>
    </row>
    <row r="23894" spans="1:1">
      <c r="A23894" t="s">
        <v>24426</v>
      </c>
    </row>
    <row r="23895" spans="1:1">
      <c r="A23895" t="s">
        <v>24427</v>
      </c>
    </row>
    <row r="23896" spans="1:1">
      <c r="A23896" t="s">
        <v>24428</v>
      </c>
    </row>
    <row r="23897" spans="1:1">
      <c r="A23897" t="s">
        <v>24429</v>
      </c>
    </row>
    <row r="23898" spans="1:1">
      <c r="A23898" t="s">
        <v>24430</v>
      </c>
    </row>
    <row r="23899" spans="1:1">
      <c r="A23899" t="s">
        <v>24431</v>
      </c>
    </row>
    <row r="23900" spans="1:1">
      <c r="A23900" t="s">
        <v>24432</v>
      </c>
    </row>
    <row r="23901" spans="1:1">
      <c r="A23901" t="s">
        <v>24433</v>
      </c>
    </row>
    <row r="23902" spans="1:1">
      <c r="A23902" t="s">
        <v>24434</v>
      </c>
    </row>
    <row r="23903" spans="1:1">
      <c r="A23903" t="s">
        <v>24435</v>
      </c>
    </row>
    <row r="23904" spans="1:1">
      <c r="A23904" t="s">
        <v>24436</v>
      </c>
    </row>
    <row r="23905" spans="1:1">
      <c r="A23905" t="s">
        <v>24437</v>
      </c>
    </row>
    <row r="23906" spans="1:1">
      <c r="A23906" t="s">
        <v>24438</v>
      </c>
    </row>
    <row r="23907" spans="1:1">
      <c r="A23907" t="s">
        <v>24439</v>
      </c>
    </row>
    <row r="23908" spans="1:1">
      <c r="A23908" t="s">
        <v>24440</v>
      </c>
    </row>
    <row r="23909" spans="1:1">
      <c r="A23909" t="s">
        <v>24441</v>
      </c>
    </row>
    <row r="23910" spans="1:1">
      <c r="A23910" t="s">
        <v>24442</v>
      </c>
    </row>
    <row r="23911" spans="1:1">
      <c r="A23911" t="s">
        <v>24443</v>
      </c>
    </row>
    <row r="23912" spans="1:1">
      <c r="A23912" t="s">
        <v>24444</v>
      </c>
    </row>
    <row r="23913" spans="1:1">
      <c r="A23913" t="s">
        <v>24445</v>
      </c>
    </row>
    <row r="23914" spans="1:1">
      <c r="A23914" t="s">
        <v>24446</v>
      </c>
    </row>
    <row r="23915" spans="1:1">
      <c r="A23915" t="s">
        <v>24447</v>
      </c>
    </row>
    <row r="23916" spans="1:1">
      <c r="A23916" t="s">
        <v>24448</v>
      </c>
    </row>
    <row r="23917" spans="1:1">
      <c r="A23917" t="s">
        <v>24449</v>
      </c>
    </row>
    <row r="23918" spans="1:1">
      <c r="A23918" t="s">
        <v>24450</v>
      </c>
    </row>
    <row r="23919" spans="1:1">
      <c r="A23919" t="s">
        <v>24451</v>
      </c>
    </row>
    <row r="23920" spans="1:1">
      <c r="A23920" t="s">
        <v>24452</v>
      </c>
    </row>
    <row r="23921" spans="1:1">
      <c r="A23921" t="s">
        <v>24453</v>
      </c>
    </row>
    <row r="23922" spans="1:1">
      <c r="A23922" t="s">
        <v>24454</v>
      </c>
    </row>
    <row r="23923" spans="1:1">
      <c r="A23923" t="s">
        <v>24455</v>
      </c>
    </row>
    <row r="23924" spans="1:1">
      <c r="A23924" t="s">
        <v>24456</v>
      </c>
    </row>
    <row r="23925" spans="1:1">
      <c r="A23925" t="s">
        <v>24457</v>
      </c>
    </row>
    <row r="23926" spans="1:1">
      <c r="A23926" t="s">
        <v>24458</v>
      </c>
    </row>
    <row r="23927" spans="1:1">
      <c r="A23927" t="s">
        <v>24459</v>
      </c>
    </row>
    <row r="23928" spans="1:1">
      <c r="A23928" t="s">
        <v>24460</v>
      </c>
    </row>
    <row r="23929" spans="1:1">
      <c r="A23929" t="s">
        <v>24461</v>
      </c>
    </row>
    <row r="23930" spans="1:1">
      <c r="A23930" t="s">
        <v>24462</v>
      </c>
    </row>
    <row r="23931" spans="1:1">
      <c r="A23931" t="s">
        <v>24463</v>
      </c>
    </row>
    <row r="23932" spans="1:1">
      <c r="A23932" t="s">
        <v>24464</v>
      </c>
    </row>
    <row r="23933" spans="1:1">
      <c r="A23933" t="s">
        <v>24465</v>
      </c>
    </row>
    <row r="23934" spans="1:1">
      <c r="A23934" t="s">
        <v>24466</v>
      </c>
    </row>
    <row r="23935" spans="1:1">
      <c r="A23935" t="s">
        <v>24467</v>
      </c>
    </row>
    <row r="23936" spans="1:1">
      <c r="A23936" t="s">
        <v>24468</v>
      </c>
    </row>
    <row r="23937" spans="1:1">
      <c r="A23937" t="s">
        <v>24469</v>
      </c>
    </row>
    <row r="23938" spans="1:1">
      <c r="A23938" t="s">
        <v>24470</v>
      </c>
    </row>
    <row r="23939" spans="1:1">
      <c r="A23939" t="s">
        <v>24471</v>
      </c>
    </row>
    <row r="23940" spans="1:1">
      <c r="A23940" t="s">
        <v>24472</v>
      </c>
    </row>
    <row r="23941" spans="1:1">
      <c r="A23941" t="s">
        <v>24473</v>
      </c>
    </row>
    <row r="23942" spans="1:1">
      <c r="A23942" t="s">
        <v>24474</v>
      </c>
    </row>
    <row r="23943" spans="1:1">
      <c r="A23943" t="s">
        <v>24475</v>
      </c>
    </row>
    <row r="23944" spans="1:1">
      <c r="A23944" t="s">
        <v>24476</v>
      </c>
    </row>
    <row r="23945" spans="1:1">
      <c r="A23945" t="s">
        <v>24477</v>
      </c>
    </row>
    <row r="23946" spans="1:1">
      <c r="A23946" t="s">
        <v>24478</v>
      </c>
    </row>
    <row r="23947" spans="1:1">
      <c r="A23947" t="s">
        <v>24479</v>
      </c>
    </row>
    <row r="23948" spans="1:1">
      <c r="A23948" t="s">
        <v>24480</v>
      </c>
    </row>
    <row r="23949" spans="1:1">
      <c r="A23949" t="s">
        <v>24481</v>
      </c>
    </row>
    <row r="23950" spans="1:1">
      <c r="A23950" t="s">
        <v>24482</v>
      </c>
    </row>
    <row r="23951" spans="1:1">
      <c r="A23951" t="s">
        <v>24483</v>
      </c>
    </row>
    <row r="23952" spans="1:1">
      <c r="A23952" t="s">
        <v>24484</v>
      </c>
    </row>
    <row r="23953" spans="1:1">
      <c r="A23953" t="s">
        <v>24485</v>
      </c>
    </row>
    <row r="23954" spans="1:1">
      <c r="A23954" t="s">
        <v>24486</v>
      </c>
    </row>
    <row r="23955" spans="1:1">
      <c r="A23955" t="s">
        <v>24487</v>
      </c>
    </row>
    <row r="23956" spans="1:1">
      <c r="A23956" t="s">
        <v>24488</v>
      </c>
    </row>
    <row r="23957" spans="1:1">
      <c r="A23957" t="s">
        <v>24489</v>
      </c>
    </row>
    <row r="23958" spans="1:1">
      <c r="A23958" t="s">
        <v>24490</v>
      </c>
    </row>
    <row r="23959" spans="1:1">
      <c r="A23959" t="s">
        <v>24491</v>
      </c>
    </row>
    <row r="23960" spans="1:1">
      <c r="A23960" t="s">
        <v>24492</v>
      </c>
    </row>
    <row r="23961" spans="1:1">
      <c r="A23961" t="s">
        <v>24493</v>
      </c>
    </row>
    <row r="23962" spans="1:1">
      <c r="A23962" t="s">
        <v>24494</v>
      </c>
    </row>
    <row r="23963" spans="1:1">
      <c r="A23963" t="s">
        <v>24495</v>
      </c>
    </row>
    <row r="23964" spans="1:1">
      <c r="A23964" t="s">
        <v>24496</v>
      </c>
    </row>
    <row r="23965" spans="1:1">
      <c r="A23965" t="s">
        <v>24497</v>
      </c>
    </row>
    <row r="23966" spans="1:1">
      <c r="A23966" t="s">
        <v>24498</v>
      </c>
    </row>
    <row r="23967" spans="1:1">
      <c r="A23967" t="s">
        <v>24499</v>
      </c>
    </row>
    <row r="23968" spans="1:1">
      <c r="A23968" t="s">
        <v>24500</v>
      </c>
    </row>
    <row r="23969" spans="1:1">
      <c r="A23969" t="s">
        <v>24501</v>
      </c>
    </row>
    <row r="23970" spans="1:1">
      <c r="A23970" t="s">
        <v>24502</v>
      </c>
    </row>
    <row r="23971" spans="1:1">
      <c r="A23971" t="s">
        <v>24503</v>
      </c>
    </row>
    <row r="23972" spans="1:1">
      <c r="A23972" t="s">
        <v>24504</v>
      </c>
    </row>
    <row r="23973" spans="1:1">
      <c r="A23973" t="s">
        <v>24505</v>
      </c>
    </row>
    <row r="23974" spans="1:1">
      <c r="A23974" t="s">
        <v>24506</v>
      </c>
    </row>
    <row r="23975" spans="1:1">
      <c r="A23975" t="s">
        <v>24507</v>
      </c>
    </row>
    <row r="23976" spans="1:1">
      <c r="A23976" t="s">
        <v>24508</v>
      </c>
    </row>
    <row r="23977" spans="1:1">
      <c r="A23977" t="s">
        <v>24509</v>
      </c>
    </row>
    <row r="23978" spans="1:1">
      <c r="A23978" t="s">
        <v>24510</v>
      </c>
    </row>
    <row r="23979" spans="1:1">
      <c r="A23979" t="s">
        <v>24511</v>
      </c>
    </row>
    <row r="23980" spans="1:1">
      <c r="A23980" t="s">
        <v>24512</v>
      </c>
    </row>
    <row r="23981" spans="1:1">
      <c r="A23981" t="s">
        <v>24513</v>
      </c>
    </row>
    <row r="23982" spans="1:1">
      <c r="A23982" t="s">
        <v>24514</v>
      </c>
    </row>
    <row r="23983" spans="1:1">
      <c r="A23983" t="s">
        <v>24515</v>
      </c>
    </row>
    <row r="23984" spans="1:1">
      <c r="A23984" t="s">
        <v>24516</v>
      </c>
    </row>
    <row r="23985" spans="1:1">
      <c r="A23985" t="s">
        <v>24517</v>
      </c>
    </row>
    <row r="23986" spans="1:1">
      <c r="A23986" t="s">
        <v>24518</v>
      </c>
    </row>
    <row r="23987" spans="1:1">
      <c r="A23987" t="s">
        <v>24519</v>
      </c>
    </row>
    <row r="23988" spans="1:1">
      <c r="A23988" t="s">
        <v>24520</v>
      </c>
    </row>
    <row r="23989" spans="1:1">
      <c r="A23989" t="s">
        <v>24521</v>
      </c>
    </row>
    <row r="23990" spans="1:1">
      <c r="A23990" t="s">
        <v>24522</v>
      </c>
    </row>
    <row r="23991" spans="1:1">
      <c r="A23991" t="s">
        <v>24523</v>
      </c>
    </row>
    <row r="23992" spans="1:1">
      <c r="A23992" t="s">
        <v>24524</v>
      </c>
    </row>
    <row r="23993" spans="1:1">
      <c r="A23993" t="s">
        <v>24525</v>
      </c>
    </row>
    <row r="23994" spans="1:1">
      <c r="A23994" t="s">
        <v>24526</v>
      </c>
    </row>
    <row r="23995" spans="1:1">
      <c r="A23995" t="s">
        <v>24527</v>
      </c>
    </row>
    <row r="23996" spans="1:1">
      <c r="A23996" t="s">
        <v>24528</v>
      </c>
    </row>
    <row r="23997" spans="1:1">
      <c r="A23997" t="s">
        <v>24529</v>
      </c>
    </row>
    <row r="23998" spans="1:1">
      <c r="A23998" t="s">
        <v>24530</v>
      </c>
    </row>
    <row r="23999" spans="1:1">
      <c r="A23999" t="s">
        <v>24531</v>
      </c>
    </row>
    <row r="24000" spans="1:1">
      <c r="A24000" t="s">
        <v>24532</v>
      </c>
    </row>
    <row r="24001" spans="1:1">
      <c r="A24001" t="s">
        <v>24533</v>
      </c>
    </row>
    <row r="24002" spans="1:1">
      <c r="A24002" t="s">
        <v>24534</v>
      </c>
    </row>
    <row r="24003" spans="1:1">
      <c r="A24003" t="s">
        <v>24535</v>
      </c>
    </row>
    <row r="24004" spans="1:1">
      <c r="A24004" t="s">
        <v>24536</v>
      </c>
    </row>
    <row r="24005" spans="1:1">
      <c r="A24005" t="s">
        <v>24537</v>
      </c>
    </row>
    <row r="24006" spans="1:1">
      <c r="A24006" t="s">
        <v>24538</v>
      </c>
    </row>
    <row r="24007" spans="1:1">
      <c r="A24007" t="s">
        <v>24539</v>
      </c>
    </row>
    <row r="24008" spans="1:1">
      <c r="A24008" t="s">
        <v>24540</v>
      </c>
    </row>
    <row r="24009" spans="1:1">
      <c r="A24009" t="s">
        <v>24541</v>
      </c>
    </row>
    <row r="24010" spans="1:1">
      <c r="A24010" t="s">
        <v>24542</v>
      </c>
    </row>
    <row r="24011" spans="1:1">
      <c r="A24011" t="s">
        <v>24543</v>
      </c>
    </row>
    <row r="24012" spans="1:1">
      <c r="A24012" t="s">
        <v>24544</v>
      </c>
    </row>
    <row r="24013" spans="1:1">
      <c r="A24013" t="s">
        <v>24545</v>
      </c>
    </row>
    <row r="24014" spans="1:1">
      <c r="A24014" t="s">
        <v>24546</v>
      </c>
    </row>
    <row r="24015" spans="1:1">
      <c r="A24015" t="s">
        <v>24547</v>
      </c>
    </row>
    <row r="24016" spans="1:1">
      <c r="A24016" t="s">
        <v>24548</v>
      </c>
    </row>
    <row r="24017" spans="1:1">
      <c r="A24017" t="s">
        <v>24549</v>
      </c>
    </row>
    <row r="24018" spans="1:1">
      <c r="A24018" t="s">
        <v>24550</v>
      </c>
    </row>
    <row r="24019" spans="1:1">
      <c r="A24019" t="s">
        <v>24551</v>
      </c>
    </row>
    <row r="24020" spans="1:1">
      <c r="A24020" t="s">
        <v>24552</v>
      </c>
    </row>
    <row r="24021" spans="1:1">
      <c r="A24021" t="s">
        <v>24553</v>
      </c>
    </row>
    <row r="24022" spans="1:1">
      <c r="A24022" t="s">
        <v>24554</v>
      </c>
    </row>
    <row r="24023" spans="1:1">
      <c r="A24023" t="s">
        <v>24555</v>
      </c>
    </row>
    <row r="24024" spans="1:1">
      <c r="A24024" t="s">
        <v>24556</v>
      </c>
    </row>
    <row r="24025" spans="1:1">
      <c r="A24025" t="s">
        <v>24557</v>
      </c>
    </row>
    <row r="24026" spans="1:1">
      <c r="A24026" t="s">
        <v>24558</v>
      </c>
    </row>
    <row r="24027" spans="1:1">
      <c r="A24027" t="s">
        <v>24559</v>
      </c>
    </row>
    <row r="24028" spans="1:1">
      <c r="A24028" t="s">
        <v>24560</v>
      </c>
    </row>
    <row r="24029" spans="1:1">
      <c r="A24029" t="s">
        <v>24561</v>
      </c>
    </row>
    <row r="24030" spans="1:1">
      <c r="A24030" t="s">
        <v>24562</v>
      </c>
    </row>
    <row r="24031" spans="1:1">
      <c r="A24031" t="s">
        <v>24563</v>
      </c>
    </row>
    <row r="24032" spans="1:1">
      <c r="A24032" t="s">
        <v>24564</v>
      </c>
    </row>
    <row r="24033" spans="1:1">
      <c r="A24033" t="s">
        <v>24565</v>
      </c>
    </row>
    <row r="24034" spans="1:1">
      <c r="A24034" t="s">
        <v>24566</v>
      </c>
    </row>
    <row r="24035" spans="1:1">
      <c r="A24035" t="s">
        <v>24567</v>
      </c>
    </row>
    <row r="24036" spans="1:1">
      <c r="A24036" t="s">
        <v>24568</v>
      </c>
    </row>
    <row r="24037" spans="1:1">
      <c r="A24037" t="s">
        <v>24569</v>
      </c>
    </row>
    <row r="24038" spans="1:1">
      <c r="A24038" t="s">
        <v>24570</v>
      </c>
    </row>
    <row r="24039" spans="1:1">
      <c r="A24039" t="s">
        <v>24571</v>
      </c>
    </row>
    <row r="24040" spans="1:1">
      <c r="A24040" t="s">
        <v>24572</v>
      </c>
    </row>
    <row r="24041" spans="1:1">
      <c r="A24041" t="s">
        <v>24573</v>
      </c>
    </row>
    <row r="24042" spans="1:1">
      <c r="A24042" t="s">
        <v>24574</v>
      </c>
    </row>
    <row r="24043" spans="1:1">
      <c r="A24043" t="s">
        <v>24575</v>
      </c>
    </row>
    <row r="24044" spans="1:1">
      <c r="A24044" t="s">
        <v>24576</v>
      </c>
    </row>
    <row r="24045" spans="1:1">
      <c r="A24045" t="s">
        <v>24577</v>
      </c>
    </row>
    <row r="24046" spans="1:1">
      <c r="A24046" t="s">
        <v>24578</v>
      </c>
    </row>
    <row r="24047" spans="1:1">
      <c r="A24047" t="s">
        <v>24579</v>
      </c>
    </row>
    <row r="24048" spans="1:1">
      <c r="A24048" t="s">
        <v>24580</v>
      </c>
    </row>
    <row r="24049" spans="1:1">
      <c r="A24049" t="s">
        <v>24581</v>
      </c>
    </row>
    <row r="24050" spans="1:1">
      <c r="A24050" t="s">
        <v>24582</v>
      </c>
    </row>
    <row r="24051" spans="1:1">
      <c r="A24051" t="s">
        <v>24583</v>
      </c>
    </row>
    <row r="24052" spans="1:1">
      <c r="A24052" t="s">
        <v>24584</v>
      </c>
    </row>
    <row r="24053" spans="1:1">
      <c r="A24053" t="s">
        <v>24585</v>
      </c>
    </row>
    <row r="24054" spans="1:1">
      <c r="A24054" t="s">
        <v>24586</v>
      </c>
    </row>
    <row r="24055" spans="1:1">
      <c r="A24055" t="s">
        <v>24587</v>
      </c>
    </row>
    <row r="24056" spans="1:1">
      <c r="A24056" t="s">
        <v>24588</v>
      </c>
    </row>
    <row r="24057" spans="1:1">
      <c r="A24057" t="s">
        <v>24589</v>
      </c>
    </row>
    <row r="24058" spans="1:1">
      <c r="A24058" t="s">
        <v>24590</v>
      </c>
    </row>
    <row r="24059" spans="1:1">
      <c r="A24059" t="s">
        <v>24591</v>
      </c>
    </row>
    <row r="24060" spans="1:1">
      <c r="A24060" t="s">
        <v>24592</v>
      </c>
    </row>
    <row r="24061" spans="1:1">
      <c r="A24061" t="s">
        <v>24593</v>
      </c>
    </row>
    <row r="24062" spans="1:1">
      <c r="A24062" t="s">
        <v>24594</v>
      </c>
    </row>
    <row r="24063" spans="1:1">
      <c r="A24063" t="s">
        <v>24595</v>
      </c>
    </row>
    <row r="24064" spans="1:1">
      <c r="A24064" t="s">
        <v>24596</v>
      </c>
    </row>
    <row r="24065" spans="1:1">
      <c r="A24065" t="s">
        <v>24597</v>
      </c>
    </row>
    <row r="24066" spans="1:1">
      <c r="A24066" t="s">
        <v>24598</v>
      </c>
    </row>
    <row r="24067" spans="1:1">
      <c r="A24067" t="s">
        <v>24599</v>
      </c>
    </row>
    <row r="24068" spans="1:1">
      <c r="A24068" t="s">
        <v>24600</v>
      </c>
    </row>
    <row r="24069" spans="1:1">
      <c r="A24069" t="s">
        <v>24601</v>
      </c>
    </row>
    <row r="24070" spans="1:1">
      <c r="A24070" t="s">
        <v>24602</v>
      </c>
    </row>
    <row r="24071" spans="1:1">
      <c r="A24071" t="s">
        <v>24603</v>
      </c>
    </row>
    <row r="24072" spans="1:1">
      <c r="A24072" t="s">
        <v>24604</v>
      </c>
    </row>
    <row r="24073" spans="1:1">
      <c r="A24073" t="s">
        <v>24605</v>
      </c>
    </row>
    <row r="24074" spans="1:1">
      <c r="A24074" t="s">
        <v>24606</v>
      </c>
    </row>
    <row r="24075" spans="1:1">
      <c r="A24075" t="s">
        <v>24607</v>
      </c>
    </row>
    <row r="24076" spans="1:1">
      <c r="A24076" t="s">
        <v>24608</v>
      </c>
    </row>
    <row r="24077" spans="1:1">
      <c r="A24077" t="s">
        <v>24609</v>
      </c>
    </row>
    <row r="24078" spans="1:1">
      <c r="A24078" t="s">
        <v>24610</v>
      </c>
    </row>
    <row r="24079" spans="1:1">
      <c r="A24079" t="s">
        <v>24611</v>
      </c>
    </row>
    <row r="24080" spans="1:1">
      <c r="A24080" t="s">
        <v>24612</v>
      </c>
    </row>
    <row r="24081" spans="1:1">
      <c r="A24081" t="s">
        <v>24613</v>
      </c>
    </row>
    <row r="24082" spans="1:1">
      <c r="A24082" t="s">
        <v>24614</v>
      </c>
    </row>
    <row r="24083" spans="1:1">
      <c r="A24083" t="s">
        <v>24615</v>
      </c>
    </row>
    <row r="24084" spans="1:1">
      <c r="A24084" t="s">
        <v>24616</v>
      </c>
    </row>
    <row r="24085" spans="1:1">
      <c r="A24085" t="s">
        <v>24617</v>
      </c>
    </row>
    <row r="24086" spans="1:1">
      <c r="A24086" t="s">
        <v>24618</v>
      </c>
    </row>
    <row r="24087" spans="1:1">
      <c r="A24087" t="s">
        <v>24619</v>
      </c>
    </row>
    <row r="24088" spans="1:1">
      <c r="A24088" t="s">
        <v>24620</v>
      </c>
    </row>
    <row r="24089" spans="1:1">
      <c r="A24089" t="s">
        <v>24621</v>
      </c>
    </row>
    <row r="24090" spans="1:1">
      <c r="A24090" t="s">
        <v>24622</v>
      </c>
    </row>
    <row r="24091" spans="1:1">
      <c r="A24091" t="s">
        <v>24623</v>
      </c>
    </row>
    <row r="24092" spans="1:1">
      <c r="A24092" t="s">
        <v>24624</v>
      </c>
    </row>
    <row r="24093" spans="1:1">
      <c r="A24093" t="s">
        <v>24625</v>
      </c>
    </row>
    <row r="24094" spans="1:1">
      <c r="A24094" t="s">
        <v>24626</v>
      </c>
    </row>
    <row r="24095" spans="1:1">
      <c r="A24095" t="s">
        <v>24627</v>
      </c>
    </row>
    <row r="24096" spans="1:1">
      <c r="A24096" t="s">
        <v>24628</v>
      </c>
    </row>
    <row r="24097" spans="1:1">
      <c r="A24097" t="s">
        <v>24629</v>
      </c>
    </row>
    <row r="24098" spans="1:1">
      <c r="A24098" t="s">
        <v>24630</v>
      </c>
    </row>
    <row r="24099" spans="1:1">
      <c r="A24099" t="s">
        <v>24631</v>
      </c>
    </row>
    <row r="24100" spans="1:1">
      <c r="A24100" t="s">
        <v>24632</v>
      </c>
    </row>
    <row r="24101" spans="1:1">
      <c r="A24101" t="s">
        <v>24633</v>
      </c>
    </row>
    <row r="24102" spans="1:1">
      <c r="A24102" t="s">
        <v>24634</v>
      </c>
    </row>
    <row r="24103" spans="1:1">
      <c r="A24103" t="s">
        <v>24635</v>
      </c>
    </row>
    <row r="24104" spans="1:1">
      <c r="A24104" t="s">
        <v>24636</v>
      </c>
    </row>
    <row r="24105" spans="1:1">
      <c r="A24105" t="s">
        <v>24637</v>
      </c>
    </row>
    <row r="24106" spans="1:1">
      <c r="A24106" t="s">
        <v>24638</v>
      </c>
    </row>
    <row r="24107" spans="1:1">
      <c r="A24107" t="s">
        <v>24639</v>
      </c>
    </row>
    <row r="24108" spans="1:1">
      <c r="A24108" t="s">
        <v>24640</v>
      </c>
    </row>
    <row r="24109" spans="1:1">
      <c r="A24109" t="s">
        <v>24641</v>
      </c>
    </row>
    <row r="24110" spans="1:1">
      <c r="A24110" t="s">
        <v>24642</v>
      </c>
    </row>
    <row r="24111" spans="1:1">
      <c r="A24111" t="s">
        <v>24643</v>
      </c>
    </row>
    <row r="24112" spans="1:1">
      <c r="A24112" t="s">
        <v>24644</v>
      </c>
    </row>
    <row r="24113" spans="1:1">
      <c r="A24113" t="s">
        <v>24645</v>
      </c>
    </row>
    <row r="24114" spans="1:1">
      <c r="A24114" t="s">
        <v>24646</v>
      </c>
    </row>
    <row r="24115" spans="1:1">
      <c r="A24115" t="s">
        <v>24647</v>
      </c>
    </row>
    <row r="24116" spans="1:1">
      <c r="A24116" t="s">
        <v>24648</v>
      </c>
    </row>
    <row r="24117" spans="1:1">
      <c r="A24117" t="s">
        <v>24649</v>
      </c>
    </row>
    <row r="24118" spans="1:1">
      <c r="A24118" t="s">
        <v>24650</v>
      </c>
    </row>
    <row r="24119" spans="1:1">
      <c r="A24119" t="s">
        <v>24651</v>
      </c>
    </row>
    <row r="24120" spans="1:1">
      <c r="A24120" t="s">
        <v>24652</v>
      </c>
    </row>
    <row r="24121" spans="1:1">
      <c r="A24121" t="s">
        <v>24653</v>
      </c>
    </row>
    <row r="24122" spans="1:1">
      <c r="A24122" t="s">
        <v>24654</v>
      </c>
    </row>
    <row r="24123" spans="1:1">
      <c r="A24123" t="s">
        <v>24655</v>
      </c>
    </row>
    <row r="24124" spans="1:1">
      <c r="A24124" t="s">
        <v>24656</v>
      </c>
    </row>
    <row r="24125" spans="1:1">
      <c r="A24125" t="s">
        <v>24657</v>
      </c>
    </row>
    <row r="24126" spans="1:1">
      <c r="A24126" t="s">
        <v>24658</v>
      </c>
    </row>
    <row r="24127" spans="1:1">
      <c r="A24127" t="s">
        <v>24659</v>
      </c>
    </row>
    <row r="24128" spans="1:1">
      <c r="A24128" t="s">
        <v>24660</v>
      </c>
    </row>
    <row r="24129" spans="1:1">
      <c r="A24129" t="s">
        <v>24661</v>
      </c>
    </row>
    <row r="24130" spans="1:1">
      <c r="A24130" t="s">
        <v>24662</v>
      </c>
    </row>
    <row r="24131" spans="1:1">
      <c r="A24131" t="s">
        <v>24663</v>
      </c>
    </row>
    <row r="24132" spans="1:1">
      <c r="A24132" t="s">
        <v>24664</v>
      </c>
    </row>
    <row r="24133" spans="1:1">
      <c r="A24133" t="s">
        <v>24665</v>
      </c>
    </row>
    <row r="24134" spans="1:1">
      <c r="A24134" t="s">
        <v>24666</v>
      </c>
    </row>
    <row r="24135" spans="1:1">
      <c r="A24135" t="s">
        <v>24667</v>
      </c>
    </row>
    <row r="24136" spans="1:1">
      <c r="A24136" t="s">
        <v>24668</v>
      </c>
    </row>
    <row r="24137" spans="1:1">
      <c r="A24137" t="s">
        <v>24669</v>
      </c>
    </row>
    <row r="24138" spans="1:1">
      <c r="A24138" t="s">
        <v>24670</v>
      </c>
    </row>
    <row r="24139" spans="1:1">
      <c r="A24139" t="s">
        <v>24671</v>
      </c>
    </row>
    <row r="24140" spans="1:1">
      <c r="A24140" t="s">
        <v>24672</v>
      </c>
    </row>
    <row r="24141" spans="1:1">
      <c r="A24141" t="s">
        <v>24673</v>
      </c>
    </row>
    <row r="24142" spans="1:1">
      <c r="A24142" t="s">
        <v>24674</v>
      </c>
    </row>
    <row r="24143" spans="1:1">
      <c r="A24143" t="s">
        <v>24675</v>
      </c>
    </row>
    <row r="24144" spans="1:1">
      <c r="A24144" t="s">
        <v>24676</v>
      </c>
    </row>
    <row r="24145" spans="1:1">
      <c r="A24145" t="s">
        <v>24677</v>
      </c>
    </row>
    <row r="24146" spans="1:1">
      <c r="A24146" t="s">
        <v>24678</v>
      </c>
    </row>
    <row r="24147" spans="1:1">
      <c r="A24147" t="s">
        <v>24679</v>
      </c>
    </row>
    <row r="24148" spans="1:1">
      <c r="A24148" t="s">
        <v>24680</v>
      </c>
    </row>
    <row r="24149" spans="1:1">
      <c r="A24149" t="s">
        <v>24681</v>
      </c>
    </row>
    <row r="24150" spans="1:1">
      <c r="A24150" t="s">
        <v>24682</v>
      </c>
    </row>
    <row r="24151" spans="1:1">
      <c r="A24151" t="s">
        <v>24683</v>
      </c>
    </row>
    <row r="24152" spans="1:1">
      <c r="A24152" t="s">
        <v>24684</v>
      </c>
    </row>
    <row r="24153" spans="1:1">
      <c r="A24153" t="s">
        <v>24685</v>
      </c>
    </row>
    <row r="24154" spans="1:1">
      <c r="A24154" t="s">
        <v>24686</v>
      </c>
    </row>
    <row r="24155" spans="1:1">
      <c r="A24155" t="s">
        <v>24687</v>
      </c>
    </row>
    <row r="24156" spans="1:1">
      <c r="A24156" t="s">
        <v>24688</v>
      </c>
    </row>
    <row r="24157" spans="1:1">
      <c r="A24157" t="s">
        <v>24689</v>
      </c>
    </row>
    <row r="24158" spans="1:1">
      <c r="A24158" t="s">
        <v>24690</v>
      </c>
    </row>
    <row r="24159" spans="1:1">
      <c r="A24159" t="s">
        <v>24691</v>
      </c>
    </row>
    <row r="24160" spans="1:1">
      <c r="A24160" t="s">
        <v>24692</v>
      </c>
    </row>
    <row r="24161" spans="1:1">
      <c r="A24161" t="s">
        <v>24693</v>
      </c>
    </row>
    <row r="24162" spans="1:1">
      <c r="A24162" t="s">
        <v>24694</v>
      </c>
    </row>
    <row r="24163" spans="1:1">
      <c r="A24163" t="s">
        <v>24695</v>
      </c>
    </row>
    <row r="24164" spans="1:1">
      <c r="A24164" t="s">
        <v>24696</v>
      </c>
    </row>
    <row r="24165" spans="1:1">
      <c r="A24165" t="s">
        <v>24697</v>
      </c>
    </row>
    <row r="24166" spans="1:1">
      <c r="A24166" t="s">
        <v>24698</v>
      </c>
    </row>
    <row r="24167" spans="1:1">
      <c r="A24167" t="s">
        <v>24699</v>
      </c>
    </row>
    <row r="24168" spans="1:1">
      <c r="A24168" t="s">
        <v>24700</v>
      </c>
    </row>
    <row r="24169" spans="1:1">
      <c r="A24169" t="s">
        <v>24701</v>
      </c>
    </row>
    <row r="24170" spans="1:1">
      <c r="A24170" t="s">
        <v>24702</v>
      </c>
    </row>
    <row r="24171" spans="1:1">
      <c r="A24171" t="s">
        <v>24703</v>
      </c>
    </row>
    <row r="24172" spans="1:1">
      <c r="A24172" t="s">
        <v>24704</v>
      </c>
    </row>
    <row r="24173" spans="1:1">
      <c r="A24173" t="s">
        <v>24705</v>
      </c>
    </row>
    <row r="24174" spans="1:1">
      <c r="A24174" t="s">
        <v>24706</v>
      </c>
    </row>
    <row r="24175" spans="1:1">
      <c r="A24175" t="s">
        <v>24707</v>
      </c>
    </row>
    <row r="24176" spans="1:1">
      <c r="A24176" t="s">
        <v>24708</v>
      </c>
    </row>
    <row r="24177" spans="1:1">
      <c r="A24177" t="s">
        <v>24709</v>
      </c>
    </row>
    <row r="24178" spans="1:1">
      <c r="A24178" t="s">
        <v>24710</v>
      </c>
    </row>
    <row r="24179" spans="1:1">
      <c r="A24179" t="s">
        <v>24711</v>
      </c>
    </row>
    <row r="24180" spans="1:1">
      <c r="A24180" t="s">
        <v>24712</v>
      </c>
    </row>
    <row r="24181" spans="1:1">
      <c r="A24181" t="s">
        <v>24713</v>
      </c>
    </row>
    <row r="24182" spans="1:1">
      <c r="A24182" t="s">
        <v>24714</v>
      </c>
    </row>
    <row r="24183" spans="1:1">
      <c r="A24183" t="s">
        <v>24715</v>
      </c>
    </row>
    <row r="24184" spans="1:1">
      <c r="A24184" t="s">
        <v>24716</v>
      </c>
    </row>
    <row r="24185" spans="1:1">
      <c r="A24185" t="s">
        <v>24717</v>
      </c>
    </row>
    <row r="24186" spans="1:1">
      <c r="A24186" t="s">
        <v>24718</v>
      </c>
    </row>
    <row r="24187" spans="1:1">
      <c r="A24187" t="s">
        <v>24719</v>
      </c>
    </row>
    <row r="24188" spans="1:1">
      <c r="A24188" t="s">
        <v>24720</v>
      </c>
    </row>
    <row r="24189" spans="1:1">
      <c r="A24189" t="s">
        <v>24721</v>
      </c>
    </row>
    <row r="24190" spans="1:1">
      <c r="A24190" t="s">
        <v>24722</v>
      </c>
    </row>
    <row r="24191" spans="1:1">
      <c r="A24191" t="s">
        <v>24723</v>
      </c>
    </row>
    <row r="24192" spans="1:1">
      <c r="A24192" t="s">
        <v>24724</v>
      </c>
    </row>
    <row r="24193" spans="1:1">
      <c r="A24193" t="s">
        <v>24725</v>
      </c>
    </row>
    <row r="24194" spans="1:1">
      <c r="A24194" t="s">
        <v>24726</v>
      </c>
    </row>
    <row r="24195" spans="1:1">
      <c r="A24195" t="s">
        <v>24727</v>
      </c>
    </row>
    <row r="24196" spans="1:1">
      <c r="A24196" t="s">
        <v>24728</v>
      </c>
    </row>
    <row r="24197" spans="1:1">
      <c r="A24197" t="s">
        <v>24729</v>
      </c>
    </row>
    <row r="24198" spans="1:1">
      <c r="A24198" t="s">
        <v>24730</v>
      </c>
    </row>
    <row r="24199" spans="1:1">
      <c r="A24199" t="s">
        <v>24731</v>
      </c>
    </row>
    <row r="24200" spans="1:1">
      <c r="A24200" t="s">
        <v>24732</v>
      </c>
    </row>
    <row r="24201" spans="1:1">
      <c r="A24201" t="s">
        <v>24733</v>
      </c>
    </row>
    <row r="24202" spans="1:1">
      <c r="A24202" t="s">
        <v>24734</v>
      </c>
    </row>
    <row r="24203" spans="1:1">
      <c r="A24203" t="s">
        <v>24735</v>
      </c>
    </row>
    <row r="24204" spans="1:1">
      <c r="A24204" t="s">
        <v>24736</v>
      </c>
    </row>
    <row r="24205" spans="1:1">
      <c r="A24205" t="s">
        <v>24737</v>
      </c>
    </row>
    <row r="24206" spans="1:1">
      <c r="A24206" t="s">
        <v>24738</v>
      </c>
    </row>
    <row r="24207" spans="1:1">
      <c r="A24207" t="s">
        <v>24739</v>
      </c>
    </row>
    <row r="24208" spans="1:1">
      <c r="A24208" t="s">
        <v>24740</v>
      </c>
    </row>
    <row r="24209" spans="1:1">
      <c r="A24209" t="s">
        <v>24741</v>
      </c>
    </row>
    <row r="24210" spans="1:1">
      <c r="A24210" t="s">
        <v>24742</v>
      </c>
    </row>
    <row r="24211" spans="1:1">
      <c r="A24211" t="s">
        <v>24743</v>
      </c>
    </row>
    <row r="24212" spans="1:1">
      <c r="A24212" t="s">
        <v>24744</v>
      </c>
    </row>
    <row r="24213" spans="1:1">
      <c r="A24213" t="s">
        <v>24745</v>
      </c>
    </row>
    <row r="24214" spans="1:1">
      <c r="A24214" t="s">
        <v>24746</v>
      </c>
    </row>
    <row r="24215" spans="1:1">
      <c r="A24215" t="s">
        <v>24747</v>
      </c>
    </row>
    <row r="24216" spans="1:1">
      <c r="A24216" t="s">
        <v>24748</v>
      </c>
    </row>
    <row r="24217" spans="1:1">
      <c r="A24217" t="s">
        <v>24749</v>
      </c>
    </row>
    <row r="24218" spans="1:1">
      <c r="A24218" t="s">
        <v>24750</v>
      </c>
    </row>
    <row r="24219" spans="1:1">
      <c r="A24219" t="s">
        <v>24751</v>
      </c>
    </row>
    <row r="24220" spans="1:1">
      <c r="A24220" t="s">
        <v>24752</v>
      </c>
    </row>
    <row r="24221" spans="1:1">
      <c r="A24221" t="s">
        <v>24753</v>
      </c>
    </row>
    <row r="24222" spans="1:1">
      <c r="A24222" t="s">
        <v>24754</v>
      </c>
    </row>
    <row r="24223" spans="1:1">
      <c r="A24223" t="s">
        <v>24755</v>
      </c>
    </row>
    <row r="24224" spans="1:1">
      <c r="A24224" t="s">
        <v>24756</v>
      </c>
    </row>
    <row r="24225" spans="1:1">
      <c r="A24225" t="s">
        <v>24757</v>
      </c>
    </row>
    <row r="24226" spans="1:1">
      <c r="A24226" t="s">
        <v>24758</v>
      </c>
    </row>
    <row r="24227" spans="1:1">
      <c r="A24227" t="s">
        <v>24759</v>
      </c>
    </row>
    <row r="24228" spans="1:1">
      <c r="A24228" t="s">
        <v>24760</v>
      </c>
    </row>
    <row r="24229" spans="1:1">
      <c r="A24229" t="s">
        <v>24761</v>
      </c>
    </row>
    <row r="24230" spans="1:1">
      <c r="A24230" t="s">
        <v>24762</v>
      </c>
    </row>
    <row r="24231" spans="1:1">
      <c r="A24231" t="s">
        <v>24763</v>
      </c>
    </row>
    <row r="24232" spans="1:1">
      <c r="A24232" t="s">
        <v>24764</v>
      </c>
    </row>
    <row r="24233" spans="1:1">
      <c r="A24233" t="s">
        <v>24765</v>
      </c>
    </row>
    <row r="24234" spans="1:1">
      <c r="A24234" t="s">
        <v>24766</v>
      </c>
    </row>
    <row r="24235" spans="1:1">
      <c r="A24235" t="s">
        <v>24767</v>
      </c>
    </row>
    <row r="24236" spans="1:1">
      <c r="A24236" t="s">
        <v>24768</v>
      </c>
    </row>
    <row r="24237" spans="1:1">
      <c r="A24237" t="s">
        <v>24769</v>
      </c>
    </row>
    <row r="24238" spans="1:1">
      <c r="A24238" t="s">
        <v>24770</v>
      </c>
    </row>
    <row r="24239" spans="1:1">
      <c r="A24239" t="s">
        <v>24771</v>
      </c>
    </row>
    <row r="24240" spans="1:1">
      <c r="A24240" t="s">
        <v>24772</v>
      </c>
    </row>
    <row r="24241" spans="1:1">
      <c r="A24241" t="s">
        <v>24773</v>
      </c>
    </row>
    <row r="24242" spans="1:1">
      <c r="A24242" t="s">
        <v>24774</v>
      </c>
    </row>
    <row r="24243" spans="1:1">
      <c r="A24243" t="s">
        <v>24775</v>
      </c>
    </row>
    <row r="24244" spans="1:1">
      <c r="A24244" t="s">
        <v>24776</v>
      </c>
    </row>
    <row r="24245" spans="1:1">
      <c r="A24245" t="s">
        <v>24777</v>
      </c>
    </row>
    <row r="24246" spans="1:1">
      <c r="A24246" t="s">
        <v>24778</v>
      </c>
    </row>
    <row r="24247" spans="1:1">
      <c r="A24247" t="s">
        <v>24779</v>
      </c>
    </row>
    <row r="24248" spans="1:1">
      <c r="A24248" t="s">
        <v>24780</v>
      </c>
    </row>
    <row r="24249" spans="1:1">
      <c r="A24249" t="s">
        <v>24781</v>
      </c>
    </row>
    <row r="24250" spans="1:1">
      <c r="A24250" t="s">
        <v>24782</v>
      </c>
    </row>
    <row r="24251" spans="1:1">
      <c r="A24251" t="s">
        <v>24783</v>
      </c>
    </row>
    <row r="24252" spans="1:1">
      <c r="A24252" t="s">
        <v>24784</v>
      </c>
    </row>
    <row r="24253" spans="1:1">
      <c r="A24253" t="s">
        <v>24785</v>
      </c>
    </row>
    <row r="24254" spans="1:1">
      <c r="A24254" t="s">
        <v>24786</v>
      </c>
    </row>
    <row r="24255" spans="1:1">
      <c r="A24255" t="s">
        <v>24787</v>
      </c>
    </row>
    <row r="24256" spans="1:1">
      <c r="A24256" t="s">
        <v>24788</v>
      </c>
    </row>
    <row r="24257" spans="1:1">
      <c r="A24257" t="s">
        <v>24789</v>
      </c>
    </row>
    <row r="24258" spans="1:1">
      <c r="A24258" t="s">
        <v>24790</v>
      </c>
    </row>
    <row r="24259" spans="1:1">
      <c r="A24259" t="s">
        <v>24791</v>
      </c>
    </row>
    <row r="24260" spans="1:1">
      <c r="A24260" t="s">
        <v>24792</v>
      </c>
    </row>
    <row r="24261" spans="1:1">
      <c r="A24261" t="s">
        <v>24793</v>
      </c>
    </row>
    <row r="24262" spans="1:1">
      <c r="A24262" t="s">
        <v>24794</v>
      </c>
    </row>
    <row r="24263" spans="1:1">
      <c r="A24263" t="s">
        <v>24795</v>
      </c>
    </row>
    <row r="24264" spans="1:1">
      <c r="A24264" t="s">
        <v>24796</v>
      </c>
    </row>
    <row r="24265" spans="1:1">
      <c r="A24265" t="s">
        <v>24797</v>
      </c>
    </row>
    <row r="24266" spans="1:1">
      <c r="A24266" t="s">
        <v>24798</v>
      </c>
    </row>
    <row r="24267" spans="1:1">
      <c r="A24267" t="s">
        <v>24799</v>
      </c>
    </row>
    <row r="24268" spans="1:1">
      <c r="A24268" t="s">
        <v>24800</v>
      </c>
    </row>
    <row r="24269" spans="1:1">
      <c r="A24269" t="s">
        <v>24801</v>
      </c>
    </row>
    <row r="24270" spans="1:1">
      <c r="A24270" t="s">
        <v>24802</v>
      </c>
    </row>
    <row r="24271" spans="1:1">
      <c r="A24271" t="s">
        <v>24803</v>
      </c>
    </row>
    <row r="24272" spans="1:1">
      <c r="A24272" t="s">
        <v>24804</v>
      </c>
    </row>
    <row r="24273" spans="1:1">
      <c r="A24273" t="s">
        <v>24805</v>
      </c>
    </row>
    <row r="24274" spans="1:1">
      <c r="A24274" t="s">
        <v>24806</v>
      </c>
    </row>
    <row r="24275" spans="1:1">
      <c r="A24275" t="s">
        <v>24807</v>
      </c>
    </row>
    <row r="24276" spans="1:1">
      <c r="A24276" t="s">
        <v>24808</v>
      </c>
    </row>
    <row r="24277" spans="1:1">
      <c r="A24277" t="s">
        <v>24809</v>
      </c>
    </row>
    <row r="24278" spans="1:1">
      <c r="A24278" t="s">
        <v>24810</v>
      </c>
    </row>
    <row r="24279" spans="1:1">
      <c r="A24279" t="s">
        <v>24811</v>
      </c>
    </row>
    <row r="24280" spans="1:1">
      <c r="A24280" t="s">
        <v>24812</v>
      </c>
    </row>
    <row r="24281" spans="1:1">
      <c r="A24281" t="s">
        <v>24813</v>
      </c>
    </row>
    <row r="24282" spans="1:1">
      <c r="A24282" t="s">
        <v>24814</v>
      </c>
    </row>
    <row r="24283" spans="1:1">
      <c r="A24283" t="s">
        <v>24815</v>
      </c>
    </row>
    <row r="24284" spans="1:1">
      <c r="A24284" t="s">
        <v>24816</v>
      </c>
    </row>
    <row r="24285" spans="1:1">
      <c r="A24285" t="s">
        <v>24817</v>
      </c>
    </row>
    <row r="24286" spans="1:1">
      <c r="A24286" t="s">
        <v>24818</v>
      </c>
    </row>
    <row r="24287" spans="1:1">
      <c r="A24287" t="s">
        <v>24819</v>
      </c>
    </row>
    <row r="24288" spans="1:1">
      <c r="A24288" t="s">
        <v>24820</v>
      </c>
    </row>
    <row r="24289" spans="1:1">
      <c r="A24289" t="s">
        <v>24821</v>
      </c>
    </row>
    <row r="24290" spans="1:1">
      <c r="A24290" t="s">
        <v>24822</v>
      </c>
    </row>
    <row r="24291" spans="1:1">
      <c r="A24291" t="s">
        <v>24823</v>
      </c>
    </row>
    <row r="24292" spans="1:1">
      <c r="A24292" t="s">
        <v>24824</v>
      </c>
    </row>
    <row r="24293" spans="1:1">
      <c r="A24293" t="s">
        <v>24825</v>
      </c>
    </row>
    <row r="24294" spans="1:1">
      <c r="A24294" t="s">
        <v>24826</v>
      </c>
    </row>
    <row r="24295" spans="1:1">
      <c r="A24295" t="s">
        <v>24827</v>
      </c>
    </row>
    <row r="24296" spans="1:1">
      <c r="A24296" t="s">
        <v>24828</v>
      </c>
    </row>
    <row r="24297" spans="1:1">
      <c r="A24297" t="s">
        <v>24829</v>
      </c>
    </row>
    <row r="24298" spans="1:1">
      <c r="A24298" t="s">
        <v>24830</v>
      </c>
    </row>
    <row r="24299" spans="1:1">
      <c r="A24299" t="s">
        <v>24831</v>
      </c>
    </row>
    <row r="24300" spans="1:1">
      <c r="A24300" t="s">
        <v>24832</v>
      </c>
    </row>
    <row r="24301" spans="1:1">
      <c r="A24301" t="s">
        <v>24833</v>
      </c>
    </row>
    <row r="24302" spans="1:1">
      <c r="A24302" t="s">
        <v>24834</v>
      </c>
    </row>
    <row r="24303" spans="1:1">
      <c r="A24303" t="s">
        <v>24835</v>
      </c>
    </row>
    <row r="24304" spans="1:1">
      <c r="A24304" t="s">
        <v>24836</v>
      </c>
    </row>
    <row r="24305" spans="1:1">
      <c r="A24305" t="s">
        <v>24837</v>
      </c>
    </row>
    <row r="24306" spans="1:1">
      <c r="A24306" t="s">
        <v>24838</v>
      </c>
    </row>
    <row r="24307" spans="1:1">
      <c r="A24307" t="s">
        <v>24839</v>
      </c>
    </row>
    <row r="24308" spans="1:1">
      <c r="A24308" t="s">
        <v>24840</v>
      </c>
    </row>
    <row r="24309" spans="1:1">
      <c r="A24309" t="s">
        <v>24841</v>
      </c>
    </row>
    <row r="24310" spans="1:1">
      <c r="A24310" t="s">
        <v>24842</v>
      </c>
    </row>
    <row r="24311" spans="1:1">
      <c r="A24311" t="s">
        <v>24843</v>
      </c>
    </row>
    <row r="24312" spans="1:1">
      <c r="A24312" t="s">
        <v>24844</v>
      </c>
    </row>
    <row r="24313" spans="1:1">
      <c r="A24313" t="s">
        <v>24845</v>
      </c>
    </row>
    <row r="24314" spans="1:1">
      <c r="A24314" t="s">
        <v>24846</v>
      </c>
    </row>
    <row r="24315" spans="1:1">
      <c r="A24315" t="s">
        <v>24847</v>
      </c>
    </row>
    <row r="24316" spans="1:1">
      <c r="A24316" t="s">
        <v>24848</v>
      </c>
    </row>
    <row r="24317" spans="1:1">
      <c r="A24317" t="s">
        <v>24849</v>
      </c>
    </row>
    <row r="24318" spans="1:1">
      <c r="A24318" t="s">
        <v>24850</v>
      </c>
    </row>
    <row r="24319" spans="1:1">
      <c r="A24319" t="s">
        <v>24851</v>
      </c>
    </row>
    <row r="24320" spans="1:1">
      <c r="A24320" t="s">
        <v>24852</v>
      </c>
    </row>
    <row r="24321" spans="1:1">
      <c r="A24321" t="s">
        <v>24853</v>
      </c>
    </row>
    <row r="24322" spans="1:1">
      <c r="A24322" t="s">
        <v>24854</v>
      </c>
    </row>
    <row r="24323" spans="1:1">
      <c r="A24323" t="s">
        <v>24855</v>
      </c>
    </row>
    <row r="24324" spans="1:1">
      <c r="A24324" t="s">
        <v>24856</v>
      </c>
    </row>
    <row r="24325" spans="1:1">
      <c r="A24325" t="s">
        <v>24857</v>
      </c>
    </row>
    <row r="24326" spans="1:1">
      <c r="A24326" t="s">
        <v>24858</v>
      </c>
    </row>
    <row r="24327" spans="1:1">
      <c r="A24327" t="s">
        <v>24859</v>
      </c>
    </row>
    <row r="24328" spans="1:1">
      <c r="A24328" t="s">
        <v>24860</v>
      </c>
    </row>
    <row r="24329" spans="1:1">
      <c r="A24329" t="s">
        <v>24861</v>
      </c>
    </row>
    <row r="24330" spans="1:1">
      <c r="A24330" t="s">
        <v>24862</v>
      </c>
    </row>
    <row r="24331" spans="1:1">
      <c r="A24331" t="s">
        <v>24863</v>
      </c>
    </row>
    <row r="24332" spans="1:1">
      <c r="A24332" t="s">
        <v>24864</v>
      </c>
    </row>
    <row r="24333" spans="1:1">
      <c r="A24333" t="s">
        <v>24865</v>
      </c>
    </row>
    <row r="24334" spans="1:1">
      <c r="A24334" t="s">
        <v>24866</v>
      </c>
    </row>
    <row r="24335" spans="1:1">
      <c r="A24335" t="s">
        <v>24867</v>
      </c>
    </row>
    <row r="24336" spans="1:1">
      <c r="A24336" t="s">
        <v>24868</v>
      </c>
    </row>
    <row r="24337" spans="1:1">
      <c r="A24337" t="s">
        <v>24869</v>
      </c>
    </row>
    <row r="24338" spans="1:1">
      <c r="A24338" t="s">
        <v>24870</v>
      </c>
    </row>
    <row r="24339" spans="1:1">
      <c r="A24339" t="s">
        <v>24871</v>
      </c>
    </row>
    <row r="24340" spans="1:1">
      <c r="A24340" t="s">
        <v>24872</v>
      </c>
    </row>
    <row r="24341" spans="1:1">
      <c r="A24341" t="s">
        <v>24873</v>
      </c>
    </row>
    <row r="24342" spans="1:1">
      <c r="A24342" t="s">
        <v>24874</v>
      </c>
    </row>
    <row r="24343" spans="1:1">
      <c r="A24343" t="s">
        <v>24875</v>
      </c>
    </row>
    <row r="24344" spans="1:1">
      <c r="A24344" t="s">
        <v>24876</v>
      </c>
    </row>
    <row r="24345" spans="1:1">
      <c r="A24345" t="s">
        <v>24877</v>
      </c>
    </row>
    <row r="24346" spans="1:1">
      <c r="A24346" t="s">
        <v>24878</v>
      </c>
    </row>
    <row r="24347" spans="1:1">
      <c r="A24347" t="s">
        <v>24879</v>
      </c>
    </row>
    <row r="24348" spans="1:1">
      <c r="A24348" t="s">
        <v>24880</v>
      </c>
    </row>
    <row r="24349" spans="1:1">
      <c r="A24349" t="s">
        <v>24881</v>
      </c>
    </row>
    <row r="24350" spans="1:1">
      <c r="A24350" t="s">
        <v>24882</v>
      </c>
    </row>
    <row r="24351" spans="1:1">
      <c r="A24351" t="s">
        <v>24883</v>
      </c>
    </row>
    <row r="24352" spans="1:1">
      <c r="A24352" t="s">
        <v>24884</v>
      </c>
    </row>
    <row r="24353" spans="1:1">
      <c r="A24353" t="s">
        <v>24885</v>
      </c>
    </row>
    <row r="24354" spans="1:1">
      <c r="A24354" t="s">
        <v>24886</v>
      </c>
    </row>
    <row r="24355" spans="1:1">
      <c r="A24355" t="s">
        <v>24887</v>
      </c>
    </row>
    <row r="24356" spans="1:1">
      <c r="A24356" t="s">
        <v>24888</v>
      </c>
    </row>
    <row r="24357" spans="1:1">
      <c r="A24357" t="s">
        <v>24889</v>
      </c>
    </row>
    <row r="24358" spans="1:1">
      <c r="A24358" t="s">
        <v>24890</v>
      </c>
    </row>
    <row r="24359" spans="1:1">
      <c r="A24359" t="s">
        <v>24891</v>
      </c>
    </row>
    <row r="24360" spans="1:1">
      <c r="A24360" t="s">
        <v>24892</v>
      </c>
    </row>
    <row r="24361" spans="1:1">
      <c r="A24361" t="s">
        <v>24893</v>
      </c>
    </row>
    <row r="24362" spans="1:1">
      <c r="A24362" t="s">
        <v>24894</v>
      </c>
    </row>
    <row r="24363" spans="1:1">
      <c r="A24363" t="s">
        <v>24895</v>
      </c>
    </row>
    <row r="24364" spans="1:1">
      <c r="A24364" t="s">
        <v>24896</v>
      </c>
    </row>
    <row r="24365" spans="1:1">
      <c r="A24365" t="s">
        <v>24897</v>
      </c>
    </row>
    <row r="24366" spans="1:1">
      <c r="A24366" t="s">
        <v>24898</v>
      </c>
    </row>
    <row r="24367" spans="1:1">
      <c r="A24367" t="s">
        <v>24899</v>
      </c>
    </row>
    <row r="24368" spans="1:1">
      <c r="A24368" t="s">
        <v>24900</v>
      </c>
    </row>
    <row r="24369" spans="1:1">
      <c r="A24369" t="s">
        <v>24901</v>
      </c>
    </row>
    <row r="24370" spans="1:1">
      <c r="A24370" t="s">
        <v>24902</v>
      </c>
    </row>
    <row r="24371" spans="1:1">
      <c r="A24371" t="s">
        <v>24903</v>
      </c>
    </row>
    <row r="24372" spans="1:1">
      <c r="A24372" t="s">
        <v>24904</v>
      </c>
    </row>
    <row r="24373" spans="1:1">
      <c r="A24373" t="s">
        <v>24905</v>
      </c>
    </row>
    <row r="24374" spans="1:1">
      <c r="A24374" t="s">
        <v>24906</v>
      </c>
    </row>
    <row r="24375" spans="1:1">
      <c r="A24375" t="s">
        <v>24907</v>
      </c>
    </row>
    <row r="24376" spans="1:1">
      <c r="A24376" t="s">
        <v>24908</v>
      </c>
    </row>
    <row r="24377" spans="1:1">
      <c r="A24377" t="s">
        <v>24909</v>
      </c>
    </row>
    <row r="24378" spans="1:1">
      <c r="A24378" t="s">
        <v>24910</v>
      </c>
    </row>
    <row r="24379" spans="1:1">
      <c r="A24379" t="s">
        <v>24911</v>
      </c>
    </row>
    <row r="24380" spans="1:1">
      <c r="A24380" t="s">
        <v>24912</v>
      </c>
    </row>
    <row r="24381" spans="1:1">
      <c r="A24381" t="s">
        <v>24913</v>
      </c>
    </row>
    <row r="24382" spans="1:1">
      <c r="A24382" t="s">
        <v>24914</v>
      </c>
    </row>
    <row r="24383" spans="1:1">
      <c r="A24383" t="s">
        <v>24915</v>
      </c>
    </row>
    <row r="24384" spans="1:1">
      <c r="A24384" t="s">
        <v>24916</v>
      </c>
    </row>
    <row r="24385" spans="1:1">
      <c r="A24385" t="s">
        <v>24917</v>
      </c>
    </row>
    <row r="24386" spans="1:1">
      <c r="A24386" t="s">
        <v>24918</v>
      </c>
    </row>
    <row r="24387" spans="1:1">
      <c r="A24387" t="s">
        <v>24919</v>
      </c>
    </row>
    <row r="24388" spans="1:1">
      <c r="A24388" t="s">
        <v>24920</v>
      </c>
    </row>
    <row r="24389" spans="1:1">
      <c r="A24389" t="s">
        <v>24921</v>
      </c>
    </row>
    <row r="24390" spans="1:1">
      <c r="A24390" t="s">
        <v>24922</v>
      </c>
    </row>
    <row r="24391" spans="1:1">
      <c r="A24391" t="s">
        <v>24923</v>
      </c>
    </row>
    <row r="24392" spans="1:1">
      <c r="A24392" t="s">
        <v>24924</v>
      </c>
    </row>
    <row r="24393" spans="1:1">
      <c r="A24393" t="s">
        <v>24925</v>
      </c>
    </row>
    <row r="24394" spans="1:1">
      <c r="A24394" t="s">
        <v>24926</v>
      </c>
    </row>
    <row r="24395" spans="1:1">
      <c r="A24395" t="s">
        <v>24927</v>
      </c>
    </row>
    <row r="24396" spans="1:1">
      <c r="A24396" t="s">
        <v>24928</v>
      </c>
    </row>
    <row r="24397" spans="1:1">
      <c r="A24397" t="s">
        <v>24929</v>
      </c>
    </row>
    <row r="24398" spans="1:1">
      <c r="A24398" t="s">
        <v>24930</v>
      </c>
    </row>
    <row r="24399" spans="1:1">
      <c r="A24399" t="s">
        <v>24931</v>
      </c>
    </row>
    <row r="24400" spans="1:1">
      <c r="A24400" t="s">
        <v>24932</v>
      </c>
    </row>
    <row r="24401" spans="1:1">
      <c r="A24401" t="s">
        <v>24933</v>
      </c>
    </row>
    <row r="24402" spans="1:1">
      <c r="A24402" t="s">
        <v>24934</v>
      </c>
    </row>
    <row r="24403" spans="1:1">
      <c r="A24403" t="s">
        <v>24935</v>
      </c>
    </row>
    <row r="24404" spans="1:1">
      <c r="A24404" t="s">
        <v>24936</v>
      </c>
    </row>
    <row r="24405" spans="1:1">
      <c r="A24405" t="s">
        <v>24937</v>
      </c>
    </row>
    <row r="24406" spans="1:1">
      <c r="A24406" t="s">
        <v>24938</v>
      </c>
    </row>
    <row r="24407" spans="1:1">
      <c r="A24407" t="s">
        <v>24939</v>
      </c>
    </row>
    <row r="24408" spans="1:1">
      <c r="A24408" t="s">
        <v>24940</v>
      </c>
    </row>
    <row r="24409" spans="1:1">
      <c r="A24409" t="s">
        <v>24941</v>
      </c>
    </row>
    <row r="24410" spans="1:1">
      <c r="A24410" t="s">
        <v>24942</v>
      </c>
    </row>
    <row r="24411" spans="1:1">
      <c r="A24411" t="s">
        <v>24943</v>
      </c>
    </row>
    <row r="24412" spans="1:1">
      <c r="A24412" t="s">
        <v>24944</v>
      </c>
    </row>
    <row r="24413" spans="1:1">
      <c r="A24413" t="s">
        <v>24945</v>
      </c>
    </row>
    <row r="24414" spans="1:1">
      <c r="A24414" t="s">
        <v>24946</v>
      </c>
    </row>
    <row r="24415" spans="1:1">
      <c r="A24415" t="s">
        <v>24947</v>
      </c>
    </row>
    <row r="24416" spans="1:1">
      <c r="A24416" t="s">
        <v>24948</v>
      </c>
    </row>
    <row r="24417" spans="1:1">
      <c r="A24417" t="s">
        <v>24949</v>
      </c>
    </row>
    <row r="24418" spans="1:1">
      <c r="A24418" t="s">
        <v>24950</v>
      </c>
    </row>
    <row r="24419" spans="1:1">
      <c r="A24419" t="s">
        <v>24951</v>
      </c>
    </row>
    <row r="24420" spans="1:1">
      <c r="A24420" t="s">
        <v>24952</v>
      </c>
    </row>
    <row r="24421" spans="1:1">
      <c r="A24421" t="s">
        <v>24953</v>
      </c>
    </row>
    <row r="24422" spans="1:1">
      <c r="A24422" t="s">
        <v>24954</v>
      </c>
    </row>
    <row r="24423" spans="1:1">
      <c r="A24423" t="s">
        <v>24955</v>
      </c>
    </row>
    <row r="24424" spans="1:1">
      <c r="A24424" t="s">
        <v>24956</v>
      </c>
    </row>
    <row r="24425" spans="1:1">
      <c r="A24425" t="s">
        <v>24957</v>
      </c>
    </row>
    <row r="24426" spans="1:1">
      <c r="A24426" t="s">
        <v>24958</v>
      </c>
    </row>
    <row r="24427" spans="1:1">
      <c r="A24427" t="s">
        <v>24959</v>
      </c>
    </row>
    <row r="24428" spans="1:1">
      <c r="A24428" t="s">
        <v>24960</v>
      </c>
    </row>
    <row r="24429" spans="1:1">
      <c r="A24429" t="s">
        <v>24961</v>
      </c>
    </row>
    <row r="24430" spans="1:1">
      <c r="A24430" t="s">
        <v>24962</v>
      </c>
    </row>
    <row r="24431" spans="1:1">
      <c r="A24431" t="s">
        <v>24963</v>
      </c>
    </row>
    <row r="24432" spans="1:1">
      <c r="A24432" t="s">
        <v>24964</v>
      </c>
    </row>
    <row r="24433" spans="1:1">
      <c r="A24433" t="s">
        <v>24965</v>
      </c>
    </row>
    <row r="24434" spans="1:1">
      <c r="A24434" t="s">
        <v>24966</v>
      </c>
    </row>
    <row r="24435" spans="1:1">
      <c r="A24435" t="s">
        <v>24967</v>
      </c>
    </row>
    <row r="24436" spans="1:1">
      <c r="A24436" t="s">
        <v>24968</v>
      </c>
    </row>
    <row r="24437" spans="1:1">
      <c r="A24437" t="s">
        <v>24969</v>
      </c>
    </row>
    <row r="24438" spans="1:1">
      <c r="A24438" t="s">
        <v>24970</v>
      </c>
    </row>
    <row r="24439" spans="1:1">
      <c r="A24439" t="s">
        <v>24971</v>
      </c>
    </row>
    <row r="24440" spans="1:1">
      <c r="A24440" t="s">
        <v>24972</v>
      </c>
    </row>
    <row r="24441" spans="1:1">
      <c r="A24441" t="s">
        <v>24973</v>
      </c>
    </row>
    <row r="24442" spans="1:1">
      <c r="A24442" t="s">
        <v>24974</v>
      </c>
    </row>
    <row r="24443" spans="1:1">
      <c r="A24443" t="s">
        <v>24975</v>
      </c>
    </row>
    <row r="24444" spans="1:1">
      <c r="A24444" t="s">
        <v>24976</v>
      </c>
    </row>
    <row r="24445" spans="1:1">
      <c r="A24445" t="s">
        <v>24977</v>
      </c>
    </row>
    <row r="24446" spans="1:1">
      <c r="A24446" t="s">
        <v>24978</v>
      </c>
    </row>
    <row r="24447" spans="1:1">
      <c r="A24447" t="s">
        <v>24979</v>
      </c>
    </row>
    <row r="24448" spans="1:1">
      <c r="A24448" t="s">
        <v>24980</v>
      </c>
    </row>
    <row r="24449" spans="1:1">
      <c r="A24449" t="s">
        <v>24981</v>
      </c>
    </row>
    <row r="24450" spans="1:1">
      <c r="A24450" t="s">
        <v>24982</v>
      </c>
    </row>
    <row r="24451" spans="1:1">
      <c r="A24451" t="s">
        <v>24983</v>
      </c>
    </row>
    <row r="24452" spans="1:1">
      <c r="A24452" t="s">
        <v>24984</v>
      </c>
    </row>
    <row r="24453" spans="1:1">
      <c r="A24453" t="s">
        <v>24985</v>
      </c>
    </row>
    <row r="24454" spans="1:1">
      <c r="A24454" t="s">
        <v>24986</v>
      </c>
    </row>
    <row r="24455" spans="1:1">
      <c r="A24455" t="s">
        <v>24987</v>
      </c>
    </row>
    <row r="24456" spans="1:1">
      <c r="A24456" t="s">
        <v>24988</v>
      </c>
    </row>
    <row r="24457" spans="1:1">
      <c r="A24457" t="s">
        <v>24989</v>
      </c>
    </row>
    <row r="24458" spans="1:1">
      <c r="A24458" t="s">
        <v>24990</v>
      </c>
    </row>
    <row r="24459" spans="1:1">
      <c r="A24459" t="s">
        <v>24991</v>
      </c>
    </row>
    <row r="24460" spans="1:1">
      <c r="A24460" t="s">
        <v>24992</v>
      </c>
    </row>
    <row r="24461" spans="1:1">
      <c r="A24461" t="s">
        <v>24993</v>
      </c>
    </row>
    <row r="24462" spans="1:1">
      <c r="A24462" t="s">
        <v>24994</v>
      </c>
    </row>
    <row r="24463" spans="1:1">
      <c r="A24463" t="s">
        <v>24995</v>
      </c>
    </row>
    <row r="24464" spans="1:1">
      <c r="A24464" t="s">
        <v>24996</v>
      </c>
    </row>
    <row r="24465" spans="1:1">
      <c r="A24465" t="s">
        <v>24997</v>
      </c>
    </row>
    <row r="24466" spans="1:1">
      <c r="A24466" t="s">
        <v>24998</v>
      </c>
    </row>
    <row r="24467" spans="1:1">
      <c r="A24467" t="s">
        <v>24999</v>
      </c>
    </row>
    <row r="24468" spans="1:1">
      <c r="A24468" t="s">
        <v>25000</v>
      </c>
    </row>
    <row r="24469" spans="1:1">
      <c r="A24469" t="s">
        <v>25001</v>
      </c>
    </row>
    <row r="24470" spans="1:1">
      <c r="A24470" t="s">
        <v>25002</v>
      </c>
    </row>
    <row r="24471" spans="1:1">
      <c r="A24471" t="s">
        <v>25003</v>
      </c>
    </row>
    <row r="24472" spans="1:1">
      <c r="A24472" t="s">
        <v>25004</v>
      </c>
    </row>
    <row r="24473" spans="1:1">
      <c r="A24473" t="s">
        <v>25005</v>
      </c>
    </row>
    <row r="24474" spans="1:1">
      <c r="A24474" t="s">
        <v>25006</v>
      </c>
    </row>
    <row r="24475" spans="1:1">
      <c r="A24475" t="s">
        <v>25007</v>
      </c>
    </row>
    <row r="24476" spans="1:1">
      <c r="A24476" t="s">
        <v>25008</v>
      </c>
    </row>
    <row r="24477" spans="1:1">
      <c r="A24477" t="s">
        <v>25009</v>
      </c>
    </row>
    <row r="24478" spans="1:1">
      <c r="A24478" t="s">
        <v>25010</v>
      </c>
    </row>
    <row r="24479" spans="1:1">
      <c r="A24479" t="s">
        <v>25011</v>
      </c>
    </row>
    <row r="24480" spans="1:1">
      <c r="A24480" t="s">
        <v>25012</v>
      </c>
    </row>
    <row r="24481" spans="1:1">
      <c r="A24481" t="s">
        <v>25013</v>
      </c>
    </row>
    <row r="24482" spans="1:1">
      <c r="A24482" t="s">
        <v>25014</v>
      </c>
    </row>
    <row r="24483" spans="1:1">
      <c r="A24483" t="s">
        <v>25015</v>
      </c>
    </row>
    <row r="24484" spans="1:1">
      <c r="A24484" t="s">
        <v>25016</v>
      </c>
    </row>
    <row r="24485" spans="1:1">
      <c r="A24485" t="s">
        <v>25017</v>
      </c>
    </row>
    <row r="24486" spans="1:1">
      <c r="A24486" t="s">
        <v>25018</v>
      </c>
    </row>
    <row r="24487" spans="1:1">
      <c r="A24487" t="s">
        <v>25019</v>
      </c>
    </row>
    <row r="24488" spans="1:1">
      <c r="A24488" t="s">
        <v>25020</v>
      </c>
    </row>
    <row r="24489" spans="1:1">
      <c r="A24489" t="s">
        <v>25021</v>
      </c>
    </row>
    <row r="24490" spans="1:1">
      <c r="A24490" t="s">
        <v>25022</v>
      </c>
    </row>
    <row r="24491" spans="1:1">
      <c r="A24491" t="s">
        <v>25023</v>
      </c>
    </row>
    <row r="24492" spans="1:1">
      <c r="A24492" t="s">
        <v>25024</v>
      </c>
    </row>
    <row r="24493" spans="1:1">
      <c r="A24493" t="s">
        <v>25025</v>
      </c>
    </row>
    <row r="24494" spans="1:1">
      <c r="A24494" t="s">
        <v>25026</v>
      </c>
    </row>
    <row r="24495" spans="1:1">
      <c r="A24495" t="s">
        <v>25027</v>
      </c>
    </row>
    <row r="24496" spans="1:1">
      <c r="A24496" t="s">
        <v>25028</v>
      </c>
    </row>
    <row r="24497" spans="1:1">
      <c r="A24497" t="s">
        <v>25029</v>
      </c>
    </row>
    <row r="24498" spans="1:1">
      <c r="A24498" t="s">
        <v>25030</v>
      </c>
    </row>
    <row r="24499" spans="1:1">
      <c r="A24499" t="s">
        <v>25031</v>
      </c>
    </row>
    <row r="24500" spans="1:1">
      <c r="A24500" t="s">
        <v>25032</v>
      </c>
    </row>
    <row r="24501" spans="1:1">
      <c r="A24501" t="s">
        <v>25033</v>
      </c>
    </row>
    <row r="24502" spans="1:1">
      <c r="A24502" t="s">
        <v>25034</v>
      </c>
    </row>
    <row r="24503" spans="1:1">
      <c r="A24503" t="s">
        <v>25035</v>
      </c>
    </row>
    <row r="24504" spans="1:1">
      <c r="A24504" t="s">
        <v>25036</v>
      </c>
    </row>
    <row r="24505" spans="1:1">
      <c r="A24505" t="s">
        <v>25037</v>
      </c>
    </row>
    <row r="24506" spans="1:1">
      <c r="A24506" t="s">
        <v>25038</v>
      </c>
    </row>
    <row r="24507" spans="1:1">
      <c r="A24507" t="s">
        <v>25039</v>
      </c>
    </row>
    <row r="24508" spans="1:1">
      <c r="A24508" t="s">
        <v>25040</v>
      </c>
    </row>
    <row r="24509" spans="1:1">
      <c r="A24509" t="s">
        <v>25041</v>
      </c>
    </row>
    <row r="24510" spans="1:1">
      <c r="A24510" t="s">
        <v>25042</v>
      </c>
    </row>
    <row r="24511" spans="1:1">
      <c r="A24511" t="s">
        <v>25043</v>
      </c>
    </row>
    <row r="24512" spans="1:1">
      <c r="A24512" t="s">
        <v>25044</v>
      </c>
    </row>
    <row r="24513" spans="1:1">
      <c r="A24513" t="s">
        <v>25045</v>
      </c>
    </row>
    <row r="24514" spans="1:1">
      <c r="A24514" t="s">
        <v>25046</v>
      </c>
    </row>
    <row r="24515" spans="1:1">
      <c r="A24515" t="s">
        <v>25047</v>
      </c>
    </row>
    <row r="24516" spans="1:1">
      <c r="A24516" t="s">
        <v>25048</v>
      </c>
    </row>
    <row r="24517" spans="1:1">
      <c r="A24517" t="s">
        <v>25049</v>
      </c>
    </row>
    <row r="24518" spans="1:1">
      <c r="A24518" t="s">
        <v>25050</v>
      </c>
    </row>
    <row r="24519" spans="1:1">
      <c r="A24519" t="s">
        <v>25051</v>
      </c>
    </row>
    <row r="24520" spans="1:1">
      <c r="A24520" t="s">
        <v>25052</v>
      </c>
    </row>
    <row r="24521" spans="1:1">
      <c r="A24521" t="s">
        <v>25053</v>
      </c>
    </row>
    <row r="24522" spans="1:1">
      <c r="A24522" t="s">
        <v>25054</v>
      </c>
    </row>
    <row r="24523" spans="1:1">
      <c r="A24523" t="s">
        <v>25055</v>
      </c>
    </row>
    <row r="24524" spans="1:1">
      <c r="A24524" t="s">
        <v>25056</v>
      </c>
    </row>
    <row r="24525" spans="1:1">
      <c r="A24525" t="s">
        <v>25057</v>
      </c>
    </row>
    <row r="24526" spans="1:1">
      <c r="A24526" t="s">
        <v>25058</v>
      </c>
    </row>
    <row r="24527" spans="1:1">
      <c r="A24527" t="s">
        <v>25059</v>
      </c>
    </row>
    <row r="24528" spans="1:1">
      <c r="A24528" t="s">
        <v>25060</v>
      </c>
    </row>
    <row r="24529" spans="1:1">
      <c r="A24529" t="s">
        <v>25061</v>
      </c>
    </row>
    <row r="24530" spans="1:1">
      <c r="A24530" t="s">
        <v>25062</v>
      </c>
    </row>
    <row r="24531" spans="1:1">
      <c r="A24531" t="s">
        <v>25063</v>
      </c>
    </row>
    <row r="24532" spans="1:1">
      <c r="A24532" t="s">
        <v>25064</v>
      </c>
    </row>
    <row r="24533" spans="1:1">
      <c r="A24533" t="s">
        <v>25065</v>
      </c>
    </row>
    <row r="24534" spans="1:1">
      <c r="A24534" t="s">
        <v>25066</v>
      </c>
    </row>
    <row r="24535" spans="1:1">
      <c r="A24535" t="s">
        <v>25067</v>
      </c>
    </row>
    <row r="24536" spans="1:1">
      <c r="A24536" t="s">
        <v>25068</v>
      </c>
    </row>
    <row r="24537" spans="1:1">
      <c r="A24537" t="s">
        <v>25069</v>
      </c>
    </row>
    <row r="24538" spans="1:1">
      <c r="A24538" t="s">
        <v>25070</v>
      </c>
    </row>
    <row r="24539" spans="1:1">
      <c r="A24539" t="s">
        <v>25071</v>
      </c>
    </row>
    <row r="24540" spans="1:1">
      <c r="A24540" t="s">
        <v>25072</v>
      </c>
    </row>
    <row r="24541" spans="1:1">
      <c r="A24541" t="s">
        <v>25073</v>
      </c>
    </row>
    <row r="24542" spans="1:1">
      <c r="A24542" t="s">
        <v>25074</v>
      </c>
    </row>
    <row r="24543" spans="1:1">
      <c r="A24543" t="s">
        <v>25075</v>
      </c>
    </row>
    <row r="24544" spans="1:1">
      <c r="A24544" t="s">
        <v>25076</v>
      </c>
    </row>
    <row r="24545" spans="1:1">
      <c r="A24545" t="s">
        <v>25077</v>
      </c>
    </row>
    <row r="24546" spans="1:1">
      <c r="A24546" t="s">
        <v>25078</v>
      </c>
    </row>
    <row r="24547" spans="1:1">
      <c r="A24547" t="s">
        <v>25079</v>
      </c>
    </row>
    <row r="24548" spans="1:1">
      <c r="A24548" t="s">
        <v>25080</v>
      </c>
    </row>
    <row r="24549" spans="1:1">
      <c r="A24549" t="s">
        <v>25081</v>
      </c>
    </row>
    <row r="24550" spans="1:1">
      <c r="A24550" t="s">
        <v>25082</v>
      </c>
    </row>
    <row r="24551" spans="1:1">
      <c r="A24551" t="s">
        <v>25083</v>
      </c>
    </row>
    <row r="24552" spans="1:1">
      <c r="A24552" t="s">
        <v>25084</v>
      </c>
    </row>
    <row r="24553" spans="1:1">
      <c r="A24553" t="s">
        <v>25085</v>
      </c>
    </row>
    <row r="24554" spans="1:1">
      <c r="A24554" t="s">
        <v>25086</v>
      </c>
    </row>
    <row r="24555" spans="1:1">
      <c r="A24555" t="s">
        <v>25087</v>
      </c>
    </row>
    <row r="24556" spans="1:1">
      <c r="A24556" t="s">
        <v>25088</v>
      </c>
    </row>
    <row r="24557" spans="1:1">
      <c r="A24557" t="s">
        <v>25089</v>
      </c>
    </row>
    <row r="24558" spans="1:1">
      <c r="A24558" t="s">
        <v>25090</v>
      </c>
    </row>
    <row r="24559" spans="1:1">
      <c r="A24559" t="s">
        <v>25091</v>
      </c>
    </row>
    <row r="24560" spans="1:1">
      <c r="A24560" t="s">
        <v>25092</v>
      </c>
    </row>
    <row r="24561" spans="1:1">
      <c r="A24561" t="s">
        <v>25093</v>
      </c>
    </row>
    <row r="24562" spans="1:1">
      <c r="A24562" t="s">
        <v>25094</v>
      </c>
    </row>
    <row r="24563" spans="1:1">
      <c r="A24563" t="s">
        <v>25095</v>
      </c>
    </row>
    <row r="24564" spans="1:1">
      <c r="A24564" t="s">
        <v>25096</v>
      </c>
    </row>
    <row r="24565" spans="1:1">
      <c r="A24565" t="s">
        <v>25097</v>
      </c>
    </row>
    <row r="24566" spans="1:1">
      <c r="A24566" t="s">
        <v>25098</v>
      </c>
    </row>
    <row r="24567" spans="1:1">
      <c r="A24567" t="s">
        <v>25099</v>
      </c>
    </row>
    <row r="24568" spans="1:1">
      <c r="A24568" t="s">
        <v>25100</v>
      </c>
    </row>
    <row r="24569" spans="1:1">
      <c r="A24569" t="s">
        <v>25101</v>
      </c>
    </row>
    <row r="24570" spans="1:1">
      <c r="A24570" t="s">
        <v>25102</v>
      </c>
    </row>
    <row r="24571" spans="1:1">
      <c r="A24571" t="s">
        <v>25103</v>
      </c>
    </row>
    <row r="24572" spans="1:1">
      <c r="A24572" t="s">
        <v>25104</v>
      </c>
    </row>
    <row r="24573" spans="1:1">
      <c r="A24573" t="s">
        <v>25105</v>
      </c>
    </row>
    <row r="24574" spans="1:1">
      <c r="A24574" t="s">
        <v>25106</v>
      </c>
    </row>
    <row r="24575" spans="1:1">
      <c r="A24575" t="s">
        <v>25107</v>
      </c>
    </row>
    <row r="24576" spans="1:1">
      <c r="A24576" t="s">
        <v>25108</v>
      </c>
    </row>
    <row r="24577" spans="1:1">
      <c r="A24577" t="s">
        <v>25109</v>
      </c>
    </row>
    <row r="24578" spans="1:1">
      <c r="A24578" t="s">
        <v>25110</v>
      </c>
    </row>
    <row r="24579" spans="1:1">
      <c r="A24579" t="s">
        <v>25111</v>
      </c>
    </row>
    <row r="24580" spans="1:1">
      <c r="A24580" t="s">
        <v>25112</v>
      </c>
    </row>
    <row r="24581" spans="1:1">
      <c r="A24581" t="s">
        <v>25113</v>
      </c>
    </row>
    <row r="24582" spans="1:1">
      <c r="A24582" t="s">
        <v>25114</v>
      </c>
    </row>
    <row r="24583" spans="1:1">
      <c r="A24583" t="s">
        <v>25115</v>
      </c>
    </row>
    <row r="24584" spans="1:1">
      <c r="A24584" t="s">
        <v>25116</v>
      </c>
    </row>
    <row r="24585" spans="1:1">
      <c r="A24585" t="s">
        <v>25117</v>
      </c>
    </row>
    <row r="24586" spans="1:1">
      <c r="A24586" t="s">
        <v>25118</v>
      </c>
    </row>
    <row r="24587" spans="1:1">
      <c r="A24587" t="s">
        <v>25119</v>
      </c>
    </row>
    <row r="24588" spans="1:1">
      <c r="A24588" t="s">
        <v>25120</v>
      </c>
    </row>
    <row r="24589" spans="1:1">
      <c r="A24589" t="s">
        <v>25121</v>
      </c>
    </row>
    <row r="24590" spans="1:1">
      <c r="A24590" t="s">
        <v>25122</v>
      </c>
    </row>
    <row r="24591" spans="1:1">
      <c r="A24591" t="s">
        <v>25123</v>
      </c>
    </row>
    <row r="24592" spans="1:1">
      <c r="A24592" t="s">
        <v>25124</v>
      </c>
    </row>
    <row r="24593" spans="1:1">
      <c r="A24593" t="s">
        <v>25125</v>
      </c>
    </row>
    <row r="24594" spans="1:1">
      <c r="A24594" t="s">
        <v>25126</v>
      </c>
    </row>
    <row r="24595" spans="1:1">
      <c r="A24595" t="s">
        <v>25127</v>
      </c>
    </row>
    <row r="24596" spans="1:1">
      <c r="A24596" t="s">
        <v>25128</v>
      </c>
    </row>
    <row r="24597" spans="1:1">
      <c r="A24597" t="s">
        <v>25129</v>
      </c>
    </row>
    <row r="24598" spans="1:1">
      <c r="A24598" t="s">
        <v>25130</v>
      </c>
    </row>
    <row r="24599" spans="1:1">
      <c r="A24599" t="s">
        <v>25131</v>
      </c>
    </row>
    <row r="24600" spans="1:1">
      <c r="A24600" t="s">
        <v>25132</v>
      </c>
    </row>
    <row r="24601" spans="1:1">
      <c r="A24601" t="s">
        <v>25133</v>
      </c>
    </row>
    <row r="24602" spans="1:1">
      <c r="A24602" t="s">
        <v>25134</v>
      </c>
    </row>
    <row r="24603" spans="1:1">
      <c r="A24603" t="s">
        <v>25135</v>
      </c>
    </row>
    <row r="24604" spans="1:1">
      <c r="A24604" t="s">
        <v>25136</v>
      </c>
    </row>
    <row r="24605" spans="1:1">
      <c r="A24605" t="s">
        <v>25137</v>
      </c>
    </row>
    <row r="24606" spans="1:1">
      <c r="A24606" t="s">
        <v>25138</v>
      </c>
    </row>
    <row r="24607" spans="1:1">
      <c r="A24607" t="s">
        <v>25139</v>
      </c>
    </row>
    <row r="24608" spans="1:1">
      <c r="A24608" t="s">
        <v>25140</v>
      </c>
    </row>
    <row r="24609" spans="1:1">
      <c r="A24609" t="s">
        <v>25141</v>
      </c>
    </row>
    <row r="24610" spans="1:1">
      <c r="A24610" t="s">
        <v>25142</v>
      </c>
    </row>
    <row r="24611" spans="1:1">
      <c r="A24611" t="s">
        <v>25143</v>
      </c>
    </row>
    <row r="24612" spans="1:1">
      <c r="A24612" t="s">
        <v>25144</v>
      </c>
    </row>
    <row r="24613" spans="1:1">
      <c r="A24613" t="s">
        <v>25145</v>
      </c>
    </row>
    <row r="24614" spans="1:1">
      <c r="A24614" t="s">
        <v>25146</v>
      </c>
    </row>
    <row r="24615" spans="1:1">
      <c r="A24615" t="s">
        <v>25147</v>
      </c>
    </row>
    <row r="24616" spans="1:1">
      <c r="A24616" t="s">
        <v>25148</v>
      </c>
    </row>
    <row r="24617" spans="1:1">
      <c r="A24617" t="s">
        <v>25149</v>
      </c>
    </row>
    <row r="24618" spans="1:1">
      <c r="A24618" t="s">
        <v>25150</v>
      </c>
    </row>
    <row r="24619" spans="1:1">
      <c r="A24619" t="s">
        <v>25151</v>
      </c>
    </row>
    <row r="24620" spans="1:1">
      <c r="A24620" t="s">
        <v>25152</v>
      </c>
    </row>
    <row r="24621" spans="1:1">
      <c r="A24621" t="s">
        <v>25153</v>
      </c>
    </row>
    <row r="24622" spans="1:1">
      <c r="A24622" t="s">
        <v>25154</v>
      </c>
    </row>
    <row r="24623" spans="1:1">
      <c r="A24623" t="s">
        <v>25155</v>
      </c>
    </row>
    <row r="24624" spans="1:1">
      <c r="A24624" t="s">
        <v>25156</v>
      </c>
    </row>
    <row r="24625" spans="1:1">
      <c r="A24625" t="s">
        <v>25157</v>
      </c>
    </row>
    <row r="24626" spans="1:1">
      <c r="A24626" t="s">
        <v>25158</v>
      </c>
    </row>
    <row r="24627" spans="1:1">
      <c r="A24627" t="s">
        <v>25159</v>
      </c>
    </row>
    <row r="24628" spans="1:1">
      <c r="A24628" t="s">
        <v>25160</v>
      </c>
    </row>
    <row r="24629" spans="1:1">
      <c r="A24629" t="s">
        <v>25161</v>
      </c>
    </row>
    <row r="24630" spans="1:1">
      <c r="A24630" t="s">
        <v>25162</v>
      </c>
    </row>
    <row r="24631" spans="1:1">
      <c r="A24631" t="s">
        <v>25163</v>
      </c>
    </row>
    <row r="24632" spans="1:1">
      <c r="A24632" t="s">
        <v>25164</v>
      </c>
    </row>
    <row r="24633" spans="1:1">
      <c r="A24633" t="s">
        <v>25165</v>
      </c>
    </row>
    <row r="24634" spans="1:1">
      <c r="A24634" t="s">
        <v>25166</v>
      </c>
    </row>
    <row r="24635" spans="1:1">
      <c r="A24635" t="s">
        <v>25167</v>
      </c>
    </row>
    <row r="24636" spans="1:1">
      <c r="A24636" t="s">
        <v>25168</v>
      </c>
    </row>
    <row r="24637" spans="1:1">
      <c r="A24637" t="s">
        <v>25169</v>
      </c>
    </row>
    <row r="24638" spans="1:1">
      <c r="A24638" t="s">
        <v>25170</v>
      </c>
    </row>
    <row r="24639" spans="1:1">
      <c r="A24639" t="s">
        <v>25171</v>
      </c>
    </row>
    <row r="24640" spans="1:1">
      <c r="A24640" t="s">
        <v>25172</v>
      </c>
    </row>
    <row r="24641" spans="1:1">
      <c r="A24641" t="s">
        <v>25173</v>
      </c>
    </row>
    <row r="24642" spans="1:1">
      <c r="A24642" t="s">
        <v>25174</v>
      </c>
    </row>
    <row r="24643" spans="1:1">
      <c r="A24643" t="s">
        <v>25175</v>
      </c>
    </row>
    <row r="24644" spans="1:1">
      <c r="A24644" t="s">
        <v>25176</v>
      </c>
    </row>
    <row r="24645" spans="1:1">
      <c r="A24645" t="s">
        <v>25177</v>
      </c>
    </row>
    <row r="24646" spans="1:1">
      <c r="A24646" t="s">
        <v>25178</v>
      </c>
    </row>
    <row r="24647" spans="1:1">
      <c r="A24647" t="s">
        <v>25179</v>
      </c>
    </row>
    <row r="24648" spans="1:1">
      <c r="A24648" t="s">
        <v>25180</v>
      </c>
    </row>
    <row r="24649" spans="1:1">
      <c r="A24649" t="s">
        <v>25181</v>
      </c>
    </row>
    <row r="24650" spans="1:1">
      <c r="A24650" t="s">
        <v>25182</v>
      </c>
    </row>
    <row r="24651" spans="1:1">
      <c r="A24651" t="s">
        <v>25183</v>
      </c>
    </row>
    <row r="24652" spans="1:1">
      <c r="A24652" t="s">
        <v>25184</v>
      </c>
    </row>
    <row r="24653" spans="1:1">
      <c r="A24653" t="s">
        <v>25185</v>
      </c>
    </row>
    <row r="24654" spans="1:1">
      <c r="A24654" t="s">
        <v>25186</v>
      </c>
    </row>
    <row r="24655" spans="1:1">
      <c r="A24655" t="s">
        <v>25187</v>
      </c>
    </row>
    <row r="24656" spans="1:1">
      <c r="A24656" t="s">
        <v>25188</v>
      </c>
    </row>
    <row r="24657" spans="1:1">
      <c r="A24657" t="s">
        <v>25189</v>
      </c>
    </row>
    <row r="24658" spans="1:1">
      <c r="A24658" t="s">
        <v>25190</v>
      </c>
    </row>
    <row r="24659" spans="1:1">
      <c r="A24659" t="s">
        <v>25191</v>
      </c>
    </row>
    <row r="24660" spans="1:1">
      <c r="A24660" t="s">
        <v>25192</v>
      </c>
    </row>
    <row r="24661" spans="1:1">
      <c r="A24661" t="s">
        <v>25193</v>
      </c>
    </row>
    <row r="24662" spans="1:1">
      <c r="A24662" t="s">
        <v>25194</v>
      </c>
    </row>
    <row r="24663" spans="1:1">
      <c r="A24663" t="s">
        <v>25195</v>
      </c>
    </row>
    <row r="24664" spans="1:1">
      <c r="A24664" t="s">
        <v>25196</v>
      </c>
    </row>
    <row r="24665" spans="1:1">
      <c r="A24665" t="s">
        <v>25197</v>
      </c>
    </row>
    <row r="24666" spans="1:1">
      <c r="A24666" t="s">
        <v>25198</v>
      </c>
    </row>
    <row r="24667" spans="1:1">
      <c r="A24667" t="s">
        <v>25199</v>
      </c>
    </row>
    <row r="24668" spans="1:1">
      <c r="A24668" t="s">
        <v>25200</v>
      </c>
    </row>
    <row r="24669" spans="1:1">
      <c r="A24669" t="s">
        <v>25201</v>
      </c>
    </row>
    <row r="24670" spans="1:1">
      <c r="A24670" t="s">
        <v>25202</v>
      </c>
    </row>
    <row r="24671" spans="1:1">
      <c r="A24671" t="s">
        <v>25203</v>
      </c>
    </row>
    <row r="24672" spans="1:1">
      <c r="A24672" t="s">
        <v>25204</v>
      </c>
    </row>
    <row r="24673" spans="1:1">
      <c r="A24673" t="s">
        <v>25205</v>
      </c>
    </row>
    <row r="24674" spans="1:1">
      <c r="A24674" t="s">
        <v>25206</v>
      </c>
    </row>
    <row r="24675" spans="1:1">
      <c r="A24675" t="s">
        <v>25207</v>
      </c>
    </row>
    <row r="24676" spans="1:1">
      <c r="A24676" t="s">
        <v>25208</v>
      </c>
    </row>
    <row r="24677" spans="1:1">
      <c r="A24677" t="s">
        <v>25209</v>
      </c>
    </row>
    <row r="24678" spans="1:1">
      <c r="A24678" t="s">
        <v>25210</v>
      </c>
    </row>
    <row r="24679" spans="1:1">
      <c r="A24679" t="s">
        <v>25211</v>
      </c>
    </row>
    <row r="24680" spans="1:1">
      <c r="A24680" t="s">
        <v>25212</v>
      </c>
    </row>
    <row r="24681" spans="1:1">
      <c r="A24681" t="s">
        <v>25213</v>
      </c>
    </row>
    <row r="24682" spans="1:1">
      <c r="A24682" t="s">
        <v>25214</v>
      </c>
    </row>
    <row r="24683" spans="1:1">
      <c r="A24683" t="s">
        <v>25215</v>
      </c>
    </row>
    <row r="24684" spans="1:1">
      <c r="A24684" t="s">
        <v>25216</v>
      </c>
    </row>
    <row r="24685" spans="1:1">
      <c r="A24685" t="s">
        <v>25217</v>
      </c>
    </row>
    <row r="24686" spans="1:1">
      <c r="A24686" t="s">
        <v>25218</v>
      </c>
    </row>
    <row r="24687" spans="1:1">
      <c r="A24687" t="s">
        <v>25219</v>
      </c>
    </row>
    <row r="24688" spans="1:1">
      <c r="A24688" t="s">
        <v>25220</v>
      </c>
    </row>
    <row r="24689" spans="1:1">
      <c r="A24689" t="s">
        <v>25221</v>
      </c>
    </row>
    <row r="24690" spans="1:1">
      <c r="A24690" t="s">
        <v>25222</v>
      </c>
    </row>
    <row r="24691" spans="1:1">
      <c r="A24691" t="s">
        <v>25223</v>
      </c>
    </row>
    <row r="24692" spans="1:1">
      <c r="A24692" t="s">
        <v>25224</v>
      </c>
    </row>
    <row r="24693" spans="1:1">
      <c r="A24693" t="s">
        <v>25225</v>
      </c>
    </row>
    <row r="24694" spans="1:1">
      <c r="A24694" t="s">
        <v>25226</v>
      </c>
    </row>
    <row r="24695" spans="1:1">
      <c r="A24695" t="s">
        <v>25227</v>
      </c>
    </row>
    <row r="24696" spans="1:1">
      <c r="A24696" t="s">
        <v>25228</v>
      </c>
    </row>
    <row r="24697" spans="1:1">
      <c r="A24697" t="s">
        <v>25229</v>
      </c>
    </row>
    <row r="24698" spans="1:1">
      <c r="A24698" t="s">
        <v>25230</v>
      </c>
    </row>
    <row r="24699" spans="1:1">
      <c r="A24699" t="s">
        <v>25231</v>
      </c>
    </row>
    <row r="24700" spans="1:1">
      <c r="A24700" t="s">
        <v>25232</v>
      </c>
    </row>
    <row r="24701" spans="1:1">
      <c r="A24701" t="s">
        <v>25233</v>
      </c>
    </row>
    <row r="24702" spans="1:1">
      <c r="A24702" t="s">
        <v>25234</v>
      </c>
    </row>
    <row r="24703" spans="1:1">
      <c r="A24703" t="s">
        <v>25235</v>
      </c>
    </row>
    <row r="24704" spans="1:1">
      <c r="A24704" t="s">
        <v>25236</v>
      </c>
    </row>
    <row r="24705" spans="1:1">
      <c r="A24705" t="s">
        <v>25237</v>
      </c>
    </row>
    <row r="24706" spans="1:1">
      <c r="A24706" t="s">
        <v>25238</v>
      </c>
    </row>
    <row r="24707" spans="1:1">
      <c r="A24707" t="s">
        <v>25239</v>
      </c>
    </row>
    <row r="24708" spans="1:1">
      <c r="A24708" t="s">
        <v>25240</v>
      </c>
    </row>
    <row r="24709" spans="1:1">
      <c r="A24709" t="s">
        <v>25241</v>
      </c>
    </row>
    <row r="24710" spans="1:1">
      <c r="A24710" t="s">
        <v>25242</v>
      </c>
    </row>
    <row r="24711" spans="1:1">
      <c r="A24711" t="s">
        <v>25243</v>
      </c>
    </row>
    <row r="24712" spans="1:1">
      <c r="A24712" t="s">
        <v>25244</v>
      </c>
    </row>
    <row r="24713" spans="1:1">
      <c r="A24713" t="s">
        <v>25245</v>
      </c>
    </row>
    <row r="24714" spans="1:1">
      <c r="A24714" t="s">
        <v>25246</v>
      </c>
    </row>
    <row r="24715" spans="1:1">
      <c r="A24715" t="s">
        <v>25247</v>
      </c>
    </row>
    <row r="24716" spans="1:1">
      <c r="A24716" t="s">
        <v>25248</v>
      </c>
    </row>
    <row r="24717" spans="1:1">
      <c r="A24717" t="s">
        <v>25249</v>
      </c>
    </row>
    <row r="24718" spans="1:1">
      <c r="A24718" t="s">
        <v>25250</v>
      </c>
    </row>
    <row r="24719" spans="1:1">
      <c r="A24719" t="s">
        <v>25251</v>
      </c>
    </row>
    <row r="24720" spans="1:1">
      <c r="A24720" t="s">
        <v>25252</v>
      </c>
    </row>
    <row r="24721" spans="1:1">
      <c r="A24721" t="s">
        <v>25253</v>
      </c>
    </row>
    <row r="24722" spans="1:1">
      <c r="A24722" t="s">
        <v>25254</v>
      </c>
    </row>
    <row r="24723" spans="1:1">
      <c r="A24723" t="s">
        <v>25255</v>
      </c>
    </row>
    <row r="24724" spans="1:1">
      <c r="A24724" t="s">
        <v>25256</v>
      </c>
    </row>
    <row r="24725" spans="1:1">
      <c r="A24725" t="s">
        <v>25257</v>
      </c>
    </row>
    <row r="24726" spans="1:1">
      <c r="A24726" t="s">
        <v>25258</v>
      </c>
    </row>
    <row r="24727" spans="1:1">
      <c r="A24727" t="s">
        <v>25259</v>
      </c>
    </row>
    <row r="24728" spans="1:1">
      <c r="A24728" t="s">
        <v>25260</v>
      </c>
    </row>
    <row r="24729" spans="1:1">
      <c r="A24729" t="s">
        <v>25261</v>
      </c>
    </row>
    <row r="24730" spans="1:1">
      <c r="A24730" t="s">
        <v>25262</v>
      </c>
    </row>
    <row r="24731" spans="1:1">
      <c r="A24731" t="s">
        <v>25263</v>
      </c>
    </row>
    <row r="24732" spans="1:1">
      <c r="A24732" t="s">
        <v>25264</v>
      </c>
    </row>
    <row r="24733" spans="1:1">
      <c r="A24733" t="s">
        <v>25265</v>
      </c>
    </row>
    <row r="24734" spans="1:1">
      <c r="A24734" t="s">
        <v>25266</v>
      </c>
    </row>
    <row r="24735" spans="1:1">
      <c r="A24735" t="s">
        <v>25267</v>
      </c>
    </row>
    <row r="24736" spans="1:1">
      <c r="A24736" t="s">
        <v>25268</v>
      </c>
    </row>
    <row r="24737" spans="1:1">
      <c r="A24737" t="s">
        <v>25269</v>
      </c>
    </row>
    <row r="24738" spans="1:1">
      <c r="A24738" t="s">
        <v>25270</v>
      </c>
    </row>
    <row r="24739" spans="1:1">
      <c r="A24739" t="s">
        <v>25271</v>
      </c>
    </row>
    <row r="24740" spans="1:1">
      <c r="A24740" t="s">
        <v>25272</v>
      </c>
    </row>
    <row r="24741" spans="1:1">
      <c r="A24741" t="s">
        <v>25273</v>
      </c>
    </row>
    <row r="24742" spans="1:1">
      <c r="A24742" t="s">
        <v>25274</v>
      </c>
    </row>
    <row r="24743" spans="1:1">
      <c r="A24743" t="s">
        <v>25275</v>
      </c>
    </row>
    <row r="24744" spans="1:1">
      <c r="A24744" t="s">
        <v>25276</v>
      </c>
    </row>
    <row r="24745" spans="1:1">
      <c r="A24745" t="s">
        <v>25277</v>
      </c>
    </row>
    <row r="24746" spans="1:1">
      <c r="A24746" t="s">
        <v>25278</v>
      </c>
    </row>
    <row r="24747" spans="1:1">
      <c r="A24747" t="s">
        <v>25279</v>
      </c>
    </row>
    <row r="24748" spans="1:1">
      <c r="A24748" t="s">
        <v>25280</v>
      </c>
    </row>
    <row r="24749" spans="1:1">
      <c r="A24749" t="s">
        <v>25281</v>
      </c>
    </row>
    <row r="24750" spans="1:1">
      <c r="A24750" t="s">
        <v>25282</v>
      </c>
    </row>
    <row r="24751" spans="1:1">
      <c r="A24751" t="s">
        <v>25283</v>
      </c>
    </row>
    <row r="24752" spans="1:1">
      <c r="A24752" t="s">
        <v>25284</v>
      </c>
    </row>
    <row r="24753" spans="1:1">
      <c r="A24753" t="s">
        <v>25285</v>
      </c>
    </row>
    <row r="24754" spans="1:1">
      <c r="A24754" t="s">
        <v>25286</v>
      </c>
    </row>
    <row r="24755" spans="1:1">
      <c r="A24755" t="s">
        <v>25287</v>
      </c>
    </row>
    <row r="24756" spans="1:1">
      <c r="A24756" t="s">
        <v>25288</v>
      </c>
    </row>
    <row r="24757" spans="1:1">
      <c r="A24757" t="s">
        <v>25289</v>
      </c>
    </row>
    <row r="24758" spans="1:1">
      <c r="A24758" t="s">
        <v>25290</v>
      </c>
    </row>
    <row r="24759" spans="1:1">
      <c r="A24759" t="s">
        <v>25291</v>
      </c>
    </row>
    <row r="24760" spans="1:1">
      <c r="A24760" t="s">
        <v>25292</v>
      </c>
    </row>
    <row r="24761" spans="1:1">
      <c r="A24761" t="s">
        <v>25293</v>
      </c>
    </row>
    <row r="24762" spans="1:1">
      <c r="A24762" t="s">
        <v>25294</v>
      </c>
    </row>
    <row r="24763" spans="1:1">
      <c r="A24763" t="s">
        <v>25295</v>
      </c>
    </row>
    <row r="24764" spans="1:1">
      <c r="A24764" t="s">
        <v>25296</v>
      </c>
    </row>
    <row r="24765" spans="1:1">
      <c r="A24765" t="s">
        <v>25297</v>
      </c>
    </row>
    <row r="24766" spans="1:1">
      <c r="A24766" t="s">
        <v>25298</v>
      </c>
    </row>
    <row r="24767" spans="1:1">
      <c r="A24767" t="s">
        <v>25299</v>
      </c>
    </row>
    <row r="24768" spans="1:1">
      <c r="A24768" t="s">
        <v>25300</v>
      </c>
    </row>
    <row r="24769" spans="1:1">
      <c r="A24769" t="s">
        <v>25301</v>
      </c>
    </row>
    <row r="24770" spans="1:1">
      <c r="A24770" t="s">
        <v>25302</v>
      </c>
    </row>
    <row r="24771" spans="1:1">
      <c r="A24771" t="s">
        <v>25303</v>
      </c>
    </row>
    <row r="24772" spans="1:1">
      <c r="A24772" t="s">
        <v>25304</v>
      </c>
    </row>
    <row r="24773" spans="1:1">
      <c r="A24773" t="s">
        <v>25305</v>
      </c>
    </row>
    <row r="24774" spans="1:1">
      <c r="A24774" t="s">
        <v>25306</v>
      </c>
    </row>
    <row r="24775" spans="1:1">
      <c r="A24775" t="s">
        <v>25307</v>
      </c>
    </row>
    <row r="24776" spans="1:1">
      <c r="A24776" t="s">
        <v>25308</v>
      </c>
    </row>
    <row r="24777" spans="1:1">
      <c r="A24777" t="s">
        <v>25309</v>
      </c>
    </row>
    <row r="24778" spans="1:1">
      <c r="A24778" t="s">
        <v>25310</v>
      </c>
    </row>
    <row r="24779" spans="1:1">
      <c r="A24779" t="s">
        <v>25311</v>
      </c>
    </row>
    <row r="24780" spans="1:1">
      <c r="A24780" t="s">
        <v>25312</v>
      </c>
    </row>
    <row r="24781" spans="1:1">
      <c r="A24781" t="s">
        <v>25313</v>
      </c>
    </row>
    <row r="24782" spans="1:1">
      <c r="A24782" t="s">
        <v>25314</v>
      </c>
    </row>
    <row r="24783" spans="1:1">
      <c r="A24783" t="s">
        <v>25315</v>
      </c>
    </row>
    <row r="24784" spans="1:1">
      <c r="A24784" t="s">
        <v>25316</v>
      </c>
    </row>
    <row r="24785" spans="1:1">
      <c r="A24785" t="s">
        <v>25317</v>
      </c>
    </row>
    <row r="24786" spans="1:1">
      <c r="A24786" t="s">
        <v>25318</v>
      </c>
    </row>
    <row r="24787" spans="1:1">
      <c r="A24787" t="s">
        <v>25319</v>
      </c>
    </row>
    <row r="24788" spans="1:1">
      <c r="A24788" t="s">
        <v>25320</v>
      </c>
    </row>
    <row r="24789" spans="1:1">
      <c r="A24789" t="s">
        <v>25321</v>
      </c>
    </row>
    <row r="24790" spans="1:1">
      <c r="A24790" t="s">
        <v>25322</v>
      </c>
    </row>
    <row r="24791" spans="1:1">
      <c r="A24791" t="s">
        <v>25323</v>
      </c>
    </row>
    <row r="24792" spans="1:1">
      <c r="A24792" t="s">
        <v>25324</v>
      </c>
    </row>
    <row r="24793" spans="1:1">
      <c r="A24793" t="s">
        <v>25325</v>
      </c>
    </row>
    <row r="24794" spans="1:1">
      <c r="A24794" t="s">
        <v>25326</v>
      </c>
    </row>
    <row r="24795" spans="1:1">
      <c r="A24795" t="s">
        <v>25327</v>
      </c>
    </row>
    <row r="24796" spans="1:1">
      <c r="A24796" t="s">
        <v>25328</v>
      </c>
    </row>
    <row r="24797" spans="1:1">
      <c r="A24797" t="s">
        <v>25329</v>
      </c>
    </row>
    <row r="24798" spans="1:1">
      <c r="A24798" t="s">
        <v>25330</v>
      </c>
    </row>
    <row r="24799" spans="1:1">
      <c r="A24799" t="s">
        <v>25331</v>
      </c>
    </row>
    <row r="24800" spans="1:1">
      <c r="A24800" t="s">
        <v>25332</v>
      </c>
    </row>
    <row r="24801" spans="1:1">
      <c r="A24801" t="s">
        <v>25333</v>
      </c>
    </row>
    <row r="24802" spans="1:1">
      <c r="A24802" t="s">
        <v>25334</v>
      </c>
    </row>
    <row r="24803" spans="1:1">
      <c r="A24803" t="s">
        <v>25335</v>
      </c>
    </row>
    <row r="24804" spans="1:1">
      <c r="A24804" t="s">
        <v>25336</v>
      </c>
    </row>
    <row r="24805" spans="1:1">
      <c r="A24805" t="s">
        <v>25337</v>
      </c>
    </row>
    <row r="24806" spans="1:1">
      <c r="A24806" t="s">
        <v>25338</v>
      </c>
    </row>
    <row r="24807" spans="1:1">
      <c r="A24807" t="s">
        <v>25339</v>
      </c>
    </row>
    <row r="24808" spans="1:1">
      <c r="A24808" t="s">
        <v>25340</v>
      </c>
    </row>
    <row r="24809" spans="1:1">
      <c r="A24809" t="s">
        <v>25341</v>
      </c>
    </row>
    <row r="24810" spans="1:1">
      <c r="A24810" t="s">
        <v>25342</v>
      </c>
    </row>
    <row r="24811" spans="1:1">
      <c r="A24811" t="s">
        <v>25343</v>
      </c>
    </row>
    <row r="24812" spans="1:1">
      <c r="A24812" t="s">
        <v>25344</v>
      </c>
    </row>
    <row r="24813" spans="1:1">
      <c r="A24813" t="s">
        <v>25345</v>
      </c>
    </row>
    <row r="24814" spans="1:1">
      <c r="A24814" t="s">
        <v>25346</v>
      </c>
    </row>
    <row r="24815" spans="1:1">
      <c r="A24815" t="s">
        <v>25347</v>
      </c>
    </row>
    <row r="24816" spans="1:1">
      <c r="A24816" t="s">
        <v>25348</v>
      </c>
    </row>
    <row r="24817" spans="1:1">
      <c r="A24817" t="s">
        <v>25349</v>
      </c>
    </row>
    <row r="24818" spans="1:1">
      <c r="A24818" t="s">
        <v>25350</v>
      </c>
    </row>
    <row r="24819" spans="1:1">
      <c r="A24819" t="s">
        <v>25351</v>
      </c>
    </row>
    <row r="24820" spans="1:1">
      <c r="A24820" t="s">
        <v>25352</v>
      </c>
    </row>
    <row r="24821" spans="1:1">
      <c r="A24821" t="s">
        <v>25353</v>
      </c>
    </row>
    <row r="24822" spans="1:1">
      <c r="A24822" t="s">
        <v>25354</v>
      </c>
    </row>
    <row r="24823" spans="1:1">
      <c r="A24823" t="s">
        <v>25355</v>
      </c>
    </row>
    <row r="24824" spans="1:1">
      <c r="A24824" t="s">
        <v>25356</v>
      </c>
    </row>
    <row r="24825" spans="1:1">
      <c r="A24825" t="s">
        <v>25357</v>
      </c>
    </row>
    <row r="24826" spans="1:1">
      <c r="A24826" t="s">
        <v>25358</v>
      </c>
    </row>
    <row r="24827" spans="1:1">
      <c r="A24827" t="s">
        <v>25359</v>
      </c>
    </row>
    <row r="24828" spans="1:1">
      <c r="A24828" t="s">
        <v>25360</v>
      </c>
    </row>
    <row r="24829" spans="1:1">
      <c r="A24829" t="s">
        <v>25361</v>
      </c>
    </row>
    <row r="24830" spans="1:1">
      <c r="A24830" t="s">
        <v>25362</v>
      </c>
    </row>
    <row r="24831" spans="1:1">
      <c r="A24831" t="s">
        <v>25363</v>
      </c>
    </row>
    <row r="24832" spans="1:1">
      <c r="A24832" t="s">
        <v>25364</v>
      </c>
    </row>
    <row r="24833" spans="1:1">
      <c r="A24833" t="s">
        <v>25365</v>
      </c>
    </row>
    <row r="24834" spans="1:1">
      <c r="A24834" t="s">
        <v>25366</v>
      </c>
    </row>
    <row r="24835" spans="1:1">
      <c r="A24835" t="s">
        <v>25367</v>
      </c>
    </row>
    <row r="24836" spans="1:1">
      <c r="A24836" t="s">
        <v>25368</v>
      </c>
    </row>
    <row r="24837" spans="1:1">
      <c r="A24837" t="s">
        <v>25369</v>
      </c>
    </row>
    <row r="24838" spans="1:1">
      <c r="A24838" t="s">
        <v>25370</v>
      </c>
    </row>
    <row r="24839" spans="1:1">
      <c r="A24839" t="s">
        <v>25371</v>
      </c>
    </row>
    <row r="24840" spans="1:1">
      <c r="A24840" t="s">
        <v>25372</v>
      </c>
    </row>
    <row r="24841" spans="1:1">
      <c r="A24841" t="s">
        <v>25373</v>
      </c>
    </row>
    <row r="24842" spans="1:1">
      <c r="A24842" t="s">
        <v>25374</v>
      </c>
    </row>
    <row r="24843" spans="1:1">
      <c r="A24843" t="s">
        <v>25375</v>
      </c>
    </row>
    <row r="24844" spans="1:1">
      <c r="A24844" t="s">
        <v>25376</v>
      </c>
    </row>
    <row r="24845" spans="1:1">
      <c r="A24845" t="s">
        <v>25377</v>
      </c>
    </row>
    <row r="24846" spans="1:1">
      <c r="A24846" t="s">
        <v>25378</v>
      </c>
    </row>
    <row r="24847" spans="1:1">
      <c r="A24847" t="s">
        <v>25379</v>
      </c>
    </row>
    <row r="24848" spans="1:1">
      <c r="A24848" t="s">
        <v>25380</v>
      </c>
    </row>
    <row r="24849" spans="1:1">
      <c r="A24849" t="s">
        <v>25381</v>
      </c>
    </row>
    <row r="24850" spans="1:1">
      <c r="A24850" t="s">
        <v>25382</v>
      </c>
    </row>
    <row r="24851" spans="1:1">
      <c r="A24851" t="s">
        <v>25383</v>
      </c>
    </row>
    <row r="24852" spans="1:1">
      <c r="A24852" t="s">
        <v>25384</v>
      </c>
    </row>
    <row r="24853" spans="1:1">
      <c r="A24853" t="s">
        <v>25385</v>
      </c>
    </row>
    <row r="24854" spans="1:1">
      <c r="A24854" t="s">
        <v>25386</v>
      </c>
    </row>
    <row r="24855" spans="1:1">
      <c r="A24855" t="s">
        <v>25387</v>
      </c>
    </row>
    <row r="24856" spans="1:1">
      <c r="A24856" t="s">
        <v>25388</v>
      </c>
    </row>
    <row r="24857" spans="1:1">
      <c r="A24857" t="s">
        <v>25389</v>
      </c>
    </row>
    <row r="24858" spans="1:1">
      <c r="A24858" t="s">
        <v>25390</v>
      </c>
    </row>
    <row r="24859" spans="1:1">
      <c r="A24859" t="s">
        <v>25391</v>
      </c>
    </row>
    <row r="24860" spans="1:1">
      <c r="A24860" t="s">
        <v>25392</v>
      </c>
    </row>
    <row r="24861" spans="1:1">
      <c r="A24861" t="s">
        <v>25393</v>
      </c>
    </row>
    <row r="24862" spans="1:1">
      <c r="A24862" t="s">
        <v>25394</v>
      </c>
    </row>
    <row r="24863" spans="1:1">
      <c r="A24863" t="s">
        <v>25395</v>
      </c>
    </row>
    <row r="24864" spans="1:1">
      <c r="A24864" t="s">
        <v>25396</v>
      </c>
    </row>
    <row r="24865" spans="1:1">
      <c r="A24865" t="s">
        <v>25397</v>
      </c>
    </row>
    <row r="24866" spans="1:1">
      <c r="A24866" t="s">
        <v>25398</v>
      </c>
    </row>
    <row r="24867" spans="1:1">
      <c r="A24867" t="s">
        <v>25399</v>
      </c>
    </row>
    <row r="24868" spans="1:1">
      <c r="A24868" t="s">
        <v>25400</v>
      </c>
    </row>
    <row r="24869" spans="1:1">
      <c r="A24869" t="s">
        <v>25401</v>
      </c>
    </row>
    <row r="24870" spans="1:1">
      <c r="A24870" t="s">
        <v>25402</v>
      </c>
    </row>
    <row r="24871" spans="1:1">
      <c r="A24871" t="s">
        <v>25403</v>
      </c>
    </row>
    <row r="24872" spans="1:1">
      <c r="A24872" t="s">
        <v>25404</v>
      </c>
    </row>
    <row r="24873" spans="1:1">
      <c r="A24873" t="s">
        <v>25405</v>
      </c>
    </row>
    <row r="24874" spans="1:1">
      <c r="A24874" t="s">
        <v>25406</v>
      </c>
    </row>
    <row r="24875" spans="1:1">
      <c r="A24875" t="s">
        <v>25407</v>
      </c>
    </row>
    <row r="24876" spans="1:1">
      <c r="A24876" t="s">
        <v>25408</v>
      </c>
    </row>
    <row r="24877" spans="1:1">
      <c r="A24877" t="s">
        <v>25409</v>
      </c>
    </row>
    <row r="24878" spans="1:1">
      <c r="A24878" t="s">
        <v>25410</v>
      </c>
    </row>
    <row r="24879" spans="1:1">
      <c r="A24879" t="s">
        <v>25411</v>
      </c>
    </row>
    <row r="24880" spans="1:1">
      <c r="A24880" t="s">
        <v>25412</v>
      </c>
    </row>
    <row r="24881" spans="1:1">
      <c r="A24881" t="s">
        <v>25413</v>
      </c>
    </row>
    <row r="24882" spans="1:1">
      <c r="A24882" t="s">
        <v>25414</v>
      </c>
    </row>
    <row r="24883" spans="1:1">
      <c r="A24883" t="s">
        <v>25415</v>
      </c>
    </row>
    <row r="24884" spans="1:1">
      <c r="A24884" t="s">
        <v>25416</v>
      </c>
    </row>
    <row r="24885" spans="1:1">
      <c r="A24885" t="s">
        <v>25417</v>
      </c>
    </row>
    <row r="24886" spans="1:1">
      <c r="A24886" t="s">
        <v>25418</v>
      </c>
    </row>
    <row r="24887" spans="1:1">
      <c r="A24887" t="s">
        <v>25419</v>
      </c>
    </row>
    <row r="24888" spans="1:1">
      <c r="A24888" t="s">
        <v>25420</v>
      </c>
    </row>
    <row r="24889" spans="1:1">
      <c r="A24889" t="s">
        <v>25421</v>
      </c>
    </row>
    <row r="24890" spans="1:1">
      <c r="A24890" t="s">
        <v>25422</v>
      </c>
    </row>
    <row r="24891" spans="1:1">
      <c r="A24891" t="s">
        <v>25423</v>
      </c>
    </row>
    <row r="24892" spans="1:1">
      <c r="A24892" t="s">
        <v>25424</v>
      </c>
    </row>
    <row r="24893" spans="1:1">
      <c r="A24893" t="s">
        <v>25425</v>
      </c>
    </row>
    <row r="24894" spans="1:1">
      <c r="A24894" t="s">
        <v>25426</v>
      </c>
    </row>
    <row r="24895" spans="1:1">
      <c r="A24895" t="s">
        <v>25427</v>
      </c>
    </row>
    <row r="24896" spans="1:1">
      <c r="A24896" t="s">
        <v>25428</v>
      </c>
    </row>
    <row r="24897" spans="1:1">
      <c r="A24897" t="s">
        <v>25429</v>
      </c>
    </row>
    <row r="24898" spans="1:1">
      <c r="A24898" t="s">
        <v>25430</v>
      </c>
    </row>
    <row r="24899" spans="1:1">
      <c r="A24899" t="s">
        <v>25431</v>
      </c>
    </row>
    <row r="24900" spans="1:1">
      <c r="A24900" t="s">
        <v>25432</v>
      </c>
    </row>
    <row r="24901" spans="1:1">
      <c r="A24901" t="s">
        <v>25433</v>
      </c>
    </row>
    <row r="24902" spans="1:1">
      <c r="A24902" t="s">
        <v>25434</v>
      </c>
    </row>
    <row r="24903" spans="1:1">
      <c r="A24903" t="s">
        <v>25435</v>
      </c>
    </row>
    <row r="24904" spans="1:1">
      <c r="A24904" t="s">
        <v>25436</v>
      </c>
    </row>
    <row r="24905" spans="1:1">
      <c r="A24905" t="s">
        <v>25437</v>
      </c>
    </row>
    <row r="24906" spans="1:1">
      <c r="A24906" t="s">
        <v>25438</v>
      </c>
    </row>
    <row r="24907" spans="1:1">
      <c r="A24907" t="s">
        <v>25439</v>
      </c>
    </row>
    <row r="24908" spans="1:1">
      <c r="A24908" t="s">
        <v>25440</v>
      </c>
    </row>
    <row r="24909" spans="1:1">
      <c r="A24909" t="s">
        <v>25441</v>
      </c>
    </row>
    <row r="24910" spans="1:1">
      <c r="A24910" t="s">
        <v>25442</v>
      </c>
    </row>
    <row r="24911" spans="1:1">
      <c r="A24911" t="s">
        <v>25443</v>
      </c>
    </row>
    <row r="24912" spans="1:1">
      <c r="A24912" t="s">
        <v>25444</v>
      </c>
    </row>
    <row r="24913" spans="1:1">
      <c r="A24913" t="s">
        <v>25445</v>
      </c>
    </row>
    <row r="24914" spans="1:1">
      <c r="A24914" t="s">
        <v>25446</v>
      </c>
    </row>
    <row r="24915" spans="1:1">
      <c r="A24915" t="s">
        <v>25447</v>
      </c>
    </row>
    <row r="24916" spans="1:1">
      <c r="A24916" t="s">
        <v>25448</v>
      </c>
    </row>
    <row r="24917" spans="1:1">
      <c r="A24917" t="s">
        <v>25449</v>
      </c>
    </row>
    <row r="24918" spans="1:1">
      <c r="A24918" t="s">
        <v>25450</v>
      </c>
    </row>
    <row r="24919" spans="1:1">
      <c r="A24919" t="s">
        <v>25451</v>
      </c>
    </row>
    <row r="24920" spans="1:1">
      <c r="A24920" t="s">
        <v>25452</v>
      </c>
    </row>
    <row r="24921" spans="1:1">
      <c r="A24921" t="s">
        <v>25453</v>
      </c>
    </row>
    <row r="24922" spans="1:1">
      <c r="A24922" t="s">
        <v>25454</v>
      </c>
    </row>
    <row r="24923" spans="1:1">
      <c r="A24923" t="s">
        <v>25455</v>
      </c>
    </row>
    <row r="24924" spans="1:1">
      <c r="A24924" t="s">
        <v>25456</v>
      </c>
    </row>
    <row r="24925" spans="1:1">
      <c r="A24925" t="s">
        <v>25457</v>
      </c>
    </row>
    <row r="24926" spans="1:1">
      <c r="A24926" t="s">
        <v>25458</v>
      </c>
    </row>
    <row r="24927" spans="1:1">
      <c r="A24927" t="s">
        <v>25459</v>
      </c>
    </row>
    <row r="24928" spans="1:1">
      <c r="A24928" t="s">
        <v>25460</v>
      </c>
    </row>
    <row r="24929" spans="1:1">
      <c r="A24929" t="s">
        <v>25461</v>
      </c>
    </row>
    <row r="24930" spans="1:1">
      <c r="A24930" t="s">
        <v>25462</v>
      </c>
    </row>
    <row r="24931" spans="1:1">
      <c r="A24931" t="s">
        <v>25463</v>
      </c>
    </row>
    <row r="24932" spans="1:1">
      <c r="A24932" t="s">
        <v>25464</v>
      </c>
    </row>
    <row r="24933" spans="1:1">
      <c r="A24933" t="s">
        <v>25465</v>
      </c>
    </row>
    <row r="24934" spans="1:1">
      <c r="A24934" t="s">
        <v>25466</v>
      </c>
    </row>
    <row r="24935" spans="1:1">
      <c r="A24935" t="s">
        <v>25467</v>
      </c>
    </row>
    <row r="24936" spans="1:1">
      <c r="A24936" t="s">
        <v>25468</v>
      </c>
    </row>
    <row r="24937" spans="1:1">
      <c r="A24937" t="s">
        <v>25469</v>
      </c>
    </row>
    <row r="24938" spans="1:1">
      <c r="A24938" t="s">
        <v>25470</v>
      </c>
    </row>
    <row r="24939" spans="1:1">
      <c r="A24939" t="s">
        <v>25471</v>
      </c>
    </row>
    <row r="24940" spans="1:1">
      <c r="A24940" t="s">
        <v>25472</v>
      </c>
    </row>
    <row r="24941" spans="1:1">
      <c r="A24941" t="s">
        <v>25473</v>
      </c>
    </row>
    <row r="24942" spans="1:1">
      <c r="A24942" t="s">
        <v>25474</v>
      </c>
    </row>
    <row r="24943" spans="1:1">
      <c r="A24943" t="s">
        <v>25475</v>
      </c>
    </row>
    <row r="24944" spans="1:1">
      <c r="A24944" t="s">
        <v>25476</v>
      </c>
    </row>
    <row r="24945" spans="1:1">
      <c r="A24945" t="s">
        <v>25477</v>
      </c>
    </row>
    <row r="24946" spans="1:1">
      <c r="A24946" t="s">
        <v>25478</v>
      </c>
    </row>
    <row r="24947" spans="1:1">
      <c r="A24947" t="s">
        <v>25479</v>
      </c>
    </row>
    <row r="24948" spans="1:1">
      <c r="A24948" t="s">
        <v>25480</v>
      </c>
    </row>
    <row r="24949" spans="1:1">
      <c r="A24949" t="s">
        <v>25481</v>
      </c>
    </row>
    <row r="24950" spans="1:1">
      <c r="A24950" t="s">
        <v>25482</v>
      </c>
    </row>
    <row r="24951" spans="1:1">
      <c r="A24951" t="s">
        <v>25483</v>
      </c>
    </row>
    <row r="24952" spans="1:1">
      <c r="A24952" t="s">
        <v>25484</v>
      </c>
    </row>
    <row r="24953" spans="1:1">
      <c r="A24953" t="s">
        <v>25485</v>
      </c>
    </row>
    <row r="24954" spans="1:1">
      <c r="A24954" t="s">
        <v>25486</v>
      </c>
    </row>
    <row r="24955" spans="1:1">
      <c r="A24955" t="s">
        <v>25487</v>
      </c>
    </row>
    <row r="24956" spans="1:1">
      <c r="A24956" t="s">
        <v>25488</v>
      </c>
    </row>
    <row r="24957" spans="1:1">
      <c r="A24957" t="s">
        <v>25489</v>
      </c>
    </row>
    <row r="24958" spans="1:1">
      <c r="A24958" t="s">
        <v>25490</v>
      </c>
    </row>
    <row r="24959" spans="1:1">
      <c r="A24959" t="s">
        <v>25491</v>
      </c>
    </row>
    <row r="24960" spans="1:1">
      <c r="A24960" t="s">
        <v>25492</v>
      </c>
    </row>
    <row r="24961" spans="1:1">
      <c r="A24961" t="s">
        <v>25493</v>
      </c>
    </row>
    <row r="24962" spans="1:1">
      <c r="A24962" t="s">
        <v>25494</v>
      </c>
    </row>
    <row r="24963" spans="1:1">
      <c r="A24963" t="s">
        <v>25495</v>
      </c>
    </row>
    <row r="24964" spans="1:1">
      <c r="A24964" t="s">
        <v>25496</v>
      </c>
    </row>
    <row r="24965" spans="1:1">
      <c r="A24965" t="s">
        <v>25497</v>
      </c>
    </row>
    <row r="24966" spans="1:1">
      <c r="A24966" t="s">
        <v>25498</v>
      </c>
    </row>
    <row r="24967" spans="1:1">
      <c r="A24967" t="s">
        <v>25499</v>
      </c>
    </row>
    <row r="24968" spans="1:1">
      <c r="A24968" t="s">
        <v>25500</v>
      </c>
    </row>
    <row r="24969" spans="1:1">
      <c r="A24969" t="s">
        <v>25501</v>
      </c>
    </row>
    <row r="24970" spans="1:1">
      <c r="A24970" t="s">
        <v>25502</v>
      </c>
    </row>
    <row r="24971" spans="1:1">
      <c r="A24971" t="s">
        <v>25503</v>
      </c>
    </row>
    <row r="24972" spans="1:1">
      <c r="A24972" t="s">
        <v>25504</v>
      </c>
    </row>
    <row r="24973" spans="1:1">
      <c r="A24973" t="s">
        <v>25505</v>
      </c>
    </row>
    <row r="24974" spans="1:1">
      <c r="A24974" t="s">
        <v>25506</v>
      </c>
    </row>
    <row r="24975" spans="1:1">
      <c r="A24975" t="s">
        <v>25507</v>
      </c>
    </row>
    <row r="24976" spans="1:1">
      <c r="A24976" t="s">
        <v>25508</v>
      </c>
    </row>
    <row r="24977" spans="1:1">
      <c r="A24977" t="s">
        <v>25509</v>
      </c>
    </row>
    <row r="24978" spans="1:1">
      <c r="A24978" t="s">
        <v>25510</v>
      </c>
    </row>
    <row r="24979" spans="1:1">
      <c r="A24979" t="s">
        <v>25511</v>
      </c>
    </row>
    <row r="24980" spans="1:1">
      <c r="A24980" t="s">
        <v>25512</v>
      </c>
    </row>
    <row r="24981" spans="1:1">
      <c r="A24981" t="s">
        <v>25513</v>
      </c>
    </row>
    <row r="24982" spans="1:1">
      <c r="A24982" t="s">
        <v>25514</v>
      </c>
    </row>
    <row r="24983" spans="1:1">
      <c r="A24983" t="s">
        <v>25515</v>
      </c>
    </row>
    <row r="24984" spans="1:1">
      <c r="A24984" t="s">
        <v>25516</v>
      </c>
    </row>
    <row r="24985" spans="1:1">
      <c r="A24985" t="s">
        <v>25517</v>
      </c>
    </row>
    <row r="24986" spans="1:1">
      <c r="A24986" t="s">
        <v>25518</v>
      </c>
    </row>
    <row r="24987" spans="1:1">
      <c r="A24987" t="s">
        <v>25519</v>
      </c>
    </row>
    <row r="24988" spans="1:1">
      <c r="A24988" t="s">
        <v>25520</v>
      </c>
    </row>
    <row r="24989" spans="1:1">
      <c r="A24989" t="s">
        <v>25521</v>
      </c>
    </row>
    <row r="24990" spans="1:1">
      <c r="A24990" t="s">
        <v>25522</v>
      </c>
    </row>
    <row r="24991" spans="1:1">
      <c r="A24991" t="s">
        <v>25523</v>
      </c>
    </row>
    <row r="24992" spans="1:1">
      <c r="A24992" t="s">
        <v>25524</v>
      </c>
    </row>
    <row r="24993" spans="1:1">
      <c r="A24993" t="s">
        <v>25525</v>
      </c>
    </row>
    <row r="24994" spans="1:1">
      <c r="A24994" t="s">
        <v>25526</v>
      </c>
    </row>
    <row r="24995" spans="1:1">
      <c r="A24995" t="s">
        <v>25527</v>
      </c>
    </row>
    <row r="24996" spans="1:1">
      <c r="A24996" t="s">
        <v>25528</v>
      </c>
    </row>
    <row r="24997" spans="1:1">
      <c r="A24997" t="s">
        <v>25529</v>
      </c>
    </row>
    <row r="24998" spans="1:1">
      <c r="A24998" t="s">
        <v>25530</v>
      </c>
    </row>
    <row r="24999" spans="1:1">
      <c r="A24999" t="s">
        <v>25531</v>
      </c>
    </row>
    <row r="25000" spans="1:1">
      <c r="A25000" t="s">
        <v>25532</v>
      </c>
    </row>
    <row r="25001" spans="1:1">
      <c r="A25001" t="s">
        <v>25533</v>
      </c>
    </row>
    <row r="25002" spans="1:1">
      <c r="A25002" t="s">
        <v>25534</v>
      </c>
    </row>
    <row r="25003" spans="1:1">
      <c r="A25003" t="s">
        <v>25535</v>
      </c>
    </row>
    <row r="25004" spans="1:1">
      <c r="A25004" t="s">
        <v>25536</v>
      </c>
    </row>
    <row r="25005" spans="1:1">
      <c r="A25005" t="s">
        <v>25537</v>
      </c>
    </row>
    <row r="25006" spans="1:1">
      <c r="A25006" t="s">
        <v>25538</v>
      </c>
    </row>
    <row r="25007" spans="1:1">
      <c r="A25007" t="s">
        <v>25539</v>
      </c>
    </row>
    <row r="25008" spans="1:1">
      <c r="A25008" t="s">
        <v>25540</v>
      </c>
    </row>
    <row r="25009" spans="1:1">
      <c r="A25009" t="s">
        <v>25541</v>
      </c>
    </row>
    <row r="25010" spans="1:1">
      <c r="A25010" t="s">
        <v>25542</v>
      </c>
    </row>
    <row r="25011" spans="1:1">
      <c r="A25011" t="s">
        <v>25543</v>
      </c>
    </row>
    <row r="25012" spans="1:1">
      <c r="A25012" t="s">
        <v>25544</v>
      </c>
    </row>
    <row r="25013" spans="1:1">
      <c r="A25013" t="s">
        <v>25545</v>
      </c>
    </row>
    <row r="25014" spans="1:1">
      <c r="A25014" t="s">
        <v>25546</v>
      </c>
    </row>
    <row r="25015" spans="1:1">
      <c r="A25015" t="s">
        <v>25547</v>
      </c>
    </row>
    <row r="25016" spans="1:1">
      <c r="A25016" t="s">
        <v>25548</v>
      </c>
    </row>
    <row r="25017" spans="1:1">
      <c r="A25017" t="s">
        <v>25549</v>
      </c>
    </row>
    <row r="25018" spans="1:1">
      <c r="A25018" t="s">
        <v>25550</v>
      </c>
    </row>
    <row r="25019" spans="1:1">
      <c r="A25019" t="s">
        <v>25551</v>
      </c>
    </row>
    <row r="25020" spans="1:1">
      <c r="A25020" t="s">
        <v>25552</v>
      </c>
    </row>
    <row r="25021" spans="1:1">
      <c r="A25021" t="s">
        <v>25553</v>
      </c>
    </row>
    <row r="25022" spans="1:1">
      <c r="A25022" t="s">
        <v>25554</v>
      </c>
    </row>
    <row r="25023" spans="1:1">
      <c r="A25023" t="s">
        <v>25555</v>
      </c>
    </row>
    <row r="25024" spans="1:1">
      <c r="A25024" t="s">
        <v>25556</v>
      </c>
    </row>
    <row r="25025" spans="1:1">
      <c r="A25025" t="s">
        <v>25557</v>
      </c>
    </row>
    <row r="25026" spans="1:1">
      <c r="A25026" t="s">
        <v>25558</v>
      </c>
    </row>
    <row r="25027" spans="1:1">
      <c r="A25027" t="s">
        <v>25559</v>
      </c>
    </row>
    <row r="25028" spans="1:1">
      <c r="A25028" t="s">
        <v>25560</v>
      </c>
    </row>
    <row r="25029" spans="1:1">
      <c r="A25029" t="s">
        <v>25561</v>
      </c>
    </row>
    <row r="25030" spans="1:1">
      <c r="A25030" t="s">
        <v>25562</v>
      </c>
    </row>
    <row r="25031" spans="1:1">
      <c r="A25031" t="s">
        <v>25563</v>
      </c>
    </row>
    <row r="25032" spans="1:1">
      <c r="A25032" t="s">
        <v>25564</v>
      </c>
    </row>
    <row r="25033" spans="1:1">
      <c r="A25033" t="s">
        <v>25565</v>
      </c>
    </row>
    <row r="25034" spans="1:1">
      <c r="A25034" t="s">
        <v>25566</v>
      </c>
    </row>
    <row r="25035" spans="1:1">
      <c r="A25035" t="s">
        <v>25567</v>
      </c>
    </row>
    <row r="25036" spans="1:1">
      <c r="A25036" t="s">
        <v>25568</v>
      </c>
    </row>
    <row r="25037" spans="1:1">
      <c r="A25037" t="s">
        <v>25569</v>
      </c>
    </row>
    <row r="25038" spans="1:1">
      <c r="A25038" t="s">
        <v>25570</v>
      </c>
    </row>
    <row r="25039" spans="1:1">
      <c r="A25039" t="s">
        <v>25571</v>
      </c>
    </row>
    <row r="25040" spans="1:1">
      <c r="A25040" t="s">
        <v>25572</v>
      </c>
    </row>
    <row r="25041" spans="1:1">
      <c r="A25041" t="s">
        <v>25573</v>
      </c>
    </row>
    <row r="25042" spans="1:1">
      <c r="A25042" t="s">
        <v>25574</v>
      </c>
    </row>
    <row r="25043" spans="1:1">
      <c r="A25043" t="s">
        <v>25575</v>
      </c>
    </row>
    <row r="25044" spans="1:1">
      <c r="A25044" t="s">
        <v>25576</v>
      </c>
    </row>
    <row r="25045" spans="1:1">
      <c r="A25045" t="s">
        <v>25577</v>
      </c>
    </row>
    <row r="25046" spans="1:1">
      <c r="A25046" t="s">
        <v>25578</v>
      </c>
    </row>
    <row r="25047" spans="1:1">
      <c r="A25047" t="s">
        <v>25579</v>
      </c>
    </row>
    <row r="25048" spans="1:1">
      <c r="A25048" t="s">
        <v>25580</v>
      </c>
    </row>
    <row r="25049" spans="1:1">
      <c r="A25049" t="s">
        <v>25581</v>
      </c>
    </row>
    <row r="25050" spans="1:1">
      <c r="A25050" t="s">
        <v>25582</v>
      </c>
    </row>
    <row r="25051" spans="1:1">
      <c r="A25051" t="s">
        <v>25583</v>
      </c>
    </row>
    <row r="25052" spans="1:1">
      <c r="A25052" t="s">
        <v>25584</v>
      </c>
    </row>
    <row r="25053" spans="1:1">
      <c r="A25053" t="s">
        <v>25585</v>
      </c>
    </row>
    <row r="25054" spans="1:1">
      <c r="A25054" t="s">
        <v>25586</v>
      </c>
    </row>
    <row r="25055" spans="1:1">
      <c r="A25055" t="s">
        <v>25587</v>
      </c>
    </row>
    <row r="25056" spans="1:1">
      <c r="A25056" t="s">
        <v>25588</v>
      </c>
    </row>
    <row r="25057" spans="1:1">
      <c r="A25057" t="s">
        <v>25589</v>
      </c>
    </row>
    <row r="25058" spans="1:1">
      <c r="A25058" t="s">
        <v>25590</v>
      </c>
    </row>
    <row r="25059" spans="1:1">
      <c r="A25059" t="s">
        <v>25591</v>
      </c>
    </row>
    <row r="25060" spans="1:1">
      <c r="A25060" t="s">
        <v>25592</v>
      </c>
    </row>
    <row r="25061" spans="1:1">
      <c r="A25061" t="s">
        <v>25593</v>
      </c>
    </row>
    <row r="25062" spans="1:1">
      <c r="A25062" t="s">
        <v>25594</v>
      </c>
    </row>
    <row r="25063" spans="1:1">
      <c r="A25063" t="s">
        <v>25595</v>
      </c>
    </row>
    <row r="25064" spans="1:1">
      <c r="A25064" t="s">
        <v>25596</v>
      </c>
    </row>
    <row r="25065" spans="1:1">
      <c r="A25065" t="s">
        <v>25597</v>
      </c>
    </row>
    <row r="25066" spans="1:1">
      <c r="A25066" t="s">
        <v>25598</v>
      </c>
    </row>
    <row r="25067" spans="1:1">
      <c r="A25067" t="s">
        <v>25599</v>
      </c>
    </row>
    <row r="25068" spans="1:1">
      <c r="A25068" t="s">
        <v>25600</v>
      </c>
    </row>
    <row r="25069" spans="1:1">
      <c r="A25069" t="s">
        <v>25601</v>
      </c>
    </row>
    <row r="25070" spans="1:1">
      <c r="A25070" t="s">
        <v>25602</v>
      </c>
    </row>
    <row r="25071" spans="1:1">
      <c r="A25071" t="s">
        <v>25603</v>
      </c>
    </row>
    <row r="25072" spans="1:1">
      <c r="A25072" t="s">
        <v>25604</v>
      </c>
    </row>
    <row r="25073" spans="1:1">
      <c r="A25073" t="s">
        <v>25605</v>
      </c>
    </row>
    <row r="25074" spans="1:1">
      <c r="A25074" t="s">
        <v>25606</v>
      </c>
    </row>
    <row r="25075" spans="1:1">
      <c r="A25075" t="s">
        <v>25607</v>
      </c>
    </row>
    <row r="25076" spans="1:1">
      <c r="A25076" t="s">
        <v>25608</v>
      </c>
    </row>
    <row r="25077" spans="1:1">
      <c r="A25077" t="s">
        <v>25609</v>
      </c>
    </row>
    <row r="25078" spans="1:1">
      <c r="A25078" t="s">
        <v>25610</v>
      </c>
    </row>
    <row r="25079" spans="1:1">
      <c r="A25079" t="s">
        <v>25611</v>
      </c>
    </row>
    <row r="25080" spans="1:1">
      <c r="A25080" t="s">
        <v>25612</v>
      </c>
    </row>
    <row r="25081" spans="1:1">
      <c r="A25081" t="s">
        <v>25613</v>
      </c>
    </row>
    <row r="25082" spans="1:1">
      <c r="A25082" t="s">
        <v>25614</v>
      </c>
    </row>
    <row r="25083" spans="1:1">
      <c r="A25083" t="s">
        <v>25615</v>
      </c>
    </row>
    <row r="25084" spans="1:1">
      <c r="A25084" t="s">
        <v>25616</v>
      </c>
    </row>
    <row r="25085" spans="1:1">
      <c r="A25085" t="s">
        <v>25617</v>
      </c>
    </row>
    <row r="25086" spans="1:1">
      <c r="A25086" t="s">
        <v>25618</v>
      </c>
    </row>
    <row r="25087" spans="1:1">
      <c r="A25087" t="s">
        <v>25619</v>
      </c>
    </row>
    <row r="25088" spans="1:1">
      <c r="A25088" t="s">
        <v>25620</v>
      </c>
    </row>
    <row r="25089" spans="1:1">
      <c r="A25089" t="s">
        <v>25621</v>
      </c>
    </row>
    <row r="25090" spans="1:1">
      <c r="A25090" t="s">
        <v>25622</v>
      </c>
    </row>
    <row r="25091" spans="1:1">
      <c r="A25091" t="s">
        <v>25623</v>
      </c>
    </row>
    <row r="25092" spans="1:1">
      <c r="A25092" t="s">
        <v>25624</v>
      </c>
    </row>
    <row r="25093" spans="1:1">
      <c r="A25093" t="s">
        <v>25625</v>
      </c>
    </row>
    <row r="25094" spans="1:1">
      <c r="A25094" t="s">
        <v>25626</v>
      </c>
    </row>
    <row r="25095" spans="1:1">
      <c r="A25095" t="s">
        <v>25627</v>
      </c>
    </row>
    <row r="25096" spans="1:1">
      <c r="A25096" t="s">
        <v>25628</v>
      </c>
    </row>
    <row r="25097" spans="1:1">
      <c r="A25097" t="s">
        <v>25629</v>
      </c>
    </row>
    <row r="25098" spans="1:1">
      <c r="A25098" t="s">
        <v>25630</v>
      </c>
    </row>
    <row r="25099" spans="1:1">
      <c r="A25099" t="s">
        <v>25631</v>
      </c>
    </row>
    <row r="25100" spans="1:1">
      <c r="A25100" t="s">
        <v>25632</v>
      </c>
    </row>
    <row r="25101" spans="1:1">
      <c r="A25101" t="s">
        <v>25633</v>
      </c>
    </row>
    <row r="25102" spans="1:1">
      <c r="A25102" t="s">
        <v>25634</v>
      </c>
    </row>
    <row r="25103" spans="1:1">
      <c r="A25103" t="s">
        <v>25635</v>
      </c>
    </row>
    <row r="25104" spans="1:1">
      <c r="A25104" t="s">
        <v>25636</v>
      </c>
    </row>
    <row r="25105" spans="1:1">
      <c r="A25105" t="s">
        <v>25637</v>
      </c>
    </row>
    <row r="25106" spans="1:1">
      <c r="A25106" t="s">
        <v>25638</v>
      </c>
    </row>
    <row r="25107" spans="1:1">
      <c r="A25107" t="s">
        <v>25639</v>
      </c>
    </row>
    <row r="25108" spans="1:1">
      <c r="A25108" t="s">
        <v>25640</v>
      </c>
    </row>
    <row r="25109" spans="1:1">
      <c r="A25109" t="s">
        <v>25641</v>
      </c>
    </row>
    <row r="25110" spans="1:1">
      <c r="A25110" t="s">
        <v>25642</v>
      </c>
    </row>
    <row r="25111" spans="1:1">
      <c r="A25111" t="s">
        <v>25643</v>
      </c>
    </row>
    <row r="25112" spans="1:1">
      <c r="A25112" t="s">
        <v>25644</v>
      </c>
    </row>
    <row r="25113" spans="1:1">
      <c r="A25113" t="s">
        <v>25645</v>
      </c>
    </row>
    <row r="25114" spans="1:1">
      <c r="A25114" t="s">
        <v>25646</v>
      </c>
    </row>
    <row r="25115" spans="1:1">
      <c r="A25115" t="s">
        <v>25647</v>
      </c>
    </row>
    <row r="25116" spans="1:1">
      <c r="A25116" t="s">
        <v>25648</v>
      </c>
    </row>
    <row r="25117" spans="1:1">
      <c r="A25117" t="s">
        <v>25649</v>
      </c>
    </row>
    <row r="25118" spans="1:1">
      <c r="A25118" t="s">
        <v>25650</v>
      </c>
    </row>
    <row r="25119" spans="1:1">
      <c r="A25119" t="s">
        <v>25651</v>
      </c>
    </row>
    <row r="25120" spans="1:1">
      <c r="A25120" t="s">
        <v>25652</v>
      </c>
    </row>
    <row r="25121" spans="1:1">
      <c r="A25121" t="s">
        <v>25653</v>
      </c>
    </row>
    <row r="25122" spans="1:1">
      <c r="A25122" t="s">
        <v>25654</v>
      </c>
    </row>
    <row r="25123" spans="1:1">
      <c r="A25123" t="s">
        <v>25655</v>
      </c>
    </row>
    <row r="25124" spans="1:1">
      <c r="A25124" t="s">
        <v>25656</v>
      </c>
    </row>
    <row r="25125" spans="1:1">
      <c r="A25125" t="s">
        <v>25657</v>
      </c>
    </row>
    <row r="25126" spans="1:1">
      <c r="A25126" t="s">
        <v>25658</v>
      </c>
    </row>
    <row r="25127" spans="1:1">
      <c r="A25127" t="s">
        <v>25659</v>
      </c>
    </row>
    <row r="25128" spans="1:1">
      <c r="A25128" t="s">
        <v>25660</v>
      </c>
    </row>
    <row r="25129" spans="1:1">
      <c r="A25129" t="s">
        <v>25661</v>
      </c>
    </row>
    <row r="25130" spans="1:1">
      <c r="A25130" t="s">
        <v>25662</v>
      </c>
    </row>
    <row r="25131" spans="1:1">
      <c r="A25131" t="s">
        <v>25663</v>
      </c>
    </row>
    <row r="25132" spans="1:1">
      <c r="A25132" t="s">
        <v>25664</v>
      </c>
    </row>
    <row r="25133" spans="1:1">
      <c r="A25133" t="s">
        <v>25665</v>
      </c>
    </row>
    <row r="25134" spans="1:1">
      <c r="A25134" t="s">
        <v>25666</v>
      </c>
    </row>
    <row r="25135" spans="1:1">
      <c r="A25135" t="s">
        <v>25667</v>
      </c>
    </row>
    <row r="25136" spans="1:1">
      <c r="A25136" t="s">
        <v>25668</v>
      </c>
    </row>
    <row r="25137" spans="1:1">
      <c r="A25137" t="s">
        <v>25669</v>
      </c>
    </row>
    <row r="25138" spans="1:1">
      <c r="A25138" t="s">
        <v>25670</v>
      </c>
    </row>
    <row r="25139" spans="1:1">
      <c r="A25139" t="s">
        <v>25671</v>
      </c>
    </row>
    <row r="25140" spans="1:1">
      <c r="A25140" t="s">
        <v>25672</v>
      </c>
    </row>
    <row r="25141" spans="1:1">
      <c r="A25141" t="s">
        <v>25673</v>
      </c>
    </row>
    <row r="25142" spans="1:1">
      <c r="A25142" t="s">
        <v>25674</v>
      </c>
    </row>
    <row r="25143" spans="1:1">
      <c r="A25143" t="s">
        <v>25675</v>
      </c>
    </row>
    <row r="25144" spans="1:1">
      <c r="A25144" t="s">
        <v>25676</v>
      </c>
    </row>
    <row r="25145" spans="1:1">
      <c r="A25145" t="s">
        <v>25677</v>
      </c>
    </row>
    <row r="25146" spans="1:1">
      <c r="A25146" t="s">
        <v>25678</v>
      </c>
    </row>
    <row r="25147" spans="1:1">
      <c r="A25147" t="s">
        <v>25679</v>
      </c>
    </row>
    <row r="25148" spans="1:1">
      <c r="A25148" t="s">
        <v>25680</v>
      </c>
    </row>
    <row r="25149" spans="1:1">
      <c r="A25149" t="s">
        <v>25681</v>
      </c>
    </row>
    <row r="25150" spans="1:1">
      <c r="A25150" t="s">
        <v>25682</v>
      </c>
    </row>
    <row r="25151" spans="1:1">
      <c r="A25151" t="s">
        <v>25683</v>
      </c>
    </row>
    <row r="25152" spans="1:1">
      <c r="A25152" t="s">
        <v>25684</v>
      </c>
    </row>
    <row r="25153" spans="1:1">
      <c r="A25153" t="s">
        <v>25685</v>
      </c>
    </row>
    <row r="25154" spans="1:1">
      <c r="A25154" t="s">
        <v>25686</v>
      </c>
    </row>
    <row r="25155" spans="1:1">
      <c r="A25155" t="s">
        <v>25687</v>
      </c>
    </row>
    <row r="25156" spans="1:1">
      <c r="A25156" t="s">
        <v>25688</v>
      </c>
    </row>
    <row r="25157" spans="1:1">
      <c r="A25157" t="s">
        <v>25689</v>
      </c>
    </row>
    <row r="25158" spans="1:1">
      <c r="A25158" t="s">
        <v>25690</v>
      </c>
    </row>
    <row r="25159" spans="1:1">
      <c r="A25159" t="s">
        <v>25691</v>
      </c>
    </row>
    <row r="25160" spans="1:1">
      <c r="A25160" t="s">
        <v>25692</v>
      </c>
    </row>
    <row r="25161" spans="1:1">
      <c r="A25161" t="s">
        <v>25693</v>
      </c>
    </row>
    <row r="25162" spans="1:1">
      <c r="A25162" t="s">
        <v>25694</v>
      </c>
    </row>
    <row r="25163" spans="1:1">
      <c r="A25163" t="s">
        <v>25695</v>
      </c>
    </row>
    <row r="25164" spans="1:1">
      <c r="A25164" t="s">
        <v>25696</v>
      </c>
    </row>
    <row r="25165" spans="1:1">
      <c r="A25165" t="s">
        <v>25697</v>
      </c>
    </row>
    <row r="25166" spans="1:1">
      <c r="A25166" t="s">
        <v>25698</v>
      </c>
    </row>
    <row r="25167" spans="1:1">
      <c r="A25167" t="s">
        <v>25699</v>
      </c>
    </row>
    <row r="25168" spans="1:1">
      <c r="A25168" t="s">
        <v>25700</v>
      </c>
    </row>
    <row r="25169" spans="1:1">
      <c r="A25169" t="s">
        <v>25701</v>
      </c>
    </row>
    <row r="25170" spans="1:1">
      <c r="A25170" t="s">
        <v>25702</v>
      </c>
    </row>
    <row r="25171" spans="1:1">
      <c r="A25171" t="s">
        <v>25703</v>
      </c>
    </row>
    <row r="25172" spans="1:1">
      <c r="A25172" t="s">
        <v>25704</v>
      </c>
    </row>
    <row r="25173" spans="1:1">
      <c r="A25173" t="s">
        <v>25705</v>
      </c>
    </row>
    <row r="25174" spans="1:1">
      <c r="A25174" t="s">
        <v>25706</v>
      </c>
    </row>
    <row r="25175" spans="1:1">
      <c r="A25175" t="s">
        <v>25707</v>
      </c>
    </row>
    <row r="25176" spans="1:1">
      <c r="A25176" t="s">
        <v>25708</v>
      </c>
    </row>
    <row r="25177" spans="1:1">
      <c r="A25177" t="s">
        <v>25709</v>
      </c>
    </row>
    <row r="25178" spans="1:1">
      <c r="A25178" t="s">
        <v>25710</v>
      </c>
    </row>
    <row r="25179" spans="1:1">
      <c r="A25179" t="s">
        <v>25711</v>
      </c>
    </row>
    <row r="25180" spans="1:1">
      <c r="A25180" t="s">
        <v>25712</v>
      </c>
    </row>
    <row r="25181" spans="1:1">
      <c r="A25181" t="s">
        <v>25713</v>
      </c>
    </row>
    <row r="25182" spans="1:1">
      <c r="A25182" t="s">
        <v>25714</v>
      </c>
    </row>
    <row r="25183" spans="1:1">
      <c r="A25183" t="s">
        <v>25715</v>
      </c>
    </row>
    <row r="25184" spans="1:1">
      <c r="A25184" t="s">
        <v>25716</v>
      </c>
    </row>
    <row r="25185" spans="1:1">
      <c r="A25185" t="s">
        <v>25717</v>
      </c>
    </row>
    <row r="25186" spans="1:1">
      <c r="A25186" t="s">
        <v>25718</v>
      </c>
    </row>
    <row r="25187" spans="1:1">
      <c r="A25187" t="s">
        <v>25719</v>
      </c>
    </row>
    <row r="25188" spans="1:1">
      <c r="A25188" t="s">
        <v>25720</v>
      </c>
    </row>
    <row r="25189" spans="1:1">
      <c r="A25189" t="s">
        <v>25721</v>
      </c>
    </row>
    <row r="25190" spans="1:1">
      <c r="A25190" t="s">
        <v>25722</v>
      </c>
    </row>
    <row r="25191" spans="1:1">
      <c r="A25191" t="s">
        <v>25723</v>
      </c>
    </row>
    <row r="25192" spans="1:1">
      <c r="A25192" t="s">
        <v>25724</v>
      </c>
    </row>
    <row r="25193" spans="1:1">
      <c r="A25193" t="s">
        <v>25725</v>
      </c>
    </row>
    <row r="25194" spans="1:1">
      <c r="A25194" t="s">
        <v>25726</v>
      </c>
    </row>
    <row r="25195" spans="1:1">
      <c r="A25195" t="s">
        <v>25727</v>
      </c>
    </row>
    <row r="25196" spans="1:1">
      <c r="A25196" t="s">
        <v>25728</v>
      </c>
    </row>
    <row r="25197" spans="1:1">
      <c r="A25197" t="s">
        <v>25729</v>
      </c>
    </row>
    <row r="25198" spans="1:1">
      <c r="A25198" t="s">
        <v>25730</v>
      </c>
    </row>
    <row r="25199" spans="1:1">
      <c r="A25199" t="s">
        <v>25731</v>
      </c>
    </row>
    <row r="25200" spans="1:1">
      <c r="A25200" t="s">
        <v>25732</v>
      </c>
    </row>
    <row r="25201" spans="1:1">
      <c r="A25201" t="s">
        <v>25733</v>
      </c>
    </row>
    <row r="25202" spans="1:1">
      <c r="A25202" t="s">
        <v>25734</v>
      </c>
    </row>
    <row r="25203" spans="1:1">
      <c r="A25203" t="s">
        <v>25735</v>
      </c>
    </row>
    <row r="25204" spans="1:1">
      <c r="A25204" t="s">
        <v>25736</v>
      </c>
    </row>
    <row r="25205" spans="1:1">
      <c r="A25205" t="s">
        <v>25737</v>
      </c>
    </row>
    <row r="25206" spans="1:1">
      <c r="A25206" t="s">
        <v>25738</v>
      </c>
    </row>
    <row r="25207" spans="1:1">
      <c r="A25207" t="s">
        <v>25739</v>
      </c>
    </row>
    <row r="25208" spans="1:1">
      <c r="A25208" t="s">
        <v>25740</v>
      </c>
    </row>
    <row r="25209" spans="1:1">
      <c r="A25209" t="s">
        <v>25741</v>
      </c>
    </row>
    <row r="25210" spans="1:1">
      <c r="A25210" t="s">
        <v>25742</v>
      </c>
    </row>
    <row r="25211" spans="1:1">
      <c r="A25211" t="s">
        <v>25743</v>
      </c>
    </row>
    <row r="25212" spans="1:1">
      <c r="A25212" t="s">
        <v>25744</v>
      </c>
    </row>
    <row r="25213" spans="1:1">
      <c r="A25213" t="s">
        <v>25745</v>
      </c>
    </row>
    <row r="25214" spans="1:1">
      <c r="A25214" t="s">
        <v>25746</v>
      </c>
    </row>
    <row r="25215" spans="1:1">
      <c r="A25215" t="s">
        <v>25747</v>
      </c>
    </row>
    <row r="25216" spans="1:1">
      <c r="A25216" t="s">
        <v>25748</v>
      </c>
    </row>
    <row r="25217" spans="1:1">
      <c r="A25217" t="s">
        <v>25749</v>
      </c>
    </row>
    <row r="25218" spans="1:1">
      <c r="A25218" t="s">
        <v>25750</v>
      </c>
    </row>
    <row r="25219" spans="1:1">
      <c r="A25219" t="s">
        <v>25751</v>
      </c>
    </row>
    <row r="25220" spans="1:1">
      <c r="A25220" t="s">
        <v>25752</v>
      </c>
    </row>
    <row r="25221" spans="1:1">
      <c r="A25221" t="s">
        <v>25753</v>
      </c>
    </row>
    <row r="25222" spans="1:1">
      <c r="A25222" t="s">
        <v>25754</v>
      </c>
    </row>
    <row r="25223" spans="1:1">
      <c r="A25223" t="s">
        <v>25755</v>
      </c>
    </row>
    <row r="25224" spans="1:1">
      <c r="A25224" t="s">
        <v>25756</v>
      </c>
    </row>
    <row r="25225" spans="1:1">
      <c r="A25225" t="s">
        <v>25757</v>
      </c>
    </row>
    <row r="25226" spans="1:1">
      <c r="A25226" t="s">
        <v>25758</v>
      </c>
    </row>
    <row r="25227" spans="1:1">
      <c r="A25227" t="s">
        <v>25759</v>
      </c>
    </row>
    <row r="25228" spans="1:1">
      <c r="A25228" t="s">
        <v>25760</v>
      </c>
    </row>
    <row r="25229" spans="1:1">
      <c r="A25229" t="s">
        <v>25761</v>
      </c>
    </row>
    <row r="25230" spans="1:1">
      <c r="A25230" t="s">
        <v>25762</v>
      </c>
    </row>
    <row r="25231" spans="1:1">
      <c r="A25231" t="s">
        <v>25763</v>
      </c>
    </row>
    <row r="25232" spans="1:1">
      <c r="A25232" t="s">
        <v>25764</v>
      </c>
    </row>
    <row r="25233" spans="1:1">
      <c r="A25233" t="s">
        <v>25765</v>
      </c>
    </row>
    <row r="25234" spans="1:1">
      <c r="A25234" t="s">
        <v>25766</v>
      </c>
    </row>
    <row r="25235" spans="1:1">
      <c r="A25235" t="s">
        <v>25767</v>
      </c>
    </row>
    <row r="25236" spans="1:1">
      <c r="A25236" t="s">
        <v>25768</v>
      </c>
    </row>
    <row r="25237" spans="1:1">
      <c r="A25237" t="s">
        <v>25769</v>
      </c>
    </row>
    <row r="25238" spans="1:1">
      <c r="A25238" t="s">
        <v>25770</v>
      </c>
    </row>
    <row r="25239" spans="1:1">
      <c r="A25239" t="s">
        <v>25771</v>
      </c>
    </row>
    <row r="25240" spans="1:1">
      <c r="A25240" t="s">
        <v>25772</v>
      </c>
    </row>
    <row r="25241" spans="1:1">
      <c r="A25241" t="s">
        <v>25773</v>
      </c>
    </row>
    <row r="25242" spans="1:1">
      <c r="A25242" t="s">
        <v>25774</v>
      </c>
    </row>
    <row r="25243" spans="1:1">
      <c r="A25243" t="s">
        <v>25775</v>
      </c>
    </row>
    <row r="25244" spans="1:1">
      <c r="A25244" t="s">
        <v>25776</v>
      </c>
    </row>
    <row r="25245" spans="1:1">
      <c r="A25245" t="s">
        <v>25777</v>
      </c>
    </row>
    <row r="25246" spans="1:1">
      <c r="A25246" t="s">
        <v>25778</v>
      </c>
    </row>
    <row r="25247" spans="1:1">
      <c r="A25247" t="s">
        <v>25779</v>
      </c>
    </row>
    <row r="25248" spans="1:1">
      <c r="A25248" t="s">
        <v>25780</v>
      </c>
    </row>
    <row r="25249" spans="1:1">
      <c r="A25249" t="s">
        <v>25781</v>
      </c>
    </row>
    <row r="25250" spans="1:1">
      <c r="A25250" t="s">
        <v>25782</v>
      </c>
    </row>
    <row r="25251" spans="1:1">
      <c r="A25251" t="s">
        <v>25783</v>
      </c>
    </row>
    <row r="25252" spans="1:1">
      <c r="A25252" t="s">
        <v>25784</v>
      </c>
    </row>
    <row r="25253" spans="1:1">
      <c r="A25253" t="s">
        <v>25785</v>
      </c>
    </row>
    <row r="25254" spans="1:1">
      <c r="A25254" t="s">
        <v>25786</v>
      </c>
    </row>
    <row r="25255" spans="1:1">
      <c r="A25255" t="s">
        <v>25787</v>
      </c>
    </row>
    <row r="25256" spans="1:1">
      <c r="A25256" t="s">
        <v>25788</v>
      </c>
    </row>
    <row r="25257" spans="1:1">
      <c r="A25257" t="s">
        <v>25789</v>
      </c>
    </row>
    <row r="25258" spans="1:1">
      <c r="A25258" t="s">
        <v>25790</v>
      </c>
    </row>
    <row r="25259" spans="1:1">
      <c r="A25259" t="s">
        <v>25791</v>
      </c>
    </row>
    <row r="25260" spans="1:1">
      <c r="A25260" t="s">
        <v>25792</v>
      </c>
    </row>
    <row r="25261" spans="1:1">
      <c r="A25261" t="s">
        <v>25793</v>
      </c>
    </row>
    <row r="25262" spans="1:1">
      <c r="A25262" t="s">
        <v>25794</v>
      </c>
    </row>
    <row r="25263" spans="1:1">
      <c r="A25263" t="s">
        <v>25795</v>
      </c>
    </row>
    <row r="25264" spans="1:1">
      <c r="A25264" t="s">
        <v>25796</v>
      </c>
    </row>
    <row r="25265" spans="1:1">
      <c r="A25265" t="s">
        <v>25797</v>
      </c>
    </row>
    <row r="25266" spans="1:1">
      <c r="A25266" t="s">
        <v>25798</v>
      </c>
    </row>
    <row r="25267" spans="1:1">
      <c r="A25267" t="s">
        <v>25799</v>
      </c>
    </row>
    <row r="25268" spans="1:1">
      <c r="A25268" t="s">
        <v>25800</v>
      </c>
    </row>
    <row r="25269" spans="1:1">
      <c r="A25269" t="s">
        <v>25801</v>
      </c>
    </row>
    <row r="25270" spans="1:1">
      <c r="A25270" t="s">
        <v>25802</v>
      </c>
    </row>
    <row r="25271" spans="1:1">
      <c r="A25271" t="s">
        <v>25803</v>
      </c>
    </row>
    <row r="25272" spans="1:1">
      <c r="A25272" t="s">
        <v>25804</v>
      </c>
    </row>
    <row r="25273" spans="1:1">
      <c r="A25273" t="s">
        <v>25805</v>
      </c>
    </row>
    <row r="25274" spans="1:1">
      <c r="A25274" t="s">
        <v>25806</v>
      </c>
    </row>
    <row r="25275" spans="1:1">
      <c r="A25275" t="s">
        <v>25807</v>
      </c>
    </row>
    <row r="25276" spans="1:1">
      <c r="A25276" t="s">
        <v>25808</v>
      </c>
    </row>
    <row r="25277" spans="1:1">
      <c r="A25277" t="s">
        <v>25809</v>
      </c>
    </row>
    <row r="25278" spans="1:1">
      <c r="A25278" t="s">
        <v>25810</v>
      </c>
    </row>
    <row r="25279" spans="1:1">
      <c r="A25279" t="s">
        <v>25811</v>
      </c>
    </row>
    <row r="25280" spans="1:1">
      <c r="A25280" t="s">
        <v>25812</v>
      </c>
    </row>
    <row r="25281" spans="1:1">
      <c r="A25281" t="s">
        <v>25813</v>
      </c>
    </row>
    <row r="25282" spans="1:1">
      <c r="A25282" t="s">
        <v>25814</v>
      </c>
    </row>
    <row r="25283" spans="1:1">
      <c r="A25283" t="s">
        <v>25815</v>
      </c>
    </row>
    <row r="25284" spans="1:1">
      <c r="A25284" t="s">
        <v>25816</v>
      </c>
    </row>
    <row r="25285" spans="1:1">
      <c r="A25285" t="s">
        <v>25817</v>
      </c>
    </row>
    <row r="25286" spans="1:1">
      <c r="A25286" t="s">
        <v>25818</v>
      </c>
    </row>
    <row r="25287" spans="1:1">
      <c r="A25287" t="s">
        <v>25819</v>
      </c>
    </row>
    <row r="25288" spans="1:1">
      <c r="A25288" t="s">
        <v>25820</v>
      </c>
    </row>
    <row r="25289" spans="1:1">
      <c r="A25289" t="s">
        <v>25821</v>
      </c>
    </row>
    <row r="25290" spans="1:1">
      <c r="A25290" t="s">
        <v>25822</v>
      </c>
    </row>
    <row r="25291" spans="1:1">
      <c r="A25291" t="s">
        <v>25823</v>
      </c>
    </row>
    <row r="25292" spans="1:1">
      <c r="A25292" t="s">
        <v>25824</v>
      </c>
    </row>
    <row r="25293" spans="1:1">
      <c r="A25293" t="s">
        <v>25825</v>
      </c>
    </row>
    <row r="25294" spans="1:1">
      <c r="A25294" t="s">
        <v>25826</v>
      </c>
    </row>
    <row r="25295" spans="1:1">
      <c r="A25295" t="s">
        <v>25827</v>
      </c>
    </row>
    <row r="25296" spans="1:1">
      <c r="A25296" t="s">
        <v>25828</v>
      </c>
    </row>
    <row r="25297" spans="1:1">
      <c r="A25297" t="s">
        <v>25829</v>
      </c>
    </row>
    <row r="25298" spans="1:1">
      <c r="A25298" t="s">
        <v>25830</v>
      </c>
    </row>
    <row r="25299" spans="1:1">
      <c r="A25299" t="s">
        <v>25831</v>
      </c>
    </row>
    <row r="25300" spans="1:1">
      <c r="A25300" t="s">
        <v>25832</v>
      </c>
    </row>
    <row r="25301" spans="1:1">
      <c r="A25301" t="s">
        <v>25833</v>
      </c>
    </row>
    <row r="25302" spans="1:1">
      <c r="A25302" t="s">
        <v>25834</v>
      </c>
    </row>
    <row r="25303" spans="1:1">
      <c r="A25303" t="s">
        <v>25835</v>
      </c>
    </row>
    <row r="25304" spans="1:1">
      <c r="A25304" t="s">
        <v>25836</v>
      </c>
    </row>
    <row r="25305" spans="1:1">
      <c r="A25305" t="s">
        <v>25837</v>
      </c>
    </row>
    <row r="25306" spans="1:1">
      <c r="A25306" t="s">
        <v>25838</v>
      </c>
    </row>
    <row r="25307" spans="1:1">
      <c r="A25307" t="s">
        <v>25839</v>
      </c>
    </row>
    <row r="25308" spans="1:1">
      <c r="A25308" t="s">
        <v>25840</v>
      </c>
    </row>
    <row r="25309" spans="1:1">
      <c r="A25309" t="s">
        <v>25841</v>
      </c>
    </row>
    <row r="25310" spans="1:1">
      <c r="A25310" t="s">
        <v>25842</v>
      </c>
    </row>
    <row r="25311" spans="1:1">
      <c r="A25311" t="s">
        <v>25843</v>
      </c>
    </row>
    <row r="25312" spans="1:1">
      <c r="A25312" t="s">
        <v>25844</v>
      </c>
    </row>
    <row r="25313" spans="1:1">
      <c r="A25313" t="s">
        <v>25845</v>
      </c>
    </row>
    <row r="25314" spans="1:1">
      <c r="A25314" t="s">
        <v>25846</v>
      </c>
    </row>
    <row r="25315" spans="1:1">
      <c r="A25315" t="s">
        <v>25847</v>
      </c>
    </row>
    <row r="25316" spans="1:1">
      <c r="A25316" t="s">
        <v>25848</v>
      </c>
    </row>
    <row r="25317" spans="1:1">
      <c r="A25317" t="s">
        <v>25849</v>
      </c>
    </row>
    <row r="25318" spans="1:1">
      <c r="A25318" t="s">
        <v>25850</v>
      </c>
    </row>
    <row r="25319" spans="1:1">
      <c r="A25319" t="s">
        <v>25851</v>
      </c>
    </row>
    <row r="25320" spans="1:1">
      <c r="A25320" t="s">
        <v>25852</v>
      </c>
    </row>
    <row r="25321" spans="1:1">
      <c r="A25321" t="s">
        <v>25853</v>
      </c>
    </row>
    <row r="25322" spans="1:1">
      <c r="A25322" t="s">
        <v>25854</v>
      </c>
    </row>
    <row r="25323" spans="1:1">
      <c r="A25323" t="s">
        <v>25855</v>
      </c>
    </row>
    <row r="25324" spans="1:1">
      <c r="A25324" t="s">
        <v>25856</v>
      </c>
    </row>
    <row r="25325" spans="1:1">
      <c r="A25325" t="s">
        <v>25857</v>
      </c>
    </row>
    <row r="25326" spans="1:1">
      <c r="A25326" t="s">
        <v>25858</v>
      </c>
    </row>
    <row r="25327" spans="1:1">
      <c r="A25327" t="s">
        <v>25859</v>
      </c>
    </row>
    <row r="25328" spans="1:1">
      <c r="A25328" t="s">
        <v>25860</v>
      </c>
    </row>
    <row r="25329" spans="1:1">
      <c r="A25329" t="s">
        <v>25861</v>
      </c>
    </row>
    <row r="25330" spans="1:1">
      <c r="A25330" t="s">
        <v>25862</v>
      </c>
    </row>
    <row r="25331" spans="1:1">
      <c r="A25331" t="s">
        <v>25863</v>
      </c>
    </row>
    <row r="25332" spans="1:1">
      <c r="A25332" t="s">
        <v>25864</v>
      </c>
    </row>
    <row r="25333" spans="1:1">
      <c r="A25333" t="s">
        <v>25865</v>
      </c>
    </row>
    <row r="25334" spans="1:1">
      <c r="A25334" t="s">
        <v>25866</v>
      </c>
    </row>
    <row r="25335" spans="1:1">
      <c r="A25335" t="s">
        <v>25867</v>
      </c>
    </row>
    <row r="25336" spans="1:1">
      <c r="A25336" t="s">
        <v>25868</v>
      </c>
    </row>
    <row r="25337" spans="1:1">
      <c r="A25337" t="s">
        <v>25869</v>
      </c>
    </row>
    <row r="25338" spans="1:1">
      <c r="A25338" t="s">
        <v>25870</v>
      </c>
    </row>
    <row r="25339" spans="1:1">
      <c r="A25339" t="s">
        <v>25871</v>
      </c>
    </row>
    <row r="25340" spans="1:1">
      <c r="A25340" t="s">
        <v>25872</v>
      </c>
    </row>
    <row r="25341" spans="1:1">
      <c r="A25341" t="s">
        <v>25873</v>
      </c>
    </row>
    <row r="25342" spans="1:1">
      <c r="A25342" t="s">
        <v>25874</v>
      </c>
    </row>
    <row r="25343" spans="1:1">
      <c r="A25343" t="s">
        <v>25875</v>
      </c>
    </row>
    <row r="25344" spans="1:1">
      <c r="A25344" t="s">
        <v>25876</v>
      </c>
    </row>
    <row r="25345" spans="1:1">
      <c r="A25345" t="s">
        <v>25877</v>
      </c>
    </row>
    <row r="25346" spans="1:1">
      <c r="A25346" t="s">
        <v>25878</v>
      </c>
    </row>
    <row r="25347" spans="1:1">
      <c r="A25347" t="s">
        <v>25879</v>
      </c>
    </row>
    <row r="25348" spans="1:1">
      <c r="A25348" t="s">
        <v>25880</v>
      </c>
    </row>
    <row r="25349" spans="1:1">
      <c r="A25349" t="s">
        <v>25881</v>
      </c>
    </row>
    <row r="25350" spans="1:1">
      <c r="A25350" t="s">
        <v>25882</v>
      </c>
    </row>
    <row r="25351" spans="1:1">
      <c r="A25351" t="s">
        <v>25883</v>
      </c>
    </row>
    <row r="25352" spans="1:1">
      <c r="A25352" t="s">
        <v>25884</v>
      </c>
    </row>
    <row r="25353" spans="1:1">
      <c r="A25353" t="s">
        <v>25885</v>
      </c>
    </row>
    <row r="25354" spans="1:1">
      <c r="A25354" t="s">
        <v>25886</v>
      </c>
    </row>
    <row r="25355" spans="1:1">
      <c r="A25355" t="s">
        <v>25887</v>
      </c>
    </row>
    <row r="25356" spans="1:1">
      <c r="A25356" t="s">
        <v>25888</v>
      </c>
    </row>
    <row r="25357" spans="1:1">
      <c r="A25357" t="s">
        <v>25889</v>
      </c>
    </row>
    <row r="25358" spans="1:1">
      <c r="A25358" t="s">
        <v>25890</v>
      </c>
    </row>
    <row r="25359" spans="1:1">
      <c r="A25359" t="s">
        <v>25891</v>
      </c>
    </row>
    <row r="25360" spans="1:1">
      <c r="A25360" t="s">
        <v>25892</v>
      </c>
    </row>
    <row r="25361" spans="1:1">
      <c r="A25361" t="s">
        <v>25893</v>
      </c>
    </row>
    <row r="25362" spans="1:1">
      <c r="A25362" t="s">
        <v>25894</v>
      </c>
    </row>
    <row r="25363" spans="1:1">
      <c r="A25363" t="s">
        <v>25895</v>
      </c>
    </row>
    <row r="25364" spans="1:1">
      <c r="A25364" t="s">
        <v>25896</v>
      </c>
    </row>
    <row r="25365" spans="1:1">
      <c r="A25365" t="s">
        <v>25897</v>
      </c>
    </row>
    <row r="25366" spans="1:1">
      <c r="A25366" t="s">
        <v>25898</v>
      </c>
    </row>
    <row r="25367" spans="1:1">
      <c r="A25367" t="s">
        <v>25899</v>
      </c>
    </row>
    <row r="25368" spans="1:1">
      <c r="A25368" t="s">
        <v>25900</v>
      </c>
    </row>
    <row r="25369" spans="1:1">
      <c r="A25369" t="s">
        <v>25901</v>
      </c>
    </row>
    <row r="25370" spans="1:1">
      <c r="A25370" t="s">
        <v>25902</v>
      </c>
    </row>
    <row r="25371" spans="1:1">
      <c r="A25371" t="s">
        <v>25903</v>
      </c>
    </row>
    <row r="25372" spans="1:1">
      <c r="A25372" t="s">
        <v>25904</v>
      </c>
    </row>
    <row r="25373" spans="1:1">
      <c r="A25373" t="s">
        <v>25905</v>
      </c>
    </row>
    <row r="25374" spans="1:1">
      <c r="A25374" t="s">
        <v>25906</v>
      </c>
    </row>
    <row r="25375" spans="1:1">
      <c r="A25375" t="s">
        <v>25907</v>
      </c>
    </row>
    <row r="25376" spans="1:1">
      <c r="A25376" t="s">
        <v>25908</v>
      </c>
    </row>
    <row r="25377" spans="1:1">
      <c r="A25377" t="s">
        <v>25909</v>
      </c>
    </row>
    <row r="25378" spans="1:1">
      <c r="A25378" t="s">
        <v>25910</v>
      </c>
    </row>
    <row r="25379" spans="1:1">
      <c r="A25379" t="s">
        <v>25911</v>
      </c>
    </row>
    <row r="25380" spans="1:1">
      <c r="A25380" t="s">
        <v>25912</v>
      </c>
    </row>
    <row r="25381" spans="1:1">
      <c r="A25381" t="s">
        <v>25913</v>
      </c>
    </row>
    <row r="25382" spans="1:1">
      <c r="A25382" t="s">
        <v>25914</v>
      </c>
    </row>
    <row r="25383" spans="1:1">
      <c r="A25383" t="s">
        <v>25915</v>
      </c>
    </row>
    <row r="25384" spans="1:1">
      <c r="A25384" t="s">
        <v>25916</v>
      </c>
    </row>
    <row r="25385" spans="1:1">
      <c r="A25385" t="s">
        <v>25917</v>
      </c>
    </row>
    <row r="25386" spans="1:1">
      <c r="A25386" t="s">
        <v>25918</v>
      </c>
    </row>
    <row r="25387" spans="1:1">
      <c r="A25387" t="s">
        <v>25919</v>
      </c>
    </row>
    <row r="25388" spans="1:1">
      <c r="A25388" t="s">
        <v>25920</v>
      </c>
    </row>
    <row r="25389" spans="1:1">
      <c r="A25389" t="s">
        <v>25921</v>
      </c>
    </row>
    <row r="25390" spans="1:1">
      <c r="A25390" t="s">
        <v>25922</v>
      </c>
    </row>
    <row r="25391" spans="1:1">
      <c r="A25391" t="s">
        <v>25923</v>
      </c>
    </row>
    <row r="25392" spans="1:1">
      <c r="A25392" t="s">
        <v>25924</v>
      </c>
    </row>
    <row r="25393" spans="1:1">
      <c r="A25393" t="s">
        <v>25925</v>
      </c>
    </row>
    <row r="25394" spans="1:1">
      <c r="A25394" t="s">
        <v>25926</v>
      </c>
    </row>
    <row r="25395" spans="1:1">
      <c r="A25395" t="s">
        <v>25927</v>
      </c>
    </row>
    <row r="25396" spans="1:1">
      <c r="A25396" t="s">
        <v>25928</v>
      </c>
    </row>
    <row r="25397" spans="1:1">
      <c r="A25397" t="s">
        <v>25929</v>
      </c>
    </row>
    <row r="25398" spans="1:1">
      <c r="A25398" t="s">
        <v>25930</v>
      </c>
    </row>
    <row r="25399" spans="1:1">
      <c r="A25399" t="s">
        <v>25931</v>
      </c>
    </row>
    <row r="25400" spans="1:1">
      <c r="A25400" t="s">
        <v>25932</v>
      </c>
    </row>
    <row r="25401" spans="1:1">
      <c r="A25401" t="s">
        <v>25933</v>
      </c>
    </row>
    <row r="25402" spans="1:1">
      <c r="A25402" t="s">
        <v>25934</v>
      </c>
    </row>
    <row r="25403" spans="1:1">
      <c r="A25403" t="s">
        <v>25935</v>
      </c>
    </row>
    <row r="25404" spans="1:1">
      <c r="A25404" t="s">
        <v>25936</v>
      </c>
    </row>
    <row r="25405" spans="1:1">
      <c r="A25405" t="s">
        <v>25937</v>
      </c>
    </row>
    <row r="25406" spans="1:1">
      <c r="A25406" t="s">
        <v>25938</v>
      </c>
    </row>
    <row r="25407" spans="1:1">
      <c r="A25407" t="s">
        <v>25939</v>
      </c>
    </row>
    <row r="25408" spans="1:1">
      <c r="A25408" t="s">
        <v>25940</v>
      </c>
    </row>
    <row r="25409" spans="1:1">
      <c r="A25409" t="s">
        <v>25941</v>
      </c>
    </row>
    <row r="25410" spans="1:1">
      <c r="A25410" t="s">
        <v>25942</v>
      </c>
    </row>
    <row r="25411" spans="1:1">
      <c r="A25411" t="s">
        <v>25943</v>
      </c>
    </row>
    <row r="25412" spans="1:1">
      <c r="A25412" t="s">
        <v>25944</v>
      </c>
    </row>
    <row r="25413" spans="1:1">
      <c r="A25413" t="s">
        <v>25945</v>
      </c>
    </row>
    <row r="25414" spans="1:1">
      <c r="A25414" t="s">
        <v>25946</v>
      </c>
    </row>
    <row r="25415" spans="1:1">
      <c r="A25415" t="s">
        <v>25947</v>
      </c>
    </row>
    <row r="25416" spans="1:1">
      <c r="A25416" t="s">
        <v>25948</v>
      </c>
    </row>
    <row r="25417" spans="1:1">
      <c r="A25417" t="s">
        <v>25949</v>
      </c>
    </row>
    <row r="25418" spans="1:1">
      <c r="A25418" t="s">
        <v>25950</v>
      </c>
    </row>
    <row r="25419" spans="1:1">
      <c r="A25419" t="s">
        <v>25951</v>
      </c>
    </row>
    <row r="25420" spans="1:1">
      <c r="A25420" t="s">
        <v>25952</v>
      </c>
    </row>
    <row r="25421" spans="1:1">
      <c r="A25421" t="s">
        <v>25953</v>
      </c>
    </row>
    <row r="25422" spans="1:1">
      <c r="A25422" t="s">
        <v>25954</v>
      </c>
    </row>
    <row r="25423" spans="1:1">
      <c r="A25423" t="s">
        <v>25955</v>
      </c>
    </row>
    <row r="25424" spans="1:1">
      <c r="A25424" t="s">
        <v>25956</v>
      </c>
    </row>
    <row r="25425" spans="1:1">
      <c r="A25425" t="s">
        <v>25957</v>
      </c>
    </row>
    <row r="25426" spans="1:1">
      <c r="A25426" t="s">
        <v>25958</v>
      </c>
    </row>
    <row r="25427" spans="1:1">
      <c r="A25427" t="s">
        <v>25959</v>
      </c>
    </row>
    <row r="25428" spans="1:1">
      <c r="A25428" t="s">
        <v>25960</v>
      </c>
    </row>
    <row r="25429" spans="1:1">
      <c r="A25429" t="s">
        <v>25961</v>
      </c>
    </row>
    <row r="25430" spans="1:1">
      <c r="A25430" t="s">
        <v>25962</v>
      </c>
    </row>
    <row r="25431" spans="1:1">
      <c r="A25431" t="s">
        <v>25963</v>
      </c>
    </row>
    <row r="25432" spans="1:1">
      <c r="A25432" t="s">
        <v>25964</v>
      </c>
    </row>
    <row r="25433" spans="1:1">
      <c r="A25433" t="s">
        <v>25965</v>
      </c>
    </row>
    <row r="25434" spans="1:1">
      <c r="A25434" t="s">
        <v>25966</v>
      </c>
    </row>
    <row r="25435" spans="1:1">
      <c r="A25435" t="s">
        <v>25967</v>
      </c>
    </row>
    <row r="25436" spans="1:1">
      <c r="A25436" t="s">
        <v>25968</v>
      </c>
    </row>
    <row r="25437" spans="1:1">
      <c r="A25437" t="s">
        <v>25969</v>
      </c>
    </row>
    <row r="25438" spans="1:1">
      <c r="A25438" t="s">
        <v>25970</v>
      </c>
    </row>
    <row r="25439" spans="1:1">
      <c r="A25439" t="s">
        <v>25971</v>
      </c>
    </row>
    <row r="25440" spans="1:1">
      <c r="A25440" t="s">
        <v>25972</v>
      </c>
    </row>
    <row r="25441" spans="1:1">
      <c r="A25441" t="s">
        <v>25973</v>
      </c>
    </row>
    <row r="25442" spans="1:1">
      <c r="A25442" t="s">
        <v>25974</v>
      </c>
    </row>
    <row r="25443" spans="1:1">
      <c r="A25443" t="s">
        <v>25975</v>
      </c>
    </row>
    <row r="25444" spans="1:1">
      <c r="A25444" t="s">
        <v>25976</v>
      </c>
    </row>
    <row r="25445" spans="1:1">
      <c r="A25445" t="s">
        <v>25977</v>
      </c>
    </row>
    <row r="25446" spans="1:1">
      <c r="A25446" t="s">
        <v>25978</v>
      </c>
    </row>
    <row r="25447" spans="1:1">
      <c r="A25447" t="s">
        <v>25979</v>
      </c>
    </row>
    <row r="25448" spans="1:1">
      <c r="A25448" t="s">
        <v>25980</v>
      </c>
    </row>
    <row r="25449" spans="1:1">
      <c r="A25449" t="s">
        <v>25981</v>
      </c>
    </row>
    <row r="25450" spans="1:1">
      <c r="A25450" t="s">
        <v>25982</v>
      </c>
    </row>
    <row r="25451" spans="1:1">
      <c r="A25451" t="s">
        <v>25983</v>
      </c>
    </row>
    <row r="25452" spans="1:1">
      <c r="A25452" t="s">
        <v>25984</v>
      </c>
    </row>
    <row r="25453" spans="1:1">
      <c r="A25453" t="s">
        <v>25985</v>
      </c>
    </row>
    <row r="25454" spans="1:1">
      <c r="A25454" t="s">
        <v>25986</v>
      </c>
    </row>
    <row r="25455" spans="1:1">
      <c r="A25455" t="s">
        <v>25987</v>
      </c>
    </row>
    <row r="25456" spans="1:1">
      <c r="A25456" t="s">
        <v>25988</v>
      </c>
    </row>
    <row r="25457" spans="1:1">
      <c r="A25457" t="s">
        <v>25989</v>
      </c>
    </row>
    <row r="25458" spans="1:1">
      <c r="A25458" t="s">
        <v>25990</v>
      </c>
    </row>
    <row r="25459" spans="1:1">
      <c r="A25459" t="s">
        <v>25991</v>
      </c>
    </row>
    <row r="25460" spans="1:1">
      <c r="A25460" t="s">
        <v>25992</v>
      </c>
    </row>
    <row r="25461" spans="1:1">
      <c r="A25461" t="s">
        <v>25993</v>
      </c>
    </row>
    <row r="25462" spans="1:1">
      <c r="A25462" t="s">
        <v>25994</v>
      </c>
    </row>
    <row r="25463" spans="1:1">
      <c r="A25463" t="s">
        <v>25995</v>
      </c>
    </row>
    <row r="25464" spans="1:1">
      <c r="A25464" t="s">
        <v>25996</v>
      </c>
    </row>
    <row r="25465" spans="1:1">
      <c r="A25465" t="s">
        <v>25997</v>
      </c>
    </row>
    <row r="25466" spans="1:1">
      <c r="A25466" t="s">
        <v>25998</v>
      </c>
    </row>
    <row r="25467" spans="1:1">
      <c r="A25467" t="s">
        <v>25999</v>
      </c>
    </row>
    <row r="25468" spans="1:1">
      <c r="A25468" t="s">
        <v>26000</v>
      </c>
    </row>
    <row r="25469" spans="1:1">
      <c r="A25469" t="s">
        <v>26001</v>
      </c>
    </row>
    <row r="25470" spans="1:1">
      <c r="A25470" t="s">
        <v>26002</v>
      </c>
    </row>
    <row r="25471" spans="1:1">
      <c r="A25471" t="s">
        <v>26003</v>
      </c>
    </row>
    <row r="25472" spans="1:1">
      <c r="A25472" t="s">
        <v>26004</v>
      </c>
    </row>
    <row r="25473" spans="1:1">
      <c r="A25473" t="s">
        <v>26005</v>
      </c>
    </row>
    <row r="25474" spans="1:1">
      <c r="A25474" t="s">
        <v>26006</v>
      </c>
    </row>
    <row r="25475" spans="1:1">
      <c r="A25475" t="s">
        <v>26007</v>
      </c>
    </row>
    <row r="25476" spans="1:1">
      <c r="A25476" t="s">
        <v>26008</v>
      </c>
    </row>
    <row r="25477" spans="1:1">
      <c r="A25477" t="s">
        <v>26009</v>
      </c>
    </row>
    <row r="25478" spans="1:1">
      <c r="A25478" t="s">
        <v>26010</v>
      </c>
    </row>
    <row r="25479" spans="1:1">
      <c r="A25479" t="s">
        <v>26011</v>
      </c>
    </row>
    <row r="25480" spans="1:1">
      <c r="A25480" t="s">
        <v>26012</v>
      </c>
    </row>
    <row r="25481" spans="1:1">
      <c r="A25481" t="s">
        <v>26013</v>
      </c>
    </row>
    <row r="25482" spans="1:1">
      <c r="A25482" t="s">
        <v>26014</v>
      </c>
    </row>
    <row r="25483" spans="1:1">
      <c r="A25483" t="s">
        <v>26015</v>
      </c>
    </row>
    <row r="25484" spans="1:1">
      <c r="A25484" t="s">
        <v>26016</v>
      </c>
    </row>
    <row r="25485" spans="1:1">
      <c r="A25485" t="s">
        <v>26017</v>
      </c>
    </row>
    <row r="25486" spans="1:1">
      <c r="A25486" t="s">
        <v>26018</v>
      </c>
    </row>
    <row r="25487" spans="1:1">
      <c r="A25487" t="s">
        <v>26019</v>
      </c>
    </row>
    <row r="25488" spans="1:1">
      <c r="A25488" t="s">
        <v>26020</v>
      </c>
    </row>
    <row r="25489" spans="1:1">
      <c r="A25489" t="s">
        <v>26021</v>
      </c>
    </row>
    <row r="25490" spans="1:1">
      <c r="A25490" t="s">
        <v>26022</v>
      </c>
    </row>
    <row r="25491" spans="1:1">
      <c r="A25491" t="s">
        <v>26023</v>
      </c>
    </row>
    <row r="25492" spans="1:1">
      <c r="A25492" t="s">
        <v>26024</v>
      </c>
    </row>
    <row r="25493" spans="1:1">
      <c r="A25493" t="s">
        <v>26025</v>
      </c>
    </row>
    <row r="25494" spans="1:1">
      <c r="A25494" t="s">
        <v>26026</v>
      </c>
    </row>
    <row r="25495" spans="1:1">
      <c r="A25495" t="s">
        <v>26027</v>
      </c>
    </row>
    <row r="25496" spans="1:1">
      <c r="A25496" t="s">
        <v>26028</v>
      </c>
    </row>
    <row r="25497" spans="1:1">
      <c r="A25497" t="s">
        <v>26029</v>
      </c>
    </row>
    <row r="25498" spans="1:1">
      <c r="A25498" t="s">
        <v>26030</v>
      </c>
    </row>
    <row r="25499" spans="1:1">
      <c r="A25499" t="s">
        <v>26031</v>
      </c>
    </row>
    <row r="25500" spans="1:1">
      <c r="A25500" t="s">
        <v>26032</v>
      </c>
    </row>
    <row r="25501" spans="1:1">
      <c r="A25501" t="s">
        <v>26033</v>
      </c>
    </row>
    <row r="25502" spans="1:1">
      <c r="A25502" t="s">
        <v>26034</v>
      </c>
    </row>
    <row r="25503" spans="1:1">
      <c r="A25503" t="s">
        <v>26035</v>
      </c>
    </row>
    <row r="25504" spans="1:1">
      <c r="A25504" t="s">
        <v>26036</v>
      </c>
    </row>
    <row r="25505" spans="1:1">
      <c r="A25505" t="s">
        <v>26037</v>
      </c>
    </row>
    <row r="25506" spans="1:1">
      <c r="A25506" t="s">
        <v>26038</v>
      </c>
    </row>
    <row r="25507" spans="1:1">
      <c r="A25507" t="s">
        <v>26039</v>
      </c>
    </row>
    <row r="25508" spans="1:1">
      <c r="A25508" t="s">
        <v>26040</v>
      </c>
    </row>
    <row r="25509" spans="1:1">
      <c r="A25509" t="s">
        <v>26041</v>
      </c>
    </row>
    <row r="25510" spans="1:1">
      <c r="A25510" t="s">
        <v>26042</v>
      </c>
    </row>
    <row r="25511" spans="1:1">
      <c r="A25511" t="s">
        <v>26043</v>
      </c>
    </row>
    <row r="25512" spans="1:1">
      <c r="A25512" t="s">
        <v>26044</v>
      </c>
    </row>
    <row r="25513" spans="1:1">
      <c r="A25513" t="s">
        <v>26045</v>
      </c>
    </row>
    <row r="25514" spans="1:1">
      <c r="A25514" t="s">
        <v>26046</v>
      </c>
    </row>
    <row r="25515" spans="1:1">
      <c r="A25515" t="s">
        <v>26047</v>
      </c>
    </row>
    <row r="25516" spans="1:1">
      <c r="A25516" t="s">
        <v>26048</v>
      </c>
    </row>
    <row r="25517" spans="1:1">
      <c r="A25517" t="s">
        <v>26049</v>
      </c>
    </row>
    <row r="25518" spans="1:1">
      <c r="A25518" t="s">
        <v>26050</v>
      </c>
    </row>
    <row r="25519" spans="1:1">
      <c r="A25519" t="s">
        <v>26051</v>
      </c>
    </row>
    <row r="25520" spans="1:1">
      <c r="A25520" t="s">
        <v>26052</v>
      </c>
    </row>
    <row r="25521" spans="1:1">
      <c r="A25521" t="s">
        <v>26053</v>
      </c>
    </row>
    <row r="25522" spans="1:1">
      <c r="A25522" t="s">
        <v>26054</v>
      </c>
    </row>
    <row r="25523" spans="1:1">
      <c r="A25523" t="s">
        <v>26055</v>
      </c>
    </row>
    <row r="25524" spans="1:1">
      <c r="A25524" t="s">
        <v>26056</v>
      </c>
    </row>
    <row r="25525" spans="1:1">
      <c r="A25525" t="s">
        <v>26057</v>
      </c>
    </row>
    <row r="25526" spans="1:1">
      <c r="A25526" t="s">
        <v>26058</v>
      </c>
    </row>
    <row r="25527" spans="1:1">
      <c r="A25527" t="s">
        <v>26059</v>
      </c>
    </row>
    <row r="25528" spans="1:1">
      <c r="A25528" t="s">
        <v>26060</v>
      </c>
    </row>
    <row r="25529" spans="1:1">
      <c r="A25529" t="s">
        <v>26061</v>
      </c>
    </row>
    <row r="25530" spans="1:1">
      <c r="A25530" t="s">
        <v>26062</v>
      </c>
    </row>
    <row r="25531" spans="1:1">
      <c r="A25531" t="s">
        <v>26063</v>
      </c>
    </row>
    <row r="25532" spans="1:1">
      <c r="A25532" t="s">
        <v>26064</v>
      </c>
    </row>
    <row r="25533" spans="1:1">
      <c r="A25533" t="s">
        <v>26065</v>
      </c>
    </row>
    <row r="25534" spans="1:1">
      <c r="A25534" t="s">
        <v>26066</v>
      </c>
    </row>
    <row r="25535" spans="1:1">
      <c r="A25535" t="s">
        <v>26067</v>
      </c>
    </row>
    <row r="25536" spans="1:1">
      <c r="A25536" t="s">
        <v>26068</v>
      </c>
    </row>
    <row r="25537" spans="1:1">
      <c r="A25537" t="s">
        <v>26069</v>
      </c>
    </row>
    <row r="25538" spans="1:1">
      <c r="A25538" t="s">
        <v>26070</v>
      </c>
    </row>
    <row r="25539" spans="1:1">
      <c r="A25539" t="s">
        <v>26071</v>
      </c>
    </row>
    <row r="25540" spans="1:1">
      <c r="A25540" t="s">
        <v>26072</v>
      </c>
    </row>
    <row r="25541" spans="1:1">
      <c r="A25541" t="s">
        <v>26073</v>
      </c>
    </row>
    <row r="25542" spans="1:1">
      <c r="A25542" t="s">
        <v>26074</v>
      </c>
    </row>
    <row r="25543" spans="1:1">
      <c r="A25543" t="s">
        <v>26075</v>
      </c>
    </row>
    <row r="25544" spans="1:1">
      <c r="A25544" t="s">
        <v>26076</v>
      </c>
    </row>
    <row r="25545" spans="1:1">
      <c r="A25545" t="s">
        <v>26077</v>
      </c>
    </row>
    <row r="25546" spans="1:1">
      <c r="A25546" t="s">
        <v>26078</v>
      </c>
    </row>
    <row r="25547" spans="1:1">
      <c r="A25547" t="s">
        <v>26079</v>
      </c>
    </row>
    <row r="25548" spans="1:1">
      <c r="A25548" t="s">
        <v>26080</v>
      </c>
    </row>
    <row r="25549" spans="1:1">
      <c r="A25549" t="s">
        <v>26081</v>
      </c>
    </row>
    <row r="25550" spans="1:1">
      <c r="A25550" t="s">
        <v>26082</v>
      </c>
    </row>
    <row r="25551" spans="1:1">
      <c r="A25551" t="s">
        <v>26083</v>
      </c>
    </row>
    <row r="25552" spans="1:1">
      <c r="A25552" t="s">
        <v>26084</v>
      </c>
    </row>
    <row r="25553" spans="1:1">
      <c r="A25553" t="s">
        <v>26085</v>
      </c>
    </row>
    <row r="25554" spans="1:1">
      <c r="A25554" t="s">
        <v>26086</v>
      </c>
    </row>
    <row r="25555" spans="1:1">
      <c r="A25555" t="s">
        <v>26087</v>
      </c>
    </row>
    <row r="25556" spans="1:1">
      <c r="A25556" t="s">
        <v>26088</v>
      </c>
    </row>
    <row r="25557" spans="1:1">
      <c r="A25557" t="s">
        <v>26089</v>
      </c>
    </row>
    <row r="25558" spans="1:1">
      <c r="A25558" t="s">
        <v>26090</v>
      </c>
    </row>
    <row r="25559" spans="1:1">
      <c r="A25559" t="s">
        <v>26091</v>
      </c>
    </row>
    <row r="25560" spans="1:1">
      <c r="A25560" t="s">
        <v>26092</v>
      </c>
    </row>
    <row r="25561" spans="1:1">
      <c r="A25561" t="s">
        <v>26093</v>
      </c>
    </row>
    <row r="25562" spans="1:1">
      <c r="A25562" t="s">
        <v>26094</v>
      </c>
    </row>
    <row r="25563" spans="1:1">
      <c r="A25563" t="s">
        <v>26095</v>
      </c>
    </row>
    <row r="25564" spans="1:1">
      <c r="A25564" t="s">
        <v>26096</v>
      </c>
    </row>
    <row r="25565" spans="1:1">
      <c r="A25565" t="s">
        <v>26097</v>
      </c>
    </row>
    <row r="25566" spans="1:1">
      <c r="A25566" t="s">
        <v>26098</v>
      </c>
    </row>
    <row r="25567" spans="1:1">
      <c r="A25567" t="s">
        <v>26099</v>
      </c>
    </row>
    <row r="25568" spans="1:1">
      <c r="A25568" t="s">
        <v>26100</v>
      </c>
    </row>
    <row r="25569" spans="1:1">
      <c r="A25569" t="s">
        <v>26101</v>
      </c>
    </row>
    <row r="25570" spans="1:1">
      <c r="A25570" t="s">
        <v>26102</v>
      </c>
    </row>
    <row r="25571" spans="1:1">
      <c r="A25571" t="s">
        <v>26103</v>
      </c>
    </row>
    <row r="25572" spans="1:1">
      <c r="A25572" t="s">
        <v>26104</v>
      </c>
    </row>
    <row r="25573" spans="1:1">
      <c r="A25573" t="s">
        <v>26105</v>
      </c>
    </row>
    <row r="25574" spans="1:1">
      <c r="A25574" t="s">
        <v>26106</v>
      </c>
    </row>
    <row r="25575" spans="1:1">
      <c r="A25575" t="s">
        <v>26107</v>
      </c>
    </row>
    <row r="25576" spans="1:1">
      <c r="A25576" t="s">
        <v>26108</v>
      </c>
    </row>
    <row r="25577" spans="1:1">
      <c r="A25577" t="s">
        <v>26109</v>
      </c>
    </row>
    <row r="25578" spans="1:1">
      <c r="A25578" t="s">
        <v>26110</v>
      </c>
    </row>
    <row r="25579" spans="1:1">
      <c r="A25579" t="s">
        <v>26111</v>
      </c>
    </row>
    <row r="25580" spans="1:1">
      <c r="A25580" t="s">
        <v>26112</v>
      </c>
    </row>
    <row r="25581" spans="1:1">
      <c r="A25581" t="s">
        <v>26113</v>
      </c>
    </row>
    <row r="25582" spans="1:1">
      <c r="A25582" t="s">
        <v>26114</v>
      </c>
    </row>
    <row r="25583" spans="1:1">
      <c r="A25583" t="s">
        <v>26115</v>
      </c>
    </row>
    <row r="25584" spans="1:1">
      <c r="A25584" t="s">
        <v>26116</v>
      </c>
    </row>
    <row r="25585" spans="1:1">
      <c r="A25585" t="s">
        <v>26117</v>
      </c>
    </row>
    <row r="25586" spans="1:1">
      <c r="A25586" t="s">
        <v>26118</v>
      </c>
    </row>
    <row r="25587" spans="1:1">
      <c r="A25587" t="s">
        <v>26119</v>
      </c>
    </row>
    <row r="25588" spans="1:1">
      <c r="A25588" t="s">
        <v>26120</v>
      </c>
    </row>
    <row r="25589" spans="1:1">
      <c r="A25589" t="s">
        <v>26121</v>
      </c>
    </row>
    <row r="25590" spans="1:1">
      <c r="A25590" t="s">
        <v>26122</v>
      </c>
    </row>
    <row r="25591" spans="1:1">
      <c r="A25591" t="s">
        <v>26123</v>
      </c>
    </row>
    <row r="25592" spans="1:1">
      <c r="A25592" t="s">
        <v>26124</v>
      </c>
    </row>
    <row r="25593" spans="1:1">
      <c r="A25593" t="s">
        <v>26125</v>
      </c>
    </row>
    <row r="25594" spans="1:1">
      <c r="A25594" t="s">
        <v>26126</v>
      </c>
    </row>
    <row r="25595" spans="1:1">
      <c r="A25595" t="s">
        <v>26127</v>
      </c>
    </row>
    <row r="25596" spans="1:1">
      <c r="A25596" t="s">
        <v>26128</v>
      </c>
    </row>
    <row r="25597" spans="1:1">
      <c r="A25597" t="s">
        <v>26129</v>
      </c>
    </row>
    <row r="25598" spans="1:1">
      <c r="A25598" t="s">
        <v>26130</v>
      </c>
    </row>
    <row r="25599" spans="1:1">
      <c r="A25599" t="s">
        <v>26131</v>
      </c>
    </row>
    <row r="25600" spans="1:1">
      <c r="A25600" t="s">
        <v>26132</v>
      </c>
    </row>
    <row r="25601" spans="1:1">
      <c r="A25601" t="s">
        <v>26133</v>
      </c>
    </row>
    <row r="25602" spans="1:1">
      <c r="A25602" t="s">
        <v>26134</v>
      </c>
    </row>
    <row r="25603" spans="1:1">
      <c r="A25603" t="s">
        <v>26135</v>
      </c>
    </row>
    <row r="25604" spans="1:1">
      <c r="A25604" t="s">
        <v>26136</v>
      </c>
    </row>
    <row r="25605" spans="1:1">
      <c r="A25605" t="s">
        <v>26137</v>
      </c>
    </row>
    <row r="25606" spans="1:1">
      <c r="A25606" t="s">
        <v>26138</v>
      </c>
    </row>
    <row r="25607" spans="1:1">
      <c r="A25607" t="s">
        <v>26139</v>
      </c>
    </row>
    <row r="25608" spans="1:1">
      <c r="A25608" t="s">
        <v>26140</v>
      </c>
    </row>
    <row r="25609" spans="1:1">
      <c r="A25609" t="s">
        <v>26141</v>
      </c>
    </row>
    <row r="25610" spans="1:1">
      <c r="A25610" t="s">
        <v>26142</v>
      </c>
    </row>
    <row r="25611" spans="1:1">
      <c r="A25611" t="s">
        <v>26143</v>
      </c>
    </row>
    <row r="25612" spans="1:1">
      <c r="A25612" t="s">
        <v>26144</v>
      </c>
    </row>
    <row r="25613" spans="1:1">
      <c r="A25613" t="s">
        <v>26145</v>
      </c>
    </row>
    <row r="25614" spans="1:1">
      <c r="A25614" t="s">
        <v>26146</v>
      </c>
    </row>
    <row r="25615" spans="1:1">
      <c r="A25615" t="s">
        <v>26147</v>
      </c>
    </row>
    <row r="25616" spans="1:1">
      <c r="A25616" t="s">
        <v>26148</v>
      </c>
    </row>
    <row r="25617" spans="1:1">
      <c r="A25617" t="s">
        <v>26149</v>
      </c>
    </row>
    <row r="25618" spans="1:1">
      <c r="A25618" t="s">
        <v>26150</v>
      </c>
    </row>
    <row r="25619" spans="1:1">
      <c r="A25619" t="s">
        <v>26151</v>
      </c>
    </row>
    <row r="25620" spans="1:1">
      <c r="A25620" t="s">
        <v>26152</v>
      </c>
    </row>
    <row r="25621" spans="1:1">
      <c r="A25621" t="s">
        <v>26153</v>
      </c>
    </row>
    <row r="25622" spans="1:1">
      <c r="A25622" t="s">
        <v>26154</v>
      </c>
    </row>
    <row r="25623" spans="1:1">
      <c r="A25623" t="s">
        <v>26155</v>
      </c>
    </row>
    <row r="25624" spans="1:1">
      <c r="A25624" t="s">
        <v>26156</v>
      </c>
    </row>
    <row r="25625" spans="1:1">
      <c r="A25625" t="s">
        <v>26157</v>
      </c>
    </row>
    <row r="25626" spans="1:1">
      <c r="A25626" t="s">
        <v>26158</v>
      </c>
    </row>
    <row r="25627" spans="1:1">
      <c r="A25627" t="s">
        <v>26159</v>
      </c>
    </row>
    <row r="25628" spans="1:1">
      <c r="A25628" t="s">
        <v>26160</v>
      </c>
    </row>
    <row r="25629" spans="1:1">
      <c r="A25629" t="s">
        <v>26161</v>
      </c>
    </row>
    <row r="25630" spans="1:1">
      <c r="A25630" t="s">
        <v>26162</v>
      </c>
    </row>
    <row r="25631" spans="1:1">
      <c r="A25631" t="s">
        <v>26163</v>
      </c>
    </row>
    <row r="25632" spans="1:1">
      <c r="A25632" t="s">
        <v>26164</v>
      </c>
    </row>
    <row r="25633" spans="1:1">
      <c r="A25633" t="s">
        <v>26165</v>
      </c>
    </row>
    <row r="25634" spans="1:1">
      <c r="A25634" t="s">
        <v>26166</v>
      </c>
    </row>
    <row r="25635" spans="1:1">
      <c r="A25635" t="s">
        <v>26167</v>
      </c>
    </row>
    <row r="25636" spans="1:1">
      <c r="A25636" t="s">
        <v>26168</v>
      </c>
    </row>
    <row r="25637" spans="1:1">
      <c r="A25637" t="s">
        <v>26169</v>
      </c>
    </row>
    <row r="25638" spans="1:1">
      <c r="A25638" t="s">
        <v>26170</v>
      </c>
    </row>
    <row r="25639" spans="1:1">
      <c r="A25639" t="s">
        <v>26171</v>
      </c>
    </row>
    <row r="25640" spans="1:1">
      <c r="A25640" t="s">
        <v>26172</v>
      </c>
    </row>
    <row r="25641" spans="1:1">
      <c r="A25641" t="s">
        <v>26173</v>
      </c>
    </row>
    <row r="25642" spans="1:1">
      <c r="A25642" t="s">
        <v>26174</v>
      </c>
    </row>
    <row r="25643" spans="1:1">
      <c r="A25643" t="s">
        <v>26175</v>
      </c>
    </row>
    <row r="25644" spans="1:1">
      <c r="A25644" t="s">
        <v>26176</v>
      </c>
    </row>
    <row r="25645" spans="1:1">
      <c r="A25645" t="s">
        <v>26177</v>
      </c>
    </row>
    <row r="25646" spans="1:1">
      <c r="A25646" t="s">
        <v>26178</v>
      </c>
    </row>
    <row r="25647" spans="1:1">
      <c r="A25647" t="s">
        <v>26179</v>
      </c>
    </row>
    <row r="25648" spans="1:1">
      <c r="A25648" t="s">
        <v>26180</v>
      </c>
    </row>
    <row r="25649" spans="1:1">
      <c r="A25649" t="s">
        <v>26181</v>
      </c>
    </row>
    <row r="25650" spans="1:1">
      <c r="A25650" t="s">
        <v>26182</v>
      </c>
    </row>
    <row r="25651" spans="1:1">
      <c r="A25651" t="s">
        <v>26183</v>
      </c>
    </row>
    <row r="25652" spans="1:1">
      <c r="A25652" t="s">
        <v>26184</v>
      </c>
    </row>
    <row r="25653" spans="1:1">
      <c r="A25653" t="s">
        <v>26185</v>
      </c>
    </row>
    <row r="25654" spans="1:1">
      <c r="A25654" t="s">
        <v>26186</v>
      </c>
    </row>
    <row r="25655" spans="1:1">
      <c r="A25655" t="s">
        <v>26187</v>
      </c>
    </row>
    <row r="25656" spans="1:1">
      <c r="A25656" t="s">
        <v>26188</v>
      </c>
    </row>
    <row r="25657" spans="1:1">
      <c r="A25657" t="s">
        <v>26189</v>
      </c>
    </row>
    <row r="25658" spans="1:1">
      <c r="A25658" t="s">
        <v>26190</v>
      </c>
    </row>
    <row r="25659" spans="1:1">
      <c r="A25659" t="s">
        <v>26191</v>
      </c>
    </row>
    <row r="25660" spans="1:1">
      <c r="A25660" t="s">
        <v>26192</v>
      </c>
    </row>
    <row r="25661" spans="1:1">
      <c r="A25661" t="s">
        <v>26193</v>
      </c>
    </row>
    <row r="25662" spans="1:1">
      <c r="A25662" t="s">
        <v>26194</v>
      </c>
    </row>
    <row r="25663" spans="1:1">
      <c r="A25663" t="s">
        <v>26195</v>
      </c>
    </row>
    <row r="25664" spans="1:1">
      <c r="A25664" t="s">
        <v>26196</v>
      </c>
    </row>
    <row r="25665" spans="1:1">
      <c r="A25665" t="s">
        <v>26197</v>
      </c>
    </row>
    <row r="25666" spans="1:1">
      <c r="A25666" t="s">
        <v>26198</v>
      </c>
    </row>
    <row r="25667" spans="1:1">
      <c r="A25667" t="s">
        <v>26199</v>
      </c>
    </row>
    <row r="25668" spans="1:1">
      <c r="A25668" t="s">
        <v>26200</v>
      </c>
    </row>
    <row r="25669" spans="1:1">
      <c r="A25669" t="s">
        <v>26201</v>
      </c>
    </row>
    <row r="25670" spans="1:1">
      <c r="A25670" t="s">
        <v>26202</v>
      </c>
    </row>
    <row r="25671" spans="1:1">
      <c r="A25671" t="s">
        <v>26203</v>
      </c>
    </row>
    <row r="25672" spans="1:1">
      <c r="A25672" t="s">
        <v>26204</v>
      </c>
    </row>
    <row r="25673" spans="1:1">
      <c r="A25673" t="s">
        <v>26205</v>
      </c>
    </row>
    <row r="25674" spans="1:1">
      <c r="A25674" t="s">
        <v>26206</v>
      </c>
    </row>
    <row r="25675" spans="1:1">
      <c r="A25675" t="s">
        <v>26207</v>
      </c>
    </row>
    <row r="25676" spans="1:1">
      <c r="A25676" t="s">
        <v>26208</v>
      </c>
    </row>
    <row r="25677" spans="1:1">
      <c r="A25677" t="s">
        <v>26209</v>
      </c>
    </row>
    <row r="25678" spans="1:1">
      <c r="A25678" t="s">
        <v>26210</v>
      </c>
    </row>
    <row r="25679" spans="1:1">
      <c r="A25679" t="s">
        <v>26211</v>
      </c>
    </row>
    <row r="25680" spans="1:1">
      <c r="A25680" t="s">
        <v>26212</v>
      </c>
    </row>
    <row r="25681" spans="1:1">
      <c r="A25681" t="s">
        <v>26213</v>
      </c>
    </row>
    <row r="25682" spans="1:1">
      <c r="A25682" t="s">
        <v>26214</v>
      </c>
    </row>
    <row r="25683" spans="1:1">
      <c r="A25683" t="s">
        <v>26215</v>
      </c>
    </row>
    <row r="25684" spans="1:1">
      <c r="A25684" t="s">
        <v>26216</v>
      </c>
    </row>
    <row r="25685" spans="1:1">
      <c r="A25685" t="s">
        <v>26217</v>
      </c>
    </row>
    <row r="25686" spans="1:1">
      <c r="A25686" t="s">
        <v>26218</v>
      </c>
    </row>
    <row r="25687" spans="1:1">
      <c r="A25687" t="s">
        <v>26219</v>
      </c>
    </row>
    <row r="25688" spans="1:1">
      <c r="A25688" t="s">
        <v>26220</v>
      </c>
    </row>
    <row r="25689" spans="1:1">
      <c r="A25689" t="s">
        <v>26221</v>
      </c>
    </row>
    <row r="25690" spans="1:1">
      <c r="A25690" t="s">
        <v>26222</v>
      </c>
    </row>
    <row r="25691" spans="1:1">
      <c r="A25691" t="s">
        <v>26223</v>
      </c>
    </row>
    <row r="25692" spans="1:1">
      <c r="A25692" t="s">
        <v>26224</v>
      </c>
    </row>
    <row r="25693" spans="1:1">
      <c r="A25693" t="s">
        <v>26225</v>
      </c>
    </row>
    <row r="25694" spans="1:1">
      <c r="A25694" t="s">
        <v>26226</v>
      </c>
    </row>
    <row r="25695" spans="1:1">
      <c r="A25695" t="s">
        <v>26227</v>
      </c>
    </row>
    <row r="25696" spans="1:1">
      <c r="A25696" t="s">
        <v>26228</v>
      </c>
    </row>
    <row r="25697" spans="1:1">
      <c r="A25697" t="s">
        <v>26229</v>
      </c>
    </row>
    <row r="25698" spans="1:1">
      <c r="A25698" t="s">
        <v>26230</v>
      </c>
    </row>
    <row r="25699" spans="1:1">
      <c r="A25699" t="s">
        <v>26231</v>
      </c>
    </row>
    <row r="25700" spans="1:1">
      <c r="A25700" t="s">
        <v>26232</v>
      </c>
    </row>
    <row r="25701" spans="1:1">
      <c r="A25701" t="s">
        <v>26233</v>
      </c>
    </row>
    <row r="25702" spans="1:1">
      <c r="A25702" t="s">
        <v>26234</v>
      </c>
    </row>
    <row r="25703" spans="1:1">
      <c r="A25703" t="s">
        <v>26235</v>
      </c>
    </row>
    <row r="25704" spans="1:1">
      <c r="A25704" t="s">
        <v>26236</v>
      </c>
    </row>
    <row r="25705" spans="1:1">
      <c r="A25705" t="s">
        <v>26237</v>
      </c>
    </row>
    <row r="25706" spans="1:1">
      <c r="A25706" t="s">
        <v>26238</v>
      </c>
    </row>
    <row r="25707" spans="1:1">
      <c r="A25707" t="s">
        <v>26239</v>
      </c>
    </row>
    <row r="25708" spans="1:1">
      <c r="A25708" t="s">
        <v>26240</v>
      </c>
    </row>
    <row r="25709" spans="1:1">
      <c r="A25709" t="s">
        <v>26241</v>
      </c>
    </row>
    <row r="25710" spans="1:1">
      <c r="A25710" t="s">
        <v>26242</v>
      </c>
    </row>
    <row r="25711" spans="1:1">
      <c r="A25711" t="s">
        <v>26243</v>
      </c>
    </row>
    <row r="25712" spans="1:1">
      <c r="A25712" t="s">
        <v>26244</v>
      </c>
    </row>
    <row r="25713" spans="1:1">
      <c r="A25713" t="s">
        <v>26245</v>
      </c>
    </row>
    <row r="25714" spans="1:1">
      <c r="A25714" t="s">
        <v>26246</v>
      </c>
    </row>
    <row r="25715" spans="1:1">
      <c r="A25715" t="s">
        <v>26247</v>
      </c>
    </row>
    <row r="25716" spans="1:1">
      <c r="A25716" t="s">
        <v>26248</v>
      </c>
    </row>
    <row r="25717" spans="1:1">
      <c r="A25717" t="s">
        <v>26249</v>
      </c>
    </row>
    <row r="25718" spans="1:1">
      <c r="A25718" t="s">
        <v>26250</v>
      </c>
    </row>
    <row r="25719" spans="1:1">
      <c r="A25719" t="s">
        <v>26251</v>
      </c>
    </row>
    <row r="25720" spans="1:1">
      <c r="A25720" t="s">
        <v>26252</v>
      </c>
    </row>
    <row r="25721" spans="1:1">
      <c r="A25721" t="s">
        <v>26253</v>
      </c>
    </row>
    <row r="25722" spans="1:1">
      <c r="A25722" t="s">
        <v>26254</v>
      </c>
    </row>
    <row r="25723" spans="1:1">
      <c r="A25723" t="s">
        <v>26255</v>
      </c>
    </row>
    <row r="25724" spans="1:1">
      <c r="A25724" t="s">
        <v>26256</v>
      </c>
    </row>
    <row r="25725" spans="1:1">
      <c r="A25725" t="s">
        <v>26257</v>
      </c>
    </row>
    <row r="25726" spans="1:1">
      <c r="A25726" t="s">
        <v>26258</v>
      </c>
    </row>
    <row r="25727" spans="1:1">
      <c r="A25727" t="s">
        <v>26259</v>
      </c>
    </row>
    <row r="25728" spans="1:1">
      <c r="A25728" t="s">
        <v>26260</v>
      </c>
    </row>
    <row r="25729" spans="1:1">
      <c r="A25729" t="s">
        <v>26261</v>
      </c>
    </row>
    <row r="25730" spans="1:1">
      <c r="A25730" t="s">
        <v>26262</v>
      </c>
    </row>
    <row r="25731" spans="1:1">
      <c r="A25731" t="s">
        <v>26263</v>
      </c>
    </row>
    <row r="25732" spans="1:1">
      <c r="A25732" t="s">
        <v>26264</v>
      </c>
    </row>
    <row r="25733" spans="1:1">
      <c r="A25733" t="s">
        <v>26265</v>
      </c>
    </row>
    <row r="25734" spans="1:1">
      <c r="A25734" t="s">
        <v>26266</v>
      </c>
    </row>
    <row r="25735" spans="1:1">
      <c r="A25735" t="s">
        <v>26267</v>
      </c>
    </row>
    <row r="25736" spans="1:1">
      <c r="A25736" t="s">
        <v>26268</v>
      </c>
    </row>
    <row r="25737" spans="1:1">
      <c r="A25737" t="s">
        <v>26269</v>
      </c>
    </row>
    <row r="25738" spans="1:1">
      <c r="A25738" t="s">
        <v>26270</v>
      </c>
    </row>
    <row r="25739" spans="1:1">
      <c r="A25739" t="s">
        <v>26271</v>
      </c>
    </row>
    <row r="25740" spans="1:1">
      <c r="A25740" t="s">
        <v>26272</v>
      </c>
    </row>
    <row r="25741" spans="1:1">
      <c r="A25741" t="s">
        <v>26273</v>
      </c>
    </row>
    <row r="25742" spans="1:1">
      <c r="A25742" t="s">
        <v>26274</v>
      </c>
    </row>
    <row r="25743" spans="1:1">
      <c r="A25743" t="s">
        <v>26275</v>
      </c>
    </row>
    <row r="25744" spans="1:1">
      <c r="A25744" t="s">
        <v>26276</v>
      </c>
    </row>
    <row r="25745" spans="1:1">
      <c r="A25745" t="s">
        <v>26277</v>
      </c>
    </row>
    <row r="25746" spans="1:1">
      <c r="A25746" t="s">
        <v>26278</v>
      </c>
    </row>
    <row r="25747" spans="1:1">
      <c r="A25747" t="s">
        <v>26279</v>
      </c>
    </row>
    <row r="25748" spans="1:1">
      <c r="A25748" t="s">
        <v>26280</v>
      </c>
    </row>
    <row r="25749" spans="1:1">
      <c r="A25749" t="s">
        <v>26281</v>
      </c>
    </row>
    <row r="25750" spans="1:1">
      <c r="A25750" t="s">
        <v>26282</v>
      </c>
    </row>
    <row r="25751" spans="1:1">
      <c r="A25751" t="s">
        <v>26283</v>
      </c>
    </row>
    <row r="25752" spans="1:1">
      <c r="A25752" t="s">
        <v>26284</v>
      </c>
    </row>
    <row r="25753" spans="1:1">
      <c r="A25753" t="s">
        <v>26285</v>
      </c>
    </row>
    <row r="25754" spans="1:1">
      <c r="A25754" t="s">
        <v>26286</v>
      </c>
    </row>
    <row r="25755" spans="1:1">
      <c r="A25755" t="s">
        <v>26287</v>
      </c>
    </row>
    <row r="25756" spans="1:1">
      <c r="A25756" t="s">
        <v>26288</v>
      </c>
    </row>
    <row r="25757" spans="1:1">
      <c r="A25757" t="s">
        <v>26289</v>
      </c>
    </row>
    <row r="25758" spans="1:1">
      <c r="A25758" t="s">
        <v>26290</v>
      </c>
    </row>
    <row r="25759" spans="1:1">
      <c r="A25759" t="s">
        <v>26291</v>
      </c>
    </row>
    <row r="25760" spans="1:1">
      <c r="A25760" t="s">
        <v>26292</v>
      </c>
    </row>
    <row r="25761" spans="1:1">
      <c r="A25761" t="s">
        <v>26293</v>
      </c>
    </row>
    <row r="25762" spans="1:1">
      <c r="A25762" t="s">
        <v>26294</v>
      </c>
    </row>
    <row r="25763" spans="1:1">
      <c r="A25763" t="s">
        <v>26295</v>
      </c>
    </row>
    <row r="25764" spans="1:1">
      <c r="A25764" t="s">
        <v>26296</v>
      </c>
    </row>
    <row r="25765" spans="1:1">
      <c r="A25765" t="s">
        <v>26297</v>
      </c>
    </row>
    <row r="25766" spans="1:1">
      <c r="A25766" t="s">
        <v>26298</v>
      </c>
    </row>
    <row r="25767" spans="1:1">
      <c r="A25767" t="s">
        <v>26299</v>
      </c>
    </row>
    <row r="25768" spans="1:1">
      <c r="A25768" t="s">
        <v>26300</v>
      </c>
    </row>
    <row r="25769" spans="1:1">
      <c r="A25769" t="s">
        <v>26301</v>
      </c>
    </row>
    <row r="25770" spans="1:1">
      <c r="A25770" t="s">
        <v>26302</v>
      </c>
    </row>
    <row r="25771" spans="1:1">
      <c r="A25771" t="s">
        <v>26303</v>
      </c>
    </row>
    <row r="25772" spans="1:1">
      <c r="A25772" t="s">
        <v>26304</v>
      </c>
    </row>
    <row r="25773" spans="1:1">
      <c r="A25773" t="s">
        <v>26305</v>
      </c>
    </row>
    <row r="25774" spans="1:1">
      <c r="A25774" t="s">
        <v>26306</v>
      </c>
    </row>
    <row r="25775" spans="1:1">
      <c r="A25775" t="s">
        <v>26307</v>
      </c>
    </row>
    <row r="25776" spans="1:1">
      <c r="A25776" t="s">
        <v>26308</v>
      </c>
    </row>
    <row r="25777" spans="1:1">
      <c r="A25777" t="s">
        <v>26309</v>
      </c>
    </row>
    <row r="25778" spans="1:1">
      <c r="A25778" t="s">
        <v>26310</v>
      </c>
    </row>
    <row r="25779" spans="1:1">
      <c r="A25779" t="s">
        <v>26311</v>
      </c>
    </row>
    <row r="25780" spans="1:1">
      <c r="A25780" t="s">
        <v>26312</v>
      </c>
    </row>
    <row r="25781" spans="1:1">
      <c r="A25781" t="s">
        <v>26313</v>
      </c>
    </row>
    <row r="25782" spans="1:1">
      <c r="A25782" t="s">
        <v>26314</v>
      </c>
    </row>
    <row r="25783" spans="1:1">
      <c r="A25783" t="s">
        <v>26315</v>
      </c>
    </row>
    <row r="25784" spans="1:1">
      <c r="A25784" t="s">
        <v>26316</v>
      </c>
    </row>
    <row r="25785" spans="1:1">
      <c r="A25785" t="s">
        <v>26317</v>
      </c>
    </row>
    <row r="25786" spans="1:1">
      <c r="A25786" t="s">
        <v>26318</v>
      </c>
    </row>
    <row r="25787" spans="1:1">
      <c r="A25787" t="s">
        <v>26319</v>
      </c>
    </row>
    <row r="25788" spans="1:1">
      <c r="A25788" t="s">
        <v>26320</v>
      </c>
    </row>
    <row r="25789" spans="1:1">
      <c r="A25789" t="s">
        <v>26321</v>
      </c>
    </row>
    <row r="25790" spans="1:1">
      <c r="A25790" t="s">
        <v>26322</v>
      </c>
    </row>
    <row r="25791" spans="1:1">
      <c r="A25791" t="s">
        <v>26323</v>
      </c>
    </row>
    <row r="25792" spans="1:1">
      <c r="A25792" t="s">
        <v>26324</v>
      </c>
    </row>
    <row r="25793" spans="1:1">
      <c r="A25793" t="s">
        <v>26325</v>
      </c>
    </row>
    <row r="25794" spans="1:1">
      <c r="A25794" t="s">
        <v>26326</v>
      </c>
    </row>
    <row r="25795" spans="1:1">
      <c r="A25795" t="s">
        <v>26327</v>
      </c>
    </row>
    <row r="25796" spans="1:1">
      <c r="A25796" t="s">
        <v>26328</v>
      </c>
    </row>
    <row r="25797" spans="1:1">
      <c r="A25797" t="s">
        <v>26329</v>
      </c>
    </row>
    <row r="25798" spans="1:1">
      <c r="A25798" t="s">
        <v>26330</v>
      </c>
    </row>
    <row r="25799" spans="1:1">
      <c r="A25799" t="s">
        <v>26331</v>
      </c>
    </row>
    <row r="25800" spans="1:1">
      <c r="A25800" t="s">
        <v>26332</v>
      </c>
    </row>
    <row r="25801" spans="1:1">
      <c r="A25801" t="s">
        <v>26333</v>
      </c>
    </row>
    <row r="25802" spans="1:1">
      <c r="A25802" t="s">
        <v>26334</v>
      </c>
    </row>
    <row r="25803" spans="1:1">
      <c r="A25803" t="s">
        <v>26335</v>
      </c>
    </row>
    <row r="25804" spans="1:1">
      <c r="A25804" t="s">
        <v>26336</v>
      </c>
    </row>
    <row r="25805" spans="1:1">
      <c r="A25805" t="s">
        <v>26337</v>
      </c>
    </row>
    <row r="25806" spans="1:1">
      <c r="A25806" t="s">
        <v>26338</v>
      </c>
    </row>
    <row r="25807" spans="1:1">
      <c r="A25807" t="s">
        <v>26339</v>
      </c>
    </row>
    <row r="25808" spans="1:1">
      <c r="A25808" t="s">
        <v>26340</v>
      </c>
    </row>
    <row r="25809" spans="1:1">
      <c r="A25809" t="s">
        <v>26341</v>
      </c>
    </row>
    <row r="25810" spans="1:1">
      <c r="A25810" t="s">
        <v>26342</v>
      </c>
    </row>
    <row r="25811" spans="1:1">
      <c r="A25811" t="s">
        <v>26343</v>
      </c>
    </row>
    <row r="25812" spans="1:1">
      <c r="A25812" t="s">
        <v>26344</v>
      </c>
    </row>
    <row r="25813" spans="1:1">
      <c r="A25813" t="s">
        <v>26345</v>
      </c>
    </row>
    <row r="25814" spans="1:1">
      <c r="A25814" t="s">
        <v>26346</v>
      </c>
    </row>
    <row r="25815" spans="1:1">
      <c r="A25815" t="s">
        <v>26347</v>
      </c>
    </row>
    <row r="25816" spans="1:1">
      <c r="A25816" t="s">
        <v>26348</v>
      </c>
    </row>
    <row r="25817" spans="1:1">
      <c r="A25817" t="s">
        <v>26349</v>
      </c>
    </row>
    <row r="25818" spans="1:1">
      <c r="A25818" t="s">
        <v>26350</v>
      </c>
    </row>
    <row r="25819" spans="1:1">
      <c r="A25819" t="s">
        <v>26351</v>
      </c>
    </row>
    <row r="25820" spans="1:1">
      <c r="A25820" t="s">
        <v>26352</v>
      </c>
    </row>
    <row r="25821" spans="1:1">
      <c r="A25821" t="s">
        <v>26353</v>
      </c>
    </row>
    <row r="25822" spans="1:1">
      <c r="A25822" t="s">
        <v>26354</v>
      </c>
    </row>
    <row r="25823" spans="1:1">
      <c r="A25823" t="s">
        <v>26355</v>
      </c>
    </row>
    <row r="25824" spans="1:1">
      <c r="A25824" t="s">
        <v>26356</v>
      </c>
    </row>
    <row r="25825" spans="1:1">
      <c r="A25825" t="s">
        <v>26357</v>
      </c>
    </row>
    <row r="25826" spans="1:1">
      <c r="A25826" t="s">
        <v>26358</v>
      </c>
    </row>
    <row r="25827" spans="1:1">
      <c r="A25827" t="s">
        <v>26359</v>
      </c>
    </row>
    <row r="25828" spans="1:1">
      <c r="A25828" t="s">
        <v>26360</v>
      </c>
    </row>
    <row r="25829" spans="1:1">
      <c r="A25829" t="s">
        <v>26361</v>
      </c>
    </row>
    <row r="25830" spans="1:1">
      <c r="A25830" t="s">
        <v>26362</v>
      </c>
    </row>
    <row r="25831" spans="1:1">
      <c r="A25831" t="s">
        <v>26363</v>
      </c>
    </row>
    <row r="25832" spans="1:1">
      <c r="A25832" t="s">
        <v>26364</v>
      </c>
    </row>
    <row r="25833" spans="1:1">
      <c r="A25833" t="s">
        <v>26365</v>
      </c>
    </row>
    <row r="25834" spans="1:1">
      <c r="A25834" t="s">
        <v>26366</v>
      </c>
    </row>
    <row r="25835" spans="1:1">
      <c r="A25835" t="s">
        <v>26367</v>
      </c>
    </row>
    <row r="25836" spans="1:1">
      <c r="A25836" t="s">
        <v>26368</v>
      </c>
    </row>
    <row r="25837" spans="1:1">
      <c r="A25837" t="s">
        <v>26369</v>
      </c>
    </row>
    <row r="25838" spans="1:1">
      <c r="A25838" t="s">
        <v>26370</v>
      </c>
    </row>
    <row r="25839" spans="1:1">
      <c r="A25839" t="s">
        <v>26371</v>
      </c>
    </row>
    <row r="25840" spans="1:1">
      <c r="A25840" t="s">
        <v>26372</v>
      </c>
    </row>
    <row r="25841" spans="1:1">
      <c r="A25841" t="s">
        <v>26373</v>
      </c>
    </row>
    <row r="25842" spans="1:1">
      <c r="A25842" t="s">
        <v>26374</v>
      </c>
    </row>
    <row r="25843" spans="1:1">
      <c r="A25843" t="s">
        <v>26375</v>
      </c>
    </row>
    <row r="25844" spans="1:1">
      <c r="A25844" t="s">
        <v>26376</v>
      </c>
    </row>
    <row r="25845" spans="1:1">
      <c r="A25845" t="s">
        <v>26377</v>
      </c>
    </row>
    <row r="25846" spans="1:1">
      <c r="A25846" t="s">
        <v>26378</v>
      </c>
    </row>
    <row r="25847" spans="1:1">
      <c r="A25847" t="s">
        <v>26379</v>
      </c>
    </row>
    <row r="25848" spans="1:1">
      <c r="A25848" t="s">
        <v>26380</v>
      </c>
    </row>
    <row r="25849" spans="1:1">
      <c r="A25849" t="s">
        <v>26381</v>
      </c>
    </row>
    <row r="25850" spans="1:1">
      <c r="A25850" t="s">
        <v>26382</v>
      </c>
    </row>
    <row r="25851" spans="1:1">
      <c r="A25851" t="s">
        <v>26383</v>
      </c>
    </row>
    <row r="25852" spans="1:1">
      <c r="A25852" t="s">
        <v>26384</v>
      </c>
    </row>
    <row r="25853" spans="1:1">
      <c r="A25853" t="s">
        <v>26385</v>
      </c>
    </row>
    <row r="25854" spans="1:1">
      <c r="A25854" t="s">
        <v>26386</v>
      </c>
    </row>
    <row r="25855" spans="1:1">
      <c r="A25855" t="s">
        <v>26387</v>
      </c>
    </row>
    <row r="25856" spans="1:1">
      <c r="A25856" t="s">
        <v>26388</v>
      </c>
    </row>
    <row r="25857" spans="1:1">
      <c r="A25857" t="s">
        <v>26389</v>
      </c>
    </row>
    <row r="25858" spans="1:1">
      <c r="A25858" t="s">
        <v>26390</v>
      </c>
    </row>
    <row r="25859" spans="1:1">
      <c r="A25859" t="s">
        <v>26391</v>
      </c>
    </row>
    <row r="25860" spans="1:1">
      <c r="A25860" t="s">
        <v>26392</v>
      </c>
    </row>
    <row r="25861" spans="1:1">
      <c r="A25861" t="s">
        <v>26393</v>
      </c>
    </row>
    <row r="25862" spans="1:1">
      <c r="A25862" t="s">
        <v>26394</v>
      </c>
    </row>
    <row r="25863" spans="1:1">
      <c r="A25863" t="s">
        <v>26395</v>
      </c>
    </row>
    <row r="25864" spans="1:1">
      <c r="A25864" t="s">
        <v>26396</v>
      </c>
    </row>
    <row r="25865" spans="1:1">
      <c r="A25865" t="s">
        <v>26397</v>
      </c>
    </row>
    <row r="25866" spans="1:1">
      <c r="A25866" t="s">
        <v>26398</v>
      </c>
    </row>
    <row r="25867" spans="1:1">
      <c r="A25867" t="s">
        <v>26399</v>
      </c>
    </row>
    <row r="25868" spans="1:1">
      <c r="A25868" t="s">
        <v>26400</v>
      </c>
    </row>
    <row r="25869" spans="1:1">
      <c r="A25869" t="s">
        <v>26401</v>
      </c>
    </row>
    <row r="25870" spans="1:1">
      <c r="A25870" t="s">
        <v>26402</v>
      </c>
    </row>
    <row r="25871" spans="1:1">
      <c r="A25871" t="s">
        <v>26403</v>
      </c>
    </row>
    <row r="25872" spans="1:1">
      <c r="A25872" t="s">
        <v>26404</v>
      </c>
    </row>
    <row r="25873" spans="1:1">
      <c r="A25873" t="s">
        <v>26405</v>
      </c>
    </row>
    <row r="25874" spans="1:1">
      <c r="A25874" t="s">
        <v>26406</v>
      </c>
    </row>
    <row r="25875" spans="1:1">
      <c r="A25875" t="s">
        <v>26407</v>
      </c>
    </row>
    <row r="25876" spans="1:1">
      <c r="A25876" t="s">
        <v>26408</v>
      </c>
    </row>
    <row r="25877" spans="1:1">
      <c r="A25877" t="s">
        <v>26409</v>
      </c>
    </row>
    <row r="25878" spans="1:1">
      <c r="A25878" t="s">
        <v>26410</v>
      </c>
    </row>
    <row r="25879" spans="1:1">
      <c r="A25879" t="s">
        <v>26411</v>
      </c>
    </row>
    <row r="25880" spans="1:1">
      <c r="A25880" t="s">
        <v>26412</v>
      </c>
    </row>
    <row r="25881" spans="1:1">
      <c r="A25881" t="s">
        <v>26413</v>
      </c>
    </row>
    <row r="25882" spans="1:1">
      <c r="A25882" t="s">
        <v>26414</v>
      </c>
    </row>
    <row r="25883" spans="1:1">
      <c r="A25883" t="s">
        <v>26415</v>
      </c>
    </row>
    <row r="25884" spans="1:1">
      <c r="A25884" t="s">
        <v>26416</v>
      </c>
    </row>
    <row r="25885" spans="1:1">
      <c r="A25885" t="s">
        <v>26417</v>
      </c>
    </row>
    <row r="25886" spans="1:1">
      <c r="A25886" t="s">
        <v>26418</v>
      </c>
    </row>
    <row r="25887" spans="1:1">
      <c r="A25887" t="s">
        <v>26419</v>
      </c>
    </row>
    <row r="25888" spans="1:1">
      <c r="A25888" t="s">
        <v>26420</v>
      </c>
    </row>
    <row r="25889" spans="1:1">
      <c r="A25889" t="s">
        <v>26421</v>
      </c>
    </row>
    <row r="25890" spans="1:1">
      <c r="A25890" t="s">
        <v>26422</v>
      </c>
    </row>
    <row r="25891" spans="1:1">
      <c r="A25891" t="s">
        <v>26423</v>
      </c>
    </row>
    <row r="25892" spans="1:1">
      <c r="A25892" t="s">
        <v>26424</v>
      </c>
    </row>
    <row r="25893" spans="1:1">
      <c r="A25893" t="s">
        <v>26425</v>
      </c>
    </row>
    <row r="25894" spans="1:1">
      <c r="A25894" t="s">
        <v>26426</v>
      </c>
    </row>
    <row r="25895" spans="1:1">
      <c r="A25895" t="s">
        <v>26427</v>
      </c>
    </row>
    <row r="25896" spans="1:1">
      <c r="A25896" t="s">
        <v>26428</v>
      </c>
    </row>
    <row r="25897" spans="1:1">
      <c r="A25897" t="s">
        <v>26429</v>
      </c>
    </row>
    <row r="25898" spans="1:1">
      <c r="A25898" t="s">
        <v>26430</v>
      </c>
    </row>
    <row r="25899" spans="1:1">
      <c r="A25899" t="s">
        <v>26431</v>
      </c>
    </row>
    <row r="25900" spans="1:1">
      <c r="A25900" t="s">
        <v>26432</v>
      </c>
    </row>
    <row r="25901" spans="1:1">
      <c r="A25901" t="s">
        <v>26433</v>
      </c>
    </row>
    <row r="25902" spans="1:1">
      <c r="A25902" t="s">
        <v>26434</v>
      </c>
    </row>
    <row r="25903" spans="1:1">
      <c r="A25903" t="s">
        <v>26435</v>
      </c>
    </row>
    <row r="25904" spans="1:1">
      <c r="A25904" t="s">
        <v>26436</v>
      </c>
    </row>
    <row r="25905" spans="1:1">
      <c r="A25905" t="s">
        <v>26437</v>
      </c>
    </row>
    <row r="25906" spans="1:1">
      <c r="A25906" t="s">
        <v>26438</v>
      </c>
    </row>
    <row r="25907" spans="1:1">
      <c r="A25907" t="s">
        <v>26439</v>
      </c>
    </row>
    <row r="25908" spans="1:1">
      <c r="A25908" t="s">
        <v>26440</v>
      </c>
    </row>
    <row r="25909" spans="1:1">
      <c r="A25909" t="s">
        <v>26441</v>
      </c>
    </row>
    <row r="25910" spans="1:1">
      <c r="A25910" t="s">
        <v>26442</v>
      </c>
    </row>
    <row r="25911" spans="1:1">
      <c r="A25911" t="s">
        <v>26443</v>
      </c>
    </row>
    <row r="25912" spans="1:1">
      <c r="A25912" t="s">
        <v>26444</v>
      </c>
    </row>
    <row r="25913" spans="1:1">
      <c r="A25913" t="s">
        <v>26445</v>
      </c>
    </row>
    <row r="25914" spans="1:1">
      <c r="A25914" t="s">
        <v>26446</v>
      </c>
    </row>
    <row r="25915" spans="1:1">
      <c r="A25915" t="s">
        <v>26447</v>
      </c>
    </row>
    <row r="25916" spans="1:1">
      <c r="A25916" t="s">
        <v>26448</v>
      </c>
    </row>
    <row r="25917" spans="1:1">
      <c r="A25917" t="s">
        <v>26449</v>
      </c>
    </row>
    <row r="25918" spans="1:1">
      <c r="A25918" t="s">
        <v>26450</v>
      </c>
    </row>
    <row r="25919" spans="1:1">
      <c r="A25919" t="s">
        <v>26451</v>
      </c>
    </row>
    <row r="25920" spans="1:1">
      <c r="A25920" t="s">
        <v>26452</v>
      </c>
    </row>
    <row r="25921" spans="1:1">
      <c r="A25921" t="s">
        <v>26453</v>
      </c>
    </row>
    <row r="25922" spans="1:1">
      <c r="A25922" t="s">
        <v>26454</v>
      </c>
    </row>
    <row r="25923" spans="1:1">
      <c r="A25923" t="s">
        <v>26455</v>
      </c>
    </row>
    <row r="25924" spans="1:1">
      <c r="A25924" t="s">
        <v>26456</v>
      </c>
    </row>
    <row r="25925" spans="1:1">
      <c r="A25925" t="s">
        <v>26457</v>
      </c>
    </row>
    <row r="25926" spans="1:1">
      <c r="A25926" t="s">
        <v>26458</v>
      </c>
    </row>
    <row r="25927" spans="1:1">
      <c r="A25927" t="s">
        <v>26459</v>
      </c>
    </row>
    <row r="25928" spans="1:1">
      <c r="A25928" t="s">
        <v>26460</v>
      </c>
    </row>
    <row r="25929" spans="1:1">
      <c r="A25929" t="s">
        <v>26461</v>
      </c>
    </row>
    <row r="25930" spans="1:1">
      <c r="A25930" t="s">
        <v>26462</v>
      </c>
    </row>
    <row r="25931" spans="1:1">
      <c r="A25931" t="s">
        <v>26463</v>
      </c>
    </row>
    <row r="25932" spans="1:1">
      <c r="A25932" t="s">
        <v>26464</v>
      </c>
    </row>
    <row r="25933" spans="1:1">
      <c r="A25933" t="s">
        <v>26465</v>
      </c>
    </row>
    <row r="25934" spans="1:1">
      <c r="A25934" t="s">
        <v>26466</v>
      </c>
    </row>
    <row r="25935" spans="1:1">
      <c r="A25935" t="s">
        <v>26467</v>
      </c>
    </row>
    <row r="25936" spans="1:1">
      <c r="A25936" t="s">
        <v>26468</v>
      </c>
    </row>
    <row r="25937" spans="1:1">
      <c r="A25937" t="s">
        <v>26469</v>
      </c>
    </row>
    <row r="25938" spans="1:1">
      <c r="A25938" t="s">
        <v>26470</v>
      </c>
    </row>
    <row r="25939" spans="1:1">
      <c r="A25939" t="s">
        <v>26471</v>
      </c>
    </row>
    <row r="25940" spans="1:1">
      <c r="A25940" t="s">
        <v>26472</v>
      </c>
    </row>
    <row r="25941" spans="1:1">
      <c r="A25941" t="s">
        <v>26473</v>
      </c>
    </row>
    <row r="25942" spans="1:1">
      <c r="A25942" t="s">
        <v>26474</v>
      </c>
    </row>
    <row r="25943" spans="1:1">
      <c r="A25943" t="s">
        <v>26475</v>
      </c>
    </row>
    <row r="25944" spans="1:1">
      <c r="A25944" t="s">
        <v>26476</v>
      </c>
    </row>
    <row r="25945" spans="1:1">
      <c r="A25945" t="s">
        <v>26477</v>
      </c>
    </row>
    <row r="25946" spans="1:1">
      <c r="A25946" t="s">
        <v>26478</v>
      </c>
    </row>
    <row r="25947" spans="1:1">
      <c r="A25947" t="s">
        <v>26479</v>
      </c>
    </row>
    <row r="25948" spans="1:1">
      <c r="A25948" t="s">
        <v>26480</v>
      </c>
    </row>
    <row r="25949" spans="1:1">
      <c r="A25949" t="s">
        <v>26481</v>
      </c>
    </row>
    <row r="25950" spans="1:1">
      <c r="A25950" t="s">
        <v>26482</v>
      </c>
    </row>
    <row r="25951" spans="1:1">
      <c r="A25951" t="s">
        <v>26483</v>
      </c>
    </row>
    <row r="25952" spans="1:1">
      <c r="A25952" t="s">
        <v>26484</v>
      </c>
    </row>
    <row r="25953" spans="1:1">
      <c r="A25953" t="s">
        <v>26485</v>
      </c>
    </row>
    <row r="25954" spans="1:1">
      <c r="A25954" t="s">
        <v>26486</v>
      </c>
    </row>
    <row r="25955" spans="1:1">
      <c r="A25955" t="s">
        <v>26487</v>
      </c>
    </row>
    <row r="25956" spans="1:1">
      <c r="A25956" t="s">
        <v>26488</v>
      </c>
    </row>
    <row r="25957" spans="1:1">
      <c r="A25957" t="s">
        <v>26489</v>
      </c>
    </row>
    <row r="25958" spans="1:1">
      <c r="A25958" t="s">
        <v>26490</v>
      </c>
    </row>
    <row r="25959" spans="1:1">
      <c r="A25959" t="s">
        <v>26491</v>
      </c>
    </row>
    <row r="25960" spans="1:1">
      <c r="A25960" t="s">
        <v>26492</v>
      </c>
    </row>
    <row r="25961" spans="1:1">
      <c r="A25961" t="s">
        <v>26493</v>
      </c>
    </row>
    <row r="25962" spans="1:1">
      <c r="A25962" t="s">
        <v>26494</v>
      </c>
    </row>
    <row r="25963" spans="1:1">
      <c r="A25963" t="s">
        <v>26495</v>
      </c>
    </row>
    <row r="25964" spans="1:1">
      <c r="A25964" t="s">
        <v>26496</v>
      </c>
    </row>
    <row r="25965" spans="1:1">
      <c r="A25965" t="s">
        <v>26497</v>
      </c>
    </row>
    <row r="25966" spans="1:1">
      <c r="A25966" t="s">
        <v>26498</v>
      </c>
    </row>
    <row r="25967" spans="1:1">
      <c r="A25967" t="s">
        <v>26499</v>
      </c>
    </row>
    <row r="25968" spans="1:1">
      <c r="A25968" t="s">
        <v>26500</v>
      </c>
    </row>
    <row r="25969" spans="1:1">
      <c r="A25969" t="s">
        <v>26501</v>
      </c>
    </row>
    <row r="25970" spans="1:1">
      <c r="A25970" t="s">
        <v>26502</v>
      </c>
    </row>
    <row r="25971" spans="1:1">
      <c r="A25971" t="s">
        <v>26503</v>
      </c>
    </row>
    <row r="25972" spans="1:1">
      <c r="A25972" t="s">
        <v>26504</v>
      </c>
    </row>
    <row r="25973" spans="1:1">
      <c r="A25973" t="s">
        <v>26505</v>
      </c>
    </row>
    <row r="25974" spans="1:1">
      <c r="A25974" t="s">
        <v>26506</v>
      </c>
    </row>
    <row r="25975" spans="1:1">
      <c r="A25975" t="s">
        <v>26507</v>
      </c>
    </row>
    <row r="25976" spans="1:1">
      <c r="A25976" t="s">
        <v>26508</v>
      </c>
    </row>
    <row r="25977" spans="1:1">
      <c r="A25977" t="s">
        <v>26509</v>
      </c>
    </row>
    <row r="25978" spans="1:1">
      <c r="A25978" t="s">
        <v>26510</v>
      </c>
    </row>
    <row r="25979" spans="1:1">
      <c r="A25979" t="s">
        <v>26511</v>
      </c>
    </row>
    <row r="25980" spans="1:1">
      <c r="A25980" t="s">
        <v>26512</v>
      </c>
    </row>
    <row r="25981" spans="1:1">
      <c r="A25981" t="s">
        <v>26513</v>
      </c>
    </row>
    <row r="25982" spans="1:1">
      <c r="A25982" t="s">
        <v>26514</v>
      </c>
    </row>
    <row r="25983" spans="1:1">
      <c r="A25983" t="s">
        <v>26515</v>
      </c>
    </row>
    <row r="25984" spans="1:1">
      <c r="A25984" t="s">
        <v>26516</v>
      </c>
    </row>
    <row r="25985" spans="1:1">
      <c r="A25985" t="s">
        <v>26517</v>
      </c>
    </row>
    <row r="25986" spans="1:1">
      <c r="A25986" t="s">
        <v>26518</v>
      </c>
    </row>
    <row r="25987" spans="1:1">
      <c r="A25987" t="s">
        <v>26519</v>
      </c>
    </row>
    <row r="25988" spans="1:1">
      <c r="A25988" t="s">
        <v>26520</v>
      </c>
    </row>
    <row r="25989" spans="1:1">
      <c r="A25989" t="s">
        <v>26521</v>
      </c>
    </row>
    <row r="25990" spans="1:1">
      <c r="A25990" t="s">
        <v>26522</v>
      </c>
    </row>
    <row r="25991" spans="1:1">
      <c r="A25991" t="s">
        <v>26523</v>
      </c>
    </row>
    <row r="25992" spans="1:1">
      <c r="A25992" t="s">
        <v>26524</v>
      </c>
    </row>
    <row r="25993" spans="1:1">
      <c r="A25993" t="s">
        <v>26525</v>
      </c>
    </row>
    <row r="25994" spans="1:1">
      <c r="A25994" t="s">
        <v>26526</v>
      </c>
    </row>
    <row r="25995" spans="1:1">
      <c r="A25995" t="s">
        <v>26527</v>
      </c>
    </row>
    <row r="25996" spans="1:1">
      <c r="A25996" t="s">
        <v>26528</v>
      </c>
    </row>
    <row r="25997" spans="1:1">
      <c r="A25997" t="s">
        <v>26529</v>
      </c>
    </row>
    <row r="25998" spans="1:1">
      <c r="A25998" t="s">
        <v>26530</v>
      </c>
    </row>
    <row r="25999" spans="1:1">
      <c r="A25999" t="s">
        <v>26531</v>
      </c>
    </row>
    <row r="26000" spans="1:1">
      <c r="A26000" t="s">
        <v>26532</v>
      </c>
    </row>
    <row r="26001" spans="1:1">
      <c r="A26001" t="s">
        <v>26533</v>
      </c>
    </row>
    <row r="26002" spans="1:1">
      <c r="A26002" t="s">
        <v>26534</v>
      </c>
    </row>
    <row r="26003" spans="1:1">
      <c r="A26003" t="s">
        <v>26535</v>
      </c>
    </row>
    <row r="26004" spans="1:1">
      <c r="A26004" t="s">
        <v>26536</v>
      </c>
    </row>
    <row r="26005" spans="1:1">
      <c r="A26005" t="s">
        <v>26537</v>
      </c>
    </row>
    <row r="26006" spans="1:1">
      <c r="A26006" t="s">
        <v>26538</v>
      </c>
    </row>
    <row r="26007" spans="1:1">
      <c r="A26007" t="s">
        <v>26539</v>
      </c>
    </row>
    <row r="26008" spans="1:1">
      <c r="A26008" t="s">
        <v>26540</v>
      </c>
    </row>
    <row r="26009" spans="1:1">
      <c r="A26009" t="s">
        <v>26541</v>
      </c>
    </row>
    <row r="26010" spans="1:1">
      <c r="A26010" t="s">
        <v>26542</v>
      </c>
    </row>
    <row r="26011" spans="1:1">
      <c r="A26011" t="s">
        <v>26543</v>
      </c>
    </row>
    <row r="26012" spans="1:1">
      <c r="A26012" t="s">
        <v>26544</v>
      </c>
    </row>
    <row r="26013" spans="1:1">
      <c r="A26013" t="s">
        <v>26545</v>
      </c>
    </row>
    <row r="26014" spans="1:1">
      <c r="A26014" t="s">
        <v>26546</v>
      </c>
    </row>
    <row r="26015" spans="1:1">
      <c r="A26015" t="s">
        <v>26547</v>
      </c>
    </row>
    <row r="26016" spans="1:1">
      <c r="A26016" t="s">
        <v>26548</v>
      </c>
    </row>
    <row r="26017" spans="1:1">
      <c r="A26017" t="s">
        <v>26549</v>
      </c>
    </row>
    <row r="26018" spans="1:1">
      <c r="A26018" t="s">
        <v>26550</v>
      </c>
    </row>
    <row r="26019" spans="1:1">
      <c r="A26019" t="s">
        <v>26551</v>
      </c>
    </row>
    <row r="26020" spans="1:1">
      <c r="A26020" t="s">
        <v>26552</v>
      </c>
    </row>
    <row r="26021" spans="1:1">
      <c r="A26021" t="s">
        <v>26553</v>
      </c>
    </row>
    <row r="26022" spans="1:1">
      <c r="A26022" t="s">
        <v>26554</v>
      </c>
    </row>
    <row r="26023" spans="1:1">
      <c r="A26023" t="s">
        <v>26555</v>
      </c>
    </row>
    <row r="26024" spans="1:1">
      <c r="A26024" t="s">
        <v>26556</v>
      </c>
    </row>
    <row r="26025" spans="1:1">
      <c r="A26025" t="s">
        <v>26557</v>
      </c>
    </row>
    <row r="26026" spans="1:1">
      <c r="A26026" t="s">
        <v>26558</v>
      </c>
    </row>
    <row r="26027" spans="1:1">
      <c r="A26027" t="s">
        <v>26559</v>
      </c>
    </row>
    <row r="26028" spans="1:1">
      <c r="A26028" t="s">
        <v>26560</v>
      </c>
    </row>
    <row r="26029" spans="1:1">
      <c r="A26029" t="s">
        <v>26561</v>
      </c>
    </row>
    <row r="26030" spans="1:1">
      <c r="A26030" t="s">
        <v>26562</v>
      </c>
    </row>
    <row r="26031" spans="1:1">
      <c r="A26031" t="s">
        <v>26563</v>
      </c>
    </row>
    <row r="26032" spans="1:1">
      <c r="A26032" t="s">
        <v>26564</v>
      </c>
    </row>
    <row r="26033" spans="1:1">
      <c r="A26033" t="s">
        <v>26565</v>
      </c>
    </row>
    <row r="26034" spans="1:1">
      <c r="A26034" t="s">
        <v>26566</v>
      </c>
    </row>
    <row r="26035" spans="1:1">
      <c r="A26035" t="s">
        <v>26567</v>
      </c>
    </row>
    <row r="26036" spans="1:1">
      <c r="A26036" t="s">
        <v>26568</v>
      </c>
    </row>
    <row r="26037" spans="1:1">
      <c r="A26037" t="s">
        <v>26569</v>
      </c>
    </row>
    <row r="26038" spans="1:1">
      <c r="A26038" t="s">
        <v>26570</v>
      </c>
    </row>
    <row r="26039" spans="1:1">
      <c r="A26039" t="s">
        <v>26571</v>
      </c>
    </row>
    <row r="26040" spans="1:1">
      <c r="A26040" t="s">
        <v>26572</v>
      </c>
    </row>
    <row r="26041" spans="1:1">
      <c r="A26041" t="s">
        <v>26573</v>
      </c>
    </row>
    <row r="26042" spans="1:1">
      <c r="A26042" t="s">
        <v>26574</v>
      </c>
    </row>
    <row r="26043" spans="1:1">
      <c r="A26043" t="s">
        <v>26575</v>
      </c>
    </row>
    <row r="26044" spans="1:1">
      <c r="A26044" t="s">
        <v>26576</v>
      </c>
    </row>
    <row r="26045" spans="1:1">
      <c r="A26045" t="s">
        <v>26577</v>
      </c>
    </row>
    <row r="26046" spans="1:1">
      <c r="A26046" t="s">
        <v>26578</v>
      </c>
    </row>
    <row r="26047" spans="1:1">
      <c r="A26047" t="s">
        <v>26579</v>
      </c>
    </row>
    <row r="26048" spans="1:1">
      <c r="A26048" t="s">
        <v>26580</v>
      </c>
    </row>
    <row r="26049" spans="1:1">
      <c r="A26049" t="s">
        <v>26581</v>
      </c>
    </row>
    <row r="26050" spans="1:1">
      <c r="A26050" t="s">
        <v>26582</v>
      </c>
    </row>
    <row r="26051" spans="1:1">
      <c r="A26051" t="s">
        <v>26583</v>
      </c>
    </row>
    <row r="26052" spans="1:1">
      <c r="A26052" t="s">
        <v>26584</v>
      </c>
    </row>
    <row r="26053" spans="1:1">
      <c r="A26053" t="s">
        <v>26585</v>
      </c>
    </row>
    <row r="26054" spans="1:1">
      <c r="A26054" t="s">
        <v>26586</v>
      </c>
    </row>
    <row r="26055" spans="1:1">
      <c r="A26055" t="s">
        <v>26587</v>
      </c>
    </row>
    <row r="26056" spans="1:1">
      <c r="A26056" t="s">
        <v>26588</v>
      </c>
    </row>
    <row r="26057" spans="1:1">
      <c r="A26057" t="s">
        <v>26589</v>
      </c>
    </row>
    <row r="26058" spans="1:1">
      <c r="A26058" t="s">
        <v>26590</v>
      </c>
    </row>
    <row r="26059" spans="1:1">
      <c r="A26059" t="s">
        <v>26591</v>
      </c>
    </row>
    <row r="26060" spans="1:1">
      <c r="A26060" t="s">
        <v>26592</v>
      </c>
    </row>
    <row r="26061" spans="1:1">
      <c r="A26061" t="s">
        <v>26593</v>
      </c>
    </row>
    <row r="26062" spans="1:1">
      <c r="A26062" t="s">
        <v>26594</v>
      </c>
    </row>
    <row r="26063" spans="1:1">
      <c r="A26063" t="s">
        <v>26595</v>
      </c>
    </row>
    <row r="26064" spans="1:1">
      <c r="A26064" t="s">
        <v>26596</v>
      </c>
    </row>
    <row r="26065" spans="1:1">
      <c r="A26065" t="s">
        <v>26597</v>
      </c>
    </row>
    <row r="26066" spans="1:1">
      <c r="A26066" t="s">
        <v>26598</v>
      </c>
    </row>
    <row r="26067" spans="1:1">
      <c r="A26067" t="s">
        <v>26599</v>
      </c>
    </row>
    <row r="26068" spans="1:1">
      <c r="A26068" t="s">
        <v>26600</v>
      </c>
    </row>
    <row r="26069" spans="1:1">
      <c r="A26069" t="s">
        <v>26601</v>
      </c>
    </row>
    <row r="26070" spans="1:1">
      <c r="A26070" t="s">
        <v>26602</v>
      </c>
    </row>
    <row r="26071" spans="1:1">
      <c r="A26071" t="s">
        <v>26603</v>
      </c>
    </row>
    <row r="26072" spans="1:1">
      <c r="A26072" t="s">
        <v>26604</v>
      </c>
    </row>
    <row r="26073" spans="1:1">
      <c r="A26073" t="s">
        <v>26605</v>
      </c>
    </row>
    <row r="26074" spans="1:1">
      <c r="A26074" t="s">
        <v>26606</v>
      </c>
    </row>
    <row r="26075" spans="1:1">
      <c r="A26075" t="s">
        <v>26607</v>
      </c>
    </row>
    <row r="26076" spans="1:1">
      <c r="A26076" t="s">
        <v>26608</v>
      </c>
    </row>
    <row r="26077" spans="1:1">
      <c r="A26077" t="s">
        <v>26609</v>
      </c>
    </row>
    <row r="26078" spans="1:1">
      <c r="A26078" t="s">
        <v>26610</v>
      </c>
    </row>
    <row r="26079" spans="1:1">
      <c r="A26079" t="s">
        <v>26611</v>
      </c>
    </row>
    <row r="26080" spans="1:1">
      <c r="A26080" t="s">
        <v>26612</v>
      </c>
    </row>
    <row r="26081" spans="1:1">
      <c r="A26081" t="s">
        <v>26613</v>
      </c>
    </row>
    <row r="26082" spans="1:1">
      <c r="A26082" t="s">
        <v>26614</v>
      </c>
    </row>
    <row r="26083" spans="1:1">
      <c r="A26083" t="s">
        <v>26615</v>
      </c>
    </row>
    <row r="26084" spans="1:1">
      <c r="A26084" t="s">
        <v>26616</v>
      </c>
    </row>
    <row r="26085" spans="1:1">
      <c r="A26085" t="s">
        <v>26617</v>
      </c>
    </row>
    <row r="26086" spans="1:1">
      <c r="A26086" t="s">
        <v>26618</v>
      </c>
    </row>
    <row r="26087" spans="1:1">
      <c r="A26087" t="s">
        <v>26619</v>
      </c>
    </row>
    <row r="26088" spans="1:1">
      <c r="A26088" t="s">
        <v>26620</v>
      </c>
    </row>
    <row r="26089" spans="1:1">
      <c r="A26089" t="s">
        <v>26621</v>
      </c>
    </row>
    <row r="26090" spans="1:1">
      <c r="A26090" t="s">
        <v>26622</v>
      </c>
    </row>
    <row r="26091" spans="1:1">
      <c r="A26091" t="s">
        <v>26623</v>
      </c>
    </row>
    <row r="26092" spans="1:1">
      <c r="A26092" t="s">
        <v>26624</v>
      </c>
    </row>
    <row r="26093" spans="1:1">
      <c r="A26093" t="s">
        <v>26625</v>
      </c>
    </row>
    <row r="26094" spans="1:1">
      <c r="A26094" t="s">
        <v>26626</v>
      </c>
    </row>
    <row r="26095" spans="1:1">
      <c r="A26095" t="s">
        <v>26627</v>
      </c>
    </row>
    <row r="26096" spans="1:1">
      <c r="A26096" t="s">
        <v>26628</v>
      </c>
    </row>
    <row r="26097" spans="1:1">
      <c r="A26097" t="s">
        <v>26629</v>
      </c>
    </row>
    <row r="26098" spans="1:1">
      <c r="A26098" t="s">
        <v>26630</v>
      </c>
    </row>
    <row r="26099" spans="1:1">
      <c r="A26099" t="s">
        <v>26631</v>
      </c>
    </row>
    <row r="26100" spans="1:1">
      <c r="A26100" t="s">
        <v>26632</v>
      </c>
    </row>
    <row r="26101" spans="1:1">
      <c r="A26101" t="s">
        <v>26633</v>
      </c>
    </row>
    <row r="26102" spans="1:1">
      <c r="A26102" t="s">
        <v>26634</v>
      </c>
    </row>
    <row r="26103" spans="1:1">
      <c r="A26103" t="s">
        <v>26635</v>
      </c>
    </row>
    <row r="26104" spans="1:1">
      <c r="A26104" t="s">
        <v>26636</v>
      </c>
    </row>
    <row r="26105" spans="1:1">
      <c r="A26105" t="s">
        <v>26637</v>
      </c>
    </row>
    <row r="26106" spans="1:1">
      <c r="A26106" t="s">
        <v>26638</v>
      </c>
    </row>
    <row r="26107" spans="1:1">
      <c r="A26107" t="s">
        <v>26639</v>
      </c>
    </row>
    <row r="26108" spans="1:1">
      <c r="A26108" t="s">
        <v>26640</v>
      </c>
    </row>
    <row r="26109" spans="1:1">
      <c r="A26109" t="s">
        <v>26641</v>
      </c>
    </row>
    <row r="26110" spans="1:1">
      <c r="A26110" t="s">
        <v>26642</v>
      </c>
    </row>
    <row r="26111" spans="1:1">
      <c r="A26111" t="s">
        <v>26643</v>
      </c>
    </row>
    <row r="26112" spans="1:1">
      <c r="A26112" t="s">
        <v>26644</v>
      </c>
    </row>
    <row r="26113" spans="1:1">
      <c r="A26113" t="s">
        <v>26645</v>
      </c>
    </row>
    <row r="26114" spans="1:1">
      <c r="A26114" t="s">
        <v>26646</v>
      </c>
    </row>
    <row r="26115" spans="1:1">
      <c r="A26115" t="s">
        <v>26647</v>
      </c>
    </row>
    <row r="26116" spans="1:1">
      <c r="A26116" t="s">
        <v>26648</v>
      </c>
    </row>
    <row r="26117" spans="1:1">
      <c r="A26117" t="s">
        <v>26649</v>
      </c>
    </row>
    <row r="26118" spans="1:1">
      <c r="A26118" t="s">
        <v>26650</v>
      </c>
    </row>
    <row r="26119" spans="1:1">
      <c r="A26119" t="s">
        <v>26651</v>
      </c>
    </row>
    <row r="26120" spans="1:1">
      <c r="A26120" t="s">
        <v>26652</v>
      </c>
    </row>
    <row r="26121" spans="1:1">
      <c r="A26121" t="s">
        <v>26653</v>
      </c>
    </row>
    <row r="26122" spans="1:1">
      <c r="A26122" t="s">
        <v>26654</v>
      </c>
    </row>
    <row r="26123" spans="1:1">
      <c r="A26123" t="s">
        <v>26655</v>
      </c>
    </row>
    <row r="26124" spans="1:1">
      <c r="A26124" t="s">
        <v>26656</v>
      </c>
    </row>
    <row r="26125" spans="1:1">
      <c r="A26125" t="s">
        <v>26657</v>
      </c>
    </row>
    <row r="26126" spans="1:1">
      <c r="A26126" t="s">
        <v>26658</v>
      </c>
    </row>
    <row r="26127" spans="1:1">
      <c r="A26127" t="s">
        <v>26659</v>
      </c>
    </row>
    <row r="26128" spans="1:1">
      <c r="A26128" t="s">
        <v>26660</v>
      </c>
    </row>
    <row r="26129" spans="1:1">
      <c r="A26129" t="s">
        <v>26661</v>
      </c>
    </row>
    <row r="26130" spans="1:1">
      <c r="A26130" t="s">
        <v>26662</v>
      </c>
    </row>
    <row r="26131" spans="1:1">
      <c r="A26131" t="s">
        <v>26663</v>
      </c>
    </row>
    <row r="26132" spans="1:1">
      <c r="A26132" t="s">
        <v>26664</v>
      </c>
    </row>
    <row r="26133" spans="1:1">
      <c r="A26133" t="s">
        <v>26665</v>
      </c>
    </row>
    <row r="26134" spans="1:1">
      <c r="A26134" t="s">
        <v>26666</v>
      </c>
    </row>
    <row r="26135" spans="1:1">
      <c r="A26135" t="s">
        <v>26667</v>
      </c>
    </row>
    <row r="26136" spans="1:1">
      <c r="A26136" t="s">
        <v>26668</v>
      </c>
    </row>
    <row r="26137" spans="1:1">
      <c r="A26137" t="s">
        <v>26669</v>
      </c>
    </row>
    <row r="26138" spans="1:1">
      <c r="A26138" t="s">
        <v>26670</v>
      </c>
    </row>
    <row r="26139" spans="1:1">
      <c r="A26139" t="s">
        <v>26671</v>
      </c>
    </row>
    <row r="26140" spans="1:1">
      <c r="A26140" t="s">
        <v>26672</v>
      </c>
    </row>
    <row r="26141" spans="1:1">
      <c r="A26141" t="s">
        <v>26673</v>
      </c>
    </row>
    <row r="26142" spans="1:1">
      <c r="A26142" t="s">
        <v>26674</v>
      </c>
    </row>
    <row r="26143" spans="1:1">
      <c r="A26143" t="s">
        <v>26675</v>
      </c>
    </row>
    <row r="26144" spans="1:1">
      <c r="A26144" t="s">
        <v>26676</v>
      </c>
    </row>
    <row r="26145" spans="1:1">
      <c r="A26145" t="s">
        <v>26677</v>
      </c>
    </row>
    <row r="26146" spans="1:1">
      <c r="A26146" t="s">
        <v>26678</v>
      </c>
    </row>
    <row r="26147" spans="1:1">
      <c r="A26147" t="s">
        <v>26679</v>
      </c>
    </row>
    <row r="26148" spans="1:1">
      <c r="A26148" t="s">
        <v>26680</v>
      </c>
    </row>
    <row r="26149" spans="1:1">
      <c r="A26149" t="s">
        <v>26681</v>
      </c>
    </row>
    <row r="26150" spans="1:1">
      <c r="A26150" t="s">
        <v>26682</v>
      </c>
    </row>
    <row r="26151" spans="1:1">
      <c r="A26151" t="s">
        <v>26683</v>
      </c>
    </row>
    <row r="26152" spans="1:1">
      <c r="A26152" t="s">
        <v>26684</v>
      </c>
    </row>
    <row r="26153" spans="1:1">
      <c r="A26153" t="s">
        <v>26685</v>
      </c>
    </row>
    <row r="26154" spans="1:1">
      <c r="A26154" t="s">
        <v>26686</v>
      </c>
    </row>
    <row r="26155" spans="1:1">
      <c r="A26155" t="s">
        <v>26687</v>
      </c>
    </row>
    <row r="26156" spans="1:1">
      <c r="A26156" t="s">
        <v>26688</v>
      </c>
    </row>
    <row r="26157" spans="1:1">
      <c r="A26157" t="s">
        <v>26689</v>
      </c>
    </row>
    <row r="26158" spans="1:1">
      <c r="A26158" t="s">
        <v>26690</v>
      </c>
    </row>
    <row r="26159" spans="1:1">
      <c r="A26159" t="s">
        <v>26691</v>
      </c>
    </row>
    <row r="26160" spans="1:1">
      <c r="A26160" t="s">
        <v>26692</v>
      </c>
    </row>
    <row r="26161" spans="1:1">
      <c r="A26161" t="s">
        <v>26693</v>
      </c>
    </row>
    <row r="26162" spans="1:1">
      <c r="A26162" t="s">
        <v>26694</v>
      </c>
    </row>
    <row r="26163" spans="1:1">
      <c r="A26163" t="s">
        <v>26695</v>
      </c>
    </row>
    <row r="26164" spans="1:1">
      <c r="A26164" t="s">
        <v>26696</v>
      </c>
    </row>
    <row r="26165" spans="1:1">
      <c r="A26165" t="s">
        <v>26697</v>
      </c>
    </row>
    <row r="26166" spans="1:1">
      <c r="A26166" t="s">
        <v>26698</v>
      </c>
    </row>
    <row r="26167" spans="1:1">
      <c r="A26167" t="s">
        <v>26699</v>
      </c>
    </row>
    <row r="26168" spans="1:1">
      <c r="A26168" t="s">
        <v>26700</v>
      </c>
    </row>
    <row r="26169" spans="1:1">
      <c r="A26169" t="s">
        <v>26701</v>
      </c>
    </row>
    <row r="26170" spans="1:1">
      <c r="A26170" t="s">
        <v>26702</v>
      </c>
    </row>
    <row r="26171" spans="1:1">
      <c r="A26171" t="s">
        <v>26703</v>
      </c>
    </row>
    <row r="26172" spans="1:1">
      <c r="A26172" t="s">
        <v>26704</v>
      </c>
    </row>
    <row r="26173" spans="1:1">
      <c r="A26173" t="s">
        <v>26705</v>
      </c>
    </row>
    <row r="26174" spans="1:1">
      <c r="A26174" t="s">
        <v>26706</v>
      </c>
    </row>
    <row r="26175" spans="1:1">
      <c r="A26175" t="s">
        <v>26707</v>
      </c>
    </row>
    <row r="26176" spans="1:1">
      <c r="A26176" t="s">
        <v>26708</v>
      </c>
    </row>
    <row r="26177" spans="1:1">
      <c r="A26177" t="s">
        <v>26709</v>
      </c>
    </row>
    <row r="26178" spans="1:1">
      <c r="A26178" t="s">
        <v>26710</v>
      </c>
    </row>
    <row r="26179" spans="1:1">
      <c r="A26179" t="s">
        <v>26711</v>
      </c>
    </row>
    <row r="26180" spans="1:1">
      <c r="A26180" t="s">
        <v>26712</v>
      </c>
    </row>
    <row r="26181" spans="1:1">
      <c r="A26181" t="s">
        <v>26713</v>
      </c>
    </row>
    <row r="26182" spans="1:1">
      <c r="A26182" t="s">
        <v>26714</v>
      </c>
    </row>
    <row r="26183" spans="1:1">
      <c r="A26183" t="s">
        <v>26715</v>
      </c>
    </row>
    <row r="26184" spans="1:1">
      <c r="A26184" t="s">
        <v>26716</v>
      </c>
    </row>
    <row r="26185" spans="1:1">
      <c r="A26185" t="s">
        <v>26717</v>
      </c>
    </row>
    <row r="26186" spans="1:1">
      <c r="A26186" t="s">
        <v>26718</v>
      </c>
    </row>
    <row r="26187" spans="1:1">
      <c r="A26187" t="s">
        <v>26719</v>
      </c>
    </row>
    <row r="26188" spans="1:1">
      <c r="A26188" t="s">
        <v>26720</v>
      </c>
    </row>
    <row r="26189" spans="1:1">
      <c r="A26189" t="s">
        <v>26721</v>
      </c>
    </row>
    <row r="26190" spans="1:1">
      <c r="A26190" t="s">
        <v>26722</v>
      </c>
    </row>
    <row r="26191" spans="1:1">
      <c r="A26191" t="s">
        <v>26723</v>
      </c>
    </row>
    <row r="26192" spans="1:1">
      <c r="A26192" t="s">
        <v>26724</v>
      </c>
    </row>
    <row r="26193" spans="1:1">
      <c r="A26193" t="s">
        <v>26725</v>
      </c>
    </row>
    <row r="26194" spans="1:1">
      <c r="A26194" t="s">
        <v>26726</v>
      </c>
    </row>
    <row r="26195" spans="1:1">
      <c r="A26195" t="s">
        <v>26727</v>
      </c>
    </row>
    <row r="26196" spans="1:1">
      <c r="A26196" t="s">
        <v>26728</v>
      </c>
    </row>
    <row r="26197" spans="1:1">
      <c r="A26197" t="s">
        <v>26729</v>
      </c>
    </row>
    <row r="26198" spans="1:1">
      <c r="A26198" t="s">
        <v>26730</v>
      </c>
    </row>
    <row r="26199" spans="1:1">
      <c r="A26199" t="s">
        <v>26731</v>
      </c>
    </row>
    <row r="26200" spans="1:1">
      <c r="A26200" t="s">
        <v>26732</v>
      </c>
    </row>
    <row r="26201" spans="1:1">
      <c r="A26201" t="s">
        <v>26733</v>
      </c>
    </row>
    <row r="26202" spans="1:1">
      <c r="A26202" t="s">
        <v>26734</v>
      </c>
    </row>
    <row r="26203" spans="1:1">
      <c r="A26203" t="s">
        <v>26735</v>
      </c>
    </row>
    <row r="26204" spans="1:1">
      <c r="A26204" t="s">
        <v>26736</v>
      </c>
    </row>
    <row r="26205" spans="1:1">
      <c r="A26205" t="s">
        <v>26737</v>
      </c>
    </row>
    <row r="26206" spans="1:1">
      <c r="A26206" t="s">
        <v>26738</v>
      </c>
    </row>
    <row r="26207" spans="1:1">
      <c r="A26207" t="s">
        <v>26739</v>
      </c>
    </row>
    <row r="26208" spans="1:1">
      <c r="A26208" t="s">
        <v>26740</v>
      </c>
    </row>
    <row r="26209" spans="1:1">
      <c r="A26209" t="s">
        <v>26741</v>
      </c>
    </row>
    <row r="26210" spans="1:1">
      <c r="A26210" t="s">
        <v>26742</v>
      </c>
    </row>
    <row r="26211" spans="1:1">
      <c r="A26211" t="s">
        <v>26743</v>
      </c>
    </row>
    <row r="26212" spans="1:1">
      <c r="A26212" t="s">
        <v>26744</v>
      </c>
    </row>
    <row r="26213" spans="1:1">
      <c r="A26213" t="s">
        <v>26745</v>
      </c>
    </row>
    <row r="26214" spans="1:1">
      <c r="A26214" t="s">
        <v>26746</v>
      </c>
    </row>
    <row r="26215" spans="1:1">
      <c r="A26215" t="s">
        <v>26747</v>
      </c>
    </row>
    <row r="26216" spans="1:1">
      <c r="A26216" t="s">
        <v>26748</v>
      </c>
    </row>
    <row r="26217" spans="1:1">
      <c r="A26217" t="s">
        <v>26749</v>
      </c>
    </row>
    <row r="26218" spans="1:1">
      <c r="A26218" t="s">
        <v>26750</v>
      </c>
    </row>
    <row r="26219" spans="1:1">
      <c r="A26219" t="s">
        <v>26751</v>
      </c>
    </row>
    <row r="26220" spans="1:1">
      <c r="A26220" t="s">
        <v>26752</v>
      </c>
    </row>
    <row r="26221" spans="1:1">
      <c r="A26221" t="s">
        <v>26753</v>
      </c>
    </row>
    <row r="26222" spans="1:1">
      <c r="A26222" t="s">
        <v>26754</v>
      </c>
    </row>
    <row r="26223" spans="1:1">
      <c r="A26223" t="s">
        <v>26755</v>
      </c>
    </row>
    <row r="26224" spans="1:1">
      <c r="A26224" t="s">
        <v>26756</v>
      </c>
    </row>
    <row r="26225" spans="1:1">
      <c r="A26225" t="s">
        <v>26757</v>
      </c>
    </row>
    <row r="26226" spans="1:1">
      <c r="A26226" t="s">
        <v>26758</v>
      </c>
    </row>
    <row r="26227" spans="1:1">
      <c r="A26227" t="s">
        <v>26759</v>
      </c>
    </row>
    <row r="26228" spans="1:1">
      <c r="A26228" t="s">
        <v>26760</v>
      </c>
    </row>
    <row r="26229" spans="1:1">
      <c r="A26229" t="s">
        <v>26761</v>
      </c>
    </row>
    <row r="26230" spans="1:1">
      <c r="A26230" t="s">
        <v>26762</v>
      </c>
    </row>
    <row r="26231" spans="1:1">
      <c r="A26231" t="s">
        <v>26763</v>
      </c>
    </row>
    <row r="26232" spans="1:1">
      <c r="A26232" t="s">
        <v>26764</v>
      </c>
    </row>
    <row r="26233" spans="1:1">
      <c r="A26233" t="s">
        <v>26765</v>
      </c>
    </row>
    <row r="26234" spans="1:1">
      <c r="A26234" t="s">
        <v>26766</v>
      </c>
    </row>
    <row r="26235" spans="1:1">
      <c r="A26235" t="s">
        <v>26767</v>
      </c>
    </row>
    <row r="26236" spans="1:1">
      <c r="A26236" t="s">
        <v>26768</v>
      </c>
    </row>
    <row r="26237" spans="1:1">
      <c r="A26237" t="s">
        <v>26769</v>
      </c>
    </row>
    <row r="26238" spans="1:1">
      <c r="A26238" t="s">
        <v>26770</v>
      </c>
    </row>
    <row r="26239" spans="1:1">
      <c r="A26239" t="s">
        <v>26771</v>
      </c>
    </row>
    <row r="26240" spans="1:1">
      <c r="A26240" t="s">
        <v>26772</v>
      </c>
    </row>
    <row r="26241" spans="1:1">
      <c r="A26241" t="s">
        <v>26773</v>
      </c>
    </row>
    <row r="26242" spans="1:1">
      <c r="A26242" t="s">
        <v>26774</v>
      </c>
    </row>
    <row r="26243" spans="1:1">
      <c r="A26243" t="s">
        <v>26775</v>
      </c>
    </row>
    <row r="26244" spans="1:1">
      <c r="A26244" t="s">
        <v>26776</v>
      </c>
    </row>
    <row r="26245" spans="1:1">
      <c r="A26245" t="s">
        <v>26777</v>
      </c>
    </row>
    <row r="26246" spans="1:1">
      <c r="A26246" t="s">
        <v>26778</v>
      </c>
    </row>
    <row r="26247" spans="1:1">
      <c r="A26247" t="s">
        <v>26779</v>
      </c>
    </row>
    <row r="26248" spans="1:1">
      <c r="A26248" t="s">
        <v>26780</v>
      </c>
    </row>
    <row r="26249" spans="1:1">
      <c r="A26249" t="s">
        <v>26781</v>
      </c>
    </row>
    <row r="26250" spans="1:1">
      <c r="A26250" t="s">
        <v>26782</v>
      </c>
    </row>
    <row r="26251" spans="1:1">
      <c r="A26251" t="s">
        <v>26783</v>
      </c>
    </row>
    <row r="26252" spans="1:1">
      <c r="A26252" t="s">
        <v>26784</v>
      </c>
    </row>
    <row r="26253" spans="1:1">
      <c r="A26253" t="s">
        <v>26785</v>
      </c>
    </row>
    <row r="26254" spans="1:1">
      <c r="A26254" t="s">
        <v>26786</v>
      </c>
    </row>
    <row r="26255" spans="1:1">
      <c r="A26255" t="s">
        <v>26787</v>
      </c>
    </row>
    <row r="26256" spans="1:1">
      <c r="A26256" t="s">
        <v>26788</v>
      </c>
    </row>
    <row r="26257" spans="1:1">
      <c r="A26257" t="s">
        <v>26789</v>
      </c>
    </row>
    <row r="26258" spans="1:1">
      <c r="A26258" t="s">
        <v>26790</v>
      </c>
    </row>
    <row r="26259" spans="1:1">
      <c r="A26259" t="s">
        <v>26791</v>
      </c>
    </row>
    <row r="26260" spans="1:1">
      <c r="A26260" t="s">
        <v>26792</v>
      </c>
    </row>
    <row r="26261" spans="1:1">
      <c r="A26261" t="s">
        <v>26793</v>
      </c>
    </row>
    <row r="26262" spans="1:1">
      <c r="A26262" t="s">
        <v>26794</v>
      </c>
    </row>
    <row r="26263" spans="1:1">
      <c r="A26263" t="s">
        <v>26795</v>
      </c>
    </row>
    <row r="26264" spans="1:1">
      <c r="A26264" t="s">
        <v>26796</v>
      </c>
    </row>
    <row r="26265" spans="1:1">
      <c r="A26265" t="s">
        <v>26797</v>
      </c>
    </row>
    <row r="26266" spans="1:1">
      <c r="A26266" t="s">
        <v>26798</v>
      </c>
    </row>
    <row r="26267" spans="1:1">
      <c r="A26267" t="s">
        <v>26799</v>
      </c>
    </row>
    <row r="26268" spans="1:1">
      <c r="A26268" t="s">
        <v>26800</v>
      </c>
    </row>
    <row r="26269" spans="1:1">
      <c r="A26269" t="s">
        <v>26801</v>
      </c>
    </row>
    <row r="26270" spans="1:1">
      <c r="A26270" t="s">
        <v>26802</v>
      </c>
    </row>
    <row r="26271" spans="1:1">
      <c r="A26271" t="s">
        <v>26803</v>
      </c>
    </row>
    <row r="26272" spans="1:1">
      <c r="A26272" t="s">
        <v>26804</v>
      </c>
    </row>
    <row r="26273" spans="1:1">
      <c r="A26273" t="s">
        <v>26805</v>
      </c>
    </row>
    <row r="26274" spans="1:1">
      <c r="A26274" t="s">
        <v>26806</v>
      </c>
    </row>
    <row r="26275" spans="1:1">
      <c r="A26275" t="s">
        <v>26807</v>
      </c>
    </row>
    <row r="26276" spans="1:1">
      <c r="A26276" t="s">
        <v>26808</v>
      </c>
    </row>
    <row r="26277" spans="1:1">
      <c r="A26277" t="s">
        <v>26809</v>
      </c>
    </row>
    <row r="26278" spans="1:1">
      <c r="A26278" t="s">
        <v>26810</v>
      </c>
    </row>
    <row r="26279" spans="1:1">
      <c r="A26279" t="s">
        <v>26811</v>
      </c>
    </row>
    <row r="26280" spans="1:1">
      <c r="A26280" t="s">
        <v>26812</v>
      </c>
    </row>
    <row r="26281" spans="1:1">
      <c r="A26281" t="s">
        <v>26813</v>
      </c>
    </row>
    <row r="26282" spans="1:1">
      <c r="A26282" t="s">
        <v>26814</v>
      </c>
    </row>
    <row r="26283" spans="1:1">
      <c r="A26283" t="s">
        <v>26815</v>
      </c>
    </row>
    <row r="26284" spans="1:1">
      <c r="A26284" t="s">
        <v>26816</v>
      </c>
    </row>
    <row r="26285" spans="1:1">
      <c r="A26285" t="s">
        <v>26817</v>
      </c>
    </row>
    <row r="26286" spans="1:1">
      <c r="A26286" t="s">
        <v>26818</v>
      </c>
    </row>
    <row r="26287" spans="1:1">
      <c r="A26287" t="s">
        <v>26819</v>
      </c>
    </row>
    <row r="26288" spans="1:1">
      <c r="A26288" t="s">
        <v>26820</v>
      </c>
    </row>
    <row r="26289" spans="1:1">
      <c r="A26289" t="s">
        <v>26821</v>
      </c>
    </row>
    <row r="26290" spans="1:1">
      <c r="A26290" t="s">
        <v>26822</v>
      </c>
    </row>
    <row r="26291" spans="1:1">
      <c r="A26291" t="s">
        <v>26823</v>
      </c>
    </row>
    <row r="26292" spans="1:1">
      <c r="A26292" t="s">
        <v>26824</v>
      </c>
    </row>
    <row r="26293" spans="1:1">
      <c r="A26293" t="s">
        <v>26825</v>
      </c>
    </row>
    <row r="26294" spans="1:1">
      <c r="A26294" t="s">
        <v>26826</v>
      </c>
    </row>
    <row r="26295" spans="1:1">
      <c r="A26295" t="s">
        <v>26827</v>
      </c>
    </row>
    <row r="26296" spans="1:1">
      <c r="A26296" t="s">
        <v>26828</v>
      </c>
    </row>
    <row r="26297" spans="1:1">
      <c r="A26297" t="s">
        <v>26829</v>
      </c>
    </row>
    <row r="26298" spans="1:1">
      <c r="A26298" t="s">
        <v>26830</v>
      </c>
    </row>
    <row r="26299" spans="1:1">
      <c r="A26299" t="s">
        <v>26831</v>
      </c>
    </row>
    <row r="26300" spans="1:1">
      <c r="A26300" t="s">
        <v>26832</v>
      </c>
    </row>
    <row r="26301" spans="1:1">
      <c r="A26301" t="s">
        <v>26833</v>
      </c>
    </row>
    <row r="26302" spans="1:1">
      <c r="A26302" t="s">
        <v>26834</v>
      </c>
    </row>
    <row r="26303" spans="1:1">
      <c r="A26303" t="s">
        <v>26835</v>
      </c>
    </row>
    <row r="26304" spans="1:1">
      <c r="A26304" t="s">
        <v>26836</v>
      </c>
    </row>
    <row r="26305" spans="1:1">
      <c r="A26305" t="s">
        <v>26837</v>
      </c>
    </row>
    <row r="26306" spans="1:1">
      <c r="A26306" t="s">
        <v>26838</v>
      </c>
    </row>
    <row r="26307" spans="1:1">
      <c r="A26307" t="s">
        <v>26839</v>
      </c>
    </row>
    <row r="26308" spans="1:1">
      <c r="A26308" t="s">
        <v>26840</v>
      </c>
    </row>
    <row r="26309" spans="1:1">
      <c r="A26309" t="s">
        <v>26841</v>
      </c>
    </row>
    <row r="26310" spans="1:1">
      <c r="A26310" t="s">
        <v>26842</v>
      </c>
    </row>
    <row r="26311" spans="1:1">
      <c r="A26311" t="s">
        <v>26843</v>
      </c>
    </row>
    <row r="26312" spans="1:1">
      <c r="A26312" t="s">
        <v>26844</v>
      </c>
    </row>
    <row r="26313" spans="1:1">
      <c r="A26313" t="s">
        <v>26845</v>
      </c>
    </row>
    <row r="26314" spans="1:1">
      <c r="A26314" t="s">
        <v>26846</v>
      </c>
    </row>
    <row r="26315" spans="1:1">
      <c r="A26315" t="s">
        <v>26847</v>
      </c>
    </row>
    <row r="26316" spans="1:1">
      <c r="A26316" t="s">
        <v>26848</v>
      </c>
    </row>
    <row r="26317" spans="1:1">
      <c r="A26317" t="s">
        <v>26849</v>
      </c>
    </row>
    <row r="26318" spans="1:1">
      <c r="A26318" t="s">
        <v>26850</v>
      </c>
    </row>
    <row r="26319" spans="1:1">
      <c r="A26319" t="s">
        <v>26851</v>
      </c>
    </row>
    <row r="26320" spans="1:1">
      <c r="A26320" t="s">
        <v>26852</v>
      </c>
    </row>
    <row r="26321" spans="1:1">
      <c r="A26321" t="s">
        <v>26853</v>
      </c>
    </row>
    <row r="26322" spans="1:1">
      <c r="A26322" t="s">
        <v>26854</v>
      </c>
    </row>
    <row r="26323" spans="1:1">
      <c r="A26323" t="s">
        <v>26855</v>
      </c>
    </row>
    <row r="26324" spans="1:1">
      <c r="A26324" t="s">
        <v>26856</v>
      </c>
    </row>
    <row r="26325" spans="1:1">
      <c r="A26325" t="s">
        <v>26857</v>
      </c>
    </row>
    <row r="26326" spans="1:1">
      <c r="A26326" t="s">
        <v>26858</v>
      </c>
    </row>
    <row r="26327" spans="1:1">
      <c r="A26327" t="s">
        <v>26859</v>
      </c>
    </row>
    <row r="26328" spans="1:1">
      <c r="A26328" t="s">
        <v>26860</v>
      </c>
    </row>
    <row r="26329" spans="1:1">
      <c r="A26329" t="s">
        <v>26861</v>
      </c>
    </row>
    <row r="26330" spans="1:1">
      <c r="A26330" t="s">
        <v>26862</v>
      </c>
    </row>
    <row r="26331" spans="1:1">
      <c r="A26331" t="s">
        <v>26863</v>
      </c>
    </row>
    <row r="26332" spans="1:1">
      <c r="A26332" t="s">
        <v>26864</v>
      </c>
    </row>
    <row r="26333" spans="1:1">
      <c r="A26333" t="s">
        <v>26865</v>
      </c>
    </row>
    <row r="26334" spans="1:1">
      <c r="A26334" t="s">
        <v>26866</v>
      </c>
    </row>
    <row r="26335" spans="1:1">
      <c r="A26335" t="s">
        <v>26867</v>
      </c>
    </row>
    <row r="26336" spans="1:1">
      <c r="A26336" t="s">
        <v>26868</v>
      </c>
    </row>
    <row r="26337" spans="1:1">
      <c r="A26337" t="s">
        <v>26869</v>
      </c>
    </row>
    <row r="26338" spans="1:1">
      <c r="A26338" t="s">
        <v>26870</v>
      </c>
    </row>
    <row r="26339" spans="1:1">
      <c r="A26339" t="s">
        <v>26871</v>
      </c>
    </row>
    <row r="26340" spans="1:1">
      <c r="A26340" t="s">
        <v>26872</v>
      </c>
    </row>
    <row r="26341" spans="1:1">
      <c r="A26341" t="s">
        <v>26873</v>
      </c>
    </row>
    <row r="26342" spans="1:1">
      <c r="A26342" t="s">
        <v>26874</v>
      </c>
    </row>
    <row r="26343" spans="1:1">
      <c r="A26343" t="s">
        <v>26875</v>
      </c>
    </row>
    <row r="26344" spans="1:1">
      <c r="A26344" t="s">
        <v>26876</v>
      </c>
    </row>
    <row r="26345" spans="1:1">
      <c r="A26345" t="s">
        <v>26877</v>
      </c>
    </row>
    <row r="26346" spans="1:1">
      <c r="A26346" t="s">
        <v>26878</v>
      </c>
    </row>
    <row r="26347" spans="1:1">
      <c r="A26347" t="s">
        <v>26879</v>
      </c>
    </row>
    <row r="26348" spans="1:1">
      <c r="A26348" t="s">
        <v>26880</v>
      </c>
    </row>
    <row r="26349" spans="1:1">
      <c r="A26349" t="s">
        <v>26881</v>
      </c>
    </row>
    <row r="26350" spans="1:1">
      <c r="A26350" t="s">
        <v>26882</v>
      </c>
    </row>
    <row r="26351" spans="1:1">
      <c r="A26351" t="s">
        <v>26883</v>
      </c>
    </row>
    <row r="26352" spans="1:1">
      <c r="A26352" t="s">
        <v>26884</v>
      </c>
    </row>
    <row r="26353" spans="1:1">
      <c r="A26353" t="s">
        <v>26885</v>
      </c>
    </row>
    <row r="26354" spans="1:1">
      <c r="A26354" t="s">
        <v>26886</v>
      </c>
    </row>
    <row r="26355" spans="1:1">
      <c r="A26355" t="s">
        <v>26887</v>
      </c>
    </row>
    <row r="26356" spans="1:1">
      <c r="A26356" t="s">
        <v>26888</v>
      </c>
    </row>
    <row r="26357" spans="1:1">
      <c r="A26357" t="s">
        <v>26889</v>
      </c>
    </row>
    <row r="26358" spans="1:1">
      <c r="A26358" t="s">
        <v>26890</v>
      </c>
    </row>
    <row r="26359" spans="1:1">
      <c r="A26359" t="s">
        <v>26891</v>
      </c>
    </row>
    <row r="26360" spans="1:1">
      <c r="A26360" t="s">
        <v>26892</v>
      </c>
    </row>
    <row r="26361" spans="1:1">
      <c r="A26361" t="s">
        <v>26893</v>
      </c>
    </row>
    <row r="26362" spans="1:1">
      <c r="A26362" t="s">
        <v>26894</v>
      </c>
    </row>
    <row r="26363" spans="1:1">
      <c r="A26363" t="s">
        <v>26895</v>
      </c>
    </row>
    <row r="26364" spans="1:1">
      <c r="A26364" t="s">
        <v>26896</v>
      </c>
    </row>
    <row r="26365" spans="1:1">
      <c r="A26365" t="s">
        <v>26897</v>
      </c>
    </row>
    <row r="26366" spans="1:1">
      <c r="A26366" t="s">
        <v>26898</v>
      </c>
    </row>
    <row r="26367" spans="1:1">
      <c r="A26367" t="s">
        <v>26899</v>
      </c>
    </row>
    <row r="26368" spans="1:1">
      <c r="A26368" t="s">
        <v>26900</v>
      </c>
    </row>
    <row r="26369" spans="1:1">
      <c r="A26369" t="s">
        <v>26901</v>
      </c>
    </row>
    <row r="26370" spans="1:1">
      <c r="A26370" t="s">
        <v>26902</v>
      </c>
    </row>
    <row r="26371" spans="1:1">
      <c r="A26371" t="s">
        <v>26903</v>
      </c>
    </row>
    <row r="26372" spans="1:1">
      <c r="A26372" t="s">
        <v>26904</v>
      </c>
    </row>
    <row r="26373" spans="1:1">
      <c r="A26373" t="s">
        <v>26905</v>
      </c>
    </row>
    <row r="26374" spans="1:1">
      <c r="A26374" t="s">
        <v>26906</v>
      </c>
    </row>
    <row r="26375" spans="1:1">
      <c r="A26375" t="s">
        <v>26907</v>
      </c>
    </row>
    <row r="26376" spans="1:1">
      <c r="A26376" t="s">
        <v>26908</v>
      </c>
    </row>
    <row r="26377" spans="1:1">
      <c r="A26377" t="s">
        <v>26909</v>
      </c>
    </row>
    <row r="26378" spans="1:1">
      <c r="A26378" t="s">
        <v>26910</v>
      </c>
    </row>
    <row r="26379" spans="1:1">
      <c r="A26379" t="s">
        <v>26911</v>
      </c>
    </row>
    <row r="26380" spans="1:1">
      <c r="A26380" t="s">
        <v>26912</v>
      </c>
    </row>
    <row r="26381" spans="1:1">
      <c r="A26381" t="s">
        <v>26913</v>
      </c>
    </row>
    <row r="26382" spans="1:1">
      <c r="A26382" t="s">
        <v>26914</v>
      </c>
    </row>
    <row r="26383" spans="1:1">
      <c r="A26383" t="s">
        <v>26915</v>
      </c>
    </row>
    <row r="26384" spans="1:1">
      <c r="A26384" t="s">
        <v>26916</v>
      </c>
    </row>
    <row r="26385" spans="1:1">
      <c r="A26385" t="s">
        <v>26917</v>
      </c>
    </row>
    <row r="26386" spans="1:1">
      <c r="A26386" t="s">
        <v>26918</v>
      </c>
    </row>
    <row r="26387" spans="1:1">
      <c r="A26387" t="s">
        <v>26919</v>
      </c>
    </row>
    <row r="26388" spans="1:1">
      <c r="A26388" t="s">
        <v>26920</v>
      </c>
    </row>
    <row r="26389" spans="1:1">
      <c r="A26389" t="s">
        <v>26921</v>
      </c>
    </row>
    <row r="26390" spans="1:1">
      <c r="A26390" t="s">
        <v>26922</v>
      </c>
    </row>
    <row r="26391" spans="1:1">
      <c r="A26391" t="s">
        <v>26923</v>
      </c>
    </row>
    <row r="26392" spans="1:1">
      <c r="A26392" t="s">
        <v>26924</v>
      </c>
    </row>
    <row r="26393" spans="1:1">
      <c r="A26393" t="s">
        <v>26925</v>
      </c>
    </row>
    <row r="26394" spans="1:1">
      <c r="A26394" t="s">
        <v>26926</v>
      </c>
    </row>
    <row r="26395" spans="1:1">
      <c r="A26395" t="s">
        <v>26927</v>
      </c>
    </row>
    <row r="26396" spans="1:1">
      <c r="A26396" t="s">
        <v>26928</v>
      </c>
    </row>
    <row r="26397" spans="1:1">
      <c r="A26397" t="s">
        <v>26929</v>
      </c>
    </row>
    <row r="26398" spans="1:1">
      <c r="A26398" t="s">
        <v>26930</v>
      </c>
    </row>
    <row r="26399" spans="1:1">
      <c r="A26399" t="s">
        <v>26931</v>
      </c>
    </row>
    <row r="26400" spans="1:1">
      <c r="A26400" t="s">
        <v>26932</v>
      </c>
    </row>
    <row r="26401" spans="1:1">
      <c r="A26401" t="s">
        <v>26933</v>
      </c>
    </row>
    <row r="26402" spans="1:1">
      <c r="A26402" t="s">
        <v>26934</v>
      </c>
    </row>
    <row r="26403" spans="1:1">
      <c r="A26403" t="s">
        <v>26935</v>
      </c>
    </row>
    <row r="26404" spans="1:1">
      <c r="A26404" t="s">
        <v>26936</v>
      </c>
    </row>
    <row r="26405" spans="1:1">
      <c r="A26405" t="s">
        <v>26937</v>
      </c>
    </row>
    <row r="26406" spans="1:1">
      <c r="A26406" t="s">
        <v>26938</v>
      </c>
    </row>
    <row r="26407" spans="1:1">
      <c r="A26407" t="s">
        <v>26939</v>
      </c>
    </row>
    <row r="26408" spans="1:1">
      <c r="A26408" t="s">
        <v>26940</v>
      </c>
    </row>
    <row r="26409" spans="1:1">
      <c r="A26409" t="s">
        <v>26941</v>
      </c>
    </row>
    <row r="26410" spans="1:1">
      <c r="A26410" t="s">
        <v>26942</v>
      </c>
    </row>
    <row r="26411" spans="1:1">
      <c r="A26411" t="s">
        <v>26943</v>
      </c>
    </row>
    <row r="26412" spans="1:1">
      <c r="A26412" t="s">
        <v>26944</v>
      </c>
    </row>
    <row r="26413" spans="1:1">
      <c r="A26413" t="s">
        <v>26945</v>
      </c>
    </row>
    <row r="26414" spans="1:1">
      <c r="A26414" t="s">
        <v>26946</v>
      </c>
    </row>
    <row r="26415" spans="1:1">
      <c r="A26415" t="s">
        <v>26947</v>
      </c>
    </row>
    <row r="26416" spans="1:1">
      <c r="A26416" t="s">
        <v>26948</v>
      </c>
    </row>
    <row r="26417" spans="1:1">
      <c r="A26417" t="s">
        <v>26949</v>
      </c>
    </row>
    <row r="26418" spans="1:1">
      <c r="A26418" t="s">
        <v>26950</v>
      </c>
    </row>
    <row r="26419" spans="1:1">
      <c r="A26419" t="s">
        <v>26951</v>
      </c>
    </row>
    <row r="26420" spans="1:1">
      <c r="A26420" t="s">
        <v>26952</v>
      </c>
    </row>
    <row r="26421" spans="1:1">
      <c r="A26421" t="s">
        <v>26953</v>
      </c>
    </row>
    <row r="26422" spans="1:1">
      <c r="A26422" t="s">
        <v>26954</v>
      </c>
    </row>
    <row r="26423" spans="1:1">
      <c r="A26423" t="s">
        <v>26955</v>
      </c>
    </row>
    <row r="26424" spans="1:1">
      <c r="A26424" t="s">
        <v>26956</v>
      </c>
    </row>
    <row r="26425" spans="1:1">
      <c r="A26425" t="s">
        <v>26957</v>
      </c>
    </row>
    <row r="26426" spans="1:1">
      <c r="A26426" t="s">
        <v>26958</v>
      </c>
    </row>
    <row r="26427" spans="1:1">
      <c r="A26427" t="s">
        <v>26959</v>
      </c>
    </row>
    <row r="26428" spans="1:1">
      <c r="A26428" t="s">
        <v>26960</v>
      </c>
    </row>
    <row r="26429" spans="1:1">
      <c r="A26429" t="s">
        <v>26961</v>
      </c>
    </row>
    <row r="26430" spans="1:1">
      <c r="A26430" t="s">
        <v>26962</v>
      </c>
    </row>
    <row r="26431" spans="1:1">
      <c r="A26431" t="s">
        <v>26963</v>
      </c>
    </row>
    <row r="26432" spans="1:1">
      <c r="A26432" t="s">
        <v>26964</v>
      </c>
    </row>
    <row r="26433" spans="1:1">
      <c r="A26433" t="s">
        <v>26965</v>
      </c>
    </row>
    <row r="26434" spans="1:1">
      <c r="A26434" t="s">
        <v>26966</v>
      </c>
    </row>
    <row r="26435" spans="1:1">
      <c r="A26435" t="s">
        <v>26967</v>
      </c>
    </row>
    <row r="26436" spans="1:1">
      <c r="A26436" t="s">
        <v>26968</v>
      </c>
    </row>
    <row r="26437" spans="1:1">
      <c r="A26437" t="s">
        <v>26969</v>
      </c>
    </row>
    <row r="26438" spans="1:1">
      <c r="A26438" t="s">
        <v>26970</v>
      </c>
    </row>
    <row r="26439" spans="1:1">
      <c r="A26439" t="s">
        <v>26971</v>
      </c>
    </row>
    <row r="26440" spans="1:1">
      <c r="A26440" t="s">
        <v>26972</v>
      </c>
    </row>
    <row r="26441" spans="1:1">
      <c r="A26441" t="s">
        <v>26973</v>
      </c>
    </row>
    <row r="26442" spans="1:1">
      <c r="A26442" t="s">
        <v>26974</v>
      </c>
    </row>
    <row r="26443" spans="1:1">
      <c r="A26443" t="s">
        <v>26975</v>
      </c>
    </row>
    <row r="26444" spans="1:1">
      <c r="A26444" t="s">
        <v>26976</v>
      </c>
    </row>
    <row r="26445" spans="1:1">
      <c r="A26445" t="s">
        <v>26977</v>
      </c>
    </row>
    <row r="26446" spans="1:1">
      <c r="A26446" t="s">
        <v>26978</v>
      </c>
    </row>
    <row r="26447" spans="1:1">
      <c r="A26447" t="s">
        <v>26979</v>
      </c>
    </row>
    <row r="26448" spans="1:1">
      <c r="A26448" t="s">
        <v>26980</v>
      </c>
    </row>
    <row r="26449" spans="1:1">
      <c r="A26449" t="s">
        <v>26981</v>
      </c>
    </row>
    <row r="26450" spans="1:1">
      <c r="A26450" t="s">
        <v>26982</v>
      </c>
    </row>
    <row r="26451" spans="1:1">
      <c r="A26451" t="s">
        <v>26983</v>
      </c>
    </row>
    <row r="26452" spans="1:1">
      <c r="A26452" t="s">
        <v>26984</v>
      </c>
    </row>
    <row r="26453" spans="1:1">
      <c r="A26453" t="s">
        <v>26985</v>
      </c>
    </row>
    <row r="26454" spans="1:1">
      <c r="A26454" t="s">
        <v>26986</v>
      </c>
    </row>
    <row r="26455" spans="1:1">
      <c r="A26455" t="s">
        <v>26987</v>
      </c>
    </row>
    <row r="26456" spans="1:1">
      <c r="A26456" t="s">
        <v>26988</v>
      </c>
    </row>
    <row r="26457" spans="1:1">
      <c r="A26457" t="s">
        <v>26989</v>
      </c>
    </row>
    <row r="26458" spans="1:1">
      <c r="A26458" t="s">
        <v>26990</v>
      </c>
    </row>
    <row r="26459" spans="1:1">
      <c r="A26459" t="s">
        <v>26991</v>
      </c>
    </row>
    <row r="26460" spans="1:1">
      <c r="A26460" t="s">
        <v>26992</v>
      </c>
    </row>
    <row r="26461" spans="1:1">
      <c r="A26461" t="s">
        <v>26993</v>
      </c>
    </row>
    <row r="26462" spans="1:1">
      <c r="A26462" t="s">
        <v>26994</v>
      </c>
    </row>
    <row r="26463" spans="1:1">
      <c r="A26463" t="s">
        <v>26995</v>
      </c>
    </row>
    <row r="26464" spans="1:1">
      <c r="A26464" t="s">
        <v>26996</v>
      </c>
    </row>
    <row r="26465" spans="1:1">
      <c r="A26465" t="s">
        <v>26997</v>
      </c>
    </row>
    <row r="26466" spans="1:1">
      <c r="A26466" t="s">
        <v>26998</v>
      </c>
    </row>
    <row r="26467" spans="1:1">
      <c r="A26467" t="s">
        <v>26999</v>
      </c>
    </row>
    <row r="26468" spans="1:1">
      <c r="A26468" t="s">
        <v>27000</v>
      </c>
    </row>
    <row r="26469" spans="1:1">
      <c r="A26469" t="s">
        <v>27001</v>
      </c>
    </row>
    <row r="26470" spans="1:1">
      <c r="A26470" t="s">
        <v>27002</v>
      </c>
    </row>
    <row r="26471" spans="1:1">
      <c r="A26471" t="s">
        <v>27003</v>
      </c>
    </row>
    <row r="26472" spans="1:1">
      <c r="A26472" t="s">
        <v>27004</v>
      </c>
    </row>
    <row r="26473" spans="1:1">
      <c r="A26473" t="s">
        <v>27005</v>
      </c>
    </row>
    <row r="26474" spans="1:1">
      <c r="A26474" t="s">
        <v>27006</v>
      </c>
    </row>
    <row r="26475" spans="1:1">
      <c r="A26475" t="s">
        <v>27007</v>
      </c>
    </row>
    <row r="26476" spans="1:1">
      <c r="A26476" t="s">
        <v>27008</v>
      </c>
    </row>
    <row r="26477" spans="1:1">
      <c r="A26477" t="s">
        <v>27009</v>
      </c>
    </row>
    <row r="26478" spans="1:1">
      <c r="A26478" t="s">
        <v>27010</v>
      </c>
    </row>
    <row r="26479" spans="1:1">
      <c r="A26479" t="s">
        <v>27011</v>
      </c>
    </row>
    <row r="26480" spans="1:1">
      <c r="A26480" t="s">
        <v>27012</v>
      </c>
    </row>
    <row r="26481" spans="1:1">
      <c r="A26481" t="s">
        <v>27013</v>
      </c>
    </row>
    <row r="26482" spans="1:1">
      <c r="A26482" t="s">
        <v>27014</v>
      </c>
    </row>
    <row r="26483" spans="1:1">
      <c r="A26483" t="s">
        <v>27015</v>
      </c>
    </row>
    <row r="26484" spans="1:1">
      <c r="A26484" t="s">
        <v>27016</v>
      </c>
    </row>
    <row r="26485" spans="1:1">
      <c r="A26485" t="s">
        <v>27017</v>
      </c>
    </row>
    <row r="26486" spans="1:1">
      <c r="A26486" t="s">
        <v>27018</v>
      </c>
    </row>
    <row r="26487" spans="1:1">
      <c r="A26487" t="s">
        <v>27019</v>
      </c>
    </row>
    <row r="26488" spans="1:1">
      <c r="A26488" t="s">
        <v>27020</v>
      </c>
    </row>
    <row r="26489" spans="1:1">
      <c r="A26489" t="s">
        <v>27021</v>
      </c>
    </row>
    <row r="26490" spans="1:1">
      <c r="A26490" t="s">
        <v>27022</v>
      </c>
    </row>
    <row r="26491" spans="1:1">
      <c r="A26491" t="s">
        <v>27023</v>
      </c>
    </row>
    <row r="26492" spans="1:1">
      <c r="A26492" t="s">
        <v>27024</v>
      </c>
    </row>
    <row r="26493" spans="1:1">
      <c r="A26493" t="s">
        <v>27025</v>
      </c>
    </row>
    <row r="26494" spans="1:1">
      <c r="A26494" t="s">
        <v>27026</v>
      </c>
    </row>
    <row r="26495" spans="1:1">
      <c r="A26495" t="s">
        <v>27027</v>
      </c>
    </row>
    <row r="26496" spans="1:1">
      <c r="A26496" t="s">
        <v>27028</v>
      </c>
    </row>
    <row r="26497" spans="1:1">
      <c r="A26497" t="s">
        <v>27029</v>
      </c>
    </row>
    <row r="26498" spans="1:1">
      <c r="A26498" t="s">
        <v>27030</v>
      </c>
    </row>
    <row r="26499" spans="1:1">
      <c r="A26499" t="s">
        <v>27031</v>
      </c>
    </row>
    <row r="26500" spans="1:1">
      <c r="A26500" t="s">
        <v>27032</v>
      </c>
    </row>
    <row r="26501" spans="1:1">
      <c r="A26501" t="s">
        <v>27033</v>
      </c>
    </row>
    <row r="26502" spans="1:1">
      <c r="A26502" t="s">
        <v>27034</v>
      </c>
    </row>
    <row r="26503" spans="1:1">
      <c r="A26503" t="s">
        <v>27035</v>
      </c>
    </row>
    <row r="26504" spans="1:1">
      <c r="A26504" t="s">
        <v>27036</v>
      </c>
    </row>
    <row r="26505" spans="1:1">
      <c r="A26505" t="s">
        <v>27037</v>
      </c>
    </row>
    <row r="26506" spans="1:1">
      <c r="A26506" t="s">
        <v>27038</v>
      </c>
    </row>
    <row r="26507" spans="1:1">
      <c r="A26507" t="s">
        <v>27039</v>
      </c>
    </row>
    <row r="26508" spans="1:1">
      <c r="A26508" t="s">
        <v>27040</v>
      </c>
    </row>
    <row r="26509" spans="1:1">
      <c r="A26509" t="s">
        <v>27041</v>
      </c>
    </row>
    <row r="26510" spans="1:1">
      <c r="A26510" t="s">
        <v>27042</v>
      </c>
    </row>
    <row r="26511" spans="1:1">
      <c r="A26511" t="s">
        <v>27043</v>
      </c>
    </row>
    <row r="26512" spans="1:1">
      <c r="A26512" t="s">
        <v>27044</v>
      </c>
    </row>
    <row r="26513" spans="1:1">
      <c r="A26513" t="s">
        <v>27045</v>
      </c>
    </row>
    <row r="26514" spans="1:1">
      <c r="A26514" t="s">
        <v>27046</v>
      </c>
    </row>
    <row r="26515" spans="1:1">
      <c r="A26515" t="s">
        <v>27047</v>
      </c>
    </row>
    <row r="26516" spans="1:1">
      <c r="A26516" t="s">
        <v>27048</v>
      </c>
    </row>
    <row r="26517" spans="1:1">
      <c r="A26517" t="s">
        <v>27049</v>
      </c>
    </row>
    <row r="26518" spans="1:1">
      <c r="A26518" t="s">
        <v>27050</v>
      </c>
    </row>
    <row r="26519" spans="1:1">
      <c r="A26519" t="s">
        <v>27051</v>
      </c>
    </row>
    <row r="26520" spans="1:1">
      <c r="A26520" t="s">
        <v>27052</v>
      </c>
    </row>
    <row r="26521" spans="1:1">
      <c r="A26521" t="s">
        <v>27053</v>
      </c>
    </row>
    <row r="26522" spans="1:1">
      <c r="A26522" t="s">
        <v>27054</v>
      </c>
    </row>
    <row r="26523" spans="1:1">
      <c r="A26523" t="s">
        <v>27055</v>
      </c>
    </row>
    <row r="26524" spans="1:1">
      <c r="A26524" t="s">
        <v>27056</v>
      </c>
    </row>
    <row r="26525" spans="1:1">
      <c r="A26525" t="s">
        <v>27057</v>
      </c>
    </row>
    <row r="26526" spans="1:1">
      <c r="A26526" t="s">
        <v>27058</v>
      </c>
    </row>
    <row r="26527" spans="1:1">
      <c r="A26527" t="s">
        <v>27059</v>
      </c>
    </row>
    <row r="26528" spans="1:1">
      <c r="A26528" t="s">
        <v>27060</v>
      </c>
    </row>
    <row r="26529" spans="1:1">
      <c r="A26529" t="s">
        <v>27061</v>
      </c>
    </row>
    <row r="26530" spans="1:1">
      <c r="A26530" t="s">
        <v>27062</v>
      </c>
    </row>
    <row r="26531" spans="1:1">
      <c r="A26531" t="s">
        <v>27063</v>
      </c>
    </row>
    <row r="26532" spans="1:1">
      <c r="A26532" t="s">
        <v>27064</v>
      </c>
    </row>
    <row r="26533" spans="1:1">
      <c r="A26533" t="s">
        <v>27065</v>
      </c>
    </row>
    <row r="26534" spans="1:1">
      <c r="A26534" t="s">
        <v>27066</v>
      </c>
    </row>
    <row r="26535" spans="1:1">
      <c r="A26535" t="s">
        <v>27067</v>
      </c>
    </row>
    <row r="26536" spans="1:1">
      <c r="A26536" t="s">
        <v>27068</v>
      </c>
    </row>
    <row r="26537" spans="1:1">
      <c r="A26537" t="s">
        <v>27069</v>
      </c>
    </row>
    <row r="26538" spans="1:1">
      <c r="A26538" t="s">
        <v>27070</v>
      </c>
    </row>
    <row r="26539" spans="1:1">
      <c r="A26539" t="s">
        <v>27071</v>
      </c>
    </row>
    <row r="26540" spans="1:1">
      <c r="A26540" t="s">
        <v>27072</v>
      </c>
    </row>
    <row r="26541" spans="1:1">
      <c r="A26541" t="s">
        <v>27073</v>
      </c>
    </row>
    <row r="26542" spans="1:1">
      <c r="A26542" t="s">
        <v>27074</v>
      </c>
    </row>
    <row r="26543" spans="1:1">
      <c r="A26543" t="s">
        <v>27075</v>
      </c>
    </row>
    <row r="26544" spans="1:1">
      <c r="A26544" t="s">
        <v>27076</v>
      </c>
    </row>
    <row r="26545" spans="1:1">
      <c r="A26545" t="s">
        <v>27077</v>
      </c>
    </row>
    <row r="26546" spans="1:1">
      <c r="A26546" t="s">
        <v>27078</v>
      </c>
    </row>
    <row r="26547" spans="1:1">
      <c r="A26547" t="s">
        <v>27079</v>
      </c>
    </row>
    <row r="26548" spans="1:1">
      <c r="A26548" t="s">
        <v>27080</v>
      </c>
    </row>
    <row r="26549" spans="1:1">
      <c r="A26549" t="s">
        <v>27081</v>
      </c>
    </row>
    <row r="26550" spans="1:1">
      <c r="A26550" t="s">
        <v>27082</v>
      </c>
    </row>
    <row r="26551" spans="1:1">
      <c r="A26551" t="s">
        <v>27083</v>
      </c>
    </row>
    <row r="26552" spans="1:1">
      <c r="A26552" t="s">
        <v>27084</v>
      </c>
    </row>
    <row r="26553" spans="1:1">
      <c r="A26553" t="s">
        <v>27085</v>
      </c>
    </row>
    <row r="26554" spans="1:1">
      <c r="A26554" t="s">
        <v>27086</v>
      </c>
    </row>
    <row r="26555" spans="1:1">
      <c r="A26555" t="s">
        <v>27087</v>
      </c>
    </row>
    <row r="26556" spans="1:1">
      <c r="A26556" t="s">
        <v>27088</v>
      </c>
    </row>
    <row r="26557" spans="1:1">
      <c r="A26557" t="s">
        <v>27089</v>
      </c>
    </row>
    <row r="26558" spans="1:1">
      <c r="A26558" t="s">
        <v>27090</v>
      </c>
    </row>
    <row r="26559" spans="1:1">
      <c r="A26559" t="s">
        <v>27091</v>
      </c>
    </row>
    <row r="26560" spans="1:1">
      <c r="A26560" t="s">
        <v>27092</v>
      </c>
    </row>
    <row r="26561" spans="1:1">
      <c r="A26561" t="s">
        <v>27093</v>
      </c>
    </row>
    <row r="26562" spans="1:1">
      <c r="A26562" t="s">
        <v>27094</v>
      </c>
    </row>
    <row r="26563" spans="1:1">
      <c r="A26563" t="s">
        <v>27095</v>
      </c>
    </row>
    <row r="26564" spans="1:1">
      <c r="A26564" t="s">
        <v>27096</v>
      </c>
    </row>
    <row r="26565" spans="1:1">
      <c r="A26565" t="s">
        <v>27097</v>
      </c>
    </row>
    <row r="26566" spans="1:1">
      <c r="A26566" t="s">
        <v>27098</v>
      </c>
    </row>
    <row r="26567" spans="1:1">
      <c r="A26567" t="s">
        <v>27099</v>
      </c>
    </row>
    <row r="26568" spans="1:1">
      <c r="A26568" t="s">
        <v>27100</v>
      </c>
    </row>
    <row r="26569" spans="1:1">
      <c r="A26569" t="s">
        <v>27101</v>
      </c>
    </row>
    <row r="26570" spans="1:1">
      <c r="A26570" t="s">
        <v>27102</v>
      </c>
    </row>
    <row r="26571" spans="1:1">
      <c r="A26571" t="s">
        <v>27103</v>
      </c>
    </row>
    <row r="26572" spans="1:1">
      <c r="A26572" t="s">
        <v>27104</v>
      </c>
    </row>
    <row r="26573" spans="1:1">
      <c r="A26573" t="s">
        <v>27105</v>
      </c>
    </row>
    <row r="26574" spans="1:1">
      <c r="A26574" t="s">
        <v>27106</v>
      </c>
    </row>
    <row r="26575" spans="1:1">
      <c r="A26575" t="s">
        <v>27107</v>
      </c>
    </row>
    <row r="26576" spans="1:1">
      <c r="A26576" t="s">
        <v>27108</v>
      </c>
    </row>
    <row r="26577" spans="1:1">
      <c r="A26577" t="s">
        <v>27109</v>
      </c>
    </row>
    <row r="26578" spans="1:1">
      <c r="A26578" t="s">
        <v>27110</v>
      </c>
    </row>
    <row r="26579" spans="1:1">
      <c r="A26579" t="s">
        <v>27111</v>
      </c>
    </row>
    <row r="26580" spans="1:1">
      <c r="A26580" t="s">
        <v>27112</v>
      </c>
    </row>
    <row r="26581" spans="1:1">
      <c r="A26581" t="s">
        <v>27113</v>
      </c>
    </row>
    <row r="26582" spans="1:1">
      <c r="A26582" t="s">
        <v>27114</v>
      </c>
    </row>
    <row r="26583" spans="1:1">
      <c r="A26583" t="s">
        <v>27115</v>
      </c>
    </row>
    <row r="26584" spans="1:1">
      <c r="A26584" t="s">
        <v>27116</v>
      </c>
    </row>
    <row r="26585" spans="1:1">
      <c r="A26585" t="s">
        <v>27117</v>
      </c>
    </row>
    <row r="26586" spans="1:1">
      <c r="A26586" t="s">
        <v>27118</v>
      </c>
    </row>
    <row r="26587" spans="1:1">
      <c r="A26587" t="s">
        <v>27119</v>
      </c>
    </row>
    <row r="26588" spans="1:1">
      <c r="A26588" t="s">
        <v>27120</v>
      </c>
    </row>
    <row r="26589" spans="1:1">
      <c r="A26589" t="s">
        <v>27121</v>
      </c>
    </row>
    <row r="26590" spans="1:1">
      <c r="A26590" t="s">
        <v>27122</v>
      </c>
    </row>
    <row r="26591" spans="1:1">
      <c r="A26591" t="s">
        <v>27123</v>
      </c>
    </row>
    <row r="26592" spans="1:1">
      <c r="A26592" t="s">
        <v>27124</v>
      </c>
    </row>
    <row r="26593" spans="1:1">
      <c r="A26593" t="s">
        <v>27125</v>
      </c>
    </row>
    <row r="26594" spans="1:1">
      <c r="A26594" t="s">
        <v>27126</v>
      </c>
    </row>
    <row r="26595" spans="1:1">
      <c r="A26595" t="s">
        <v>27127</v>
      </c>
    </row>
    <row r="26596" spans="1:1">
      <c r="A26596" t="s">
        <v>27128</v>
      </c>
    </row>
    <row r="26597" spans="1:1">
      <c r="A26597" t="s">
        <v>27129</v>
      </c>
    </row>
    <row r="26598" spans="1:1">
      <c r="A26598" t="s">
        <v>27130</v>
      </c>
    </row>
    <row r="26599" spans="1:1">
      <c r="A26599" t="s">
        <v>27131</v>
      </c>
    </row>
    <row r="26600" spans="1:1">
      <c r="A26600" t="s">
        <v>27132</v>
      </c>
    </row>
    <row r="26601" spans="1:1">
      <c r="A26601" t="s">
        <v>27133</v>
      </c>
    </row>
    <row r="26602" spans="1:1">
      <c r="A26602" t="s">
        <v>27134</v>
      </c>
    </row>
    <row r="26603" spans="1:1">
      <c r="A26603" t="s">
        <v>27135</v>
      </c>
    </row>
    <row r="26604" spans="1:1">
      <c r="A26604" t="s">
        <v>27136</v>
      </c>
    </row>
    <row r="26605" spans="1:1">
      <c r="A26605" t="s">
        <v>27137</v>
      </c>
    </row>
    <row r="26606" spans="1:1">
      <c r="A26606" t="s">
        <v>27138</v>
      </c>
    </row>
    <row r="26607" spans="1:1">
      <c r="A26607" t="s">
        <v>27139</v>
      </c>
    </row>
    <row r="26608" spans="1:1">
      <c r="A26608" t="s">
        <v>27140</v>
      </c>
    </row>
    <row r="26609" spans="1:1">
      <c r="A26609" t="s">
        <v>27141</v>
      </c>
    </row>
    <row r="26610" spans="1:1">
      <c r="A26610" t="s">
        <v>27142</v>
      </c>
    </row>
    <row r="26611" spans="1:1">
      <c r="A26611" t="s">
        <v>27143</v>
      </c>
    </row>
    <row r="26612" spans="1:1">
      <c r="A26612" t="s">
        <v>27144</v>
      </c>
    </row>
    <row r="26613" spans="1:1">
      <c r="A26613" t="s">
        <v>27145</v>
      </c>
    </row>
    <row r="26614" spans="1:1">
      <c r="A26614" t="s">
        <v>27146</v>
      </c>
    </row>
    <row r="26615" spans="1:1">
      <c r="A26615" t="s">
        <v>27147</v>
      </c>
    </row>
    <row r="26616" spans="1:1">
      <c r="A26616" t="s">
        <v>27148</v>
      </c>
    </row>
    <row r="26617" spans="1:1">
      <c r="A26617" t="s">
        <v>27149</v>
      </c>
    </row>
    <row r="26618" spans="1:1">
      <c r="A26618" t="s">
        <v>27150</v>
      </c>
    </row>
    <row r="26619" spans="1:1">
      <c r="A26619" t="s">
        <v>27151</v>
      </c>
    </row>
    <row r="26620" spans="1:1">
      <c r="A26620" t="s">
        <v>27152</v>
      </c>
    </row>
    <row r="26621" spans="1:1">
      <c r="A26621" t="s">
        <v>27153</v>
      </c>
    </row>
    <row r="26622" spans="1:1">
      <c r="A26622" t="s">
        <v>27154</v>
      </c>
    </row>
    <row r="26623" spans="1:1">
      <c r="A26623" t="s">
        <v>27155</v>
      </c>
    </row>
    <row r="26624" spans="1:1">
      <c r="A26624" t="s">
        <v>27156</v>
      </c>
    </row>
    <row r="26625" spans="1:1">
      <c r="A26625" t="s">
        <v>27157</v>
      </c>
    </row>
    <row r="26626" spans="1:1">
      <c r="A26626" t="s">
        <v>27158</v>
      </c>
    </row>
    <row r="26627" spans="1:1">
      <c r="A26627" t="s">
        <v>27159</v>
      </c>
    </row>
    <row r="26628" spans="1:1">
      <c r="A26628" t="s">
        <v>27160</v>
      </c>
    </row>
    <row r="26629" spans="1:1">
      <c r="A26629" t="s">
        <v>27161</v>
      </c>
    </row>
    <row r="26630" spans="1:1">
      <c r="A26630" t="s">
        <v>27162</v>
      </c>
    </row>
    <row r="26631" spans="1:1">
      <c r="A26631" t="s">
        <v>27163</v>
      </c>
    </row>
    <row r="26632" spans="1:1">
      <c r="A26632" t="s">
        <v>27164</v>
      </c>
    </row>
    <row r="26633" spans="1:1">
      <c r="A26633" t="s">
        <v>27165</v>
      </c>
    </row>
    <row r="26634" spans="1:1">
      <c r="A26634" t="s">
        <v>27166</v>
      </c>
    </row>
    <row r="26635" spans="1:1">
      <c r="A26635" t="s">
        <v>27167</v>
      </c>
    </row>
    <row r="26636" spans="1:1">
      <c r="A26636" t="s">
        <v>27168</v>
      </c>
    </row>
    <row r="26637" spans="1:1">
      <c r="A26637" t="s">
        <v>27169</v>
      </c>
    </row>
    <row r="26638" spans="1:1">
      <c r="A26638" t="s">
        <v>27170</v>
      </c>
    </row>
    <row r="26639" spans="1:1">
      <c r="A26639" t="s">
        <v>27171</v>
      </c>
    </row>
    <row r="26640" spans="1:1">
      <c r="A26640" t="s">
        <v>27172</v>
      </c>
    </row>
    <row r="26641" spans="1:1">
      <c r="A26641" t="s">
        <v>27173</v>
      </c>
    </row>
    <row r="26642" spans="1:1">
      <c r="A26642" t="s">
        <v>27174</v>
      </c>
    </row>
    <row r="26643" spans="1:1">
      <c r="A26643" t="s">
        <v>27175</v>
      </c>
    </row>
    <row r="26644" spans="1:1">
      <c r="A26644" t="s">
        <v>27176</v>
      </c>
    </row>
    <row r="26645" spans="1:1">
      <c r="A26645" t="s">
        <v>27177</v>
      </c>
    </row>
    <row r="26646" spans="1:1">
      <c r="A26646" t="s">
        <v>27178</v>
      </c>
    </row>
    <row r="26647" spans="1:1">
      <c r="A26647" t="s">
        <v>27179</v>
      </c>
    </row>
    <row r="26648" spans="1:1">
      <c r="A26648" t="s">
        <v>27180</v>
      </c>
    </row>
    <row r="26649" spans="1:1">
      <c r="A26649" t="s">
        <v>27181</v>
      </c>
    </row>
    <row r="26650" spans="1:1">
      <c r="A26650" t="s">
        <v>27182</v>
      </c>
    </row>
    <row r="26651" spans="1:1">
      <c r="A26651" t="s">
        <v>27183</v>
      </c>
    </row>
    <row r="26652" spans="1:1">
      <c r="A26652" t="s">
        <v>27184</v>
      </c>
    </row>
    <row r="26653" spans="1:1">
      <c r="A26653" t="s">
        <v>27185</v>
      </c>
    </row>
    <row r="26654" spans="1:1">
      <c r="A26654" t="s">
        <v>27186</v>
      </c>
    </row>
    <row r="26655" spans="1:1">
      <c r="A26655" t="s">
        <v>27187</v>
      </c>
    </row>
    <row r="26656" spans="1:1">
      <c r="A26656" t="s">
        <v>27188</v>
      </c>
    </row>
    <row r="26657" spans="1:1">
      <c r="A26657" t="s">
        <v>27189</v>
      </c>
    </row>
    <row r="26658" spans="1:1">
      <c r="A26658" t="s">
        <v>27190</v>
      </c>
    </row>
    <row r="26659" spans="1:1">
      <c r="A26659" t="s">
        <v>27191</v>
      </c>
    </row>
    <row r="26660" spans="1:1">
      <c r="A26660" t="s">
        <v>27192</v>
      </c>
    </row>
    <row r="26661" spans="1:1">
      <c r="A26661" t="s">
        <v>27193</v>
      </c>
    </row>
    <row r="26662" spans="1:1">
      <c r="A26662" t="s">
        <v>27194</v>
      </c>
    </row>
    <row r="26663" spans="1:1">
      <c r="A26663" t="s">
        <v>27195</v>
      </c>
    </row>
    <row r="26664" spans="1:1">
      <c r="A26664" t="s">
        <v>27196</v>
      </c>
    </row>
    <row r="26665" spans="1:1">
      <c r="A26665" t="s">
        <v>27197</v>
      </c>
    </row>
    <row r="26666" spans="1:1">
      <c r="A26666" t="s">
        <v>27198</v>
      </c>
    </row>
    <row r="26667" spans="1:1">
      <c r="A26667" t="s">
        <v>27199</v>
      </c>
    </row>
    <row r="26668" spans="1:1">
      <c r="A26668" t="s">
        <v>27200</v>
      </c>
    </row>
    <row r="26669" spans="1:1">
      <c r="A26669" t="s">
        <v>27201</v>
      </c>
    </row>
    <row r="26670" spans="1:1">
      <c r="A26670" t="s">
        <v>27202</v>
      </c>
    </row>
    <row r="26671" spans="1:1">
      <c r="A26671" t="s">
        <v>27203</v>
      </c>
    </row>
    <row r="26672" spans="1:1">
      <c r="A26672" t="s">
        <v>27204</v>
      </c>
    </row>
    <row r="26673" spans="1:1">
      <c r="A26673" t="s">
        <v>27205</v>
      </c>
    </row>
    <row r="26674" spans="1:1">
      <c r="A26674" t="s">
        <v>27206</v>
      </c>
    </row>
    <row r="26675" spans="1:1">
      <c r="A26675" t="s">
        <v>27207</v>
      </c>
    </row>
    <row r="26676" spans="1:1">
      <c r="A26676" t="s">
        <v>27208</v>
      </c>
    </row>
    <row r="26677" spans="1:1">
      <c r="A26677" t="s">
        <v>27209</v>
      </c>
    </row>
    <row r="26678" spans="1:1">
      <c r="A26678" t="s">
        <v>27210</v>
      </c>
    </row>
    <row r="26679" spans="1:1">
      <c r="A26679" t="s">
        <v>27211</v>
      </c>
    </row>
    <row r="26680" spans="1:1">
      <c r="A26680" t="s">
        <v>27212</v>
      </c>
    </row>
    <row r="26681" spans="1:1">
      <c r="A26681" t="s">
        <v>27213</v>
      </c>
    </row>
    <row r="26682" spans="1:1">
      <c r="A26682" t="s">
        <v>27214</v>
      </c>
    </row>
    <row r="26683" spans="1:1">
      <c r="A26683" t="s">
        <v>27215</v>
      </c>
    </row>
    <row r="26684" spans="1:1">
      <c r="A26684" t="s">
        <v>27216</v>
      </c>
    </row>
    <row r="26685" spans="1:1">
      <c r="A26685" t="s">
        <v>27217</v>
      </c>
    </row>
    <row r="26686" spans="1:1">
      <c r="A26686" t="s">
        <v>27218</v>
      </c>
    </row>
    <row r="26687" spans="1:1">
      <c r="A26687" t="s">
        <v>27219</v>
      </c>
    </row>
    <row r="26688" spans="1:1">
      <c r="A26688" t="s">
        <v>27220</v>
      </c>
    </row>
    <row r="26689" spans="1:1">
      <c r="A26689" t="s">
        <v>27221</v>
      </c>
    </row>
    <row r="26690" spans="1:1">
      <c r="A26690" t="s">
        <v>27222</v>
      </c>
    </row>
    <row r="26691" spans="1:1">
      <c r="A26691" t="s">
        <v>27223</v>
      </c>
    </row>
    <row r="26692" spans="1:1">
      <c r="A26692" t="s">
        <v>27224</v>
      </c>
    </row>
    <row r="26693" spans="1:1">
      <c r="A26693" t="s">
        <v>27225</v>
      </c>
    </row>
    <row r="26694" spans="1:1">
      <c r="A26694" t="s">
        <v>27226</v>
      </c>
    </row>
    <row r="26695" spans="1:1">
      <c r="A26695" t="s">
        <v>27227</v>
      </c>
    </row>
    <row r="26696" spans="1:1">
      <c r="A26696" t="s">
        <v>27228</v>
      </c>
    </row>
    <row r="26697" spans="1:1">
      <c r="A26697" t="s">
        <v>27229</v>
      </c>
    </row>
    <row r="26698" spans="1:1">
      <c r="A26698" t="s">
        <v>27230</v>
      </c>
    </row>
    <row r="26699" spans="1:1">
      <c r="A26699" t="s">
        <v>27231</v>
      </c>
    </row>
    <row r="26700" spans="1:1">
      <c r="A26700" t="s">
        <v>27232</v>
      </c>
    </row>
    <row r="26701" spans="1:1">
      <c r="A26701" t="s">
        <v>27233</v>
      </c>
    </row>
    <row r="26702" spans="1:1">
      <c r="A26702" t="s">
        <v>27234</v>
      </c>
    </row>
    <row r="26703" spans="1:1">
      <c r="A26703" t="s">
        <v>27235</v>
      </c>
    </row>
    <row r="26704" spans="1:1">
      <c r="A26704" t="s">
        <v>27236</v>
      </c>
    </row>
    <row r="26705" spans="1:1">
      <c r="A26705" t="s">
        <v>27237</v>
      </c>
    </row>
    <row r="26706" spans="1:1">
      <c r="A26706" t="s">
        <v>27238</v>
      </c>
    </row>
    <row r="26707" spans="1:1">
      <c r="A26707" t="s">
        <v>27239</v>
      </c>
    </row>
    <row r="26708" spans="1:1">
      <c r="A26708" t="s">
        <v>27240</v>
      </c>
    </row>
    <row r="26709" spans="1:1">
      <c r="A26709" t="s">
        <v>27241</v>
      </c>
    </row>
    <row r="26710" spans="1:1">
      <c r="A26710" t="s">
        <v>27242</v>
      </c>
    </row>
    <row r="26711" spans="1:1">
      <c r="A26711" t="s">
        <v>27243</v>
      </c>
    </row>
    <row r="26712" spans="1:1">
      <c r="A26712" t="s">
        <v>27244</v>
      </c>
    </row>
    <row r="26713" spans="1:1">
      <c r="A26713" t="s">
        <v>27245</v>
      </c>
    </row>
    <row r="26714" spans="1:1">
      <c r="A26714" t="s">
        <v>27246</v>
      </c>
    </row>
    <row r="26715" spans="1:1">
      <c r="A26715" t="s">
        <v>27247</v>
      </c>
    </row>
    <row r="26716" spans="1:1">
      <c r="A26716" t="s">
        <v>27248</v>
      </c>
    </row>
    <row r="26717" spans="1:1">
      <c r="A26717" t="s">
        <v>27249</v>
      </c>
    </row>
    <row r="26718" spans="1:1">
      <c r="A26718" t="s">
        <v>27250</v>
      </c>
    </row>
    <row r="26719" spans="1:1">
      <c r="A26719" t="s">
        <v>27251</v>
      </c>
    </row>
    <row r="26720" spans="1:1">
      <c r="A26720" t="s">
        <v>27252</v>
      </c>
    </row>
    <row r="26721" spans="1:1">
      <c r="A26721" t="s">
        <v>27253</v>
      </c>
    </row>
    <row r="26722" spans="1:1">
      <c r="A26722" t="s">
        <v>27254</v>
      </c>
    </row>
    <row r="26723" spans="1:1">
      <c r="A26723" t="s">
        <v>27255</v>
      </c>
    </row>
    <row r="26724" spans="1:1">
      <c r="A26724" t="s">
        <v>27256</v>
      </c>
    </row>
    <row r="26725" spans="1:1">
      <c r="A26725" t="s">
        <v>27257</v>
      </c>
    </row>
    <row r="26726" spans="1:1">
      <c r="A26726" t="s">
        <v>27258</v>
      </c>
    </row>
    <row r="26727" spans="1:1">
      <c r="A26727" t="s">
        <v>27259</v>
      </c>
    </row>
    <row r="26728" spans="1:1">
      <c r="A26728" t="s">
        <v>27260</v>
      </c>
    </row>
    <row r="26729" spans="1:1">
      <c r="A26729" t="s">
        <v>27261</v>
      </c>
    </row>
    <row r="26730" spans="1:1">
      <c r="A26730" t="s">
        <v>27262</v>
      </c>
    </row>
    <row r="26731" spans="1:1">
      <c r="A26731" t="s">
        <v>27263</v>
      </c>
    </row>
    <row r="26732" spans="1:1">
      <c r="A26732" t="s">
        <v>27264</v>
      </c>
    </row>
    <row r="26733" spans="1:1">
      <c r="A26733" t="s">
        <v>27265</v>
      </c>
    </row>
    <row r="26734" spans="1:1">
      <c r="A26734" t="s">
        <v>27266</v>
      </c>
    </row>
    <row r="26735" spans="1:1">
      <c r="A26735" t="s">
        <v>27267</v>
      </c>
    </row>
    <row r="26736" spans="1:1">
      <c r="A26736" t="s">
        <v>27268</v>
      </c>
    </row>
    <row r="26737" spans="1:1">
      <c r="A26737" t="s">
        <v>27269</v>
      </c>
    </row>
    <row r="26738" spans="1:1">
      <c r="A26738" t="s">
        <v>27270</v>
      </c>
    </row>
    <row r="26739" spans="1:1">
      <c r="A26739" t="s">
        <v>27271</v>
      </c>
    </row>
    <row r="26740" spans="1:1">
      <c r="A26740" t="s">
        <v>27272</v>
      </c>
    </row>
    <row r="26741" spans="1:1">
      <c r="A26741" t="s">
        <v>27273</v>
      </c>
    </row>
    <row r="26742" spans="1:1">
      <c r="A26742" t="s">
        <v>27274</v>
      </c>
    </row>
    <row r="26743" spans="1:1">
      <c r="A26743" t="s">
        <v>27275</v>
      </c>
    </row>
    <row r="26744" spans="1:1">
      <c r="A26744" t="s">
        <v>27276</v>
      </c>
    </row>
    <row r="26745" spans="1:1">
      <c r="A26745" t="s">
        <v>27277</v>
      </c>
    </row>
    <row r="26746" spans="1:1">
      <c r="A26746" t="s">
        <v>27278</v>
      </c>
    </row>
    <row r="26747" spans="1:1">
      <c r="A26747" t="s">
        <v>27279</v>
      </c>
    </row>
    <row r="26748" spans="1:1">
      <c r="A26748" t="s">
        <v>27280</v>
      </c>
    </row>
    <row r="26749" spans="1:1">
      <c r="A26749" t="s">
        <v>27281</v>
      </c>
    </row>
    <row r="26750" spans="1:1">
      <c r="A26750" t="s">
        <v>27282</v>
      </c>
    </row>
    <row r="26751" spans="1:1">
      <c r="A26751" t="s">
        <v>27283</v>
      </c>
    </row>
    <row r="26752" spans="1:1">
      <c r="A26752" t="s">
        <v>27284</v>
      </c>
    </row>
    <row r="26753" spans="1:1">
      <c r="A26753" t="s">
        <v>27285</v>
      </c>
    </row>
    <row r="26754" spans="1:1">
      <c r="A26754" t="s">
        <v>27286</v>
      </c>
    </row>
    <row r="26755" spans="1:1">
      <c r="A26755" t="s">
        <v>27287</v>
      </c>
    </row>
    <row r="26756" spans="1:1">
      <c r="A26756" t="s">
        <v>27288</v>
      </c>
    </row>
    <row r="26757" spans="1:1">
      <c r="A26757" t="s">
        <v>27289</v>
      </c>
    </row>
    <row r="26758" spans="1:1">
      <c r="A26758" t="s">
        <v>27290</v>
      </c>
    </row>
    <row r="26759" spans="1:1">
      <c r="A26759" t="s">
        <v>27291</v>
      </c>
    </row>
    <row r="26760" spans="1:1">
      <c r="A26760" t="s">
        <v>27292</v>
      </c>
    </row>
    <row r="26761" spans="1:1">
      <c r="A26761" t="s">
        <v>27293</v>
      </c>
    </row>
    <row r="26762" spans="1:1">
      <c r="A26762" t="s">
        <v>27294</v>
      </c>
    </row>
    <row r="26763" spans="1:1">
      <c r="A26763" t="s">
        <v>27295</v>
      </c>
    </row>
    <row r="26764" spans="1:1">
      <c r="A26764" t="s">
        <v>27296</v>
      </c>
    </row>
    <row r="26765" spans="1:1">
      <c r="A26765" t="s">
        <v>27297</v>
      </c>
    </row>
    <row r="26766" spans="1:1">
      <c r="A26766" t="s">
        <v>27298</v>
      </c>
    </row>
    <row r="26767" spans="1:1">
      <c r="A26767" t="s">
        <v>27299</v>
      </c>
    </row>
    <row r="26768" spans="1:1">
      <c r="A26768" t="s">
        <v>27300</v>
      </c>
    </row>
    <row r="26769" spans="1:1">
      <c r="A26769" t="s">
        <v>27301</v>
      </c>
    </row>
    <row r="26770" spans="1:1">
      <c r="A26770" t="s">
        <v>27302</v>
      </c>
    </row>
    <row r="26771" spans="1:1">
      <c r="A26771" t="s">
        <v>27303</v>
      </c>
    </row>
    <row r="26772" spans="1:1">
      <c r="A26772" t="s">
        <v>27304</v>
      </c>
    </row>
    <row r="26773" spans="1:1">
      <c r="A26773" t="s">
        <v>27305</v>
      </c>
    </row>
    <row r="26774" spans="1:1">
      <c r="A26774" t="s">
        <v>27306</v>
      </c>
    </row>
    <row r="26775" spans="1:1">
      <c r="A26775" t="s">
        <v>27307</v>
      </c>
    </row>
    <row r="26776" spans="1:1">
      <c r="A26776" t="s">
        <v>27308</v>
      </c>
    </row>
    <row r="26777" spans="1:1">
      <c r="A26777" t="s">
        <v>27309</v>
      </c>
    </row>
    <row r="26778" spans="1:1">
      <c r="A26778" t="s">
        <v>27310</v>
      </c>
    </row>
    <row r="26779" spans="1:1">
      <c r="A26779" t="s">
        <v>27311</v>
      </c>
    </row>
    <row r="26780" spans="1:1">
      <c r="A26780" t="s">
        <v>27312</v>
      </c>
    </row>
    <row r="26781" spans="1:1">
      <c r="A26781" t="s">
        <v>27313</v>
      </c>
    </row>
    <row r="26782" spans="1:1">
      <c r="A26782" t="s">
        <v>27314</v>
      </c>
    </row>
    <row r="26783" spans="1:1">
      <c r="A26783" t="s">
        <v>27315</v>
      </c>
    </row>
    <row r="26784" spans="1:1">
      <c r="A26784" t="s">
        <v>27316</v>
      </c>
    </row>
    <row r="26785" spans="1:1">
      <c r="A26785" t="s">
        <v>27317</v>
      </c>
    </row>
    <row r="26786" spans="1:1">
      <c r="A26786" t="s">
        <v>27318</v>
      </c>
    </row>
    <row r="26787" spans="1:1">
      <c r="A26787" t="s">
        <v>27319</v>
      </c>
    </row>
    <row r="26788" spans="1:1">
      <c r="A26788" t="s">
        <v>27320</v>
      </c>
    </row>
    <row r="26789" spans="1:1">
      <c r="A26789" t="s">
        <v>27321</v>
      </c>
    </row>
    <row r="26790" spans="1:1">
      <c r="A26790" t="s">
        <v>27322</v>
      </c>
    </row>
    <row r="26791" spans="1:1">
      <c r="A26791" t="s">
        <v>27323</v>
      </c>
    </row>
    <row r="26792" spans="1:1">
      <c r="A26792" t="s">
        <v>27324</v>
      </c>
    </row>
    <row r="26793" spans="1:1">
      <c r="A26793" t="s">
        <v>27325</v>
      </c>
    </row>
    <row r="26794" spans="1:1">
      <c r="A26794" t="s">
        <v>27326</v>
      </c>
    </row>
    <row r="26795" spans="1:1">
      <c r="A26795" t="s">
        <v>27327</v>
      </c>
    </row>
    <row r="26796" spans="1:1">
      <c r="A26796" t="s">
        <v>27328</v>
      </c>
    </row>
    <row r="26797" spans="1:1">
      <c r="A26797" t="s">
        <v>27329</v>
      </c>
    </row>
    <row r="26798" spans="1:1">
      <c r="A26798" t="s">
        <v>27330</v>
      </c>
    </row>
    <row r="26799" spans="1:1">
      <c r="A26799" t="s">
        <v>27331</v>
      </c>
    </row>
    <row r="26800" spans="1:1">
      <c r="A26800" t="s">
        <v>27332</v>
      </c>
    </row>
    <row r="26801" spans="1:1">
      <c r="A26801" t="s">
        <v>27333</v>
      </c>
    </row>
    <row r="26802" spans="1:1">
      <c r="A26802" t="s">
        <v>27334</v>
      </c>
    </row>
    <row r="26803" spans="1:1">
      <c r="A26803" t="s">
        <v>27335</v>
      </c>
    </row>
    <row r="26804" spans="1:1">
      <c r="A26804" t="s">
        <v>27336</v>
      </c>
    </row>
    <row r="26805" spans="1:1">
      <c r="A26805" t="s">
        <v>27337</v>
      </c>
    </row>
    <row r="26806" spans="1:1">
      <c r="A26806" t="s">
        <v>27338</v>
      </c>
    </row>
    <row r="26807" spans="1:1">
      <c r="A26807" t="s">
        <v>27339</v>
      </c>
    </row>
    <row r="26808" spans="1:1">
      <c r="A26808" t="s">
        <v>27340</v>
      </c>
    </row>
    <row r="26809" spans="1:1">
      <c r="A26809" t="s">
        <v>27341</v>
      </c>
    </row>
    <row r="26810" spans="1:1">
      <c r="A26810" t="s">
        <v>27342</v>
      </c>
    </row>
    <row r="26811" spans="1:1">
      <c r="A26811" t="s">
        <v>27343</v>
      </c>
    </row>
    <row r="26812" spans="1:1">
      <c r="A26812" t="s">
        <v>27344</v>
      </c>
    </row>
    <row r="26813" spans="1:1">
      <c r="A26813" t="s">
        <v>27345</v>
      </c>
    </row>
    <row r="26814" spans="1:1">
      <c r="A26814" t="s">
        <v>27346</v>
      </c>
    </row>
    <row r="26815" spans="1:1">
      <c r="A26815" t="s">
        <v>27347</v>
      </c>
    </row>
    <row r="26816" spans="1:1">
      <c r="A26816" t="s">
        <v>27348</v>
      </c>
    </row>
    <row r="26817" spans="1:1">
      <c r="A26817" t="s">
        <v>27349</v>
      </c>
    </row>
    <row r="26818" spans="1:1">
      <c r="A26818" t="s">
        <v>27350</v>
      </c>
    </row>
    <row r="26819" spans="1:1">
      <c r="A26819" t="s">
        <v>27351</v>
      </c>
    </row>
    <row r="26820" spans="1:1">
      <c r="A26820" t="s">
        <v>27352</v>
      </c>
    </row>
    <row r="26821" spans="1:1">
      <c r="A26821" t="s">
        <v>27353</v>
      </c>
    </row>
    <row r="26822" spans="1:1">
      <c r="A26822" t="s">
        <v>27354</v>
      </c>
    </row>
    <row r="26823" spans="1:1">
      <c r="A26823" t="s">
        <v>27355</v>
      </c>
    </row>
    <row r="26824" spans="1:1">
      <c r="A26824" t="s">
        <v>27356</v>
      </c>
    </row>
    <row r="26825" spans="1:1">
      <c r="A26825" t="s">
        <v>27357</v>
      </c>
    </row>
    <row r="26826" spans="1:1">
      <c r="A26826" t="s">
        <v>27358</v>
      </c>
    </row>
    <row r="26827" spans="1:1">
      <c r="A26827" t="s">
        <v>27359</v>
      </c>
    </row>
    <row r="26828" spans="1:1">
      <c r="A26828" t="s">
        <v>27360</v>
      </c>
    </row>
    <row r="26829" spans="1:1">
      <c r="A26829" t="s">
        <v>27361</v>
      </c>
    </row>
    <row r="26830" spans="1:1">
      <c r="A26830" t="s">
        <v>27362</v>
      </c>
    </row>
    <row r="26831" spans="1:1">
      <c r="A26831" t="s">
        <v>27363</v>
      </c>
    </row>
    <row r="26832" spans="1:1">
      <c r="A26832" t="s">
        <v>27364</v>
      </c>
    </row>
    <row r="26833" spans="1:1">
      <c r="A26833" t="s">
        <v>27365</v>
      </c>
    </row>
    <row r="26834" spans="1:1">
      <c r="A26834" t="s">
        <v>27366</v>
      </c>
    </row>
    <row r="26835" spans="1:1">
      <c r="A26835" t="s">
        <v>27367</v>
      </c>
    </row>
    <row r="26836" spans="1:1">
      <c r="A26836" t="s">
        <v>27368</v>
      </c>
    </row>
    <row r="26837" spans="1:1">
      <c r="A26837" t="s">
        <v>27369</v>
      </c>
    </row>
    <row r="26838" spans="1:1">
      <c r="A26838" t="s">
        <v>27370</v>
      </c>
    </row>
    <row r="26839" spans="1:1">
      <c r="A26839" t="s">
        <v>27371</v>
      </c>
    </row>
    <row r="26840" spans="1:1">
      <c r="A26840" t="s">
        <v>27372</v>
      </c>
    </row>
    <row r="26841" spans="1:1">
      <c r="A26841" t="s">
        <v>27373</v>
      </c>
    </row>
    <row r="26842" spans="1:1">
      <c r="A26842" t="s">
        <v>27374</v>
      </c>
    </row>
    <row r="26843" spans="1:1">
      <c r="A26843" t="s">
        <v>27375</v>
      </c>
    </row>
    <row r="26844" spans="1:1">
      <c r="A26844" t="s">
        <v>27376</v>
      </c>
    </row>
    <row r="26845" spans="1:1">
      <c r="A26845" t="s">
        <v>27377</v>
      </c>
    </row>
    <row r="26846" spans="1:1">
      <c r="A26846" t="s">
        <v>27378</v>
      </c>
    </row>
    <row r="26847" spans="1:1">
      <c r="A26847" t="s">
        <v>27379</v>
      </c>
    </row>
    <row r="26848" spans="1:1">
      <c r="A26848" t="s">
        <v>27380</v>
      </c>
    </row>
    <row r="26849" spans="1:1">
      <c r="A26849" t="s">
        <v>27381</v>
      </c>
    </row>
    <row r="26850" spans="1:1">
      <c r="A26850" t="s">
        <v>27382</v>
      </c>
    </row>
    <row r="26851" spans="1:1">
      <c r="A26851" t="s">
        <v>27383</v>
      </c>
    </row>
    <row r="26852" spans="1:1">
      <c r="A26852" t="s">
        <v>27384</v>
      </c>
    </row>
    <row r="26853" spans="1:1">
      <c r="A26853" t="s">
        <v>27385</v>
      </c>
    </row>
    <row r="26854" spans="1:1">
      <c r="A26854" t="s">
        <v>27386</v>
      </c>
    </row>
    <row r="26855" spans="1:1">
      <c r="A26855" t="s">
        <v>27387</v>
      </c>
    </row>
    <row r="26856" spans="1:1">
      <c r="A26856" t="s">
        <v>27388</v>
      </c>
    </row>
    <row r="26857" spans="1:1">
      <c r="A26857" t="s">
        <v>27389</v>
      </c>
    </row>
    <row r="26858" spans="1:1">
      <c r="A26858" t="s">
        <v>27390</v>
      </c>
    </row>
    <row r="26859" spans="1:1">
      <c r="A26859" t="s">
        <v>27391</v>
      </c>
    </row>
    <row r="26860" spans="1:1">
      <c r="A26860" t="s">
        <v>27392</v>
      </c>
    </row>
    <row r="26861" spans="1:1">
      <c r="A26861" t="s">
        <v>27393</v>
      </c>
    </row>
    <row r="26862" spans="1:1">
      <c r="A26862" t="s">
        <v>27394</v>
      </c>
    </row>
    <row r="26863" spans="1:1">
      <c r="A26863" t="s">
        <v>27395</v>
      </c>
    </row>
    <row r="26864" spans="1:1">
      <c r="A26864" t="s">
        <v>27396</v>
      </c>
    </row>
    <row r="26865" spans="1:1">
      <c r="A26865" t="s">
        <v>27397</v>
      </c>
    </row>
    <row r="26866" spans="1:1">
      <c r="A26866" t="s">
        <v>27398</v>
      </c>
    </row>
    <row r="26867" spans="1:1">
      <c r="A26867" t="s">
        <v>27399</v>
      </c>
    </row>
    <row r="26868" spans="1:1">
      <c r="A26868" t="s">
        <v>27400</v>
      </c>
    </row>
    <row r="26869" spans="1:1">
      <c r="A26869" t="s">
        <v>27401</v>
      </c>
    </row>
    <row r="26870" spans="1:1">
      <c r="A26870" t="s">
        <v>27402</v>
      </c>
    </row>
    <row r="26871" spans="1:1">
      <c r="A26871" t="s">
        <v>27403</v>
      </c>
    </row>
    <row r="26872" spans="1:1">
      <c r="A26872" t="s">
        <v>27404</v>
      </c>
    </row>
    <row r="26873" spans="1:1">
      <c r="A26873" t="s">
        <v>27405</v>
      </c>
    </row>
    <row r="26874" spans="1:1">
      <c r="A26874" t="s">
        <v>27406</v>
      </c>
    </row>
    <row r="26875" spans="1:1">
      <c r="A26875" t="s">
        <v>27407</v>
      </c>
    </row>
    <row r="26876" spans="1:1">
      <c r="A26876" t="s">
        <v>27408</v>
      </c>
    </row>
    <row r="26877" spans="1:1">
      <c r="A26877" t="s">
        <v>27409</v>
      </c>
    </row>
    <row r="26878" spans="1:1">
      <c r="A26878" t="s">
        <v>27410</v>
      </c>
    </row>
    <row r="26879" spans="1:1">
      <c r="A26879" t="s">
        <v>27411</v>
      </c>
    </row>
    <row r="26880" spans="1:1">
      <c r="A26880" t="s">
        <v>27412</v>
      </c>
    </row>
    <row r="26881" spans="1:1">
      <c r="A26881" t="s">
        <v>27413</v>
      </c>
    </row>
    <row r="26882" spans="1:1">
      <c r="A26882" t="s">
        <v>27414</v>
      </c>
    </row>
    <row r="26883" spans="1:1">
      <c r="A26883" t="s">
        <v>27415</v>
      </c>
    </row>
    <row r="26884" spans="1:1">
      <c r="A26884" t="s">
        <v>27416</v>
      </c>
    </row>
    <row r="26885" spans="1:1">
      <c r="A26885" t="s">
        <v>27417</v>
      </c>
    </row>
    <row r="26886" spans="1:1">
      <c r="A26886" t="s">
        <v>27418</v>
      </c>
    </row>
    <row r="26887" spans="1:1">
      <c r="A26887" t="s">
        <v>27419</v>
      </c>
    </row>
    <row r="26888" spans="1:1">
      <c r="A26888" t="s">
        <v>27420</v>
      </c>
    </row>
    <row r="26889" spans="1:1">
      <c r="A26889" t="s">
        <v>27421</v>
      </c>
    </row>
    <row r="26890" spans="1:1">
      <c r="A26890" t="s">
        <v>27422</v>
      </c>
    </row>
    <row r="26891" spans="1:1">
      <c r="A26891" t="s">
        <v>27423</v>
      </c>
    </row>
    <row r="26892" spans="1:1">
      <c r="A26892" t="s">
        <v>27424</v>
      </c>
    </row>
    <row r="26893" spans="1:1">
      <c r="A26893" t="s">
        <v>27425</v>
      </c>
    </row>
    <row r="26894" spans="1:1">
      <c r="A26894" t="s">
        <v>27426</v>
      </c>
    </row>
    <row r="26895" spans="1:1">
      <c r="A26895" t="s">
        <v>27427</v>
      </c>
    </row>
    <row r="26896" spans="1:1">
      <c r="A26896" t="s">
        <v>27428</v>
      </c>
    </row>
    <row r="26897" spans="1:1">
      <c r="A26897" t="s">
        <v>27429</v>
      </c>
    </row>
    <row r="26898" spans="1:1">
      <c r="A26898" t="s">
        <v>27430</v>
      </c>
    </row>
    <row r="26899" spans="1:1">
      <c r="A26899" t="s">
        <v>27431</v>
      </c>
    </row>
    <row r="26900" spans="1:1">
      <c r="A26900" t="s">
        <v>27432</v>
      </c>
    </row>
    <row r="26901" spans="1:1">
      <c r="A26901" t="s">
        <v>27433</v>
      </c>
    </row>
    <row r="26902" spans="1:1">
      <c r="A26902" t="s">
        <v>27434</v>
      </c>
    </row>
    <row r="26903" spans="1:1">
      <c r="A26903" t="s">
        <v>27435</v>
      </c>
    </row>
    <row r="26904" spans="1:1">
      <c r="A26904" t="s">
        <v>27436</v>
      </c>
    </row>
    <row r="26905" spans="1:1">
      <c r="A26905" t="s">
        <v>27437</v>
      </c>
    </row>
    <row r="26906" spans="1:1">
      <c r="A26906" t="s">
        <v>27438</v>
      </c>
    </row>
    <row r="26907" spans="1:1">
      <c r="A26907" t="s">
        <v>27439</v>
      </c>
    </row>
    <row r="26908" spans="1:1">
      <c r="A26908" t="s">
        <v>27440</v>
      </c>
    </row>
    <row r="26909" spans="1:1">
      <c r="A26909" t="s">
        <v>27441</v>
      </c>
    </row>
    <row r="26910" spans="1:1">
      <c r="A26910" t="s">
        <v>27442</v>
      </c>
    </row>
    <row r="26911" spans="1:1">
      <c r="A26911" t="s">
        <v>27443</v>
      </c>
    </row>
    <row r="26912" spans="1:1">
      <c r="A26912" t="s">
        <v>27444</v>
      </c>
    </row>
    <row r="26913" spans="1:1">
      <c r="A26913" t="s">
        <v>27445</v>
      </c>
    </row>
    <row r="26914" spans="1:1">
      <c r="A26914" t="s">
        <v>27446</v>
      </c>
    </row>
    <row r="26915" spans="1:1">
      <c r="A26915" t="s">
        <v>27447</v>
      </c>
    </row>
    <row r="26916" spans="1:1">
      <c r="A26916" t="s">
        <v>27448</v>
      </c>
    </row>
    <row r="26917" spans="1:1">
      <c r="A26917" t="s">
        <v>27449</v>
      </c>
    </row>
    <row r="26918" spans="1:1">
      <c r="A26918" t="s">
        <v>27450</v>
      </c>
    </row>
    <row r="26919" spans="1:1">
      <c r="A26919" t="s">
        <v>27451</v>
      </c>
    </row>
    <row r="26920" spans="1:1">
      <c r="A26920" t="s">
        <v>27452</v>
      </c>
    </row>
    <row r="26921" spans="1:1">
      <c r="A26921" t="s">
        <v>27453</v>
      </c>
    </row>
    <row r="26922" spans="1:1">
      <c r="A26922" t="s">
        <v>27454</v>
      </c>
    </row>
    <row r="26923" spans="1:1">
      <c r="A26923" t="s">
        <v>27455</v>
      </c>
    </row>
    <row r="26924" spans="1:1">
      <c r="A26924" t="s">
        <v>27456</v>
      </c>
    </row>
    <row r="26925" spans="1:1">
      <c r="A26925" t="s">
        <v>27457</v>
      </c>
    </row>
    <row r="26926" spans="1:1">
      <c r="A26926" t="s">
        <v>27458</v>
      </c>
    </row>
    <row r="26927" spans="1:1">
      <c r="A26927" t="s">
        <v>27459</v>
      </c>
    </row>
    <row r="26928" spans="1:1">
      <c r="A26928" t="s">
        <v>27460</v>
      </c>
    </row>
    <row r="26929" spans="1:1">
      <c r="A26929" t="s">
        <v>27461</v>
      </c>
    </row>
    <row r="26930" spans="1:1">
      <c r="A26930" t="s">
        <v>27462</v>
      </c>
    </row>
    <row r="26931" spans="1:1">
      <c r="A26931" t="s">
        <v>27463</v>
      </c>
    </row>
    <row r="26932" spans="1:1">
      <c r="A26932" t="s">
        <v>27464</v>
      </c>
    </row>
    <row r="26933" spans="1:1">
      <c r="A26933" t="s">
        <v>27465</v>
      </c>
    </row>
    <row r="26934" spans="1:1">
      <c r="A26934" t="s">
        <v>27466</v>
      </c>
    </row>
    <row r="26935" spans="1:1">
      <c r="A26935" t="s">
        <v>27467</v>
      </c>
    </row>
    <row r="26936" spans="1:1">
      <c r="A26936" t="s">
        <v>27468</v>
      </c>
    </row>
    <row r="26937" spans="1:1">
      <c r="A26937" t="s">
        <v>27469</v>
      </c>
    </row>
    <row r="26938" spans="1:1">
      <c r="A26938" t="s">
        <v>27470</v>
      </c>
    </row>
    <row r="26939" spans="1:1">
      <c r="A26939" t="s">
        <v>27471</v>
      </c>
    </row>
    <row r="26940" spans="1:1">
      <c r="A26940" t="s">
        <v>27472</v>
      </c>
    </row>
    <row r="26941" spans="1:1">
      <c r="A26941" t="s">
        <v>27473</v>
      </c>
    </row>
    <row r="26942" spans="1:1">
      <c r="A26942" t="s">
        <v>27474</v>
      </c>
    </row>
    <row r="26943" spans="1:1">
      <c r="A26943" t="s">
        <v>27475</v>
      </c>
    </row>
    <row r="26944" spans="1:1">
      <c r="A26944" t="s">
        <v>27476</v>
      </c>
    </row>
    <row r="26945" spans="1:1">
      <c r="A26945" t="s">
        <v>27477</v>
      </c>
    </row>
    <row r="26946" spans="1:1">
      <c r="A26946" t="s">
        <v>27478</v>
      </c>
    </row>
    <row r="26947" spans="1:1">
      <c r="A26947" t="s">
        <v>27479</v>
      </c>
    </row>
    <row r="26948" spans="1:1">
      <c r="A26948" t="s">
        <v>27480</v>
      </c>
    </row>
    <row r="26949" spans="1:1">
      <c r="A26949" t="s">
        <v>27481</v>
      </c>
    </row>
    <row r="26950" spans="1:1">
      <c r="A26950" t="s">
        <v>27482</v>
      </c>
    </row>
    <row r="26951" spans="1:1">
      <c r="A26951" t="s">
        <v>27483</v>
      </c>
    </row>
    <row r="26952" spans="1:1">
      <c r="A26952" t="s">
        <v>27484</v>
      </c>
    </row>
    <row r="26953" spans="1:1">
      <c r="A26953" t="s">
        <v>27485</v>
      </c>
    </row>
    <row r="26954" spans="1:1">
      <c r="A26954" t="s">
        <v>27486</v>
      </c>
    </row>
    <row r="26955" spans="1:1">
      <c r="A26955" t="s">
        <v>27487</v>
      </c>
    </row>
    <row r="26956" spans="1:1">
      <c r="A26956" t="s">
        <v>27488</v>
      </c>
    </row>
    <row r="26957" spans="1:1">
      <c r="A26957" t="s">
        <v>27489</v>
      </c>
    </row>
    <row r="26958" spans="1:1">
      <c r="A26958" t="s">
        <v>27490</v>
      </c>
    </row>
    <row r="26959" spans="1:1">
      <c r="A26959" t="s">
        <v>27491</v>
      </c>
    </row>
    <row r="26960" spans="1:1">
      <c r="A26960" t="s">
        <v>27492</v>
      </c>
    </row>
    <row r="26961" spans="1:1">
      <c r="A26961" t="s">
        <v>27493</v>
      </c>
    </row>
    <row r="26962" spans="1:1">
      <c r="A26962" t="s">
        <v>27494</v>
      </c>
    </row>
    <row r="26963" spans="1:1">
      <c r="A26963" t="s">
        <v>27495</v>
      </c>
    </row>
    <row r="26964" spans="1:1">
      <c r="A26964" t="s">
        <v>27496</v>
      </c>
    </row>
    <row r="26965" spans="1:1">
      <c r="A26965" t="s">
        <v>27497</v>
      </c>
    </row>
    <row r="26966" spans="1:1">
      <c r="A26966" t="s">
        <v>27498</v>
      </c>
    </row>
    <row r="26967" spans="1:1">
      <c r="A26967" t="s">
        <v>27499</v>
      </c>
    </row>
    <row r="26968" spans="1:1">
      <c r="A26968" t="s">
        <v>27500</v>
      </c>
    </row>
    <row r="26969" spans="1:1">
      <c r="A26969" t="s">
        <v>27501</v>
      </c>
    </row>
    <row r="26970" spans="1:1">
      <c r="A26970" t="s">
        <v>27502</v>
      </c>
    </row>
    <row r="26971" spans="1:1">
      <c r="A26971" t="s">
        <v>27503</v>
      </c>
    </row>
    <row r="26972" spans="1:1">
      <c r="A26972" t="s">
        <v>27504</v>
      </c>
    </row>
    <row r="26973" spans="1:1">
      <c r="A26973" t="s">
        <v>27505</v>
      </c>
    </row>
    <row r="26974" spans="1:1">
      <c r="A26974" t="s">
        <v>27506</v>
      </c>
    </row>
    <row r="26975" spans="1:1">
      <c r="A26975" t="s">
        <v>27507</v>
      </c>
    </row>
    <row r="26976" spans="1:1">
      <c r="A26976" t="s">
        <v>27508</v>
      </c>
    </row>
    <row r="26977" spans="1:1">
      <c r="A26977" t="s">
        <v>27509</v>
      </c>
    </row>
    <row r="26978" spans="1:1">
      <c r="A26978" t="s">
        <v>27510</v>
      </c>
    </row>
    <row r="26979" spans="1:1">
      <c r="A26979" t="s">
        <v>27511</v>
      </c>
    </row>
    <row r="26980" spans="1:1">
      <c r="A26980" t="s">
        <v>27512</v>
      </c>
    </row>
    <row r="26981" spans="1:1">
      <c r="A26981" t="s">
        <v>27513</v>
      </c>
    </row>
    <row r="26982" spans="1:1">
      <c r="A26982" t="s">
        <v>27514</v>
      </c>
    </row>
    <row r="26983" spans="1:1">
      <c r="A26983" t="s">
        <v>27515</v>
      </c>
    </row>
    <row r="26984" spans="1:1">
      <c r="A26984" t="s">
        <v>27516</v>
      </c>
    </row>
    <row r="26985" spans="1:1">
      <c r="A26985" t="s">
        <v>27517</v>
      </c>
    </row>
    <row r="26986" spans="1:1">
      <c r="A26986" t="s">
        <v>27518</v>
      </c>
    </row>
    <row r="26987" spans="1:1">
      <c r="A26987" t="s">
        <v>27519</v>
      </c>
    </row>
    <row r="26988" spans="1:1">
      <c r="A26988" t="s">
        <v>27520</v>
      </c>
    </row>
    <row r="26989" spans="1:1">
      <c r="A26989" t="s">
        <v>27521</v>
      </c>
    </row>
    <row r="26990" spans="1:1">
      <c r="A26990" t="s">
        <v>27522</v>
      </c>
    </row>
    <row r="26991" spans="1:1">
      <c r="A26991" t="s">
        <v>27523</v>
      </c>
    </row>
    <row r="26992" spans="1:1">
      <c r="A26992" t="s">
        <v>27524</v>
      </c>
    </row>
    <row r="26993" spans="1:1">
      <c r="A26993" t="s">
        <v>27525</v>
      </c>
    </row>
    <row r="26994" spans="1:1">
      <c r="A26994" t="s">
        <v>27526</v>
      </c>
    </row>
    <row r="26995" spans="1:1">
      <c r="A26995" t="s">
        <v>27527</v>
      </c>
    </row>
    <row r="26996" spans="1:1">
      <c r="A26996" t="s">
        <v>27528</v>
      </c>
    </row>
    <row r="26997" spans="1:1">
      <c r="A26997" t="s">
        <v>27529</v>
      </c>
    </row>
    <row r="26998" spans="1:1">
      <c r="A26998" t="s">
        <v>27530</v>
      </c>
    </row>
    <row r="26999" spans="1:1">
      <c r="A26999" t="s">
        <v>27531</v>
      </c>
    </row>
    <row r="27000" spans="1:1">
      <c r="A27000" t="s">
        <v>27532</v>
      </c>
    </row>
    <row r="27001" spans="1:1">
      <c r="A27001" t="s">
        <v>27533</v>
      </c>
    </row>
    <row r="27002" spans="1:1">
      <c r="A27002" t="s">
        <v>27534</v>
      </c>
    </row>
    <row r="27003" spans="1:1">
      <c r="A27003" t="s">
        <v>27535</v>
      </c>
    </row>
    <row r="27004" spans="1:1">
      <c r="A27004" t="s">
        <v>27536</v>
      </c>
    </row>
    <row r="27005" spans="1:1">
      <c r="A27005" t="s">
        <v>27537</v>
      </c>
    </row>
    <row r="27006" spans="1:1">
      <c r="A27006" t="s">
        <v>27538</v>
      </c>
    </row>
    <row r="27007" spans="1:1">
      <c r="A27007" t="s">
        <v>27539</v>
      </c>
    </row>
    <row r="27008" spans="1:1">
      <c r="A27008" t="s">
        <v>27540</v>
      </c>
    </row>
    <row r="27009" spans="1:1">
      <c r="A27009" t="s">
        <v>27541</v>
      </c>
    </row>
    <row r="27010" spans="1:1">
      <c r="A27010" t="s">
        <v>27542</v>
      </c>
    </row>
    <row r="27011" spans="1:1">
      <c r="A27011" t="s">
        <v>27543</v>
      </c>
    </row>
    <row r="27012" spans="1:1">
      <c r="A27012" t="s">
        <v>27544</v>
      </c>
    </row>
    <row r="27013" spans="1:1">
      <c r="A27013" t="s">
        <v>27545</v>
      </c>
    </row>
    <row r="27014" spans="1:1">
      <c r="A27014" t="s">
        <v>27546</v>
      </c>
    </row>
    <row r="27015" spans="1:1">
      <c r="A27015" t="s">
        <v>27547</v>
      </c>
    </row>
    <row r="27016" spans="1:1">
      <c r="A27016" t="s">
        <v>27548</v>
      </c>
    </row>
    <row r="27017" spans="1:1">
      <c r="A27017" t="s">
        <v>27549</v>
      </c>
    </row>
    <row r="27018" spans="1:1">
      <c r="A27018" t="s">
        <v>27550</v>
      </c>
    </row>
    <row r="27019" spans="1:1">
      <c r="A27019" t="s">
        <v>27551</v>
      </c>
    </row>
    <row r="27020" spans="1:1">
      <c r="A27020" t="s">
        <v>27552</v>
      </c>
    </row>
    <row r="27021" spans="1:1">
      <c r="A27021" t="s">
        <v>27553</v>
      </c>
    </row>
    <row r="27022" spans="1:1">
      <c r="A27022" t="s">
        <v>27554</v>
      </c>
    </row>
    <row r="27023" spans="1:1">
      <c r="A27023" t="s">
        <v>27555</v>
      </c>
    </row>
    <row r="27024" spans="1:1">
      <c r="A27024" t="s">
        <v>27556</v>
      </c>
    </row>
    <row r="27025" spans="1:1">
      <c r="A27025" t="s">
        <v>27557</v>
      </c>
    </row>
    <row r="27026" spans="1:1">
      <c r="A27026" t="s">
        <v>27558</v>
      </c>
    </row>
    <row r="27027" spans="1:1">
      <c r="A27027" t="s">
        <v>27559</v>
      </c>
    </row>
    <row r="27028" spans="1:1">
      <c r="A27028" t="s">
        <v>27560</v>
      </c>
    </row>
    <row r="27029" spans="1:1">
      <c r="A27029" t="s">
        <v>27561</v>
      </c>
    </row>
    <row r="27030" spans="1:1">
      <c r="A27030" t="s">
        <v>27562</v>
      </c>
    </row>
    <row r="27031" spans="1:1">
      <c r="A27031" t="s">
        <v>27563</v>
      </c>
    </row>
    <row r="27032" spans="1:1">
      <c r="A27032" t="s">
        <v>27564</v>
      </c>
    </row>
    <row r="27033" spans="1:1">
      <c r="A27033" t="s">
        <v>27565</v>
      </c>
    </row>
    <row r="27034" spans="1:1">
      <c r="A27034" t="s">
        <v>27566</v>
      </c>
    </row>
    <row r="27035" spans="1:1">
      <c r="A27035" t="s">
        <v>27567</v>
      </c>
    </row>
    <row r="27036" spans="1:1">
      <c r="A27036" t="s">
        <v>27568</v>
      </c>
    </row>
    <row r="27037" spans="1:1">
      <c r="A27037" t="s">
        <v>27569</v>
      </c>
    </row>
    <row r="27038" spans="1:1">
      <c r="A27038" t="s">
        <v>27570</v>
      </c>
    </row>
    <row r="27039" spans="1:1">
      <c r="A27039" t="s">
        <v>27571</v>
      </c>
    </row>
    <row r="27040" spans="1:1">
      <c r="A27040" t="s">
        <v>27572</v>
      </c>
    </row>
    <row r="27041" spans="1:1">
      <c r="A27041" t="s">
        <v>27573</v>
      </c>
    </row>
    <row r="27042" spans="1:1">
      <c r="A27042" t="s">
        <v>27574</v>
      </c>
    </row>
    <row r="27043" spans="1:1">
      <c r="A27043" t="s">
        <v>27575</v>
      </c>
    </row>
    <row r="27044" spans="1:1">
      <c r="A27044" t="s">
        <v>27576</v>
      </c>
    </row>
    <row r="27045" spans="1:1">
      <c r="A27045" t="s">
        <v>27577</v>
      </c>
    </row>
    <row r="27046" spans="1:1">
      <c r="A27046" t="s">
        <v>27578</v>
      </c>
    </row>
    <row r="27047" spans="1:1">
      <c r="A27047" t="s">
        <v>27579</v>
      </c>
    </row>
    <row r="27048" spans="1:1">
      <c r="A27048" t="s">
        <v>27580</v>
      </c>
    </row>
    <row r="27049" spans="1:1">
      <c r="A27049" t="s">
        <v>27581</v>
      </c>
    </row>
    <row r="27050" spans="1:1">
      <c r="A27050" t="s">
        <v>27582</v>
      </c>
    </row>
    <row r="27051" spans="1:1">
      <c r="A27051" t="s">
        <v>27583</v>
      </c>
    </row>
    <row r="27052" spans="1:1">
      <c r="A27052" t="s">
        <v>27584</v>
      </c>
    </row>
    <row r="27053" spans="1:1">
      <c r="A27053" t="s">
        <v>27585</v>
      </c>
    </row>
    <row r="27054" spans="1:1">
      <c r="A27054" t="s">
        <v>27586</v>
      </c>
    </row>
    <row r="27055" spans="1:1">
      <c r="A27055" t="s">
        <v>27587</v>
      </c>
    </row>
    <row r="27056" spans="1:1">
      <c r="A27056" t="s">
        <v>27588</v>
      </c>
    </row>
    <row r="27057" spans="1:1">
      <c r="A27057" t="s">
        <v>27589</v>
      </c>
    </row>
    <row r="27058" spans="1:1">
      <c r="A27058" t="s">
        <v>27590</v>
      </c>
    </row>
    <row r="27059" spans="1:1">
      <c r="A27059" t="s">
        <v>27591</v>
      </c>
    </row>
    <row r="27060" spans="1:1">
      <c r="A27060" t="s">
        <v>27592</v>
      </c>
    </row>
    <row r="27061" spans="1:1">
      <c r="A27061" t="s">
        <v>27593</v>
      </c>
    </row>
    <row r="27062" spans="1:1">
      <c r="A27062" t="s">
        <v>27594</v>
      </c>
    </row>
    <row r="27063" spans="1:1">
      <c r="A27063" t="s">
        <v>27595</v>
      </c>
    </row>
    <row r="27064" spans="1:1">
      <c r="A27064" t="s">
        <v>27596</v>
      </c>
    </row>
    <row r="27065" spans="1:1">
      <c r="A27065" t="s">
        <v>27597</v>
      </c>
    </row>
    <row r="27066" spans="1:1">
      <c r="A27066" t="s">
        <v>27598</v>
      </c>
    </row>
    <row r="27067" spans="1:1">
      <c r="A27067" t="s">
        <v>27599</v>
      </c>
    </row>
    <row r="27068" spans="1:1">
      <c r="A27068" t="s">
        <v>27600</v>
      </c>
    </row>
    <row r="27069" spans="1:1">
      <c r="A27069" t="s">
        <v>27601</v>
      </c>
    </row>
    <row r="27070" spans="1:1">
      <c r="A27070" t="s">
        <v>27602</v>
      </c>
    </row>
    <row r="27071" spans="1:1">
      <c r="A27071" t="s">
        <v>27603</v>
      </c>
    </row>
    <row r="27072" spans="1:1">
      <c r="A27072" t="s">
        <v>27604</v>
      </c>
    </row>
    <row r="27073" spans="1:1">
      <c r="A27073" t="s">
        <v>27605</v>
      </c>
    </row>
    <row r="27074" spans="1:1">
      <c r="A27074" t="s">
        <v>27606</v>
      </c>
    </row>
    <row r="27075" spans="1:1">
      <c r="A27075" t="s">
        <v>27607</v>
      </c>
    </row>
    <row r="27076" spans="1:1">
      <c r="A27076" t="s">
        <v>27608</v>
      </c>
    </row>
    <row r="27077" spans="1:1">
      <c r="A27077" t="s">
        <v>27609</v>
      </c>
    </row>
    <row r="27078" spans="1:1">
      <c r="A27078" t="s">
        <v>27610</v>
      </c>
    </row>
    <row r="27079" spans="1:1">
      <c r="A27079" t="s">
        <v>27611</v>
      </c>
    </row>
    <row r="27080" spans="1:1">
      <c r="A27080" t="s">
        <v>27612</v>
      </c>
    </row>
    <row r="27081" spans="1:1">
      <c r="A27081" t="s">
        <v>27613</v>
      </c>
    </row>
    <row r="27082" spans="1:1">
      <c r="A27082" t="s">
        <v>27614</v>
      </c>
    </row>
    <row r="27083" spans="1:1">
      <c r="A27083" t="s">
        <v>27615</v>
      </c>
    </row>
    <row r="27084" spans="1:1">
      <c r="A27084" t="s">
        <v>27616</v>
      </c>
    </row>
    <row r="27085" spans="1:1">
      <c r="A27085" t="s">
        <v>27617</v>
      </c>
    </row>
    <row r="27086" spans="1:1">
      <c r="A27086" t="s">
        <v>27618</v>
      </c>
    </row>
    <row r="27087" spans="1:1">
      <c r="A27087" t="s">
        <v>27619</v>
      </c>
    </row>
    <row r="27088" spans="1:1">
      <c r="A27088" t="s">
        <v>27620</v>
      </c>
    </row>
    <row r="27089" spans="1:1">
      <c r="A27089" t="s">
        <v>27621</v>
      </c>
    </row>
    <row r="27090" spans="1:1">
      <c r="A27090" t="s">
        <v>27622</v>
      </c>
    </row>
    <row r="27091" spans="1:1">
      <c r="A27091" t="s">
        <v>27623</v>
      </c>
    </row>
    <row r="27092" spans="1:1">
      <c r="A27092" t="s">
        <v>27624</v>
      </c>
    </row>
    <row r="27093" spans="1:1">
      <c r="A27093" t="s">
        <v>27625</v>
      </c>
    </row>
    <row r="27094" spans="1:1">
      <c r="A27094" t="s">
        <v>27626</v>
      </c>
    </row>
    <row r="27095" spans="1:1">
      <c r="A27095" t="s">
        <v>27627</v>
      </c>
    </row>
    <row r="27096" spans="1:1">
      <c r="A27096" t="s">
        <v>27628</v>
      </c>
    </row>
    <row r="27097" spans="1:1">
      <c r="A27097" t="s">
        <v>27629</v>
      </c>
    </row>
    <row r="27098" spans="1:1">
      <c r="A27098" t="s">
        <v>27630</v>
      </c>
    </row>
    <row r="27099" spans="1:1">
      <c r="A27099" t="s">
        <v>27631</v>
      </c>
    </row>
    <row r="27100" spans="1:1">
      <c r="A27100" t="s">
        <v>27632</v>
      </c>
    </row>
    <row r="27101" spans="1:1">
      <c r="A27101" t="s">
        <v>27633</v>
      </c>
    </row>
    <row r="27102" spans="1:1">
      <c r="A27102" t="s">
        <v>27634</v>
      </c>
    </row>
    <row r="27103" spans="1:1">
      <c r="A27103" t="s">
        <v>27635</v>
      </c>
    </row>
    <row r="27104" spans="1:1">
      <c r="A27104" t="s">
        <v>27636</v>
      </c>
    </row>
    <row r="27105" spans="1:1">
      <c r="A27105" t="s">
        <v>27637</v>
      </c>
    </row>
    <row r="27106" spans="1:1">
      <c r="A27106" t="s">
        <v>27638</v>
      </c>
    </row>
    <row r="27107" spans="1:1">
      <c r="A27107" t="s">
        <v>27639</v>
      </c>
    </row>
    <row r="27108" spans="1:1">
      <c r="A27108" t="s">
        <v>27640</v>
      </c>
    </row>
    <row r="27109" spans="1:1">
      <c r="A27109" t="s">
        <v>27641</v>
      </c>
    </row>
    <row r="27110" spans="1:1">
      <c r="A27110" t="s">
        <v>27642</v>
      </c>
    </row>
    <row r="27111" spans="1:1">
      <c r="A27111" t="s">
        <v>27643</v>
      </c>
    </row>
    <row r="27112" spans="1:1">
      <c r="A27112" t="s">
        <v>27644</v>
      </c>
    </row>
    <row r="27113" spans="1:1">
      <c r="A27113" t="s">
        <v>27645</v>
      </c>
    </row>
    <row r="27114" spans="1:1">
      <c r="A27114" t="s">
        <v>27646</v>
      </c>
    </row>
    <row r="27115" spans="1:1">
      <c r="A27115" t="s">
        <v>27647</v>
      </c>
    </row>
    <row r="27116" spans="1:1">
      <c r="A27116" t="s">
        <v>27648</v>
      </c>
    </row>
    <row r="27117" spans="1:1">
      <c r="A27117" t="s">
        <v>27649</v>
      </c>
    </row>
    <row r="27118" spans="1:1">
      <c r="A27118" t="s">
        <v>27650</v>
      </c>
    </row>
    <row r="27119" spans="1:1">
      <c r="A27119" t="s">
        <v>27651</v>
      </c>
    </row>
    <row r="27120" spans="1:1">
      <c r="A27120" t="s">
        <v>27652</v>
      </c>
    </row>
    <row r="27121" spans="1:1">
      <c r="A27121" t="s">
        <v>27653</v>
      </c>
    </row>
    <row r="27122" spans="1:1">
      <c r="A27122" t="s">
        <v>27654</v>
      </c>
    </row>
    <row r="27123" spans="1:1">
      <c r="A27123" t="s">
        <v>27655</v>
      </c>
    </row>
    <row r="27124" spans="1:1">
      <c r="A27124" t="s">
        <v>27656</v>
      </c>
    </row>
    <row r="27125" spans="1:1">
      <c r="A27125" t="s">
        <v>27657</v>
      </c>
    </row>
    <row r="27126" spans="1:1">
      <c r="A27126" t="s">
        <v>27658</v>
      </c>
    </row>
    <row r="27127" spans="1:1">
      <c r="A27127" t="s">
        <v>27659</v>
      </c>
    </row>
    <row r="27128" spans="1:1">
      <c r="A27128" t="s">
        <v>27660</v>
      </c>
    </row>
    <row r="27129" spans="1:1">
      <c r="A27129" t="s">
        <v>27661</v>
      </c>
    </row>
    <row r="27130" spans="1:1">
      <c r="A27130" t="s">
        <v>27662</v>
      </c>
    </row>
    <row r="27131" spans="1:1">
      <c r="A27131" t="s">
        <v>27663</v>
      </c>
    </row>
    <row r="27132" spans="1:1">
      <c r="A27132" t="s">
        <v>27664</v>
      </c>
    </row>
    <row r="27133" spans="1:1">
      <c r="A27133" t="s">
        <v>27665</v>
      </c>
    </row>
    <row r="27134" spans="1:1">
      <c r="A27134" t="s">
        <v>27666</v>
      </c>
    </row>
    <row r="27135" spans="1:1">
      <c r="A27135" t="s">
        <v>27667</v>
      </c>
    </row>
    <row r="27136" spans="1:1">
      <c r="A27136" t="s">
        <v>27668</v>
      </c>
    </row>
    <row r="27137" spans="1:1">
      <c r="A27137" t="s">
        <v>27669</v>
      </c>
    </row>
    <row r="27138" spans="1:1">
      <c r="A27138" t="s">
        <v>27670</v>
      </c>
    </row>
    <row r="27139" spans="1:1">
      <c r="A27139" t="s">
        <v>27671</v>
      </c>
    </row>
    <row r="27140" spans="1:1">
      <c r="A27140" t="s">
        <v>27672</v>
      </c>
    </row>
    <row r="27141" spans="1:1">
      <c r="A27141" t="s">
        <v>27673</v>
      </c>
    </row>
    <row r="27142" spans="1:1">
      <c r="A27142" t="s">
        <v>27674</v>
      </c>
    </row>
    <row r="27143" spans="1:1">
      <c r="A27143" t="s">
        <v>27675</v>
      </c>
    </row>
    <row r="27144" spans="1:1">
      <c r="A27144" t="s">
        <v>27676</v>
      </c>
    </row>
    <row r="27145" spans="1:1">
      <c r="A27145" t="s">
        <v>27677</v>
      </c>
    </row>
    <row r="27146" spans="1:1">
      <c r="A27146" t="s">
        <v>27678</v>
      </c>
    </row>
    <row r="27147" spans="1:1">
      <c r="A27147" t="s">
        <v>27679</v>
      </c>
    </row>
    <row r="27148" spans="1:1">
      <c r="A27148" t="s">
        <v>27680</v>
      </c>
    </row>
    <row r="27149" spans="1:1">
      <c r="A27149" t="s">
        <v>27681</v>
      </c>
    </row>
    <row r="27150" spans="1:1">
      <c r="A27150" t="s">
        <v>27682</v>
      </c>
    </row>
    <row r="27151" spans="1:1">
      <c r="A27151" t="s">
        <v>27683</v>
      </c>
    </row>
    <row r="27152" spans="1:1">
      <c r="A27152" t="s">
        <v>27684</v>
      </c>
    </row>
    <row r="27153" spans="1:1">
      <c r="A27153" t="s">
        <v>27685</v>
      </c>
    </row>
    <row r="27154" spans="1:1">
      <c r="A27154" t="s">
        <v>27686</v>
      </c>
    </row>
    <row r="27155" spans="1:1">
      <c r="A27155" t="s">
        <v>27687</v>
      </c>
    </row>
    <row r="27156" spans="1:1">
      <c r="A27156" t="s">
        <v>27688</v>
      </c>
    </row>
    <row r="27157" spans="1:1">
      <c r="A27157" t="s">
        <v>27689</v>
      </c>
    </row>
    <row r="27158" spans="1:1">
      <c r="A27158" t="s">
        <v>27690</v>
      </c>
    </row>
    <row r="27159" spans="1:1">
      <c r="A27159" t="s">
        <v>27691</v>
      </c>
    </row>
    <row r="27160" spans="1:1">
      <c r="A27160" t="s">
        <v>27692</v>
      </c>
    </row>
    <row r="27161" spans="1:1">
      <c r="A27161" t="s">
        <v>27693</v>
      </c>
    </row>
    <row r="27162" spans="1:1">
      <c r="A27162" t="s">
        <v>27694</v>
      </c>
    </row>
    <row r="27163" spans="1:1">
      <c r="A27163" t="s">
        <v>27695</v>
      </c>
    </row>
    <row r="27164" spans="1:1">
      <c r="A27164" t="s">
        <v>27696</v>
      </c>
    </row>
    <row r="27165" spans="1:1">
      <c r="A27165" t="s">
        <v>27697</v>
      </c>
    </row>
    <row r="27166" spans="1:1">
      <c r="A27166" t="s">
        <v>27698</v>
      </c>
    </row>
    <row r="27167" spans="1:1">
      <c r="A27167" t="s">
        <v>27699</v>
      </c>
    </row>
    <row r="27168" spans="1:1">
      <c r="A27168" t="s">
        <v>27700</v>
      </c>
    </row>
    <row r="27169" spans="1:1">
      <c r="A27169" t="s">
        <v>27701</v>
      </c>
    </row>
    <row r="27170" spans="1:1">
      <c r="A27170" t="s">
        <v>27702</v>
      </c>
    </row>
    <row r="27171" spans="1:1">
      <c r="A27171" t="s">
        <v>27703</v>
      </c>
    </row>
    <row r="27172" spans="1:1">
      <c r="A27172" t="s">
        <v>27704</v>
      </c>
    </row>
    <row r="27173" spans="1:1">
      <c r="A27173" t="s">
        <v>27705</v>
      </c>
    </row>
    <row r="27174" spans="1:1">
      <c r="A27174" t="s">
        <v>27706</v>
      </c>
    </row>
    <row r="27175" spans="1:1">
      <c r="A27175" t="s">
        <v>27707</v>
      </c>
    </row>
    <row r="27176" spans="1:1">
      <c r="A27176" t="s">
        <v>27708</v>
      </c>
    </row>
    <row r="27177" spans="1:1">
      <c r="A27177" t="s">
        <v>27709</v>
      </c>
    </row>
    <row r="27178" spans="1:1">
      <c r="A27178" t="s">
        <v>27710</v>
      </c>
    </row>
    <row r="27179" spans="1:1">
      <c r="A27179" t="s">
        <v>27711</v>
      </c>
    </row>
    <row r="27180" spans="1:1">
      <c r="A27180" t="s">
        <v>27712</v>
      </c>
    </row>
    <row r="27181" spans="1:1">
      <c r="A27181" t="s">
        <v>27713</v>
      </c>
    </row>
    <row r="27182" spans="1:1">
      <c r="A27182" t="s">
        <v>27714</v>
      </c>
    </row>
    <row r="27183" spans="1:1">
      <c r="A27183" t="s">
        <v>27715</v>
      </c>
    </row>
    <row r="27184" spans="1:1">
      <c r="A27184" t="s">
        <v>27716</v>
      </c>
    </row>
    <row r="27185" spans="1:1">
      <c r="A27185" t="s">
        <v>27717</v>
      </c>
    </row>
    <row r="27186" spans="1:1">
      <c r="A27186" t="s">
        <v>27718</v>
      </c>
    </row>
    <row r="27187" spans="1:1">
      <c r="A27187" t="s">
        <v>27719</v>
      </c>
    </row>
    <row r="27188" spans="1:1">
      <c r="A27188" t="s">
        <v>27720</v>
      </c>
    </row>
    <row r="27189" spans="1:1">
      <c r="A27189" t="s">
        <v>27721</v>
      </c>
    </row>
    <row r="27190" spans="1:1">
      <c r="A27190" t="s">
        <v>27722</v>
      </c>
    </row>
    <row r="27191" spans="1:1">
      <c r="A27191" t="s">
        <v>27723</v>
      </c>
    </row>
    <row r="27192" spans="1:1">
      <c r="A27192" t="s">
        <v>27724</v>
      </c>
    </row>
    <row r="27193" spans="1:1">
      <c r="A27193" t="s">
        <v>27725</v>
      </c>
    </row>
    <row r="27194" spans="1:1">
      <c r="A27194" t="s">
        <v>27726</v>
      </c>
    </row>
    <row r="27195" spans="1:1">
      <c r="A27195" t="s">
        <v>27727</v>
      </c>
    </row>
    <row r="27196" spans="1:1">
      <c r="A27196" t="s">
        <v>27728</v>
      </c>
    </row>
    <row r="27197" spans="1:1">
      <c r="A27197" t="s">
        <v>27729</v>
      </c>
    </row>
    <row r="27198" spans="1:1">
      <c r="A27198" t="s">
        <v>27730</v>
      </c>
    </row>
    <row r="27199" spans="1:1">
      <c r="A27199" t="s">
        <v>27731</v>
      </c>
    </row>
    <row r="27200" spans="1:1">
      <c r="A27200" t="s">
        <v>27732</v>
      </c>
    </row>
    <row r="27201" spans="1:1">
      <c r="A27201" t="s">
        <v>27733</v>
      </c>
    </row>
    <row r="27202" spans="1:1">
      <c r="A27202" t="s">
        <v>27734</v>
      </c>
    </row>
    <row r="27203" spans="1:1">
      <c r="A27203" t="s">
        <v>27735</v>
      </c>
    </row>
    <row r="27204" spans="1:1">
      <c r="A27204" t="s">
        <v>27736</v>
      </c>
    </row>
    <row r="27205" spans="1:1">
      <c r="A27205" t="s">
        <v>27737</v>
      </c>
    </row>
    <row r="27206" spans="1:1">
      <c r="A27206" t="s">
        <v>27738</v>
      </c>
    </row>
    <row r="27207" spans="1:1">
      <c r="A27207" t="s">
        <v>27739</v>
      </c>
    </row>
    <row r="27208" spans="1:1">
      <c r="A27208" t="s">
        <v>27740</v>
      </c>
    </row>
    <row r="27209" spans="1:1">
      <c r="A27209" t="s">
        <v>27741</v>
      </c>
    </row>
    <row r="27210" spans="1:1">
      <c r="A27210" t="s">
        <v>27742</v>
      </c>
    </row>
    <row r="27211" spans="1:1">
      <c r="A27211" t="s">
        <v>27743</v>
      </c>
    </row>
    <row r="27212" spans="1:1">
      <c r="A27212" t="s">
        <v>27744</v>
      </c>
    </row>
    <row r="27213" spans="1:1">
      <c r="A27213" t="s">
        <v>27745</v>
      </c>
    </row>
    <row r="27214" spans="1:1">
      <c r="A27214" t="s">
        <v>27746</v>
      </c>
    </row>
    <row r="27215" spans="1:1">
      <c r="A27215" t="s">
        <v>27747</v>
      </c>
    </row>
    <row r="27216" spans="1:1">
      <c r="A27216" t="s">
        <v>27748</v>
      </c>
    </row>
    <row r="27217" spans="1:1">
      <c r="A27217" t="s">
        <v>27749</v>
      </c>
    </row>
    <row r="27218" spans="1:1">
      <c r="A27218" t="s">
        <v>27750</v>
      </c>
    </row>
    <row r="27219" spans="1:1">
      <c r="A27219" t="s">
        <v>27751</v>
      </c>
    </row>
    <row r="27220" spans="1:1">
      <c r="A27220" t="s">
        <v>27752</v>
      </c>
    </row>
    <row r="27221" spans="1:1">
      <c r="A27221" t="s">
        <v>27753</v>
      </c>
    </row>
    <row r="27222" spans="1:1">
      <c r="A27222" t="s">
        <v>27754</v>
      </c>
    </row>
    <row r="27223" spans="1:1">
      <c r="A27223" t="s">
        <v>27755</v>
      </c>
    </row>
    <row r="27224" spans="1:1">
      <c r="A27224" t="s">
        <v>27756</v>
      </c>
    </row>
    <row r="27225" spans="1:1">
      <c r="A27225" t="s">
        <v>27757</v>
      </c>
    </row>
    <row r="27226" spans="1:1">
      <c r="A27226" t="s">
        <v>27758</v>
      </c>
    </row>
    <row r="27227" spans="1:1">
      <c r="A27227" t="s">
        <v>27759</v>
      </c>
    </row>
    <row r="27228" spans="1:1">
      <c r="A27228" t="s">
        <v>27760</v>
      </c>
    </row>
    <row r="27229" spans="1:1">
      <c r="A27229" t="s">
        <v>27761</v>
      </c>
    </row>
    <row r="27230" spans="1:1">
      <c r="A27230" t="s">
        <v>27762</v>
      </c>
    </row>
    <row r="27231" spans="1:1">
      <c r="A27231" t="s">
        <v>27763</v>
      </c>
    </row>
    <row r="27232" spans="1:1">
      <c r="A27232" t="s">
        <v>27764</v>
      </c>
    </row>
    <row r="27233" spans="1:1">
      <c r="A27233" t="s">
        <v>27765</v>
      </c>
    </row>
    <row r="27234" spans="1:1">
      <c r="A27234" t="s">
        <v>27766</v>
      </c>
    </row>
    <row r="27235" spans="1:1">
      <c r="A27235" t="s">
        <v>27767</v>
      </c>
    </row>
    <row r="27236" spans="1:1">
      <c r="A27236" t="s">
        <v>27768</v>
      </c>
    </row>
    <row r="27237" spans="1:1">
      <c r="A27237" t="s">
        <v>27769</v>
      </c>
    </row>
    <row r="27238" spans="1:1">
      <c r="A27238" t="s">
        <v>27770</v>
      </c>
    </row>
    <row r="27239" spans="1:1">
      <c r="A27239" t="s">
        <v>27771</v>
      </c>
    </row>
    <row r="27240" spans="1:1">
      <c r="A27240" t="s">
        <v>27772</v>
      </c>
    </row>
    <row r="27241" spans="1:1">
      <c r="A27241" t="s">
        <v>27773</v>
      </c>
    </row>
    <row r="27242" spans="1:1">
      <c r="A27242" t="s">
        <v>27774</v>
      </c>
    </row>
    <row r="27243" spans="1:1">
      <c r="A27243" t="s">
        <v>27775</v>
      </c>
    </row>
    <row r="27244" spans="1:1">
      <c r="A27244" t="s">
        <v>27776</v>
      </c>
    </row>
    <row r="27245" spans="1:1">
      <c r="A27245" t="s">
        <v>27777</v>
      </c>
    </row>
    <row r="27246" spans="1:1">
      <c r="A27246" t="s">
        <v>27778</v>
      </c>
    </row>
    <row r="27247" spans="1:1">
      <c r="A27247" t="s">
        <v>27779</v>
      </c>
    </row>
    <row r="27248" spans="1:1">
      <c r="A27248" t="s">
        <v>27780</v>
      </c>
    </row>
    <row r="27249" spans="1:1">
      <c r="A27249" t="s">
        <v>27781</v>
      </c>
    </row>
    <row r="27250" spans="1:1">
      <c r="A27250" t="s">
        <v>27782</v>
      </c>
    </row>
    <row r="27251" spans="1:1">
      <c r="A27251" t="s">
        <v>27783</v>
      </c>
    </row>
    <row r="27252" spans="1:1">
      <c r="A27252" t="s">
        <v>27784</v>
      </c>
    </row>
    <row r="27253" spans="1:1">
      <c r="A27253" t="s">
        <v>27785</v>
      </c>
    </row>
    <row r="27254" spans="1:1">
      <c r="A27254" t="s">
        <v>27786</v>
      </c>
    </row>
    <row r="27255" spans="1:1">
      <c r="A27255" t="s">
        <v>27787</v>
      </c>
    </row>
    <row r="27256" spans="1:1">
      <c r="A27256" t="s">
        <v>27788</v>
      </c>
    </row>
    <row r="27257" spans="1:1">
      <c r="A27257" t="s">
        <v>27789</v>
      </c>
    </row>
    <row r="27258" spans="1:1">
      <c r="A27258" t="s">
        <v>27790</v>
      </c>
    </row>
    <row r="27259" spans="1:1">
      <c r="A27259" t="s">
        <v>27791</v>
      </c>
    </row>
    <row r="27260" spans="1:1">
      <c r="A27260" t="s">
        <v>27792</v>
      </c>
    </row>
    <row r="27261" spans="1:1">
      <c r="A27261" t="s">
        <v>27793</v>
      </c>
    </row>
    <row r="27262" spans="1:1">
      <c r="A27262" t="s">
        <v>27794</v>
      </c>
    </row>
    <row r="27263" spans="1:1">
      <c r="A27263" t="s">
        <v>27795</v>
      </c>
    </row>
    <row r="27264" spans="1:1">
      <c r="A27264" t="s">
        <v>27796</v>
      </c>
    </row>
    <row r="27265" spans="1:1">
      <c r="A27265" t="s">
        <v>27797</v>
      </c>
    </row>
    <row r="27266" spans="1:1">
      <c r="A27266" t="s">
        <v>27798</v>
      </c>
    </row>
    <row r="27267" spans="1:1">
      <c r="A27267" t="s">
        <v>27799</v>
      </c>
    </row>
    <row r="27268" spans="1:1">
      <c r="A27268" t="s">
        <v>27800</v>
      </c>
    </row>
    <row r="27269" spans="1:1">
      <c r="A27269" t="s">
        <v>27801</v>
      </c>
    </row>
    <row r="27270" spans="1:1">
      <c r="A27270" t="s">
        <v>27802</v>
      </c>
    </row>
    <row r="27271" spans="1:1">
      <c r="A27271" t="s">
        <v>27803</v>
      </c>
    </row>
    <row r="27272" spans="1:1">
      <c r="A27272" t="s">
        <v>27804</v>
      </c>
    </row>
    <row r="27273" spans="1:1">
      <c r="A27273" t="s">
        <v>27805</v>
      </c>
    </row>
    <row r="27274" spans="1:1">
      <c r="A27274" t="s">
        <v>27806</v>
      </c>
    </row>
    <row r="27275" spans="1:1">
      <c r="A27275" t="s">
        <v>27807</v>
      </c>
    </row>
    <row r="27276" spans="1:1">
      <c r="A27276" t="s">
        <v>27808</v>
      </c>
    </row>
    <row r="27277" spans="1:1">
      <c r="A27277" t="s">
        <v>27809</v>
      </c>
    </row>
    <row r="27278" spans="1:1">
      <c r="A27278" t="s">
        <v>27810</v>
      </c>
    </row>
    <row r="27279" spans="1:1">
      <c r="A27279" t="s">
        <v>27811</v>
      </c>
    </row>
    <row r="27280" spans="1:1">
      <c r="A27280" t="s">
        <v>27812</v>
      </c>
    </row>
    <row r="27281" spans="1:1">
      <c r="A27281" t="s">
        <v>27813</v>
      </c>
    </row>
    <row r="27282" spans="1:1">
      <c r="A27282" t="s">
        <v>27814</v>
      </c>
    </row>
    <row r="27283" spans="1:1">
      <c r="A27283" t="s">
        <v>27815</v>
      </c>
    </row>
    <row r="27284" spans="1:1">
      <c r="A27284" t="s">
        <v>27816</v>
      </c>
    </row>
    <row r="27285" spans="1:1">
      <c r="A27285" t="s">
        <v>27817</v>
      </c>
    </row>
    <row r="27286" spans="1:1">
      <c r="A27286" t="s">
        <v>27818</v>
      </c>
    </row>
    <row r="27287" spans="1:1">
      <c r="A27287" t="s">
        <v>27819</v>
      </c>
    </row>
    <row r="27288" spans="1:1">
      <c r="A27288" t="s">
        <v>27820</v>
      </c>
    </row>
    <row r="27289" spans="1:1">
      <c r="A27289" t="s">
        <v>27821</v>
      </c>
    </row>
    <row r="27290" spans="1:1">
      <c r="A27290" t="s">
        <v>27822</v>
      </c>
    </row>
    <row r="27291" spans="1:1">
      <c r="A27291" t="s">
        <v>27823</v>
      </c>
    </row>
    <row r="27292" spans="1:1">
      <c r="A27292" t="s">
        <v>27824</v>
      </c>
    </row>
    <row r="27293" spans="1:1">
      <c r="A27293" t="s">
        <v>27825</v>
      </c>
    </row>
    <row r="27294" spans="1:1">
      <c r="A27294" t="s">
        <v>27826</v>
      </c>
    </row>
    <row r="27295" spans="1:1">
      <c r="A27295" t="s">
        <v>27827</v>
      </c>
    </row>
    <row r="27296" spans="1:1">
      <c r="A27296" t="s">
        <v>27828</v>
      </c>
    </row>
    <row r="27297" spans="1:1">
      <c r="A27297" t="s">
        <v>27829</v>
      </c>
    </row>
    <row r="27298" spans="1:1">
      <c r="A27298" t="s">
        <v>27830</v>
      </c>
    </row>
    <row r="27299" spans="1:1">
      <c r="A27299" t="s">
        <v>27831</v>
      </c>
    </row>
    <row r="27300" spans="1:1">
      <c r="A27300" t="s">
        <v>27832</v>
      </c>
    </row>
    <row r="27301" spans="1:1">
      <c r="A27301" t="s">
        <v>27833</v>
      </c>
    </row>
    <row r="27302" spans="1:1">
      <c r="A27302" t="s">
        <v>27834</v>
      </c>
    </row>
    <row r="27303" spans="1:1">
      <c r="A27303" t="s">
        <v>27835</v>
      </c>
    </row>
    <row r="27304" spans="1:1">
      <c r="A27304" t="s">
        <v>27836</v>
      </c>
    </row>
    <row r="27305" spans="1:1">
      <c r="A27305" t="s">
        <v>27837</v>
      </c>
    </row>
    <row r="27306" spans="1:1">
      <c r="A27306" t="s">
        <v>27838</v>
      </c>
    </row>
    <row r="27307" spans="1:1">
      <c r="A27307" t="s">
        <v>27839</v>
      </c>
    </row>
    <row r="27308" spans="1:1">
      <c r="A27308" t="s">
        <v>27840</v>
      </c>
    </row>
    <row r="27309" spans="1:1">
      <c r="A27309" t="s">
        <v>27841</v>
      </c>
    </row>
    <row r="27310" spans="1:1">
      <c r="A27310" t="s">
        <v>27842</v>
      </c>
    </row>
    <row r="27311" spans="1:1">
      <c r="A27311" t="s">
        <v>27843</v>
      </c>
    </row>
    <row r="27312" spans="1:1">
      <c r="A27312" t="s">
        <v>27844</v>
      </c>
    </row>
    <row r="27313" spans="1:1">
      <c r="A27313" t="s">
        <v>27845</v>
      </c>
    </row>
    <row r="27314" spans="1:1">
      <c r="A27314" t="s">
        <v>27846</v>
      </c>
    </row>
    <row r="27315" spans="1:1">
      <c r="A27315" t="s">
        <v>27847</v>
      </c>
    </row>
    <row r="27316" spans="1:1">
      <c r="A27316" t="s">
        <v>27848</v>
      </c>
    </row>
    <row r="27317" spans="1:1">
      <c r="A27317" t="s">
        <v>27849</v>
      </c>
    </row>
    <row r="27318" spans="1:1">
      <c r="A27318" t="s">
        <v>27850</v>
      </c>
    </row>
    <row r="27319" spans="1:1">
      <c r="A27319" t="s">
        <v>27851</v>
      </c>
    </row>
    <row r="27320" spans="1:1">
      <c r="A27320" t="s">
        <v>27852</v>
      </c>
    </row>
    <row r="27321" spans="1:1">
      <c r="A27321" t="s">
        <v>27853</v>
      </c>
    </row>
    <row r="27322" spans="1:1">
      <c r="A27322" t="s">
        <v>27854</v>
      </c>
    </row>
    <row r="27323" spans="1:1">
      <c r="A27323" t="s">
        <v>27855</v>
      </c>
    </row>
    <row r="27324" spans="1:1">
      <c r="A27324" t="s">
        <v>27856</v>
      </c>
    </row>
    <row r="27325" spans="1:1">
      <c r="A27325" t="s">
        <v>27857</v>
      </c>
    </row>
    <row r="27326" spans="1:1">
      <c r="A27326" t="s">
        <v>27858</v>
      </c>
    </row>
    <row r="27327" spans="1:1">
      <c r="A27327" t="s">
        <v>27859</v>
      </c>
    </row>
    <row r="27328" spans="1:1">
      <c r="A27328" t="s">
        <v>27860</v>
      </c>
    </row>
    <row r="27329" spans="1:1">
      <c r="A27329" t="s">
        <v>27861</v>
      </c>
    </row>
    <row r="27330" spans="1:1">
      <c r="A27330" t="s">
        <v>27862</v>
      </c>
    </row>
    <row r="27331" spans="1:1">
      <c r="A27331" t="s">
        <v>27863</v>
      </c>
    </row>
    <row r="27332" spans="1:1">
      <c r="A27332" t="s">
        <v>27864</v>
      </c>
    </row>
    <row r="27333" spans="1:1">
      <c r="A27333" t="s">
        <v>27865</v>
      </c>
    </row>
    <row r="27334" spans="1:1">
      <c r="A27334" t="s">
        <v>27866</v>
      </c>
    </row>
    <row r="27335" spans="1:1">
      <c r="A27335" t="s">
        <v>27867</v>
      </c>
    </row>
    <row r="27336" spans="1:1">
      <c r="A27336" t="s">
        <v>27868</v>
      </c>
    </row>
    <row r="27337" spans="1:1">
      <c r="A27337" t="s">
        <v>27869</v>
      </c>
    </row>
    <row r="27338" spans="1:1">
      <c r="A27338" t="s">
        <v>27870</v>
      </c>
    </row>
    <row r="27339" spans="1:1">
      <c r="A27339" t="s">
        <v>27871</v>
      </c>
    </row>
    <row r="27340" spans="1:1">
      <c r="A27340" t="s">
        <v>27872</v>
      </c>
    </row>
    <row r="27341" spans="1:1">
      <c r="A27341" t="s">
        <v>27873</v>
      </c>
    </row>
    <row r="27342" spans="1:1">
      <c r="A27342" t="s">
        <v>27874</v>
      </c>
    </row>
    <row r="27343" spans="1:1">
      <c r="A27343" t="s">
        <v>27875</v>
      </c>
    </row>
    <row r="27344" spans="1:1">
      <c r="A27344" t="s">
        <v>27876</v>
      </c>
    </row>
    <row r="27345" spans="1:1">
      <c r="A27345" t="s">
        <v>27877</v>
      </c>
    </row>
    <row r="27346" spans="1:1">
      <c r="A27346" t="s">
        <v>27878</v>
      </c>
    </row>
    <row r="27347" spans="1:1">
      <c r="A27347" t="s">
        <v>27879</v>
      </c>
    </row>
    <row r="27348" spans="1:1">
      <c r="A27348" t="s">
        <v>27880</v>
      </c>
    </row>
    <row r="27349" spans="1:1">
      <c r="A27349" t="s">
        <v>27881</v>
      </c>
    </row>
    <row r="27350" spans="1:1">
      <c r="A27350" t="s">
        <v>27882</v>
      </c>
    </row>
    <row r="27351" spans="1:1">
      <c r="A27351" t="s">
        <v>27883</v>
      </c>
    </row>
    <row r="27352" spans="1:1">
      <c r="A27352" t="s">
        <v>27884</v>
      </c>
    </row>
    <row r="27353" spans="1:1">
      <c r="A27353" t="s">
        <v>27885</v>
      </c>
    </row>
    <row r="27354" spans="1:1">
      <c r="A27354" t="s">
        <v>27886</v>
      </c>
    </row>
    <row r="27355" spans="1:1">
      <c r="A27355" t="s">
        <v>27887</v>
      </c>
    </row>
    <row r="27356" spans="1:1">
      <c r="A27356" t="s">
        <v>27888</v>
      </c>
    </row>
    <row r="27357" spans="1:1">
      <c r="A27357" t="s">
        <v>27889</v>
      </c>
    </row>
    <row r="27358" spans="1:1">
      <c r="A27358" t="s">
        <v>27890</v>
      </c>
    </row>
    <row r="27359" spans="1:1">
      <c r="A27359" t="s">
        <v>27891</v>
      </c>
    </row>
    <row r="27360" spans="1:1">
      <c r="A27360" t="s">
        <v>27892</v>
      </c>
    </row>
    <row r="27361" spans="1:1">
      <c r="A27361" t="s">
        <v>27893</v>
      </c>
    </row>
    <row r="27362" spans="1:1">
      <c r="A27362" t="s">
        <v>27894</v>
      </c>
    </row>
    <row r="27363" spans="1:1">
      <c r="A27363" t="s">
        <v>27895</v>
      </c>
    </row>
    <row r="27364" spans="1:1">
      <c r="A27364" t="s">
        <v>27896</v>
      </c>
    </row>
    <row r="27365" spans="1:1">
      <c r="A27365" t="s">
        <v>27897</v>
      </c>
    </row>
    <row r="27366" spans="1:1">
      <c r="A27366" t="s">
        <v>27898</v>
      </c>
    </row>
    <row r="27367" spans="1:1">
      <c r="A27367" t="s">
        <v>27899</v>
      </c>
    </row>
    <row r="27368" spans="1:1">
      <c r="A27368" t="s">
        <v>27900</v>
      </c>
    </row>
    <row r="27369" spans="1:1">
      <c r="A27369" t="s">
        <v>27901</v>
      </c>
    </row>
    <row r="27370" spans="1:1">
      <c r="A27370" t="s">
        <v>27902</v>
      </c>
    </row>
    <row r="27371" spans="1:1">
      <c r="A27371" t="s">
        <v>27903</v>
      </c>
    </row>
    <row r="27372" spans="1:1">
      <c r="A27372" t="s">
        <v>27904</v>
      </c>
    </row>
    <row r="27373" spans="1:1">
      <c r="A27373" t="s">
        <v>27905</v>
      </c>
    </row>
    <row r="27374" spans="1:1">
      <c r="A27374" t="s">
        <v>27906</v>
      </c>
    </row>
    <row r="27375" spans="1:1">
      <c r="A27375" t="s">
        <v>27907</v>
      </c>
    </row>
    <row r="27376" spans="1:1">
      <c r="A27376" t="s">
        <v>27908</v>
      </c>
    </row>
    <row r="27377" spans="1:1">
      <c r="A27377" t="s">
        <v>27909</v>
      </c>
    </row>
    <row r="27378" spans="1:1">
      <c r="A27378" t="s">
        <v>27910</v>
      </c>
    </row>
    <row r="27379" spans="1:1">
      <c r="A27379" t="s">
        <v>27911</v>
      </c>
    </row>
    <row r="27380" spans="1:1">
      <c r="A27380" t="s">
        <v>27912</v>
      </c>
    </row>
    <row r="27381" spans="1:1">
      <c r="A27381" t="s">
        <v>27913</v>
      </c>
    </row>
    <row r="27382" spans="1:1">
      <c r="A27382" t="s">
        <v>27914</v>
      </c>
    </row>
    <row r="27383" spans="1:1">
      <c r="A27383" t="s">
        <v>27915</v>
      </c>
    </row>
    <row r="27384" spans="1:1">
      <c r="A27384" t="s">
        <v>27916</v>
      </c>
    </row>
    <row r="27385" spans="1:1">
      <c r="A27385" t="s">
        <v>27917</v>
      </c>
    </row>
    <row r="27386" spans="1:1">
      <c r="A27386" t="s">
        <v>27918</v>
      </c>
    </row>
    <row r="27387" spans="1:1">
      <c r="A27387" t="s">
        <v>27919</v>
      </c>
    </row>
    <row r="27388" spans="1:1">
      <c r="A27388" t="s">
        <v>27920</v>
      </c>
    </row>
    <row r="27389" spans="1:1">
      <c r="A27389" t="s">
        <v>27921</v>
      </c>
    </row>
    <row r="27390" spans="1:1">
      <c r="A27390" t="s">
        <v>27922</v>
      </c>
    </row>
    <row r="27391" spans="1:1">
      <c r="A27391" t="s">
        <v>27923</v>
      </c>
    </row>
    <row r="27392" spans="1:1">
      <c r="A27392" t="s">
        <v>27924</v>
      </c>
    </row>
    <row r="27393" spans="1:1">
      <c r="A27393" t="s">
        <v>27925</v>
      </c>
    </row>
    <row r="27394" spans="1:1">
      <c r="A27394" t="s">
        <v>27926</v>
      </c>
    </row>
    <row r="27395" spans="1:1">
      <c r="A27395" t="s">
        <v>27927</v>
      </c>
    </row>
    <row r="27396" spans="1:1">
      <c r="A27396" t="s">
        <v>27928</v>
      </c>
    </row>
    <row r="27397" spans="1:1">
      <c r="A27397" t="s">
        <v>27929</v>
      </c>
    </row>
    <row r="27398" spans="1:1">
      <c r="A27398" t="s">
        <v>27930</v>
      </c>
    </row>
    <row r="27399" spans="1:1">
      <c r="A27399" t="s">
        <v>27931</v>
      </c>
    </row>
    <row r="27400" spans="1:1">
      <c r="A27400" t="s">
        <v>27932</v>
      </c>
    </row>
    <row r="27401" spans="1:1">
      <c r="A27401" t="s">
        <v>27933</v>
      </c>
    </row>
    <row r="27402" spans="1:1">
      <c r="A27402" t="s">
        <v>27934</v>
      </c>
    </row>
    <row r="27403" spans="1:1">
      <c r="A27403" t="s">
        <v>27935</v>
      </c>
    </row>
    <row r="27404" spans="1:1">
      <c r="A27404" t="s">
        <v>27936</v>
      </c>
    </row>
    <row r="27405" spans="1:1">
      <c r="A27405" t="s">
        <v>27937</v>
      </c>
    </row>
    <row r="27406" spans="1:1">
      <c r="A27406" t="s">
        <v>27938</v>
      </c>
    </row>
    <row r="27407" spans="1:1">
      <c r="A27407" t="s">
        <v>27939</v>
      </c>
    </row>
    <row r="27408" spans="1:1">
      <c r="A27408" t="s">
        <v>27940</v>
      </c>
    </row>
    <row r="27409" spans="1:1">
      <c r="A27409" t="s">
        <v>27941</v>
      </c>
    </row>
    <row r="27410" spans="1:1">
      <c r="A27410" t="s">
        <v>27942</v>
      </c>
    </row>
    <row r="27411" spans="1:1">
      <c r="A27411" t="s">
        <v>27943</v>
      </c>
    </row>
    <row r="27412" spans="1:1">
      <c r="A27412" t="s">
        <v>27944</v>
      </c>
    </row>
    <row r="27413" spans="1:1">
      <c r="A27413" t="s">
        <v>27945</v>
      </c>
    </row>
    <row r="27414" spans="1:1">
      <c r="A27414" t="s">
        <v>27946</v>
      </c>
    </row>
    <row r="27415" spans="1:1">
      <c r="A27415" t="s">
        <v>27947</v>
      </c>
    </row>
    <row r="27416" spans="1:1">
      <c r="A27416" t="s">
        <v>27948</v>
      </c>
    </row>
    <row r="27417" spans="1:1">
      <c r="A27417" t="s">
        <v>27949</v>
      </c>
    </row>
    <row r="27418" spans="1:1">
      <c r="A27418" t="s">
        <v>27950</v>
      </c>
    </row>
    <row r="27419" spans="1:1">
      <c r="A27419" t="s">
        <v>27951</v>
      </c>
    </row>
    <row r="27420" spans="1:1">
      <c r="A27420" t="s">
        <v>27952</v>
      </c>
    </row>
    <row r="27421" spans="1:1">
      <c r="A27421" t="s">
        <v>27953</v>
      </c>
    </row>
    <row r="27422" spans="1:1">
      <c r="A27422" t="s">
        <v>27954</v>
      </c>
    </row>
    <row r="27423" spans="1:1">
      <c r="A27423" t="s">
        <v>27955</v>
      </c>
    </row>
    <row r="27424" spans="1:1">
      <c r="A27424" t="s">
        <v>27956</v>
      </c>
    </row>
    <row r="27425" spans="1:1">
      <c r="A27425" t="s">
        <v>27957</v>
      </c>
    </row>
    <row r="27426" spans="1:1">
      <c r="A27426" t="s">
        <v>27958</v>
      </c>
    </row>
    <row r="27427" spans="1:1">
      <c r="A27427" t="s">
        <v>27959</v>
      </c>
    </row>
    <row r="27428" spans="1:1">
      <c r="A27428" t="s">
        <v>27960</v>
      </c>
    </row>
    <row r="27429" spans="1:1">
      <c r="A27429" t="s">
        <v>27961</v>
      </c>
    </row>
    <row r="27430" spans="1:1">
      <c r="A27430" t="s">
        <v>27962</v>
      </c>
    </row>
    <row r="27431" spans="1:1">
      <c r="A27431" t="s">
        <v>27963</v>
      </c>
    </row>
    <row r="27432" spans="1:1">
      <c r="A27432" t="s">
        <v>27964</v>
      </c>
    </row>
    <row r="27433" spans="1:1">
      <c r="A27433" t="s">
        <v>27965</v>
      </c>
    </row>
    <row r="27434" spans="1:1">
      <c r="A27434" t="s">
        <v>27966</v>
      </c>
    </row>
    <row r="27435" spans="1:1">
      <c r="A27435" t="s">
        <v>27967</v>
      </c>
    </row>
    <row r="27436" spans="1:1">
      <c r="A27436" t="s">
        <v>27968</v>
      </c>
    </row>
    <row r="27437" spans="1:1">
      <c r="A27437" t="s">
        <v>27969</v>
      </c>
    </row>
    <row r="27438" spans="1:1">
      <c r="A27438" t="s">
        <v>27970</v>
      </c>
    </row>
    <row r="27439" spans="1:1">
      <c r="A27439" t="s">
        <v>27971</v>
      </c>
    </row>
    <row r="27440" spans="1:1">
      <c r="A27440" t="s">
        <v>27972</v>
      </c>
    </row>
    <row r="27441" spans="1:1">
      <c r="A27441" t="s">
        <v>27973</v>
      </c>
    </row>
    <row r="27442" spans="1:1">
      <c r="A27442" t="s">
        <v>27974</v>
      </c>
    </row>
    <row r="27443" spans="1:1">
      <c r="A27443" t="s">
        <v>27975</v>
      </c>
    </row>
    <row r="27444" spans="1:1">
      <c r="A27444" t="s">
        <v>27976</v>
      </c>
    </row>
    <row r="27445" spans="1:1">
      <c r="A27445" t="s">
        <v>27977</v>
      </c>
    </row>
    <row r="27446" spans="1:1">
      <c r="A27446" t="s">
        <v>27978</v>
      </c>
    </row>
    <row r="27447" spans="1:1">
      <c r="A27447" t="s">
        <v>27979</v>
      </c>
    </row>
    <row r="27448" spans="1:1">
      <c r="A27448" t="s">
        <v>27980</v>
      </c>
    </row>
    <row r="27449" spans="1:1">
      <c r="A27449" t="s">
        <v>27981</v>
      </c>
    </row>
    <row r="27450" spans="1:1">
      <c r="A27450" t="s">
        <v>27982</v>
      </c>
    </row>
    <row r="27451" spans="1:1">
      <c r="A27451" t="s">
        <v>27983</v>
      </c>
    </row>
    <row r="27452" spans="1:1">
      <c r="A27452" t="s">
        <v>27984</v>
      </c>
    </row>
    <row r="27453" spans="1:1">
      <c r="A27453" t="s">
        <v>27985</v>
      </c>
    </row>
    <row r="27454" spans="1:1">
      <c r="A27454" t="s">
        <v>27986</v>
      </c>
    </row>
    <row r="27455" spans="1:1">
      <c r="A27455" t="s">
        <v>27987</v>
      </c>
    </row>
    <row r="27456" spans="1:1">
      <c r="A27456" t="s">
        <v>27988</v>
      </c>
    </row>
    <row r="27457" spans="1:1">
      <c r="A27457" t="s">
        <v>27989</v>
      </c>
    </row>
    <row r="27458" spans="1:1">
      <c r="A27458" t="s">
        <v>27990</v>
      </c>
    </row>
    <row r="27459" spans="1:1">
      <c r="A27459" t="s">
        <v>27991</v>
      </c>
    </row>
    <row r="27460" spans="1:1">
      <c r="A27460" t="s">
        <v>27992</v>
      </c>
    </row>
    <row r="27461" spans="1:1">
      <c r="A27461" t="s">
        <v>27993</v>
      </c>
    </row>
    <row r="27462" spans="1:1">
      <c r="A27462" t="s">
        <v>27994</v>
      </c>
    </row>
    <row r="27463" spans="1:1">
      <c r="A27463" t="s">
        <v>27995</v>
      </c>
    </row>
    <row r="27464" spans="1:1">
      <c r="A27464" t="s">
        <v>27996</v>
      </c>
    </row>
    <row r="27465" spans="1:1">
      <c r="A27465" t="s">
        <v>27997</v>
      </c>
    </row>
    <row r="27466" spans="1:1">
      <c r="A27466" t="s">
        <v>27998</v>
      </c>
    </row>
    <row r="27467" spans="1:1">
      <c r="A27467" t="s">
        <v>27999</v>
      </c>
    </row>
    <row r="27468" spans="1:1">
      <c r="A27468" t="s">
        <v>28000</v>
      </c>
    </row>
    <row r="27469" spans="1:1">
      <c r="A27469" t="s">
        <v>28001</v>
      </c>
    </row>
    <row r="27470" spans="1:1">
      <c r="A27470" t="s">
        <v>28002</v>
      </c>
    </row>
    <row r="27471" spans="1:1">
      <c r="A27471" t="s">
        <v>28003</v>
      </c>
    </row>
    <row r="27472" spans="1:1">
      <c r="A27472" t="s">
        <v>28004</v>
      </c>
    </row>
    <row r="27473" spans="1:1">
      <c r="A27473" t="s">
        <v>28005</v>
      </c>
    </row>
    <row r="27474" spans="1:1">
      <c r="A27474" t="s">
        <v>28006</v>
      </c>
    </row>
    <row r="27475" spans="1:1">
      <c r="A27475" t="s">
        <v>28007</v>
      </c>
    </row>
    <row r="27476" spans="1:1">
      <c r="A27476" t="s">
        <v>28008</v>
      </c>
    </row>
    <row r="27477" spans="1:1">
      <c r="A27477" t="s">
        <v>28009</v>
      </c>
    </row>
    <row r="27478" spans="1:1">
      <c r="A27478" t="s">
        <v>28010</v>
      </c>
    </row>
    <row r="27479" spans="1:1">
      <c r="A27479" t="s">
        <v>28011</v>
      </c>
    </row>
    <row r="27480" spans="1:1">
      <c r="A27480" t="s">
        <v>28012</v>
      </c>
    </row>
    <row r="27481" spans="1:1">
      <c r="A27481" t="s">
        <v>28013</v>
      </c>
    </row>
    <row r="27482" spans="1:1">
      <c r="A27482" t="s">
        <v>28014</v>
      </c>
    </row>
    <row r="27483" spans="1:1">
      <c r="A27483" t="s">
        <v>28015</v>
      </c>
    </row>
    <row r="27484" spans="1:1">
      <c r="A27484" t="s">
        <v>28016</v>
      </c>
    </row>
    <row r="27485" spans="1:1">
      <c r="A27485" t="s">
        <v>28017</v>
      </c>
    </row>
    <row r="27486" spans="1:1">
      <c r="A27486" t="s">
        <v>28018</v>
      </c>
    </row>
    <row r="27487" spans="1:1">
      <c r="A27487" t="s">
        <v>28019</v>
      </c>
    </row>
    <row r="27488" spans="1:1">
      <c r="A27488" t="s">
        <v>28020</v>
      </c>
    </row>
    <row r="27489" spans="1:1">
      <c r="A27489" t="s">
        <v>28021</v>
      </c>
    </row>
    <row r="27490" spans="1:1">
      <c r="A27490" t="s">
        <v>28022</v>
      </c>
    </row>
    <row r="27491" spans="1:1">
      <c r="A27491" t="s">
        <v>28023</v>
      </c>
    </row>
    <row r="27492" spans="1:1">
      <c r="A27492" t="s">
        <v>28024</v>
      </c>
    </row>
    <row r="27493" spans="1:1">
      <c r="A27493" t="s">
        <v>28025</v>
      </c>
    </row>
    <row r="27494" spans="1:1">
      <c r="A27494" t="s">
        <v>28026</v>
      </c>
    </row>
    <row r="27495" spans="1:1">
      <c r="A27495" t="s">
        <v>28027</v>
      </c>
    </row>
    <row r="27496" spans="1:1">
      <c r="A27496" t="s">
        <v>28028</v>
      </c>
    </row>
    <row r="27497" spans="1:1">
      <c r="A27497" t="s">
        <v>28029</v>
      </c>
    </row>
    <row r="27498" spans="1:1">
      <c r="A27498" t="s">
        <v>28030</v>
      </c>
    </row>
    <row r="27499" spans="1:1">
      <c r="A27499" t="s">
        <v>28031</v>
      </c>
    </row>
    <row r="27500" spans="1:1">
      <c r="A27500" t="s">
        <v>28032</v>
      </c>
    </row>
    <row r="27501" spans="1:1">
      <c r="A27501" t="s">
        <v>28033</v>
      </c>
    </row>
    <row r="27502" spans="1:1">
      <c r="A27502" t="s">
        <v>28034</v>
      </c>
    </row>
    <row r="27503" spans="1:1">
      <c r="A27503" t="s">
        <v>28035</v>
      </c>
    </row>
    <row r="27504" spans="1:1">
      <c r="A27504" t="s">
        <v>28036</v>
      </c>
    </row>
    <row r="27505" spans="1:1">
      <c r="A27505" t="s">
        <v>28037</v>
      </c>
    </row>
    <row r="27506" spans="1:1">
      <c r="A27506" t="s">
        <v>28038</v>
      </c>
    </row>
    <row r="27507" spans="1:1">
      <c r="A27507" t="s">
        <v>28039</v>
      </c>
    </row>
    <row r="27508" spans="1:1">
      <c r="A27508" t="s">
        <v>28040</v>
      </c>
    </row>
    <row r="27509" spans="1:1">
      <c r="A27509" t="s">
        <v>28041</v>
      </c>
    </row>
    <row r="27510" spans="1:1">
      <c r="A27510" t="s">
        <v>28042</v>
      </c>
    </row>
    <row r="27511" spans="1:1">
      <c r="A27511" t="s">
        <v>28043</v>
      </c>
    </row>
    <row r="27512" spans="1:1">
      <c r="A27512" t="s">
        <v>28044</v>
      </c>
    </row>
    <row r="27513" spans="1:1">
      <c r="A27513" t="s">
        <v>28045</v>
      </c>
    </row>
    <row r="27514" spans="1:1">
      <c r="A27514" t="s">
        <v>28046</v>
      </c>
    </row>
    <row r="27515" spans="1:1">
      <c r="A27515" t="s">
        <v>28047</v>
      </c>
    </row>
    <row r="27516" spans="1:1">
      <c r="A27516" t="s">
        <v>28048</v>
      </c>
    </row>
    <row r="27517" spans="1:1">
      <c r="A27517" t="s">
        <v>28049</v>
      </c>
    </row>
    <row r="27518" spans="1:1">
      <c r="A27518" t="s">
        <v>28050</v>
      </c>
    </row>
    <row r="27519" spans="1:1">
      <c r="A27519" t="s">
        <v>28051</v>
      </c>
    </row>
    <row r="27520" spans="1:1">
      <c r="A27520" t="s">
        <v>28052</v>
      </c>
    </row>
    <row r="27521" spans="1:1">
      <c r="A27521" t="s">
        <v>28053</v>
      </c>
    </row>
    <row r="27522" spans="1:1">
      <c r="A27522" t="s">
        <v>28054</v>
      </c>
    </row>
    <row r="27523" spans="1:1">
      <c r="A27523" t="s">
        <v>28055</v>
      </c>
    </row>
    <row r="27524" spans="1:1">
      <c r="A27524" t="s">
        <v>28056</v>
      </c>
    </row>
    <row r="27525" spans="1:1">
      <c r="A27525" t="s">
        <v>28057</v>
      </c>
    </row>
    <row r="27526" spans="1:1">
      <c r="A27526" t="s">
        <v>28058</v>
      </c>
    </row>
    <row r="27527" spans="1:1">
      <c r="A27527" t="s">
        <v>28059</v>
      </c>
    </row>
    <row r="27528" spans="1:1">
      <c r="A27528" t="s">
        <v>28060</v>
      </c>
    </row>
    <row r="27529" spans="1:1">
      <c r="A27529" t="s">
        <v>28061</v>
      </c>
    </row>
    <row r="27530" spans="1:1">
      <c r="A27530" t="s">
        <v>28062</v>
      </c>
    </row>
    <row r="27531" spans="1:1">
      <c r="A27531" t="s">
        <v>28063</v>
      </c>
    </row>
    <row r="27532" spans="1:1">
      <c r="A27532" t="s">
        <v>28064</v>
      </c>
    </row>
    <row r="27533" spans="1:1">
      <c r="A27533" t="s">
        <v>28065</v>
      </c>
    </row>
    <row r="27534" spans="1:1">
      <c r="A27534" t="s">
        <v>28066</v>
      </c>
    </row>
    <row r="27535" spans="1:1">
      <c r="A27535" t="s">
        <v>28067</v>
      </c>
    </row>
    <row r="27536" spans="1:1">
      <c r="A27536" t="s">
        <v>28068</v>
      </c>
    </row>
    <row r="27537" spans="1:1">
      <c r="A27537" t="s">
        <v>28069</v>
      </c>
    </row>
    <row r="27538" spans="1:1">
      <c r="A27538" t="s">
        <v>28070</v>
      </c>
    </row>
    <row r="27539" spans="1:1">
      <c r="A27539" t="s">
        <v>28071</v>
      </c>
    </row>
    <row r="27540" spans="1:1">
      <c r="A27540" t="s">
        <v>28072</v>
      </c>
    </row>
    <row r="27541" spans="1:1">
      <c r="A27541" t="s">
        <v>28073</v>
      </c>
    </row>
    <row r="27542" spans="1:1">
      <c r="A27542" t="s">
        <v>28074</v>
      </c>
    </row>
    <row r="27543" spans="1:1">
      <c r="A27543" t="s">
        <v>28075</v>
      </c>
    </row>
    <row r="27544" spans="1:1">
      <c r="A27544" t="s">
        <v>28076</v>
      </c>
    </row>
    <row r="27545" spans="1:1">
      <c r="A27545" t="s">
        <v>28077</v>
      </c>
    </row>
    <row r="27546" spans="1:1">
      <c r="A27546" t="s">
        <v>28078</v>
      </c>
    </row>
    <row r="27547" spans="1:1">
      <c r="A27547" t="s">
        <v>28079</v>
      </c>
    </row>
    <row r="27548" spans="1:1">
      <c r="A27548" t="s">
        <v>28080</v>
      </c>
    </row>
    <row r="27549" spans="1:1">
      <c r="A27549" t="s">
        <v>28081</v>
      </c>
    </row>
    <row r="27550" spans="1:1">
      <c r="A27550" t="s">
        <v>28082</v>
      </c>
    </row>
    <row r="27551" spans="1:1">
      <c r="A27551" t="s">
        <v>28083</v>
      </c>
    </row>
    <row r="27552" spans="1:1">
      <c r="A27552" t="s">
        <v>28084</v>
      </c>
    </row>
    <row r="27553" spans="1:1">
      <c r="A27553" t="s">
        <v>28085</v>
      </c>
    </row>
    <row r="27554" spans="1:1">
      <c r="A27554" t="s">
        <v>28086</v>
      </c>
    </row>
    <row r="27555" spans="1:1">
      <c r="A27555" t="s">
        <v>28087</v>
      </c>
    </row>
    <row r="27556" spans="1:1">
      <c r="A27556" t="s">
        <v>28088</v>
      </c>
    </row>
    <row r="27557" spans="1:1">
      <c r="A27557" t="s">
        <v>28089</v>
      </c>
    </row>
    <row r="27558" spans="1:1">
      <c r="A27558" t="s">
        <v>28090</v>
      </c>
    </row>
    <row r="27559" spans="1:1">
      <c r="A27559" t="s">
        <v>28091</v>
      </c>
    </row>
    <row r="27560" spans="1:1">
      <c r="A27560" t="s">
        <v>28092</v>
      </c>
    </row>
    <row r="27561" spans="1:1">
      <c r="A27561" t="s">
        <v>28093</v>
      </c>
    </row>
    <row r="27562" spans="1:1">
      <c r="A27562" t="s">
        <v>28094</v>
      </c>
    </row>
    <row r="27563" spans="1:1">
      <c r="A27563" t="s">
        <v>28095</v>
      </c>
    </row>
    <row r="27564" spans="1:1">
      <c r="A27564" t="s">
        <v>28096</v>
      </c>
    </row>
    <row r="27565" spans="1:1">
      <c r="A27565" t="s">
        <v>28097</v>
      </c>
    </row>
    <row r="27566" spans="1:1">
      <c r="A27566" t="s">
        <v>28098</v>
      </c>
    </row>
    <row r="27567" spans="1:1">
      <c r="A27567" t="s">
        <v>28099</v>
      </c>
    </row>
    <row r="27568" spans="1:1">
      <c r="A27568" t="s">
        <v>28100</v>
      </c>
    </row>
    <row r="27569" spans="1:1">
      <c r="A27569" t="s">
        <v>28101</v>
      </c>
    </row>
    <row r="27570" spans="1:1">
      <c r="A27570" t="s">
        <v>28102</v>
      </c>
    </row>
    <row r="27571" spans="1:1">
      <c r="A27571" t="s">
        <v>28103</v>
      </c>
    </row>
    <row r="27572" spans="1:1">
      <c r="A27572" t="s">
        <v>28104</v>
      </c>
    </row>
    <row r="27573" spans="1:1">
      <c r="A27573" t="s">
        <v>28105</v>
      </c>
    </row>
    <row r="27574" spans="1:1">
      <c r="A27574" t="s">
        <v>28106</v>
      </c>
    </row>
    <row r="27575" spans="1:1">
      <c r="A27575" t="s">
        <v>28107</v>
      </c>
    </row>
    <row r="27576" spans="1:1">
      <c r="A27576" t="s">
        <v>28108</v>
      </c>
    </row>
    <row r="27577" spans="1:1">
      <c r="A27577" t="s">
        <v>28109</v>
      </c>
    </row>
    <row r="27578" spans="1:1">
      <c r="A27578" t="s">
        <v>28110</v>
      </c>
    </row>
    <row r="27579" spans="1:1">
      <c r="A27579" t="s">
        <v>28111</v>
      </c>
    </row>
    <row r="27580" spans="1:1">
      <c r="A27580" t="s">
        <v>28112</v>
      </c>
    </row>
    <row r="27581" spans="1:1">
      <c r="A27581" t="s">
        <v>28113</v>
      </c>
    </row>
    <row r="27582" spans="1:1">
      <c r="A27582" t="s">
        <v>28114</v>
      </c>
    </row>
    <row r="27583" spans="1:1">
      <c r="A27583" t="s">
        <v>28115</v>
      </c>
    </row>
    <row r="27584" spans="1:1">
      <c r="A27584" t="s">
        <v>28116</v>
      </c>
    </row>
    <row r="27585" spans="1:1">
      <c r="A27585" t="s">
        <v>28117</v>
      </c>
    </row>
    <row r="27586" spans="1:1">
      <c r="A27586" t="s">
        <v>28118</v>
      </c>
    </row>
    <row r="27587" spans="1:1">
      <c r="A27587" t="s">
        <v>28119</v>
      </c>
    </row>
    <row r="27588" spans="1:1">
      <c r="A27588" t="s">
        <v>28120</v>
      </c>
    </row>
    <row r="27589" spans="1:1">
      <c r="A27589" t="s">
        <v>28121</v>
      </c>
    </row>
    <row r="27590" spans="1:1">
      <c r="A27590" t="s">
        <v>28122</v>
      </c>
    </row>
    <row r="27591" spans="1:1">
      <c r="A27591" t="s">
        <v>28123</v>
      </c>
    </row>
    <row r="27592" spans="1:1">
      <c r="A27592" t="s">
        <v>28124</v>
      </c>
    </row>
    <row r="27593" spans="1:1">
      <c r="A27593" t="s">
        <v>28125</v>
      </c>
    </row>
    <row r="27594" spans="1:1">
      <c r="A27594" t="s">
        <v>28126</v>
      </c>
    </row>
    <row r="27595" spans="1:1">
      <c r="A27595" t="s">
        <v>28127</v>
      </c>
    </row>
    <row r="27596" spans="1:1">
      <c r="A27596" t="s">
        <v>28128</v>
      </c>
    </row>
    <row r="27597" spans="1:1">
      <c r="A27597" t="s">
        <v>28129</v>
      </c>
    </row>
    <row r="27598" spans="1:1">
      <c r="A27598" t="s">
        <v>28130</v>
      </c>
    </row>
    <row r="27599" spans="1:1">
      <c r="A27599" t="s">
        <v>28131</v>
      </c>
    </row>
    <row r="27600" spans="1:1">
      <c r="A27600" t="s">
        <v>28132</v>
      </c>
    </row>
    <row r="27601" spans="1:1">
      <c r="A27601" t="s">
        <v>28133</v>
      </c>
    </row>
    <row r="27602" spans="1:1">
      <c r="A27602" t="s">
        <v>28134</v>
      </c>
    </row>
    <row r="27603" spans="1:1">
      <c r="A27603" t="s">
        <v>28135</v>
      </c>
    </row>
    <row r="27604" spans="1:1">
      <c r="A27604" t="s">
        <v>28136</v>
      </c>
    </row>
    <row r="27605" spans="1:1">
      <c r="A27605" t="s">
        <v>28137</v>
      </c>
    </row>
    <row r="27606" spans="1:1">
      <c r="A27606" t="s">
        <v>28138</v>
      </c>
    </row>
    <row r="27607" spans="1:1">
      <c r="A27607" t="s">
        <v>28139</v>
      </c>
    </row>
    <row r="27608" spans="1:1">
      <c r="A27608" t="s">
        <v>28140</v>
      </c>
    </row>
    <row r="27609" spans="1:1">
      <c r="A27609" t="s">
        <v>28141</v>
      </c>
    </row>
    <row r="27610" spans="1:1">
      <c r="A27610" t="s">
        <v>28142</v>
      </c>
    </row>
    <row r="27611" spans="1:1">
      <c r="A27611" t="s">
        <v>28143</v>
      </c>
    </row>
    <row r="27612" spans="1:1">
      <c r="A27612" t="s">
        <v>28144</v>
      </c>
    </row>
    <row r="27613" spans="1:1">
      <c r="A27613" t="s">
        <v>28145</v>
      </c>
    </row>
    <row r="27614" spans="1:1">
      <c r="A27614" t="s">
        <v>28146</v>
      </c>
    </row>
    <row r="27615" spans="1:1">
      <c r="A27615" t="s">
        <v>28147</v>
      </c>
    </row>
    <row r="27616" spans="1:1">
      <c r="A27616" t="s">
        <v>28148</v>
      </c>
    </row>
    <row r="27617" spans="1:1">
      <c r="A27617" t="s">
        <v>28149</v>
      </c>
    </row>
    <row r="27618" spans="1:1">
      <c r="A27618" t="s">
        <v>28150</v>
      </c>
    </row>
    <row r="27619" spans="1:1">
      <c r="A27619" t="s">
        <v>28151</v>
      </c>
    </row>
    <row r="27620" spans="1:1">
      <c r="A27620" t="s">
        <v>28152</v>
      </c>
    </row>
    <row r="27621" spans="1:1">
      <c r="A27621" t="s">
        <v>28153</v>
      </c>
    </row>
    <row r="27622" spans="1:1">
      <c r="A27622" t="s">
        <v>28154</v>
      </c>
    </row>
    <row r="27623" spans="1:1">
      <c r="A27623" t="s">
        <v>28155</v>
      </c>
    </row>
    <row r="27624" spans="1:1">
      <c r="A27624" t="s">
        <v>28156</v>
      </c>
    </row>
    <row r="27625" spans="1:1">
      <c r="A27625" t="s">
        <v>28157</v>
      </c>
    </row>
    <row r="27626" spans="1:1">
      <c r="A27626" t="s">
        <v>28158</v>
      </c>
    </row>
    <row r="27627" spans="1:1">
      <c r="A27627" t="s">
        <v>28159</v>
      </c>
    </row>
    <row r="27628" spans="1:1">
      <c r="A27628" t="s">
        <v>28160</v>
      </c>
    </row>
    <row r="27629" spans="1:1">
      <c r="A27629" t="s">
        <v>28161</v>
      </c>
    </row>
    <row r="27630" spans="1:1">
      <c r="A27630" t="s">
        <v>28162</v>
      </c>
    </row>
    <row r="27631" spans="1:1">
      <c r="A27631" t="s">
        <v>28163</v>
      </c>
    </row>
    <row r="27632" spans="1:1">
      <c r="A27632" t="s">
        <v>28164</v>
      </c>
    </row>
    <row r="27633" spans="1:1">
      <c r="A27633" t="s">
        <v>28165</v>
      </c>
    </row>
    <row r="27634" spans="1:1">
      <c r="A27634" t="s">
        <v>28166</v>
      </c>
    </row>
    <row r="27635" spans="1:1">
      <c r="A27635" t="s">
        <v>28167</v>
      </c>
    </row>
    <row r="27636" spans="1:1">
      <c r="A27636" t="s">
        <v>28168</v>
      </c>
    </row>
    <row r="27637" spans="1:1">
      <c r="A27637" t="s">
        <v>28169</v>
      </c>
    </row>
    <row r="27638" spans="1:1">
      <c r="A27638" t="s">
        <v>28170</v>
      </c>
    </row>
    <row r="27639" spans="1:1">
      <c r="A27639" t="s">
        <v>28171</v>
      </c>
    </row>
    <row r="27640" spans="1:1">
      <c r="A27640" t="s">
        <v>28172</v>
      </c>
    </row>
    <row r="27641" spans="1:1">
      <c r="A27641" t="s">
        <v>28173</v>
      </c>
    </row>
    <row r="27642" spans="1:1">
      <c r="A27642" t="s">
        <v>28174</v>
      </c>
    </row>
    <row r="27643" spans="1:1">
      <c r="A27643" t="s">
        <v>28175</v>
      </c>
    </row>
    <row r="27644" spans="1:1">
      <c r="A27644" t="s">
        <v>28176</v>
      </c>
    </row>
    <row r="27645" spans="1:1">
      <c r="A27645" t="s">
        <v>28177</v>
      </c>
    </row>
    <row r="27646" spans="1:1">
      <c r="A27646" t="s">
        <v>28178</v>
      </c>
    </row>
    <row r="27647" spans="1:1">
      <c r="A27647" t="s">
        <v>28179</v>
      </c>
    </row>
    <row r="27648" spans="1:1">
      <c r="A27648" t="s">
        <v>28180</v>
      </c>
    </row>
    <row r="27649" spans="1:1">
      <c r="A27649" t="s">
        <v>28181</v>
      </c>
    </row>
    <row r="27650" spans="1:1">
      <c r="A27650" t="s">
        <v>28182</v>
      </c>
    </row>
    <row r="27651" spans="1:1">
      <c r="A27651" t="s">
        <v>28183</v>
      </c>
    </row>
    <row r="27652" spans="1:1">
      <c r="A27652" t="s">
        <v>28184</v>
      </c>
    </row>
    <row r="27653" spans="1:1">
      <c r="A27653" t="s">
        <v>28185</v>
      </c>
    </row>
    <row r="27654" spans="1:1">
      <c r="A27654" t="s">
        <v>28186</v>
      </c>
    </row>
    <row r="27655" spans="1:1">
      <c r="A27655" t="s">
        <v>28187</v>
      </c>
    </row>
    <row r="27656" spans="1:1">
      <c r="A27656" t="s">
        <v>28188</v>
      </c>
    </row>
    <row r="27657" spans="1:1">
      <c r="A27657" t="s">
        <v>28189</v>
      </c>
    </row>
    <row r="27658" spans="1:1">
      <c r="A27658" t="s">
        <v>28190</v>
      </c>
    </row>
    <row r="27659" spans="1:1">
      <c r="A27659" t="s">
        <v>28191</v>
      </c>
    </row>
    <row r="27660" spans="1:1">
      <c r="A27660" t="s">
        <v>28192</v>
      </c>
    </row>
    <row r="27661" spans="1:1">
      <c r="A27661" t="s">
        <v>28193</v>
      </c>
    </row>
    <row r="27662" spans="1:1">
      <c r="A27662" t="s">
        <v>28194</v>
      </c>
    </row>
    <row r="27663" spans="1:1">
      <c r="A27663" t="s">
        <v>28195</v>
      </c>
    </row>
    <row r="27664" spans="1:1">
      <c r="A27664" t="s">
        <v>28196</v>
      </c>
    </row>
    <row r="27665" spans="1:1">
      <c r="A27665" t="s">
        <v>28197</v>
      </c>
    </row>
    <row r="27666" spans="1:1">
      <c r="A27666" t="s">
        <v>28198</v>
      </c>
    </row>
    <row r="27667" spans="1:1">
      <c r="A27667" t="s">
        <v>28199</v>
      </c>
    </row>
    <row r="27668" spans="1:1">
      <c r="A27668" t="s">
        <v>28200</v>
      </c>
    </row>
    <row r="27669" spans="1:1">
      <c r="A27669" t="s">
        <v>28201</v>
      </c>
    </row>
    <row r="27670" spans="1:1">
      <c r="A27670" t="s">
        <v>28202</v>
      </c>
    </row>
    <row r="27671" spans="1:1">
      <c r="A27671" t="s">
        <v>28203</v>
      </c>
    </row>
    <row r="27672" spans="1:1">
      <c r="A27672" t="s">
        <v>28204</v>
      </c>
    </row>
    <row r="27673" spans="1:1">
      <c r="A27673" t="s">
        <v>28205</v>
      </c>
    </row>
    <row r="27674" spans="1:1">
      <c r="A27674" t="s">
        <v>28206</v>
      </c>
    </row>
    <row r="27675" spans="1:1">
      <c r="A27675" t="s">
        <v>28207</v>
      </c>
    </row>
    <row r="27676" spans="1:1">
      <c r="A27676" t="s">
        <v>28208</v>
      </c>
    </row>
    <row r="27677" spans="1:1">
      <c r="A27677" t="s">
        <v>28209</v>
      </c>
    </row>
    <row r="27678" spans="1:1">
      <c r="A27678" t="s">
        <v>28210</v>
      </c>
    </row>
    <row r="27679" spans="1:1">
      <c r="A27679" t="s">
        <v>28211</v>
      </c>
    </row>
    <row r="27680" spans="1:1">
      <c r="A27680" t="s">
        <v>28212</v>
      </c>
    </row>
    <row r="27681" spans="1:1">
      <c r="A27681" t="s">
        <v>28213</v>
      </c>
    </row>
    <row r="27682" spans="1:1">
      <c r="A27682" t="s">
        <v>28214</v>
      </c>
    </row>
    <row r="27683" spans="1:1">
      <c r="A27683" t="s">
        <v>28215</v>
      </c>
    </row>
    <row r="27684" spans="1:1">
      <c r="A27684" t="s">
        <v>28216</v>
      </c>
    </row>
    <row r="27685" spans="1:1">
      <c r="A27685" t="s">
        <v>28217</v>
      </c>
    </row>
    <row r="27686" spans="1:1">
      <c r="A27686" t="s">
        <v>28218</v>
      </c>
    </row>
    <row r="27687" spans="1:1">
      <c r="A27687" t="s">
        <v>28219</v>
      </c>
    </row>
    <row r="27688" spans="1:1">
      <c r="A27688" t="s">
        <v>28220</v>
      </c>
    </row>
    <row r="27689" spans="1:1">
      <c r="A27689" t="s">
        <v>28221</v>
      </c>
    </row>
    <row r="27690" spans="1:1">
      <c r="A27690" t="s">
        <v>28222</v>
      </c>
    </row>
    <row r="27691" spans="1:1">
      <c r="A27691" t="s">
        <v>28223</v>
      </c>
    </row>
    <row r="27692" spans="1:1">
      <c r="A27692" t="s">
        <v>28224</v>
      </c>
    </row>
    <row r="27693" spans="1:1">
      <c r="A27693" t="s">
        <v>28225</v>
      </c>
    </row>
    <row r="27694" spans="1:1">
      <c r="A27694" t="s">
        <v>28226</v>
      </c>
    </row>
    <row r="27695" spans="1:1">
      <c r="A27695" t="s">
        <v>28227</v>
      </c>
    </row>
    <row r="27696" spans="1:1">
      <c r="A27696" t="s">
        <v>28228</v>
      </c>
    </row>
    <row r="27697" spans="1:1">
      <c r="A27697" t="s">
        <v>28229</v>
      </c>
    </row>
    <row r="27698" spans="1:1">
      <c r="A27698" t="s">
        <v>28230</v>
      </c>
    </row>
    <row r="27699" spans="1:1">
      <c r="A27699" t="s">
        <v>28231</v>
      </c>
    </row>
    <row r="27700" spans="1:1">
      <c r="A27700" t="s">
        <v>28232</v>
      </c>
    </row>
    <row r="27701" spans="1:1">
      <c r="A27701" t="s">
        <v>28233</v>
      </c>
    </row>
    <row r="27702" spans="1:1">
      <c r="A27702" t="s">
        <v>28234</v>
      </c>
    </row>
    <row r="27703" spans="1:1">
      <c r="A27703" t="s">
        <v>28235</v>
      </c>
    </row>
    <row r="27704" spans="1:1">
      <c r="A27704" t="s">
        <v>28236</v>
      </c>
    </row>
    <row r="27705" spans="1:1">
      <c r="A27705" t="s">
        <v>28237</v>
      </c>
    </row>
    <row r="27706" spans="1:1">
      <c r="A27706" t="s">
        <v>28238</v>
      </c>
    </row>
    <row r="27707" spans="1:1">
      <c r="A27707" t="s">
        <v>28239</v>
      </c>
    </row>
    <row r="27708" spans="1:1">
      <c r="A27708" t="s">
        <v>28240</v>
      </c>
    </row>
    <row r="27709" spans="1:1">
      <c r="A27709" t="s">
        <v>28241</v>
      </c>
    </row>
    <row r="27710" spans="1:1">
      <c r="A27710" t="s">
        <v>28242</v>
      </c>
    </row>
    <row r="27711" spans="1:1">
      <c r="A27711" t="s">
        <v>28243</v>
      </c>
    </row>
    <row r="27712" spans="1:1">
      <c r="A27712" t="s">
        <v>28244</v>
      </c>
    </row>
    <row r="27713" spans="1:1">
      <c r="A27713" t="s">
        <v>28245</v>
      </c>
    </row>
    <row r="27714" spans="1:1">
      <c r="A27714" t="s">
        <v>28246</v>
      </c>
    </row>
    <row r="27715" spans="1:1">
      <c r="A27715" t="s">
        <v>28247</v>
      </c>
    </row>
    <row r="27716" spans="1:1">
      <c r="A27716" t="s">
        <v>28248</v>
      </c>
    </row>
    <row r="27717" spans="1:1">
      <c r="A27717" t="s">
        <v>28249</v>
      </c>
    </row>
    <row r="27718" spans="1:1">
      <c r="A27718" t="s">
        <v>28250</v>
      </c>
    </row>
    <row r="27719" spans="1:1">
      <c r="A27719" t="s">
        <v>28251</v>
      </c>
    </row>
    <row r="27720" spans="1:1">
      <c r="A27720" t="s">
        <v>28252</v>
      </c>
    </row>
    <row r="27721" spans="1:1">
      <c r="A27721" t="s">
        <v>28253</v>
      </c>
    </row>
    <row r="27722" spans="1:1">
      <c r="A27722" t="s">
        <v>28254</v>
      </c>
    </row>
    <row r="27723" spans="1:1">
      <c r="A27723" t="s">
        <v>28255</v>
      </c>
    </row>
    <row r="27724" spans="1:1">
      <c r="A27724" t="s">
        <v>28256</v>
      </c>
    </row>
    <row r="27725" spans="1:1">
      <c r="A27725" t="s">
        <v>28257</v>
      </c>
    </row>
    <row r="27726" spans="1:1">
      <c r="A27726" t="s">
        <v>28258</v>
      </c>
    </row>
    <row r="27727" spans="1:1">
      <c r="A27727" t="s">
        <v>28259</v>
      </c>
    </row>
    <row r="27728" spans="1:1">
      <c r="A27728" t="s">
        <v>28260</v>
      </c>
    </row>
    <row r="27729" spans="1:1">
      <c r="A27729" t="s">
        <v>28261</v>
      </c>
    </row>
    <row r="27730" spans="1:1">
      <c r="A27730" t="s">
        <v>28262</v>
      </c>
    </row>
    <row r="27731" spans="1:1">
      <c r="A27731" t="s">
        <v>28263</v>
      </c>
    </row>
    <row r="27732" spans="1:1">
      <c r="A27732" t="s">
        <v>28264</v>
      </c>
    </row>
    <row r="27733" spans="1:1">
      <c r="A27733" t="s">
        <v>28265</v>
      </c>
    </row>
    <row r="27734" spans="1:1">
      <c r="A27734" t="s">
        <v>28266</v>
      </c>
    </row>
    <row r="27735" spans="1:1">
      <c r="A27735" t="s">
        <v>28267</v>
      </c>
    </row>
    <row r="27736" spans="1:1">
      <c r="A27736" t="s">
        <v>28268</v>
      </c>
    </row>
    <row r="27737" spans="1:1">
      <c r="A27737" t="s">
        <v>28269</v>
      </c>
    </row>
    <row r="27738" spans="1:1">
      <c r="A27738" t="s">
        <v>28270</v>
      </c>
    </row>
    <row r="27739" spans="1:1">
      <c r="A27739" t="s">
        <v>28271</v>
      </c>
    </row>
    <row r="27740" spans="1:1">
      <c r="A27740" t="s">
        <v>28272</v>
      </c>
    </row>
    <row r="27741" spans="1:1">
      <c r="A27741" t="s">
        <v>28273</v>
      </c>
    </row>
    <row r="27742" spans="1:1">
      <c r="A27742" t="s">
        <v>28274</v>
      </c>
    </row>
    <row r="27743" spans="1:1">
      <c r="A27743" t="s">
        <v>28275</v>
      </c>
    </row>
    <row r="27744" spans="1:1">
      <c r="A27744" t="s">
        <v>28276</v>
      </c>
    </row>
    <row r="27745" spans="1:1">
      <c r="A27745" t="s">
        <v>28277</v>
      </c>
    </row>
    <row r="27746" spans="1:1">
      <c r="A27746" t="s">
        <v>28278</v>
      </c>
    </row>
    <row r="27747" spans="1:1">
      <c r="A27747" t="s">
        <v>28279</v>
      </c>
    </row>
    <row r="27748" spans="1:1">
      <c r="A27748" t="s">
        <v>28280</v>
      </c>
    </row>
    <row r="27749" spans="1:1">
      <c r="A27749" t="s">
        <v>28281</v>
      </c>
    </row>
    <row r="27750" spans="1:1">
      <c r="A27750" t="s">
        <v>28282</v>
      </c>
    </row>
    <row r="27751" spans="1:1">
      <c r="A27751" t="s">
        <v>28283</v>
      </c>
    </row>
    <row r="27752" spans="1:1">
      <c r="A27752" t="s">
        <v>28284</v>
      </c>
    </row>
    <row r="27753" spans="1:1">
      <c r="A27753" t="s">
        <v>28285</v>
      </c>
    </row>
    <row r="27754" spans="1:1">
      <c r="A27754" t="s">
        <v>28286</v>
      </c>
    </row>
    <row r="27755" spans="1:1">
      <c r="A27755" t="s">
        <v>28287</v>
      </c>
    </row>
    <row r="27756" spans="1:1">
      <c r="A27756" t="s">
        <v>28288</v>
      </c>
    </row>
    <row r="27757" spans="1:1">
      <c r="A27757" t="s">
        <v>28289</v>
      </c>
    </row>
    <row r="27758" spans="1:1">
      <c r="A27758" t="s">
        <v>28290</v>
      </c>
    </row>
    <row r="27759" spans="1:1">
      <c r="A27759" t="s">
        <v>28291</v>
      </c>
    </row>
    <row r="27760" spans="1:1">
      <c r="A27760" t="s">
        <v>28292</v>
      </c>
    </row>
    <row r="27761" spans="1:1">
      <c r="A27761" t="s">
        <v>28293</v>
      </c>
    </row>
    <row r="27762" spans="1:1">
      <c r="A27762" t="s">
        <v>28294</v>
      </c>
    </row>
    <row r="27763" spans="1:1">
      <c r="A27763" t="s">
        <v>28295</v>
      </c>
    </row>
    <row r="27764" spans="1:1">
      <c r="A27764" t="s">
        <v>28296</v>
      </c>
    </row>
    <row r="27765" spans="1:1">
      <c r="A27765" t="s">
        <v>28297</v>
      </c>
    </row>
    <row r="27766" spans="1:1">
      <c r="A27766" t="s">
        <v>28298</v>
      </c>
    </row>
    <row r="27767" spans="1:1">
      <c r="A27767" t="s">
        <v>28299</v>
      </c>
    </row>
    <row r="27768" spans="1:1">
      <c r="A27768" t="s">
        <v>28300</v>
      </c>
    </row>
    <row r="27769" spans="1:1">
      <c r="A27769" t="s">
        <v>28301</v>
      </c>
    </row>
    <row r="27770" spans="1:1">
      <c r="A27770" t="s">
        <v>28302</v>
      </c>
    </row>
    <row r="27771" spans="1:1">
      <c r="A27771" t="s">
        <v>28303</v>
      </c>
    </row>
    <row r="27772" spans="1:1">
      <c r="A27772" t="s">
        <v>28304</v>
      </c>
    </row>
    <row r="27773" spans="1:1">
      <c r="A27773" t="s">
        <v>28305</v>
      </c>
    </row>
    <row r="27774" spans="1:1">
      <c r="A27774" t="s">
        <v>28306</v>
      </c>
    </row>
    <row r="27775" spans="1:1">
      <c r="A27775" t="s">
        <v>28307</v>
      </c>
    </row>
    <row r="27776" spans="1:1">
      <c r="A27776" t="s">
        <v>28308</v>
      </c>
    </row>
    <row r="27777" spans="1:1">
      <c r="A27777" t="s">
        <v>28309</v>
      </c>
    </row>
    <row r="27778" spans="1:1">
      <c r="A27778" t="s">
        <v>28310</v>
      </c>
    </row>
    <row r="27779" spans="1:1">
      <c r="A27779" t="s">
        <v>28311</v>
      </c>
    </row>
    <row r="27780" spans="1:1">
      <c r="A27780" t="s">
        <v>28312</v>
      </c>
    </row>
    <row r="27781" spans="1:1">
      <c r="A27781" t="s">
        <v>28313</v>
      </c>
    </row>
    <row r="27782" spans="1:1">
      <c r="A27782" t="s">
        <v>28314</v>
      </c>
    </row>
    <row r="27783" spans="1:1">
      <c r="A27783" t="s">
        <v>28315</v>
      </c>
    </row>
    <row r="27784" spans="1:1">
      <c r="A27784" t="s">
        <v>28316</v>
      </c>
    </row>
    <row r="27785" spans="1:1">
      <c r="A27785" t="s">
        <v>28317</v>
      </c>
    </row>
    <row r="27786" spans="1:1">
      <c r="A27786" t="s">
        <v>28318</v>
      </c>
    </row>
    <row r="27787" spans="1:1">
      <c r="A27787" t="s">
        <v>28319</v>
      </c>
    </row>
    <row r="27788" spans="1:1">
      <c r="A27788" t="s">
        <v>28320</v>
      </c>
    </row>
    <row r="27789" spans="1:1">
      <c r="A27789" t="s">
        <v>28321</v>
      </c>
    </row>
    <row r="27790" spans="1:1">
      <c r="A27790" t="s">
        <v>28322</v>
      </c>
    </row>
    <row r="27791" spans="1:1">
      <c r="A27791" t="s">
        <v>28323</v>
      </c>
    </row>
    <row r="27792" spans="1:1">
      <c r="A27792" t="s">
        <v>28324</v>
      </c>
    </row>
    <row r="27793" spans="1:1">
      <c r="A27793" t="s">
        <v>28325</v>
      </c>
    </row>
    <row r="27794" spans="1:1">
      <c r="A27794" t="s">
        <v>28326</v>
      </c>
    </row>
    <row r="27795" spans="1:1">
      <c r="A27795" t="s">
        <v>28327</v>
      </c>
    </row>
    <row r="27796" spans="1:1">
      <c r="A27796" t="s">
        <v>28328</v>
      </c>
    </row>
    <row r="27797" spans="1:1">
      <c r="A27797" t="s">
        <v>28329</v>
      </c>
    </row>
    <row r="27798" spans="1:1">
      <c r="A27798" t="s">
        <v>28330</v>
      </c>
    </row>
    <row r="27799" spans="1:1">
      <c r="A27799" t="s">
        <v>28331</v>
      </c>
    </row>
    <row r="27800" spans="1:1">
      <c r="A27800" t="s">
        <v>28332</v>
      </c>
    </row>
    <row r="27801" spans="1:1">
      <c r="A27801" t="s">
        <v>28333</v>
      </c>
    </row>
    <row r="27802" spans="1:1">
      <c r="A27802" t="s">
        <v>28334</v>
      </c>
    </row>
    <row r="27803" spans="1:1">
      <c r="A27803" t="s">
        <v>28335</v>
      </c>
    </row>
    <row r="27804" spans="1:1">
      <c r="A27804" t="s">
        <v>28336</v>
      </c>
    </row>
    <row r="27805" spans="1:1">
      <c r="A27805" t="s">
        <v>28337</v>
      </c>
    </row>
    <row r="27806" spans="1:1">
      <c r="A27806" t="s">
        <v>28338</v>
      </c>
    </row>
    <row r="27807" spans="1:1">
      <c r="A27807" t="s">
        <v>28339</v>
      </c>
    </row>
    <row r="27808" spans="1:1">
      <c r="A27808" t="s">
        <v>28340</v>
      </c>
    </row>
    <row r="27809" spans="1:1">
      <c r="A27809" t="s">
        <v>28341</v>
      </c>
    </row>
    <row r="27810" spans="1:1">
      <c r="A27810" t="s">
        <v>28342</v>
      </c>
    </row>
    <row r="27811" spans="1:1">
      <c r="A27811" t="s">
        <v>28343</v>
      </c>
    </row>
    <row r="27812" spans="1:1">
      <c r="A27812" t="s">
        <v>28344</v>
      </c>
    </row>
    <row r="27813" spans="1:1">
      <c r="A27813" t="s">
        <v>28345</v>
      </c>
    </row>
    <row r="27814" spans="1:1">
      <c r="A27814" t="s">
        <v>28346</v>
      </c>
    </row>
    <row r="27815" spans="1:1">
      <c r="A27815" t="s">
        <v>28347</v>
      </c>
    </row>
    <row r="27816" spans="1:1">
      <c r="A27816" t="s">
        <v>28348</v>
      </c>
    </row>
    <row r="27817" spans="1:1">
      <c r="A27817" t="s">
        <v>28349</v>
      </c>
    </row>
    <row r="27818" spans="1:1">
      <c r="A27818" t="s">
        <v>28350</v>
      </c>
    </row>
    <row r="27819" spans="1:1">
      <c r="A27819" t="s">
        <v>28351</v>
      </c>
    </row>
    <row r="27820" spans="1:1">
      <c r="A27820" t="s">
        <v>28352</v>
      </c>
    </row>
    <row r="27821" spans="1:1">
      <c r="A27821" t="s">
        <v>28353</v>
      </c>
    </row>
    <row r="27822" spans="1:1">
      <c r="A27822" t="s">
        <v>28354</v>
      </c>
    </row>
    <row r="27823" spans="1:1">
      <c r="A27823" t="s">
        <v>28355</v>
      </c>
    </row>
    <row r="27824" spans="1:1">
      <c r="A27824" t="s">
        <v>28356</v>
      </c>
    </row>
    <row r="27825" spans="1:1">
      <c r="A27825" t="s">
        <v>28357</v>
      </c>
    </row>
    <row r="27826" spans="1:1">
      <c r="A27826" t="s">
        <v>28358</v>
      </c>
    </row>
    <row r="27827" spans="1:1">
      <c r="A27827" t="s">
        <v>28359</v>
      </c>
    </row>
    <row r="27828" spans="1:1">
      <c r="A27828" t="s">
        <v>28360</v>
      </c>
    </row>
    <row r="27829" spans="1:1">
      <c r="A27829" t="s">
        <v>28361</v>
      </c>
    </row>
    <row r="27830" spans="1:1">
      <c r="A27830" t="s">
        <v>28362</v>
      </c>
    </row>
    <row r="27831" spans="1:1">
      <c r="A27831" t="s">
        <v>28363</v>
      </c>
    </row>
    <row r="27832" spans="1:1">
      <c r="A27832" t="s">
        <v>28364</v>
      </c>
    </row>
    <row r="27833" spans="1:1">
      <c r="A27833" t="s">
        <v>28365</v>
      </c>
    </row>
    <row r="27834" spans="1:1">
      <c r="A27834" t="s">
        <v>28366</v>
      </c>
    </row>
    <row r="27835" spans="1:1">
      <c r="A27835" t="s">
        <v>28367</v>
      </c>
    </row>
    <row r="27836" spans="1:1">
      <c r="A27836" t="s">
        <v>28368</v>
      </c>
    </row>
    <row r="27837" spans="1:1">
      <c r="A27837" t="s">
        <v>28369</v>
      </c>
    </row>
    <row r="27838" spans="1:1">
      <c r="A27838" t="s">
        <v>28370</v>
      </c>
    </row>
    <row r="27839" spans="1:1">
      <c r="A27839" t="s">
        <v>28371</v>
      </c>
    </row>
    <row r="27840" spans="1:1">
      <c r="A27840" t="s">
        <v>28372</v>
      </c>
    </row>
    <row r="27841" spans="1:1">
      <c r="A27841" t="s">
        <v>28373</v>
      </c>
    </row>
    <row r="27842" spans="1:1">
      <c r="A27842" t="s">
        <v>28374</v>
      </c>
    </row>
    <row r="27843" spans="1:1">
      <c r="A27843" t="s">
        <v>28375</v>
      </c>
    </row>
    <row r="27844" spans="1:1">
      <c r="A27844" t="s">
        <v>28376</v>
      </c>
    </row>
    <row r="27845" spans="1:1">
      <c r="A27845" t="s">
        <v>28377</v>
      </c>
    </row>
    <row r="27846" spans="1:1">
      <c r="A27846" t="s">
        <v>28378</v>
      </c>
    </row>
    <row r="27847" spans="1:1">
      <c r="A27847" t="s">
        <v>28379</v>
      </c>
    </row>
    <row r="27848" spans="1:1">
      <c r="A27848" t="s">
        <v>28380</v>
      </c>
    </row>
    <row r="27849" spans="1:1">
      <c r="A27849" t="s">
        <v>28381</v>
      </c>
    </row>
    <row r="27850" spans="1:1">
      <c r="A27850" t="s">
        <v>28382</v>
      </c>
    </row>
    <row r="27851" spans="1:1">
      <c r="A27851" t="s">
        <v>28383</v>
      </c>
    </row>
    <row r="27852" spans="1:1">
      <c r="A27852" t="s">
        <v>28384</v>
      </c>
    </row>
    <row r="27853" spans="1:1">
      <c r="A27853" t="s">
        <v>28385</v>
      </c>
    </row>
    <row r="27854" spans="1:1">
      <c r="A27854" t="s">
        <v>28386</v>
      </c>
    </row>
    <row r="27855" spans="1:1">
      <c r="A27855" t="s">
        <v>28387</v>
      </c>
    </row>
    <row r="27856" spans="1:1">
      <c r="A27856" t="s">
        <v>28388</v>
      </c>
    </row>
    <row r="27857" spans="1:1">
      <c r="A27857" t="s">
        <v>28389</v>
      </c>
    </row>
    <row r="27858" spans="1:1">
      <c r="A27858" t="s">
        <v>28390</v>
      </c>
    </row>
    <row r="27859" spans="1:1">
      <c r="A27859" t="s">
        <v>28391</v>
      </c>
    </row>
    <row r="27860" spans="1:1">
      <c r="A27860" t="s">
        <v>28392</v>
      </c>
    </row>
    <row r="27861" spans="1:1">
      <c r="A27861" t="s">
        <v>28393</v>
      </c>
    </row>
    <row r="27862" spans="1:1">
      <c r="A27862" t="s">
        <v>28394</v>
      </c>
    </row>
    <row r="27863" spans="1:1">
      <c r="A27863" t="s">
        <v>28395</v>
      </c>
    </row>
    <row r="27864" spans="1:1">
      <c r="A27864" t="s">
        <v>28396</v>
      </c>
    </row>
    <row r="27865" spans="1:1">
      <c r="A27865" t="s">
        <v>28397</v>
      </c>
    </row>
    <row r="27866" spans="1:1">
      <c r="A27866" t="s">
        <v>28398</v>
      </c>
    </row>
    <row r="27867" spans="1:1">
      <c r="A27867" t="s">
        <v>28399</v>
      </c>
    </row>
    <row r="27868" spans="1:1">
      <c r="A27868" t="s">
        <v>28400</v>
      </c>
    </row>
    <row r="27869" spans="1:1">
      <c r="A27869" t="s">
        <v>28401</v>
      </c>
    </row>
    <row r="27870" spans="1:1">
      <c r="A27870" t="s">
        <v>28402</v>
      </c>
    </row>
    <row r="27871" spans="1:1">
      <c r="A27871" t="s">
        <v>28403</v>
      </c>
    </row>
    <row r="27872" spans="1:1">
      <c r="A27872" t="s">
        <v>28404</v>
      </c>
    </row>
    <row r="27873" spans="1:1">
      <c r="A27873" t="s">
        <v>28405</v>
      </c>
    </row>
    <row r="27874" spans="1:1">
      <c r="A27874" t="s">
        <v>28406</v>
      </c>
    </row>
    <row r="27875" spans="1:1">
      <c r="A27875" t="s">
        <v>28407</v>
      </c>
    </row>
    <row r="27876" spans="1:1">
      <c r="A27876" t="s">
        <v>28408</v>
      </c>
    </row>
    <row r="27877" spans="1:1">
      <c r="A27877" t="s">
        <v>28409</v>
      </c>
    </row>
    <row r="27878" spans="1:1">
      <c r="A27878" t="s">
        <v>28410</v>
      </c>
    </row>
    <row r="27879" spans="1:1">
      <c r="A27879" t="s">
        <v>28411</v>
      </c>
    </row>
    <row r="27880" spans="1:1">
      <c r="A27880" t="s">
        <v>28412</v>
      </c>
    </row>
    <row r="27881" spans="1:1">
      <c r="A27881" t="s">
        <v>28413</v>
      </c>
    </row>
    <row r="27882" spans="1:1">
      <c r="A27882" t="s">
        <v>28414</v>
      </c>
    </row>
    <row r="27883" spans="1:1">
      <c r="A27883" t="s">
        <v>28415</v>
      </c>
    </row>
    <row r="27884" spans="1:1">
      <c r="A27884" t="s">
        <v>28416</v>
      </c>
    </row>
    <row r="27885" spans="1:1">
      <c r="A27885" t="s">
        <v>28417</v>
      </c>
    </row>
    <row r="27886" spans="1:1">
      <c r="A27886" t="s">
        <v>28418</v>
      </c>
    </row>
    <row r="27887" spans="1:1">
      <c r="A27887" t="s">
        <v>28419</v>
      </c>
    </row>
    <row r="27888" spans="1:1">
      <c r="A27888" t="s">
        <v>28420</v>
      </c>
    </row>
    <row r="27889" spans="1:1">
      <c r="A27889" t="s">
        <v>28421</v>
      </c>
    </row>
    <row r="27890" spans="1:1">
      <c r="A27890" t="s">
        <v>28422</v>
      </c>
    </row>
    <row r="27891" spans="1:1">
      <c r="A27891" t="s">
        <v>28423</v>
      </c>
    </row>
    <row r="27892" spans="1:1">
      <c r="A27892" t="s">
        <v>28424</v>
      </c>
    </row>
    <row r="27893" spans="1:1">
      <c r="A27893" t="s">
        <v>28425</v>
      </c>
    </row>
    <row r="27894" spans="1:1">
      <c r="A27894" t="s">
        <v>28426</v>
      </c>
    </row>
    <row r="27895" spans="1:1">
      <c r="A27895" t="s">
        <v>28427</v>
      </c>
    </row>
    <row r="27896" spans="1:1">
      <c r="A27896" t="s">
        <v>28428</v>
      </c>
    </row>
    <row r="27897" spans="1:1">
      <c r="A27897" t="s">
        <v>28429</v>
      </c>
    </row>
    <row r="27898" spans="1:1">
      <c r="A27898" t="s">
        <v>28430</v>
      </c>
    </row>
    <row r="27899" spans="1:1">
      <c r="A27899" t="s">
        <v>28431</v>
      </c>
    </row>
    <row r="27900" spans="1:1">
      <c r="A27900" t="s">
        <v>28432</v>
      </c>
    </row>
    <row r="27901" spans="1:1">
      <c r="A27901" t="s">
        <v>28433</v>
      </c>
    </row>
    <row r="27902" spans="1:1">
      <c r="A27902" t="s">
        <v>28434</v>
      </c>
    </row>
    <row r="27903" spans="1:1">
      <c r="A27903" t="s">
        <v>28435</v>
      </c>
    </row>
    <row r="27904" spans="1:1">
      <c r="A27904" t="s">
        <v>28436</v>
      </c>
    </row>
    <row r="27905" spans="1:1">
      <c r="A27905" t="s">
        <v>28437</v>
      </c>
    </row>
    <row r="27906" spans="1:1">
      <c r="A27906" t="s">
        <v>28438</v>
      </c>
    </row>
    <row r="27907" spans="1:1">
      <c r="A27907" t="s">
        <v>28439</v>
      </c>
    </row>
    <row r="27908" spans="1:1">
      <c r="A27908" t="s">
        <v>28440</v>
      </c>
    </row>
    <row r="27909" spans="1:1">
      <c r="A27909" t="s">
        <v>28441</v>
      </c>
    </row>
    <row r="27910" spans="1:1">
      <c r="A27910" t="s">
        <v>28442</v>
      </c>
    </row>
    <row r="27911" spans="1:1">
      <c r="A27911" t="s">
        <v>28443</v>
      </c>
    </row>
    <row r="27912" spans="1:1">
      <c r="A27912" t="s">
        <v>28444</v>
      </c>
    </row>
    <row r="27913" spans="1:1">
      <c r="A27913" t="s">
        <v>28445</v>
      </c>
    </row>
    <row r="27914" spans="1:1">
      <c r="A27914" t="s">
        <v>28446</v>
      </c>
    </row>
    <row r="27915" spans="1:1">
      <c r="A27915" t="s">
        <v>28447</v>
      </c>
    </row>
    <row r="27916" spans="1:1">
      <c r="A27916" t="s">
        <v>28448</v>
      </c>
    </row>
    <row r="27917" spans="1:1">
      <c r="A27917" t="s">
        <v>28449</v>
      </c>
    </row>
    <row r="27918" spans="1:1">
      <c r="A27918" t="s">
        <v>28450</v>
      </c>
    </row>
    <row r="27919" spans="1:1">
      <c r="A27919" t="s">
        <v>28451</v>
      </c>
    </row>
    <row r="27920" spans="1:1">
      <c r="A27920" t="s">
        <v>28452</v>
      </c>
    </row>
    <row r="27921" spans="1:1">
      <c r="A27921" t="s">
        <v>28453</v>
      </c>
    </row>
    <row r="27922" spans="1:1">
      <c r="A27922" t="s">
        <v>28454</v>
      </c>
    </row>
    <row r="27923" spans="1:1">
      <c r="A27923" t="s">
        <v>28455</v>
      </c>
    </row>
    <row r="27924" spans="1:1">
      <c r="A27924" t="s">
        <v>28456</v>
      </c>
    </row>
    <row r="27925" spans="1:1">
      <c r="A27925" t="s">
        <v>28457</v>
      </c>
    </row>
    <row r="27926" spans="1:1">
      <c r="A27926" t="s">
        <v>28458</v>
      </c>
    </row>
    <row r="27927" spans="1:1">
      <c r="A27927" t="s">
        <v>28459</v>
      </c>
    </row>
    <row r="27928" spans="1:1">
      <c r="A27928" t="s">
        <v>28460</v>
      </c>
    </row>
    <row r="27929" spans="1:1">
      <c r="A27929" t="s">
        <v>28461</v>
      </c>
    </row>
    <row r="27930" spans="1:1">
      <c r="A27930" t="s">
        <v>28462</v>
      </c>
    </row>
    <row r="27931" spans="1:1">
      <c r="A27931" t="s">
        <v>28463</v>
      </c>
    </row>
    <row r="27932" spans="1:1">
      <c r="A27932" t="s">
        <v>28464</v>
      </c>
    </row>
    <row r="27933" spans="1:1">
      <c r="A27933" t="s">
        <v>28465</v>
      </c>
    </row>
    <row r="27934" spans="1:1">
      <c r="A27934" t="s">
        <v>28466</v>
      </c>
    </row>
    <row r="27935" spans="1:1">
      <c r="A27935" t="s">
        <v>28467</v>
      </c>
    </row>
    <row r="27936" spans="1:1">
      <c r="A27936" t="s">
        <v>28468</v>
      </c>
    </row>
    <row r="27937" spans="1:1">
      <c r="A27937" t="s">
        <v>28469</v>
      </c>
    </row>
    <row r="27938" spans="1:1">
      <c r="A27938" t="s">
        <v>28470</v>
      </c>
    </row>
    <row r="27939" spans="1:1">
      <c r="A27939" t="s">
        <v>28471</v>
      </c>
    </row>
    <row r="27940" spans="1:1">
      <c r="A27940" t="s">
        <v>28472</v>
      </c>
    </row>
    <row r="27941" spans="1:1">
      <c r="A27941" t="s">
        <v>28473</v>
      </c>
    </row>
    <row r="27942" spans="1:1">
      <c r="A27942" t="s">
        <v>28474</v>
      </c>
    </row>
    <row r="27943" spans="1:1">
      <c r="A27943" t="s">
        <v>28475</v>
      </c>
    </row>
    <row r="27944" spans="1:1">
      <c r="A27944" t="s">
        <v>28476</v>
      </c>
    </row>
    <row r="27945" spans="1:1">
      <c r="A27945" t="s">
        <v>28477</v>
      </c>
    </row>
    <row r="27946" spans="1:1">
      <c r="A27946" t="s">
        <v>28478</v>
      </c>
    </row>
    <row r="27947" spans="1:1">
      <c r="A27947" t="s">
        <v>28479</v>
      </c>
    </row>
    <row r="27948" spans="1:1">
      <c r="A27948" t="s">
        <v>28480</v>
      </c>
    </row>
    <row r="27949" spans="1:1">
      <c r="A27949" t="s">
        <v>28481</v>
      </c>
    </row>
    <row r="27950" spans="1:1">
      <c r="A27950" t="s">
        <v>28482</v>
      </c>
    </row>
    <row r="27951" spans="1:1">
      <c r="A27951" t="s">
        <v>28483</v>
      </c>
    </row>
    <row r="27952" spans="1:1">
      <c r="A27952" t="s">
        <v>28484</v>
      </c>
    </row>
    <row r="27953" spans="1:1">
      <c r="A27953" t="s">
        <v>28485</v>
      </c>
    </row>
    <row r="27954" spans="1:1">
      <c r="A27954" t="s">
        <v>28486</v>
      </c>
    </row>
    <row r="27955" spans="1:1">
      <c r="A27955" t="s">
        <v>28487</v>
      </c>
    </row>
    <row r="27956" spans="1:1">
      <c r="A27956" t="s">
        <v>28488</v>
      </c>
    </row>
    <row r="27957" spans="1:1">
      <c r="A27957" t="s">
        <v>28489</v>
      </c>
    </row>
    <row r="27958" spans="1:1">
      <c r="A27958" t="s">
        <v>28490</v>
      </c>
    </row>
    <row r="27959" spans="1:1">
      <c r="A27959" t="s">
        <v>28491</v>
      </c>
    </row>
    <row r="27960" spans="1:1">
      <c r="A27960" t="s">
        <v>28492</v>
      </c>
    </row>
    <row r="27961" spans="1:1">
      <c r="A27961" t="s">
        <v>28493</v>
      </c>
    </row>
    <row r="27962" spans="1:1">
      <c r="A27962" t="s">
        <v>28494</v>
      </c>
    </row>
    <row r="27963" spans="1:1">
      <c r="A27963" t="s">
        <v>28495</v>
      </c>
    </row>
    <row r="27964" spans="1:1">
      <c r="A27964" t="s">
        <v>28496</v>
      </c>
    </row>
    <row r="27965" spans="1:1">
      <c r="A27965" t="s">
        <v>28497</v>
      </c>
    </row>
    <row r="27966" spans="1:1">
      <c r="A27966" t="s">
        <v>28498</v>
      </c>
    </row>
    <row r="27967" spans="1:1">
      <c r="A27967" t="s">
        <v>28499</v>
      </c>
    </row>
    <row r="27968" spans="1:1">
      <c r="A27968" t="s">
        <v>28500</v>
      </c>
    </row>
    <row r="27969" spans="1:1">
      <c r="A27969" t="s">
        <v>28501</v>
      </c>
    </row>
    <row r="27970" spans="1:1">
      <c r="A27970" t="s">
        <v>28502</v>
      </c>
    </row>
    <row r="27971" spans="1:1">
      <c r="A27971" t="s">
        <v>28503</v>
      </c>
    </row>
    <row r="27972" spans="1:1">
      <c r="A27972" t="s">
        <v>28504</v>
      </c>
    </row>
    <row r="27973" spans="1:1">
      <c r="A27973" t="s">
        <v>28505</v>
      </c>
    </row>
    <row r="27974" spans="1:1">
      <c r="A27974" t="s">
        <v>28506</v>
      </c>
    </row>
    <row r="27975" spans="1:1">
      <c r="A27975" t="s">
        <v>28507</v>
      </c>
    </row>
    <row r="27976" spans="1:1">
      <c r="A27976" t="s">
        <v>28508</v>
      </c>
    </row>
    <row r="27977" spans="1:1">
      <c r="A27977" t="s">
        <v>28509</v>
      </c>
    </row>
    <row r="27978" spans="1:1">
      <c r="A27978" t="s">
        <v>28510</v>
      </c>
    </row>
    <row r="27979" spans="1:1">
      <c r="A27979" t="s">
        <v>28511</v>
      </c>
    </row>
    <row r="27980" spans="1:1">
      <c r="A27980" t="s">
        <v>28512</v>
      </c>
    </row>
    <row r="27981" spans="1:1">
      <c r="A27981" t="s">
        <v>28513</v>
      </c>
    </row>
    <row r="27982" spans="1:1">
      <c r="A27982" t="s">
        <v>28514</v>
      </c>
    </row>
    <row r="27983" spans="1:1">
      <c r="A27983" t="s">
        <v>28515</v>
      </c>
    </row>
    <row r="27984" spans="1:1">
      <c r="A27984" t="s">
        <v>28516</v>
      </c>
    </row>
    <row r="27985" spans="1:1">
      <c r="A27985" t="s">
        <v>28517</v>
      </c>
    </row>
    <row r="27986" spans="1:1">
      <c r="A27986" t="s">
        <v>28518</v>
      </c>
    </row>
    <row r="27987" spans="1:1">
      <c r="A27987" t="s">
        <v>28519</v>
      </c>
    </row>
    <row r="27988" spans="1:1">
      <c r="A27988" t="s">
        <v>28520</v>
      </c>
    </row>
    <row r="27989" spans="1:1">
      <c r="A27989" t="s">
        <v>28521</v>
      </c>
    </row>
    <row r="27990" spans="1:1">
      <c r="A27990" t="s">
        <v>28522</v>
      </c>
    </row>
    <row r="27991" spans="1:1">
      <c r="A27991" t="s">
        <v>28523</v>
      </c>
    </row>
    <row r="27992" spans="1:1">
      <c r="A27992" t="s">
        <v>28524</v>
      </c>
    </row>
    <row r="27993" spans="1:1">
      <c r="A27993" t="s">
        <v>28525</v>
      </c>
    </row>
    <row r="27994" spans="1:1">
      <c r="A27994" t="s">
        <v>28526</v>
      </c>
    </row>
    <row r="27995" spans="1:1">
      <c r="A27995" t="s">
        <v>28527</v>
      </c>
    </row>
    <row r="27996" spans="1:1">
      <c r="A27996" t="s">
        <v>28528</v>
      </c>
    </row>
    <row r="27997" spans="1:1">
      <c r="A27997" t="s">
        <v>28529</v>
      </c>
    </row>
    <row r="27998" spans="1:1">
      <c r="A27998" t="s">
        <v>28530</v>
      </c>
    </row>
    <row r="27999" spans="1:1">
      <c r="A27999" t="s">
        <v>28531</v>
      </c>
    </row>
    <row r="28000" spans="1:1">
      <c r="A28000" t="s">
        <v>28532</v>
      </c>
    </row>
    <row r="28001" spans="1:1">
      <c r="A28001" t="s">
        <v>28533</v>
      </c>
    </row>
    <row r="28002" spans="1:1">
      <c r="A28002" t="s">
        <v>28534</v>
      </c>
    </row>
    <row r="28003" spans="1:1">
      <c r="A28003" t="s">
        <v>28535</v>
      </c>
    </row>
    <row r="28004" spans="1:1">
      <c r="A28004" t="s">
        <v>28536</v>
      </c>
    </row>
    <row r="28005" spans="1:1">
      <c r="A28005" t="s">
        <v>28537</v>
      </c>
    </row>
    <row r="28006" spans="1:1">
      <c r="A28006" t="s">
        <v>28538</v>
      </c>
    </row>
    <row r="28007" spans="1:1">
      <c r="A28007" t="s">
        <v>28539</v>
      </c>
    </row>
    <row r="28008" spans="1:1">
      <c r="A28008" t="s">
        <v>28540</v>
      </c>
    </row>
    <row r="28009" spans="1:1">
      <c r="A28009" t="s">
        <v>28541</v>
      </c>
    </row>
    <row r="28010" spans="1:1">
      <c r="A28010" t="s">
        <v>28542</v>
      </c>
    </row>
    <row r="28011" spans="1:1">
      <c r="A28011" t="s">
        <v>28543</v>
      </c>
    </row>
    <row r="28012" spans="1:1">
      <c r="A28012" t="s">
        <v>28544</v>
      </c>
    </row>
    <row r="28013" spans="1:1">
      <c r="A28013" t="s">
        <v>28545</v>
      </c>
    </row>
    <row r="28014" spans="1:1">
      <c r="A28014" t="s">
        <v>28546</v>
      </c>
    </row>
    <row r="28015" spans="1:1">
      <c r="A28015" t="s">
        <v>28547</v>
      </c>
    </row>
    <row r="28016" spans="1:1">
      <c r="A28016" t="s">
        <v>28548</v>
      </c>
    </row>
    <row r="28017" spans="1:1">
      <c r="A28017" t="s">
        <v>28549</v>
      </c>
    </row>
    <row r="28018" spans="1:1">
      <c r="A28018" t="s">
        <v>28550</v>
      </c>
    </row>
    <row r="28019" spans="1:1">
      <c r="A28019" t="s">
        <v>28551</v>
      </c>
    </row>
    <row r="28020" spans="1:1">
      <c r="A28020" t="s">
        <v>28552</v>
      </c>
    </row>
    <row r="28021" spans="1:1">
      <c r="A28021" t="s">
        <v>28553</v>
      </c>
    </row>
    <row r="28022" spans="1:1">
      <c r="A28022" t="s">
        <v>28554</v>
      </c>
    </row>
    <row r="28023" spans="1:1">
      <c r="A28023" t="s">
        <v>28555</v>
      </c>
    </row>
    <row r="28024" spans="1:1">
      <c r="A28024" t="s">
        <v>28556</v>
      </c>
    </row>
    <row r="28025" spans="1:1">
      <c r="A28025" t="s">
        <v>28557</v>
      </c>
    </row>
    <row r="28026" spans="1:1">
      <c r="A28026" t="s">
        <v>28558</v>
      </c>
    </row>
    <row r="28027" spans="1:1">
      <c r="A28027" t="s">
        <v>28559</v>
      </c>
    </row>
    <row r="28028" spans="1:1">
      <c r="A28028" t="s">
        <v>28560</v>
      </c>
    </row>
    <row r="28029" spans="1:1">
      <c r="A28029" t="s">
        <v>28561</v>
      </c>
    </row>
    <row r="28030" spans="1:1">
      <c r="A28030" t="s">
        <v>28562</v>
      </c>
    </row>
    <row r="28031" spans="1:1">
      <c r="A28031" t="s">
        <v>28563</v>
      </c>
    </row>
    <row r="28032" spans="1:1">
      <c r="A28032" t="s">
        <v>28564</v>
      </c>
    </row>
    <row r="28033" spans="1:1">
      <c r="A28033" t="s">
        <v>28565</v>
      </c>
    </row>
    <row r="28034" spans="1:1">
      <c r="A28034" t="s">
        <v>28566</v>
      </c>
    </row>
    <row r="28035" spans="1:1">
      <c r="A28035" t="s">
        <v>28567</v>
      </c>
    </row>
    <row r="28036" spans="1:1">
      <c r="A28036" t="s">
        <v>28568</v>
      </c>
    </row>
    <row r="28037" spans="1:1">
      <c r="A28037" t="s">
        <v>28569</v>
      </c>
    </row>
    <row r="28038" spans="1:1">
      <c r="A28038" t="s">
        <v>28570</v>
      </c>
    </row>
    <row r="28039" spans="1:1">
      <c r="A28039" t="s">
        <v>28571</v>
      </c>
    </row>
    <row r="28040" spans="1:1">
      <c r="A28040" t="s">
        <v>28572</v>
      </c>
    </row>
    <row r="28041" spans="1:1">
      <c r="A28041" t="s">
        <v>28573</v>
      </c>
    </row>
    <row r="28042" spans="1:1">
      <c r="A28042" t="s">
        <v>28574</v>
      </c>
    </row>
    <row r="28043" spans="1:1">
      <c r="A28043" t="s">
        <v>28575</v>
      </c>
    </row>
    <row r="28044" spans="1:1">
      <c r="A28044" t="s">
        <v>28576</v>
      </c>
    </row>
    <row r="28045" spans="1:1">
      <c r="A28045" t="s">
        <v>28577</v>
      </c>
    </row>
    <row r="28046" spans="1:1">
      <c r="A28046" t="s">
        <v>28578</v>
      </c>
    </row>
    <row r="28047" spans="1:1">
      <c r="A28047" t="s">
        <v>28579</v>
      </c>
    </row>
    <row r="28048" spans="1:1">
      <c r="A28048" t="s">
        <v>28580</v>
      </c>
    </row>
    <row r="28049" spans="1:1">
      <c r="A28049" t="s">
        <v>28581</v>
      </c>
    </row>
    <row r="28050" spans="1:1">
      <c r="A28050" t="s">
        <v>28582</v>
      </c>
    </row>
    <row r="28051" spans="1:1">
      <c r="A28051" t="s">
        <v>28583</v>
      </c>
    </row>
    <row r="28052" spans="1:1">
      <c r="A28052" t="s">
        <v>28584</v>
      </c>
    </row>
    <row r="28053" spans="1:1">
      <c r="A28053" t="s">
        <v>28585</v>
      </c>
    </row>
    <row r="28054" spans="1:1">
      <c r="A28054" t="s">
        <v>28586</v>
      </c>
    </row>
    <row r="28055" spans="1:1">
      <c r="A28055" t="s">
        <v>28587</v>
      </c>
    </row>
    <row r="28056" spans="1:1">
      <c r="A28056" t="s">
        <v>28588</v>
      </c>
    </row>
    <row r="28057" spans="1:1">
      <c r="A28057" t="s">
        <v>28589</v>
      </c>
    </row>
    <row r="28058" spans="1:1">
      <c r="A28058" t="s">
        <v>28590</v>
      </c>
    </row>
    <row r="28059" spans="1:1">
      <c r="A28059" t="s">
        <v>28591</v>
      </c>
    </row>
    <row r="28060" spans="1:1">
      <c r="A28060" t="s">
        <v>28592</v>
      </c>
    </row>
    <row r="28061" spans="1:1">
      <c r="A28061" t="s">
        <v>28593</v>
      </c>
    </row>
    <row r="28062" spans="1:1">
      <c r="A28062" t="s">
        <v>28594</v>
      </c>
    </row>
    <row r="28063" spans="1:1">
      <c r="A28063" t="s">
        <v>28595</v>
      </c>
    </row>
    <row r="28064" spans="1:1">
      <c r="A28064" t="s">
        <v>28596</v>
      </c>
    </row>
    <row r="28065" spans="1:1">
      <c r="A28065" t="s">
        <v>28597</v>
      </c>
    </row>
    <row r="28066" spans="1:1">
      <c r="A28066" t="s">
        <v>28598</v>
      </c>
    </row>
    <row r="28067" spans="1:1">
      <c r="A28067" t="s">
        <v>28599</v>
      </c>
    </row>
    <row r="28068" spans="1:1">
      <c r="A28068" t="s">
        <v>28600</v>
      </c>
    </row>
    <row r="28069" spans="1:1">
      <c r="A28069" t="s">
        <v>28601</v>
      </c>
    </row>
    <row r="28070" spans="1:1">
      <c r="A28070" t="s">
        <v>28602</v>
      </c>
    </row>
    <row r="28071" spans="1:1">
      <c r="A28071" t="s">
        <v>28603</v>
      </c>
    </row>
    <row r="28072" spans="1:1">
      <c r="A28072" t="s">
        <v>28604</v>
      </c>
    </row>
    <row r="28073" spans="1:1">
      <c r="A28073" t="s">
        <v>28605</v>
      </c>
    </row>
    <row r="28074" spans="1:1">
      <c r="A28074" t="s">
        <v>28606</v>
      </c>
    </row>
    <row r="28075" spans="1:1">
      <c r="A28075" t="s">
        <v>28607</v>
      </c>
    </row>
    <row r="28076" spans="1:1">
      <c r="A28076" t="s">
        <v>28608</v>
      </c>
    </row>
    <row r="28077" spans="1:1">
      <c r="A28077" t="s">
        <v>28609</v>
      </c>
    </row>
    <row r="28078" spans="1:1">
      <c r="A28078" t="s">
        <v>28610</v>
      </c>
    </row>
    <row r="28079" spans="1:1">
      <c r="A28079" t="s">
        <v>28611</v>
      </c>
    </row>
    <row r="28080" spans="1:1">
      <c r="A28080" t="s">
        <v>28612</v>
      </c>
    </row>
    <row r="28081" spans="1:1">
      <c r="A28081" t="s">
        <v>28613</v>
      </c>
    </row>
    <row r="28082" spans="1:1">
      <c r="A28082" t="s">
        <v>28614</v>
      </c>
    </row>
    <row r="28083" spans="1:1">
      <c r="A28083" t="s">
        <v>28615</v>
      </c>
    </row>
    <row r="28084" spans="1:1">
      <c r="A28084" t="s">
        <v>28616</v>
      </c>
    </row>
    <row r="28085" spans="1:1">
      <c r="A28085" t="s">
        <v>28617</v>
      </c>
    </row>
    <row r="28086" spans="1:1">
      <c r="A28086" t="s">
        <v>28618</v>
      </c>
    </row>
    <row r="28087" spans="1:1">
      <c r="A28087" t="s">
        <v>28619</v>
      </c>
    </row>
    <row r="28088" spans="1:1">
      <c r="A28088" t="s">
        <v>28620</v>
      </c>
    </row>
    <row r="28089" spans="1:1">
      <c r="A28089" t="s">
        <v>28621</v>
      </c>
    </row>
    <row r="28090" spans="1:1">
      <c r="A28090" t="s">
        <v>28622</v>
      </c>
    </row>
    <row r="28091" spans="1:1">
      <c r="A28091" t="s">
        <v>28623</v>
      </c>
    </row>
    <row r="28092" spans="1:1">
      <c r="A28092" t="s">
        <v>28624</v>
      </c>
    </row>
    <row r="28093" spans="1:1">
      <c r="A28093" t="s">
        <v>28625</v>
      </c>
    </row>
    <row r="28094" spans="1:1">
      <c r="A28094" t="s">
        <v>28626</v>
      </c>
    </row>
    <row r="28095" spans="1:1">
      <c r="A28095" t="s">
        <v>28627</v>
      </c>
    </row>
    <row r="28096" spans="1:1">
      <c r="A28096" t="s">
        <v>28628</v>
      </c>
    </row>
    <row r="28097" spans="1:1">
      <c r="A28097" t="s">
        <v>28629</v>
      </c>
    </row>
    <row r="28098" spans="1:1">
      <c r="A28098" t="s">
        <v>28630</v>
      </c>
    </row>
    <row r="28099" spans="1:1">
      <c r="A28099" t="s">
        <v>28631</v>
      </c>
    </row>
    <row r="28100" spans="1:1">
      <c r="A28100" t="s">
        <v>28632</v>
      </c>
    </row>
    <row r="28101" spans="1:1">
      <c r="A28101" t="s">
        <v>28633</v>
      </c>
    </row>
    <row r="28102" spans="1:1">
      <c r="A28102" t="s">
        <v>28634</v>
      </c>
    </row>
    <row r="28103" spans="1:1">
      <c r="A28103" t="s">
        <v>28635</v>
      </c>
    </row>
    <row r="28104" spans="1:1">
      <c r="A28104" t="s">
        <v>28636</v>
      </c>
    </row>
    <row r="28105" spans="1:1">
      <c r="A28105" t="s">
        <v>28637</v>
      </c>
    </row>
    <row r="28106" spans="1:1">
      <c r="A28106" t="s">
        <v>28638</v>
      </c>
    </row>
    <row r="28107" spans="1:1">
      <c r="A28107" t="s">
        <v>28639</v>
      </c>
    </row>
    <row r="28108" spans="1:1">
      <c r="A28108" t="s">
        <v>28640</v>
      </c>
    </row>
    <row r="28109" spans="1:1">
      <c r="A28109" t="s">
        <v>28641</v>
      </c>
    </row>
    <row r="28110" spans="1:1">
      <c r="A28110" t="s">
        <v>28642</v>
      </c>
    </row>
    <row r="28111" spans="1:1">
      <c r="A28111" t="s">
        <v>28643</v>
      </c>
    </row>
    <row r="28112" spans="1:1">
      <c r="A28112" t="s">
        <v>28644</v>
      </c>
    </row>
    <row r="28113" spans="1:1">
      <c r="A28113" t="s">
        <v>28645</v>
      </c>
    </row>
    <row r="28114" spans="1:1">
      <c r="A28114" t="s">
        <v>28646</v>
      </c>
    </row>
    <row r="28115" spans="1:1">
      <c r="A28115" t="s">
        <v>28647</v>
      </c>
    </row>
    <row r="28116" spans="1:1">
      <c r="A28116" t="s">
        <v>28648</v>
      </c>
    </row>
    <row r="28117" spans="1:1">
      <c r="A28117" t="s">
        <v>28649</v>
      </c>
    </row>
    <row r="28118" spans="1:1">
      <c r="A28118" t="s">
        <v>28650</v>
      </c>
    </row>
    <row r="28119" spans="1:1">
      <c r="A28119" t="s">
        <v>28651</v>
      </c>
    </row>
    <row r="28120" spans="1:1">
      <c r="A28120" t="s">
        <v>28652</v>
      </c>
    </row>
    <row r="28121" spans="1:1">
      <c r="A28121" t="s">
        <v>28653</v>
      </c>
    </row>
    <row r="28122" spans="1:1">
      <c r="A28122" t="s">
        <v>28654</v>
      </c>
    </row>
    <row r="28123" spans="1:1">
      <c r="A28123" t="s">
        <v>28655</v>
      </c>
    </row>
    <row r="28124" spans="1:1">
      <c r="A28124" t="s">
        <v>28656</v>
      </c>
    </row>
    <row r="28125" spans="1:1">
      <c r="A28125" t="s">
        <v>28657</v>
      </c>
    </row>
    <row r="28126" spans="1:1">
      <c r="A28126" t="s">
        <v>28658</v>
      </c>
    </row>
    <row r="28127" spans="1:1">
      <c r="A28127" t="s">
        <v>28659</v>
      </c>
    </row>
    <row r="28128" spans="1:1">
      <c r="A28128" t="s">
        <v>28660</v>
      </c>
    </row>
    <row r="28129" spans="1:1">
      <c r="A28129" t="s">
        <v>28661</v>
      </c>
    </row>
    <row r="28130" spans="1:1">
      <c r="A28130" t="s">
        <v>28662</v>
      </c>
    </row>
    <row r="28131" spans="1:1">
      <c r="A28131" t="s">
        <v>28663</v>
      </c>
    </row>
    <row r="28132" spans="1:1">
      <c r="A28132" t="s">
        <v>28664</v>
      </c>
    </row>
    <row r="28133" spans="1:1">
      <c r="A28133" t="s">
        <v>28665</v>
      </c>
    </row>
    <row r="28134" spans="1:1">
      <c r="A28134" t="s">
        <v>28666</v>
      </c>
    </row>
    <row r="28135" spans="1:1">
      <c r="A28135" t="s">
        <v>28667</v>
      </c>
    </row>
    <row r="28136" spans="1:1">
      <c r="A28136" t="s">
        <v>28668</v>
      </c>
    </row>
    <row r="28137" spans="1:1">
      <c r="A28137" t="s">
        <v>28669</v>
      </c>
    </row>
    <row r="28138" spans="1:1">
      <c r="A28138" t="s">
        <v>28670</v>
      </c>
    </row>
    <row r="28139" spans="1:1">
      <c r="A28139" t="s">
        <v>28671</v>
      </c>
    </row>
    <row r="28140" spans="1:1">
      <c r="A28140" t="s">
        <v>28672</v>
      </c>
    </row>
    <row r="28141" spans="1:1">
      <c r="A28141" t="s">
        <v>28673</v>
      </c>
    </row>
    <row r="28142" spans="1:1">
      <c r="A28142" t="s">
        <v>28674</v>
      </c>
    </row>
    <row r="28143" spans="1:1">
      <c r="A28143" t="s">
        <v>28675</v>
      </c>
    </row>
    <row r="28144" spans="1:1">
      <c r="A28144" t="s">
        <v>28676</v>
      </c>
    </row>
    <row r="28145" spans="1:1">
      <c r="A28145" t="s">
        <v>28677</v>
      </c>
    </row>
    <row r="28146" spans="1:1">
      <c r="A28146" t="s">
        <v>28678</v>
      </c>
    </row>
    <row r="28147" spans="1:1">
      <c r="A28147" t="s">
        <v>28679</v>
      </c>
    </row>
    <row r="28148" spans="1:1">
      <c r="A28148" t="s">
        <v>28680</v>
      </c>
    </row>
    <row r="28149" spans="1:1">
      <c r="A28149" t="s">
        <v>28681</v>
      </c>
    </row>
    <row r="28150" spans="1:1">
      <c r="A28150" t="s">
        <v>28682</v>
      </c>
    </row>
    <row r="28151" spans="1:1">
      <c r="A28151" t="s">
        <v>28683</v>
      </c>
    </row>
    <row r="28152" spans="1:1">
      <c r="A28152" t="s">
        <v>28684</v>
      </c>
    </row>
    <row r="28153" spans="1:1">
      <c r="A28153" t="s">
        <v>28685</v>
      </c>
    </row>
    <row r="28154" spans="1:1">
      <c r="A28154" t="s">
        <v>28686</v>
      </c>
    </row>
    <row r="28155" spans="1:1">
      <c r="A28155" t="s">
        <v>28687</v>
      </c>
    </row>
    <row r="28156" spans="1:1">
      <c r="A28156" t="s">
        <v>28688</v>
      </c>
    </row>
    <row r="28157" spans="1:1">
      <c r="A28157" t="s">
        <v>28689</v>
      </c>
    </row>
    <row r="28158" spans="1:1">
      <c r="A28158" t="s">
        <v>28690</v>
      </c>
    </row>
    <row r="28159" spans="1:1">
      <c r="A28159" t="s">
        <v>28691</v>
      </c>
    </row>
    <row r="28160" spans="1:1">
      <c r="A28160" t="s">
        <v>28692</v>
      </c>
    </row>
    <row r="28161" spans="1:1">
      <c r="A28161" t="s">
        <v>28693</v>
      </c>
    </row>
    <row r="28162" spans="1:1">
      <c r="A28162" t="s">
        <v>28694</v>
      </c>
    </row>
    <row r="28163" spans="1:1">
      <c r="A28163" t="s">
        <v>28695</v>
      </c>
    </row>
    <row r="28164" spans="1:1">
      <c r="A28164" t="s">
        <v>28696</v>
      </c>
    </row>
    <row r="28165" spans="1:1">
      <c r="A28165" t="s">
        <v>28697</v>
      </c>
    </row>
    <row r="28166" spans="1:1">
      <c r="A28166" t="s">
        <v>28698</v>
      </c>
    </row>
    <row r="28167" spans="1:1">
      <c r="A28167" t="s">
        <v>28699</v>
      </c>
    </row>
    <row r="28168" spans="1:1">
      <c r="A28168" t="s">
        <v>28700</v>
      </c>
    </row>
    <row r="28169" spans="1:1">
      <c r="A28169" t="s">
        <v>28701</v>
      </c>
    </row>
    <row r="28170" spans="1:1">
      <c r="A28170" t="s">
        <v>28702</v>
      </c>
    </row>
    <row r="28171" spans="1:1">
      <c r="A28171" t="s">
        <v>28703</v>
      </c>
    </row>
    <row r="28172" spans="1:1">
      <c r="A28172" t="s">
        <v>28704</v>
      </c>
    </row>
    <row r="28173" spans="1:1">
      <c r="A28173" t="s">
        <v>28705</v>
      </c>
    </row>
    <row r="28174" spans="1:1">
      <c r="A28174" t="s">
        <v>28706</v>
      </c>
    </row>
    <row r="28175" spans="1:1">
      <c r="A28175" t="s">
        <v>28707</v>
      </c>
    </row>
    <row r="28176" spans="1:1">
      <c r="A28176" t="s">
        <v>28708</v>
      </c>
    </row>
    <row r="28177" spans="1:1">
      <c r="A28177" t="s">
        <v>28709</v>
      </c>
    </row>
    <row r="28178" spans="1:1">
      <c r="A28178" t="s">
        <v>28710</v>
      </c>
    </row>
    <row r="28179" spans="1:1">
      <c r="A28179" t="s">
        <v>28711</v>
      </c>
    </row>
    <row r="28180" spans="1:1">
      <c r="A28180" t="s">
        <v>28712</v>
      </c>
    </row>
    <row r="28181" spans="1:1">
      <c r="A28181" t="s">
        <v>28713</v>
      </c>
    </row>
    <row r="28182" spans="1:1">
      <c r="A28182" t="s">
        <v>28714</v>
      </c>
    </row>
    <row r="28183" spans="1:1">
      <c r="A28183" t="s">
        <v>28715</v>
      </c>
    </row>
    <row r="28184" spans="1:1">
      <c r="A28184" t="s">
        <v>28716</v>
      </c>
    </row>
    <row r="28185" spans="1:1">
      <c r="A28185" t="s">
        <v>28717</v>
      </c>
    </row>
    <row r="28186" spans="1:1">
      <c r="A28186" t="s">
        <v>28718</v>
      </c>
    </row>
    <row r="28187" spans="1:1">
      <c r="A28187" t="s">
        <v>28719</v>
      </c>
    </row>
    <row r="28188" spans="1:1">
      <c r="A28188" t="s">
        <v>28720</v>
      </c>
    </row>
    <row r="28189" spans="1:1">
      <c r="A28189" t="s">
        <v>28721</v>
      </c>
    </row>
    <row r="28190" spans="1:1">
      <c r="A28190" t="s">
        <v>28722</v>
      </c>
    </row>
    <row r="28191" spans="1:1">
      <c r="A28191" t="s">
        <v>28723</v>
      </c>
    </row>
    <row r="28192" spans="1:1">
      <c r="A28192" t="s">
        <v>28724</v>
      </c>
    </row>
    <row r="28193" spans="1:1">
      <c r="A28193" t="s">
        <v>28725</v>
      </c>
    </row>
    <row r="28194" spans="1:1">
      <c r="A28194" t="s">
        <v>28726</v>
      </c>
    </row>
    <row r="28195" spans="1:1">
      <c r="A28195" t="s">
        <v>28727</v>
      </c>
    </row>
    <row r="28196" spans="1:1">
      <c r="A28196" t="s">
        <v>28728</v>
      </c>
    </row>
    <row r="28197" spans="1:1">
      <c r="A28197" t="s">
        <v>28729</v>
      </c>
    </row>
    <row r="28198" spans="1:1">
      <c r="A28198" t="s">
        <v>28730</v>
      </c>
    </row>
    <row r="28199" spans="1:1">
      <c r="A28199" t="s">
        <v>28731</v>
      </c>
    </row>
    <row r="28200" spans="1:1">
      <c r="A28200" t="s">
        <v>28732</v>
      </c>
    </row>
    <row r="28201" spans="1:1">
      <c r="A28201" t="s">
        <v>28733</v>
      </c>
    </row>
    <row r="28202" spans="1:1">
      <c r="A28202" t="s">
        <v>28734</v>
      </c>
    </row>
    <row r="28203" spans="1:1">
      <c r="A28203" t="s">
        <v>28735</v>
      </c>
    </row>
    <row r="28204" spans="1:1">
      <c r="A28204" t="s">
        <v>28736</v>
      </c>
    </row>
    <row r="28205" spans="1:1">
      <c r="A28205" t="s">
        <v>28737</v>
      </c>
    </row>
    <row r="28206" spans="1:1">
      <c r="A28206" t="s">
        <v>28738</v>
      </c>
    </row>
    <row r="28207" spans="1:1">
      <c r="A28207" t="s">
        <v>28739</v>
      </c>
    </row>
    <row r="28208" spans="1:1">
      <c r="A28208" t="s">
        <v>28740</v>
      </c>
    </row>
    <row r="28209" spans="1:1">
      <c r="A28209" t="s">
        <v>28741</v>
      </c>
    </row>
    <row r="28210" spans="1:1">
      <c r="A28210" t="s">
        <v>28742</v>
      </c>
    </row>
    <row r="28211" spans="1:1">
      <c r="A28211" t="s">
        <v>28743</v>
      </c>
    </row>
    <row r="28212" spans="1:1">
      <c r="A28212" t="s">
        <v>28744</v>
      </c>
    </row>
    <row r="28213" spans="1:1">
      <c r="A28213" t="s">
        <v>28745</v>
      </c>
    </row>
    <row r="28214" spans="1:1">
      <c r="A28214" t="s">
        <v>28746</v>
      </c>
    </row>
    <row r="28215" spans="1:1">
      <c r="A28215" t="s">
        <v>28747</v>
      </c>
    </row>
    <row r="28216" spans="1:1">
      <c r="A28216" t="s">
        <v>28748</v>
      </c>
    </row>
    <row r="28217" spans="1:1">
      <c r="A28217" t="s">
        <v>28749</v>
      </c>
    </row>
    <row r="28218" spans="1:1">
      <c r="A28218" t="s">
        <v>28750</v>
      </c>
    </row>
    <row r="28219" spans="1:1">
      <c r="A28219" t="s">
        <v>28751</v>
      </c>
    </row>
    <row r="28220" spans="1:1">
      <c r="A28220" t="s">
        <v>28752</v>
      </c>
    </row>
    <row r="28221" spans="1:1">
      <c r="A28221" t="s">
        <v>28753</v>
      </c>
    </row>
    <row r="28222" spans="1:1">
      <c r="A28222" t="s">
        <v>28754</v>
      </c>
    </row>
    <row r="28223" spans="1:1">
      <c r="A28223" t="s">
        <v>28755</v>
      </c>
    </row>
    <row r="28224" spans="1:1">
      <c r="A28224" t="s">
        <v>28756</v>
      </c>
    </row>
    <row r="28225" spans="1:1">
      <c r="A28225" t="s">
        <v>28757</v>
      </c>
    </row>
    <row r="28226" spans="1:1">
      <c r="A28226" t="s">
        <v>28758</v>
      </c>
    </row>
    <row r="28227" spans="1:1">
      <c r="A28227" t="s">
        <v>28759</v>
      </c>
    </row>
    <row r="28228" spans="1:1">
      <c r="A28228" t="s">
        <v>28760</v>
      </c>
    </row>
    <row r="28229" spans="1:1">
      <c r="A28229" t="s">
        <v>28761</v>
      </c>
    </row>
    <row r="28230" spans="1:1">
      <c r="A28230" t="s">
        <v>28762</v>
      </c>
    </row>
    <row r="28231" spans="1:1">
      <c r="A28231" t="s">
        <v>28763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17</vt:i4>
      </vt:variant>
    </vt:vector>
  </HeadingPairs>
  <TitlesOfParts>
    <vt:vector size="24" baseType="lpstr">
      <vt:lpstr>DATOS GENERALES</vt:lpstr>
      <vt:lpstr>CAPTURA DP</vt:lpstr>
      <vt:lpstr>CAPTURA LISTADO</vt:lpstr>
      <vt:lpstr>CARTA-COTIZACION</vt:lpstr>
      <vt:lpstr>DATOS</vt:lpstr>
      <vt:lpstr>RESUMEN</vt:lpstr>
      <vt:lpstr>POLIZAS</vt:lpstr>
      <vt:lpstr>a</vt:lpstr>
      <vt:lpstr>'CARTA-COTIZACION'!Área_de_impresión</vt:lpstr>
      <vt:lpstr>b</vt:lpstr>
      <vt:lpstr>H</vt:lpstr>
      <vt:lpstr>IVA</vt:lpstr>
      <vt:lpstr>M</vt:lpstr>
      <vt:lpstr>MATERNIDAD</vt:lpstr>
      <vt:lpstr>Nueva</vt:lpstr>
      <vt:lpstr>p</vt:lpstr>
      <vt:lpstr>pcosto</vt:lpstr>
      <vt:lpstr>POLIZAS</vt:lpstr>
      <vt:lpstr>PRIMA_N</vt:lpstr>
      <vt:lpstr>suma</vt:lpstr>
      <vt:lpstr>'CARTA-COTIZACION'!Títulos_a_imprimir</vt:lpstr>
      <vt:lpstr>ve</vt:lpstr>
      <vt:lpstr>vo</vt:lpstr>
      <vt:lpstr>vp</vt:lpstr>
    </vt:vector>
  </TitlesOfParts>
  <Manager>Act. Carlos Colin Moreno</Manager>
  <Company>Seguros Atlas, S.A.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ATLAS MED 2010, En vigor a partir del 01/05/2010</dc:title>
  <dc:subject>Cotizador GMM V.10-1</dc:subject>
  <dc:creator>Angel Andrés Sánchez Resendiz</dc:creator>
  <dc:description>Uso Exclusivo:_x000d_
   AGENTES Y EJECUTIVOS DE CUENTA</dc:description>
  <cp:lastModifiedBy>ADMIN</cp:lastModifiedBy>
  <cp:lastPrinted>2024-06-28T20:55:56Z</cp:lastPrinted>
  <dcterms:created xsi:type="dcterms:W3CDTF">2002-02-17T01:33:09Z</dcterms:created>
  <dcterms:modified xsi:type="dcterms:W3CDTF">2024-07-05T22:22:21Z</dcterms:modified>
</cp:coreProperties>
</file>